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mc:AlternateContent xmlns:mc="http://schemas.openxmlformats.org/markup-compatibility/2006">
    <mc:Choice Requires="x15">
      <x15ac:absPath xmlns:x15ac="http://schemas.microsoft.com/office/spreadsheetml/2010/11/ac" url="C:\Users\a.aalamri\Desktop\Waves Tracker\"/>
    </mc:Choice>
  </mc:AlternateContent>
  <xr:revisionPtr revIDLastSave="0" documentId="13_ncr:1_{83E57E4B-A966-4BDE-89DE-928591A4DBBD}" xr6:coauthVersionLast="36" xr6:coauthVersionMax="47" xr10:uidLastSave="{00000000-0000-0000-0000-000000000000}"/>
  <bookViews>
    <workbookView xWindow="0" yWindow="0" windowWidth="19160" windowHeight="7410" tabRatio="768" activeTab="6" xr2:uid="{00000000-000D-0000-FFFF-FFFF00000000}"/>
  </bookViews>
  <sheets>
    <sheet name="Overview" sheetId="1" r:id="rId1"/>
    <sheet name="ISSUES" sheetId="17" r:id="rId2"/>
    <sheet name="Project Log" sheetId="19" r:id="rId3"/>
    <sheet name="SS-01" sheetId="2" r:id="rId4"/>
    <sheet name="SS-02" sheetId="3" r:id="rId5"/>
    <sheet name="Sheet1" sheetId="20" state="hidden" r:id="rId6"/>
    <sheet name="SS-03" sheetId="4" r:id="rId7"/>
    <sheet name="SS-04" sheetId="5" r:id="rId8"/>
    <sheet name="SS-05" sheetId="6" r:id="rId9"/>
    <sheet name="SS-06" sheetId="7" r:id="rId10"/>
    <sheet name="SS-07" sheetId="8" r:id="rId11"/>
    <sheet name="MM" sheetId="21" r:id="rId12"/>
    <sheet name="_REF" sheetId="15" state="hidden" r:id="rId13"/>
  </sheets>
  <definedNames>
    <definedName name="Affordability">_REF!$B$2:$B$5</definedName>
    <definedName name="Needs">_REF!$A$2:$A$3</definedName>
    <definedName name="_xlnm.Print_Titles" localSheetId="1">ISSUES!$1:$3</definedName>
    <definedName name="_xlnm.Print_Titles" localSheetId="2">'Project Log'!$1:$3</definedName>
    <definedName name="_xlnm.Print_Titles" localSheetId="3">'SS-01'!$1:$12</definedName>
    <definedName name="_xlnm.Print_Titles" localSheetId="4">'SS-02'!$1:$12</definedName>
    <definedName name="_xlnm.Print_Titles" localSheetId="6">'SS-03'!$1:$12</definedName>
    <definedName name="_xlnm.Print_Titles" localSheetId="7">'SS-04'!$1:$12</definedName>
    <definedName name="_xlnm.Print_Titles" localSheetId="8">'SS-05'!$1:$12</definedName>
    <definedName name="_xlnm.Print_Titles" localSheetId="9">'SS-06'!$1:$12</definedName>
    <definedName name="_xlnm.Print_Titles" localSheetId="10">'SS-07'!$1:$12</definedName>
  </definedNames>
  <calcPr calcId="191029"/>
</workbook>
</file>

<file path=xl/calcChain.xml><?xml version="1.0" encoding="utf-8"?>
<calcChain xmlns="http://schemas.openxmlformats.org/spreadsheetml/2006/main">
  <c r="I11" i="1" l="1"/>
  <c r="I10" i="1"/>
  <c r="I9" i="1"/>
  <c r="I8" i="1"/>
  <c r="I7" i="1"/>
  <c r="I6" i="1"/>
  <c r="I5" i="1"/>
  <c r="F11" i="1"/>
  <c r="F10" i="1"/>
  <c r="F9" i="1"/>
  <c r="F8" i="1"/>
  <c r="F7" i="1"/>
  <c r="F6" i="1"/>
  <c r="F5" i="1"/>
  <c r="G11" i="1" l="1"/>
  <c r="G10" i="1"/>
  <c r="G9" i="1"/>
  <c r="G8" i="1"/>
  <c r="G7" i="1"/>
  <c r="G6" i="1"/>
  <c r="H11" i="1"/>
  <c r="H10" i="1"/>
  <c r="H9" i="1"/>
  <c r="H8" i="1"/>
  <c r="H7" i="1"/>
  <c r="H6" i="1"/>
  <c r="G5" i="1"/>
  <c r="H5" i="1"/>
  <c r="B10" i="8" l="1"/>
  <c r="B10" i="7"/>
  <c r="B10" i="6"/>
  <c r="B10" i="5"/>
  <c r="B10" i="4"/>
  <c r="B10" i="3"/>
  <c r="B10" i="2"/>
  <c r="B9" i="8" l="1"/>
  <c r="B8" i="8"/>
  <c r="A1" i="8"/>
  <c r="B9" i="7"/>
  <c r="B8" i="7"/>
  <c r="A1" i="7"/>
  <c r="B9" i="6"/>
  <c r="B8" i="6"/>
  <c r="A1" i="6"/>
  <c r="B9" i="5"/>
  <c r="B8" i="5"/>
  <c r="A1" i="5"/>
  <c r="B9" i="4"/>
  <c r="B8" i="4"/>
  <c r="A1" i="4"/>
  <c r="B9" i="3"/>
  <c r="B8" i="3"/>
  <c r="A1" i="3"/>
  <c r="B9" i="2"/>
  <c r="B8" i="2"/>
  <c r="A1" i="2"/>
  <c r="E11" i="1"/>
  <c r="D11" i="1"/>
  <c r="B11" i="1"/>
  <c r="E10" i="1"/>
  <c r="D10" i="1"/>
  <c r="B10" i="1"/>
  <c r="E9" i="1"/>
  <c r="D9" i="1"/>
  <c r="B9" i="1"/>
  <c r="E8" i="1"/>
  <c r="D8" i="1"/>
  <c r="B8" i="1"/>
  <c r="E7" i="1"/>
  <c r="D7" i="1"/>
  <c r="B7" i="1"/>
  <c r="E6" i="1"/>
  <c r="D6" i="1"/>
  <c r="B6" i="1"/>
  <c r="E5" i="1"/>
  <c r="D5" i="1"/>
  <c r="B5" i="1"/>
</calcChain>
</file>

<file path=xl/sharedStrings.xml><?xml version="1.0" encoding="utf-8"?>
<sst xmlns="http://schemas.openxmlformats.org/spreadsheetml/2006/main" count="523" uniqueCount="168">
  <si>
    <t>رقم المشروع</t>
  </si>
  <si>
    <t>اسم المشروع</t>
  </si>
  <si>
    <t>الإدارة</t>
  </si>
  <si>
    <t>المختص</t>
  </si>
  <si>
    <t>معلومات المشروع</t>
  </si>
  <si>
    <t>الحالة</t>
  </si>
  <si>
    <t>تسلسل</t>
  </si>
  <si>
    <t>التاريخ</t>
  </si>
  <si>
    <t>مرحلة سلسلة القيمة</t>
  </si>
  <si>
    <t>المخرجات</t>
  </si>
  <si>
    <t>التحديث</t>
  </si>
  <si>
    <t>ملاحظات</t>
  </si>
  <si>
    <t>Needs</t>
  </si>
  <si>
    <t>Affordability</t>
  </si>
  <si>
    <t>CES</t>
  </si>
  <si>
    <t>Detailed LCCE</t>
  </si>
  <si>
    <t>High Level LCCE</t>
  </si>
  <si>
    <t>Validation</t>
  </si>
  <si>
    <t>Independent LCCE</t>
  </si>
  <si>
    <t>TCO</t>
  </si>
  <si>
    <t>سجل سير المشروع</t>
  </si>
  <si>
    <t>المرحلة الحالية</t>
  </si>
  <si>
    <t>تاريخ تحديث</t>
  </si>
  <si>
    <t>وصف المعوق</t>
  </si>
  <si>
    <t>المرحلة المتأثرة</t>
  </si>
  <si>
    <t>التأثير</t>
  </si>
  <si>
    <t>المسؤول</t>
  </si>
  <si>
    <t>ت</t>
  </si>
  <si>
    <t>سجل المعوقات</t>
  </si>
  <si>
    <t>نهاية مرحلة Need Identifications</t>
  </si>
  <si>
    <t>بداية مرحلة Needs Identifications</t>
  </si>
  <si>
    <t>بداية مرحلة Affordability Estimate</t>
  </si>
  <si>
    <t>نهاية مرحلة Affordability Estimate</t>
  </si>
  <si>
    <t>الملاحظة</t>
  </si>
  <si>
    <t>تاريخ البداية</t>
  </si>
  <si>
    <t>تاريخ المعالجة</t>
  </si>
  <si>
    <t>تاريخ الملاحظة</t>
  </si>
  <si>
    <t>تاريخ الانتهاء</t>
  </si>
  <si>
    <t>وصف المهمة</t>
  </si>
  <si>
    <t>الإجراء المطلوب</t>
  </si>
  <si>
    <t>سجل المشروع</t>
  </si>
  <si>
    <t>مكتمل</t>
  </si>
  <si>
    <t>على المسار</t>
  </si>
  <si>
    <t xml:space="preserve">متأخر </t>
  </si>
  <si>
    <t xml:space="preserve">خطر </t>
  </si>
  <si>
    <t>تأخير</t>
  </si>
  <si>
    <t>توقف</t>
  </si>
  <si>
    <t>جودة المخرجات</t>
  </si>
  <si>
    <t>تحسين</t>
  </si>
  <si>
    <t>الموجة</t>
  </si>
  <si>
    <t>متابعة مشاريع Waves</t>
  </si>
  <si>
    <t xml:space="preserve">بداية مرحلة </t>
  </si>
  <si>
    <t xml:space="preserve">نهاية مرحلة </t>
  </si>
  <si>
    <t>SS-01</t>
  </si>
  <si>
    <t>SS-02</t>
  </si>
  <si>
    <t>SS-03</t>
  </si>
  <si>
    <t>SS-04</t>
  </si>
  <si>
    <t>SS-05</t>
  </si>
  <si>
    <t>SS-06</t>
  </si>
  <si>
    <t>SS-07</t>
  </si>
  <si>
    <t>توفير مواد خام وقطع الغيار لمطابع وزارة الدفاع (اتفاقية اطارية)</t>
  </si>
  <si>
    <t>عادل الحمياني</t>
  </si>
  <si>
    <t>SS</t>
  </si>
  <si>
    <t>توريد وتخديم المواد الغذائية لمرافق الأندية والضيافات بالمنطقة الوسطى</t>
  </si>
  <si>
    <t>بدلة الكشف وبدلة الإزالة لصالح القوات البرية</t>
  </si>
  <si>
    <t>محمد اليوسف</t>
  </si>
  <si>
    <t>تأمين ملبوسات عسكرية لكليه الدفاع الجوي من الاتفاقية الاطارية</t>
  </si>
  <si>
    <t>هيا المهنا</t>
  </si>
  <si>
    <t>معدات تغطية إعلامية شاملة</t>
  </si>
  <si>
    <t>رشاش عيار 40 ام كي 19 مع ملحقاته</t>
  </si>
  <si>
    <t>تقديم الخدمات الاستشارية الفنية للحصول على شهادات</t>
  </si>
  <si>
    <t>عبدالله النويصر</t>
  </si>
  <si>
    <t>3 - Affordability Estimate</t>
  </si>
  <si>
    <t xml:space="preserve">تم إضافة بند وطلب تحديثة على نموذج LCCE  </t>
  </si>
  <si>
    <t xml:space="preserve">تم ارسال نموذج LCCE بعد إضافة البند </t>
  </si>
  <si>
    <t xml:space="preserve">تم ارسال طلب من قبل مدير المشروع لطلب نموذج LCCE  مستقل </t>
  </si>
  <si>
    <t>تم الرد على مدير المشروع بعدم حاجة المشروع الى LCCE  مستقل</t>
  </si>
  <si>
    <t xml:space="preserve">تم ارسال نموذج TCO </t>
  </si>
  <si>
    <t>تم مناقشة مع الأستاذة منال وتم التأكيد والتدقيق على LCCE</t>
  </si>
  <si>
    <t>تم مناقشة مع الأستاذة منال وتم التأكيد والتدقيق على LCCE بعد إضافة البند المحدث</t>
  </si>
  <si>
    <t>تم طلب عمل TCO  تقرير تكلفة الكاملة للاستحواذ من قبل مدير المشروع</t>
  </si>
  <si>
    <t>لا يوجد أي تكاليف إضافية وبالتالي مخرجات TCO مساوية لمخرجات LCCE</t>
  </si>
  <si>
    <t>8 - Contract Execution</t>
  </si>
  <si>
    <t>2 - Needs Identification</t>
  </si>
  <si>
    <t>لايوجد</t>
  </si>
  <si>
    <t>كل الإجراءات المطلوبة حتى هذه المرحلة تمت وبانتظار التحديث من فريق ديلويت</t>
  </si>
  <si>
    <t>on going</t>
  </si>
  <si>
    <t>تم استلام قائمة الافتراضات من مدير المشروع</t>
  </si>
  <si>
    <t>لايوجد ملاحظات على  قائمة الافتراضات</t>
  </si>
  <si>
    <t>تم استلام سجل المخاطر من مدير المشروع</t>
  </si>
  <si>
    <t>لايوجد ملاحظات على سجل المخاطر</t>
  </si>
  <si>
    <t xml:space="preserve">تم مناقشة مدير المشروع بقائمة الأسعار </t>
  </si>
  <si>
    <t>تم مصادقة مدير المشروع على الأسعار</t>
  </si>
  <si>
    <t>تم اصدار النموذج دورة حياة المنتج الأولي</t>
  </si>
  <si>
    <t>بعد مراجعته مع مدير المشروع</t>
  </si>
  <si>
    <t>تم مناقشة الأسعار بشكل موسع مع مدير المشروع بعد الاجتماع مع الجهة الطالبة</t>
  </si>
  <si>
    <t>تم الاجتماع مع الجهة المستفيدة للاستفادة من خبراتهم.</t>
  </si>
  <si>
    <t>تم اعتماد نموذج دورة حياة المنتج المفصلة</t>
  </si>
  <si>
    <t>لم يتم تغيير الأسعار عن نسخة نموذج دورة حياة المنتج الأولية.</t>
  </si>
  <si>
    <t xml:space="preserve"> مراجعة نموذج دورة حياة المنتج </t>
  </si>
  <si>
    <t>تم مراجعة نموذج دورة حياة المنتج مع الأستاذة منال المالك</t>
  </si>
  <si>
    <t>تم ارسال نموذج التكلفة الكلية للاستحواذ</t>
  </si>
  <si>
    <t>تم االأخذ بالاعتبار أن نموذج دورة حياة المنتج هو يساوي التكلفة الكلية للاستحواذ</t>
  </si>
  <si>
    <t>تم حضور الاجتماع وبإنتظار ارسال الجهة المستفيدة  الارتباط المالي الجديد للمشروع او تعديل الكميات حيث أن التكلفة التقديرية كانت اعلى من الارتباط المالي بثلاثه بالمية</t>
  </si>
  <si>
    <t>المشروع اتفاقية اطارية وبمرحلة تنفيذ العقد ولا يوجد متطلب على إدارة التكاليف</t>
  </si>
  <si>
    <t>تم اشراك إدارة التكاليف بالمشروع من  مرحلة تنفيذ العقد ولا يتطلب مخرجات على  إدارة التكاليف</t>
  </si>
  <si>
    <t xml:space="preserve">اخر اجتماع كان بتاريخ 2026/04/26 يوم الاحد وتم تعبئة نموذج الاستخواذ من قبل مدير المشروع والجهة الطالبة </t>
  </si>
  <si>
    <t>تم الغاء الاجتماع</t>
  </si>
  <si>
    <t>محمد الطويرش</t>
  </si>
  <si>
    <t>تم ارسال نموذج LCCEالى مدير المشروع للاطلاع وابداء الملاظات على  LCCE</t>
  </si>
  <si>
    <t>تم تأكيد نموذج LCCE من قبل مدير المشروع بعدم وجود أي ملاحظات</t>
  </si>
  <si>
    <t xml:space="preserve">طلب إضافة بند (الذبائح) ضمن بنود المشروع </t>
  </si>
  <si>
    <t xml:space="preserve">بانتظار رد الجهة المستفيدة على نموذج LCCE  </t>
  </si>
  <si>
    <t xml:space="preserve">تم ارسال نموذج LCCE من مدير المشروع للجهة المستفيدة </t>
  </si>
  <si>
    <t>تم ارسال نموذج LCCE من مدير المشروع للجهة المستفيدة 
تم ارسال ايميل اخر من قبل مدير المشروع للجهة المستفيدة للموظف البديل عن الممثل وذلك بسبب وجود إجازة مرضية مطولة للمثل الجهة المستفيدة السابق.</t>
  </si>
  <si>
    <t xml:space="preserve">تم تزويدنا بملف الأسعار والكميات المتوقعة للمشروع </t>
  </si>
  <si>
    <t xml:space="preserve">تم ارسال ايميل لمدير المشروع  بعدم وجود تفاصيل كافية </t>
  </si>
  <si>
    <t xml:space="preserve">1.	البنود في الورق والرول من (102الى 105) لم يتم ذكر الكميات المطلوبة 
2.	البنود في قطع غيار الصيانة من (296الى 297) لم يتم ذكر تفاصيل كافية لدراسة البند </t>
  </si>
  <si>
    <t xml:space="preserve">تم تزويدنا  بقائمة الافتراضات </t>
  </si>
  <si>
    <t>تم تزويدنا بأتفاقية اطارية جديدة  وبنود جديدة</t>
  </si>
  <si>
    <t>إعادة تعيين اغلب البنود في جداول الكميات</t>
  </si>
  <si>
    <t>تم ارسال ايميل لمدير المشروع بوجود ملاحظات على الكراسة</t>
  </si>
  <si>
    <t xml:space="preserve">تم تزويدنا بالكميات المتوقعة </t>
  </si>
  <si>
    <t xml:space="preserve">مناقشة نموذج LCCE  مع مدير المشروع </t>
  </si>
  <si>
    <t>عدم وجود ملاحظات على النموذج</t>
  </si>
  <si>
    <t>تم المناقشة والمراجعة مع الزميلة منال والموافقة ماجاء في نموذج LCCE</t>
  </si>
  <si>
    <t>تم ارسال LCCE لمدير المشروع</t>
  </si>
  <si>
    <t>تم تزويدنا بأيميل من مدير المشروع بعدم وجود ملاحظات على نموذج LCCE</t>
  </si>
  <si>
    <t>تم استقبال ايميل من قبل مدير المشروع يطلب فية عمل نموذج LCCE  مستقل ان تطلب الامر</t>
  </si>
  <si>
    <t>ارسال لمدير المشروع ايميل بعدم الحاجة الى عمل نموذج LCCE  مستقل</t>
  </si>
  <si>
    <t xml:space="preserve">طلب مدير المشروع عمل TCO  </t>
  </si>
  <si>
    <t xml:space="preserve">تم توضيح من قبل مدير المشروع بعدم وجود أي تكاليف إضافية بعد التواصل مع الجهة المستفيدة </t>
  </si>
  <si>
    <t xml:space="preserve">تم تذكر بان تكلفة LCCE  مساوية لي تكلفة TCO  وذلك لعدم وجود أي تكاليف إضافية </t>
  </si>
  <si>
    <t xml:space="preserve">بانتظار تأييد الجهة المستفيدة لـLCCE </t>
  </si>
  <si>
    <t>تم تأكيد بعدم وجود أي ملاحظات على LCCE  من الجهة المستفيدة</t>
  </si>
  <si>
    <t>باجتماع اليوم كان رد مدير المشروع بان الجهة المستفيدة لا توجد لديها أي ملاحظات على نموذج LCCE  بالإضافة الى عدم وجود أي اختلاف في الارتباط المالي مقارنة بالتكلفة التقديرية الأولية .</t>
  </si>
  <si>
    <t xml:space="preserve">تم استلام الـ ARF من قبل الـ PPP&amp;B وكان لديهم ملاحظات على جودة بعض المدخلات </t>
  </si>
  <si>
    <t>طلب من الجهة المستفيدة مراجعة جودة المدخلات</t>
  </si>
  <si>
    <t>أفاد ممثل الجهة المستفيدة بأنه سيتم إرسال ARF بتاريخ 07-05-2026</t>
  </si>
  <si>
    <t xml:space="preserve">تم شرح دور الجهة المستفيدة في تعبئة نموذج ال ARF </t>
  </si>
  <si>
    <t>تم عقد اجتماع تدريب المفصل للمرحلة القادمة</t>
  </si>
  <si>
    <t xml:space="preserve">تم شرح مخطط الاجرائي رقم 5،6  يوجد خطوتين يكون هناك دور للتكاليف وهي مخطط 6.1.1 + 6.1.2  ، كما ان تم ذكر بوجود ملاحظة بحيث ان اجراء تحديث LCCE قبل خطوة تحديث الامدال بالاظافة الى عدم وجود مسار يوضح إجراءات وخطوات الإدارة العامة للتكاليف </t>
  </si>
  <si>
    <t xml:space="preserve">تم موافقة الجهة المستفيدة على LCCE    </t>
  </si>
  <si>
    <t xml:space="preserve">تم موافقة الجهة المستفيدة على التكلفة وتفاصيل البنود في نموذج LCCE </t>
  </si>
  <si>
    <t xml:space="preserve">تم تحديد نوع الشراء وهي منافسة عامة </t>
  </si>
  <si>
    <t>موافقة إدارة مدير المشروع على تحديد نوع المنافسة وهي منافسة عامة</t>
  </si>
  <si>
    <t>تحديث ملف WBS  من قبل مدير المشروع</t>
  </si>
  <si>
    <t>سيتم حديث ملف WBS  من قبل مدير الشمروع وذلك بسبب ان مسار  المشروع  مدموج بين com &amp; tom معا ، فيتطلب تحديث الجدول الزمني المتوقع للمشروع ليتمشى مع Com قبل ان يتم مشاركة مدير المشروع لإدارته جميع المدخلات لاخذ الموافقة عليها .</t>
  </si>
  <si>
    <t>لم يتم حضور الاجتماع</t>
  </si>
  <si>
    <t>تم حضور ورشة عمل في يوم الثلاثاء والأربعاء  12-13 مايو  بخصوص المرحلة القادمة بعد مايتم عمل إجراءات داخلية بين المستفيد النهائي ومدير المشروع</t>
  </si>
  <si>
    <t>لم يتم بدء دور إدارة التكاليف حتى الآن بناءا على التنسيق مع إدارة المحافظ</t>
  </si>
  <si>
    <t>لم يتم حظور مدير المشروع. 
شرح خطوات تعبئة نموذج استرتيجية التوريد (SOURCING STRATEGY) من قبل مدير المشروع .</t>
  </si>
  <si>
    <t>يوجد نموذج مكون من (19) صفحة لابد من مدير المشروع تعبئته ، ذكروا مدراء المشاريع بالاجتماع بعدم الرضا عن الانموذج وذكر بان بعض البنود ليس من اختصاصهم بالإضافة الى ان النموذج لاينطبق على مشاريع التموين والخدمات ، بالإضافة الى ان النموذج سوف يأثر على وقت سير المشروع والمشاريع المستقبلية. (ذكر ممثل الشركة بانه سوف يتم مناقشة الامر مع الادارة والرد في الاجتماع القادم يوم الخميس).</t>
  </si>
  <si>
    <t>متابعة شرح خطوات تعبئة نموذج استرتيجية التوريد (SOURCING STRATEGY) من قبل مدير المشروع ، ومناقشة الملاحظات</t>
  </si>
  <si>
    <t>لازال مدير المشروع يعمل مع المستفيد النهائي على المتطلبات بالتنسيق مع فريق ديلويت</t>
  </si>
  <si>
    <t>لا يوجد متطلب على إدارة التكاليف حتى الان</t>
  </si>
  <si>
    <t xml:space="preserve">تعبئة نموذج الافتراضات (MDAL) من قبل مدير المشروع للانتقال للخطوات القادمة </t>
  </si>
  <si>
    <t xml:space="preserve">لايوجد أي جراء على مقدر التكلفة </t>
  </si>
  <si>
    <t xml:space="preserve">الان في مرحلة اعداد الكراسة من قبل مدير المشروع </t>
  </si>
  <si>
    <t xml:space="preserve">لازال مدير المشروع يعمل مع المستفيد النهائي على المتطلبات بالتنسيق مع فريق ديلويت </t>
  </si>
  <si>
    <t>حتى الان لم يتم الانتهاء من تعبئة النموذج مع وجود بعض الملاحظات من قبل مدير المشروع على النموذج ومناقشتها .</t>
  </si>
  <si>
    <t xml:space="preserve">لم يتم حظور مدير المشروع </t>
  </si>
  <si>
    <t>حتى الان لم يتم الانتهاء من تعبئة النموذج مع علما بان (3) المشاريع لم يتم الانتهاء من هذه الخطوة ماعدا مشروعه وحد تم الانتهاء من نموذج استراتيجية التوريد.</t>
  </si>
  <si>
    <t>4 - Tender Pack Development</t>
  </si>
  <si>
    <t xml:space="preserve">استكمال تعبئة النموذج </t>
  </si>
  <si>
    <t>حظور مدير المشروع ومناقشة بعض النقاط ، وسوف يقوم ببتعديلات أخيرة وتزود الجهة المستفيدة بالنموذج للمراجعة وابداء الملاحظات او الاعتماد للنتقال للخطوة التالية ، علما بأن تم وضع الاجتماع القادم هو نهاية الفترة المحدده لهذا النموذج ، وتم طلب تزويد ومشاركة فريق السياسات بالملاحظات على النموذج.</t>
  </si>
  <si>
    <t>الانتهاء من تعبئة النوذج، وانتظار الموافقه من قبل المدير المباشر لمدير المشروع</t>
  </si>
  <si>
    <t>تم إعطاء الملاظات النهائية على النموذج من قبل مدير المشروع ، بالاظافة الى ان النموذج لم يتم التسليم الى الان وينتظر اطلاع الإدارة عليه واعطائه الموفقه على المدخلات والملاحظات على نموذج استراتيجية التوريد.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</si>
</sst>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 mmm\ yyyy"/>
  </numFmts>
  <fonts count="19" x14ac:knownFonts="1">
    <font>
      <sz val="11"/>
      <color theme="1"/>
      <name val="Calibri"/>
      <family val="2"/>
      <charset val="1"/>
    </font>
    <font>
      <b/>
      <sz val="11"/>
      <color rgb="FF4A5568"/>
      <name val="Calibri"/>
      <family val="2"/>
    </font>
    <font>
      <sz val="11"/>
      <color rgb="FF1A202C"/>
      <name val="Calibri"/>
      <family val="2"/>
    </font>
    <font>
      <b/>
      <sz val="13"/>
      <color rgb="FFFFFFFF"/>
      <name val="Calibri"/>
      <family val="2"/>
    </font>
    <font>
      <b/>
      <sz val="12"/>
      <color rgb="FF1A202C"/>
      <name val="Calibri"/>
      <family val="2"/>
    </font>
    <font>
      <b/>
      <sz val="11"/>
      <color rgb="FF1A202C"/>
      <name val="Calibri"/>
      <family val="2"/>
    </font>
    <font>
      <b/>
      <sz val="11"/>
      <color rgb="FF1E3A5F"/>
      <name val="Calibri"/>
      <family val="2"/>
    </font>
    <font>
      <b/>
      <sz val="11"/>
      <color rgb="FF1A4731"/>
      <name val="Calibri"/>
      <family val="2"/>
    </font>
    <font>
      <b/>
      <sz val="14"/>
      <color rgb="FFFFFFFF"/>
      <name val="Calibri"/>
      <family val="2"/>
    </font>
    <font>
      <b/>
      <sz val="11"/>
      <color rgb="FFFFFFFF"/>
      <name val="Calibri"/>
      <family val="2"/>
    </font>
    <font>
      <b/>
      <sz val="11"/>
      <color rgb="FF1E3A5F"/>
      <name val="Calibri"/>
      <family val="2"/>
    </font>
    <font>
      <b/>
      <sz val="10"/>
      <color rgb="FF718096"/>
      <name val="Calibri"/>
      <family val="2"/>
    </font>
    <font>
      <b/>
      <sz val="12"/>
      <color rgb="FFFFFFFF"/>
      <name val="Calibri"/>
      <family val="2"/>
    </font>
    <font>
      <b/>
      <sz val="11"/>
      <color rgb="FF1A4731"/>
      <name val="Calibri"/>
      <family val="2"/>
    </font>
    <font>
      <b/>
      <sz val="14"/>
      <color rgb="FFFFFFFF"/>
      <name val="Calibri"/>
      <family val="2"/>
    </font>
    <font>
      <b/>
      <sz val="11"/>
      <color rgb="FF1E3A5F"/>
      <name val="Calibri"/>
      <family val="2"/>
    </font>
    <font>
      <b/>
      <sz val="11"/>
      <color rgb="FF1A202C"/>
      <name val="Calibri"/>
      <family val="2"/>
    </font>
    <font>
      <sz val="8"/>
      <name val="Calibri"/>
      <family val="2"/>
      <charset val="1"/>
    </font>
    <font>
      <sz val="11"/>
      <color rgb="FF1A202C"/>
      <name val="Calibri"/>
      <charset val="1"/>
    </font>
  </fonts>
  <fills count="23">
    <fill>
      <patternFill patternType="none"/>
    </fill>
    <fill>
      <patternFill patternType="gray125"/>
    </fill>
    <fill>
      <patternFill patternType="solid">
        <fgColor rgb="FF2D3748"/>
        <bgColor rgb="FF374151"/>
      </patternFill>
    </fill>
    <fill>
      <patternFill patternType="solid">
        <fgColor rgb="FF4A5568"/>
        <bgColor rgb="FF374151"/>
      </patternFill>
    </fill>
    <fill>
      <patternFill patternType="solid">
        <fgColor rgb="FFFFFFFF"/>
        <bgColor rgb="FFFAFAFA"/>
      </patternFill>
    </fill>
    <fill>
      <patternFill patternType="solid">
        <fgColor rgb="FFFAFAFA"/>
        <bgColor rgb="FFF7FAFC"/>
      </patternFill>
    </fill>
    <fill>
      <patternFill patternType="solid">
        <fgColor rgb="FF1E3A5F"/>
        <bgColor rgb="FF2D3748"/>
      </patternFill>
    </fill>
    <fill>
      <patternFill patternType="solid">
        <fgColor rgb="FF3B82F6"/>
        <bgColor rgb="FF0066CC"/>
      </patternFill>
    </fill>
    <fill>
      <patternFill patternType="solid">
        <fgColor rgb="FFEFF6FF"/>
        <bgColor rgb="FFF3F4F6"/>
      </patternFill>
    </fill>
    <fill>
      <patternFill patternType="solid">
        <fgColor rgb="FFF7FAFC"/>
        <bgColor rgb="FFFAFAFA"/>
      </patternFill>
    </fill>
    <fill>
      <patternFill patternType="solid">
        <fgColor rgb="FF1A4731"/>
        <bgColor rgb="FF2D3748"/>
      </patternFill>
    </fill>
    <fill>
      <patternFill patternType="solid">
        <fgColor rgb="FF34D399"/>
        <bgColor rgb="FF00CCFF"/>
      </patternFill>
    </fill>
    <fill>
      <patternFill patternType="solid">
        <fgColor rgb="FFF0FFF4"/>
        <bgColor rgb="FFF7FAFC"/>
      </patternFill>
    </fill>
    <fill>
      <patternFill patternType="solid">
        <fgColor theme="1" tint="0.14999847407452621"/>
        <bgColor rgb="FF374151"/>
      </patternFill>
    </fill>
    <fill>
      <patternFill patternType="solid">
        <fgColor theme="1" tint="0.14999847407452621"/>
        <bgColor indexed="64"/>
      </patternFill>
    </fill>
    <fill>
      <patternFill patternType="solid">
        <fgColor theme="1" tint="0.249977111117893"/>
        <bgColor rgb="FF374151"/>
      </patternFill>
    </fill>
    <fill>
      <patternFill patternType="solid">
        <fgColor theme="0" tint="-0.14999847407452621"/>
        <bgColor rgb="FF374151"/>
      </patternFill>
    </fill>
    <fill>
      <patternFill patternType="solid">
        <fgColor theme="0" tint="-0.14999847407452621"/>
        <bgColor indexed="64"/>
      </patternFill>
    </fill>
    <fill>
      <patternFill patternType="solid">
        <fgColor rgb="FF008000"/>
        <bgColor indexed="64"/>
      </patternFill>
    </fill>
    <fill>
      <patternFill patternType="solid">
        <fgColor rgb="FFFF0000"/>
        <bgColor indexed="64"/>
      </patternFill>
    </fill>
    <fill>
      <patternFill patternType="solid">
        <fgColor rgb="FFFFC000"/>
        <bgColor indexed="64"/>
      </patternFill>
    </fill>
    <fill>
      <patternFill patternType="solid">
        <fgColor theme="0" tint="-0.34998626667073579"/>
        <bgColor indexed="64"/>
      </patternFill>
    </fill>
    <fill>
      <patternFill patternType="solid">
        <fgColor theme="3" tint="0.39997558519241921"/>
        <bgColor indexed="64"/>
      </patternFill>
    </fill>
  </fills>
  <borders count="11">
    <border>
      <left/>
      <right/>
      <top/>
      <bottom/>
      <diagonal/>
    </border>
    <border>
      <left style="thin">
        <color rgb="FFE2E8F0"/>
      </left>
      <right style="thin">
        <color rgb="FFE2E8F0"/>
      </right>
      <top style="thin">
        <color rgb="FFE2E8F0"/>
      </top>
      <bottom style="thin">
        <color rgb="FFE2E8F0"/>
      </bottom>
      <diagonal/>
    </border>
    <border>
      <left/>
      <right/>
      <top style="thin">
        <color rgb="FFE2E8F0"/>
      </top>
      <bottom style="thin">
        <color rgb="FFE2E8F0"/>
      </bottom>
      <diagonal/>
    </border>
    <border>
      <left/>
      <right style="thin">
        <color rgb="FFE2E8F0"/>
      </right>
      <top style="thin">
        <color rgb="FFE2E8F0"/>
      </top>
      <bottom style="thin">
        <color rgb="FFE2E8F0"/>
      </bottom>
      <diagonal/>
    </border>
    <border>
      <left style="thin">
        <color rgb="FFE2E8F0"/>
      </left>
      <right/>
      <top/>
      <bottom style="thin">
        <color rgb="FFE2E8F0"/>
      </bottom>
      <diagonal/>
    </border>
    <border>
      <left/>
      <right/>
      <top/>
      <bottom style="thin">
        <color rgb="FFE2E8F0"/>
      </bottom>
      <diagonal/>
    </border>
    <border>
      <left style="thin">
        <color rgb="FFE2E8F0"/>
      </left>
      <right/>
      <top style="thin">
        <color rgb="FFE2E8F0"/>
      </top>
      <bottom style="thin">
        <color rgb="FFE2E8F0"/>
      </bottom>
      <diagonal/>
    </border>
    <border>
      <left style="thin">
        <color indexed="64"/>
      </left>
      <right style="thin">
        <color indexed="64"/>
      </right>
      <top style="thin">
        <color indexed="64"/>
      </top>
      <bottom style="thin">
        <color indexed="64"/>
      </bottom>
      <diagonal/>
    </border>
    <border>
      <left style="thin">
        <color rgb="FFE2E8F0"/>
      </left>
      <right style="thin">
        <color rgb="FFE2E8F0"/>
      </right>
      <top/>
      <bottom/>
      <diagonal/>
    </border>
    <border>
      <left style="thin">
        <color rgb="FFE2E8F0"/>
      </left>
      <right/>
      <top/>
      <bottom/>
      <diagonal/>
    </border>
    <border>
      <left style="thin">
        <color rgb="FFE2E8F0"/>
      </left>
      <right style="thin">
        <color rgb="FFE2E8F0"/>
      </right>
      <top style="thin">
        <color rgb="FFE2E8F0"/>
      </top>
      <bottom/>
      <diagonal/>
    </border>
  </borders>
  <cellStyleXfs count="1">
    <xf numFmtId="0" fontId="0" fillId="0" borderId="0"/>
  </cellStyleXfs>
  <cellXfs count="127">
    <xf numFmtId="0" fontId="0" fillId="0" borderId="0" xfId="0" applyAlignment="1"/>
    <xf numFmtId="0" fontId="0" fillId="0" borderId="0" xfId="0" applyAlignment="1"/>
    <xf numFmtId="0" fontId="0" fillId="3" borderId="0" xfId="0" applyFill="1" applyAlignment="1"/>
    <xf numFmtId="0" fontId="1" fillId="5" borderId="1" xfId="0" applyFont="1" applyFill="1" applyBorder="1" applyAlignment="1">
      <alignment horizontal="center" vertical="center"/>
    </xf>
    <xf numFmtId="0" fontId="2" fillId="5" borderId="1" xfId="0" applyFont="1" applyFill="1" applyBorder="1" applyAlignment="1">
      <alignment horizontal="right" vertical="center" wrapText="1"/>
    </xf>
    <xf numFmtId="0" fontId="2" fillId="5" borderId="1" xfId="0" applyFont="1" applyFill="1" applyBorder="1" applyAlignment="1">
      <alignment horizontal="center" vertical="center"/>
    </xf>
    <xf numFmtId="164" fontId="2" fillId="5" borderId="1" xfId="0" applyNumberFormat="1" applyFont="1" applyFill="1" applyBorder="1" applyAlignment="1">
      <alignment horizontal="center" vertical="center"/>
    </xf>
    <xf numFmtId="0" fontId="1" fillId="4" borderId="1" xfId="0" applyFont="1" applyFill="1" applyBorder="1" applyAlignment="1">
      <alignment horizontal="center" vertical="center"/>
    </xf>
    <xf numFmtId="0" fontId="2" fillId="4" borderId="1" xfId="0" applyFont="1" applyFill="1" applyBorder="1" applyAlignment="1">
      <alignment horizontal="right" vertical="center" wrapText="1"/>
    </xf>
    <xf numFmtId="0" fontId="2" fillId="4" borderId="1" xfId="0" applyFont="1" applyFill="1" applyBorder="1" applyAlignment="1">
      <alignment horizontal="right" vertical="center"/>
    </xf>
    <xf numFmtId="0" fontId="2" fillId="4" borderId="1" xfId="0" applyFont="1" applyFill="1" applyBorder="1" applyAlignment="1">
      <alignment horizontal="center" vertical="center"/>
    </xf>
    <xf numFmtId="164" fontId="2" fillId="4" borderId="1" xfId="0" applyNumberFormat="1" applyFont="1" applyFill="1" applyBorder="1" applyAlignment="1">
      <alignment horizontal="center" vertical="center"/>
    </xf>
    <xf numFmtId="0" fontId="0" fillId="7" borderId="0" xfId="0" applyFill="1" applyAlignment="1"/>
    <xf numFmtId="0" fontId="11" fillId="9" borderId="1" xfId="0" applyFont="1" applyFill="1" applyBorder="1" applyAlignment="1">
      <alignment horizontal="right" vertical="center"/>
    </xf>
    <xf numFmtId="0" fontId="5" fillId="4" borderId="1" xfId="0" applyFont="1" applyFill="1" applyBorder="1" applyAlignment="1">
      <alignment horizontal="center" vertical="center"/>
    </xf>
    <xf numFmtId="0" fontId="9" fillId="6" borderId="1" xfId="0" applyFont="1" applyFill="1" applyBorder="1" applyAlignment="1">
      <alignment horizontal="center" vertical="center"/>
    </xf>
    <xf numFmtId="0" fontId="6" fillId="8" borderId="1" xfId="0" applyFont="1" applyFill="1" applyBorder="1" applyAlignment="1">
      <alignment horizontal="center" vertical="center"/>
    </xf>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0" fillId="11" borderId="0" xfId="0" applyFill="1" applyAlignment="1"/>
    <xf numFmtId="0" fontId="9" fillId="10" borderId="1" xfId="0" applyFont="1" applyFill="1" applyBorder="1" applyAlignment="1">
      <alignment horizontal="center" vertical="center"/>
    </xf>
    <xf numFmtId="0" fontId="7" fillId="12" borderId="1" xfId="0" applyFont="1" applyFill="1" applyBorder="1" applyAlignment="1">
      <alignment horizontal="center" vertical="center"/>
    </xf>
    <xf numFmtId="14" fontId="2" fillId="4" borderId="1" xfId="0" applyNumberFormat="1" applyFont="1" applyFill="1" applyBorder="1" applyAlignment="1">
      <alignment horizontal="center" vertical="center"/>
    </xf>
    <xf numFmtId="14" fontId="2" fillId="5" borderId="1" xfId="0" applyNumberFormat="1" applyFont="1" applyFill="1" applyBorder="1" applyAlignment="1">
      <alignment horizontal="center" vertical="center"/>
    </xf>
    <xf numFmtId="14" fontId="0" fillId="0" borderId="0" xfId="0" applyNumberFormat="1" applyAlignment="1"/>
    <xf numFmtId="0" fontId="15" fillId="8" borderId="7" xfId="0" applyFont="1" applyFill="1" applyBorder="1" applyAlignment="1">
      <alignment vertical="center"/>
    </xf>
    <xf numFmtId="14" fontId="4" fillId="4" borderId="7" xfId="0" applyNumberFormat="1" applyFont="1" applyFill="1" applyBorder="1" applyAlignment="1">
      <alignment vertical="center"/>
    </xf>
    <xf numFmtId="0" fontId="10" fillId="8" borderId="7" xfId="0" applyFont="1" applyFill="1" applyBorder="1" applyAlignment="1">
      <alignment vertical="center"/>
    </xf>
    <xf numFmtId="0" fontId="13" fillId="12" borderId="7" xfId="0" applyFont="1" applyFill="1" applyBorder="1" applyAlignment="1">
      <alignment horizontal="right" vertical="center"/>
    </xf>
    <xf numFmtId="0" fontId="9" fillId="13" borderId="1" xfId="0" applyFont="1" applyFill="1" applyBorder="1" applyAlignment="1">
      <alignment horizontal="center" vertical="center"/>
    </xf>
    <xf numFmtId="0" fontId="9" fillId="15" borderId="8" xfId="0" applyFont="1" applyFill="1" applyBorder="1" applyAlignment="1">
      <alignment horizontal="center" vertical="center"/>
    </xf>
    <xf numFmtId="0" fontId="0" fillId="16" borderId="0" xfId="0" applyFill="1" applyAlignment="1"/>
    <xf numFmtId="0" fontId="0" fillId="17" borderId="0" xfId="0" applyFill="1" applyAlignment="1"/>
    <xf numFmtId="0" fontId="0" fillId="18" borderId="0" xfId="0" applyFill="1" applyAlignment="1"/>
    <xf numFmtId="0" fontId="0" fillId="19" borderId="0" xfId="0" applyFill="1" applyAlignment="1"/>
    <xf numFmtId="0" fontId="0" fillId="20" borderId="0" xfId="0" applyFill="1" applyAlignment="1"/>
    <xf numFmtId="0" fontId="0" fillId="21" borderId="0" xfId="0" applyFill="1" applyAlignment="1"/>
    <xf numFmtId="0" fontId="0" fillId="3" borderId="7" xfId="0" applyFill="1" applyBorder="1" applyAlignment="1"/>
    <xf numFmtId="0" fontId="9" fillId="2" borderId="7" xfId="0" applyFont="1" applyFill="1" applyBorder="1" applyAlignment="1">
      <alignment horizontal="center" vertical="center"/>
    </xf>
    <xf numFmtId="0" fontId="2" fillId="4" borderId="7" xfId="0" applyNumberFormat="1" applyFont="1" applyFill="1" applyBorder="1" applyAlignment="1">
      <alignment horizontal="center" vertical="center"/>
    </xf>
    <xf numFmtId="0" fontId="2" fillId="4" borderId="7" xfId="0" applyFont="1" applyFill="1" applyBorder="1" applyAlignment="1">
      <alignment horizontal="center" vertical="center" wrapText="1"/>
    </xf>
    <xf numFmtId="0" fontId="5" fillId="4" borderId="7" xfId="0" applyFont="1" applyFill="1" applyBorder="1" applyAlignment="1">
      <alignment horizontal="center" vertical="center"/>
    </xf>
    <xf numFmtId="0" fontId="2" fillId="4" borderId="7" xfId="0" applyFont="1" applyFill="1" applyBorder="1" applyAlignment="1">
      <alignment horizontal="center" vertical="center"/>
    </xf>
    <xf numFmtId="0" fontId="0" fillId="0" borderId="7" xfId="0" applyBorder="1" applyAlignment="1"/>
    <xf numFmtId="0" fontId="2" fillId="5" borderId="7" xfId="0" applyNumberFormat="1" applyFont="1" applyFill="1" applyBorder="1" applyAlignment="1">
      <alignment horizontal="center" vertical="center"/>
    </xf>
    <xf numFmtId="0" fontId="2" fillId="5" borderId="7" xfId="0" applyFont="1" applyFill="1" applyBorder="1" applyAlignment="1">
      <alignment horizontal="center" vertical="center" wrapText="1"/>
    </xf>
    <xf numFmtId="0" fontId="5" fillId="5" borderId="7" xfId="0" applyFont="1" applyFill="1" applyBorder="1" applyAlignment="1">
      <alignment horizontal="center" vertical="center"/>
    </xf>
    <xf numFmtId="0" fontId="2" fillId="5" borderId="7" xfId="0" applyFont="1" applyFill="1" applyBorder="1" applyAlignment="1">
      <alignment horizontal="center" vertical="center"/>
    </xf>
    <xf numFmtId="0" fontId="2" fillId="4" borderId="7" xfId="0" applyFont="1" applyFill="1" applyBorder="1" applyAlignment="1">
      <alignment horizontal="right" vertical="center" wrapText="1"/>
    </xf>
    <xf numFmtId="0" fontId="2" fillId="4" borderId="7" xfId="0" applyFont="1" applyFill="1" applyBorder="1" applyAlignment="1">
      <alignment horizontal="right" vertical="center"/>
    </xf>
    <xf numFmtId="0" fontId="2" fillId="5" borderId="7" xfId="0" applyFont="1" applyFill="1" applyBorder="1" applyAlignment="1">
      <alignment horizontal="right" vertical="center" wrapText="1"/>
    </xf>
    <xf numFmtId="0" fontId="2" fillId="5" borderId="7" xfId="0" applyFont="1" applyFill="1" applyBorder="1" applyAlignment="1">
      <alignment horizontal="right" vertical="center"/>
    </xf>
    <xf numFmtId="0" fontId="0" fillId="22" borderId="0" xfId="0" applyFill="1" applyAlignment="1"/>
    <xf numFmtId="0" fontId="16" fillId="5" borderId="7" xfId="0" applyFont="1" applyFill="1" applyBorder="1" applyAlignment="1">
      <alignment horizontal="center" vertical="center"/>
    </xf>
    <xf numFmtId="0" fontId="9" fillId="15" borderId="10" xfId="0" applyFont="1" applyFill="1" applyBorder="1" applyAlignment="1">
      <alignment horizontal="center" vertical="center"/>
    </xf>
    <xf numFmtId="0" fontId="2" fillId="4" borderId="1" xfId="0" applyFont="1" applyFill="1" applyBorder="1" applyAlignment="1">
      <alignment horizontal="right" vertical="center" wrapText="1"/>
    </xf>
    <xf numFmtId="14" fontId="4" fillId="4" borderId="7" xfId="0" applyNumberFormat="1" applyFont="1" applyFill="1" applyBorder="1" applyAlignment="1">
      <alignment horizontal="center" vertical="center"/>
    </xf>
    <xf numFmtId="0" fontId="2" fillId="5" borderId="1" xfId="0" applyFont="1" applyFill="1" applyBorder="1" applyAlignment="1">
      <alignment horizontal="right" vertical="center" wrapText="1"/>
    </xf>
    <xf numFmtId="164" fontId="2" fillId="5" borderId="1" xfId="0" applyNumberFormat="1" applyFont="1" applyFill="1" applyBorder="1" applyAlignment="1">
      <alignment horizontal="center" vertical="center"/>
    </xf>
    <xf numFmtId="0" fontId="2" fillId="4" borderId="1" xfId="0" applyFont="1" applyFill="1" applyBorder="1" applyAlignment="1">
      <alignment horizontal="right" vertical="center" wrapText="1"/>
    </xf>
    <xf numFmtId="164" fontId="2" fillId="4" borderId="1" xfId="0" applyNumberFormat="1" applyFont="1" applyFill="1" applyBorder="1" applyAlignment="1">
      <alignment horizontal="center" vertical="center"/>
    </xf>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5" fillId="4" borderId="1" xfId="0" applyFont="1" applyFill="1" applyBorder="1" applyAlignment="1">
      <alignment horizontal="center" vertical="center"/>
    </xf>
    <xf numFmtId="164" fontId="2" fillId="5" borderId="1" xfId="0" applyNumberFormat="1" applyFont="1" applyFill="1" applyBorder="1" applyAlignment="1">
      <alignment horizontal="center" vertical="center"/>
    </xf>
    <xf numFmtId="164" fontId="2" fillId="4" borderId="1" xfId="0" applyNumberFormat="1" applyFont="1" applyFill="1" applyBorder="1" applyAlignment="1">
      <alignment horizontal="center" vertical="center"/>
    </xf>
    <xf numFmtId="0" fontId="0" fillId="14" borderId="0" xfId="0" applyFill="1" applyAlignment="1"/>
    <xf numFmtId="0" fontId="9" fillId="13" borderId="0" xfId="0" applyFont="1" applyFill="1" applyBorder="1" applyAlignment="1">
      <alignment horizontal="center" vertical="center"/>
    </xf>
    <xf numFmtId="0" fontId="0" fillId="0" borderId="0" xfId="0" applyAlignment="1">
      <alignment horizontal="center" vertical="center"/>
    </xf>
    <xf numFmtId="0" fontId="2" fillId="4" borderId="1" xfId="0" applyFont="1" applyFill="1" applyBorder="1" applyAlignment="1">
      <alignment horizontal="right" vertical="center" wrapText="1"/>
    </xf>
    <xf numFmtId="164" fontId="18" fillId="4" borderId="1" xfId="0" applyNumberFormat="1" applyFont="1" applyFill="1" applyBorder="1" applyAlignment="1">
      <alignment horizontal="center" vertical="center"/>
    </xf>
    <xf numFmtId="0" fontId="18" fillId="4" borderId="1" xfId="0" applyFont="1" applyFill="1" applyBorder="1" applyAlignment="1">
      <alignment horizontal="center" vertical="center" wrapText="1"/>
    </xf>
    <xf numFmtId="0" fontId="18" fillId="4" borderId="1" xfId="0" applyFont="1" applyFill="1" applyBorder="1" applyAlignment="1">
      <alignment horizontal="right" vertical="center" wrapText="1"/>
    </xf>
    <xf numFmtId="0" fontId="18" fillId="5" borderId="1" xfId="0" applyFont="1" applyFill="1" applyBorder="1" applyAlignment="1">
      <alignment horizontal="center" vertical="center" wrapText="1"/>
    </xf>
    <xf numFmtId="0" fontId="18" fillId="5" borderId="1" xfId="0" applyFont="1" applyFill="1" applyBorder="1" applyAlignment="1">
      <alignment horizontal="right" vertical="center" wrapText="1"/>
    </xf>
    <xf numFmtId="164" fontId="18" fillId="5" borderId="1" xfId="0" applyNumberFormat="1" applyFont="1" applyFill="1" applyBorder="1" applyAlignment="1">
      <alignment horizontal="center" vertical="center"/>
    </xf>
    <xf numFmtId="164" fontId="2" fillId="5" borderId="1" xfId="0" applyNumberFormat="1" applyFont="1" applyFill="1" applyBorder="1" applyAlignment="1">
      <alignment horizontal="center" vertical="center" wrapText="1"/>
    </xf>
    <xf numFmtId="164" fontId="2" fillId="4" borderId="1" xfId="0" applyNumberFormat="1" applyFont="1" applyFill="1" applyBorder="1" applyAlignment="1">
      <alignment horizontal="center" vertical="center" wrapText="1"/>
    </xf>
    <xf numFmtId="0" fontId="0" fillId="3" borderId="0" xfId="0" applyFill="1" applyAlignment="1">
      <alignment horizontal="center"/>
    </xf>
    <xf numFmtId="0" fontId="0" fillId="0" borderId="0" xfId="0" applyAlignment="1">
      <alignment horizontal="center"/>
    </xf>
    <xf numFmtId="0" fontId="2" fillId="4" borderId="1" xfId="0" applyFont="1" applyFill="1" applyBorder="1" applyAlignment="1">
      <alignment horizontal="right" vertical="center" wrapText="1"/>
    </xf>
    <xf numFmtId="0" fontId="2" fillId="4" borderId="1" xfId="0" applyFont="1" applyFill="1" applyBorder="1" applyAlignment="1">
      <alignment horizontal="right" vertical="center" wrapText="1"/>
    </xf>
    <xf numFmtId="0" fontId="18" fillId="4" borderId="1" xfId="0" applyFont="1" applyFill="1" applyBorder="1" applyAlignment="1">
      <alignment horizontal="right" vertical="center" wrapText="1"/>
    </xf>
    <xf numFmtId="164" fontId="18" fillId="4" borderId="1" xfId="0" applyNumberFormat="1" applyFont="1" applyFill="1" applyBorder="1" applyAlignment="1">
      <alignment horizontal="center" vertical="center"/>
    </xf>
    <xf numFmtId="0" fontId="18" fillId="5" borderId="1" xfId="0" applyFont="1" applyFill="1" applyBorder="1" applyAlignment="1">
      <alignment horizontal="center" vertical="center" wrapText="1"/>
    </xf>
    <xf numFmtId="0" fontId="18" fillId="5" borderId="1" xfId="0" applyFont="1" applyFill="1" applyBorder="1" applyAlignment="1">
      <alignment horizontal="right" vertical="center" wrapText="1"/>
    </xf>
    <xf numFmtId="164" fontId="18" fillId="4" borderId="1" xfId="0" applyNumberFormat="1" applyFont="1" applyFill="1" applyBorder="1" applyAlignment="1">
      <alignment horizontal="center" vertical="center"/>
    </xf>
    <xf numFmtId="0" fontId="18" fillId="5" borderId="1" xfId="0" applyFont="1" applyFill="1" applyBorder="1" applyAlignment="1">
      <alignment horizontal="center" vertical="center" wrapText="1"/>
    </xf>
    <xf numFmtId="0" fontId="18" fillId="4" borderId="1" xfId="0" applyFont="1" applyFill="1" applyBorder="1" applyAlignment="1">
      <alignment horizontal="right" vertical="center" wrapText="1"/>
    </xf>
    <xf numFmtId="164" fontId="18" fillId="4" borderId="1" xfId="0" applyNumberFormat="1" applyFont="1" applyFill="1" applyBorder="1" applyAlignment="1">
      <alignment horizontal="center" vertical="center"/>
    </xf>
    <xf numFmtId="0" fontId="18" fillId="4" borderId="1" xfId="0" applyFont="1" applyFill="1" applyBorder="1" applyAlignment="1">
      <alignment horizontal="center" vertical="center" wrapText="1"/>
    </xf>
    <xf numFmtId="0" fontId="18" fillId="5" borderId="1" xfId="0" applyFont="1" applyFill="1" applyBorder="1" applyAlignment="1">
      <alignment horizontal="center" vertical="center" wrapText="1"/>
    </xf>
    <xf numFmtId="0" fontId="2" fillId="4" borderId="1" xfId="0" applyFont="1" applyFill="1" applyBorder="1" applyAlignment="1">
      <alignment horizontal="right" vertical="center" wrapText="1"/>
    </xf>
    <xf numFmtId="0" fontId="2" fillId="5" borderId="1" xfId="0" applyFont="1" applyFill="1" applyBorder="1" applyAlignment="1">
      <alignment horizontal="right" vertical="center" wrapText="1"/>
    </xf>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5" borderId="1" xfId="0" applyFont="1" applyFill="1" applyBorder="1" applyAlignment="1">
      <alignment horizontal="right" vertical="center" wrapText="1"/>
    </xf>
    <xf numFmtId="164" fontId="2" fillId="5" borderId="1" xfId="0" applyNumberFormat="1" applyFont="1" applyFill="1" applyBorder="1" applyAlignment="1">
      <alignment horizontal="center" vertical="center"/>
    </xf>
    <xf numFmtId="0" fontId="2" fillId="4" borderId="1" xfId="0" applyFont="1" applyFill="1" applyBorder="1" applyAlignment="1">
      <alignment horizontal="right" vertical="center" wrapText="1"/>
    </xf>
    <xf numFmtId="164" fontId="2" fillId="4" borderId="1" xfId="0" applyNumberFormat="1" applyFont="1" applyFill="1" applyBorder="1" applyAlignment="1">
      <alignment horizontal="center" vertical="center"/>
    </xf>
    <xf numFmtId="0" fontId="5" fillId="4" borderId="1" xfId="0" applyFont="1" applyFill="1" applyBorder="1" applyAlignment="1">
      <alignment horizontal="center" vertical="center"/>
    </xf>
    <xf numFmtId="0" fontId="2" fillId="5" borderId="1" xfId="0" applyFont="1" applyFill="1" applyBorder="1" applyAlignment="1">
      <alignment horizontal="center" vertical="center" wrapText="1"/>
    </xf>
    <xf numFmtId="0" fontId="18" fillId="5" borderId="1" xfId="0" applyFont="1" applyFill="1" applyBorder="1" applyAlignment="1">
      <alignment horizontal="center" vertical="center" wrapText="1"/>
    </xf>
    <xf numFmtId="0" fontId="18" fillId="5" borderId="1" xfId="0" applyFont="1" applyFill="1" applyBorder="1" applyAlignment="1">
      <alignment horizontal="right" vertical="center" wrapText="1"/>
    </xf>
    <xf numFmtId="0" fontId="2" fillId="4" borderId="1" xfId="0" applyFont="1" applyFill="1" applyBorder="1" applyAlignment="1">
      <alignment horizontal="right" vertical="center" wrapText="1"/>
    </xf>
    <xf numFmtId="0" fontId="14" fillId="13" borderId="0" xfId="0" applyFont="1" applyFill="1" applyAlignment="1">
      <alignment horizontal="center" vertical="center"/>
    </xf>
    <xf numFmtId="0" fontId="0" fillId="14" borderId="0" xfId="0" applyFill="1" applyAlignment="1"/>
    <xf numFmtId="0" fontId="8" fillId="2" borderId="7" xfId="0" applyFont="1" applyFill="1" applyBorder="1" applyAlignment="1">
      <alignment horizontal="center" vertical="center"/>
    </xf>
    <xf numFmtId="0" fontId="8" fillId="15" borderId="9" xfId="0" applyFont="1" applyFill="1" applyBorder="1" applyAlignment="1">
      <alignment horizontal="center" vertical="center"/>
    </xf>
    <xf numFmtId="0" fontId="8" fillId="15" borderId="0" xfId="0" applyFont="1" applyFill="1" applyBorder="1" applyAlignment="1">
      <alignment horizontal="center" vertical="center"/>
    </xf>
    <xf numFmtId="0" fontId="12" fillId="6" borderId="4" xfId="0" applyFont="1" applyFill="1" applyBorder="1" applyAlignment="1">
      <alignment horizontal="center" vertical="center"/>
    </xf>
    <xf numFmtId="0" fontId="12" fillId="6" borderId="5" xfId="0" applyFont="1" applyFill="1" applyBorder="1" applyAlignment="1">
      <alignment horizontal="center" vertical="center"/>
    </xf>
    <xf numFmtId="0" fontId="2" fillId="4" borderId="6" xfId="0" applyNumberFormat="1" applyFont="1" applyFill="1" applyBorder="1" applyAlignment="1">
      <alignment horizontal="right" vertical="center" wrapText="1"/>
    </xf>
    <xf numFmtId="0" fontId="2" fillId="4" borderId="2" xfId="0" applyNumberFormat="1" applyFont="1" applyFill="1" applyBorder="1" applyAlignment="1">
      <alignment horizontal="right" vertical="center" wrapText="1"/>
    </xf>
    <xf numFmtId="0" fontId="3" fillId="6" borderId="1" xfId="0" applyFont="1" applyFill="1" applyBorder="1" applyAlignment="1">
      <alignment horizontal="center" vertical="center"/>
    </xf>
    <xf numFmtId="0" fontId="0" fillId="0" borderId="2" xfId="0" applyBorder="1"/>
    <xf numFmtId="0" fontId="0" fillId="0" borderId="3" xfId="0" applyBorder="1"/>
    <xf numFmtId="0" fontId="2" fillId="4" borderId="1" xfId="0" applyFont="1" applyFill="1" applyBorder="1" applyAlignment="1">
      <alignment horizontal="right" vertical="center" wrapText="1"/>
    </xf>
    <xf numFmtId="0" fontId="10" fillId="8" borderId="1" xfId="0" applyFont="1" applyFill="1" applyBorder="1" applyAlignment="1">
      <alignment horizontal="right" vertical="center"/>
    </xf>
    <xf numFmtId="0" fontId="4" fillId="4" borderId="1" xfId="0" applyFont="1" applyFill="1" applyBorder="1" applyAlignment="1">
      <alignment horizontal="right" vertical="center"/>
    </xf>
    <xf numFmtId="14" fontId="2" fillId="4" borderId="1" xfId="0" applyNumberFormat="1" applyFont="1" applyFill="1" applyBorder="1" applyAlignment="1">
      <alignment horizontal="right" vertical="center" wrapText="1"/>
    </xf>
    <xf numFmtId="14" fontId="0" fillId="0" borderId="2" xfId="0" applyNumberFormat="1" applyBorder="1"/>
    <xf numFmtId="14" fontId="0" fillId="0" borderId="3" xfId="0" applyNumberFormat="1" applyBorder="1"/>
    <xf numFmtId="0" fontId="12" fillId="10" borderId="4" xfId="0" applyFont="1" applyFill="1" applyBorder="1" applyAlignment="1">
      <alignment horizontal="center" vertical="center"/>
    </xf>
    <xf numFmtId="0" fontId="12" fillId="10" borderId="5" xfId="0" applyFont="1" applyFill="1" applyBorder="1" applyAlignment="1">
      <alignment horizontal="center" vertical="center"/>
    </xf>
    <xf numFmtId="0" fontId="3" fillId="10" borderId="1" xfId="0" applyFont="1" applyFill="1" applyBorder="1" applyAlignment="1">
      <alignment horizontal="center" vertical="center"/>
    </xf>
    <xf numFmtId="0" fontId="13" fillId="12" borderId="1" xfId="0" applyFont="1" applyFill="1" applyBorder="1" applyAlignment="1">
      <alignment horizontal="right" vertical="center"/>
    </xf>
  </cellXfs>
  <cellStyles count="1">
    <cellStyle name="Normal" xfId="0" builtinId="0"/>
  </cellStyles>
  <dxfs count="60">
    <dxf>
      <fill>
        <patternFill>
          <bgColor rgb="FF008000"/>
        </patternFill>
      </fill>
    </dxf>
    <dxf>
      <fill>
        <patternFill>
          <bgColor rgb="FF002060"/>
        </patternFill>
      </fill>
    </dxf>
    <dxf>
      <fill>
        <patternFill>
          <bgColor rgb="FFFF0000"/>
        </patternFill>
      </fill>
    </dxf>
    <dxf>
      <fill>
        <patternFill>
          <bgColor rgb="FFFFC000"/>
        </patternFill>
      </fill>
    </dxf>
    <dxf>
      <fill>
        <patternFill>
          <bgColor theme="4"/>
        </patternFill>
      </fill>
    </dxf>
    <dxf>
      <fill>
        <patternFill>
          <bgColor rgb="FF008000"/>
        </patternFill>
      </fill>
    </dxf>
    <dxf>
      <fill>
        <patternFill>
          <bgColor rgb="FF002060"/>
        </patternFill>
      </fill>
    </dxf>
    <dxf>
      <fill>
        <patternFill>
          <bgColor rgb="FFFF0000"/>
        </patternFill>
      </fill>
    </dxf>
    <dxf>
      <fill>
        <patternFill>
          <bgColor rgb="FFFFC000"/>
        </patternFill>
      </fill>
    </dxf>
    <dxf>
      <fill>
        <patternFill>
          <bgColor theme="4"/>
        </patternFill>
      </fill>
    </dxf>
    <dxf>
      <fill>
        <patternFill>
          <bgColor rgb="FF008000"/>
        </patternFill>
      </fill>
    </dxf>
    <dxf>
      <fill>
        <patternFill>
          <bgColor rgb="FF002060"/>
        </patternFill>
      </fill>
    </dxf>
    <dxf>
      <fill>
        <patternFill>
          <bgColor rgb="FFFF0000"/>
        </patternFill>
      </fill>
    </dxf>
    <dxf>
      <fill>
        <patternFill>
          <bgColor rgb="FFFFC000"/>
        </patternFill>
      </fill>
    </dxf>
    <dxf>
      <fill>
        <patternFill>
          <bgColor theme="4"/>
        </patternFill>
      </fill>
    </dxf>
    <dxf>
      <fill>
        <patternFill>
          <bgColor rgb="FF008000"/>
        </patternFill>
      </fill>
    </dxf>
    <dxf>
      <fill>
        <patternFill>
          <bgColor rgb="FF002060"/>
        </patternFill>
      </fill>
    </dxf>
    <dxf>
      <fill>
        <patternFill>
          <bgColor rgb="FFFF0000"/>
        </patternFill>
      </fill>
    </dxf>
    <dxf>
      <fill>
        <patternFill>
          <bgColor rgb="FFFFC000"/>
        </patternFill>
      </fill>
    </dxf>
    <dxf>
      <fill>
        <patternFill>
          <bgColor theme="4"/>
        </patternFill>
      </fill>
    </dxf>
    <dxf>
      <fill>
        <patternFill>
          <bgColor rgb="FF008000"/>
        </patternFill>
      </fill>
    </dxf>
    <dxf>
      <fill>
        <patternFill>
          <bgColor rgb="FF002060"/>
        </patternFill>
      </fill>
    </dxf>
    <dxf>
      <fill>
        <patternFill>
          <bgColor rgb="FFFF0000"/>
        </patternFill>
      </fill>
    </dxf>
    <dxf>
      <fill>
        <patternFill>
          <bgColor rgb="FFFFC000"/>
        </patternFill>
      </fill>
    </dxf>
    <dxf>
      <fill>
        <patternFill>
          <bgColor rgb="FF008000"/>
        </patternFill>
      </fill>
    </dxf>
    <dxf>
      <fill>
        <patternFill>
          <bgColor rgb="FF002060"/>
        </patternFill>
      </fill>
    </dxf>
    <dxf>
      <fill>
        <patternFill>
          <bgColor rgb="FFFF0000"/>
        </patternFill>
      </fill>
    </dxf>
    <dxf>
      <fill>
        <patternFill>
          <bgColor rgb="FFFFC000"/>
        </patternFill>
      </fill>
    </dxf>
    <dxf>
      <fill>
        <patternFill>
          <bgColor theme="4"/>
        </patternFill>
      </fill>
    </dxf>
    <dxf>
      <fill>
        <patternFill>
          <bgColor theme="4"/>
        </patternFill>
      </fill>
    </dxf>
    <dxf>
      <fill>
        <patternFill>
          <bgColor rgb="FF008000"/>
        </patternFill>
      </fill>
    </dxf>
    <dxf>
      <fill>
        <patternFill>
          <bgColor rgb="FF002060"/>
        </patternFill>
      </fill>
    </dxf>
    <dxf>
      <fill>
        <patternFill>
          <bgColor rgb="FFFF0000"/>
        </patternFill>
      </fill>
    </dxf>
    <dxf>
      <fill>
        <patternFill>
          <bgColor rgb="FFFFC000"/>
        </patternFill>
      </fill>
    </dxf>
    <dxf>
      <fill>
        <patternFill>
          <bgColor theme="4"/>
        </patternFill>
      </fill>
    </dxf>
    <dxf>
      <fill>
        <patternFill>
          <bgColor rgb="FF008000"/>
        </patternFill>
      </fill>
    </dxf>
    <dxf>
      <fill>
        <patternFill>
          <bgColor rgb="FF002060"/>
        </patternFill>
      </fill>
    </dxf>
    <dxf>
      <fill>
        <patternFill>
          <bgColor rgb="FFFF0000"/>
        </patternFill>
      </fill>
    </dxf>
    <dxf>
      <fill>
        <patternFill>
          <bgColor rgb="FFFFC000"/>
        </patternFill>
      </fill>
    </dxf>
    <dxf>
      <fill>
        <patternFill>
          <bgColor rgb="FF008000"/>
        </patternFill>
      </fill>
    </dxf>
    <dxf>
      <fill>
        <patternFill>
          <bgColor rgb="FF002060"/>
        </patternFill>
      </fill>
    </dxf>
    <dxf>
      <fill>
        <patternFill>
          <bgColor rgb="FFFF0000"/>
        </patternFill>
      </fill>
    </dxf>
    <dxf>
      <fill>
        <patternFill>
          <bgColor rgb="FFFFC000"/>
        </patternFill>
      </fill>
    </dxf>
    <dxf>
      <fill>
        <patternFill>
          <bgColor theme="4"/>
        </patternFill>
      </fill>
    </dxf>
    <dxf>
      <fill>
        <patternFill>
          <bgColor theme="4"/>
        </patternFill>
      </fill>
    </dxf>
    <dxf>
      <fill>
        <patternFill>
          <bgColor rgb="FF008000"/>
        </patternFill>
      </fill>
    </dxf>
    <dxf>
      <fill>
        <patternFill>
          <bgColor rgb="FF002060"/>
        </patternFill>
      </fill>
    </dxf>
    <dxf>
      <fill>
        <patternFill>
          <bgColor rgb="FFFF0000"/>
        </patternFill>
      </fill>
    </dxf>
    <dxf>
      <fill>
        <patternFill>
          <bgColor rgb="FFFFC000"/>
        </patternFill>
      </fill>
    </dxf>
    <dxf>
      <fill>
        <patternFill>
          <bgColor theme="4"/>
        </patternFill>
      </fill>
    </dxf>
    <dxf>
      <fill>
        <patternFill>
          <bgColor rgb="FF00B050"/>
        </patternFill>
      </fill>
    </dxf>
    <dxf>
      <fill>
        <patternFill>
          <bgColor theme="4"/>
        </patternFill>
      </fill>
    </dxf>
    <dxf>
      <fill>
        <patternFill>
          <bgColor rgb="FFFFC000"/>
        </patternFill>
      </fill>
    </dxf>
    <dxf>
      <fill>
        <patternFill>
          <bgColor rgb="FFFF0000"/>
        </patternFill>
      </fill>
    </dxf>
    <dxf>
      <fill>
        <patternFill>
          <bgColor theme="0" tint="-0.34998626667073579"/>
        </patternFill>
      </fill>
    </dxf>
    <dxf>
      <fill>
        <patternFill>
          <bgColor rgb="FF008000"/>
        </patternFill>
      </fill>
    </dxf>
    <dxf>
      <fill>
        <patternFill>
          <fgColor rgb="FF008000"/>
          <bgColor rgb="FF0070C0"/>
        </patternFill>
      </fill>
    </dxf>
    <dxf>
      <fill>
        <patternFill>
          <bgColor rgb="FF00B050"/>
        </patternFill>
      </fill>
    </dxf>
    <dxf>
      <fill>
        <patternFill>
          <bgColor rgb="FFFFC000"/>
        </patternFill>
      </fill>
    </dxf>
    <dxf>
      <fill>
        <patternFill>
          <bgColor rgb="FFFF000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18096"/>
      <rgbColor rgb="FF9999FF"/>
      <rgbColor rgb="FF993366"/>
      <rgbColor rgb="FFF0FFF4"/>
      <rgbColor rgb="FFEFF6FF"/>
      <rgbColor rgb="FF660066"/>
      <rgbColor rgb="FFFF8080"/>
      <rgbColor rgb="FF0066CC"/>
      <rgbColor rgb="FFF3F4F6"/>
      <rgbColor rgb="FF000080"/>
      <rgbColor rgb="FFFF00FF"/>
      <rgbColor rgb="FFFFFF00"/>
      <rgbColor rgb="FF00FFFF"/>
      <rgbColor rgb="FF800080"/>
      <rgbColor rgb="FF800000"/>
      <rgbColor rgb="FF008080"/>
      <rgbColor rgb="FF0000FF"/>
      <rgbColor rgb="FF00CCFF"/>
      <rgbColor rgb="FFEDF2F7"/>
      <rgbColor rgb="FFE2E8F0"/>
      <rgbColor rgb="FFFAFAFA"/>
      <rgbColor rgb="FF99CCFF"/>
      <rgbColor rgb="FFFF99CC"/>
      <rgbColor rgb="FFCC99FF"/>
      <rgbColor rgb="FFF7FAFC"/>
      <rgbColor rgb="FF3B82F6"/>
      <rgbColor rgb="FF34D399"/>
      <rgbColor rgb="FF99CC00"/>
      <rgbColor rgb="FFFFCC00"/>
      <rgbColor rgb="FFFF9900"/>
      <rgbColor rgb="FFFF6600"/>
      <rgbColor rgb="FF4A5568"/>
      <rgbColor rgb="FF9CA3AF"/>
      <rgbColor rgb="FF1E3A5F"/>
      <rgbColor rgb="FF339966"/>
      <rgbColor rgb="FF1A4731"/>
      <rgbColor rgb="FF1A202C"/>
      <rgbColor rgb="FF993300"/>
      <rgbColor rgb="FF993366"/>
      <rgbColor rgb="FF374151"/>
      <rgbColor rgb="FF2D3748"/>
      <rgbColor rgb="00003366"/>
      <rgbColor rgb="00339966"/>
      <rgbColor rgb="00003300"/>
      <rgbColor rgb="00333300"/>
      <rgbColor rgb="00993300"/>
      <rgbColor rgb="00993366"/>
      <rgbColor rgb="00333399"/>
      <rgbColor rgb="00333333"/>
    </indexedColors>
    <mruColors>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I11"/>
  <sheetViews>
    <sheetView showGridLines="0" rightToLeft="1" zoomScale="69" zoomScaleNormal="100" workbookViewId="0">
      <pane ySplit="3" topLeftCell="A4" activePane="bottomLeft" state="frozen"/>
      <selection pane="bottomLeft" activeCell="A4" sqref="A4:C11"/>
    </sheetView>
  </sheetViews>
  <sheetFormatPr defaultColWidth="8.6328125" defaultRowHeight="14.5" x14ac:dyDescent="0.35"/>
  <cols>
    <col min="1" max="1" width="13" style="1" customWidth="1"/>
    <col min="2" max="2" width="45.453125" style="1" customWidth="1"/>
    <col min="3" max="3" width="9" style="1" customWidth="1"/>
    <col min="4" max="4" width="22" style="79" customWidth="1"/>
    <col min="5" max="6" width="32" style="1" customWidth="1"/>
    <col min="7" max="7" width="54.453125" style="1" bestFit="1" customWidth="1"/>
    <col min="8" max="8" width="45" style="1" customWidth="1"/>
    <col min="9" max="9" width="19" style="1" customWidth="1"/>
  </cols>
  <sheetData>
    <row r="1" spans="1:9" ht="36" customHeight="1" x14ac:dyDescent="0.35">
      <c r="A1" s="105" t="s">
        <v>50</v>
      </c>
      <c r="B1" s="106"/>
      <c r="C1" s="106"/>
      <c r="D1" s="106"/>
      <c r="E1" s="106"/>
      <c r="F1" s="106"/>
      <c r="G1" s="106"/>
      <c r="H1" s="106"/>
      <c r="I1" s="66"/>
    </row>
    <row r="2" spans="1:9" ht="3" customHeight="1" x14ac:dyDescent="0.35">
      <c r="A2" s="2"/>
      <c r="B2" s="2"/>
      <c r="C2" s="2"/>
      <c r="D2" s="78"/>
      <c r="E2" s="2"/>
      <c r="F2" s="2"/>
      <c r="G2" s="2"/>
      <c r="H2" s="2"/>
      <c r="I2" s="2"/>
    </row>
    <row r="3" spans="1:9" ht="6" customHeight="1" x14ac:dyDescent="0.35"/>
    <row r="4" spans="1:9" ht="25.5" customHeight="1" x14ac:dyDescent="0.35">
      <c r="A4" s="29" t="s">
        <v>0</v>
      </c>
      <c r="B4" s="29" t="s">
        <v>1</v>
      </c>
      <c r="C4" s="29" t="s">
        <v>49</v>
      </c>
      <c r="D4" s="29" t="s">
        <v>3</v>
      </c>
      <c r="E4" s="29" t="s">
        <v>21</v>
      </c>
      <c r="F4" s="29" t="s">
        <v>9</v>
      </c>
      <c r="G4" s="29" t="s">
        <v>10</v>
      </c>
      <c r="H4" s="29" t="s">
        <v>33</v>
      </c>
      <c r="I4" s="67" t="s">
        <v>5</v>
      </c>
    </row>
    <row r="5" spans="1:9" x14ac:dyDescent="0.35">
      <c r="A5" s="3" t="s">
        <v>53</v>
      </c>
      <c r="B5" s="4" t="str">
        <f>'SS-01'!B4</f>
        <v>توفير مواد خام وقطع الغيار لمطابع وزارة الدفاع (اتفاقية اطارية)</v>
      </c>
      <c r="C5" s="3">
        <v>1</v>
      </c>
      <c r="D5" s="5" t="str">
        <f>'SS-01'!B5</f>
        <v>عادل الحمياني</v>
      </c>
      <c r="E5" s="5" t="str">
        <f>IFERROR(LOOKUP(2,1/('SS-01'!C13:C72&lt;&gt;""),'SS-01'!C13:C72),"—")</f>
        <v>4 - Tender Pack Development</v>
      </c>
      <c r="F5" s="5" t="str">
        <f>IFERROR(LOOKUP(2,1/('SS-01'!D13:D72&lt;&gt;""),'SS-01'!D13:D72),"—")</f>
        <v>Detailed LCCE</v>
      </c>
      <c r="G5" s="76" t="str">
        <f>IFERROR(LOOKUP(2,1/('SS-01'!E13:E72&lt;&gt;""),'SS-01'!E13:E72),"—")</f>
        <v xml:space="preserve">لايوجد أي جراء على مقدر التكلفة </v>
      </c>
      <c r="H5" s="4" t="str">
        <f>IFERROR(LOOKUP(2,1/('SS-01'!F13:F72&lt;&gt;""),'SS-01'!F13:F72),"—")</f>
        <v xml:space="preserve">الان في مرحلة اعداد الكراسة من قبل مدير المشروع </v>
      </c>
      <c r="I5" s="68" t="str">
        <f>IFERROR(LOOKUP(2,1/('SS-01'!G13:G72&lt;&gt;""),'SS-01'!G13:G72),"—")</f>
        <v>مكتمل</v>
      </c>
    </row>
    <row r="6" spans="1:9" ht="58" x14ac:dyDescent="0.35">
      <c r="A6" s="3" t="s">
        <v>54</v>
      </c>
      <c r="B6" s="8" t="str">
        <f>'SS-02'!B4</f>
        <v>توريد وتخديم المواد الغذائية لمرافق الأندية والضيافات بالمنطقة الوسطى</v>
      </c>
      <c r="C6" s="7">
        <v>1</v>
      </c>
      <c r="D6" s="10" t="str">
        <f>'SS-02'!B5</f>
        <v>محمد الطويرش</v>
      </c>
      <c r="E6" s="10" t="str">
        <f>IFERROR(LOOKUP(2,1/('SS-02'!C13:C74&lt;&gt;""),'SS-02'!C13:C74),"—")</f>
        <v>4 - Tender Pack Development</v>
      </c>
      <c r="F6" s="10" t="str">
        <f>IFERROR(LOOKUP(2,1/('SS-02'!D13:D72&lt;&gt;""),'SS-02'!D13:D72),"—")</f>
        <v>Independent LCCE</v>
      </c>
      <c r="G6" s="77" t="str">
        <f>IFERROR(LOOKUP(2,1/('SS-02'!E13:E74&lt;&gt;""),'SS-02'!E13:E74),"—")</f>
        <v>الانتهاء من تعبئة النوذج، وانتظار الموافقه من قبل المدير المباشر لمدير المشروع</v>
      </c>
      <c r="H6" s="8" t="str">
        <f>IFERROR(LOOKUP(2,1/('SS-02'!F13:F74&lt;&gt;""),'SS-02'!F13:F74),"—")</f>
        <v>تم إعطاء الملاظات النهائية على النموذج من قبل مدير المشروع ، بالاظافة الى ان النموذج لم يتم التسليم الى الان وينتظر اطلاع الإدارة عليه واعطائه الموفقه على المدخلات والملاحظات على نموذج استراتيجية التوريد.</v>
      </c>
      <c r="I6" s="68" t="str">
        <f>IFERROR(LOOKUP(2,1/('SS-02'!G13:G72&lt;&gt;""),'SS-02'!G13:G72),"—")</f>
        <v xml:space="preserve">متأخر </v>
      </c>
    </row>
    <row r="7" spans="1:9" ht="29" x14ac:dyDescent="0.35">
      <c r="A7" s="3" t="s">
        <v>55</v>
      </c>
      <c r="B7" s="4" t="str">
        <f>'SS-03'!B4</f>
        <v>بدلة الكشف وبدلة الإزالة لصالح القوات البرية</v>
      </c>
      <c r="C7" s="3">
        <v>1</v>
      </c>
      <c r="D7" s="5" t="str">
        <f>'SS-03'!B5</f>
        <v>محمد اليوسف</v>
      </c>
      <c r="E7" s="5" t="str">
        <f>IFERROR(LOOKUP(2,1/('SS-03'!C13:C72&lt;&gt;""),'SS-03'!C13:C72),"—")</f>
        <v>3 - Affordability Estimate</v>
      </c>
      <c r="F7" s="5" t="str">
        <f>IFERROR(LOOKUP(2,1/('SS-03'!D13:D72&lt;&gt;""),'SS-03'!D13:D72),"—")</f>
        <v>TCO</v>
      </c>
      <c r="G7" s="76" t="str">
        <f>IFERROR(LOOKUP(2,1/('SS-03'!E13:E72&lt;&gt;""),'SS-03'!E13:E72),"—")</f>
        <v>لايوجد</v>
      </c>
      <c r="H7" s="4" t="str">
        <f>IFERROR(LOOKUP(2,1/('SS-03'!F13:F72&lt;&gt;""),'SS-03'!F13:F72),"—")</f>
        <v xml:space="preserve">لازال مدير المشروع يعمل مع المستفيد النهائي على المتطلبات بالتنسيق مع فريق ديلويت </v>
      </c>
      <c r="I7" s="68" t="str">
        <f>IFERROR(LOOKUP(2,1/('SS-03'!G13:G72&lt;&gt;""),'SS-03'!G13:G72),"—")</f>
        <v xml:space="preserve">متأخر </v>
      </c>
    </row>
    <row r="8" spans="1:9" ht="29" x14ac:dyDescent="0.35">
      <c r="A8" s="3" t="s">
        <v>56</v>
      </c>
      <c r="B8" s="8" t="str">
        <f>'SS-04'!B4</f>
        <v>تأمين ملبوسات عسكرية لكليه الدفاع الجوي من الاتفاقية الاطارية</v>
      </c>
      <c r="C8" s="7">
        <v>2</v>
      </c>
      <c r="D8" s="10" t="str">
        <f>'SS-04'!B5</f>
        <v>هيا المهنا</v>
      </c>
      <c r="E8" s="10" t="str">
        <f>IFERROR(LOOKUP(2,1/('SS-04'!C13:C72&lt;&gt;""),'SS-04'!C13:C72),"—")</f>
        <v>8 - Contract Execution</v>
      </c>
      <c r="F8" s="10" t="str">
        <f>IFERROR(LOOKUP(2,1/('SS-04'!D13:D72&lt;&gt;""),'SS-04'!D13:D72),"—")</f>
        <v>—</v>
      </c>
      <c r="G8" s="77" t="str">
        <f>IFERROR(LOOKUP(2,1/('SS-04'!E13:E72&lt;&gt;""),'SS-04'!E13:E72),"—")</f>
        <v>المشروع اتفاقية اطارية وبمرحلة تنفيذ العقد ولا يوجد متطلب على إدارة التكاليف</v>
      </c>
      <c r="H8" s="8" t="str">
        <f>IFERROR(LOOKUP(2,1/('SS-04'!F13:F72&lt;&gt;""),'SS-04'!F13:F72),"—")</f>
        <v>تم اشراك إدارة التكاليف بالمشروع من  مرحلة تنفيذ العقد ولا يتطلب مخرجات على  إدارة التكاليف</v>
      </c>
      <c r="I8" s="68" t="str">
        <f>IFERROR(LOOKUP(2,1/('SS-04'!G13:G72&lt;&gt;""),'SS-04'!G13:G72),"—")</f>
        <v>مكتمل</v>
      </c>
    </row>
    <row r="9" spans="1:9" ht="33.75" customHeight="1" x14ac:dyDescent="0.35">
      <c r="A9" s="3" t="s">
        <v>57</v>
      </c>
      <c r="B9" s="4" t="str">
        <f>'SS-05'!B4</f>
        <v>معدات تغطية إعلامية شاملة</v>
      </c>
      <c r="C9" s="3">
        <v>2</v>
      </c>
      <c r="D9" s="5" t="str">
        <f>'SS-05'!B5</f>
        <v>محمد اليوسف</v>
      </c>
      <c r="E9" s="5" t="str">
        <f>IFERROR(LOOKUP(2,1/('SS-05'!C13:C72&lt;&gt;""),'SS-05'!C13:C72),"—")</f>
        <v>2 - Needs Identification</v>
      </c>
      <c r="F9" s="5" t="str">
        <f>IFERROR(LOOKUP(2,1/('SS-05'!D13:D72&lt;&gt;""),'SS-05'!D13:D72),"—")</f>
        <v>—</v>
      </c>
      <c r="G9" s="76" t="str">
        <f>IFERROR(LOOKUP(2,1/('SS-05'!E13:E72&lt;&gt;""),'SS-05'!E13:E72),"—")</f>
        <v>لم يتم بدء دور إدارة التكاليف حتى الآن بناءا على التنسيق مع إدارة المحافظ</v>
      </c>
      <c r="H9" s="4" t="str">
        <f>IFERROR(LOOKUP(2,1/('SS-05'!F13:F72&lt;&gt;""),'SS-05'!F13:F72),"—")</f>
        <v>طلب من الجهة المستفيدة مراجعة جودة المدخلات</v>
      </c>
      <c r="I9" s="68" t="str">
        <f>IFERROR(LOOKUP(2,1/('SS-05'!G13:G72&lt;&gt;""),'SS-05'!G13:G72),"—")</f>
        <v>على المسار</v>
      </c>
    </row>
    <row r="10" spans="1:9" ht="33.75" customHeight="1" x14ac:dyDescent="0.35">
      <c r="A10" s="3" t="s">
        <v>58</v>
      </c>
      <c r="B10" s="8" t="str">
        <f>'SS-06'!B4</f>
        <v>رشاش عيار 40 ام كي 19 مع ملحقاته</v>
      </c>
      <c r="C10" s="7">
        <v>2</v>
      </c>
      <c r="D10" s="10" t="str">
        <f>'SS-06'!B5</f>
        <v>هيا المهنا</v>
      </c>
      <c r="E10" s="10" t="str">
        <f>IFERROR(LOOKUP(2,1/('SS-06'!C13:C72&lt;&gt;""),'SS-06'!C13:C72),"—")</f>
        <v>2 - Needs Identification</v>
      </c>
      <c r="F10" s="10" t="str">
        <f>IFERROR(LOOKUP(2,1/('SS-06'!D13:D72&lt;&gt;""),'SS-06'!D13:D72),"—")</f>
        <v>—</v>
      </c>
      <c r="G10" s="77" t="str">
        <f>IFERROR(LOOKUP(2,1/('SS-06'!E13:E72&lt;&gt;""),'SS-06'!E13:E72),"—")</f>
        <v>لا يوجد متطلب على إدارة التكاليف حتى الان</v>
      </c>
      <c r="H10" s="8" t="str">
        <f>IFERROR(LOOKUP(2,1/('SS-06'!F13:F72&lt;&gt;""),'SS-06'!F13:F72),"—")</f>
        <v xml:space="preserve">تعبئة نموذج الافتراضات (MDAL) من قبل مدير المشروع للانتقال للخطوات القادمة </v>
      </c>
      <c r="I10" s="68" t="str">
        <f>IFERROR(LOOKUP(2,1/('SS-06'!G13:G72&lt;&gt;""),'SS-06'!G13:G72),"—")</f>
        <v>على المسار</v>
      </c>
    </row>
    <row r="11" spans="1:9" ht="33.75" customHeight="1" x14ac:dyDescent="0.35">
      <c r="A11" s="3" t="s">
        <v>59</v>
      </c>
      <c r="B11" s="4" t="str">
        <f>'SS-07'!B4</f>
        <v>تقديم الخدمات الاستشارية الفنية للحصول على شهادات</v>
      </c>
      <c r="C11" s="3">
        <v>2</v>
      </c>
      <c r="D11" s="5" t="str">
        <f>'SS-07'!B5</f>
        <v>عبدالله النويصر</v>
      </c>
      <c r="E11" s="5" t="str">
        <f>IFERROR(LOOKUP(2,1/('SS-07'!C13:C72&lt;&gt;""),'SS-07'!C13:C72),"—")</f>
        <v>8 - Contract Execution</v>
      </c>
      <c r="F11" s="5" t="str">
        <f>IFERROR(LOOKUP(2,1/('SS-07'!D13:D72&lt;&gt;""),'SS-07'!D13:D72),"—")</f>
        <v>—</v>
      </c>
      <c r="G11" s="76" t="str">
        <f>IFERROR(LOOKUP(2,1/('SS-07'!E13:E72&lt;&gt;""),'SS-07'!E13:E72),"—")</f>
        <v>—</v>
      </c>
      <c r="H11" s="4" t="str">
        <f>IFERROR(LOOKUP(2,1/('SS-07'!F13:F72&lt;&gt;""),'SS-07'!F13:F72),"—")</f>
        <v>تم اشراك إدارة التكاليف بالمشروع من  مرحلة تنفيذ العقد ولا يتطلب مخرجات على  إدارة التكاليف</v>
      </c>
      <c r="I11" s="68" t="str">
        <f>IFERROR(LOOKUP(2,1/('SS-07'!G13:G72&lt;&gt;""),'SS-07'!G13:G72),"—")</f>
        <v>مكتمل</v>
      </c>
    </row>
  </sheetData>
  <mergeCells count="1">
    <mergeCell ref="A1:H1"/>
  </mergeCells>
  <conditionalFormatting sqref="I5:I11">
    <cfRule type="containsText" dxfId="59" priority="1" operator="containsText" text="متأخر">
      <formula>NOT(ISERROR(SEARCH("متأخر",I5)))</formula>
    </cfRule>
    <cfRule type="containsText" dxfId="58" priority="2" operator="containsText" text="خطر">
      <formula>NOT(ISERROR(SEARCH("خطر",I5)))</formula>
    </cfRule>
    <cfRule type="containsText" dxfId="57" priority="3" operator="containsText" text="على المسار">
      <formula>NOT(ISERROR(SEARCH("على المسار",I5)))</formula>
    </cfRule>
    <cfRule type="containsText" dxfId="56" priority="4" operator="containsText" text="مكتمل">
      <formula>NOT(ISERROR(SEARCH("مكتمل",I5)))</formula>
    </cfRule>
  </conditionalFormatting>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37028-5287-4633-AC70-6FCB3CE84701}">
  <sheetPr codeName="Sheet2">
    <tabColor rgb="FFC00000"/>
  </sheetPr>
  <dimension ref="A1:H53"/>
  <sheetViews>
    <sheetView showGridLines="0" rightToLeft="1" zoomScale="86" zoomScaleNormal="100" workbookViewId="0">
      <pane ySplit="2" topLeftCell="A3" activePane="bottomLeft" state="frozen"/>
      <selection pane="bottomLeft" activeCell="D4" sqref="D4"/>
    </sheetView>
  </sheetViews>
  <sheetFormatPr defaultColWidth="8.6328125" defaultRowHeight="14.5" x14ac:dyDescent="0.35"/>
  <cols>
    <col min="1" max="1" width="7.08984375" style="1" customWidth="1"/>
    <col min="2" max="2" width="55" style="1" customWidth="1"/>
    <col min="3" max="3" width="28" style="1" customWidth="1"/>
    <col min="4" max="4" width="14" style="1" customWidth="1"/>
    <col min="5" max="5" width="20" style="1" customWidth="1"/>
    <col min="6" max="6" width="16" style="1" customWidth="1"/>
    <col min="7" max="7" width="15.08984375" style="1" customWidth="1"/>
    <col min="8" max="8" width="12.6328125" style="1" customWidth="1"/>
    <col min="9" max="16384" width="8.6328125" style="1"/>
  </cols>
  <sheetData>
    <row r="1" spans="1:8" ht="36" customHeight="1" x14ac:dyDescent="0.35">
      <c r="A1" s="107" t="s">
        <v>28</v>
      </c>
      <c r="B1" s="107"/>
      <c r="C1" s="107"/>
      <c r="D1" s="107"/>
      <c r="E1" s="107"/>
      <c r="F1" s="107"/>
      <c r="G1" s="107"/>
      <c r="H1" s="107"/>
    </row>
    <row r="2" spans="1:8" ht="3" customHeight="1" x14ac:dyDescent="0.35">
      <c r="A2" s="37"/>
      <c r="B2" s="37"/>
      <c r="C2" s="37"/>
      <c r="D2" s="37"/>
      <c r="E2" s="37"/>
      <c r="F2" s="37"/>
      <c r="G2" s="37"/>
      <c r="H2" s="37"/>
    </row>
    <row r="3" spans="1:8" ht="27.75" customHeight="1" x14ac:dyDescent="0.35">
      <c r="A3" s="38" t="s">
        <v>27</v>
      </c>
      <c r="B3" s="38" t="s">
        <v>23</v>
      </c>
      <c r="C3" s="38" t="s">
        <v>24</v>
      </c>
      <c r="D3" s="38" t="s">
        <v>25</v>
      </c>
      <c r="E3" s="38" t="s">
        <v>26</v>
      </c>
      <c r="F3" s="38" t="s">
        <v>5</v>
      </c>
      <c r="G3" s="38" t="s">
        <v>34</v>
      </c>
      <c r="H3" s="38" t="s">
        <v>35</v>
      </c>
    </row>
    <row r="4" spans="1:8" ht="33.75" customHeight="1" x14ac:dyDescent="0.35">
      <c r="A4" s="39">
        <v>1</v>
      </c>
      <c r="B4" s="40"/>
      <c r="C4" s="40"/>
      <c r="D4" s="41"/>
      <c r="E4" s="42"/>
      <c r="F4" s="41"/>
      <c r="G4" s="43"/>
      <c r="H4" s="43"/>
    </row>
    <row r="5" spans="1:8" ht="33.75" customHeight="1" x14ac:dyDescent="0.35">
      <c r="A5" s="44">
        <v>2</v>
      </c>
      <c r="B5" s="45"/>
      <c r="C5" s="45"/>
      <c r="D5" s="46"/>
      <c r="E5" s="47"/>
      <c r="F5" s="46"/>
      <c r="G5" s="43"/>
      <c r="H5" s="43"/>
    </row>
    <row r="6" spans="1:8" ht="33.75" customHeight="1" x14ac:dyDescent="0.35">
      <c r="A6" s="39">
        <v>3</v>
      </c>
      <c r="B6" s="48"/>
      <c r="C6" s="40"/>
      <c r="D6" s="41"/>
      <c r="E6" s="49"/>
      <c r="F6" s="41"/>
      <c r="G6" s="43"/>
      <c r="H6" s="43"/>
    </row>
    <row r="7" spans="1:8" ht="33.75" customHeight="1" x14ac:dyDescent="0.35">
      <c r="A7" s="44">
        <v>4</v>
      </c>
      <c r="B7" s="50"/>
      <c r="C7" s="45"/>
      <c r="D7" s="53"/>
      <c r="E7" s="51"/>
      <c r="F7" s="46"/>
      <c r="G7" s="43"/>
      <c r="H7" s="43"/>
    </row>
    <row r="8" spans="1:8" ht="33.75" customHeight="1" x14ac:dyDescent="0.35">
      <c r="A8" s="39">
        <v>5</v>
      </c>
      <c r="B8" s="48"/>
      <c r="C8" s="40"/>
      <c r="D8" s="41"/>
      <c r="E8" s="49"/>
      <c r="F8" s="41"/>
      <c r="G8" s="43"/>
      <c r="H8" s="43"/>
    </row>
    <row r="9" spans="1:8" ht="33.75" customHeight="1" x14ac:dyDescent="0.35">
      <c r="A9" s="44">
        <v>6</v>
      </c>
      <c r="B9" s="50"/>
      <c r="C9" s="45"/>
      <c r="D9" s="46"/>
      <c r="E9" s="51"/>
      <c r="F9" s="46"/>
      <c r="G9" s="43"/>
      <c r="H9" s="43"/>
    </row>
    <row r="10" spans="1:8" ht="33.75" customHeight="1" x14ac:dyDescent="0.35">
      <c r="A10" s="39">
        <v>7</v>
      </c>
      <c r="B10" s="48"/>
      <c r="C10" s="40"/>
      <c r="D10" s="41"/>
      <c r="E10" s="49"/>
      <c r="F10" s="41"/>
      <c r="G10" s="43"/>
      <c r="H10" s="43"/>
    </row>
    <row r="11" spans="1:8" ht="33.75" customHeight="1" x14ac:dyDescent="0.35">
      <c r="A11" s="44">
        <v>8</v>
      </c>
      <c r="B11" s="50"/>
      <c r="C11" s="45"/>
      <c r="D11" s="46"/>
      <c r="E11" s="51"/>
      <c r="F11" s="46"/>
      <c r="G11" s="43"/>
      <c r="H11" s="43"/>
    </row>
    <row r="12" spans="1:8" ht="33.75" customHeight="1" x14ac:dyDescent="0.35">
      <c r="A12" s="39">
        <v>9</v>
      </c>
      <c r="B12" s="48"/>
      <c r="C12" s="40"/>
      <c r="D12" s="41"/>
      <c r="E12" s="49"/>
      <c r="F12" s="41"/>
      <c r="G12" s="43"/>
      <c r="H12" s="43"/>
    </row>
    <row r="13" spans="1:8" ht="33.75" customHeight="1" x14ac:dyDescent="0.35">
      <c r="A13" s="44">
        <v>10</v>
      </c>
      <c r="B13" s="50"/>
      <c r="C13" s="45"/>
      <c r="D13" s="46"/>
      <c r="E13" s="51"/>
      <c r="F13" s="46"/>
      <c r="G13" s="43"/>
      <c r="H13" s="43"/>
    </row>
    <row r="14" spans="1:8" ht="33.75" customHeight="1" x14ac:dyDescent="0.35">
      <c r="A14" s="39">
        <v>11</v>
      </c>
      <c r="B14" s="48"/>
      <c r="C14" s="40"/>
      <c r="D14" s="41"/>
      <c r="E14" s="49"/>
      <c r="F14" s="41"/>
      <c r="G14" s="43"/>
      <c r="H14" s="43"/>
    </row>
    <row r="15" spans="1:8" ht="33.75" customHeight="1" x14ac:dyDescent="0.35">
      <c r="A15" s="44">
        <v>12</v>
      </c>
      <c r="B15" s="50"/>
      <c r="C15" s="45"/>
      <c r="D15" s="46"/>
      <c r="E15" s="51"/>
      <c r="F15" s="46"/>
      <c r="G15" s="43"/>
      <c r="H15" s="43"/>
    </row>
    <row r="16" spans="1:8" ht="33.75" customHeight="1" x14ac:dyDescent="0.35">
      <c r="A16" s="39">
        <v>13</v>
      </c>
      <c r="B16" s="48"/>
      <c r="C16" s="40"/>
      <c r="D16" s="41"/>
      <c r="E16" s="49"/>
      <c r="F16" s="41"/>
      <c r="G16" s="43"/>
      <c r="H16" s="43"/>
    </row>
    <row r="17" spans="1:8" ht="33.75" customHeight="1" x14ac:dyDescent="0.35">
      <c r="A17" s="44">
        <v>14</v>
      </c>
      <c r="B17" s="50"/>
      <c r="C17" s="45"/>
      <c r="D17" s="46"/>
      <c r="E17" s="51"/>
      <c r="F17" s="46"/>
      <c r="G17" s="43"/>
      <c r="H17" s="43"/>
    </row>
    <row r="18" spans="1:8" ht="33.75" customHeight="1" x14ac:dyDescent="0.35">
      <c r="A18" s="39">
        <v>15</v>
      </c>
      <c r="B18" s="48"/>
      <c r="C18" s="40"/>
      <c r="D18" s="41"/>
      <c r="E18" s="49"/>
      <c r="F18" s="41"/>
      <c r="G18" s="43"/>
      <c r="H18" s="43"/>
    </row>
    <row r="19" spans="1:8" ht="33.75" customHeight="1" x14ac:dyDescent="0.35">
      <c r="A19" s="44">
        <v>16</v>
      </c>
      <c r="B19" s="50"/>
      <c r="C19" s="45"/>
      <c r="D19" s="46"/>
      <c r="E19" s="51"/>
      <c r="F19" s="46"/>
      <c r="G19" s="43"/>
      <c r="H19" s="43"/>
    </row>
    <row r="20" spans="1:8" ht="33.75" customHeight="1" x14ac:dyDescent="0.35">
      <c r="A20" s="39">
        <v>17</v>
      </c>
      <c r="B20" s="48"/>
      <c r="C20" s="40"/>
      <c r="D20" s="41"/>
      <c r="E20" s="49"/>
      <c r="F20" s="41"/>
      <c r="G20" s="43"/>
      <c r="H20" s="43"/>
    </row>
    <row r="21" spans="1:8" ht="33.75" customHeight="1" x14ac:dyDescent="0.35">
      <c r="A21" s="44">
        <v>18</v>
      </c>
      <c r="B21" s="50"/>
      <c r="C21" s="45"/>
      <c r="D21" s="46"/>
      <c r="E21" s="51"/>
      <c r="F21" s="46"/>
      <c r="G21" s="43"/>
      <c r="H21" s="43"/>
    </row>
    <row r="22" spans="1:8" ht="33.75" customHeight="1" x14ac:dyDescent="0.35">
      <c r="A22" s="39">
        <v>19</v>
      </c>
      <c r="B22" s="48"/>
      <c r="C22" s="40"/>
      <c r="D22" s="41"/>
      <c r="E22" s="49"/>
      <c r="F22" s="41"/>
      <c r="G22" s="43"/>
      <c r="H22" s="43"/>
    </row>
    <row r="23" spans="1:8" ht="33.75" customHeight="1" x14ac:dyDescent="0.35">
      <c r="A23" s="44">
        <v>20</v>
      </c>
      <c r="B23" s="50"/>
      <c r="C23" s="45"/>
      <c r="D23" s="46"/>
      <c r="E23" s="51"/>
      <c r="F23" s="46"/>
      <c r="G23" s="43"/>
      <c r="H23" s="43"/>
    </row>
    <row r="24" spans="1:8" ht="33.75" customHeight="1" x14ac:dyDescent="0.35">
      <c r="A24" s="39">
        <v>21</v>
      </c>
      <c r="B24" s="48"/>
      <c r="C24" s="40"/>
      <c r="D24" s="41"/>
      <c r="E24" s="49"/>
      <c r="F24" s="41"/>
      <c r="G24" s="43"/>
      <c r="H24" s="43"/>
    </row>
    <row r="25" spans="1:8" ht="33.75" customHeight="1" x14ac:dyDescent="0.35">
      <c r="A25" s="44">
        <v>22</v>
      </c>
      <c r="B25" s="50"/>
      <c r="C25" s="45"/>
      <c r="D25" s="46"/>
      <c r="E25" s="51"/>
      <c r="F25" s="46"/>
      <c r="G25" s="43"/>
      <c r="H25" s="43"/>
    </row>
    <row r="26" spans="1:8" ht="33.75" customHeight="1" x14ac:dyDescent="0.35">
      <c r="A26" s="39">
        <v>23</v>
      </c>
      <c r="B26" s="48"/>
      <c r="C26" s="40"/>
      <c r="D26" s="41"/>
      <c r="E26" s="49"/>
      <c r="F26" s="41"/>
      <c r="G26" s="43"/>
      <c r="H26" s="43"/>
    </row>
    <row r="27" spans="1:8" ht="33.75" customHeight="1" x14ac:dyDescent="0.35">
      <c r="A27" s="44">
        <v>24</v>
      </c>
      <c r="B27" s="50"/>
      <c r="C27" s="45"/>
      <c r="D27" s="46"/>
      <c r="E27" s="51"/>
      <c r="F27" s="46"/>
      <c r="G27" s="43"/>
      <c r="H27" s="43"/>
    </row>
    <row r="28" spans="1:8" ht="33.75" customHeight="1" x14ac:dyDescent="0.35">
      <c r="A28" s="39">
        <v>25</v>
      </c>
      <c r="B28" s="48"/>
      <c r="C28" s="40"/>
      <c r="D28" s="41"/>
      <c r="E28" s="49"/>
      <c r="F28" s="41"/>
      <c r="G28" s="43"/>
      <c r="H28" s="43"/>
    </row>
    <row r="29" spans="1:8" ht="33.75" customHeight="1" x14ac:dyDescent="0.35">
      <c r="A29" s="44">
        <v>26</v>
      </c>
      <c r="B29" s="50"/>
      <c r="C29" s="45"/>
      <c r="D29" s="46"/>
      <c r="E29" s="51"/>
      <c r="F29" s="46"/>
      <c r="G29" s="43"/>
      <c r="H29" s="43"/>
    </row>
    <row r="30" spans="1:8" ht="33.75" customHeight="1" x14ac:dyDescent="0.35">
      <c r="A30" s="39">
        <v>27</v>
      </c>
      <c r="B30" s="48"/>
      <c r="C30" s="40"/>
      <c r="D30" s="41"/>
      <c r="E30" s="49"/>
      <c r="F30" s="41"/>
      <c r="G30" s="43"/>
      <c r="H30" s="43"/>
    </row>
    <row r="31" spans="1:8" ht="33.75" customHeight="1" x14ac:dyDescent="0.35">
      <c r="A31" s="44">
        <v>28</v>
      </c>
      <c r="B31" s="50"/>
      <c r="C31" s="45"/>
      <c r="D31" s="46"/>
      <c r="E31" s="51"/>
      <c r="F31" s="46"/>
      <c r="G31" s="43"/>
      <c r="H31" s="43"/>
    </row>
    <row r="32" spans="1:8" ht="33.75" customHeight="1" x14ac:dyDescent="0.35">
      <c r="A32" s="39">
        <v>29</v>
      </c>
      <c r="B32" s="48"/>
      <c r="C32" s="40"/>
      <c r="D32" s="41"/>
      <c r="E32" s="49"/>
      <c r="F32" s="41"/>
      <c r="G32" s="43"/>
      <c r="H32" s="43"/>
    </row>
    <row r="33" spans="1:8" ht="33.75" customHeight="1" x14ac:dyDescent="0.35">
      <c r="A33" s="44">
        <v>30</v>
      </c>
      <c r="B33" s="50"/>
      <c r="C33" s="45"/>
      <c r="D33" s="46"/>
      <c r="E33" s="51"/>
      <c r="F33" s="46"/>
      <c r="G33" s="43"/>
      <c r="H33" s="43"/>
    </row>
    <row r="34" spans="1:8" ht="33.75" customHeight="1" x14ac:dyDescent="0.35">
      <c r="A34" s="39">
        <v>31</v>
      </c>
      <c r="B34" s="48"/>
      <c r="C34" s="40"/>
      <c r="D34" s="41"/>
      <c r="E34" s="49"/>
      <c r="F34" s="41"/>
      <c r="G34" s="43"/>
      <c r="H34" s="43"/>
    </row>
    <row r="35" spans="1:8" ht="33.75" customHeight="1" x14ac:dyDescent="0.35">
      <c r="A35" s="44">
        <v>32</v>
      </c>
      <c r="B35" s="50"/>
      <c r="C35" s="45"/>
      <c r="D35" s="46"/>
      <c r="E35" s="51"/>
      <c r="F35" s="46"/>
      <c r="G35" s="43"/>
      <c r="H35" s="43"/>
    </row>
    <row r="36" spans="1:8" ht="33.75" customHeight="1" x14ac:dyDescent="0.35">
      <c r="A36" s="39">
        <v>33</v>
      </c>
      <c r="B36" s="48"/>
      <c r="C36" s="40"/>
      <c r="D36" s="41"/>
      <c r="E36" s="49"/>
      <c r="F36" s="41"/>
      <c r="G36" s="43"/>
      <c r="H36" s="43"/>
    </row>
    <row r="37" spans="1:8" ht="33.75" customHeight="1" x14ac:dyDescent="0.35">
      <c r="A37" s="44">
        <v>34</v>
      </c>
      <c r="B37" s="50"/>
      <c r="C37" s="45"/>
      <c r="D37" s="46"/>
      <c r="E37" s="51"/>
      <c r="F37" s="46"/>
      <c r="G37" s="43"/>
      <c r="H37" s="43"/>
    </row>
    <row r="38" spans="1:8" ht="33.75" customHeight="1" x14ac:dyDescent="0.35">
      <c r="A38" s="39">
        <v>35</v>
      </c>
      <c r="B38" s="48"/>
      <c r="C38" s="40"/>
      <c r="D38" s="41"/>
      <c r="E38" s="49"/>
      <c r="F38" s="41"/>
      <c r="G38" s="43"/>
      <c r="H38" s="43"/>
    </row>
    <row r="39" spans="1:8" ht="33.75" customHeight="1" x14ac:dyDescent="0.35">
      <c r="A39" s="44">
        <v>36</v>
      </c>
      <c r="B39" s="50"/>
      <c r="C39" s="45"/>
      <c r="D39" s="46"/>
      <c r="E39" s="51"/>
      <c r="F39" s="46"/>
      <c r="G39" s="43"/>
      <c r="H39" s="43"/>
    </row>
    <row r="40" spans="1:8" ht="33.75" customHeight="1" x14ac:dyDescent="0.35">
      <c r="A40" s="39">
        <v>37</v>
      </c>
      <c r="B40" s="48"/>
      <c r="C40" s="40"/>
      <c r="D40" s="41"/>
      <c r="E40" s="49"/>
      <c r="F40" s="41"/>
      <c r="G40" s="43"/>
      <c r="H40" s="43"/>
    </row>
    <row r="41" spans="1:8" ht="33.75" customHeight="1" x14ac:dyDescent="0.35">
      <c r="A41" s="44">
        <v>38</v>
      </c>
      <c r="B41" s="50"/>
      <c r="C41" s="45"/>
      <c r="D41" s="46"/>
      <c r="E41" s="51"/>
      <c r="F41" s="46"/>
      <c r="G41" s="43"/>
      <c r="H41" s="43"/>
    </row>
    <row r="42" spans="1:8" ht="33.75" customHeight="1" x14ac:dyDescent="0.35">
      <c r="A42" s="39">
        <v>39</v>
      </c>
      <c r="B42" s="48"/>
      <c r="C42" s="40"/>
      <c r="D42" s="41"/>
      <c r="E42" s="49"/>
      <c r="F42" s="41"/>
      <c r="G42" s="43"/>
      <c r="H42" s="43"/>
    </row>
    <row r="43" spans="1:8" ht="33.75" customHeight="1" x14ac:dyDescent="0.35">
      <c r="A43" s="44">
        <v>40</v>
      </c>
      <c r="B43" s="50"/>
      <c r="C43" s="45"/>
      <c r="D43" s="46"/>
      <c r="E43" s="51"/>
      <c r="F43" s="46"/>
      <c r="G43" s="43"/>
      <c r="H43" s="43"/>
    </row>
    <row r="44" spans="1:8" ht="33.75" customHeight="1" x14ac:dyDescent="0.35">
      <c r="A44" s="39">
        <v>41</v>
      </c>
      <c r="B44" s="48"/>
      <c r="C44" s="40"/>
      <c r="D44" s="41"/>
      <c r="E44" s="49"/>
      <c r="F44" s="41"/>
      <c r="G44" s="43"/>
      <c r="H44" s="43"/>
    </row>
    <row r="45" spans="1:8" ht="33.75" customHeight="1" x14ac:dyDescent="0.35">
      <c r="A45" s="44">
        <v>42</v>
      </c>
      <c r="B45" s="50"/>
      <c r="C45" s="45"/>
      <c r="D45" s="46"/>
      <c r="E45" s="51"/>
      <c r="F45" s="46"/>
      <c r="G45" s="43"/>
      <c r="H45" s="43"/>
    </row>
    <row r="46" spans="1:8" ht="33.75" customHeight="1" x14ac:dyDescent="0.35">
      <c r="A46" s="39">
        <v>43</v>
      </c>
      <c r="B46" s="48"/>
      <c r="C46" s="40"/>
      <c r="D46" s="41"/>
      <c r="E46" s="49"/>
      <c r="F46" s="41"/>
      <c r="G46" s="43"/>
      <c r="H46" s="43"/>
    </row>
    <row r="47" spans="1:8" ht="33.75" customHeight="1" x14ac:dyDescent="0.35">
      <c r="A47" s="44">
        <v>44</v>
      </c>
      <c r="B47" s="50"/>
      <c r="C47" s="45"/>
      <c r="D47" s="46"/>
      <c r="E47" s="51"/>
      <c r="F47" s="46"/>
      <c r="G47" s="43"/>
      <c r="H47" s="43"/>
    </row>
    <row r="48" spans="1:8" ht="33.75" customHeight="1" x14ac:dyDescent="0.35">
      <c r="A48" s="39">
        <v>45</v>
      </c>
      <c r="B48" s="48"/>
      <c r="C48" s="40"/>
      <c r="D48" s="41"/>
      <c r="E48" s="49"/>
      <c r="F48" s="41"/>
      <c r="G48" s="43"/>
      <c r="H48" s="43"/>
    </row>
    <row r="49" spans="1:8" ht="33.75" customHeight="1" x14ac:dyDescent="0.35">
      <c r="A49" s="44">
        <v>46</v>
      </c>
      <c r="B49" s="50"/>
      <c r="C49" s="45"/>
      <c r="D49" s="46"/>
      <c r="E49" s="51"/>
      <c r="F49" s="46"/>
      <c r="G49" s="43"/>
      <c r="H49" s="43"/>
    </row>
    <row r="50" spans="1:8" ht="33.75" customHeight="1" x14ac:dyDescent="0.35">
      <c r="A50" s="39">
        <v>47</v>
      </c>
      <c r="B50" s="48"/>
      <c r="C50" s="40"/>
      <c r="D50" s="41"/>
      <c r="E50" s="49"/>
      <c r="F50" s="41"/>
      <c r="G50" s="43"/>
      <c r="H50" s="43"/>
    </row>
    <row r="51" spans="1:8" ht="33.75" customHeight="1" x14ac:dyDescent="0.35">
      <c r="A51" s="44">
        <v>48</v>
      </c>
      <c r="B51" s="50"/>
      <c r="C51" s="45"/>
      <c r="D51" s="46"/>
      <c r="E51" s="51"/>
      <c r="F51" s="46"/>
      <c r="G51" s="43"/>
      <c r="H51" s="43"/>
    </row>
    <row r="52" spans="1:8" ht="33.75" customHeight="1" x14ac:dyDescent="0.35">
      <c r="A52" s="39">
        <v>49</v>
      </c>
      <c r="B52" s="48"/>
      <c r="C52" s="40"/>
      <c r="D52" s="41"/>
      <c r="E52" s="49"/>
      <c r="F52" s="41"/>
      <c r="G52" s="43"/>
      <c r="H52" s="43"/>
    </row>
    <row r="53" spans="1:8" ht="33.75" customHeight="1" x14ac:dyDescent="0.35">
      <c r="A53" s="44">
        <v>50</v>
      </c>
      <c r="B53" s="50"/>
      <c r="C53" s="45"/>
      <c r="D53" s="46"/>
      <c r="E53" s="51"/>
      <c r="F53" s="46"/>
      <c r="G53" s="43"/>
      <c r="H53" s="43"/>
    </row>
  </sheetData>
  <mergeCells count="1">
    <mergeCell ref="A1:H1"/>
  </mergeCells>
  <dataValidations count="2">
    <dataValidation type="list" allowBlank="1" sqref="F4:F53" xr:uid="{5B5D111A-7831-4961-AA46-726BA26A4673}">
      <formula1>"مفتوح,قيد المعالجة,مغلق"</formula1>
      <formula2>0</formula2>
    </dataValidation>
    <dataValidation type="list" allowBlank="1" sqref="C4:C53" xr:uid="{F58CD72B-B843-4C7D-89AD-256C49D3991B}">
      <formula1>"1 - Strategy &amp; Guidance,2 - Needs Identification,3 - Affordability Estimate,4 - Tender Pack Development,5 - Detailed Cost Estimate,6 - Supplier Selection,7 - Contracting,8 - Contract Execution,9 - Contract Closure"</formula1>
      <formula2>0</formula2>
    </dataValidation>
  </dataValidations>
  <pageMargins left="0.75" right="0.75" top="1" bottom="1" header="0.511811023622047" footer="0.511811023622047"/>
  <pageSetup orientation="landscape" horizontalDpi="300" verticalDpi="300" r:id="rId1"/>
  <extLst>
    <ext xmlns:x14="http://schemas.microsoft.com/office/spreadsheetml/2009/9/main" uri="{78C0D931-6437-407d-A8EE-F0AAD7539E65}">
      <x14:conditionalFormattings>
        <x14:conditionalFormatting xmlns:xm="http://schemas.microsoft.com/office/excel/2006/main">
          <x14:cfRule type="cellIs" priority="1" operator="equal" id="{CF6B4D9C-0A86-4AF4-AE19-1904019E2609}">
            <xm:f>Sheet1!$H$5</xm:f>
            <x14:dxf>
              <fill>
                <patternFill>
                  <bgColor rgb="FF008000"/>
                </patternFill>
              </fill>
            </x14:dxf>
          </x14:cfRule>
          <x14:cfRule type="cellIs" priority="2" operator="equal" id="{677CD174-0D9A-45B1-B20F-EAF197A6C3A1}">
            <xm:f>Sheet1!$H$4</xm:f>
            <x14:dxf>
              <fill>
                <patternFill>
                  <bgColor theme="0" tint="-0.34998626667073579"/>
                </patternFill>
              </fill>
            </x14:dxf>
          </x14:cfRule>
          <x14:cfRule type="cellIs" priority="3" operator="equal" id="{7E96358A-4BEC-472E-861D-7BF1EC3D4A30}">
            <xm:f>Sheet1!$H$3</xm:f>
            <x14:dxf>
              <fill>
                <patternFill>
                  <bgColor rgb="FFFF0000"/>
                </patternFill>
              </fill>
            </x14:dxf>
          </x14:cfRule>
          <x14:cfRule type="cellIs" priority="4" operator="equal" id="{DC941C0F-C63D-481E-B9A7-B851D1969189}">
            <xm:f>Sheet1!$H$2</xm:f>
            <x14:dxf>
              <fill>
                <patternFill>
                  <bgColor rgb="FFFFC000"/>
                </patternFill>
              </fill>
            </x14:dxf>
          </x14:cfRule>
          <xm:sqref>D4:D53</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5CE5CB62-BBEB-47CD-9E56-0D39DD49F9CA}">
          <x14:formula1>
            <xm:f>Sheet1!$H$2:$H$5</xm:f>
          </x14:formula1>
          <xm:sqref>D4:D53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C0268-0EC5-4063-80D4-23A2C4544912}">
  <sheetPr>
    <tabColor rgb="FF7030A0"/>
  </sheetPr>
  <dimension ref="A1:G53"/>
  <sheetViews>
    <sheetView showGridLines="0" rightToLeft="1" zoomScale="84" zoomScaleNormal="100" workbookViewId="0">
      <pane ySplit="2" topLeftCell="A3" activePane="bottomLeft" state="frozen"/>
      <selection pane="bottomLeft" activeCell="E4" sqref="E4"/>
    </sheetView>
  </sheetViews>
  <sheetFormatPr defaultColWidth="8.6328125" defaultRowHeight="14.5" x14ac:dyDescent="0.35"/>
  <cols>
    <col min="1" max="1" width="7.08984375" style="1" customWidth="1"/>
    <col min="2" max="2" width="27.453125" style="1" customWidth="1"/>
    <col min="3" max="3" width="28" style="1" customWidth="1"/>
    <col min="4" max="4" width="33.54296875" style="1" customWidth="1"/>
    <col min="5" max="5" width="34.90625" style="1" customWidth="1"/>
    <col min="6" max="6" width="23.90625" style="1" customWidth="1"/>
    <col min="7" max="7" width="15.08984375" style="1" customWidth="1"/>
    <col min="8" max="16384" width="8.6328125" style="1"/>
  </cols>
  <sheetData>
    <row r="1" spans="1:7" ht="36" customHeight="1" x14ac:dyDescent="0.35">
      <c r="A1" s="108" t="s">
        <v>40</v>
      </c>
      <c r="B1" s="109"/>
      <c r="C1" s="109"/>
      <c r="D1" s="109"/>
      <c r="E1" s="109"/>
      <c r="F1" s="109"/>
      <c r="G1" s="109"/>
    </row>
    <row r="2" spans="1:7" ht="3" customHeight="1" x14ac:dyDescent="0.35">
      <c r="A2" s="31"/>
      <c r="B2" s="31"/>
      <c r="C2" s="31"/>
      <c r="D2" s="31"/>
      <c r="E2" s="31"/>
      <c r="F2" s="31"/>
      <c r="G2" s="32"/>
    </row>
    <row r="3" spans="1:7" ht="27.75" customHeight="1" x14ac:dyDescent="0.35">
      <c r="A3" s="54" t="s">
        <v>27</v>
      </c>
      <c r="B3" s="54" t="s">
        <v>36</v>
      </c>
      <c r="C3" s="54" t="s">
        <v>37</v>
      </c>
      <c r="D3" s="54" t="s">
        <v>38</v>
      </c>
      <c r="E3" s="54" t="s">
        <v>39</v>
      </c>
      <c r="F3" s="54" t="s">
        <v>10</v>
      </c>
      <c r="G3" s="30" t="s">
        <v>26</v>
      </c>
    </row>
    <row r="4" spans="1:7" ht="33.75" customHeight="1" x14ac:dyDescent="0.35">
      <c r="A4" s="39">
        <v>1</v>
      </c>
      <c r="B4" s="40"/>
      <c r="C4" s="40"/>
      <c r="D4" s="41"/>
      <c r="E4" s="42"/>
      <c r="F4" s="41"/>
      <c r="G4" s="43"/>
    </row>
    <row r="5" spans="1:7" ht="33.75" customHeight="1" x14ac:dyDescent="0.35">
      <c r="A5" s="44">
        <v>2</v>
      </c>
      <c r="B5" s="45"/>
      <c r="C5" s="45"/>
      <c r="D5" s="46"/>
      <c r="E5" s="47"/>
      <c r="F5" s="46"/>
      <c r="G5" s="43"/>
    </row>
    <row r="6" spans="1:7" ht="33.75" customHeight="1" x14ac:dyDescent="0.35">
      <c r="A6" s="39">
        <v>3</v>
      </c>
      <c r="B6" s="48"/>
      <c r="C6" s="40"/>
      <c r="D6" s="41"/>
      <c r="E6" s="49"/>
      <c r="F6" s="41"/>
      <c r="G6" s="43"/>
    </row>
    <row r="7" spans="1:7" ht="33.75" customHeight="1" x14ac:dyDescent="0.35">
      <c r="A7" s="44">
        <v>4</v>
      </c>
      <c r="B7" s="50"/>
      <c r="C7" s="45"/>
      <c r="D7" s="46"/>
      <c r="E7" s="51"/>
      <c r="F7" s="46"/>
      <c r="G7" s="43"/>
    </row>
    <row r="8" spans="1:7" ht="33.75" customHeight="1" x14ac:dyDescent="0.35">
      <c r="A8" s="39">
        <v>5</v>
      </c>
      <c r="B8" s="48"/>
      <c r="C8" s="40"/>
      <c r="D8" s="41"/>
      <c r="E8" s="49"/>
      <c r="F8" s="41"/>
      <c r="G8" s="43"/>
    </row>
    <row r="9" spans="1:7" ht="33.75" customHeight="1" x14ac:dyDescent="0.35">
      <c r="A9" s="44">
        <v>6</v>
      </c>
      <c r="B9" s="50"/>
      <c r="C9" s="45"/>
      <c r="D9" s="46"/>
      <c r="E9" s="51"/>
      <c r="F9" s="46"/>
      <c r="G9" s="43"/>
    </row>
    <row r="10" spans="1:7" ht="33.75" customHeight="1" x14ac:dyDescent="0.35">
      <c r="A10" s="39">
        <v>7</v>
      </c>
      <c r="B10" s="48"/>
      <c r="C10" s="40"/>
      <c r="D10" s="41"/>
      <c r="E10" s="49"/>
      <c r="F10" s="41"/>
      <c r="G10" s="43"/>
    </row>
    <row r="11" spans="1:7" ht="33.75" customHeight="1" x14ac:dyDescent="0.35">
      <c r="A11" s="44">
        <v>8</v>
      </c>
      <c r="B11" s="50"/>
      <c r="C11" s="45"/>
      <c r="D11" s="46"/>
      <c r="E11" s="51"/>
      <c r="F11" s="46"/>
      <c r="G11" s="43"/>
    </row>
    <row r="12" spans="1:7" ht="33.75" customHeight="1" x14ac:dyDescent="0.35">
      <c r="A12" s="39">
        <v>9</v>
      </c>
      <c r="B12" s="48"/>
      <c r="C12" s="40"/>
      <c r="D12" s="41"/>
      <c r="E12" s="49"/>
      <c r="F12" s="41"/>
      <c r="G12" s="43"/>
    </row>
    <row r="13" spans="1:7" ht="33.75" customHeight="1" x14ac:dyDescent="0.35">
      <c r="A13" s="44">
        <v>10</v>
      </c>
      <c r="B13" s="50"/>
      <c r="C13" s="45"/>
      <c r="D13" s="46"/>
      <c r="E13" s="51"/>
      <c r="F13" s="46"/>
      <c r="G13" s="43"/>
    </row>
    <row r="14" spans="1:7" ht="33.75" customHeight="1" x14ac:dyDescent="0.35">
      <c r="A14" s="39">
        <v>11</v>
      </c>
      <c r="B14" s="48"/>
      <c r="C14" s="40"/>
      <c r="D14" s="41"/>
      <c r="E14" s="49"/>
      <c r="F14" s="41"/>
      <c r="G14" s="43"/>
    </row>
    <row r="15" spans="1:7" ht="33.75" customHeight="1" x14ac:dyDescent="0.35">
      <c r="A15" s="44">
        <v>12</v>
      </c>
      <c r="B15" s="50"/>
      <c r="C15" s="45"/>
      <c r="D15" s="46"/>
      <c r="E15" s="51"/>
      <c r="F15" s="46"/>
      <c r="G15" s="43"/>
    </row>
    <row r="16" spans="1:7" ht="33.75" customHeight="1" x14ac:dyDescent="0.35">
      <c r="A16" s="39">
        <v>13</v>
      </c>
      <c r="B16" s="48"/>
      <c r="C16" s="40"/>
      <c r="D16" s="41"/>
      <c r="E16" s="49"/>
      <c r="F16" s="41"/>
      <c r="G16" s="43"/>
    </row>
    <row r="17" spans="1:7" ht="33.75" customHeight="1" x14ac:dyDescent="0.35">
      <c r="A17" s="44">
        <v>14</v>
      </c>
      <c r="B17" s="50"/>
      <c r="C17" s="45"/>
      <c r="D17" s="46"/>
      <c r="E17" s="51"/>
      <c r="F17" s="46"/>
      <c r="G17" s="43"/>
    </row>
    <row r="18" spans="1:7" ht="33.75" customHeight="1" x14ac:dyDescent="0.35">
      <c r="A18" s="39">
        <v>15</v>
      </c>
      <c r="B18" s="48"/>
      <c r="C18" s="40"/>
      <c r="D18" s="41"/>
      <c r="E18" s="49"/>
      <c r="F18" s="41"/>
      <c r="G18" s="43"/>
    </row>
    <row r="19" spans="1:7" ht="33.75" customHeight="1" x14ac:dyDescent="0.35">
      <c r="A19" s="44">
        <v>16</v>
      </c>
      <c r="B19" s="50"/>
      <c r="C19" s="45"/>
      <c r="D19" s="46"/>
      <c r="E19" s="51"/>
      <c r="F19" s="46"/>
      <c r="G19" s="43"/>
    </row>
    <row r="20" spans="1:7" ht="33.75" customHeight="1" x14ac:dyDescent="0.35">
      <c r="A20" s="39">
        <v>17</v>
      </c>
      <c r="B20" s="48"/>
      <c r="C20" s="40"/>
      <c r="D20" s="41"/>
      <c r="E20" s="49"/>
      <c r="F20" s="41"/>
      <c r="G20" s="43"/>
    </row>
    <row r="21" spans="1:7" ht="33.75" customHeight="1" x14ac:dyDescent="0.35">
      <c r="A21" s="44">
        <v>18</v>
      </c>
      <c r="B21" s="50"/>
      <c r="C21" s="45"/>
      <c r="D21" s="46"/>
      <c r="E21" s="51"/>
      <c r="F21" s="46"/>
      <c r="G21" s="43"/>
    </row>
    <row r="22" spans="1:7" ht="33.75" customHeight="1" x14ac:dyDescent="0.35">
      <c r="A22" s="39">
        <v>19</v>
      </c>
      <c r="B22" s="48"/>
      <c r="C22" s="40"/>
      <c r="D22" s="41"/>
      <c r="E22" s="49"/>
      <c r="F22" s="41"/>
      <c r="G22" s="43"/>
    </row>
    <row r="23" spans="1:7" ht="33.75" customHeight="1" x14ac:dyDescent="0.35">
      <c r="A23" s="44">
        <v>20</v>
      </c>
      <c r="B23" s="50"/>
      <c r="C23" s="45"/>
      <c r="D23" s="46"/>
      <c r="E23" s="51"/>
      <c r="F23" s="46"/>
      <c r="G23" s="43"/>
    </row>
    <row r="24" spans="1:7" ht="33.75" customHeight="1" x14ac:dyDescent="0.35">
      <c r="A24" s="39">
        <v>21</v>
      </c>
      <c r="B24" s="48"/>
      <c r="C24" s="40"/>
      <c r="D24" s="41"/>
      <c r="E24" s="49"/>
      <c r="F24" s="41"/>
      <c r="G24" s="43"/>
    </row>
    <row r="25" spans="1:7" ht="33.75" customHeight="1" x14ac:dyDescent="0.35">
      <c r="A25" s="44">
        <v>22</v>
      </c>
      <c r="B25" s="50"/>
      <c r="C25" s="45"/>
      <c r="D25" s="46"/>
      <c r="E25" s="51"/>
      <c r="F25" s="46"/>
      <c r="G25" s="43"/>
    </row>
    <row r="26" spans="1:7" ht="33.75" customHeight="1" x14ac:dyDescent="0.35">
      <c r="A26" s="39">
        <v>23</v>
      </c>
      <c r="B26" s="48"/>
      <c r="C26" s="40"/>
      <c r="D26" s="41"/>
      <c r="E26" s="49"/>
      <c r="F26" s="41"/>
      <c r="G26" s="43"/>
    </row>
    <row r="27" spans="1:7" ht="33.75" customHeight="1" x14ac:dyDescent="0.35">
      <c r="A27" s="44">
        <v>24</v>
      </c>
      <c r="B27" s="50"/>
      <c r="C27" s="45"/>
      <c r="D27" s="46"/>
      <c r="E27" s="51"/>
      <c r="F27" s="46"/>
      <c r="G27" s="43"/>
    </row>
    <row r="28" spans="1:7" ht="33.75" customHeight="1" x14ac:dyDescent="0.35">
      <c r="A28" s="39">
        <v>25</v>
      </c>
      <c r="B28" s="48"/>
      <c r="C28" s="40"/>
      <c r="D28" s="41"/>
      <c r="E28" s="49"/>
      <c r="F28" s="41"/>
      <c r="G28" s="43"/>
    </row>
    <row r="29" spans="1:7" ht="33.75" customHeight="1" x14ac:dyDescent="0.35">
      <c r="A29" s="44">
        <v>26</v>
      </c>
      <c r="B29" s="50"/>
      <c r="C29" s="45"/>
      <c r="D29" s="46"/>
      <c r="E29" s="51"/>
      <c r="F29" s="46"/>
      <c r="G29" s="43"/>
    </row>
    <row r="30" spans="1:7" ht="33.75" customHeight="1" x14ac:dyDescent="0.35">
      <c r="A30" s="39">
        <v>27</v>
      </c>
      <c r="B30" s="48"/>
      <c r="C30" s="40"/>
      <c r="D30" s="41"/>
      <c r="E30" s="49"/>
      <c r="F30" s="41"/>
      <c r="G30" s="43"/>
    </row>
    <row r="31" spans="1:7" ht="33.75" customHeight="1" x14ac:dyDescent="0.35">
      <c r="A31" s="44">
        <v>28</v>
      </c>
      <c r="B31" s="50"/>
      <c r="C31" s="45"/>
      <c r="D31" s="46"/>
      <c r="E31" s="51"/>
      <c r="F31" s="46"/>
      <c r="G31" s="43"/>
    </row>
    <row r="32" spans="1:7" ht="33.75" customHeight="1" x14ac:dyDescent="0.35">
      <c r="A32" s="39">
        <v>29</v>
      </c>
      <c r="B32" s="48"/>
      <c r="C32" s="40"/>
      <c r="D32" s="41"/>
      <c r="E32" s="49"/>
      <c r="F32" s="41"/>
      <c r="G32" s="43"/>
    </row>
    <row r="33" spans="1:7" ht="33.75" customHeight="1" x14ac:dyDescent="0.35">
      <c r="A33" s="44">
        <v>30</v>
      </c>
      <c r="B33" s="50"/>
      <c r="C33" s="45"/>
      <c r="D33" s="46"/>
      <c r="E33" s="51"/>
      <c r="F33" s="46"/>
      <c r="G33" s="43"/>
    </row>
    <row r="34" spans="1:7" ht="33.75" customHeight="1" x14ac:dyDescent="0.35">
      <c r="A34" s="39">
        <v>31</v>
      </c>
      <c r="B34" s="48"/>
      <c r="C34" s="40"/>
      <c r="D34" s="41"/>
      <c r="E34" s="49"/>
      <c r="F34" s="41"/>
      <c r="G34" s="43"/>
    </row>
    <row r="35" spans="1:7" ht="33.75" customHeight="1" x14ac:dyDescent="0.35">
      <c r="A35" s="44">
        <v>32</v>
      </c>
      <c r="B35" s="50"/>
      <c r="C35" s="45"/>
      <c r="D35" s="46"/>
      <c r="E35" s="51"/>
      <c r="F35" s="46"/>
      <c r="G35" s="43"/>
    </row>
    <row r="36" spans="1:7" ht="33.75" customHeight="1" x14ac:dyDescent="0.35">
      <c r="A36" s="39">
        <v>33</v>
      </c>
      <c r="B36" s="48"/>
      <c r="C36" s="40"/>
      <c r="D36" s="41"/>
      <c r="E36" s="49"/>
      <c r="F36" s="41"/>
      <c r="G36" s="43"/>
    </row>
    <row r="37" spans="1:7" ht="33.75" customHeight="1" x14ac:dyDescent="0.35">
      <c r="A37" s="44">
        <v>34</v>
      </c>
      <c r="B37" s="50"/>
      <c r="C37" s="45"/>
      <c r="D37" s="46"/>
      <c r="E37" s="51"/>
      <c r="F37" s="46"/>
      <c r="G37" s="43"/>
    </row>
    <row r="38" spans="1:7" ht="33.75" customHeight="1" x14ac:dyDescent="0.35">
      <c r="A38" s="39">
        <v>35</v>
      </c>
      <c r="B38" s="48"/>
      <c r="C38" s="40"/>
      <c r="D38" s="41"/>
      <c r="E38" s="49"/>
      <c r="F38" s="41"/>
      <c r="G38" s="43"/>
    </row>
    <row r="39" spans="1:7" ht="33.75" customHeight="1" x14ac:dyDescent="0.35">
      <c r="A39" s="44">
        <v>36</v>
      </c>
      <c r="B39" s="50"/>
      <c r="C39" s="45"/>
      <c r="D39" s="46"/>
      <c r="E39" s="51"/>
      <c r="F39" s="46"/>
      <c r="G39" s="43"/>
    </row>
    <row r="40" spans="1:7" ht="33.75" customHeight="1" x14ac:dyDescent="0.35">
      <c r="A40" s="39">
        <v>37</v>
      </c>
      <c r="B40" s="48"/>
      <c r="C40" s="40"/>
      <c r="D40" s="41"/>
      <c r="E40" s="49"/>
      <c r="F40" s="41"/>
      <c r="G40" s="43"/>
    </row>
    <row r="41" spans="1:7" ht="33.75" customHeight="1" x14ac:dyDescent="0.35">
      <c r="A41" s="44">
        <v>38</v>
      </c>
      <c r="B41" s="50"/>
      <c r="C41" s="45"/>
      <c r="D41" s="46"/>
      <c r="E41" s="51"/>
      <c r="F41" s="46"/>
      <c r="G41" s="43"/>
    </row>
    <row r="42" spans="1:7" ht="33.75" customHeight="1" x14ac:dyDescent="0.35">
      <c r="A42" s="39">
        <v>39</v>
      </c>
      <c r="B42" s="48"/>
      <c r="C42" s="40"/>
      <c r="D42" s="41"/>
      <c r="E42" s="49"/>
      <c r="F42" s="41"/>
      <c r="G42" s="43"/>
    </row>
    <row r="43" spans="1:7" ht="33.75" customHeight="1" x14ac:dyDescent="0.35">
      <c r="A43" s="44">
        <v>40</v>
      </c>
      <c r="B43" s="50"/>
      <c r="C43" s="45"/>
      <c r="D43" s="46"/>
      <c r="E43" s="51"/>
      <c r="F43" s="46"/>
      <c r="G43" s="43"/>
    </row>
    <row r="44" spans="1:7" ht="33.75" customHeight="1" x14ac:dyDescent="0.35">
      <c r="A44" s="39">
        <v>41</v>
      </c>
      <c r="B44" s="48"/>
      <c r="C44" s="40"/>
      <c r="D44" s="41"/>
      <c r="E44" s="49"/>
      <c r="F44" s="41"/>
      <c r="G44" s="43"/>
    </row>
    <row r="45" spans="1:7" ht="33.75" customHeight="1" x14ac:dyDescent="0.35">
      <c r="A45" s="44">
        <v>42</v>
      </c>
      <c r="B45" s="50"/>
      <c r="C45" s="45"/>
      <c r="D45" s="46"/>
      <c r="E45" s="51"/>
      <c r="F45" s="46"/>
      <c r="G45" s="43"/>
    </row>
    <row r="46" spans="1:7" ht="33.75" customHeight="1" x14ac:dyDescent="0.35">
      <c r="A46" s="39">
        <v>43</v>
      </c>
      <c r="B46" s="48"/>
      <c r="C46" s="40"/>
      <c r="D46" s="41"/>
      <c r="E46" s="49"/>
      <c r="F46" s="41"/>
      <c r="G46" s="43"/>
    </row>
    <row r="47" spans="1:7" ht="33.75" customHeight="1" x14ac:dyDescent="0.35">
      <c r="A47" s="44">
        <v>44</v>
      </c>
      <c r="B47" s="50"/>
      <c r="C47" s="45"/>
      <c r="D47" s="46"/>
      <c r="E47" s="51"/>
      <c r="F47" s="46"/>
      <c r="G47" s="43"/>
    </row>
    <row r="48" spans="1:7" ht="33.75" customHeight="1" x14ac:dyDescent="0.35">
      <c r="A48" s="39">
        <v>45</v>
      </c>
      <c r="B48" s="48"/>
      <c r="C48" s="40"/>
      <c r="D48" s="41"/>
      <c r="E48" s="49"/>
      <c r="F48" s="41"/>
      <c r="G48" s="43"/>
    </row>
    <row r="49" spans="1:7" ht="33.75" customHeight="1" x14ac:dyDescent="0.35">
      <c r="A49" s="44">
        <v>46</v>
      </c>
      <c r="B49" s="50"/>
      <c r="C49" s="45"/>
      <c r="D49" s="46"/>
      <c r="E49" s="51"/>
      <c r="F49" s="46"/>
      <c r="G49" s="43"/>
    </row>
    <row r="50" spans="1:7" ht="33.75" customHeight="1" x14ac:dyDescent="0.35">
      <c r="A50" s="39">
        <v>47</v>
      </c>
      <c r="B50" s="48"/>
      <c r="C50" s="40"/>
      <c r="D50" s="41"/>
      <c r="E50" s="49"/>
      <c r="F50" s="41"/>
      <c r="G50" s="43"/>
    </row>
    <row r="51" spans="1:7" ht="33.75" customHeight="1" x14ac:dyDescent="0.35">
      <c r="A51" s="44">
        <v>48</v>
      </c>
      <c r="B51" s="50"/>
      <c r="C51" s="45"/>
      <c r="D51" s="46"/>
      <c r="E51" s="51"/>
      <c r="F51" s="46"/>
      <c r="G51" s="43"/>
    </row>
    <row r="52" spans="1:7" ht="33.75" customHeight="1" x14ac:dyDescent="0.35">
      <c r="A52" s="39">
        <v>49</v>
      </c>
      <c r="B52" s="48"/>
      <c r="C52" s="40"/>
      <c r="D52" s="41"/>
      <c r="E52" s="49"/>
      <c r="F52" s="41"/>
      <c r="G52" s="43"/>
    </row>
    <row r="53" spans="1:7" ht="33.75" customHeight="1" x14ac:dyDescent="0.35">
      <c r="A53" s="44">
        <v>50</v>
      </c>
      <c r="B53" s="50"/>
      <c r="C53" s="45"/>
      <c r="D53" s="46"/>
      <c r="E53" s="51"/>
      <c r="F53" s="46"/>
      <c r="G53" s="43"/>
    </row>
  </sheetData>
  <mergeCells count="1">
    <mergeCell ref="A1:G1"/>
  </mergeCells>
  <dataValidations count="3">
    <dataValidation type="list" allowBlank="1" sqref="C4:C53" xr:uid="{5FCB302E-69EB-4502-9968-D2B6B57A452C}">
      <formula1>"1 - Strategy &amp; Guidance,2 - Needs Identification,3 - Affordability Estimate,4 - Tender Pack Development,5 - Detailed Cost Estimate,6 - Supplier Selection,7 - Contracting,8 - Contract Execution,9 - Contract Closure"</formula1>
      <formula2>0</formula2>
    </dataValidation>
    <dataValidation type="list" allowBlank="1" sqref="D4:D53" xr:uid="{3B3AA10A-AC14-4985-95D0-282DAB3AE492}">
      <formula1>"عالي,متوسط,منخفض"</formula1>
      <formula2>0</formula2>
    </dataValidation>
    <dataValidation type="list" allowBlank="1" sqref="F4:F53" xr:uid="{5D366DC4-37D1-4651-8B85-EDCA871F2B13}">
      <formula1>"مفتوح,قيد المعالجة,مغلق"</formula1>
      <formula2>0</formula2>
    </dataValidation>
  </dataValidations>
  <pageMargins left="0.75" right="0.75" top="1" bottom="1"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tabColor rgb="FF002060"/>
  </sheetPr>
  <dimension ref="A1:G72"/>
  <sheetViews>
    <sheetView showGridLines="0" rightToLeft="1" topLeftCell="A29" zoomScale="78" zoomScaleNormal="84" zoomScaleSheetLayoutView="76" workbookViewId="0">
      <selection activeCell="B32" sqref="B32"/>
    </sheetView>
  </sheetViews>
  <sheetFormatPr defaultColWidth="8.6328125" defaultRowHeight="14.5" x14ac:dyDescent="0.35"/>
  <cols>
    <col min="1" max="1" width="10.453125" style="1" bestFit="1" customWidth="1"/>
    <col min="2" max="2" width="16" style="1" customWidth="1"/>
    <col min="3" max="3" width="30" style="1" customWidth="1"/>
    <col min="4" max="4" width="26" style="1" customWidth="1"/>
    <col min="5" max="6" width="50.6328125" style="1" customWidth="1"/>
    <col min="7" max="7" width="14" style="1" customWidth="1"/>
  </cols>
  <sheetData>
    <row r="1" spans="1:7" ht="31.5" customHeight="1" x14ac:dyDescent="0.35">
      <c r="A1" s="114" t="str">
        <f>IF(B4="","PP-01",B4)</f>
        <v>توفير مواد خام وقطع الغيار لمطابع وزارة الدفاع (اتفاقية اطارية)</v>
      </c>
      <c r="B1" s="115"/>
      <c r="C1" s="115"/>
      <c r="D1" s="116"/>
    </row>
    <row r="2" spans="1:7" ht="3" customHeight="1" x14ac:dyDescent="0.35">
      <c r="A2" s="12"/>
      <c r="B2" s="12"/>
      <c r="C2" s="12"/>
      <c r="D2" s="12"/>
    </row>
    <row r="3" spans="1:7" ht="21.75" customHeight="1" x14ac:dyDescent="0.35">
      <c r="A3" s="118" t="s">
        <v>4</v>
      </c>
      <c r="B3" s="115"/>
      <c r="C3" s="115"/>
      <c r="D3" s="116"/>
    </row>
    <row r="4" spans="1:7" ht="27.75" customHeight="1" x14ac:dyDescent="0.35">
      <c r="A4" s="13" t="s">
        <v>1</v>
      </c>
      <c r="B4" s="119" t="s">
        <v>60</v>
      </c>
      <c r="C4" s="115"/>
      <c r="D4" s="116"/>
      <c r="E4" s="24"/>
    </row>
    <row r="5" spans="1:7" ht="24" customHeight="1" x14ac:dyDescent="0.35">
      <c r="A5" s="13" t="s">
        <v>3</v>
      </c>
      <c r="B5" s="9" t="s">
        <v>61</v>
      </c>
      <c r="C5" s="13" t="s">
        <v>2</v>
      </c>
      <c r="D5" s="14" t="s">
        <v>62</v>
      </c>
    </row>
    <row r="6" spans="1:7" ht="7.5" customHeight="1" x14ac:dyDescent="0.35"/>
    <row r="7" spans="1:7" ht="21.75" customHeight="1" x14ac:dyDescent="0.35">
      <c r="A7" s="118" t="s">
        <v>5</v>
      </c>
      <c r="B7" s="115"/>
      <c r="C7" s="115"/>
      <c r="D7" s="115"/>
      <c r="E7" s="25" t="s">
        <v>30</v>
      </c>
      <c r="F7" s="26"/>
      <c r="G7"/>
    </row>
    <row r="8" spans="1:7" ht="24" customHeight="1" x14ac:dyDescent="0.35">
      <c r="A8" s="13" t="s">
        <v>21</v>
      </c>
      <c r="B8" s="117" t="str">
        <f>IFERROR(LOOKUP(2,1/(C13:C72&lt;&gt;""),C13:C72),"—")</f>
        <v>4 - Tender Pack Development</v>
      </c>
      <c r="C8" s="115"/>
      <c r="D8" s="115"/>
      <c r="E8" s="27" t="s">
        <v>29</v>
      </c>
      <c r="F8" s="26"/>
      <c r="G8"/>
    </row>
    <row r="9" spans="1:7" ht="24" customHeight="1" x14ac:dyDescent="0.35">
      <c r="A9" s="13" t="s">
        <v>22</v>
      </c>
      <c r="B9" s="120">
        <f>IFERROR(LOOKUP(2,1/(B13:B72&lt;&gt;""),B13:B72),"—")</f>
        <v>46180</v>
      </c>
      <c r="C9" s="121"/>
      <c r="D9" s="121"/>
      <c r="E9" s="25" t="s">
        <v>31</v>
      </c>
      <c r="F9" s="26"/>
      <c r="G9"/>
    </row>
    <row r="10" spans="1:7" ht="24" customHeight="1" x14ac:dyDescent="0.35">
      <c r="A10" s="13" t="s">
        <v>10</v>
      </c>
      <c r="B10" s="112" t="str">
        <f>IFERROR(INDEX(E13:E72,MATCH(MAX(B13:B72),B13:B72,0)),"—")</f>
        <v xml:space="preserve">لايوجد أي جراء على مقدر التكلفة </v>
      </c>
      <c r="C10" s="113"/>
      <c r="D10" s="113"/>
      <c r="E10" s="25" t="s">
        <v>32</v>
      </c>
      <c r="F10" s="26"/>
      <c r="G10"/>
    </row>
    <row r="11" spans="1:7" ht="27.75" customHeight="1" x14ac:dyDescent="0.35">
      <c r="A11" s="110" t="s">
        <v>20</v>
      </c>
      <c r="B11" s="111"/>
      <c r="C11" s="111"/>
      <c r="D11" s="111"/>
      <c r="E11" s="111"/>
      <c r="F11" s="111"/>
      <c r="G11" s="111"/>
    </row>
    <row r="12" spans="1:7" ht="30" customHeight="1" x14ac:dyDescent="0.35">
      <c r="A12" s="15" t="s">
        <v>6</v>
      </c>
      <c r="B12" s="15" t="s">
        <v>7</v>
      </c>
      <c r="C12" s="15" t="s">
        <v>8</v>
      </c>
      <c r="D12" s="15" t="s">
        <v>9</v>
      </c>
      <c r="E12" s="15" t="s">
        <v>10</v>
      </c>
      <c r="F12" s="15" t="s">
        <v>11</v>
      </c>
      <c r="G12" s="15" t="s">
        <v>5</v>
      </c>
    </row>
    <row r="13" spans="1:7" ht="36" customHeight="1" x14ac:dyDescent="0.35">
      <c r="A13" s="16">
        <v>1</v>
      </c>
      <c r="B13" s="70">
        <v>46082</v>
      </c>
      <c r="C13" s="71" t="s">
        <v>72</v>
      </c>
      <c r="D13" s="71" t="s">
        <v>15</v>
      </c>
      <c r="E13" s="69" t="s">
        <v>115</v>
      </c>
      <c r="F13" s="72"/>
      <c r="G13" s="14" t="s">
        <v>41</v>
      </c>
    </row>
    <row r="14" spans="1:7" ht="36" customHeight="1" x14ac:dyDescent="0.35">
      <c r="A14" s="16">
        <v>2</v>
      </c>
      <c r="B14" s="70">
        <v>46086</v>
      </c>
      <c r="C14" s="73" t="s">
        <v>72</v>
      </c>
      <c r="D14" s="73" t="s">
        <v>15</v>
      </c>
      <c r="E14" s="57" t="s">
        <v>116</v>
      </c>
      <c r="F14" s="74" t="s">
        <v>117</v>
      </c>
      <c r="G14" s="63" t="s">
        <v>41</v>
      </c>
    </row>
    <row r="15" spans="1:7" ht="36" customHeight="1" x14ac:dyDescent="0.35">
      <c r="A15" s="16">
        <v>3</v>
      </c>
      <c r="B15" s="70">
        <v>46092</v>
      </c>
      <c r="C15" s="73" t="s">
        <v>72</v>
      </c>
      <c r="D15" s="73" t="s">
        <v>15</v>
      </c>
      <c r="E15" s="57" t="s">
        <v>118</v>
      </c>
      <c r="F15" s="74"/>
      <c r="G15" s="63" t="s">
        <v>41</v>
      </c>
    </row>
    <row r="16" spans="1:7" ht="36" customHeight="1" x14ac:dyDescent="0.35">
      <c r="A16" s="16">
        <v>4</v>
      </c>
      <c r="B16" s="70">
        <v>46111</v>
      </c>
      <c r="C16" s="71" t="s">
        <v>72</v>
      </c>
      <c r="D16" s="71" t="s">
        <v>15</v>
      </c>
      <c r="E16" s="72" t="s">
        <v>119</v>
      </c>
      <c r="F16" s="72" t="s">
        <v>120</v>
      </c>
      <c r="G16" s="63" t="s">
        <v>41</v>
      </c>
    </row>
    <row r="17" spans="1:7" ht="36" customHeight="1" x14ac:dyDescent="0.35">
      <c r="A17" s="16">
        <v>5</v>
      </c>
      <c r="B17" s="70">
        <v>46112</v>
      </c>
      <c r="C17" s="71" t="s">
        <v>72</v>
      </c>
      <c r="D17" s="71" t="s">
        <v>15</v>
      </c>
      <c r="E17" s="72" t="s">
        <v>121</v>
      </c>
      <c r="F17" s="72"/>
      <c r="G17" s="63" t="s">
        <v>41</v>
      </c>
    </row>
    <row r="18" spans="1:7" ht="36" customHeight="1" x14ac:dyDescent="0.35">
      <c r="A18" s="16">
        <v>6</v>
      </c>
      <c r="B18" s="70">
        <v>46112</v>
      </c>
      <c r="C18" s="73" t="s">
        <v>72</v>
      </c>
      <c r="D18" s="73" t="s">
        <v>15</v>
      </c>
      <c r="E18" s="74" t="s">
        <v>122</v>
      </c>
      <c r="F18" s="74"/>
      <c r="G18" s="63" t="s">
        <v>41</v>
      </c>
    </row>
    <row r="19" spans="1:7" ht="36" customHeight="1" x14ac:dyDescent="0.35">
      <c r="A19" s="16">
        <v>7</v>
      </c>
      <c r="B19" s="70">
        <v>46112</v>
      </c>
      <c r="C19" s="71" t="s">
        <v>72</v>
      </c>
      <c r="D19" s="71" t="s">
        <v>15</v>
      </c>
      <c r="E19" s="72" t="s">
        <v>123</v>
      </c>
      <c r="F19" s="72" t="s">
        <v>124</v>
      </c>
      <c r="G19" s="63" t="s">
        <v>41</v>
      </c>
    </row>
    <row r="20" spans="1:7" ht="36" customHeight="1" x14ac:dyDescent="0.35">
      <c r="A20" s="16">
        <v>8</v>
      </c>
      <c r="B20" s="70">
        <v>46114</v>
      </c>
      <c r="C20" s="73" t="s">
        <v>72</v>
      </c>
      <c r="D20" s="73" t="s">
        <v>17</v>
      </c>
      <c r="E20" s="74" t="s">
        <v>125</v>
      </c>
      <c r="F20" s="74"/>
      <c r="G20" s="63" t="s">
        <v>41</v>
      </c>
    </row>
    <row r="21" spans="1:7" ht="36" customHeight="1" x14ac:dyDescent="0.35">
      <c r="A21" s="16">
        <v>9</v>
      </c>
      <c r="B21" s="70">
        <v>46118</v>
      </c>
      <c r="C21" s="71" t="s">
        <v>72</v>
      </c>
      <c r="D21" s="71" t="s">
        <v>15</v>
      </c>
      <c r="E21" s="72" t="s">
        <v>126</v>
      </c>
      <c r="F21" s="72"/>
      <c r="G21" s="63" t="s">
        <v>41</v>
      </c>
    </row>
    <row r="22" spans="1:7" ht="36" customHeight="1" x14ac:dyDescent="0.35">
      <c r="A22" s="16">
        <v>10</v>
      </c>
      <c r="B22" s="70">
        <v>46119</v>
      </c>
      <c r="C22" s="71" t="s">
        <v>72</v>
      </c>
      <c r="D22" s="71" t="s">
        <v>15</v>
      </c>
      <c r="E22" s="72" t="s">
        <v>127</v>
      </c>
      <c r="F22" s="72"/>
      <c r="G22" s="63" t="s">
        <v>41</v>
      </c>
    </row>
    <row r="23" spans="1:7" ht="36" customHeight="1" x14ac:dyDescent="0.35">
      <c r="A23" s="16">
        <v>11</v>
      </c>
      <c r="B23" s="70">
        <v>46121</v>
      </c>
      <c r="C23" s="71" t="s">
        <v>72</v>
      </c>
      <c r="D23" s="71" t="s">
        <v>18</v>
      </c>
      <c r="E23" s="72" t="s">
        <v>128</v>
      </c>
      <c r="F23" s="74"/>
      <c r="G23" s="63" t="s">
        <v>41</v>
      </c>
    </row>
    <row r="24" spans="1:7" ht="36" customHeight="1" x14ac:dyDescent="0.35">
      <c r="A24" s="16">
        <v>12</v>
      </c>
      <c r="B24" s="70">
        <v>46124</v>
      </c>
      <c r="C24" s="71" t="s">
        <v>72</v>
      </c>
      <c r="D24" s="71" t="s">
        <v>18</v>
      </c>
      <c r="E24" s="72" t="s">
        <v>129</v>
      </c>
      <c r="F24" s="74"/>
      <c r="G24" s="63" t="s">
        <v>41</v>
      </c>
    </row>
    <row r="25" spans="1:7" ht="36" customHeight="1" x14ac:dyDescent="0.35">
      <c r="A25" s="16">
        <v>13</v>
      </c>
      <c r="B25" s="70">
        <v>46126</v>
      </c>
      <c r="C25" s="71" t="s">
        <v>72</v>
      </c>
      <c r="D25" s="71" t="s">
        <v>19</v>
      </c>
      <c r="E25" s="72" t="s">
        <v>130</v>
      </c>
      <c r="F25" s="74" t="s">
        <v>131</v>
      </c>
      <c r="G25" s="63" t="s">
        <v>41</v>
      </c>
    </row>
    <row r="26" spans="1:7" ht="36" customHeight="1" x14ac:dyDescent="0.35">
      <c r="A26" s="16">
        <v>14</v>
      </c>
      <c r="B26" s="70">
        <v>46128</v>
      </c>
      <c r="C26" s="71" t="s">
        <v>72</v>
      </c>
      <c r="D26" s="71" t="s">
        <v>19</v>
      </c>
      <c r="E26" s="72" t="s">
        <v>77</v>
      </c>
      <c r="F26" s="74" t="s">
        <v>132</v>
      </c>
      <c r="G26" s="63" t="s">
        <v>41</v>
      </c>
    </row>
    <row r="27" spans="1:7" ht="36" customHeight="1" x14ac:dyDescent="0.35">
      <c r="A27" s="16">
        <v>15</v>
      </c>
      <c r="B27" s="70">
        <v>46145</v>
      </c>
      <c r="C27" s="71" t="s">
        <v>72</v>
      </c>
      <c r="D27" s="71" t="s">
        <v>15</v>
      </c>
      <c r="E27" s="72" t="s">
        <v>133</v>
      </c>
      <c r="F27" s="72"/>
      <c r="G27" s="63" t="s">
        <v>41</v>
      </c>
    </row>
    <row r="28" spans="1:7" ht="36" customHeight="1" x14ac:dyDescent="0.35">
      <c r="A28" s="16">
        <v>16</v>
      </c>
      <c r="B28" s="70">
        <v>46152</v>
      </c>
      <c r="C28" s="71" t="s">
        <v>72</v>
      </c>
      <c r="D28" s="71" t="s">
        <v>15</v>
      </c>
      <c r="E28" s="72" t="s">
        <v>134</v>
      </c>
      <c r="F28" s="74" t="s">
        <v>135</v>
      </c>
      <c r="G28" s="63" t="s">
        <v>41</v>
      </c>
    </row>
    <row r="29" spans="1:7" ht="36" customHeight="1" x14ac:dyDescent="0.35">
      <c r="A29" s="16">
        <v>17</v>
      </c>
      <c r="B29" s="86">
        <v>46156</v>
      </c>
      <c r="C29" s="17" t="s">
        <v>163</v>
      </c>
      <c r="D29" s="17" t="s">
        <v>15</v>
      </c>
      <c r="E29" s="8" t="s">
        <v>148</v>
      </c>
      <c r="F29" s="81" t="s">
        <v>148</v>
      </c>
      <c r="G29" s="14" t="s">
        <v>41</v>
      </c>
    </row>
    <row r="30" spans="1:7" ht="36" customHeight="1" x14ac:dyDescent="0.35">
      <c r="A30" s="16">
        <v>18</v>
      </c>
      <c r="B30" s="89">
        <v>46180</v>
      </c>
      <c r="C30" s="95" t="s">
        <v>163</v>
      </c>
      <c r="D30" s="95" t="s">
        <v>15</v>
      </c>
      <c r="E30" s="93" t="s">
        <v>157</v>
      </c>
      <c r="F30" s="93" t="s">
        <v>158</v>
      </c>
      <c r="G30" s="14" t="s">
        <v>41</v>
      </c>
    </row>
    <row r="31" spans="1:7" ht="36" customHeight="1" x14ac:dyDescent="0.35">
      <c r="A31" s="16">
        <v>19</v>
      </c>
      <c r="B31" s="22"/>
      <c r="C31" s="94"/>
      <c r="D31" s="94"/>
      <c r="E31" s="93"/>
      <c r="F31" s="93"/>
      <c r="G31" s="14"/>
    </row>
    <row r="32" spans="1:7" ht="36" customHeight="1" x14ac:dyDescent="0.35">
      <c r="A32" s="16">
        <v>20</v>
      </c>
      <c r="B32" s="23"/>
      <c r="C32" s="18"/>
      <c r="D32" s="18"/>
      <c r="E32" s="4"/>
      <c r="F32" s="4"/>
      <c r="G32" s="14"/>
    </row>
    <row r="33" spans="1:7" ht="36" customHeight="1" x14ac:dyDescent="0.35">
      <c r="A33" s="16">
        <v>21</v>
      </c>
      <c r="B33" s="22"/>
      <c r="C33" s="17"/>
      <c r="D33" s="17"/>
      <c r="E33" s="8"/>
      <c r="F33" s="8"/>
      <c r="G33" s="14"/>
    </row>
    <row r="34" spans="1:7" ht="36" customHeight="1" x14ac:dyDescent="0.35">
      <c r="A34" s="16">
        <v>22</v>
      </c>
      <c r="B34" s="23"/>
      <c r="C34" s="18"/>
      <c r="D34" s="18"/>
      <c r="E34" s="4"/>
      <c r="F34" s="4"/>
      <c r="G34" s="14"/>
    </row>
    <row r="35" spans="1:7" ht="36" customHeight="1" x14ac:dyDescent="0.35">
      <c r="A35" s="16">
        <v>23</v>
      </c>
      <c r="B35" s="22"/>
      <c r="C35" s="17"/>
      <c r="D35" s="17"/>
      <c r="E35" s="8"/>
      <c r="F35" s="8"/>
      <c r="G35" s="14"/>
    </row>
    <row r="36" spans="1:7" ht="36" customHeight="1" x14ac:dyDescent="0.35">
      <c r="A36" s="16">
        <v>24</v>
      </c>
      <c r="B36" s="23"/>
      <c r="C36" s="18"/>
      <c r="D36" s="18"/>
      <c r="E36" s="4"/>
      <c r="F36" s="4"/>
      <c r="G36" s="14"/>
    </row>
    <row r="37" spans="1:7" ht="36" customHeight="1" x14ac:dyDescent="0.35">
      <c r="A37" s="16">
        <v>25</v>
      </c>
      <c r="B37" s="22"/>
      <c r="C37" s="17"/>
      <c r="D37" s="17"/>
      <c r="E37" s="8"/>
      <c r="F37" s="8"/>
      <c r="G37" s="14"/>
    </row>
    <row r="38" spans="1:7" ht="36" customHeight="1" x14ac:dyDescent="0.35">
      <c r="A38" s="16">
        <v>26</v>
      </c>
      <c r="B38" s="23"/>
      <c r="C38" s="18"/>
      <c r="D38" s="18"/>
      <c r="E38" s="4"/>
      <c r="F38" s="4"/>
      <c r="G38" s="14"/>
    </row>
    <row r="39" spans="1:7" ht="36" customHeight="1" x14ac:dyDescent="0.35">
      <c r="A39" s="16">
        <v>27</v>
      </c>
      <c r="B39" s="22"/>
      <c r="C39" s="17"/>
      <c r="D39" s="17"/>
      <c r="E39" s="8"/>
      <c r="F39" s="8"/>
      <c r="G39" s="14"/>
    </row>
    <row r="40" spans="1:7" ht="36" customHeight="1" x14ac:dyDescent="0.35">
      <c r="A40" s="16">
        <v>28</v>
      </c>
      <c r="B40" s="23"/>
      <c r="C40" s="18"/>
      <c r="D40" s="18"/>
      <c r="E40" s="4"/>
      <c r="F40" s="4"/>
      <c r="G40" s="14"/>
    </row>
    <row r="41" spans="1:7" ht="36" customHeight="1" x14ac:dyDescent="0.35">
      <c r="A41" s="16">
        <v>29</v>
      </c>
      <c r="B41" s="22"/>
      <c r="C41" s="17"/>
      <c r="D41" s="17"/>
      <c r="E41" s="8"/>
      <c r="F41" s="8"/>
      <c r="G41" s="14"/>
    </row>
    <row r="42" spans="1:7" ht="36" customHeight="1" x14ac:dyDescent="0.35">
      <c r="A42" s="16">
        <v>30</v>
      </c>
      <c r="B42" s="23"/>
      <c r="C42" s="18"/>
      <c r="D42" s="18"/>
      <c r="E42" s="4"/>
      <c r="F42" s="4"/>
      <c r="G42" s="14"/>
    </row>
    <row r="43" spans="1:7" ht="36" customHeight="1" x14ac:dyDescent="0.35">
      <c r="A43" s="16">
        <v>31</v>
      </c>
      <c r="B43" s="22"/>
      <c r="C43" s="17"/>
      <c r="D43" s="17"/>
      <c r="E43" s="8"/>
      <c r="F43" s="8"/>
      <c r="G43" s="14"/>
    </row>
    <row r="44" spans="1:7" ht="36" customHeight="1" x14ac:dyDescent="0.35">
      <c r="A44" s="16">
        <v>32</v>
      </c>
      <c r="B44" s="23"/>
      <c r="C44" s="18"/>
      <c r="D44" s="18"/>
      <c r="E44" s="4"/>
      <c r="F44" s="4"/>
      <c r="G44" s="14"/>
    </row>
    <row r="45" spans="1:7" ht="36" customHeight="1" x14ac:dyDescent="0.35">
      <c r="A45" s="16">
        <v>33</v>
      </c>
      <c r="B45" s="22"/>
      <c r="C45" s="17"/>
      <c r="D45" s="17"/>
      <c r="E45" s="8"/>
      <c r="F45" s="8"/>
      <c r="G45" s="14"/>
    </row>
    <row r="46" spans="1:7" ht="36" customHeight="1" x14ac:dyDescent="0.35">
      <c r="A46" s="16">
        <v>34</v>
      </c>
      <c r="B46" s="23"/>
      <c r="C46" s="18"/>
      <c r="D46" s="18"/>
      <c r="E46" s="4"/>
      <c r="F46" s="4"/>
      <c r="G46" s="14"/>
    </row>
    <row r="47" spans="1:7" ht="36" customHeight="1" x14ac:dyDescent="0.35">
      <c r="A47" s="16">
        <v>35</v>
      </c>
      <c r="B47" s="22"/>
      <c r="C47" s="17"/>
      <c r="D47" s="17"/>
      <c r="E47" s="8"/>
      <c r="F47" s="8"/>
      <c r="G47" s="14"/>
    </row>
    <row r="48" spans="1:7" ht="36" customHeight="1" x14ac:dyDescent="0.35">
      <c r="A48" s="16">
        <v>36</v>
      </c>
      <c r="B48" s="23"/>
      <c r="C48" s="18"/>
      <c r="D48" s="18"/>
      <c r="E48" s="4"/>
      <c r="F48" s="4"/>
      <c r="G48" s="14"/>
    </row>
    <row r="49" spans="1:7" ht="36" customHeight="1" x14ac:dyDescent="0.35">
      <c r="A49" s="16">
        <v>37</v>
      </c>
      <c r="B49" s="22"/>
      <c r="C49" s="17"/>
      <c r="D49" s="17"/>
      <c r="E49" s="8"/>
      <c r="F49" s="8"/>
      <c r="G49" s="14"/>
    </row>
    <row r="50" spans="1:7" ht="36" customHeight="1" x14ac:dyDescent="0.35">
      <c r="A50" s="16">
        <v>38</v>
      </c>
      <c r="B50" s="23"/>
      <c r="C50" s="18"/>
      <c r="D50" s="18"/>
      <c r="E50" s="4"/>
      <c r="F50" s="4"/>
      <c r="G50" s="14"/>
    </row>
    <row r="51" spans="1:7" ht="36" customHeight="1" x14ac:dyDescent="0.35">
      <c r="A51" s="16">
        <v>39</v>
      </c>
      <c r="B51" s="22"/>
      <c r="C51" s="17"/>
      <c r="D51" s="17"/>
      <c r="E51" s="8"/>
      <c r="F51" s="8"/>
      <c r="G51" s="14"/>
    </row>
    <row r="52" spans="1:7" ht="36" customHeight="1" x14ac:dyDescent="0.35">
      <c r="A52" s="16">
        <v>40</v>
      </c>
      <c r="B52" s="23"/>
      <c r="C52" s="18"/>
      <c r="D52" s="18"/>
      <c r="E52" s="4"/>
      <c r="F52" s="4"/>
      <c r="G52" s="14"/>
    </row>
    <row r="53" spans="1:7" ht="36" customHeight="1" x14ac:dyDescent="0.35">
      <c r="A53" s="16">
        <v>41</v>
      </c>
      <c r="B53" s="22"/>
      <c r="C53" s="17"/>
      <c r="D53" s="17"/>
      <c r="E53" s="8"/>
      <c r="F53" s="8"/>
      <c r="G53" s="14"/>
    </row>
    <row r="54" spans="1:7" ht="36" customHeight="1" x14ac:dyDescent="0.35">
      <c r="A54" s="16">
        <v>42</v>
      </c>
      <c r="B54" s="23"/>
      <c r="C54" s="18"/>
      <c r="D54" s="18"/>
      <c r="E54" s="4"/>
      <c r="F54" s="4"/>
      <c r="G54" s="14"/>
    </row>
    <row r="55" spans="1:7" ht="36" customHeight="1" x14ac:dyDescent="0.35">
      <c r="A55" s="16">
        <v>43</v>
      </c>
      <c r="B55" s="22"/>
      <c r="C55" s="17"/>
      <c r="D55" s="17"/>
      <c r="E55" s="8"/>
      <c r="F55" s="8"/>
      <c r="G55" s="14"/>
    </row>
    <row r="56" spans="1:7" ht="36" customHeight="1" x14ac:dyDescent="0.35">
      <c r="A56" s="16">
        <v>44</v>
      </c>
      <c r="B56" s="23"/>
      <c r="C56" s="18"/>
      <c r="D56" s="18"/>
      <c r="E56" s="4"/>
      <c r="F56" s="4"/>
      <c r="G56" s="14"/>
    </row>
    <row r="57" spans="1:7" ht="36" customHeight="1" x14ac:dyDescent="0.35">
      <c r="A57" s="16">
        <v>45</v>
      </c>
      <c r="B57" s="22"/>
      <c r="C57" s="17"/>
      <c r="D57" s="17"/>
      <c r="E57" s="8"/>
      <c r="F57" s="8"/>
      <c r="G57" s="14"/>
    </row>
    <row r="58" spans="1:7" ht="36" customHeight="1" x14ac:dyDescent="0.35">
      <c r="A58" s="16">
        <v>46</v>
      </c>
      <c r="B58" s="23"/>
      <c r="C58" s="18"/>
      <c r="D58" s="18"/>
      <c r="E58" s="4"/>
      <c r="F58" s="4"/>
      <c r="G58" s="14"/>
    </row>
    <row r="59" spans="1:7" ht="36" customHeight="1" x14ac:dyDescent="0.35">
      <c r="A59" s="16">
        <v>47</v>
      </c>
      <c r="B59" s="22"/>
      <c r="C59" s="17"/>
      <c r="D59" s="17"/>
      <c r="E59" s="8"/>
      <c r="F59" s="8"/>
      <c r="G59" s="14"/>
    </row>
    <row r="60" spans="1:7" ht="36" customHeight="1" x14ac:dyDescent="0.35">
      <c r="A60" s="16">
        <v>48</v>
      </c>
      <c r="B60" s="23"/>
      <c r="C60" s="18"/>
      <c r="D60" s="18"/>
      <c r="E60" s="4"/>
      <c r="F60" s="4"/>
      <c r="G60" s="14"/>
    </row>
    <row r="61" spans="1:7" ht="36" customHeight="1" x14ac:dyDescent="0.35">
      <c r="A61" s="16">
        <v>49</v>
      </c>
      <c r="B61" s="22"/>
      <c r="C61" s="17"/>
      <c r="D61" s="17"/>
      <c r="E61" s="8"/>
      <c r="F61" s="8"/>
      <c r="G61" s="14"/>
    </row>
    <row r="62" spans="1:7" ht="36" customHeight="1" x14ac:dyDescent="0.35">
      <c r="A62" s="16">
        <v>50</v>
      </c>
      <c r="B62" s="23"/>
      <c r="C62" s="18"/>
      <c r="D62" s="18"/>
      <c r="E62" s="4"/>
      <c r="F62" s="4"/>
      <c r="G62" s="14"/>
    </row>
    <row r="63" spans="1:7" ht="36" customHeight="1" x14ac:dyDescent="0.35">
      <c r="A63" s="16">
        <v>51</v>
      </c>
      <c r="B63" s="22"/>
      <c r="C63" s="17"/>
      <c r="D63" s="17"/>
      <c r="E63" s="8"/>
      <c r="F63" s="8"/>
      <c r="G63" s="14"/>
    </row>
    <row r="64" spans="1:7" ht="36" customHeight="1" x14ac:dyDescent="0.35">
      <c r="A64" s="16">
        <v>52</v>
      </c>
      <c r="B64" s="23"/>
      <c r="C64" s="18"/>
      <c r="D64" s="18"/>
      <c r="E64" s="4"/>
      <c r="F64" s="4"/>
      <c r="G64" s="14"/>
    </row>
    <row r="65" spans="1:7" ht="36" customHeight="1" x14ac:dyDescent="0.35">
      <c r="A65" s="16">
        <v>53</v>
      </c>
      <c r="B65" s="22"/>
      <c r="C65" s="17"/>
      <c r="D65" s="17"/>
      <c r="E65" s="8"/>
      <c r="F65" s="8"/>
      <c r="G65" s="14"/>
    </row>
    <row r="66" spans="1:7" ht="36" customHeight="1" x14ac:dyDescent="0.35">
      <c r="A66" s="16">
        <v>54</v>
      </c>
      <c r="B66" s="23"/>
      <c r="C66" s="18"/>
      <c r="D66" s="18"/>
      <c r="E66" s="4"/>
      <c r="F66" s="4"/>
      <c r="G66" s="14"/>
    </row>
    <row r="67" spans="1:7" ht="36" customHeight="1" x14ac:dyDescent="0.35">
      <c r="A67" s="16">
        <v>55</v>
      </c>
      <c r="B67" s="22"/>
      <c r="C67" s="17"/>
      <c r="D67" s="17"/>
      <c r="E67" s="8"/>
      <c r="F67" s="8"/>
      <c r="G67" s="14"/>
    </row>
    <row r="68" spans="1:7" ht="36" customHeight="1" x14ac:dyDescent="0.35">
      <c r="A68" s="16">
        <v>56</v>
      </c>
      <c r="B68" s="23"/>
      <c r="C68" s="18"/>
      <c r="D68" s="18"/>
      <c r="E68" s="4"/>
      <c r="F68" s="4"/>
      <c r="G68" s="14"/>
    </row>
    <row r="69" spans="1:7" ht="36" customHeight="1" x14ac:dyDescent="0.35">
      <c r="A69" s="16">
        <v>57</v>
      </c>
      <c r="B69" s="22"/>
      <c r="C69" s="17"/>
      <c r="D69" s="17"/>
      <c r="E69" s="8"/>
      <c r="F69" s="8"/>
      <c r="G69" s="14"/>
    </row>
    <row r="70" spans="1:7" ht="36" customHeight="1" x14ac:dyDescent="0.35">
      <c r="A70" s="16">
        <v>58</v>
      </c>
      <c r="B70" s="23"/>
      <c r="C70" s="18"/>
      <c r="D70" s="18"/>
      <c r="E70" s="4"/>
      <c r="F70" s="4"/>
      <c r="G70" s="14"/>
    </row>
    <row r="71" spans="1:7" ht="36" customHeight="1" x14ac:dyDescent="0.35">
      <c r="A71" s="16">
        <v>59</v>
      </c>
      <c r="B71" s="22"/>
      <c r="C71" s="17"/>
      <c r="D71" s="17"/>
      <c r="E71" s="8"/>
      <c r="F71" s="8"/>
      <c r="G71" s="14"/>
    </row>
    <row r="72" spans="1:7" ht="36" customHeight="1" x14ac:dyDescent="0.35">
      <c r="A72" s="16">
        <v>60</v>
      </c>
      <c r="B72" s="23"/>
      <c r="C72" s="18"/>
      <c r="D72" s="18"/>
      <c r="E72" s="4"/>
      <c r="F72" s="4"/>
      <c r="G72" s="14"/>
    </row>
  </sheetData>
  <mergeCells count="8">
    <mergeCell ref="A11:G11"/>
    <mergeCell ref="B10:D10"/>
    <mergeCell ref="A1:D1"/>
    <mergeCell ref="B8:D8"/>
    <mergeCell ref="A3:D3"/>
    <mergeCell ref="B4:D4"/>
    <mergeCell ref="B9:D9"/>
    <mergeCell ref="A7:D7"/>
  </mergeCells>
  <conditionalFormatting sqref="G13:G72">
    <cfRule type="containsText" dxfId="51" priority="3" operator="containsText" text="مكتمل">
      <formula>NOT(ISERROR(SEARCH("مكتمل",G13)))</formula>
    </cfRule>
  </conditionalFormatting>
  <conditionalFormatting sqref="G14">
    <cfRule type="containsText" dxfId="50" priority="2" operator="containsText" text="على المسار">
      <formula>NOT(ISERROR(SEARCH("على المسار",G14)))</formula>
    </cfRule>
  </conditionalFormatting>
  <conditionalFormatting sqref="G14:G72">
    <cfRule type="containsText" dxfId="49" priority="1" operator="containsText" text="مكتمل">
      <formula>NOT(ISERROR(SEARCH("مكتمل",G14)))</formula>
    </cfRule>
  </conditionalFormatting>
  <dataValidations count="2">
    <dataValidation type="list" allowBlank="1" sqref="C13:C72" xr:uid="{00000000-0002-0000-0100-000000000000}">
      <formula1>"1 - Strategy &amp; Guidance,2 - Needs Identification,3 - Affordability Estimate,4 - Tender Pack Development,5 - Detailed Cost Estimate,6 - Supplier Selection,7 - Contracting,8 - Contract Execution,9 - Contract Closure"</formula1>
      <formula2>0</formula2>
    </dataValidation>
    <dataValidation type="list" allowBlank="1" sqref="D13:D72" xr:uid="{00000000-0002-0000-0100-000002000000}">
      <formula1>IF(C13="2 - Needs Identification",Needs,IF(C13="3 - Affordability Estimate",Affordability,""))</formula1>
      <formula2>0</formula2>
    </dataValidation>
  </dataValidations>
  <pageMargins left="0.75" right="0.75" top="1" bottom="1" header="0.511811023622047" footer="0.511811023622047"/>
  <pageSetup scale="60" orientation="landscape" horizontalDpi="300" verticalDpi="300" r:id="rId1"/>
  <rowBreaks count="1" manualBreakCount="1">
    <brk id="19" max="16383" man="1"/>
  </rowBreaks>
  <extLst>
    <ext xmlns:x14="http://schemas.microsoft.com/office/spreadsheetml/2009/9/main" uri="{78C0D931-6437-407d-A8EE-F0AAD7539E65}">
      <x14:conditionalFormattings>
        <x14:conditionalFormatting xmlns:xm="http://schemas.microsoft.com/office/excel/2006/main">
          <x14:cfRule type="cellIs" priority="4" operator="equal" id="{44F41D7D-8D8D-42C7-AA64-873659F488F2}">
            <xm:f>Sheet1!$F$5</xm:f>
            <x14:dxf>
              <fill>
                <patternFill>
                  <bgColor rgb="FFFFC000"/>
                </patternFill>
              </fill>
            </x14:dxf>
          </x14:cfRule>
          <x14:cfRule type="cellIs" priority="5" operator="equal" id="{2D41B20F-7C99-44DC-8C85-D20015C5D4B6}">
            <xm:f>Sheet1!$F$4</xm:f>
            <x14:dxf>
              <fill>
                <patternFill>
                  <bgColor rgb="FFFF0000"/>
                </patternFill>
              </fill>
            </x14:dxf>
          </x14:cfRule>
          <x14:cfRule type="cellIs" priority="6" operator="equal" id="{C83DD213-8471-4F53-83FE-E279CEC1E024}">
            <xm:f>Sheet1!$F$2</xm:f>
            <x14:dxf>
              <fill>
                <patternFill>
                  <bgColor rgb="FF002060"/>
                </patternFill>
              </fill>
            </x14:dxf>
          </x14:cfRule>
          <x14:cfRule type="cellIs" priority="7" operator="equal" id="{C472C515-09D7-498F-BAA4-7EAB09BEFE26}">
            <xm:f>Sheet1!$F$3</xm:f>
            <x14:dxf>
              <fill>
                <patternFill>
                  <bgColor rgb="FF008000"/>
                </patternFill>
              </fill>
            </x14:dxf>
          </x14:cfRule>
          <xm:sqref>G13:G73</xm:sqref>
        </x14:conditionalFormatting>
      </x14:conditionalFormattings>
    </ext>
    <ext xmlns:x14="http://schemas.microsoft.com/office/spreadsheetml/2009/9/main" uri="{CCE6A557-97BC-4b89-ADB6-D9C93CAAB3DF}">
      <x14:dataValidations xmlns:xm="http://schemas.microsoft.com/office/excel/2006/main" count="1">
        <x14:dataValidation type="list" allowBlank="1" xr:uid="{2A1112D6-6F2F-402E-8DA8-C91749860E24}">
          <x14:formula1>
            <xm:f>Sheet1!$F$2:$F$5</xm:f>
          </x14:formula1>
          <xm:sqref>G13:G72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rgb="FF002060"/>
  </sheetPr>
  <dimension ref="A1:G74"/>
  <sheetViews>
    <sheetView showGridLines="0" rightToLeft="1" topLeftCell="A27" zoomScale="70" zoomScaleNormal="100" workbookViewId="0">
      <selection activeCell="G35" sqref="G35"/>
    </sheetView>
  </sheetViews>
  <sheetFormatPr defaultColWidth="8.6328125" defaultRowHeight="14.5" x14ac:dyDescent="0.35"/>
  <cols>
    <col min="1" max="1" width="10.1796875" style="1" bestFit="1" customWidth="1"/>
    <col min="2" max="2" width="16" style="1" customWidth="1"/>
    <col min="3" max="3" width="30" style="1" customWidth="1"/>
    <col min="4" max="4" width="26" style="1" customWidth="1"/>
    <col min="5" max="6" width="50.6328125" style="1" customWidth="1"/>
    <col min="7" max="7" width="14" style="1" customWidth="1"/>
  </cols>
  <sheetData>
    <row r="1" spans="1:7" ht="31.5" customHeight="1" x14ac:dyDescent="0.35">
      <c r="A1" s="114" t="str">
        <f>IF(B4="","PP-02",B4)</f>
        <v>توريد وتخديم المواد الغذائية لمرافق الأندية والضيافات بالمنطقة الوسطى</v>
      </c>
      <c r="B1" s="115"/>
      <c r="C1" s="115"/>
      <c r="D1" s="116"/>
    </row>
    <row r="2" spans="1:7" ht="3" customHeight="1" x14ac:dyDescent="0.35">
      <c r="A2" s="12"/>
      <c r="B2" s="12"/>
      <c r="C2" s="12"/>
      <c r="D2" s="12"/>
    </row>
    <row r="3" spans="1:7" ht="21.75" customHeight="1" x14ac:dyDescent="0.35">
      <c r="A3" s="118" t="s">
        <v>4</v>
      </c>
      <c r="B3" s="115"/>
      <c r="C3" s="115"/>
      <c r="D3" s="116"/>
    </row>
    <row r="4" spans="1:7" ht="27.75" customHeight="1" x14ac:dyDescent="0.35">
      <c r="A4" s="13" t="s">
        <v>1</v>
      </c>
      <c r="B4" s="119" t="s">
        <v>63</v>
      </c>
      <c r="C4" s="115"/>
      <c r="D4" s="116"/>
    </row>
    <row r="5" spans="1:7" ht="24" customHeight="1" x14ac:dyDescent="0.35">
      <c r="A5" s="13" t="s">
        <v>3</v>
      </c>
      <c r="B5" s="9" t="s">
        <v>108</v>
      </c>
      <c r="C5" s="13" t="s">
        <v>2</v>
      </c>
      <c r="D5" s="14" t="s">
        <v>62</v>
      </c>
    </row>
    <row r="6" spans="1:7" ht="7.5" customHeight="1" x14ac:dyDescent="0.35"/>
    <row r="7" spans="1:7" ht="21.75" customHeight="1" x14ac:dyDescent="0.35">
      <c r="A7" s="118" t="s">
        <v>5</v>
      </c>
      <c r="B7" s="115"/>
      <c r="C7" s="115"/>
      <c r="D7" s="116"/>
      <c r="E7" s="25" t="s">
        <v>30</v>
      </c>
      <c r="F7" s="26"/>
    </row>
    <row r="8" spans="1:7" ht="24" customHeight="1" x14ac:dyDescent="0.35">
      <c r="A8" s="13" t="s">
        <v>21</v>
      </c>
      <c r="B8" s="117" t="str">
        <f>IFERROR(LOOKUP(2,1/(C13:C74&lt;&gt;""),C13:C74),"—")</f>
        <v>4 - Tender Pack Development</v>
      </c>
      <c r="C8" s="115"/>
      <c r="D8" s="116"/>
      <c r="E8" s="27" t="s">
        <v>29</v>
      </c>
      <c r="F8" s="26"/>
    </row>
    <row r="9" spans="1:7" ht="24" customHeight="1" x14ac:dyDescent="0.35">
      <c r="A9" s="13" t="s">
        <v>22</v>
      </c>
      <c r="B9" s="120">
        <f>IFERROR(LOOKUP(2,1/(B13:B74&lt;&gt;""),B13:B74),"—")</f>
        <v>46191</v>
      </c>
      <c r="C9" s="121"/>
      <c r="D9" s="122"/>
      <c r="E9" s="25" t="s">
        <v>31</v>
      </c>
      <c r="F9" s="26"/>
    </row>
    <row r="10" spans="1:7" ht="24" customHeight="1" x14ac:dyDescent="0.35">
      <c r="A10" s="13" t="s">
        <v>10</v>
      </c>
      <c r="B10" s="117" t="str">
        <f>IFERROR(INDEX(E13:E74,MATCH(MAX(B13:B74),B13:B74,0)),"—")</f>
        <v>الانتهاء من تعبئة النوذج، وانتظار الموافقه من قبل المدير المباشر لمدير المشروع</v>
      </c>
      <c r="C10" s="115"/>
      <c r="D10" s="116"/>
      <c r="E10" s="25" t="s">
        <v>32</v>
      </c>
      <c r="F10" s="26"/>
    </row>
    <row r="11" spans="1:7" ht="27.75" customHeight="1" x14ac:dyDescent="0.35">
      <c r="A11" s="110" t="s">
        <v>20</v>
      </c>
      <c r="B11" s="111"/>
      <c r="C11" s="111"/>
      <c r="D11" s="111"/>
      <c r="E11" s="111"/>
      <c r="F11" s="111"/>
      <c r="G11" s="111"/>
    </row>
    <row r="12" spans="1:7" ht="30" customHeight="1" x14ac:dyDescent="0.35">
      <c r="A12" s="15" t="s">
        <v>6</v>
      </c>
      <c r="B12" s="15" t="s">
        <v>7</v>
      </c>
      <c r="C12" s="15" t="s">
        <v>8</v>
      </c>
      <c r="D12" s="15" t="s">
        <v>9</v>
      </c>
      <c r="E12" s="15" t="s">
        <v>10</v>
      </c>
      <c r="F12" s="15" t="s">
        <v>11</v>
      </c>
      <c r="G12" s="15" t="s">
        <v>5</v>
      </c>
    </row>
    <row r="13" spans="1:7" ht="36" customHeight="1" x14ac:dyDescent="0.35">
      <c r="A13" s="16">
        <v>1</v>
      </c>
      <c r="B13" s="70">
        <v>46092</v>
      </c>
      <c r="C13" s="71" t="s">
        <v>72</v>
      </c>
      <c r="D13" s="71" t="s">
        <v>15</v>
      </c>
      <c r="E13" s="72" t="s">
        <v>109</v>
      </c>
      <c r="F13" s="72"/>
      <c r="G13" s="14" t="s">
        <v>41</v>
      </c>
    </row>
    <row r="14" spans="1:7" ht="36" customHeight="1" x14ac:dyDescent="0.35">
      <c r="A14" s="16">
        <v>2</v>
      </c>
      <c r="B14" s="70">
        <v>46093</v>
      </c>
      <c r="C14" s="73" t="s">
        <v>72</v>
      </c>
      <c r="D14" s="73" t="s">
        <v>15</v>
      </c>
      <c r="E14" s="74" t="s">
        <v>110</v>
      </c>
      <c r="F14" s="74"/>
      <c r="G14" s="14" t="s">
        <v>41</v>
      </c>
    </row>
    <row r="15" spans="1:7" s="1" customFormat="1" ht="36" customHeight="1" x14ac:dyDescent="0.35">
      <c r="A15" s="16">
        <v>3</v>
      </c>
      <c r="B15" s="70">
        <v>46093</v>
      </c>
      <c r="C15" s="73" t="s">
        <v>72</v>
      </c>
      <c r="D15" s="73" t="s">
        <v>17</v>
      </c>
      <c r="E15" s="74" t="s">
        <v>78</v>
      </c>
      <c r="F15" s="74"/>
      <c r="G15" s="14" t="s">
        <v>41</v>
      </c>
    </row>
    <row r="16" spans="1:7" ht="36" customHeight="1" x14ac:dyDescent="0.35">
      <c r="A16" s="16">
        <v>4</v>
      </c>
      <c r="B16" s="70">
        <v>46124</v>
      </c>
      <c r="C16" s="71" t="s">
        <v>72</v>
      </c>
      <c r="D16" s="71" t="s">
        <v>15</v>
      </c>
      <c r="E16" s="72" t="s">
        <v>73</v>
      </c>
      <c r="F16" s="72" t="s">
        <v>111</v>
      </c>
      <c r="G16" s="14" t="s">
        <v>41</v>
      </c>
    </row>
    <row r="17" spans="1:7" ht="36" customHeight="1" x14ac:dyDescent="0.35">
      <c r="A17" s="16">
        <v>5</v>
      </c>
      <c r="B17" s="75">
        <v>46133</v>
      </c>
      <c r="C17" s="73" t="s">
        <v>72</v>
      </c>
      <c r="D17" s="73" t="s">
        <v>15</v>
      </c>
      <c r="E17" s="74" t="s">
        <v>74</v>
      </c>
      <c r="F17" s="74"/>
      <c r="G17" s="14" t="s">
        <v>41</v>
      </c>
    </row>
    <row r="18" spans="1:7" s="1" customFormat="1" ht="36" customHeight="1" x14ac:dyDescent="0.35">
      <c r="A18" s="16">
        <v>6</v>
      </c>
      <c r="B18" s="75">
        <v>46134</v>
      </c>
      <c r="C18" s="73" t="s">
        <v>72</v>
      </c>
      <c r="D18" s="73" t="s">
        <v>17</v>
      </c>
      <c r="E18" s="74" t="s">
        <v>79</v>
      </c>
      <c r="F18" s="74"/>
      <c r="G18" s="14" t="s">
        <v>41</v>
      </c>
    </row>
    <row r="19" spans="1:7" ht="36" customHeight="1" x14ac:dyDescent="0.35">
      <c r="A19" s="16">
        <v>7</v>
      </c>
      <c r="B19" s="70">
        <v>46139</v>
      </c>
      <c r="C19" s="71" t="s">
        <v>72</v>
      </c>
      <c r="D19" s="71" t="s">
        <v>18</v>
      </c>
      <c r="E19" s="72" t="s">
        <v>75</v>
      </c>
      <c r="F19" s="72"/>
      <c r="G19" s="14" t="s">
        <v>41</v>
      </c>
    </row>
    <row r="20" spans="1:7" ht="36" customHeight="1" x14ac:dyDescent="0.35">
      <c r="A20" s="16">
        <v>8</v>
      </c>
      <c r="B20" s="70">
        <v>46139</v>
      </c>
      <c r="C20" s="71" t="s">
        <v>72</v>
      </c>
      <c r="D20" s="73" t="s">
        <v>18</v>
      </c>
      <c r="E20" s="74" t="s">
        <v>76</v>
      </c>
      <c r="F20" s="74"/>
      <c r="G20" s="14" t="s">
        <v>41</v>
      </c>
    </row>
    <row r="21" spans="1:7" ht="36" customHeight="1" x14ac:dyDescent="0.35">
      <c r="A21" s="16">
        <v>9</v>
      </c>
      <c r="B21" s="70">
        <v>46139</v>
      </c>
      <c r="C21" s="71" t="s">
        <v>72</v>
      </c>
      <c r="D21" s="71" t="s">
        <v>19</v>
      </c>
      <c r="E21" s="72" t="s">
        <v>80</v>
      </c>
      <c r="F21" s="72"/>
      <c r="G21" s="14" t="s">
        <v>41</v>
      </c>
    </row>
    <row r="22" spans="1:7" ht="36" customHeight="1" x14ac:dyDescent="0.35">
      <c r="A22" s="16">
        <v>10</v>
      </c>
      <c r="B22" s="70">
        <v>46140</v>
      </c>
      <c r="C22" s="73" t="s">
        <v>72</v>
      </c>
      <c r="D22" s="71" t="s">
        <v>19</v>
      </c>
      <c r="E22" s="74" t="s">
        <v>77</v>
      </c>
      <c r="F22" s="74" t="s">
        <v>81</v>
      </c>
      <c r="G22" s="14" t="s">
        <v>41</v>
      </c>
    </row>
    <row r="23" spans="1:7" ht="36" customHeight="1" x14ac:dyDescent="0.35">
      <c r="A23" s="16">
        <v>11</v>
      </c>
      <c r="B23" s="70">
        <v>46145</v>
      </c>
      <c r="C23" s="71" t="s">
        <v>72</v>
      </c>
      <c r="D23" s="71" t="s">
        <v>15</v>
      </c>
      <c r="E23" s="72" t="s">
        <v>112</v>
      </c>
      <c r="F23" s="72" t="s">
        <v>113</v>
      </c>
      <c r="G23" s="14" t="s">
        <v>42</v>
      </c>
    </row>
    <row r="24" spans="1:7" ht="36" customHeight="1" x14ac:dyDescent="0.35">
      <c r="A24" s="16">
        <v>12</v>
      </c>
      <c r="B24" s="70">
        <v>46149</v>
      </c>
      <c r="C24" s="73" t="s">
        <v>72</v>
      </c>
      <c r="D24" s="73" t="s">
        <v>15</v>
      </c>
      <c r="E24" s="72" t="s">
        <v>112</v>
      </c>
      <c r="F24" s="72" t="s">
        <v>113</v>
      </c>
      <c r="G24" s="63" t="s">
        <v>42</v>
      </c>
    </row>
    <row r="25" spans="1:7" ht="58" x14ac:dyDescent="0.35">
      <c r="A25" s="16">
        <v>13</v>
      </c>
      <c r="B25" s="70">
        <v>46152</v>
      </c>
      <c r="C25" s="71" t="s">
        <v>72</v>
      </c>
      <c r="D25" s="71" t="s">
        <v>15</v>
      </c>
      <c r="E25" s="72" t="s">
        <v>112</v>
      </c>
      <c r="F25" s="72" t="s">
        <v>114</v>
      </c>
      <c r="G25" s="63" t="s">
        <v>42</v>
      </c>
    </row>
    <row r="26" spans="1:7" ht="58" x14ac:dyDescent="0.35">
      <c r="A26" s="16">
        <v>14</v>
      </c>
      <c r="B26" s="70">
        <v>46154</v>
      </c>
      <c r="C26" s="73" t="s">
        <v>72</v>
      </c>
      <c r="D26" s="73"/>
      <c r="E26" s="74" t="s">
        <v>140</v>
      </c>
      <c r="F26" s="74" t="s">
        <v>141</v>
      </c>
      <c r="G26" s="14" t="s">
        <v>41</v>
      </c>
    </row>
    <row r="27" spans="1:7" ht="36" customHeight="1" x14ac:dyDescent="0.35">
      <c r="A27" s="16">
        <v>15</v>
      </c>
      <c r="B27" s="70">
        <v>46156</v>
      </c>
      <c r="C27" s="71" t="s">
        <v>72</v>
      </c>
      <c r="D27" s="71" t="s">
        <v>18</v>
      </c>
      <c r="E27" s="72" t="s">
        <v>142</v>
      </c>
      <c r="F27" s="72" t="s">
        <v>143</v>
      </c>
      <c r="G27" s="14" t="s">
        <v>41</v>
      </c>
    </row>
    <row r="28" spans="1:7" ht="36" customHeight="1" x14ac:dyDescent="0.35">
      <c r="A28" s="16">
        <v>16</v>
      </c>
      <c r="B28" s="70">
        <v>46156</v>
      </c>
      <c r="C28" s="73" t="s">
        <v>163</v>
      </c>
      <c r="D28" s="73"/>
      <c r="E28" s="74" t="s">
        <v>144</v>
      </c>
      <c r="F28" s="74" t="s">
        <v>145</v>
      </c>
      <c r="G28" s="14" t="s">
        <v>41</v>
      </c>
    </row>
    <row r="29" spans="1:7" ht="58" x14ac:dyDescent="0.35">
      <c r="A29" s="16">
        <v>17</v>
      </c>
      <c r="B29" s="70">
        <v>46156</v>
      </c>
      <c r="C29" s="71" t="s">
        <v>163</v>
      </c>
      <c r="D29" s="71"/>
      <c r="E29" s="72" t="s">
        <v>146</v>
      </c>
      <c r="F29" s="72" t="s">
        <v>147</v>
      </c>
      <c r="G29" s="14" t="s">
        <v>42</v>
      </c>
    </row>
    <row r="30" spans="1:7" ht="87" x14ac:dyDescent="0.35">
      <c r="A30" s="16">
        <v>18</v>
      </c>
      <c r="B30" s="6">
        <v>46159</v>
      </c>
      <c r="C30" s="90" t="s">
        <v>163</v>
      </c>
      <c r="D30" s="18"/>
      <c r="E30" s="4" t="s">
        <v>151</v>
      </c>
      <c r="F30" s="4" t="s">
        <v>152</v>
      </c>
      <c r="G30" s="14" t="s">
        <v>42</v>
      </c>
    </row>
    <row r="31" spans="1:7" ht="36" customHeight="1" x14ac:dyDescent="0.35">
      <c r="A31" s="16">
        <v>19</v>
      </c>
      <c r="B31" s="11">
        <v>46163</v>
      </c>
      <c r="C31" s="90" t="s">
        <v>163</v>
      </c>
      <c r="D31" s="17"/>
      <c r="E31" s="8" t="s">
        <v>153</v>
      </c>
      <c r="F31" s="8" t="s">
        <v>160</v>
      </c>
      <c r="G31" s="14" t="s">
        <v>42</v>
      </c>
    </row>
    <row r="32" spans="1:7" ht="36" customHeight="1" x14ac:dyDescent="0.35">
      <c r="A32" s="16">
        <v>20</v>
      </c>
      <c r="B32" s="99">
        <v>46184</v>
      </c>
      <c r="C32" s="90" t="s">
        <v>163</v>
      </c>
      <c r="D32" s="102"/>
      <c r="E32" s="103" t="s">
        <v>161</v>
      </c>
      <c r="F32" s="103" t="s">
        <v>162</v>
      </c>
      <c r="G32" s="100" t="s">
        <v>43</v>
      </c>
    </row>
    <row r="33" spans="1:7" ht="36" customHeight="1" x14ac:dyDescent="0.35">
      <c r="A33" s="16">
        <v>21</v>
      </c>
      <c r="B33" s="99">
        <v>46187</v>
      </c>
      <c r="C33" s="17" t="s">
        <v>163</v>
      </c>
      <c r="D33" s="17"/>
      <c r="E33" s="88" t="s">
        <v>164</v>
      </c>
      <c r="F33" s="88" t="s">
        <v>165</v>
      </c>
      <c r="G33" s="14" t="s">
        <v>43</v>
      </c>
    </row>
    <row r="34" spans="1:7" ht="43.5" x14ac:dyDescent="0.35">
      <c r="A34" s="16">
        <v>22</v>
      </c>
      <c r="B34" s="99">
        <v>46191</v>
      </c>
      <c r="C34" s="18" t="s">
        <v>163</v>
      </c>
      <c r="D34" s="18"/>
      <c r="E34" s="4" t="s">
        <v>166</v>
      </c>
      <c r="F34" s="4" t="s">
        <v>167</v>
      </c>
      <c r="G34" s="14" t="s">
        <v>43</v>
      </c>
    </row>
    <row r="35" spans="1:7" ht="36" customHeight="1" x14ac:dyDescent="0.35">
      <c r="A35" s="16">
        <v>23</v>
      </c>
      <c r="B35" s="11"/>
      <c r="C35" s="17"/>
      <c r="D35" s="17"/>
      <c r="E35" s="8"/>
      <c r="F35" s="8"/>
      <c r="G35" s="14"/>
    </row>
    <row r="36" spans="1:7" ht="36" customHeight="1" x14ac:dyDescent="0.35">
      <c r="A36" s="16">
        <v>24</v>
      </c>
      <c r="B36" s="6"/>
      <c r="C36" s="18"/>
      <c r="D36" s="18"/>
      <c r="E36" s="4"/>
      <c r="F36" s="4"/>
      <c r="G36" s="14"/>
    </row>
    <row r="37" spans="1:7" ht="36" customHeight="1" x14ac:dyDescent="0.35">
      <c r="A37" s="16">
        <v>25</v>
      </c>
      <c r="B37" s="11"/>
      <c r="C37" s="17"/>
      <c r="D37" s="17"/>
      <c r="E37" s="8"/>
      <c r="F37" s="8"/>
      <c r="G37" s="14"/>
    </row>
    <row r="38" spans="1:7" ht="36" customHeight="1" x14ac:dyDescent="0.35">
      <c r="A38" s="16">
        <v>26</v>
      </c>
      <c r="B38" s="6"/>
      <c r="C38" s="18"/>
      <c r="D38" s="18"/>
      <c r="E38" s="4"/>
      <c r="F38" s="4"/>
      <c r="G38" s="14"/>
    </row>
    <row r="39" spans="1:7" ht="36" customHeight="1" x14ac:dyDescent="0.35">
      <c r="A39" s="16">
        <v>27</v>
      </c>
      <c r="B39" s="11"/>
      <c r="C39" s="17"/>
      <c r="D39" s="17"/>
      <c r="E39" s="8"/>
      <c r="F39" s="8"/>
      <c r="G39" s="14"/>
    </row>
    <row r="40" spans="1:7" ht="36" customHeight="1" x14ac:dyDescent="0.35">
      <c r="A40" s="16">
        <v>28</v>
      </c>
      <c r="B40" s="6"/>
      <c r="C40" s="18"/>
      <c r="D40" s="18"/>
      <c r="E40" s="4"/>
      <c r="F40" s="4"/>
      <c r="G40" s="14"/>
    </row>
    <row r="41" spans="1:7" ht="36" customHeight="1" x14ac:dyDescent="0.35">
      <c r="A41" s="16">
        <v>29</v>
      </c>
      <c r="B41" s="11"/>
      <c r="C41" s="17"/>
      <c r="D41" s="17"/>
      <c r="E41" s="8"/>
      <c r="F41" s="8"/>
      <c r="G41" s="14"/>
    </row>
    <row r="42" spans="1:7" ht="36" customHeight="1" x14ac:dyDescent="0.35">
      <c r="A42" s="16">
        <v>30</v>
      </c>
      <c r="B42" s="6"/>
      <c r="C42" s="18"/>
      <c r="D42" s="18"/>
      <c r="E42" s="4"/>
      <c r="F42" s="4"/>
      <c r="G42" s="14"/>
    </row>
    <row r="43" spans="1:7" ht="36" customHeight="1" x14ac:dyDescent="0.35">
      <c r="A43" s="16">
        <v>31</v>
      </c>
      <c r="B43" s="11"/>
      <c r="C43" s="17"/>
      <c r="D43" s="17"/>
      <c r="E43" s="8"/>
      <c r="F43" s="8"/>
      <c r="G43" s="14"/>
    </row>
    <row r="44" spans="1:7" ht="36" customHeight="1" x14ac:dyDescent="0.35">
      <c r="A44" s="16">
        <v>32</v>
      </c>
      <c r="B44" s="6"/>
      <c r="C44" s="18"/>
      <c r="D44" s="18"/>
      <c r="E44" s="4"/>
      <c r="F44" s="4"/>
      <c r="G44" s="14"/>
    </row>
    <row r="45" spans="1:7" ht="36" customHeight="1" x14ac:dyDescent="0.35">
      <c r="A45" s="16">
        <v>33</v>
      </c>
      <c r="B45" s="11"/>
      <c r="C45" s="17"/>
      <c r="D45" s="17"/>
      <c r="E45" s="8"/>
      <c r="F45" s="8"/>
      <c r="G45" s="14"/>
    </row>
    <row r="46" spans="1:7" ht="36" customHeight="1" x14ac:dyDescent="0.35">
      <c r="A46" s="16">
        <v>34</v>
      </c>
      <c r="B46" s="6"/>
      <c r="C46" s="18"/>
      <c r="D46" s="18"/>
      <c r="E46" s="4"/>
      <c r="F46" s="4"/>
      <c r="G46" s="14"/>
    </row>
    <row r="47" spans="1:7" ht="36" customHeight="1" x14ac:dyDescent="0.35">
      <c r="A47" s="16">
        <v>35</v>
      </c>
      <c r="B47" s="11"/>
      <c r="C47" s="17"/>
      <c r="D47" s="17"/>
      <c r="E47" s="8"/>
      <c r="F47" s="8"/>
      <c r="G47" s="14"/>
    </row>
    <row r="48" spans="1:7" ht="36" customHeight="1" x14ac:dyDescent="0.35">
      <c r="A48" s="16">
        <v>36</v>
      </c>
      <c r="B48" s="6"/>
      <c r="C48" s="18"/>
      <c r="D48" s="18"/>
      <c r="E48" s="4"/>
      <c r="F48" s="4"/>
      <c r="G48" s="14"/>
    </row>
    <row r="49" spans="1:7" ht="36" customHeight="1" x14ac:dyDescent="0.35">
      <c r="A49" s="16">
        <v>37</v>
      </c>
      <c r="B49" s="11"/>
      <c r="C49" s="17"/>
      <c r="D49" s="17"/>
      <c r="E49" s="8"/>
      <c r="F49" s="8"/>
      <c r="G49" s="14"/>
    </row>
    <row r="50" spans="1:7" ht="36" customHeight="1" x14ac:dyDescent="0.35">
      <c r="A50" s="16">
        <v>38</v>
      </c>
      <c r="B50" s="6"/>
      <c r="C50" s="18"/>
      <c r="D50" s="18"/>
      <c r="E50" s="4"/>
      <c r="F50" s="4"/>
      <c r="G50" s="14"/>
    </row>
    <row r="51" spans="1:7" ht="36" customHeight="1" x14ac:dyDescent="0.35">
      <c r="A51" s="16">
        <v>39</v>
      </c>
      <c r="B51" s="11"/>
      <c r="C51" s="17"/>
      <c r="D51" s="17"/>
      <c r="E51" s="8"/>
      <c r="F51" s="8"/>
      <c r="G51" s="14"/>
    </row>
    <row r="52" spans="1:7" ht="36" customHeight="1" x14ac:dyDescent="0.35">
      <c r="A52" s="16">
        <v>40</v>
      </c>
      <c r="B52" s="6"/>
      <c r="C52" s="18"/>
      <c r="D52" s="18"/>
      <c r="E52" s="4"/>
      <c r="F52" s="4"/>
      <c r="G52" s="14"/>
    </row>
    <row r="53" spans="1:7" ht="36" customHeight="1" x14ac:dyDescent="0.35">
      <c r="A53" s="16">
        <v>41</v>
      </c>
      <c r="B53" s="11"/>
      <c r="C53" s="17"/>
      <c r="D53" s="17"/>
      <c r="E53" s="8"/>
      <c r="F53" s="8"/>
      <c r="G53" s="14"/>
    </row>
    <row r="54" spans="1:7" ht="36" customHeight="1" x14ac:dyDescent="0.35">
      <c r="A54" s="16">
        <v>42</v>
      </c>
      <c r="B54" s="6"/>
      <c r="C54" s="18"/>
      <c r="D54" s="18"/>
      <c r="E54" s="4"/>
      <c r="F54" s="4"/>
      <c r="G54" s="14"/>
    </row>
    <row r="55" spans="1:7" ht="36" customHeight="1" x14ac:dyDescent="0.35">
      <c r="A55" s="16">
        <v>43</v>
      </c>
      <c r="B55" s="11"/>
      <c r="C55" s="17"/>
      <c r="D55" s="17"/>
      <c r="E55" s="8"/>
      <c r="F55" s="8"/>
      <c r="G55" s="14"/>
    </row>
    <row r="56" spans="1:7" ht="36" customHeight="1" x14ac:dyDescent="0.35">
      <c r="A56" s="16">
        <v>44</v>
      </c>
      <c r="B56" s="6"/>
      <c r="C56" s="18"/>
      <c r="D56" s="18"/>
      <c r="E56" s="4"/>
      <c r="F56" s="4"/>
      <c r="G56" s="14"/>
    </row>
    <row r="57" spans="1:7" ht="36" customHeight="1" x14ac:dyDescent="0.35">
      <c r="A57" s="16">
        <v>45</v>
      </c>
      <c r="B57" s="11"/>
      <c r="C57" s="17"/>
      <c r="D57" s="17"/>
      <c r="E57" s="8"/>
      <c r="F57" s="8"/>
      <c r="G57" s="14"/>
    </row>
    <row r="58" spans="1:7" ht="36" customHeight="1" x14ac:dyDescent="0.35">
      <c r="A58" s="16">
        <v>46</v>
      </c>
      <c r="B58" s="6"/>
      <c r="C58" s="18"/>
      <c r="D58" s="18"/>
      <c r="E58" s="4"/>
      <c r="F58" s="4"/>
      <c r="G58" s="14"/>
    </row>
    <row r="59" spans="1:7" ht="36" customHeight="1" x14ac:dyDescent="0.35">
      <c r="A59" s="16">
        <v>47</v>
      </c>
      <c r="B59" s="11"/>
      <c r="C59" s="17"/>
      <c r="D59" s="17"/>
      <c r="E59" s="8"/>
      <c r="F59" s="8"/>
      <c r="G59" s="14"/>
    </row>
    <row r="60" spans="1:7" ht="36" customHeight="1" x14ac:dyDescent="0.35">
      <c r="A60" s="16">
        <v>48</v>
      </c>
      <c r="B60" s="6"/>
      <c r="C60" s="18"/>
      <c r="D60" s="18"/>
      <c r="E60" s="4"/>
      <c r="F60" s="4"/>
      <c r="G60" s="14"/>
    </row>
    <row r="61" spans="1:7" ht="36" customHeight="1" x14ac:dyDescent="0.35">
      <c r="A61" s="16">
        <v>49</v>
      </c>
      <c r="B61" s="11"/>
      <c r="C61" s="17"/>
      <c r="D61" s="17"/>
      <c r="E61" s="8"/>
      <c r="F61" s="8"/>
      <c r="G61" s="14"/>
    </row>
    <row r="62" spans="1:7" ht="36" customHeight="1" x14ac:dyDescent="0.35">
      <c r="A62" s="16">
        <v>50</v>
      </c>
      <c r="B62" s="6"/>
      <c r="C62" s="18"/>
      <c r="D62" s="18"/>
      <c r="E62" s="4"/>
      <c r="F62" s="4"/>
      <c r="G62" s="14"/>
    </row>
    <row r="63" spans="1:7" ht="36" customHeight="1" x14ac:dyDescent="0.35">
      <c r="A63" s="16">
        <v>51</v>
      </c>
      <c r="B63" s="11"/>
      <c r="C63" s="17"/>
      <c r="D63" s="17"/>
      <c r="E63" s="8"/>
      <c r="F63" s="8"/>
      <c r="G63" s="14"/>
    </row>
    <row r="64" spans="1:7" ht="36" customHeight="1" x14ac:dyDescent="0.35">
      <c r="A64" s="16">
        <v>52</v>
      </c>
      <c r="B64" s="6"/>
      <c r="C64" s="18"/>
      <c r="D64" s="18"/>
      <c r="E64" s="4"/>
      <c r="F64" s="4"/>
      <c r="G64" s="14"/>
    </row>
    <row r="65" spans="1:7" ht="36" customHeight="1" x14ac:dyDescent="0.35">
      <c r="A65" s="16">
        <v>53</v>
      </c>
      <c r="B65" s="11"/>
      <c r="C65" s="17"/>
      <c r="D65" s="17"/>
      <c r="E65" s="8"/>
      <c r="F65" s="8"/>
      <c r="G65" s="14"/>
    </row>
    <row r="66" spans="1:7" ht="36" customHeight="1" x14ac:dyDescent="0.35">
      <c r="A66" s="16">
        <v>54</v>
      </c>
      <c r="B66" s="6"/>
      <c r="C66" s="18"/>
      <c r="D66" s="18"/>
      <c r="E66" s="4"/>
      <c r="F66" s="4"/>
      <c r="G66" s="14"/>
    </row>
    <row r="67" spans="1:7" ht="36" customHeight="1" x14ac:dyDescent="0.35">
      <c r="A67" s="16">
        <v>55</v>
      </c>
      <c r="B67" s="11"/>
      <c r="C67" s="17"/>
      <c r="D67" s="17"/>
      <c r="E67" s="8"/>
      <c r="F67" s="8"/>
      <c r="G67" s="14"/>
    </row>
    <row r="68" spans="1:7" ht="36" customHeight="1" x14ac:dyDescent="0.35">
      <c r="A68" s="16">
        <v>56</v>
      </c>
      <c r="B68" s="6"/>
      <c r="C68" s="18"/>
      <c r="D68" s="18"/>
      <c r="E68" s="4"/>
      <c r="F68" s="4"/>
      <c r="G68" s="14"/>
    </row>
    <row r="69" spans="1:7" ht="36" customHeight="1" x14ac:dyDescent="0.35">
      <c r="A69" s="16">
        <v>57</v>
      </c>
      <c r="B69" s="11"/>
      <c r="C69" s="17"/>
      <c r="D69" s="17"/>
      <c r="E69" s="8"/>
      <c r="F69" s="8"/>
      <c r="G69" s="14"/>
    </row>
    <row r="70" spans="1:7" ht="36" customHeight="1" x14ac:dyDescent="0.35">
      <c r="A70" s="16">
        <v>58</v>
      </c>
      <c r="B70" s="6"/>
      <c r="C70" s="18"/>
      <c r="D70" s="18"/>
      <c r="E70" s="4"/>
      <c r="F70" s="4"/>
      <c r="G70" s="14"/>
    </row>
    <row r="71" spans="1:7" ht="36" customHeight="1" x14ac:dyDescent="0.35">
      <c r="A71" s="16">
        <v>59</v>
      </c>
      <c r="B71" s="11"/>
      <c r="C71" s="17"/>
      <c r="D71" s="17"/>
      <c r="E71" s="8"/>
      <c r="F71" s="8"/>
      <c r="G71" s="14"/>
    </row>
    <row r="72" spans="1:7" ht="36" customHeight="1" x14ac:dyDescent="0.35">
      <c r="A72" s="16">
        <v>60</v>
      </c>
      <c r="B72" s="6"/>
      <c r="C72" s="18"/>
      <c r="D72" s="18"/>
      <c r="E72" s="4"/>
      <c r="F72" s="4"/>
      <c r="G72" s="14"/>
    </row>
    <row r="73" spans="1:7" ht="36" customHeight="1" x14ac:dyDescent="0.35">
      <c r="A73" s="16">
        <v>61</v>
      </c>
      <c r="B73" s="11"/>
      <c r="C73" s="17"/>
      <c r="D73" s="17"/>
      <c r="E73" s="8"/>
      <c r="F73" s="8"/>
      <c r="G73" s="14"/>
    </row>
    <row r="74" spans="1:7" ht="36" customHeight="1" x14ac:dyDescent="0.35">
      <c r="A74" s="16">
        <v>62</v>
      </c>
      <c r="B74" s="6"/>
      <c r="C74" s="18"/>
      <c r="D74" s="18"/>
      <c r="E74" s="4"/>
      <c r="F74" s="4"/>
      <c r="G74" s="14"/>
    </row>
  </sheetData>
  <mergeCells count="8">
    <mergeCell ref="A11:G11"/>
    <mergeCell ref="B10:D10"/>
    <mergeCell ref="A1:D1"/>
    <mergeCell ref="B8:D8"/>
    <mergeCell ref="A3:D3"/>
    <mergeCell ref="B4:D4"/>
    <mergeCell ref="B9:D9"/>
    <mergeCell ref="A7:D7"/>
  </mergeCells>
  <phoneticPr fontId="17" type="noConversion"/>
  <conditionalFormatting sqref="G13:G31 G33:G74">
    <cfRule type="containsText" dxfId="44" priority="11" operator="containsText" text="مكتمل">
      <formula>NOT(ISERROR(SEARCH("مكتمل",G13)))</formula>
    </cfRule>
  </conditionalFormatting>
  <conditionalFormatting sqref="G32">
    <cfRule type="containsText" dxfId="43" priority="1" operator="containsText" text="مكتمل">
      <formula>NOT(ISERROR(SEARCH("مكتمل",G32)))</formula>
    </cfRule>
  </conditionalFormatting>
  <dataValidations count="2">
    <dataValidation type="list" allowBlank="1" sqref="C13:C74" xr:uid="{00000000-0002-0000-0200-000000000000}">
      <formula1>"1 - Strategy &amp; Guidance,2 - Needs Identification,3 - Affordability Estimate,4 - Tender Pack Development,5 - Detailed Cost Estimate,6 - Supplier Selection,7 - Contracting,8 - Contract Execution,9 - Contract Closure"</formula1>
      <formula2>0</formula2>
    </dataValidation>
    <dataValidation type="list" allowBlank="1" sqref="D13:D74" xr:uid="{00000000-0002-0000-0200-000002000000}">
      <formula1>IF(C13="2 - Needs Identification",Needs,IF(C13="3 - Affordability Estimate",Affordability,""))</formula1>
      <formula2>0</formula2>
    </dataValidation>
  </dataValidations>
  <pageMargins left="0.75" right="0.75" top="1" bottom="1" header="0.511811023622047" footer="0.511811023622047"/>
  <pageSetup orientation="landscape" horizontalDpi="300" verticalDpi="300"/>
  <extLst>
    <ext xmlns:x14="http://schemas.microsoft.com/office/spreadsheetml/2009/9/main" uri="{78C0D931-6437-407d-A8EE-F0AAD7539E65}">
      <x14:conditionalFormattings>
        <x14:conditionalFormatting xmlns:xm="http://schemas.microsoft.com/office/excel/2006/main">
          <x14:cfRule type="cellIs" priority="12" operator="equal" id="{22B12148-4A19-4E52-B214-B19C1256D9E2}">
            <xm:f>Sheet1!$F$5</xm:f>
            <x14:dxf>
              <fill>
                <patternFill>
                  <bgColor rgb="FFFFC000"/>
                </patternFill>
              </fill>
            </x14:dxf>
          </x14:cfRule>
          <x14:cfRule type="cellIs" priority="13" operator="equal" id="{2F22A8BE-9196-411F-B073-610FAAC945B4}">
            <xm:f>Sheet1!$F$4</xm:f>
            <x14:dxf>
              <fill>
                <patternFill>
                  <bgColor rgb="FFFF0000"/>
                </patternFill>
              </fill>
            </x14:dxf>
          </x14:cfRule>
          <x14:cfRule type="cellIs" priority="14" operator="equal" id="{87111F3C-1888-4741-A9EC-9499F3641B86}">
            <xm:f>Sheet1!$F$2</xm:f>
            <x14:dxf>
              <fill>
                <patternFill>
                  <bgColor rgb="FF002060"/>
                </patternFill>
              </fill>
            </x14:dxf>
          </x14:cfRule>
          <x14:cfRule type="cellIs" priority="15" operator="equal" id="{E999318A-1E06-4D5F-B921-E4F040C4D345}">
            <xm:f>Sheet1!$F$3</xm:f>
            <x14:dxf>
              <fill>
                <patternFill>
                  <bgColor rgb="FF008000"/>
                </patternFill>
              </fill>
            </x14:dxf>
          </x14:cfRule>
          <xm:sqref>G13:G31 G33:G74</xm:sqref>
        </x14:conditionalFormatting>
        <x14:conditionalFormatting xmlns:xm="http://schemas.microsoft.com/office/excel/2006/main">
          <x14:cfRule type="cellIs" priority="2" operator="equal" id="{1D7B4028-9E9D-4C84-9A52-74719B924997}">
            <xm:f>Sheet1!$F$5</xm:f>
            <x14:dxf>
              <fill>
                <patternFill>
                  <bgColor rgb="FFFFC000"/>
                </patternFill>
              </fill>
            </x14:dxf>
          </x14:cfRule>
          <x14:cfRule type="cellIs" priority="3" operator="equal" id="{EB6ECA32-4843-4AEB-BB14-AF3664B1109D}">
            <xm:f>Sheet1!$F$4</xm:f>
            <x14:dxf>
              <fill>
                <patternFill>
                  <bgColor rgb="FFFF0000"/>
                </patternFill>
              </fill>
            </x14:dxf>
          </x14:cfRule>
          <x14:cfRule type="cellIs" priority="4" operator="equal" id="{ADFE24BD-210E-4E13-BC21-3EA638F4EF5E}">
            <xm:f>Sheet1!$F$2</xm:f>
            <x14:dxf>
              <fill>
                <patternFill>
                  <bgColor rgb="FF002060"/>
                </patternFill>
              </fill>
            </x14:dxf>
          </x14:cfRule>
          <x14:cfRule type="cellIs" priority="5" operator="equal" id="{33C291AD-BD4A-4141-8C12-3B4E05D4083F}">
            <xm:f>Sheet1!$F$3</xm:f>
            <x14:dxf>
              <fill>
                <patternFill>
                  <bgColor rgb="FF008000"/>
                </patternFill>
              </fill>
            </x14:dxf>
          </x14:cfRule>
          <xm:sqref>G32</xm:sqref>
        </x14:conditionalFormatting>
      </x14:conditionalFormattings>
    </ext>
    <ext xmlns:x14="http://schemas.microsoft.com/office/spreadsheetml/2009/9/main" uri="{CCE6A557-97BC-4b89-ADB6-D9C93CAAB3DF}">
      <x14:dataValidations xmlns:xm="http://schemas.microsoft.com/office/excel/2006/main" count="1">
        <x14:dataValidation type="list" allowBlank="1" xr:uid="{30565A4A-602B-4CC8-8501-16F34006142D}">
          <x14:formula1>
            <xm:f>Sheet1!$F$2:$F$5</xm:f>
          </x14:formula1>
          <xm:sqref>G13:G74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A5A8F-0527-4732-8CAC-786E7BA8ACBE}">
  <dimension ref="F2:H5"/>
  <sheetViews>
    <sheetView rightToLeft="1" zoomScale="99" workbookViewId="0">
      <selection activeCell="D6" sqref="D6"/>
    </sheetView>
  </sheetViews>
  <sheetFormatPr defaultRowHeight="14.5" x14ac:dyDescent="0.35"/>
  <cols>
    <col min="8" max="8" width="11.7265625" bestFit="1" customWidth="1"/>
  </cols>
  <sheetData>
    <row r="2" spans="6:8" x14ac:dyDescent="0.35">
      <c r="F2" s="52" t="s">
        <v>41</v>
      </c>
      <c r="H2" s="35" t="s">
        <v>45</v>
      </c>
    </row>
    <row r="3" spans="6:8" x14ac:dyDescent="0.35">
      <c r="F3" s="33" t="s">
        <v>42</v>
      </c>
      <c r="H3" s="34" t="s">
        <v>46</v>
      </c>
    </row>
    <row r="4" spans="6:8" x14ac:dyDescent="0.35">
      <c r="F4" s="34" t="s">
        <v>43</v>
      </c>
      <c r="H4" s="36" t="s">
        <v>47</v>
      </c>
    </row>
    <row r="5" spans="6:8" x14ac:dyDescent="0.35">
      <c r="F5" s="35" t="s">
        <v>44</v>
      </c>
      <c r="H5" s="33" t="s">
        <v>48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rgb="FF002060"/>
  </sheetPr>
  <dimension ref="A1:G72"/>
  <sheetViews>
    <sheetView showGridLines="0" rightToLeft="1" tabSelected="1" topLeftCell="A18" zoomScale="72" zoomScaleNormal="100" workbookViewId="0">
      <selection activeCell="B29" sqref="B29"/>
    </sheetView>
  </sheetViews>
  <sheetFormatPr defaultColWidth="8.6328125" defaultRowHeight="14.5" x14ac:dyDescent="0.35"/>
  <cols>
    <col min="1" max="1" width="10.1796875" style="1" bestFit="1" customWidth="1"/>
    <col min="2" max="2" width="16" style="1" customWidth="1"/>
    <col min="3" max="3" width="30" style="1" customWidth="1"/>
    <col min="4" max="4" width="26" style="1" customWidth="1"/>
    <col min="5" max="6" width="50.6328125" style="1" customWidth="1"/>
    <col min="7" max="7" width="14" style="1" customWidth="1"/>
  </cols>
  <sheetData>
    <row r="1" spans="1:7" ht="31.5" customHeight="1" x14ac:dyDescent="0.35">
      <c r="A1" s="114" t="str">
        <f>IF(B4="","PP-03",B4)</f>
        <v>بدلة الكشف وبدلة الإزالة لصالح القوات البرية</v>
      </c>
      <c r="B1" s="115"/>
      <c r="C1" s="115"/>
      <c r="D1" s="116"/>
    </row>
    <row r="2" spans="1:7" ht="3" customHeight="1" x14ac:dyDescent="0.35">
      <c r="A2" s="12"/>
      <c r="B2" s="12"/>
      <c r="C2" s="12"/>
      <c r="D2" s="12"/>
    </row>
    <row r="3" spans="1:7" ht="21.75" customHeight="1" x14ac:dyDescent="0.35">
      <c r="A3" s="118" t="s">
        <v>4</v>
      </c>
      <c r="B3" s="115"/>
      <c r="C3" s="115"/>
      <c r="D3" s="116"/>
    </row>
    <row r="4" spans="1:7" ht="27.75" customHeight="1" x14ac:dyDescent="0.35">
      <c r="A4" s="13" t="s">
        <v>1</v>
      </c>
      <c r="B4" s="119" t="s">
        <v>64</v>
      </c>
      <c r="C4" s="115"/>
      <c r="D4" s="116"/>
    </row>
    <row r="5" spans="1:7" ht="24" customHeight="1" x14ac:dyDescent="0.35">
      <c r="A5" s="13" t="s">
        <v>3</v>
      </c>
      <c r="B5" s="9" t="s">
        <v>65</v>
      </c>
      <c r="C5" s="13" t="s">
        <v>2</v>
      </c>
      <c r="D5" s="14" t="s">
        <v>62</v>
      </c>
    </row>
    <row r="6" spans="1:7" ht="7.5" customHeight="1" x14ac:dyDescent="0.35"/>
    <row r="7" spans="1:7" ht="21.75" customHeight="1" x14ac:dyDescent="0.35">
      <c r="A7" s="118" t="s">
        <v>5</v>
      </c>
      <c r="B7" s="115"/>
      <c r="C7" s="115"/>
      <c r="D7" s="116"/>
      <c r="E7" s="25" t="s">
        <v>30</v>
      </c>
      <c r="F7" s="65">
        <v>46014</v>
      </c>
    </row>
    <row r="8" spans="1:7" ht="24" customHeight="1" x14ac:dyDescent="0.35">
      <c r="A8" s="13" t="s">
        <v>21</v>
      </c>
      <c r="B8" s="117" t="str">
        <f>IFERROR(LOOKUP(2,1/(C13:C72&lt;&gt;""),C13:C72),"—")</f>
        <v>3 - Affordability Estimate</v>
      </c>
      <c r="C8" s="115"/>
      <c r="D8" s="116"/>
      <c r="E8" s="27" t="s">
        <v>29</v>
      </c>
      <c r="F8" s="64">
        <v>46035</v>
      </c>
    </row>
    <row r="9" spans="1:7" ht="24" customHeight="1" x14ac:dyDescent="0.35">
      <c r="A9" s="13" t="s">
        <v>22</v>
      </c>
      <c r="B9" s="120">
        <f>IFERROR(LOOKUP(2,1/(B13:B72&lt;&gt;""),B13:B72),"—")</f>
        <v>46192</v>
      </c>
      <c r="C9" s="121"/>
      <c r="D9" s="122"/>
      <c r="E9" s="25" t="s">
        <v>31</v>
      </c>
      <c r="F9" s="64">
        <v>46057</v>
      </c>
    </row>
    <row r="10" spans="1:7" ht="24" customHeight="1" x14ac:dyDescent="0.35">
      <c r="A10" s="13" t="s">
        <v>10</v>
      </c>
      <c r="B10" s="117" t="str">
        <f>IFERROR(INDEX(E13:E72,MATCH(MAX(B13:B72),B13:B72,0)),"—")</f>
        <v>لايوجد</v>
      </c>
      <c r="C10" s="115"/>
      <c r="D10" s="116"/>
      <c r="E10" s="25" t="s">
        <v>32</v>
      </c>
      <c r="F10" s="56" t="s">
        <v>86</v>
      </c>
    </row>
    <row r="11" spans="1:7" ht="27.75" customHeight="1" x14ac:dyDescent="0.35">
      <c r="A11" s="110" t="s">
        <v>20</v>
      </c>
      <c r="B11" s="111"/>
      <c r="C11" s="111"/>
      <c r="D11" s="111"/>
      <c r="E11" s="111"/>
      <c r="F11" s="111"/>
      <c r="G11" s="111"/>
    </row>
    <row r="12" spans="1:7" ht="30" customHeight="1" x14ac:dyDescent="0.35">
      <c r="A12" s="15" t="s">
        <v>6</v>
      </c>
      <c r="B12" s="15" t="s">
        <v>7</v>
      </c>
      <c r="C12" s="15" t="s">
        <v>8</v>
      </c>
      <c r="D12" s="15" t="s">
        <v>9</v>
      </c>
      <c r="E12" s="15" t="s">
        <v>10</v>
      </c>
      <c r="F12" s="15" t="s">
        <v>11</v>
      </c>
      <c r="G12" s="15" t="s">
        <v>5</v>
      </c>
    </row>
    <row r="13" spans="1:7" ht="36" customHeight="1" x14ac:dyDescent="0.35">
      <c r="A13" s="16">
        <v>1</v>
      </c>
      <c r="B13" s="60">
        <v>46014</v>
      </c>
      <c r="C13" s="61" t="s">
        <v>83</v>
      </c>
      <c r="D13" s="61" t="s">
        <v>16</v>
      </c>
      <c r="E13" s="59" t="s">
        <v>87</v>
      </c>
      <c r="F13" s="59" t="s">
        <v>88</v>
      </c>
      <c r="G13" s="63" t="s">
        <v>42</v>
      </c>
    </row>
    <row r="14" spans="1:7" ht="36" customHeight="1" x14ac:dyDescent="0.35">
      <c r="A14" s="16">
        <v>2</v>
      </c>
      <c r="B14" s="60">
        <v>46014</v>
      </c>
      <c r="C14" s="62" t="s">
        <v>83</v>
      </c>
      <c r="D14" s="62" t="s">
        <v>16</v>
      </c>
      <c r="E14" s="57" t="s">
        <v>89</v>
      </c>
      <c r="F14" s="59" t="s">
        <v>90</v>
      </c>
      <c r="G14" s="63" t="s">
        <v>42</v>
      </c>
    </row>
    <row r="15" spans="1:7" ht="36" customHeight="1" x14ac:dyDescent="0.35">
      <c r="A15" s="16">
        <v>3</v>
      </c>
      <c r="B15" s="60">
        <v>46021</v>
      </c>
      <c r="C15" s="61" t="s">
        <v>83</v>
      </c>
      <c r="D15" s="61" t="s">
        <v>16</v>
      </c>
      <c r="E15" s="59" t="s">
        <v>91</v>
      </c>
      <c r="F15" s="59" t="s">
        <v>92</v>
      </c>
      <c r="G15" s="63" t="s">
        <v>42</v>
      </c>
    </row>
    <row r="16" spans="1:7" ht="36" customHeight="1" x14ac:dyDescent="0.35">
      <c r="A16" s="16">
        <v>4</v>
      </c>
      <c r="B16" s="60">
        <v>46035</v>
      </c>
      <c r="C16" s="62" t="s">
        <v>83</v>
      </c>
      <c r="D16" s="62" t="s">
        <v>16</v>
      </c>
      <c r="E16" s="57" t="s">
        <v>93</v>
      </c>
      <c r="F16" s="57" t="s">
        <v>94</v>
      </c>
      <c r="G16" s="63" t="s">
        <v>41</v>
      </c>
    </row>
    <row r="17" spans="1:7" ht="36" customHeight="1" x14ac:dyDescent="0.35">
      <c r="A17" s="16">
        <v>5</v>
      </c>
      <c r="B17" s="58">
        <v>46057</v>
      </c>
      <c r="C17" s="61" t="s">
        <v>72</v>
      </c>
      <c r="D17" s="61" t="s">
        <v>15</v>
      </c>
      <c r="E17" s="59" t="s">
        <v>95</v>
      </c>
      <c r="F17" s="59" t="s">
        <v>96</v>
      </c>
      <c r="G17" s="63" t="s">
        <v>42</v>
      </c>
    </row>
    <row r="18" spans="1:7" ht="36" customHeight="1" x14ac:dyDescent="0.35">
      <c r="A18" s="16">
        <v>6</v>
      </c>
      <c r="B18" s="58">
        <v>46064</v>
      </c>
      <c r="C18" s="62" t="s">
        <v>72</v>
      </c>
      <c r="D18" s="62" t="s">
        <v>15</v>
      </c>
      <c r="E18" s="59" t="s">
        <v>97</v>
      </c>
      <c r="F18" s="59" t="s">
        <v>98</v>
      </c>
      <c r="G18" s="63" t="s">
        <v>41</v>
      </c>
    </row>
    <row r="19" spans="1:7" ht="36" customHeight="1" x14ac:dyDescent="0.35">
      <c r="A19" s="16">
        <v>7</v>
      </c>
      <c r="B19" s="60">
        <v>46118</v>
      </c>
      <c r="C19" s="61" t="s">
        <v>72</v>
      </c>
      <c r="D19" s="61" t="s">
        <v>17</v>
      </c>
      <c r="E19" s="59" t="s">
        <v>99</v>
      </c>
      <c r="F19" s="59" t="s">
        <v>100</v>
      </c>
      <c r="G19" s="63" t="s">
        <v>41</v>
      </c>
    </row>
    <row r="20" spans="1:7" ht="36" customHeight="1" x14ac:dyDescent="0.35">
      <c r="A20" s="16">
        <v>8</v>
      </c>
      <c r="B20" s="60">
        <v>46140</v>
      </c>
      <c r="C20" s="62" t="s">
        <v>72</v>
      </c>
      <c r="D20" s="62" t="s">
        <v>19</v>
      </c>
      <c r="E20" s="57" t="s">
        <v>101</v>
      </c>
      <c r="F20" s="57" t="s">
        <v>102</v>
      </c>
      <c r="G20" s="63" t="s">
        <v>41</v>
      </c>
    </row>
    <row r="21" spans="1:7" ht="36" customHeight="1" x14ac:dyDescent="0.35">
      <c r="A21" s="16">
        <v>9</v>
      </c>
      <c r="B21" s="60">
        <v>46142</v>
      </c>
      <c r="C21" s="62" t="s">
        <v>72</v>
      </c>
      <c r="D21" s="62" t="s">
        <v>19</v>
      </c>
      <c r="E21" s="59" t="s">
        <v>84</v>
      </c>
      <c r="F21" s="59" t="s">
        <v>85</v>
      </c>
      <c r="G21" s="63" t="s">
        <v>42</v>
      </c>
    </row>
    <row r="22" spans="1:7" ht="36" customHeight="1" x14ac:dyDescent="0.35">
      <c r="A22" s="16">
        <v>10</v>
      </c>
      <c r="B22" s="60">
        <v>46145</v>
      </c>
      <c r="C22" s="62" t="s">
        <v>72</v>
      </c>
      <c r="D22" s="62" t="s">
        <v>19</v>
      </c>
      <c r="E22" s="59" t="s">
        <v>84</v>
      </c>
      <c r="F22" s="59" t="s">
        <v>85</v>
      </c>
      <c r="G22" s="63" t="s">
        <v>42</v>
      </c>
    </row>
    <row r="23" spans="1:7" ht="36" customHeight="1" x14ac:dyDescent="0.35">
      <c r="A23" s="16">
        <v>11</v>
      </c>
      <c r="B23" s="60">
        <v>46149</v>
      </c>
      <c r="C23" s="62" t="s">
        <v>72</v>
      </c>
      <c r="D23" s="62" t="s">
        <v>19</v>
      </c>
      <c r="E23" s="59" t="s">
        <v>84</v>
      </c>
      <c r="F23" s="59" t="s">
        <v>103</v>
      </c>
      <c r="G23" s="63" t="s">
        <v>42</v>
      </c>
    </row>
    <row r="24" spans="1:7" ht="36" customHeight="1" x14ac:dyDescent="0.35">
      <c r="A24" s="16">
        <v>12</v>
      </c>
      <c r="B24" s="89">
        <v>46152</v>
      </c>
      <c r="C24" s="91" t="s">
        <v>72</v>
      </c>
      <c r="D24" s="91" t="s">
        <v>19</v>
      </c>
      <c r="E24" s="88" t="s">
        <v>84</v>
      </c>
      <c r="F24" s="88" t="s">
        <v>149</v>
      </c>
      <c r="G24" s="14" t="s">
        <v>42</v>
      </c>
    </row>
    <row r="25" spans="1:7" ht="36" customHeight="1" x14ac:dyDescent="0.35">
      <c r="A25" s="16">
        <v>13</v>
      </c>
      <c r="B25" s="89">
        <v>46156</v>
      </c>
      <c r="C25" s="90" t="s">
        <v>72</v>
      </c>
      <c r="D25" s="90" t="s">
        <v>19</v>
      </c>
      <c r="E25" s="88" t="s">
        <v>84</v>
      </c>
      <c r="F25" s="88" t="s">
        <v>149</v>
      </c>
      <c r="G25" s="14" t="s">
        <v>42</v>
      </c>
    </row>
    <row r="26" spans="1:7" ht="36" customHeight="1" x14ac:dyDescent="0.35">
      <c r="A26" s="16">
        <v>14</v>
      </c>
      <c r="B26" s="6">
        <v>46159</v>
      </c>
      <c r="C26" s="18" t="s">
        <v>72</v>
      </c>
      <c r="D26" s="18" t="s">
        <v>19</v>
      </c>
      <c r="E26" s="4" t="s">
        <v>84</v>
      </c>
      <c r="F26" s="4" t="s">
        <v>154</v>
      </c>
      <c r="G26" s="14" t="s">
        <v>42</v>
      </c>
    </row>
    <row r="27" spans="1:7" ht="36" customHeight="1" x14ac:dyDescent="0.35">
      <c r="A27" s="16">
        <v>15</v>
      </c>
      <c r="B27" s="11">
        <v>46163</v>
      </c>
      <c r="C27" s="17" t="s">
        <v>72</v>
      </c>
      <c r="D27" s="17" t="s">
        <v>19</v>
      </c>
      <c r="E27" s="8" t="s">
        <v>84</v>
      </c>
      <c r="F27" s="8" t="s">
        <v>154</v>
      </c>
      <c r="G27" s="63" t="s">
        <v>42</v>
      </c>
    </row>
    <row r="28" spans="1:7" ht="36" customHeight="1" x14ac:dyDescent="0.35">
      <c r="A28" s="16">
        <v>16</v>
      </c>
      <c r="B28" s="97">
        <v>46184</v>
      </c>
      <c r="C28" s="101" t="s">
        <v>72</v>
      </c>
      <c r="D28" s="101" t="s">
        <v>19</v>
      </c>
      <c r="E28" s="96" t="s">
        <v>84</v>
      </c>
      <c r="F28" s="98" t="s">
        <v>159</v>
      </c>
      <c r="G28" s="100" t="s">
        <v>43</v>
      </c>
    </row>
    <row r="29" spans="1:7" ht="36" customHeight="1" x14ac:dyDescent="0.35">
      <c r="A29" s="16">
        <v>17</v>
      </c>
      <c r="B29" s="99">
        <v>46192</v>
      </c>
      <c r="C29" s="101" t="s">
        <v>72</v>
      </c>
      <c r="D29" s="101" t="s">
        <v>19</v>
      </c>
      <c r="E29" s="96" t="s">
        <v>84</v>
      </c>
      <c r="F29" s="104" t="s">
        <v>159</v>
      </c>
      <c r="G29" s="100" t="s">
        <v>43</v>
      </c>
    </row>
    <row r="30" spans="1:7" ht="36" customHeight="1" x14ac:dyDescent="0.35">
      <c r="A30" s="16">
        <v>18</v>
      </c>
      <c r="B30" s="6"/>
      <c r="C30" s="18"/>
      <c r="D30" s="18"/>
      <c r="E30" s="4"/>
      <c r="F30" s="4"/>
      <c r="G30" s="14"/>
    </row>
    <row r="31" spans="1:7" ht="36" customHeight="1" x14ac:dyDescent="0.35">
      <c r="A31" s="16">
        <v>19</v>
      </c>
      <c r="B31" s="11"/>
      <c r="C31" s="17"/>
      <c r="D31" s="17"/>
      <c r="E31" s="8"/>
      <c r="F31" s="8"/>
      <c r="G31" s="14"/>
    </row>
    <row r="32" spans="1:7" ht="36" customHeight="1" x14ac:dyDescent="0.35">
      <c r="A32" s="16">
        <v>20</v>
      </c>
      <c r="B32" s="6"/>
      <c r="C32" s="18"/>
      <c r="D32" s="18"/>
      <c r="E32" s="4"/>
      <c r="F32" s="4"/>
      <c r="G32" s="14"/>
    </row>
    <row r="33" spans="1:7" ht="36" customHeight="1" x14ac:dyDescent="0.35">
      <c r="A33" s="16">
        <v>21</v>
      </c>
      <c r="B33" s="11"/>
      <c r="C33" s="17"/>
      <c r="D33" s="17"/>
      <c r="E33" s="8"/>
      <c r="F33" s="8"/>
      <c r="G33" s="14"/>
    </row>
    <row r="34" spans="1:7" ht="36" customHeight="1" x14ac:dyDescent="0.35">
      <c r="A34" s="16">
        <v>22</v>
      </c>
      <c r="B34" s="6"/>
      <c r="C34" s="18"/>
      <c r="D34" s="18"/>
      <c r="E34" s="4"/>
      <c r="F34" s="4"/>
      <c r="G34" s="14"/>
    </row>
    <row r="35" spans="1:7" ht="36" customHeight="1" x14ac:dyDescent="0.35">
      <c r="A35" s="16">
        <v>23</v>
      </c>
      <c r="B35" s="11"/>
      <c r="C35" s="17"/>
      <c r="D35" s="17"/>
      <c r="E35" s="8"/>
      <c r="F35" s="8"/>
      <c r="G35" s="14"/>
    </row>
    <row r="36" spans="1:7" ht="36" customHeight="1" x14ac:dyDescent="0.35">
      <c r="A36" s="16">
        <v>24</v>
      </c>
      <c r="B36" s="6"/>
      <c r="C36" s="18"/>
      <c r="D36" s="18"/>
      <c r="E36" s="4"/>
      <c r="F36" s="4"/>
      <c r="G36" s="14"/>
    </row>
    <row r="37" spans="1:7" ht="36" customHeight="1" x14ac:dyDescent="0.35">
      <c r="A37" s="16">
        <v>25</v>
      </c>
      <c r="B37" s="11"/>
      <c r="C37" s="17"/>
      <c r="D37" s="17"/>
      <c r="E37" s="8"/>
      <c r="F37" s="8"/>
      <c r="G37" s="14"/>
    </row>
    <row r="38" spans="1:7" ht="36" customHeight="1" x14ac:dyDescent="0.35">
      <c r="A38" s="16">
        <v>26</v>
      </c>
      <c r="B38" s="6"/>
      <c r="C38" s="18"/>
      <c r="D38" s="18"/>
      <c r="E38" s="4"/>
      <c r="F38" s="4"/>
      <c r="G38" s="14"/>
    </row>
    <row r="39" spans="1:7" ht="36" customHeight="1" x14ac:dyDescent="0.35">
      <c r="A39" s="16">
        <v>27</v>
      </c>
      <c r="B39" s="11"/>
      <c r="C39" s="17"/>
      <c r="D39" s="17"/>
      <c r="E39" s="8"/>
      <c r="F39" s="8"/>
      <c r="G39" s="14"/>
    </row>
    <row r="40" spans="1:7" ht="36" customHeight="1" x14ac:dyDescent="0.35">
      <c r="A40" s="16">
        <v>28</v>
      </c>
      <c r="B40" s="6"/>
      <c r="C40" s="18"/>
      <c r="D40" s="18"/>
      <c r="E40" s="4"/>
      <c r="F40" s="4"/>
      <c r="G40" s="14"/>
    </row>
    <row r="41" spans="1:7" ht="36" customHeight="1" x14ac:dyDescent="0.35">
      <c r="A41" s="16">
        <v>29</v>
      </c>
      <c r="B41" s="11"/>
      <c r="C41" s="17"/>
      <c r="D41" s="17"/>
      <c r="E41" s="8"/>
      <c r="F41" s="8"/>
      <c r="G41" s="14"/>
    </row>
    <row r="42" spans="1:7" ht="36" customHeight="1" x14ac:dyDescent="0.35">
      <c r="A42" s="16">
        <v>30</v>
      </c>
      <c r="B42" s="6"/>
      <c r="C42" s="18"/>
      <c r="D42" s="18"/>
      <c r="E42" s="4"/>
      <c r="F42" s="4"/>
      <c r="G42" s="14"/>
    </row>
    <row r="43" spans="1:7" ht="36" customHeight="1" x14ac:dyDescent="0.35">
      <c r="A43" s="16">
        <v>31</v>
      </c>
      <c r="B43" s="11"/>
      <c r="C43" s="17"/>
      <c r="D43" s="17"/>
      <c r="E43" s="8"/>
      <c r="F43" s="8"/>
      <c r="G43" s="14"/>
    </row>
    <row r="44" spans="1:7" ht="36" customHeight="1" x14ac:dyDescent="0.35">
      <c r="A44" s="16">
        <v>32</v>
      </c>
      <c r="B44" s="6"/>
      <c r="C44" s="18"/>
      <c r="D44" s="18"/>
      <c r="E44" s="4"/>
      <c r="F44" s="4"/>
      <c r="G44" s="14"/>
    </row>
    <row r="45" spans="1:7" ht="36" customHeight="1" x14ac:dyDescent="0.35">
      <c r="A45" s="16">
        <v>33</v>
      </c>
      <c r="B45" s="11"/>
      <c r="C45" s="17"/>
      <c r="D45" s="17"/>
      <c r="E45" s="8"/>
      <c r="F45" s="8"/>
      <c r="G45" s="14"/>
    </row>
    <row r="46" spans="1:7" ht="36" customHeight="1" x14ac:dyDescent="0.35">
      <c r="A46" s="16">
        <v>34</v>
      </c>
      <c r="B46" s="6"/>
      <c r="C46" s="18"/>
      <c r="D46" s="18"/>
      <c r="E46" s="4"/>
      <c r="F46" s="4"/>
      <c r="G46" s="14"/>
    </row>
    <row r="47" spans="1:7" ht="36" customHeight="1" x14ac:dyDescent="0.35">
      <c r="A47" s="16">
        <v>35</v>
      </c>
      <c r="B47" s="11"/>
      <c r="C47" s="17"/>
      <c r="D47" s="17"/>
      <c r="E47" s="8"/>
      <c r="F47" s="8"/>
      <c r="G47" s="14"/>
    </row>
    <row r="48" spans="1:7" ht="36" customHeight="1" x14ac:dyDescent="0.35">
      <c r="A48" s="16">
        <v>36</v>
      </c>
      <c r="B48" s="6"/>
      <c r="C48" s="18"/>
      <c r="D48" s="18"/>
      <c r="E48" s="4"/>
      <c r="F48" s="4"/>
      <c r="G48" s="14"/>
    </row>
    <row r="49" spans="1:7" ht="36" customHeight="1" x14ac:dyDescent="0.35">
      <c r="A49" s="16">
        <v>37</v>
      </c>
      <c r="B49" s="11"/>
      <c r="C49" s="17"/>
      <c r="D49" s="17"/>
      <c r="E49" s="8"/>
      <c r="F49" s="8"/>
      <c r="G49" s="14"/>
    </row>
    <row r="50" spans="1:7" ht="36" customHeight="1" x14ac:dyDescent="0.35">
      <c r="A50" s="16">
        <v>38</v>
      </c>
      <c r="B50" s="6"/>
      <c r="C50" s="18"/>
      <c r="D50" s="18"/>
      <c r="E50" s="4"/>
      <c r="F50" s="4"/>
      <c r="G50" s="14"/>
    </row>
    <row r="51" spans="1:7" ht="36" customHeight="1" x14ac:dyDescent="0.35">
      <c r="A51" s="16">
        <v>39</v>
      </c>
      <c r="B51" s="11"/>
      <c r="C51" s="17"/>
      <c r="D51" s="17"/>
      <c r="E51" s="8"/>
      <c r="F51" s="8"/>
      <c r="G51" s="14"/>
    </row>
    <row r="52" spans="1:7" ht="36" customHeight="1" x14ac:dyDescent="0.35">
      <c r="A52" s="16">
        <v>40</v>
      </c>
      <c r="B52" s="6"/>
      <c r="C52" s="18"/>
      <c r="D52" s="18"/>
      <c r="E52" s="4"/>
      <c r="F52" s="4"/>
      <c r="G52" s="14"/>
    </row>
    <row r="53" spans="1:7" ht="36" customHeight="1" x14ac:dyDescent="0.35">
      <c r="A53" s="16">
        <v>41</v>
      </c>
      <c r="B53" s="11"/>
      <c r="C53" s="17"/>
      <c r="D53" s="17"/>
      <c r="E53" s="8"/>
      <c r="F53" s="8"/>
      <c r="G53" s="14"/>
    </row>
    <row r="54" spans="1:7" ht="36" customHeight="1" x14ac:dyDescent="0.35">
      <c r="A54" s="16">
        <v>42</v>
      </c>
      <c r="B54" s="6"/>
      <c r="C54" s="18"/>
      <c r="D54" s="18"/>
      <c r="E54" s="4"/>
      <c r="F54" s="4"/>
      <c r="G54" s="14"/>
    </row>
    <row r="55" spans="1:7" ht="36" customHeight="1" x14ac:dyDescent="0.35">
      <c r="A55" s="16">
        <v>43</v>
      </c>
      <c r="B55" s="11"/>
      <c r="C55" s="17"/>
      <c r="D55" s="17"/>
      <c r="E55" s="8"/>
      <c r="F55" s="8"/>
      <c r="G55" s="14"/>
    </row>
    <row r="56" spans="1:7" ht="36" customHeight="1" x14ac:dyDescent="0.35">
      <c r="A56" s="16">
        <v>44</v>
      </c>
      <c r="B56" s="6"/>
      <c r="C56" s="18"/>
      <c r="D56" s="18"/>
      <c r="E56" s="4"/>
      <c r="F56" s="4"/>
      <c r="G56" s="14"/>
    </row>
    <row r="57" spans="1:7" ht="36" customHeight="1" x14ac:dyDescent="0.35">
      <c r="A57" s="16">
        <v>45</v>
      </c>
      <c r="B57" s="11"/>
      <c r="C57" s="17"/>
      <c r="D57" s="17"/>
      <c r="E57" s="8"/>
      <c r="F57" s="8"/>
      <c r="G57" s="14"/>
    </row>
    <row r="58" spans="1:7" ht="36" customHeight="1" x14ac:dyDescent="0.35">
      <c r="A58" s="16">
        <v>46</v>
      </c>
      <c r="B58" s="6"/>
      <c r="C58" s="18"/>
      <c r="D58" s="18"/>
      <c r="E58" s="4"/>
      <c r="F58" s="4"/>
      <c r="G58" s="14"/>
    </row>
    <row r="59" spans="1:7" ht="36" customHeight="1" x14ac:dyDescent="0.35">
      <c r="A59" s="16">
        <v>47</v>
      </c>
      <c r="B59" s="11"/>
      <c r="C59" s="17"/>
      <c r="D59" s="17"/>
      <c r="E59" s="8"/>
      <c r="F59" s="8"/>
      <c r="G59" s="14"/>
    </row>
    <row r="60" spans="1:7" ht="36" customHeight="1" x14ac:dyDescent="0.35">
      <c r="A60" s="16">
        <v>48</v>
      </c>
      <c r="B60" s="6"/>
      <c r="C60" s="18"/>
      <c r="D60" s="18"/>
      <c r="E60" s="4"/>
      <c r="F60" s="4"/>
      <c r="G60" s="14"/>
    </row>
    <row r="61" spans="1:7" ht="36" customHeight="1" x14ac:dyDescent="0.35">
      <c r="A61" s="16">
        <v>49</v>
      </c>
      <c r="B61" s="11"/>
      <c r="C61" s="17"/>
      <c r="D61" s="17"/>
      <c r="E61" s="8"/>
      <c r="F61" s="8"/>
      <c r="G61" s="14"/>
    </row>
    <row r="62" spans="1:7" ht="36" customHeight="1" x14ac:dyDescent="0.35">
      <c r="A62" s="16">
        <v>50</v>
      </c>
      <c r="B62" s="6"/>
      <c r="C62" s="18"/>
      <c r="D62" s="18"/>
      <c r="E62" s="4"/>
      <c r="F62" s="4"/>
      <c r="G62" s="14"/>
    </row>
    <row r="63" spans="1:7" ht="36" customHeight="1" x14ac:dyDescent="0.35">
      <c r="A63" s="16">
        <v>51</v>
      </c>
      <c r="B63" s="11"/>
      <c r="C63" s="17"/>
      <c r="D63" s="17"/>
      <c r="E63" s="8"/>
      <c r="F63" s="8"/>
      <c r="G63" s="14"/>
    </row>
    <row r="64" spans="1:7" ht="36" customHeight="1" x14ac:dyDescent="0.35">
      <c r="A64" s="16">
        <v>52</v>
      </c>
      <c r="B64" s="6"/>
      <c r="C64" s="18"/>
      <c r="D64" s="18"/>
      <c r="E64" s="4"/>
      <c r="F64" s="4"/>
      <c r="G64" s="14"/>
    </row>
    <row r="65" spans="1:7" ht="36" customHeight="1" x14ac:dyDescent="0.35">
      <c r="A65" s="16">
        <v>53</v>
      </c>
      <c r="B65" s="11"/>
      <c r="C65" s="17"/>
      <c r="D65" s="17"/>
      <c r="E65" s="8"/>
      <c r="F65" s="8"/>
      <c r="G65" s="14"/>
    </row>
    <row r="66" spans="1:7" ht="36" customHeight="1" x14ac:dyDescent="0.35">
      <c r="A66" s="16">
        <v>54</v>
      </c>
      <c r="B66" s="6"/>
      <c r="C66" s="18"/>
      <c r="D66" s="18"/>
      <c r="E66" s="4"/>
      <c r="F66" s="4"/>
      <c r="G66" s="14"/>
    </row>
    <row r="67" spans="1:7" ht="36" customHeight="1" x14ac:dyDescent="0.35">
      <c r="A67" s="16">
        <v>55</v>
      </c>
      <c r="B67" s="11"/>
      <c r="C67" s="17"/>
      <c r="D67" s="17"/>
      <c r="E67" s="8"/>
      <c r="F67" s="8"/>
      <c r="G67" s="14"/>
    </row>
    <row r="68" spans="1:7" ht="36" customHeight="1" x14ac:dyDescent="0.35">
      <c r="A68" s="16">
        <v>56</v>
      </c>
      <c r="B68" s="6"/>
      <c r="C68" s="18"/>
      <c r="D68" s="18"/>
      <c r="E68" s="4"/>
      <c r="F68" s="4"/>
      <c r="G68" s="14"/>
    </row>
    <row r="69" spans="1:7" ht="36" customHeight="1" x14ac:dyDescent="0.35">
      <c r="A69" s="16">
        <v>57</v>
      </c>
      <c r="B69" s="11"/>
      <c r="C69" s="17"/>
      <c r="D69" s="17"/>
      <c r="E69" s="8"/>
      <c r="F69" s="8"/>
      <c r="G69" s="14"/>
    </row>
    <row r="70" spans="1:7" ht="36" customHeight="1" x14ac:dyDescent="0.35">
      <c r="A70" s="16">
        <v>58</v>
      </c>
      <c r="B70" s="6"/>
      <c r="C70" s="18"/>
      <c r="D70" s="18"/>
      <c r="E70" s="4"/>
      <c r="F70" s="4"/>
      <c r="G70" s="14"/>
    </row>
    <row r="71" spans="1:7" ht="36" customHeight="1" x14ac:dyDescent="0.35">
      <c r="A71" s="16">
        <v>59</v>
      </c>
      <c r="B71" s="11"/>
      <c r="C71" s="17"/>
      <c r="D71" s="17"/>
      <c r="E71" s="8"/>
      <c r="F71" s="8"/>
      <c r="G71" s="14"/>
    </row>
    <row r="72" spans="1:7" ht="36" customHeight="1" x14ac:dyDescent="0.35">
      <c r="A72" s="16">
        <v>60</v>
      </c>
      <c r="B72" s="6"/>
      <c r="C72" s="18"/>
      <c r="D72" s="18"/>
      <c r="E72" s="4"/>
      <c r="F72" s="4"/>
      <c r="G72" s="14"/>
    </row>
  </sheetData>
  <mergeCells count="8">
    <mergeCell ref="A11:G11"/>
    <mergeCell ref="B10:D10"/>
    <mergeCell ref="A1:D1"/>
    <mergeCell ref="B8:D8"/>
    <mergeCell ref="A3:D3"/>
    <mergeCell ref="B4:D4"/>
    <mergeCell ref="B9:D9"/>
    <mergeCell ref="A7:D7"/>
  </mergeCells>
  <conditionalFormatting sqref="G13:G28 G30:G72">
    <cfRule type="containsText" dxfId="34" priority="6" operator="containsText" text="مكتمل">
      <formula>NOT(ISERROR(SEARCH("مكتمل",G13)))</formula>
    </cfRule>
  </conditionalFormatting>
  <conditionalFormatting sqref="G29">
    <cfRule type="containsText" dxfId="4" priority="1" operator="containsText" text="مكتمل">
      <formula>NOT(ISERROR(SEARCH("مكتمل",G29)))</formula>
    </cfRule>
  </conditionalFormatting>
  <dataValidations count="2">
    <dataValidation type="list" allowBlank="1" sqref="C13:C72" xr:uid="{00000000-0002-0000-0300-000000000000}">
      <formula1>"1 - Strategy &amp; Guidance,2 - Needs Identification,3 - Affordability Estimate,4 - Tender Pack Development,5 - Detailed Cost Estimate,6 - Supplier Selection,7 - Contracting,8 - Contract Execution,9 - Contract Closure"</formula1>
      <formula2>0</formula2>
    </dataValidation>
    <dataValidation type="list" allowBlank="1" sqref="D13:D72" xr:uid="{00000000-0002-0000-0300-000002000000}">
      <formula1>IF(C13="2 - Needs Identification",Needs,IF(C13="3 - Affordability Estimate",Affordability,""))</formula1>
      <formula2>0</formula2>
    </dataValidation>
  </dataValidations>
  <pageMargins left="0.75" right="0.75" top="1" bottom="1" header="0.511811023622047" footer="0.511811023622047"/>
  <pageSetup orientation="landscape" horizontalDpi="300" verticalDpi="300"/>
  <extLst>
    <ext xmlns:x14="http://schemas.microsoft.com/office/spreadsheetml/2009/9/main" uri="{78C0D931-6437-407d-A8EE-F0AAD7539E65}">
      <x14:conditionalFormattings>
        <x14:conditionalFormatting xmlns:xm="http://schemas.microsoft.com/office/excel/2006/main">
          <x14:cfRule type="cellIs" priority="7" operator="equal" id="{FF0E765C-3C6E-457C-AE6A-A8355818E9FB}">
            <xm:f>Sheet1!$F$5</xm:f>
            <x14:dxf>
              <fill>
                <patternFill>
                  <bgColor rgb="FFFFC000"/>
                </patternFill>
              </fill>
            </x14:dxf>
          </x14:cfRule>
          <x14:cfRule type="cellIs" priority="8" operator="equal" id="{E761EC67-5B1B-4C15-B440-B3AEFE947E82}">
            <xm:f>Sheet1!$F$4</xm:f>
            <x14:dxf>
              <fill>
                <patternFill>
                  <bgColor rgb="FFFF0000"/>
                </patternFill>
              </fill>
            </x14:dxf>
          </x14:cfRule>
          <x14:cfRule type="cellIs" priority="9" operator="equal" id="{9EBD5BAD-D57A-40E8-BFDE-3BAA47F15235}">
            <xm:f>Sheet1!$F$2</xm:f>
            <x14:dxf>
              <fill>
                <patternFill>
                  <bgColor rgb="FF002060"/>
                </patternFill>
              </fill>
            </x14:dxf>
          </x14:cfRule>
          <x14:cfRule type="cellIs" priority="10" operator="equal" id="{9D793CFB-5613-49D5-9B1C-9744F653DA34}">
            <xm:f>Sheet1!$F$3</xm:f>
            <x14:dxf>
              <fill>
                <patternFill>
                  <bgColor rgb="FF008000"/>
                </patternFill>
              </fill>
            </x14:dxf>
          </x14:cfRule>
          <xm:sqref>G13:G28 G30:G72</xm:sqref>
        </x14:conditionalFormatting>
        <x14:conditionalFormatting xmlns:xm="http://schemas.microsoft.com/office/excel/2006/main">
          <x14:cfRule type="cellIs" priority="2" operator="equal" id="{3CC6EC88-5F05-4BEA-A9B9-E56541AA90F1}">
            <xm:f>Sheet1!$F$5</xm:f>
            <x14:dxf>
              <fill>
                <patternFill>
                  <bgColor rgb="FFFFC000"/>
                </patternFill>
              </fill>
            </x14:dxf>
          </x14:cfRule>
          <x14:cfRule type="cellIs" priority="3" operator="equal" id="{EA113089-6C78-4288-B475-B1FD102D3011}">
            <xm:f>Sheet1!$F$4</xm:f>
            <x14:dxf>
              <fill>
                <patternFill>
                  <bgColor rgb="FFFF0000"/>
                </patternFill>
              </fill>
            </x14:dxf>
          </x14:cfRule>
          <x14:cfRule type="cellIs" priority="4" operator="equal" id="{07922BE8-4F5E-48C3-BB2F-9CC2493AC138}">
            <xm:f>Sheet1!$F$2</xm:f>
            <x14:dxf>
              <fill>
                <patternFill>
                  <bgColor rgb="FF002060"/>
                </patternFill>
              </fill>
            </x14:dxf>
          </x14:cfRule>
          <x14:cfRule type="cellIs" priority="5" operator="equal" id="{CFF2A7C1-D531-497A-902D-8F0EE8134710}">
            <xm:f>Sheet1!$F$3</xm:f>
            <x14:dxf>
              <fill>
                <patternFill>
                  <bgColor rgb="FF008000"/>
                </patternFill>
              </fill>
            </x14:dxf>
          </x14:cfRule>
          <xm:sqref>G29</xm:sqref>
        </x14:conditionalFormatting>
      </x14:conditionalFormattings>
    </ext>
    <ext xmlns:x14="http://schemas.microsoft.com/office/spreadsheetml/2009/9/main" uri="{CCE6A557-97BC-4b89-ADB6-D9C93CAAB3DF}">
      <x14:dataValidations xmlns:xm="http://schemas.microsoft.com/office/excel/2006/main" count="1">
        <x14:dataValidation type="list" allowBlank="1" xr:uid="{FBE6E75A-305D-470A-9577-6D356532CC05}">
          <x14:formula1>
            <xm:f>Sheet1!$F$2:$F$5</xm:f>
          </x14:formula1>
          <xm:sqref>G13:G72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tabColor rgb="FF008000"/>
  </sheetPr>
  <dimension ref="A1:H72"/>
  <sheetViews>
    <sheetView showGridLines="0" rightToLeft="1" zoomScale="72" zoomScaleNormal="100" workbookViewId="0">
      <selection activeCell="F16" sqref="F16"/>
    </sheetView>
  </sheetViews>
  <sheetFormatPr defaultColWidth="8.6328125" defaultRowHeight="14.5" x14ac:dyDescent="0.35"/>
  <cols>
    <col min="1" max="1" width="10.1796875" style="1" bestFit="1" customWidth="1"/>
    <col min="2" max="2" width="16" style="1" customWidth="1"/>
    <col min="3" max="3" width="30" style="1" customWidth="1"/>
    <col min="4" max="4" width="26" style="1" customWidth="1"/>
    <col min="5" max="6" width="50.6328125" style="1" customWidth="1"/>
    <col min="7" max="7" width="14" style="1" customWidth="1"/>
  </cols>
  <sheetData>
    <row r="1" spans="1:8" ht="31.5" customHeight="1" x14ac:dyDescent="0.35">
      <c r="A1" s="125" t="str">
        <f>IF(B4="","PP-04",B4)</f>
        <v>تأمين ملبوسات عسكرية لكليه الدفاع الجوي من الاتفاقية الاطارية</v>
      </c>
      <c r="B1" s="115"/>
      <c r="C1" s="115"/>
      <c r="D1" s="116"/>
    </row>
    <row r="2" spans="1:8" ht="3" customHeight="1" x14ac:dyDescent="0.35">
      <c r="A2" s="19"/>
      <c r="B2" s="19"/>
      <c r="C2" s="19"/>
      <c r="D2" s="19"/>
    </row>
    <row r="3" spans="1:8" ht="21.75" customHeight="1" x14ac:dyDescent="0.35">
      <c r="A3" s="126" t="s">
        <v>4</v>
      </c>
      <c r="B3" s="115"/>
      <c r="C3" s="115"/>
      <c r="D3" s="116"/>
    </row>
    <row r="4" spans="1:8" ht="27.75" customHeight="1" x14ac:dyDescent="0.35">
      <c r="A4" s="13" t="s">
        <v>1</v>
      </c>
      <c r="B4" s="119" t="s">
        <v>66</v>
      </c>
      <c r="C4" s="115"/>
      <c r="D4" s="116"/>
    </row>
    <row r="5" spans="1:8" ht="24" customHeight="1" x14ac:dyDescent="0.35">
      <c r="A5" s="13" t="s">
        <v>3</v>
      </c>
      <c r="B5" s="9" t="s">
        <v>67</v>
      </c>
      <c r="C5" s="13" t="s">
        <v>2</v>
      </c>
      <c r="D5" s="14" t="s">
        <v>62</v>
      </c>
    </row>
    <row r="6" spans="1:8" ht="7.5" customHeight="1" x14ac:dyDescent="0.35"/>
    <row r="7" spans="1:8" ht="21.75" customHeight="1" x14ac:dyDescent="0.35">
      <c r="A7" s="126" t="s">
        <v>5</v>
      </c>
      <c r="B7" s="115"/>
      <c r="C7" s="115"/>
      <c r="D7" s="115"/>
      <c r="E7" s="28" t="s">
        <v>30</v>
      </c>
      <c r="F7" s="26"/>
    </row>
    <row r="8" spans="1:8" ht="24" customHeight="1" x14ac:dyDescent="0.35">
      <c r="A8" s="13" t="s">
        <v>21</v>
      </c>
      <c r="B8" s="117" t="str">
        <f>IFERROR(LOOKUP(2,1/(C13:C72&lt;&gt;""),C13:C72),"—")</f>
        <v>8 - Contract Execution</v>
      </c>
      <c r="C8" s="115"/>
      <c r="D8" s="115"/>
      <c r="E8" s="28" t="s">
        <v>29</v>
      </c>
      <c r="F8" s="26"/>
    </row>
    <row r="9" spans="1:8" ht="24" customHeight="1" x14ac:dyDescent="0.35">
      <c r="A9" s="13" t="s">
        <v>22</v>
      </c>
      <c r="B9" s="120">
        <f>IFERROR(LOOKUP(2,1/(B13:B72&lt;&gt;""),B13:B72),"—")</f>
        <v>46076</v>
      </c>
      <c r="C9" s="121"/>
      <c r="D9" s="121"/>
      <c r="E9" s="28" t="s">
        <v>31</v>
      </c>
      <c r="F9" s="26"/>
    </row>
    <row r="10" spans="1:8" ht="24" customHeight="1" x14ac:dyDescent="0.35">
      <c r="A10" s="13" t="s">
        <v>10</v>
      </c>
      <c r="B10" s="117" t="str">
        <f>IFERROR(INDEX(E13:E72,MATCH(MAX(B13:B72),B13:B72,0)),"—")</f>
        <v>المشروع اتفاقية اطارية وبمرحلة تنفيذ العقد ولا يوجد متطلب على إدارة التكاليف</v>
      </c>
      <c r="C10" s="115"/>
      <c r="D10" s="115"/>
      <c r="E10" s="28" t="s">
        <v>32</v>
      </c>
      <c r="F10" s="26"/>
    </row>
    <row r="11" spans="1:8" ht="27.75" customHeight="1" x14ac:dyDescent="0.35">
      <c r="A11" s="123" t="s">
        <v>20</v>
      </c>
      <c r="B11" s="124"/>
      <c r="C11" s="124"/>
      <c r="D11" s="124"/>
      <c r="E11" s="124"/>
      <c r="F11" s="124"/>
      <c r="G11" s="124"/>
    </row>
    <row r="12" spans="1:8" ht="30" customHeight="1" x14ac:dyDescent="0.35">
      <c r="A12" s="20" t="s">
        <v>6</v>
      </c>
      <c r="B12" s="20" t="s">
        <v>7</v>
      </c>
      <c r="C12" s="20" t="s">
        <v>8</v>
      </c>
      <c r="D12" s="20" t="s">
        <v>9</v>
      </c>
      <c r="E12" s="20" t="s">
        <v>10</v>
      </c>
      <c r="F12" s="20" t="s">
        <v>11</v>
      </c>
      <c r="G12" s="20" t="s">
        <v>5</v>
      </c>
    </row>
    <row r="13" spans="1:8" ht="36" customHeight="1" x14ac:dyDescent="0.35">
      <c r="A13" s="21">
        <v>1</v>
      </c>
      <c r="B13" s="65">
        <v>46076</v>
      </c>
      <c r="C13" s="61" t="s">
        <v>82</v>
      </c>
      <c r="D13" s="61"/>
      <c r="E13" s="59" t="s">
        <v>104</v>
      </c>
      <c r="F13" s="59" t="s">
        <v>105</v>
      </c>
      <c r="G13" s="63" t="s">
        <v>41</v>
      </c>
      <c r="H13" s="1"/>
    </row>
    <row r="14" spans="1:8" ht="36" customHeight="1" x14ac:dyDescent="0.35">
      <c r="A14" s="21">
        <v>2</v>
      </c>
      <c r="B14" s="83"/>
      <c r="C14" s="84"/>
      <c r="D14" s="84"/>
      <c r="E14" s="82"/>
      <c r="F14" s="82"/>
      <c r="G14" s="14"/>
    </row>
    <row r="15" spans="1:8" ht="36" customHeight="1" x14ac:dyDescent="0.35">
      <c r="A15" s="21">
        <v>3</v>
      </c>
      <c r="B15" s="65"/>
      <c r="C15" s="61"/>
      <c r="D15" s="61"/>
      <c r="E15" s="80"/>
      <c r="F15" s="80"/>
      <c r="G15" s="14"/>
    </row>
    <row r="16" spans="1:8" ht="36" customHeight="1" x14ac:dyDescent="0.35">
      <c r="A16" s="21">
        <v>4</v>
      </c>
      <c r="B16" s="64"/>
      <c r="C16" s="62"/>
      <c r="D16" s="62"/>
      <c r="E16" s="57"/>
      <c r="F16" s="57"/>
      <c r="G16" s="14"/>
    </row>
    <row r="17" spans="1:7" ht="36" customHeight="1" x14ac:dyDescent="0.35">
      <c r="A17" s="21">
        <v>5</v>
      </c>
      <c r="B17" s="11"/>
      <c r="C17" s="17"/>
      <c r="D17" s="17"/>
      <c r="E17" s="8"/>
      <c r="F17" s="8"/>
      <c r="G17" s="14"/>
    </row>
    <row r="18" spans="1:7" ht="36" customHeight="1" x14ac:dyDescent="0.35">
      <c r="A18" s="21">
        <v>6</v>
      </c>
      <c r="B18" s="6"/>
      <c r="C18" s="18"/>
      <c r="D18" s="18"/>
      <c r="E18" s="4"/>
      <c r="F18" s="4"/>
      <c r="G18" s="14"/>
    </row>
    <row r="19" spans="1:7" ht="36" customHeight="1" x14ac:dyDescent="0.35">
      <c r="A19" s="21">
        <v>7</v>
      </c>
      <c r="B19" s="11"/>
      <c r="C19" s="17"/>
      <c r="D19" s="17"/>
      <c r="E19" s="8"/>
      <c r="F19" s="8"/>
      <c r="G19" s="14"/>
    </row>
    <row r="20" spans="1:7" ht="36" customHeight="1" x14ac:dyDescent="0.35">
      <c r="A20" s="21">
        <v>8</v>
      </c>
      <c r="B20" s="6"/>
      <c r="C20" s="18"/>
      <c r="D20" s="18"/>
      <c r="E20" s="4"/>
      <c r="F20" s="4"/>
      <c r="G20" s="14"/>
    </row>
    <row r="21" spans="1:7" ht="36" customHeight="1" x14ac:dyDescent="0.35">
      <c r="A21" s="21">
        <v>9</v>
      </c>
      <c r="B21" s="11"/>
      <c r="C21" s="17"/>
      <c r="D21" s="17"/>
      <c r="E21" s="8"/>
      <c r="F21" s="8"/>
      <c r="G21" s="14"/>
    </row>
    <row r="22" spans="1:7" ht="36" customHeight="1" x14ac:dyDescent="0.35">
      <c r="A22" s="21">
        <v>10</v>
      </c>
      <c r="B22" s="6"/>
      <c r="C22" s="18"/>
      <c r="D22" s="18"/>
      <c r="E22" s="4"/>
      <c r="F22" s="4"/>
      <c r="G22" s="14"/>
    </row>
    <row r="23" spans="1:7" ht="36" customHeight="1" x14ac:dyDescent="0.35">
      <c r="A23" s="21">
        <v>11</v>
      </c>
      <c r="B23" s="11"/>
      <c r="C23" s="17"/>
      <c r="D23" s="17"/>
      <c r="E23" s="8"/>
      <c r="F23" s="8"/>
      <c r="G23" s="14"/>
    </row>
    <row r="24" spans="1:7" ht="36" customHeight="1" x14ac:dyDescent="0.35">
      <c r="A24" s="21">
        <v>12</v>
      </c>
      <c r="B24" s="6"/>
      <c r="C24" s="18"/>
      <c r="D24" s="18"/>
      <c r="E24" s="4"/>
      <c r="F24" s="4"/>
      <c r="G24" s="14"/>
    </row>
    <row r="25" spans="1:7" ht="36" customHeight="1" x14ac:dyDescent="0.35">
      <c r="A25" s="21">
        <v>13</v>
      </c>
      <c r="B25" s="11"/>
      <c r="C25" s="17"/>
      <c r="D25" s="17"/>
      <c r="E25" s="8"/>
      <c r="F25" s="8"/>
      <c r="G25" s="14"/>
    </row>
    <row r="26" spans="1:7" ht="36" customHeight="1" x14ac:dyDescent="0.35">
      <c r="A26" s="21">
        <v>14</v>
      </c>
      <c r="B26" s="6"/>
      <c r="C26" s="18"/>
      <c r="D26" s="18"/>
      <c r="E26" s="4"/>
      <c r="F26" s="4"/>
      <c r="G26" s="14"/>
    </row>
    <row r="27" spans="1:7" ht="36" customHeight="1" x14ac:dyDescent="0.35">
      <c r="A27" s="21">
        <v>15</v>
      </c>
      <c r="B27" s="11"/>
      <c r="C27" s="17"/>
      <c r="D27" s="17"/>
      <c r="E27" s="8"/>
      <c r="F27" s="8"/>
      <c r="G27" s="14"/>
    </row>
    <row r="28" spans="1:7" ht="36" customHeight="1" x14ac:dyDescent="0.35">
      <c r="A28" s="21">
        <v>16</v>
      </c>
      <c r="B28" s="6"/>
      <c r="C28" s="18"/>
      <c r="D28" s="18"/>
      <c r="E28" s="4"/>
      <c r="F28" s="4"/>
      <c r="G28" s="14"/>
    </row>
    <row r="29" spans="1:7" ht="36" customHeight="1" x14ac:dyDescent="0.35">
      <c r="A29" s="21">
        <v>17</v>
      </c>
      <c r="B29" s="11"/>
      <c r="C29" s="17"/>
      <c r="D29" s="17"/>
      <c r="E29" s="8"/>
      <c r="F29" s="8"/>
      <c r="G29" s="14"/>
    </row>
    <row r="30" spans="1:7" ht="36" customHeight="1" x14ac:dyDescent="0.35">
      <c r="A30" s="21">
        <v>18</v>
      </c>
      <c r="B30" s="6"/>
      <c r="C30" s="18"/>
      <c r="D30" s="18"/>
      <c r="E30" s="4"/>
      <c r="F30" s="4"/>
      <c r="G30" s="14"/>
    </row>
    <row r="31" spans="1:7" ht="36" customHeight="1" x14ac:dyDescent="0.35">
      <c r="A31" s="21">
        <v>19</v>
      </c>
      <c r="B31" s="11"/>
      <c r="C31" s="17"/>
      <c r="D31" s="17"/>
      <c r="E31" s="8"/>
      <c r="F31" s="8"/>
      <c r="G31" s="14"/>
    </row>
    <row r="32" spans="1:7" ht="36" customHeight="1" x14ac:dyDescent="0.35">
      <c r="A32" s="21">
        <v>20</v>
      </c>
      <c r="B32" s="6"/>
      <c r="C32" s="18"/>
      <c r="D32" s="18"/>
      <c r="E32" s="4"/>
      <c r="F32" s="4"/>
      <c r="G32" s="14"/>
    </row>
    <row r="33" spans="1:7" ht="36" customHeight="1" x14ac:dyDescent="0.35">
      <c r="A33" s="21">
        <v>21</v>
      </c>
      <c r="B33" s="11"/>
      <c r="C33" s="17"/>
      <c r="D33" s="17"/>
      <c r="E33" s="8"/>
      <c r="F33" s="8"/>
      <c r="G33" s="14"/>
    </row>
    <row r="34" spans="1:7" ht="36" customHeight="1" x14ac:dyDescent="0.35">
      <c r="A34" s="21">
        <v>22</v>
      </c>
      <c r="B34" s="6"/>
      <c r="C34" s="18"/>
      <c r="D34" s="18"/>
      <c r="E34" s="4"/>
      <c r="F34" s="4"/>
      <c r="G34" s="14"/>
    </row>
    <row r="35" spans="1:7" ht="36" customHeight="1" x14ac:dyDescent="0.35">
      <c r="A35" s="21">
        <v>23</v>
      </c>
      <c r="B35" s="11"/>
      <c r="C35" s="17"/>
      <c r="D35" s="17"/>
      <c r="E35" s="8"/>
      <c r="F35" s="8"/>
      <c r="G35" s="14"/>
    </row>
    <row r="36" spans="1:7" ht="36" customHeight="1" x14ac:dyDescent="0.35">
      <c r="A36" s="21">
        <v>24</v>
      </c>
      <c r="B36" s="6"/>
      <c r="C36" s="18"/>
      <c r="D36" s="18"/>
      <c r="E36" s="4"/>
      <c r="F36" s="4"/>
      <c r="G36" s="14"/>
    </row>
    <row r="37" spans="1:7" ht="36" customHeight="1" x14ac:dyDescent="0.35">
      <c r="A37" s="21">
        <v>25</v>
      </c>
      <c r="B37" s="11"/>
      <c r="C37" s="17"/>
      <c r="D37" s="17"/>
      <c r="E37" s="8"/>
      <c r="F37" s="8"/>
      <c r="G37" s="14"/>
    </row>
    <row r="38" spans="1:7" ht="36" customHeight="1" x14ac:dyDescent="0.35">
      <c r="A38" s="21">
        <v>26</v>
      </c>
      <c r="B38" s="6"/>
      <c r="C38" s="18"/>
      <c r="D38" s="18"/>
      <c r="E38" s="4"/>
      <c r="F38" s="4"/>
      <c r="G38" s="14"/>
    </row>
    <row r="39" spans="1:7" ht="36" customHeight="1" x14ac:dyDescent="0.35">
      <c r="A39" s="21">
        <v>27</v>
      </c>
      <c r="B39" s="11"/>
      <c r="C39" s="17"/>
      <c r="D39" s="17"/>
      <c r="E39" s="8"/>
      <c r="F39" s="8"/>
      <c r="G39" s="14"/>
    </row>
    <row r="40" spans="1:7" ht="36" customHeight="1" x14ac:dyDescent="0.35">
      <c r="A40" s="21">
        <v>28</v>
      </c>
      <c r="B40" s="6"/>
      <c r="C40" s="18"/>
      <c r="D40" s="18"/>
      <c r="E40" s="4"/>
      <c r="F40" s="4"/>
      <c r="G40" s="14"/>
    </row>
    <row r="41" spans="1:7" ht="36" customHeight="1" x14ac:dyDescent="0.35">
      <c r="A41" s="21">
        <v>29</v>
      </c>
      <c r="B41" s="11"/>
      <c r="C41" s="17"/>
      <c r="D41" s="17"/>
      <c r="E41" s="8"/>
      <c r="F41" s="8"/>
      <c r="G41" s="14"/>
    </row>
    <row r="42" spans="1:7" ht="36" customHeight="1" x14ac:dyDescent="0.35">
      <c r="A42" s="21">
        <v>30</v>
      </c>
      <c r="B42" s="6"/>
      <c r="C42" s="18"/>
      <c r="D42" s="18"/>
      <c r="E42" s="4"/>
      <c r="F42" s="4"/>
      <c r="G42" s="14"/>
    </row>
    <row r="43" spans="1:7" ht="36" customHeight="1" x14ac:dyDescent="0.35">
      <c r="A43" s="21">
        <v>31</v>
      </c>
      <c r="B43" s="11"/>
      <c r="C43" s="17"/>
      <c r="D43" s="17"/>
      <c r="E43" s="8"/>
      <c r="F43" s="8"/>
      <c r="G43" s="14"/>
    </row>
    <row r="44" spans="1:7" ht="36" customHeight="1" x14ac:dyDescent="0.35">
      <c r="A44" s="21">
        <v>32</v>
      </c>
      <c r="B44" s="6"/>
      <c r="C44" s="18"/>
      <c r="D44" s="18"/>
      <c r="E44" s="4"/>
      <c r="F44" s="4"/>
      <c r="G44" s="14"/>
    </row>
    <row r="45" spans="1:7" ht="36" customHeight="1" x14ac:dyDescent="0.35">
      <c r="A45" s="21">
        <v>33</v>
      </c>
      <c r="B45" s="11"/>
      <c r="C45" s="17"/>
      <c r="D45" s="17"/>
      <c r="E45" s="8"/>
      <c r="F45" s="8"/>
      <c r="G45" s="14"/>
    </row>
    <row r="46" spans="1:7" ht="36" customHeight="1" x14ac:dyDescent="0.35">
      <c r="A46" s="21">
        <v>34</v>
      </c>
      <c r="B46" s="6"/>
      <c r="C46" s="18"/>
      <c r="D46" s="18"/>
      <c r="E46" s="4"/>
      <c r="F46" s="4"/>
      <c r="G46" s="14"/>
    </row>
    <row r="47" spans="1:7" ht="36" customHeight="1" x14ac:dyDescent="0.35">
      <c r="A47" s="21">
        <v>35</v>
      </c>
      <c r="B47" s="11"/>
      <c r="C47" s="17"/>
      <c r="D47" s="17"/>
      <c r="E47" s="8"/>
      <c r="F47" s="8"/>
      <c r="G47" s="14"/>
    </row>
    <row r="48" spans="1:7" ht="36" customHeight="1" x14ac:dyDescent="0.35">
      <c r="A48" s="21">
        <v>36</v>
      </c>
      <c r="B48" s="6"/>
      <c r="C48" s="18"/>
      <c r="D48" s="18"/>
      <c r="E48" s="4"/>
      <c r="F48" s="4"/>
      <c r="G48" s="14"/>
    </row>
    <row r="49" spans="1:7" ht="36" customHeight="1" x14ac:dyDescent="0.35">
      <c r="A49" s="21">
        <v>37</v>
      </c>
      <c r="B49" s="11"/>
      <c r="C49" s="17"/>
      <c r="D49" s="17"/>
      <c r="E49" s="8"/>
      <c r="F49" s="8"/>
      <c r="G49" s="14"/>
    </row>
    <row r="50" spans="1:7" ht="36" customHeight="1" x14ac:dyDescent="0.35">
      <c r="A50" s="21">
        <v>38</v>
      </c>
      <c r="B50" s="6"/>
      <c r="C50" s="18"/>
      <c r="D50" s="18"/>
      <c r="E50" s="4"/>
      <c r="F50" s="4"/>
      <c r="G50" s="14"/>
    </row>
    <row r="51" spans="1:7" ht="36" customHeight="1" x14ac:dyDescent="0.35">
      <c r="A51" s="21">
        <v>39</v>
      </c>
      <c r="B51" s="11"/>
      <c r="C51" s="17"/>
      <c r="D51" s="17"/>
      <c r="E51" s="8"/>
      <c r="F51" s="8"/>
      <c r="G51" s="14"/>
    </row>
    <row r="52" spans="1:7" ht="36" customHeight="1" x14ac:dyDescent="0.35">
      <c r="A52" s="21">
        <v>40</v>
      </c>
      <c r="B52" s="6"/>
      <c r="C52" s="18"/>
      <c r="D52" s="18"/>
      <c r="E52" s="4"/>
      <c r="F52" s="4"/>
      <c r="G52" s="14"/>
    </row>
    <row r="53" spans="1:7" ht="36" customHeight="1" x14ac:dyDescent="0.35">
      <c r="A53" s="21">
        <v>41</v>
      </c>
      <c r="B53" s="11"/>
      <c r="C53" s="17"/>
      <c r="D53" s="17"/>
      <c r="E53" s="8"/>
      <c r="F53" s="8"/>
      <c r="G53" s="14"/>
    </row>
    <row r="54" spans="1:7" ht="36" customHeight="1" x14ac:dyDescent="0.35">
      <c r="A54" s="21">
        <v>42</v>
      </c>
      <c r="B54" s="6"/>
      <c r="C54" s="18"/>
      <c r="D54" s="18"/>
      <c r="E54" s="4"/>
      <c r="F54" s="4"/>
      <c r="G54" s="14"/>
    </row>
    <row r="55" spans="1:7" ht="36" customHeight="1" x14ac:dyDescent="0.35">
      <c r="A55" s="21">
        <v>43</v>
      </c>
      <c r="B55" s="11"/>
      <c r="C55" s="17"/>
      <c r="D55" s="17"/>
      <c r="E55" s="8"/>
      <c r="F55" s="8"/>
      <c r="G55" s="14"/>
    </row>
    <row r="56" spans="1:7" ht="36" customHeight="1" x14ac:dyDescent="0.35">
      <c r="A56" s="21">
        <v>44</v>
      </c>
      <c r="B56" s="6"/>
      <c r="C56" s="18"/>
      <c r="D56" s="18"/>
      <c r="E56" s="4"/>
      <c r="F56" s="4"/>
      <c r="G56" s="14"/>
    </row>
    <row r="57" spans="1:7" ht="36" customHeight="1" x14ac:dyDescent="0.35">
      <c r="A57" s="21">
        <v>45</v>
      </c>
      <c r="B57" s="11"/>
      <c r="C57" s="17"/>
      <c r="D57" s="17"/>
      <c r="E57" s="8"/>
      <c r="F57" s="8"/>
      <c r="G57" s="14"/>
    </row>
    <row r="58" spans="1:7" ht="36" customHeight="1" x14ac:dyDescent="0.35">
      <c r="A58" s="21">
        <v>46</v>
      </c>
      <c r="B58" s="6"/>
      <c r="C58" s="18"/>
      <c r="D58" s="18"/>
      <c r="E58" s="4"/>
      <c r="F58" s="4"/>
      <c r="G58" s="14"/>
    </row>
    <row r="59" spans="1:7" ht="36" customHeight="1" x14ac:dyDescent="0.35">
      <c r="A59" s="21">
        <v>47</v>
      </c>
      <c r="B59" s="11"/>
      <c r="C59" s="17"/>
      <c r="D59" s="17"/>
      <c r="E59" s="8"/>
      <c r="F59" s="8"/>
      <c r="G59" s="14"/>
    </row>
    <row r="60" spans="1:7" ht="36" customHeight="1" x14ac:dyDescent="0.35">
      <c r="A60" s="21">
        <v>48</v>
      </c>
      <c r="B60" s="6"/>
      <c r="C60" s="18"/>
      <c r="D60" s="18"/>
      <c r="E60" s="4"/>
      <c r="F60" s="4"/>
      <c r="G60" s="14"/>
    </row>
    <row r="61" spans="1:7" ht="36" customHeight="1" x14ac:dyDescent="0.35">
      <c r="A61" s="21">
        <v>49</v>
      </c>
      <c r="B61" s="11"/>
      <c r="C61" s="17"/>
      <c r="D61" s="17"/>
      <c r="E61" s="8"/>
      <c r="F61" s="8"/>
      <c r="G61" s="14"/>
    </row>
    <row r="62" spans="1:7" ht="36" customHeight="1" x14ac:dyDescent="0.35">
      <c r="A62" s="21">
        <v>50</v>
      </c>
      <c r="B62" s="6"/>
      <c r="C62" s="18"/>
      <c r="D62" s="18"/>
      <c r="E62" s="4"/>
      <c r="F62" s="4"/>
      <c r="G62" s="14"/>
    </row>
    <row r="63" spans="1:7" ht="36" customHeight="1" x14ac:dyDescent="0.35">
      <c r="A63" s="21">
        <v>51</v>
      </c>
      <c r="B63" s="11"/>
      <c r="C63" s="17"/>
      <c r="D63" s="17"/>
      <c r="E63" s="8"/>
      <c r="F63" s="8"/>
      <c r="G63" s="14"/>
    </row>
    <row r="64" spans="1:7" ht="36" customHeight="1" x14ac:dyDescent="0.35">
      <c r="A64" s="21">
        <v>52</v>
      </c>
      <c r="B64" s="6"/>
      <c r="C64" s="18"/>
      <c r="D64" s="18"/>
      <c r="E64" s="4"/>
      <c r="F64" s="4"/>
      <c r="G64" s="14"/>
    </row>
    <row r="65" spans="1:7" ht="36" customHeight="1" x14ac:dyDescent="0.35">
      <c r="A65" s="21">
        <v>53</v>
      </c>
      <c r="B65" s="11"/>
      <c r="C65" s="17"/>
      <c r="D65" s="17"/>
      <c r="E65" s="8"/>
      <c r="F65" s="8"/>
      <c r="G65" s="14"/>
    </row>
    <row r="66" spans="1:7" ht="36" customHeight="1" x14ac:dyDescent="0.35">
      <c r="A66" s="21">
        <v>54</v>
      </c>
      <c r="B66" s="6"/>
      <c r="C66" s="18"/>
      <c r="D66" s="18"/>
      <c r="E66" s="4"/>
      <c r="F66" s="4"/>
      <c r="G66" s="14"/>
    </row>
    <row r="67" spans="1:7" ht="36" customHeight="1" x14ac:dyDescent="0.35">
      <c r="A67" s="21">
        <v>55</v>
      </c>
      <c r="B67" s="11"/>
      <c r="C67" s="17"/>
      <c r="D67" s="17"/>
      <c r="E67" s="8"/>
      <c r="F67" s="8"/>
      <c r="G67" s="14"/>
    </row>
    <row r="68" spans="1:7" ht="36" customHeight="1" x14ac:dyDescent="0.35">
      <c r="A68" s="21">
        <v>56</v>
      </c>
      <c r="B68" s="6"/>
      <c r="C68" s="18"/>
      <c r="D68" s="18"/>
      <c r="E68" s="4"/>
      <c r="F68" s="4"/>
      <c r="G68" s="14"/>
    </row>
    <row r="69" spans="1:7" ht="36" customHeight="1" x14ac:dyDescent="0.35">
      <c r="A69" s="21">
        <v>57</v>
      </c>
      <c r="B69" s="11"/>
      <c r="C69" s="17"/>
      <c r="D69" s="17"/>
      <c r="E69" s="8"/>
      <c r="F69" s="8"/>
      <c r="G69" s="14"/>
    </row>
    <row r="70" spans="1:7" ht="36" customHeight="1" x14ac:dyDescent="0.35">
      <c r="A70" s="21">
        <v>58</v>
      </c>
      <c r="B70" s="6"/>
      <c r="C70" s="18"/>
      <c r="D70" s="18"/>
      <c r="E70" s="4"/>
      <c r="F70" s="4"/>
      <c r="G70" s="14"/>
    </row>
    <row r="71" spans="1:7" ht="36" customHeight="1" x14ac:dyDescent="0.35">
      <c r="A71" s="21">
        <v>59</v>
      </c>
      <c r="B71" s="11"/>
      <c r="C71" s="17"/>
      <c r="D71" s="17"/>
      <c r="E71" s="8"/>
      <c r="F71" s="8"/>
      <c r="G71" s="14"/>
    </row>
    <row r="72" spans="1:7" ht="36" customHeight="1" x14ac:dyDescent="0.35">
      <c r="A72" s="21">
        <v>60</v>
      </c>
      <c r="B72" s="6"/>
      <c r="C72" s="18"/>
      <c r="D72" s="18"/>
      <c r="E72" s="4"/>
      <c r="F72" s="4"/>
      <c r="G72" s="14"/>
    </row>
  </sheetData>
  <mergeCells count="8">
    <mergeCell ref="A11:G11"/>
    <mergeCell ref="B10:D10"/>
    <mergeCell ref="A1:D1"/>
    <mergeCell ref="B8:D8"/>
    <mergeCell ref="A3:D3"/>
    <mergeCell ref="B4:D4"/>
    <mergeCell ref="B9:D9"/>
    <mergeCell ref="A7:D7"/>
  </mergeCells>
  <conditionalFormatting sqref="G14:G72">
    <cfRule type="containsText" dxfId="29" priority="21" operator="containsText" text="مكتمل">
      <formula>NOT(ISERROR(SEARCH("مكتمل",G14)))</formula>
    </cfRule>
  </conditionalFormatting>
  <conditionalFormatting sqref="G13">
    <cfRule type="containsText" dxfId="28" priority="1" operator="containsText" text="مكتمل">
      <formula>NOT(ISERROR(SEARCH("مكتمل",G13)))</formula>
    </cfRule>
  </conditionalFormatting>
  <dataValidations count="2">
    <dataValidation type="list" allowBlank="1" sqref="C13:C72" xr:uid="{00000000-0002-0000-0400-000000000000}">
      <formula1>"1 - Strategy &amp; Guidance,2 - Needs Identification,3 - Affordability Estimate,4 - Tender Pack Development,5 - Detailed Cost Estimate,6 - Supplier Selection,7 - Contracting,8 - Contract Execution,9 - Contract Closure"</formula1>
      <formula2>0</formula2>
    </dataValidation>
    <dataValidation type="list" allowBlank="1" sqref="D13:D72" xr:uid="{00000000-0002-0000-0400-000002000000}">
      <formula1>IF(C13="2 - Needs Identification",Needs,IF(C13="3 - Affordability Estimate",Affordability,""))</formula1>
      <formula2>0</formula2>
    </dataValidation>
  </dataValidations>
  <pageMargins left="0.75" right="0.75" top="1" bottom="1" header="0.511811023622047" footer="0.511811023622047"/>
  <pageSetup orientation="landscape" horizontalDpi="300" verticalDpi="300"/>
  <extLst>
    <ext xmlns:x14="http://schemas.microsoft.com/office/spreadsheetml/2009/9/main" uri="{78C0D931-6437-407d-A8EE-F0AAD7539E65}">
      <x14:conditionalFormattings>
        <x14:conditionalFormatting xmlns:xm="http://schemas.microsoft.com/office/excel/2006/main">
          <x14:cfRule type="cellIs" priority="22" operator="equal" id="{F11F2813-E9FD-482B-ADCC-49C3DCEE6EF5}">
            <xm:f>Sheet1!$F$5</xm:f>
            <x14:dxf>
              <fill>
                <patternFill>
                  <bgColor rgb="FFFFC000"/>
                </patternFill>
              </fill>
            </x14:dxf>
          </x14:cfRule>
          <x14:cfRule type="cellIs" priority="23" operator="equal" id="{8F02371F-9335-420D-9EBB-D47CECCA9B2D}">
            <xm:f>Sheet1!$F$4</xm:f>
            <x14:dxf>
              <fill>
                <patternFill>
                  <bgColor rgb="FFFF0000"/>
                </patternFill>
              </fill>
            </x14:dxf>
          </x14:cfRule>
          <x14:cfRule type="cellIs" priority="24" operator="equal" id="{1EE94401-DA79-4D9E-9C6E-01578C6FBC91}">
            <xm:f>Sheet1!$F$2</xm:f>
            <x14:dxf>
              <fill>
                <patternFill>
                  <bgColor rgb="FF002060"/>
                </patternFill>
              </fill>
            </x14:dxf>
          </x14:cfRule>
          <x14:cfRule type="cellIs" priority="25" operator="equal" id="{1208F7F9-5129-4B8B-AC1D-9828FC3BF77D}">
            <xm:f>Sheet1!$F$3</xm:f>
            <x14:dxf>
              <fill>
                <patternFill>
                  <bgColor rgb="FF008000"/>
                </patternFill>
              </fill>
            </x14:dxf>
          </x14:cfRule>
          <xm:sqref>G14:G72</xm:sqref>
        </x14:conditionalFormatting>
        <x14:conditionalFormatting xmlns:xm="http://schemas.microsoft.com/office/excel/2006/main">
          <x14:cfRule type="cellIs" priority="2" operator="equal" id="{4110FB74-3CE4-4CD0-8904-6C16BA7B887D}">
            <xm:f>Sheet1!$F$5</xm:f>
            <x14:dxf>
              <fill>
                <patternFill>
                  <bgColor rgb="FFFFC000"/>
                </patternFill>
              </fill>
            </x14:dxf>
          </x14:cfRule>
          <x14:cfRule type="cellIs" priority="3" operator="equal" id="{2E86539C-686B-46C2-889F-627FC2AA50F7}">
            <xm:f>Sheet1!$F$4</xm:f>
            <x14:dxf>
              <fill>
                <patternFill>
                  <bgColor rgb="FFFF0000"/>
                </patternFill>
              </fill>
            </x14:dxf>
          </x14:cfRule>
          <x14:cfRule type="cellIs" priority="4" operator="equal" id="{40B93750-B735-482D-88F9-F3F76FDD9771}">
            <xm:f>Sheet1!$F$2</xm:f>
            <x14:dxf>
              <fill>
                <patternFill>
                  <bgColor rgb="FF002060"/>
                </patternFill>
              </fill>
            </x14:dxf>
          </x14:cfRule>
          <x14:cfRule type="cellIs" priority="5" operator="equal" id="{593B5EB1-5ABF-474D-9FFD-48CE1993ADC6}">
            <xm:f>Sheet1!$F$3</xm:f>
            <x14:dxf>
              <fill>
                <patternFill>
                  <bgColor rgb="FF008000"/>
                </patternFill>
              </fill>
            </x14:dxf>
          </x14:cfRule>
          <xm:sqref>G13</xm:sqref>
        </x14:conditionalFormatting>
      </x14:conditionalFormattings>
    </ext>
    <ext xmlns:x14="http://schemas.microsoft.com/office/spreadsheetml/2009/9/main" uri="{CCE6A557-97BC-4b89-ADB6-D9C93CAAB3DF}">
      <x14:dataValidations xmlns:xm="http://schemas.microsoft.com/office/excel/2006/main" count="1">
        <x14:dataValidation type="list" allowBlank="1" xr:uid="{A4E2AF21-38E2-4BDE-A7D3-B54551A65FDB}">
          <x14:formula1>
            <xm:f>Sheet1!$F$2:$F$5</xm:f>
          </x14:formula1>
          <xm:sqref>G13:G72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tabColor rgb="FF008000"/>
  </sheetPr>
  <dimension ref="A1:G72"/>
  <sheetViews>
    <sheetView showGridLines="0" rightToLeft="1" zoomScale="70" zoomScaleNormal="100" workbookViewId="0">
      <selection activeCell="D16" sqref="D16"/>
    </sheetView>
  </sheetViews>
  <sheetFormatPr defaultColWidth="8.6328125" defaultRowHeight="14.5" x14ac:dyDescent="0.35"/>
  <cols>
    <col min="1" max="1" width="10.1796875" style="1" bestFit="1" customWidth="1"/>
    <col min="2" max="2" width="16" style="1" customWidth="1"/>
    <col min="3" max="3" width="30" style="1" customWidth="1"/>
    <col min="4" max="4" width="26" style="1" customWidth="1"/>
    <col min="5" max="6" width="50.6328125" style="1" customWidth="1"/>
    <col min="7" max="7" width="14" style="1" customWidth="1"/>
  </cols>
  <sheetData>
    <row r="1" spans="1:7" ht="31.5" customHeight="1" x14ac:dyDescent="0.35">
      <c r="A1" s="125" t="str">
        <f>IF(B4="","SMRO-01",B4)</f>
        <v>معدات تغطية إعلامية شاملة</v>
      </c>
      <c r="B1" s="115"/>
      <c r="C1" s="115"/>
      <c r="D1" s="116"/>
    </row>
    <row r="2" spans="1:7" ht="3" customHeight="1" x14ac:dyDescent="0.35">
      <c r="A2" s="19"/>
      <c r="B2" s="19"/>
      <c r="C2" s="19"/>
      <c r="D2" s="19"/>
    </row>
    <row r="3" spans="1:7" ht="21.75" customHeight="1" x14ac:dyDescent="0.35">
      <c r="A3" s="126" t="s">
        <v>4</v>
      </c>
      <c r="B3" s="115"/>
      <c r="C3" s="115"/>
      <c r="D3" s="116"/>
    </row>
    <row r="4" spans="1:7" ht="27.75" customHeight="1" x14ac:dyDescent="0.35">
      <c r="A4" s="13" t="s">
        <v>1</v>
      </c>
      <c r="B4" s="119" t="s">
        <v>68</v>
      </c>
      <c r="C4" s="115"/>
      <c r="D4" s="116"/>
    </row>
    <row r="5" spans="1:7" ht="24" customHeight="1" x14ac:dyDescent="0.35">
      <c r="A5" s="13" t="s">
        <v>3</v>
      </c>
      <c r="B5" s="9" t="s">
        <v>65</v>
      </c>
      <c r="C5" s="13" t="s">
        <v>2</v>
      </c>
      <c r="D5" s="14" t="s">
        <v>62</v>
      </c>
    </row>
    <row r="6" spans="1:7" ht="7.5" customHeight="1" x14ac:dyDescent="0.35"/>
    <row r="7" spans="1:7" ht="21.75" customHeight="1" x14ac:dyDescent="0.35">
      <c r="A7" s="126" t="s">
        <v>5</v>
      </c>
      <c r="B7" s="115"/>
      <c r="C7" s="115"/>
      <c r="D7" s="115"/>
      <c r="E7" s="28" t="s">
        <v>30</v>
      </c>
      <c r="F7" s="26"/>
    </row>
    <row r="8" spans="1:7" ht="24" customHeight="1" x14ac:dyDescent="0.35">
      <c r="A8" s="13" t="s">
        <v>21</v>
      </c>
      <c r="B8" s="117" t="str">
        <f>IFERROR(LOOKUP(2,1/(C13:C72&lt;&gt;""),C13:C72),"—")</f>
        <v>2 - Needs Identification</v>
      </c>
      <c r="C8" s="115"/>
      <c r="D8" s="115"/>
      <c r="E8" s="28" t="s">
        <v>29</v>
      </c>
      <c r="F8" s="26"/>
    </row>
    <row r="9" spans="1:7" ht="24" customHeight="1" x14ac:dyDescent="0.35">
      <c r="A9" s="13" t="s">
        <v>22</v>
      </c>
      <c r="B9" s="120">
        <f>IFERROR(LOOKUP(2,1/(B13:B72&lt;&gt;""),B13:B72),"—")</f>
        <v>46156</v>
      </c>
      <c r="C9" s="121"/>
      <c r="D9" s="121"/>
      <c r="E9" s="28" t="s">
        <v>31</v>
      </c>
      <c r="F9" s="26"/>
    </row>
    <row r="10" spans="1:7" ht="24" customHeight="1" x14ac:dyDescent="0.35">
      <c r="A10" s="13" t="s">
        <v>10</v>
      </c>
      <c r="B10" s="117" t="str">
        <f>IFERROR(INDEX(E13:E72,MATCH(MAX(B13:B72),B13:B72,0)),"—")</f>
        <v>لم يتم بدء دور إدارة التكاليف حتى الآن بناءا على التنسيق مع إدارة المحافظ</v>
      </c>
      <c r="C10" s="115"/>
      <c r="D10" s="115"/>
      <c r="E10" s="28" t="s">
        <v>32</v>
      </c>
      <c r="F10" s="26"/>
    </row>
    <row r="11" spans="1:7" ht="27.75" customHeight="1" x14ac:dyDescent="0.35">
      <c r="A11" s="123" t="s">
        <v>20</v>
      </c>
      <c r="B11" s="124"/>
      <c r="C11" s="124"/>
      <c r="D11" s="124"/>
      <c r="E11" s="124"/>
      <c r="F11" s="124"/>
      <c r="G11" s="124"/>
    </row>
    <row r="12" spans="1:7" ht="30" customHeight="1" x14ac:dyDescent="0.35">
      <c r="A12" s="20" t="s">
        <v>6</v>
      </c>
      <c r="B12" s="20" t="s">
        <v>7</v>
      </c>
      <c r="C12" s="20" t="s">
        <v>8</v>
      </c>
      <c r="D12" s="20" t="s">
        <v>9</v>
      </c>
      <c r="E12" s="20" t="s">
        <v>10</v>
      </c>
      <c r="F12" s="20" t="s">
        <v>11</v>
      </c>
      <c r="G12" s="20" t="s">
        <v>5</v>
      </c>
    </row>
    <row r="13" spans="1:7" ht="36" customHeight="1" x14ac:dyDescent="0.35">
      <c r="A13" s="21">
        <v>1</v>
      </c>
      <c r="B13" s="11">
        <v>46149</v>
      </c>
      <c r="C13" s="17" t="s">
        <v>83</v>
      </c>
      <c r="D13" s="17"/>
      <c r="E13" s="55" t="s">
        <v>136</v>
      </c>
      <c r="F13" s="8" t="s">
        <v>137</v>
      </c>
      <c r="G13" s="14" t="s">
        <v>42</v>
      </c>
    </row>
    <row r="14" spans="1:7" ht="36" customHeight="1" x14ac:dyDescent="0.35">
      <c r="A14" s="21">
        <v>2</v>
      </c>
      <c r="B14" s="6">
        <v>46156</v>
      </c>
      <c r="C14" s="18" t="s">
        <v>83</v>
      </c>
      <c r="D14" s="18"/>
      <c r="E14" s="4" t="s">
        <v>150</v>
      </c>
      <c r="F14" s="4"/>
      <c r="G14" s="14" t="s">
        <v>42</v>
      </c>
    </row>
    <row r="15" spans="1:7" ht="36" customHeight="1" x14ac:dyDescent="0.35">
      <c r="A15" s="21">
        <v>3</v>
      </c>
      <c r="B15" s="11"/>
      <c r="C15" s="17"/>
      <c r="D15" s="17"/>
      <c r="E15" s="8"/>
      <c r="F15" s="8"/>
      <c r="G15" s="14"/>
    </row>
    <row r="16" spans="1:7" ht="36" customHeight="1" x14ac:dyDescent="0.35">
      <c r="A16" s="21">
        <v>4</v>
      </c>
      <c r="B16" s="6"/>
      <c r="C16" s="18"/>
      <c r="D16" s="18"/>
      <c r="E16" s="4"/>
      <c r="F16" s="4"/>
      <c r="G16" s="14"/>
    </row>
    <row r="17" spans="1:7" ht="36" customHeight="1" x14ac:dyDescent="0.35">
      <c r="A17" s="21">
        <v>5</v>
      </c>
      <c r="B17" s="11"/>
      <c r="C17" s="17"/>
      <c r="D17" s="17"/>
      <c r="E17" s="8"/>
      <c r="F17" s="8"/>
      <c r="G17" s="14"/>
    </row>
    <row r="18" spans="1:7" ht="36" customHeight="1" x14ac:dyDescent="0.35">
      <c r="A18" s="21">
        <v>6</v>
      </c>
      <c r="B18" s="6"/>
      <c r="C18" s="18"/>
      <c r="D18" s="18"/>
      <c r="E18" s="4"/>
      <c r="F18" s="4"/>
      <c r="G18" s="14"/>
    </row>
    <row r="19" spans="1:7" ht="36" customHeight="1" x14ac:dyDescent="0.35">
      <c r="A19" s="21">
        <v>7</v>
      </c>
      <c r="B19" s="11"/>
      <c r="C19" s="17"/>
      <c r="D19" s="17"/>
      <c r="E19" s="8"/>
      <c r="F19" s="8"/>
      <c r="G19" s="14"/>
    </row>
    <row r="20" spans="1:7" ht="36" customHeight="1" x14ac:dyDescent="0.35">
      <c r="A20" s="21">
        <v>8</v>
      </c>
      <c r="B20" s="6"/>
      <c r="C20" s="18"/>
      <c r="D20" s="18"/>
      <c r="E20" s="4"/>
      <c r="F20" s="4"/>
      <c r="G20" s="14"/>
    </row>
    <row r="21" spans="1:7" ht="36" customHeight="1" x14ac:dyDescent="0.35">
      <c r="A21" s="21">
        <v>9</v>
      </c>
      <c r="B21" s="11"/>
      <c r="C21" s="17"/>
      <c r="D21" s="17"/>
      <c r="E21" s="8"/>
      <c r="F21" s="8"/>
      <c r="G21" s="14"/>
    </row>
    <row r="22" spans="1:7" ht="36" customHeight="1" x14ac:dyDescent="0.35">
      <c r="A22" s="21">
        <v>10</v>
      </c>
      <c r="B22" s="6"/>
      <c r="C22" s="18"/>
      <c r="D22" s="18"/>
      <c r="E22" s="4"/>
      <c r="F22" s="4"/>
      <c r="G22" s="14"/>
    </row>
    <row r="23" spans="1:7" ht="36" customHeight="1" x14ac:dyDescent="0.35">
      <c r="A23" s="21">
        <v>11</v>
      </c>
      <c r="B23" s="11"/>
      <c r="C23" s="17"/>
      <c r="D23" s="17"/>
      <c r="E23" s="8"/>
      <c r="F23" s="8"/>
      <c r="G23" s="14"/>
    </row>
    <row r="24" spans="1:7" ht="36" customHeight="1" x14ac:dyDescent="0.35">
      <c r="A24" s="21">
        <v>12</v>
      </c>
      <c r="B24" s="6"/>
      <c r="C24" s="18"/>
      <c r="D24" s="18"/>
      <c r="E24" s="4"/>
      <c r="F24" s="4"/>
      <c r="G24" s="14"/>
    </row>
    <row r="25" spans="1:7" ht="36" customHeight="1" x14ac:dyDescent="0.35">
      <c r="A25" s="21">
        <v>13</v>
      </c>
      <c r="B25" s="11"/>
      <c r="C25" s="17"/>
      <c r="D25" s="17"/>
      <c r="E25" s="8"/>
      <c r="F25" s="8"/>
      <c r="G25" s="14"/>
    </row>
    <row r="26" spans="1:7" ht="36" customHeight="1" x14ac:dyDescent="0.35">
      <c r="A26" s="21">
        <v>14</v>
      </c>
      <c r="B26" s="6"/>
      <c r="C26" s="18"/>
      <c r="D26" s="18"/>
      <c r="E26" s="4"/>
      <c r="F26" s="4"/>
      <c r="G26" s="14"/>
    </row>
    <row r="27" spans="1:7" ht="36" customHeight="1" x14ac:dyDescent="0.35">
      <c r="A27" s="21">
        <v>15</v>
      </c>
      <c r="B27" s="11"/>
      <c r="C27" s="17"/>
      <c r="D27" s="17"/>
      <c r="E27" s="8"/>
      <c r="F27" s="8"/>
      <c r="G27" s="14"/>
    </row>
    <row r="28" spans="1:7" ht="36" customHeight="1" x14ac:dyDescent="0.35">
      <c r="A28" s="21">
        <v>16</v>
      </c>
      <c r="B28" s="6"/>
      <c r="C28" s="18"/>
      <c r="D28" s="18"/>
      <c r="E28" s="4"/>
      <c r="F28" s="4"/>
      <c r="G28" s="14"/>
    </row>
    <row r="29" spans="1:7" ht="36" customHeight="1" x14ac:dyDescent="0.35">
      <c r="A29" s="21">
        <v>17</v>
      </c>
      <c r="B29" s="11"/>
      <c r="C29" s="17"/>
      <c r="D29" s="17"/>
      <c r="E29" s="8"/>
      <c r="F29" s="8"/>
      <c r="G29" s="14"/>
    </row>
    <row r="30" spans="1:7" ht="36" customHeight="1" x14ac:dyDescent="0.35">
      <c r="A30" s="21">
        <v>18</v>
      </c>
      <c r="B30" s="6"/>
      <c r="C30" s="18"/>
      <c r="D30" s="18"/>
      <c r="E30" s="4"/>
      <c r="F30" s="4"/>
      <c r="G30" s="14"/>
    </row>
    <row r="31" spans="1:7" ht="36" customHeight="1" x14ac:dyDescent="0.35">
      <c r="A31" s="21">
        <v>19</v>
      </c>
      <c r="B31" s="11"/>
      <c r="C31" s="17"/>
      <c r="D31" s="17"/>
      <c r="E31" s="8"/>
      <c r="F31" s="8"/>
      <c r="G31" s="14"/>
    </row>
    <row r="32" spans="1:7" ht="36" customHeight="1" x14ac:dyDescent="0.35">
      <c r="A32" s="21">
        <v>20</v>
      </c>
      <c r="B32" s="6"/>
      <c r="C32" s="18"/>
      <c r="D32" s="18"/>
      <c r="E32" s="4"/>
      <c r="F32" s="4"/>
      <c r="G32" s="14"/>
    </row>
    <row r="33" spans="1:7" ht="36" customHeight="1" x14ac:dyDescent="0.35">
      <c r="A33" s="21">
        <v>21</v>
      </c>
      <c r="B33" s="11"/>
      <c r="C33" s="17"/>
      <c r="D33" s="17"/>
      <c r="E33" s="8"/>
      <c r="F33" s="8"/>
      <c r="G33" s="14"/>
    </row>
    <row r="34" spans="1:7" ht="36" customHeight="1" x14ac:dyDescent="0.35">
      <c r="A34" s="21">
        <v>22</v>
      </c>
      <c r="B34" s="6"/>
      <c r="C34" s="18"/>
      <c r="D34" s="18"/>
      <c r="E34" s="4"/>
      <c r="F34" s="4"/>
      <c r="G34" s="14"/>
    </row>
    <row r="35" spans="1:7" ht="36" customHeight="1" x14ac:dyDescent="0.35">
      <c r="A35" s="21">
        <v>23</v>
      </c>
      <c r="B35" s="11"/>
      <c r="C35" s="17"/>
      <c r="D35" s="17"/>
      <c r="E35" s="8"/>
      <c r="F35" s="8"/>
      <c r="G35" s="14"/>
    </row>
    <row r="36" spans="1:7" ht="36" customHeight="1" x14ac:dyDescent="0.35">
      <c r="A36" s="21">
        <v>24</v>
      </c>
      <c r="B36" s="6"/>
      <c r="C36" s="18"/>
      <c r="D36" s="18"/>
      <c r="E36" s="4"/>
      <c r="F36" s="4"/>
      <c r="G36" s="14"/>
    </row>
    <row r="37" spans="1:7" ht="36" customHeight="1" x14ac:dyDescent="0.35">
      <c r="A37" s="21">
        <v>25</v>
      </c>
      <c r="B37" s="11"/>
      <c r="C37" s="17"/>
      <c r="D37" s="17"/>
      <c r="E37" s="8"/>
      <c r="F37" s="8"/>
      <c r="G37" s="14"/>
    </row>
    <row r="38" spans="1:7" ht="36" customHeight="1" x14ac:dyDescent="0.35">
      <c r="A38" s="21">
        <v>26</v>
      </c>
      <c r="B38" s="6"/>
      <c r="C38" s="18"/>
      <c r="D38" s="18"/>
      <c r="E38" s="4"/>
      <c r="F38" s="4"/>
      <c r="G38" s="14"/>
    </row>
    <row r="39" spans="1:7" ht="36" customHeight="1" x14ac:dyDescent="0.35">
      <c r="A39" s="21">
        <v>27</v>
      </c>
      <c r="B39" s="11"/>
      <c r="C39" s="17"/>
      <c r="D39" s="17"/>
      <c r="E39" s="8"/>
      <c r="F39" s="8"/>
      <c r="G39" s="14"/>
    </row>
    <row r="40" spans="1:7" ht="36" customHeight="1" x14ac:dyDescent="0.35">
      <c r="A40" s="21">
        <v>28</v>
      </c>
      <c r="B40" s="6"/>
      <c r="C40" s="18"/>
      <c r="D40" s="18"/>
      <c r="E40" s="4"/>
      <c r="F40" s="4"/>
      <c r="G40" s="14"/>
    </row>
    <row r="41" spans="1:7" ht="36" customHeight="1" x14ac:dyDescent="0.35">
      <c r="A41" s="21">
        <v>29</v>
      </c>
      <c r="B41" s="11"/>
      <c r="C41" s="17"/>
      <c r="D41" s="17"/>
      <c r="E41" s="8"/>
      <c r="F41" s="8"/>
      <c r="G41" s="14"/>
    </row>
    <row r="42" spans="1:7" ht="36" customHeight="1" x14ac:dyDescent="0.35">
      <c r="A42" s="21">
        <v>30</v>
      </c>
      <c r="B42" s="6"/>
      <c r="C42" s="18"/>
      <c r="D42" s="18"/>
      <c r="E42" s="4"/>
      <c r="F42" s="4"/>
      <c r="G42" s="14"/>
    </row>
    <row r="43" spans="1:7" ht="36" customHeight="1" x14ac:dyDescent="0.35">
      <c r="A43" s="21">
        <v>31</v>
      </c>
      <c r="B43" s="11"/>
      <c r="C43" s="17"/>
      <c r="D43" s="17"/>
      <c r="E43" s="8"/>
      <c r="F43" s="8"/>
      <c r="G43" s="14"/>
    </row>
    <row r="44" spans="1:7" ht="36" customHeight="1" x14ac:dyDescent="0.35">
      <c r="A44" s="21">
        <v>32</v>
      </c>
      <c r="B44" s="6"/>
      <c r="C44" s="18"/>
      <c r="D44" s="18"/>
      <c r="E44" s="4"/>
      <c r="F44" s="4"/>
      <c r="G44" s="14"/>
    </row>
    <row r="45" spans="1:7" ht="36" customHeight="1" x14ac:dyDescent="0.35">
      <c r="A45" s="21">
        <v>33</v>
      </c>
      <c r="B45" s="11"/>
      <c r="C45" s="17"/>
      <c r="D45" s="17"/>
      <c r="E45" s="8"/>
      <c r="F45" s="8"/>
      <c r="G45" s="14"/>
    </row>
    <row r="46" spans="1:7" ht="36" customHeight="1" x14ac:dyDescent="0.35">
      <c r="A46" s="21">
        <v>34</v>
      </c>
      <c r="B46" s="6"/>
      <c r="C46" s="18"/>
      <c r="D46" s="18"/>
      <c r="E46" s="4"/>
      <c r="F46" s="4"/>
      <c r="G46" s="14"/>
    </row>
    <row r="47" spans="1:7" ht="36" customHeight="1" x14ac:dyDescent="0.35">
      <c r="A47" s="21">
        <v>35</v>
      </c>
      <c r="B47" s="11"/>
      <c r="C47" s="17"/>
      <c r="D47" s="17"/>
      <c r="E47" s="8"/>
      <c r="F47" s="8"/>
      <c r="G47" s="14"/>
    </row>
    <row r="48" spans="1:7" ht="36" customHeight="1" x14ac:dyDescent="0.35">
      <c r="A48" s="21">
        <v>36</v>
      </c>
      <c r="B48" s="6"/>
      <c r="C48" s="18"/>
      <c r="D48" s="18"/>
      <c r="E48" s="4"/>
      <c r="F48" s="4"/>
      <c r="G48" s="14"/>
    </row>
    <row r="49" spans="1:7" ht="36" customHeight="1" x14ac:dyDescent="0.35">
      <c r="A49" s="21">
        <v>37</v>
      </c>
      <c r="B49" s="11"/>
      <c r="C49" s="17"/>
      <c r="D49" s="17"/>
      <c r="E49" s="8"/>
      <c r="F49" s="8"/>
      <c r="G49" s="14"/>
    </row>
    <row r="50" spans="1:7" ht="36" customHeight="1" x14ac:dyDescent="0.35">
      <c r="A50" s="21">
        <v>38</v>
      </c>
      <c r="B50" s="6"/>
      <c r="C50" s="18"/>
      <c r="D50" s="18"/>
      <c r="E50" s="4"/>
      <c r="F50" s="4"/>
      <c r="G50" s="14"/>
    </row>
    <row r="51" spans="1:7" ht="36" customHeight="1" x14ac:dyDescent="0.35">
      <c r="A51" s="21">
        <v>39</v>
      </c>
      <c r="B51" s="11"/>
      <c r="C51" s="17"/>
      <c r="D51" s="17"/>
      <c r="E51" s="8"/>
      <c r="F51" s="8"/>
      <c r="G51" s="14"/>
    </row>
    <row r="52" spans="1:7" ht="36" customHeight="1" x14ac:dyDescent="0.35">
      <c r="A52" s="21">
        <v>40</v>
      </c>
      <c r="B52" s="6"/>
      <c r="C52" s="18"/>
      <c r="D52" s="18"/>
      <c r="E52" s="4"/>
      <c r="F52" s="4"/>
      <c r="G52" s="14"/>
    </row>
    <row r="53" spans="1:7" ht="36" customHeight="1" x14ac:dyDescent="0.35">
      <c r="A53" s="21">
        <v>41</v>
      </c>
      <c r="B53" s="11"/>
      <c r="C53" s="17"/>
      <c r="D53" s="17"/>
      <c r="E53" s="8"/>
      <c r="F53" s="8"/>
      <c r="G53" s="14"/>
    </row>
    <row r="54" spans="1:7" ht="36" customHeight="1" x14ac:dyDescent="0.35">
      <c r="A54" s="21">
        <v>42</v>
      </c>
      <c r="B54" s="6"/>
      <c r="C54" s="18"/>
      <c r="D54" s="18"/>
      <c r="E54" s="4"/>
      <c r="F54" s="4"/>
      <c r="G54" s="14"/>
    </row>
    <row r="55" spans="1:7" ht="36" customHeight="1" x14ac:dyDescent="0.35">
      <c r="A55" s="21">
        <v>43</v>
      </c>
      <c r="B55" s="11"/>
      <c r="C55" s="17"/>
      <c r="D55" s="17"/>
      <c r="E55" s="8"/>
      <c r="F55" s="8"/>
      <c r="G55" s="14"/>
    </row>
    <row r="56" spans="1:7" ht="36" customHeight="1" x14ac:dyDescent="0.35">
      <c r="A56" s="21">
        <v>44</v>
      </c>
      <c r="B56" s="6"/>
      <c r="C56" s="18"/>
      <c r="D56" s="18"/>
      <c r="E56" s="4"/>
      <c r="F56" s="4"/>
      <c r="G56" s="14"/>
    </row>
    <row r="57" spans="1:7" ht="36" customHeight="1" x14ac:dyDescent="0.35">
      <c r="A57" s="21">
        <v>45</v>
      </c>
      <c r="B57" s="11"/>
      <c r="C57" s="17"/>
      <c r="D57" s="17"/>
      <c r="E57" s="8"/>
      <c r="F57" s="8"/>
      <c r="G57" s="14"/>
    </row>
    <row r="58" spans="1:7" ht="36" customHeight="1" x14ac:dyDescent="0.35">
      <c r="A58" s="21">
        <v>46</v>
      </c>
      <c r="B58" s="6"/>
      <c r="C58" s="18"/>
      <c r="D58" s="18"/>
      <c r="E58" s="4"/>
      <c r="F58" s="4"/>
      <c r="G58" s="14"/>
    </row>
    <row r="59" spans="1:7" ht="36" customHeight="1" x14ac:dyDescent="0.35">
      <c r="A59" s="21">
        <v>47</v>
      </c>
      <c r="B59" s="11"/>
      <c r="C59" s="17"/>
      <c r="D59" s="17"/>
      <c r="E59" s="8"/>
      <c r="F59" s="8"/>
      <c r="G59" s="14"/>
    </row>
    <row r="60" spans="1:7" ht="36" customHeight="1" x14ac:dyDescent="0.35">
      <c r="A60" s="21">
        <v>48</v>
      </c>
      <c r="B60" s="6"/>
      <c r="C60" s="18"/>
      <c r="D60" s="18"/>
      <c r="E60" s="4"/>
      <c r="F60" s="4"/>
      <c r="G60" s="14"/>
    </row>
    <row r="61" spans="1:7" ht="36" customHeight="1" x14ac:dyDescent="0.35">
      <c r="A61" s="21">
        <v>49</v>
      </c>
      <c r="B61" s="11"/>
      <c r="C61" s="17"/>
      <c r="D61" s="17"/>
      <c r="E61" s="8"/>
      <c r="F61" s="8"/>
      <c r="G61" s="14"/>
    </row>
    <row r="62" spans="1:7" ht="36" customHeight="1" x14ac:dyDescent="0.35">
      <c r="A62" s="21">
        <v>50</v>
      </c>
      <c r="B62" s="6"/>
      <c r="C62" s="18"/>
      <c r="D62" s="18"/>
      <c r="E62" s="4"/>
      <c r="F62" s="4"/>
      <c r="G62" s="14"/>
    </row>
    <row r="63" spans="1:7" ht="36" customHeight="1" x14ac:dyDescent="0.35">
      <c r="A63" s="21">
        <v>51</v>
      </c>
      <c r="B63" s="11"/>
      <c r="C63" s="17"/>
      <c r="D63" s="17"/>
      <c r="E63" s="8"/>
      <c r="F63" s="8"/>
      <c r="G63" s="14"/>
    </row>
    <row r="64" spans="1:7" ht="36" customHeight="1" x14ac:dyDescent="0.35">
      <c r="A64" s="21">
        <v>52</v>
      </c>
      <c r="B64" s="6"/>
      <c r="C64" s="18"/>
      <c r="D64" s="18"/>
      <c r="E64" s="4"/>
      <c r="F64" s="4"/>
      <c r="G64" s="14"/>
    </row>
    <row r="65" spans="1:7" ht="36" customHeight="1" x14ac:dyDescent="0.35">
      <c r="A65" s="21">
        <v>53</v>
      </c>
      <c r="B65" s="11"/>
      <c r="C65" s="17"/>
      <c r="D65" s="17"/>
      <c r="E65" s="8"/>
      <c r="F65" s="8"/>
      <c r="G65" s="14"/>
    </row>
    <row r="66" spans="1:7" ht="36" customHeight="1" x14ac:dyDescent="0.35">
      <c r="A66" s="21">
        <v>54</v>
      </c>
      <c r="B66" s="6"/>
      <c r="C66" s="18"/>
      <c r="D66" s="18"/>
      <c r="E66" s="4"/>
      <c r="F66" s="4"/>
      <c r="G66" s="14"/>
    </row>
    <row r="67" spans="1:7" ht="36" customHeight="1" x14ac:dyDescent="0.35">
      <c r="A67" s="21">
        <v>55</v>
      </c>
      <c r="B67" s="11"/>
      <c r="C67" s="17"/>
      <c r="D67" s="17"/>
      <c r="E67" s="8"/>
      <c r="F67" s="8"/>
      <c r="G67" s="14"/>
    </row>
    <row r="68" spans="1:7" ht="36" customHeight="1" x14ac:dyDescent="0.35">
      <c r="A68" s="21">
        <v>56</v>
      </c>
      <c r="B68" s="6"/>
      <c r="C68" s="18"/>
      <c r="D68" s="18"/>
      <c r="E68" s="4"/>
      <c r="F68" s="4"/>
      <c r="G68" s="14"/>
    </row>
    <row r="69" spans="1:7" ht="36" customHeight="1" x14ac:dyDescent="0.35">
      <c r="A69" s="21">
        <v>57</v>
      </c>
      <c r="B69" s="11"/>
      <c r="C69" s="17"/>
      <c r="D69" s="17"/>
      <c r="E69" s="8"/>
      <c r="F69" s="8"/>
      <c r="G69" s="14"/>
    </row>
    <row r="70" spans="1:7" ht="36" customHeight="1" x14ac:dyDescent="0.35">
      <c r="A70" s="21">
        <v>58</v>
      </c>
      <c r="B70" s="6"/>
      <c r="C70" s="18"/>
      <c r="D70" s="18"/>
      <c r="E70" s="4"/>
      <c r="F70" s="4"/>
      <c r="G70" s="14"/>
    </row>
    <row r="71" spans="1:7" ht="36" customHeight="1" x14ac:dyDescent="0.35">
      <c r="A71" s="21">
        <v>59</v>
      </c>
      <c r="B71" s="11"/>
      <c r="C71" s="17"/>
      <c r="D71" s="17"/>
      <c r="E71" s="8"/>
      <c r="F71" s="8"/>
      <c r="G71" s="14"/>
    </row>
    <row r="72" spans="1:7" ht="36" customHeight="1" x14ac:dyDescent="0.35">
      <c r="A72" s="21">
        <v>60</v>
      </c>
      <c r="B72" s="6"/>
      <c r="C72" s="18"/>
      <c r="D72" s="18"/>
      <c r="E72" s="4"/>
      <c r="F72" s="4"/>
      <c r="G72" s="14"/>
    </row>
  </sheetData>
  <mergeCells count="8">
    <mergeCell ref="A11:G11"/>
    <mergeCell ref="B10:D10"/>
    <mergeCell ref="A1:D1"/>
    <mergeCell ref="B8:D8"/>
    <mergeCell ref="A3:D3"/>
    <mergeCell ref="B4:D4"/>
    <mergeCell ref="B9:D9"/>
    <mergeCell ref="A7:D7"/>
  </mergeCells>
  <conditionalFormatting sqref="G13:G72">
    <cfRule type="containsText" dxfId="19" priority="1" operator="containsText" text="مكتمل">
      <formula>NOT(ISERROR(SEARCH("مكتمل",G13)))</formula>
    </cfRule>
  </conditionalFormatting>
  <dataValidations count="2">
    <dataValidation type="list" allowBlank="1" sqref="C13:C72" xr:uid="{00000000-0002-0000-0500-000000000000}">
      <formula1>"1 - Strategy &amp; Guidance,2 - Needs Identification,3 - Affordability Estimate,4 - Tender Pack Development,5 - Detailed Cost Estimate,6 - Supplier Selection,7 - Contracting,8 - Contract Execution,9 - Contract Closure"</formula1>
      <formula2>0</formula2>
    </dataValidation>
    <dataValidation type="list" allowBlank="1" sqref="D13:D72" xr:uid="{00000000-0002-0000-0500-000002000000}">
      <formula1>IF(C13="2 - Needs Identification",Needs,IF(C13="3 - Affordability Estimate",Affordability,""))</formula1>
      <formula2>0</formula2>
    </dataValidation>
  </dataValidations>
  <pageMargins left="0.75" right="0.75" top="1" bottom="1" header="0.511811023622047" footer="0.511811023622047"/>
  <pageSetup orientation="landscape" horizontalDpi="300" verticalDpi="300"/>
  <extLst>
    <ext xmlns:x14="http://schemas.microsoft.com/office/spreadsheetml/2009/9/main" uri="{78C0D931-6437-407d-A8EE-F0AAD7539E65}">
      <x14:conditionalFormattings>
        <x14:conditionalFormatting xmlns:xm="http://schemas.microsoft.com/office/excel/2006/main">
          <x14:cfRule type="cellIs" priority="2" operator="equal" id="{C1B3E7FF-DF68-4BDD-BB5F-BCF860828BF3}">
            <xm:f>Sheet1!$F$5</xm:f>
            <x14:dxf>
              <fill>
                <patternFill>
                  <bgColor rgb="FFFFC000"/>
                </patternFill>
              </fill>
            </x14:dxf>
          </x14:cfRule>
          <x14:cfRule type="cellIs" priority="3" operator="equal" id="{1EB949C3-4699-4E55-B8D4-F5A4419BE9D7}">
            <xm:f>Sheet1!$F$4</xm:f>
            <x14:dxf>
              <fill>
                <patternFill>
                  <bgColor rgb="FFFF0000"/>
                </patternFill>
              </fill>
            </x14:dxf>
          </x14:cfRule>
          <x14:cfRule type="cellIs" priority="4" operator="equal" id="{C5962AFD-FCB1-4396-860B-1D7E1C62AB60}">
            <xm:f>Sheet1!$F$2</xm:f>
            <x14:dxf>
              <fill>
                <patternFill>
                  <bgColor rgb="FF002060"/>
                </patternFill>
              </fill>
            </x14:dxf>
          </x14:cfRule>
          <x14:cfRule type="cellIs" priority="5" operator="equal" id="{8699A529-DC2B-46CF-A08D-A68829A24193}">
            <xm:f>Sheet1!$F$3</xm:f>
            <x14:dxf>
              <fill>
                <patternFill>
                  <bgColor rgb="FF008000"/>
                </patternFill>
              </fill>
            </x14:dxf>
          </x14:cfRule>
          <xm:sqref>G13:G72</xm:sqref>
        </x14:conditionalFormatting>
      </x14:conditionalFormattings>
    </ext>
    <ext xmlns:x14="http://schemas.microsoft.com/office/spreadsheetml/2009/9/main" uri="{CCE6A557-97BC-4b89-ADB6-D9C93CAAB3DF}">
      <x14:dataValidations xmlns:xm="http://schemas.microsoft.com/office/excel/2006/main" count="1">
        <x14:dataValidation type="list" allowBlank="1" xr:uid="{E582510E-822C-40B1-9DCD-1E16955B6937}">
          <x14:formula1>
            <xm:f>Sheet1!$F$2:$F$5</xm:f>
          </x14:formula1>
          <xm:sqref>G13:G72</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tabColor rgb="FF008000"/>
  </sheetPr>
  <dimension ref="A1:G72"/>
  <sheetViews>
    <sheetView showGridLines="0" rightToLeft="1" zoomScale="59" zoomScaleNormal="100" workbookViewId="0">
      <selection activeCell="D17" sqref="D17"/>
    </sheetView>
  </sheetViews>
  <sheetFormatPr defaultColWidth="8.6328125" defaultRowHeight="14.5" x14ac:dyDescent="0.35"/>
  <cols>
    <col min="1" max="1" width="10.1796875" style="1" bestFit="1" customWidth="1"/>
    <col min="2" max="2" width="16" style="1" customWidth="1"/>
    <col min="3" max="3" width="30" style="1" customWidth="1"/>
    <col min="4" max="4" width="26" style="1" customWidth="1"/>
    <col min="5" max="6" width="50.6328125" style="1" customWidth="1"/>
    <col min="7" max="7" width="14" style="1" customWidth="1"/>
  </cols>
  <sheetData>
    <row r="1" spans="1:7" ht="31.5" customHeight="1" x14ac:dyDescent="0.35">
      <c r="A1" s="125" t="str">
        <f>IF(B4="","SMRO-02",B4)</f>
        <v>رشاش عيار 40 ام كي 19 مع ملحقاته</v>
      </c>
      <c r="B1" s="115"/>
      <c r="C1" s="115"/>
      <c r="D1" s="116"/>
    </row>
    <row r="2" spans="1:7" ht="3" customHeight="1" x14ac:dyDescent="0.35">
      <c r="A2" s="19"/>
      <c r="B2" s="19"/>
      <c r="C2" s="19"/>
      <c r="D2" s="19"/>
    </row>
    <row r="3" spans="1:7" ht="21.75" customHeight="1" x14ac:dyDescent="0.35">
      <c r="A3" s="126" t="s">
        <v>4</v>
      </c>
      <c r="B3" s="115"/>
      <c r="C3" s="115"/>
      <c r="D3" s="116"/>
    </row>
    <row r="4" spans="1:7" ht="27.75" customHeight="1" x14ac:dyDescent="0.35">
      <c r="A4" s="13" t="s">
        <v>1</v>
      </c>
      <c r="B4" s="119" t="s">
        <v>69</v>
      </c>
      <c r="C4" s="115"/>
      <c r="D4" s="116"/>
    </row>
    <row r="5" spans="1:7" ht="24" customHeight="1" x14ac:dyDescent="0.35">
      <c r="A5" s="13" t="s">
        <v>3</v>
      </c>
      <c r="B5" s="9" t="s">
        <v>67</v>
      </c>
      <c r="C5" s="13" t="s">
        <v>2</v>
      </c>
      <c r="D5" s="14" t="s">
        <v>62</v>
      </c>
    </row>
    <row r="6" spans="1:7" ht="7.5" customHeight="1" x14ac:dyDescent="0.35"/>
    <row r="7" spans="1:7" ht="21.75" customHeight="1" x14ac:dyDescent="0.35">
      <c r="A7" s="126" t="s">
        <v>5</v>
      </c>
      <c r="B7" s="115"/>
      <c r="C7" s="115"/>
      <c r="D7" s="116"/>
      <c r="E7" s="28" t="s">
        <v>30</v>
      </c>
      <c r="F7" s="26"/>
    </row>
    <row r="8" spans="1:7" ht="24" customHeight="1" x14ac:dyDescent="0.35">
      <c r="A8" s="13" t="s">
        <v>21</v>
      </c>
      <c r="B8" s="117" t="str">
        <f>IFERROR(LOOKUP(2,1/(C13:C72&lt;&gt;""),C13:C72),"—")</f>
        <v>2 - Needs Identification</v>
      </c>
      <c r="C8" s="115"/>
      <c r="D8" s="116"/>
      <c r="E8" s="28" t="s">
        <v>29</v>
      </c>
      <c r="F8" s="26"/>
    </row>
    <row r="9" spans="1:7" ht="24" customHeight="1" x14ac:dyDescent="0.35">
      <c r="A9" s="13" t="s">
        <v>22</v>
      </c>
      <c r="B9" s="120">
        <f>IFERROR(LOOKUP(2,1/(B13:B72&lt;&gt;""),B13:B72),"—")</f>
        <v>46163</v>
      </c>
      <c r="C9" s="121"/>
      <c r="D9" s="122"/>
      <c r="E9" s="28" t="s">
        <v>31</v>
      </c>
      <c r="F9" s="26"/>
    </row>
    <row r="10" spans="1:7" ht="24" customHeight="1" x14ac:dyDescent="0.35">
      <c r="A10" s="13" t="s">
        <v>10</v>
      </c>
      <c r="B10" s="117" t="str">
        <f>IFERROR(INDEX(E13:E72,MATCH(MAX(B13:B72),B13:B72,0)),"—")</f>
        <v>لا يوجد متطلب على إدارة التكاليف حتى الان</v>
      </c>
      <c r="C10" s="115"/>
      <c r="D10" s="116"/>
      <c r="E10" s="28" t="s">
        <v>32</v>
      </c>
      <c r="F10" s="26"/>
    </row>
    <row r="11" spans="1:7" ht="27.75" customHeight="1" x14ac:dyDescent="0.35">
      <c r="A11" s="123" t="s">
        <v>20</v>
      </c>
      <c r="B11" s="124"/>
      <c r="C11" s="124"/>
      <c r="D11" s="124"/>
      <c r="E11" s="124"/>
      <c r="F11" s="124"/>
      <c r="G11" s="124"/>
    </row>
    <row r="12" spans="1:7" ht="30" customHeight="1" x14ac:dyDescent="0.35">
      <c r="A12" s="20" t="s">
        <v>6</v>
      </c>
      <c r="B12" s="20" t="s">
        <v>7</v>
      </c>
      <c r="C12" s="20" t="s">
        <v>8</v>
      </c>
      <c r="D12" s="20" t="s">
        <v>9</v>
      </c>
      <c r="E12" s="20" t="s">
        <v>10</v>
      </c>
      <c r="F12" s="20" t="s">
        <v>11</v>
      </c>
      <c r="G12" s="20" t="s">
        <v>5</v>
      </c>
    </row>
    <row r="13" spans="1:7" ht="36" customHeight="1" x14ac:dyDescent="0.35">
      <c r="A13" s="21">
        <v>1</v>
      </c>
      <c r="B13" s="65">
        <v>46138</v>
      </c>
      <c r="C13" s="61" t="s">
        <v>83</v>
      </c>
      <c r="D13" s="61"/>
      <c r="E13" s="59" t="s">
        <v>106</v>
      </c>
      <c r="F13" s="59"/>
      <c r="G13" s="14" t="s">
        <v>42</v>
      </c>
    </row>
    <row r="14" spans="1:7" ht="36" customHeight="1" x14ac:dyDescent="0.35">
      <c r="A14" s="21">
        <v>2</v>
      </c>
      <c r="B14" s="64">
        <v>46145</v>
      </c>
      <c r="C14" s="62" t="s">
        <v>83</v>
      </c>
      <c r="D14" s="62"/>
      <c r="E14" s="57" t="s">
        <v>107</v>
      </c>
      <c r="F14" s="57"/>
      <c r="G14" s="14" t="s">
        <v>43</v>
      </c>
    </row>
    <row r="15" spans="1:7" ht="36" customHeight="1" x14ac:dyDescent="0.35">
      <c r="A15" s="21">
        <v>3</v>
      </c>
      <c r="B15" s="65">
        <v>46145</v>
      </c>
      <c r="C15" s="61" t="s">
        <v>83</v>
      </c>
      <c r="D15" s="61"/>
      <c r="E15" s="69" t="s">
        <v>138</v>
      </c>
      <c r="F15" s="59" t="s">
        <v>139</v>
      </c>
      <c r="G15" s="14" t="s">
        <v>43</v>
      </c>
    </row>
    <row r="16" spans="1:7" ht="36" customHeight="1" x14ac:dyDescent="0.35">
      <c r="A16" s="21">
        <v>4</v>
      </c>
      <c r="B16" s="86">
        <v>46156</v>
      </c>
      <c r="C16" s="87" t="s">
        <v>83</v>
      </c>
      <c r="D16" s="87"/>
      <c r="E16" s="85" t="s">
        <v>107</v>
      </c>
      <c r="F16" s="85"/>
      <c r="G16" s="14" t="s">
        <v>43</v>
      </c>
    </row>
    <row r="17" spans="1:7" ht="36" customHeight="1" x14ac:dyDescent="0.35">
      <c r="A17" s="21">
        <v>5</v>
      </c>
      <c r="B17" s="11">
        <v>46159</v>
      </c>
      <c r="C17" s="17" t="s">
        <v>83</v>
      </c>
      <c r="D17" s="17"/>
      <c r="E17" s="61" t="s">
        <v>155</v>
      </c>
      <c r="F17" s="92" t="s">
        <v>156</v>
      </c>
      <c r="G17" s="14" t="s">
        <v>42</v>
      </c>
    </row>
    <row r="18" spans="1:7" ht="36" customHeight="1" x14ac:dyDescent="0.35">
      <c r="A18" s="21">
        <v>6</v>
      </c>
      <c r="B18" s="6">
        <v>46163</v>
      </c>
      <c r="C18" s="18" t="s">
        <v>83</v>
      </c>
      <c r="D18" s="18"/>
      <c r="E18" s="62" t="s">
        <v>155</v>
      </c>
      <c r="F18" s="57" t="s">
        <v>156</v>
      </c>
      <c r="G18" s="14" t="s">
        <v>42</v>
      </c>
    </row>
    <row r="19" spans="1:7" ht="36" customHeight="1" x14ac:dyDescent="0.35">
      <c r="A19" s="21">
        <v>7</v>
      </c>
      <c r="B19" s="11"/>
      <c r="C19" s="17"/>
      <c r="D19" s="17"/>
      <c r="E19" s="8"/>
      <c r="F19" s="8"/>
      <c r="G19" s="14"/>
    </row>
    <row r="20" spans="1:7" ht="36" customHeight="1" x14ac:dyDescent="0.35">
      <c r="A20" s="21">
        <v>8</v>
      </c>
      <c r="B20" s="6"/>
      <c r="C20" s="18"/>
      <c r="D20" s="18"/>
      <c r="E20" s="4"/>
      <c r="F20" s="4"/>
      <c r="G20" s="14"/>
    </row>
    <row r="21" spans="1:7" ht="36" customHeight="1" x14ac:dyDescent="0.35">
      <c r="A21" s="21">
        <v>9</v>
      </c>
      <c r="B21" s="11"/>
      <c r="C21" s="17"/>
      <c r="D21" s="17"/>
      <c r="E21" s="8"/>
      <c r="F21" s="8"/>
      <c r="G21" s="14"/>
    </row>
    <row r="22" spans="1:7" ht="36" customHeight="1" x14ac:dyDescent="0.35">
      <c r="A22" s="21">
        <v>10</v>
      </c>
      <c r="B22" s="6"/>
      <c r="C22" s="18"/>
      <c r="D22" s="18"/>
      <c r="E22" s="4"/>
      <c r="F22" s="4"/>
      <c r="G22" s="14"/>
    </row>
    <row r="23" spans="1:7" ht="36" customHeight="1" x14ac:dyDescent="0.35">
      <c r="A23" s="21">
        <v>11</v>
      </c>
      <c r="B23" s="11"/>
      <c r="C23" s="17"/>
      <c r="D23" s="17"/>
      <c r="E23" s="8"/>
      <c r="F23" s="8"/>
      <c r="G23" s="14"/>
    </row>
    <row r="24" spans="1:7" ht="36" customHeight="1" x14ac:dyDescent="0.35">
      <c r="A24" s="21">
        <v>12</v>
      </c>
      <c r="B24" s="6"/>
      <c r="C24" s="18"/>
      <c r="D24" s="18"/>
      <c r="E24" s="4"/>
      <c r="F24" s="4"/>
      <c r="G24" s="14"/>
    </row>
    <row r="25" spans="1:7" ht="36" customHeight="1" x14ac:dyDescent="0.35">
      <c r="A25" s="21">
        <v>13</v>
      </c>
      <c r="B25" s="11"/>
      <c r="C25" s="17"/>
      <c r="D25" s="17"/>
      <c r="E25" s="8"/>
      <c r="F25" s="8"/>
      <c r="G25" s="14"/>
    </row>
    <row r="26" spans="1:7" ht="36" customHeight="1" x14ac:dyDescent="0.35">
      <c r="A26" s="21">
        <v>14</v>
      </c>
      <c r="B26" s="6"/>
      <c r="C26" s="18"/>
      <c r="D26" s="18"/>
      <c r="E26" s="4"/>
      <c r="F26" s="4"/>
      <c r="G26" s="14"/>
    </row>
    <row r="27" spans="1:7" ht="36" customHeight="1" x14ac:dyDescent="0.35">
      <c r="A27" s="21">
        <v>15</v>
      </c>
      <c r="B27" s="11"/>
      <c r="C27" s="17"/>
      <c r="D27" s="17"/>
      <c r="E27" s="8"/>
      <c r="F27" s="8"/>
      <c r="G27" s="14"/>
    </row>
    <row r="28" spans="1:7" ht="36" customHeight="1" x14ac:dyDescent="0.35">
      <c r="A28" s="21">
        <v>16</v>
      </c>
      <c r="B28" s="6"/>
      <c r="C28" s="18"/>
      <c r="D28" s="18"/>
      <c r="E28" s="4"/>
      <c r="F28" s="4"/>
      <c r="G28" s="14"/>
    </row>
    <row r="29" spans="1:7" ht="36" customHeight="1" x14ac:dyDescent="0.35">
      <c r="A29" s="21">
        <v>17</v>
      </c>
      <c r="B29" s="11"/>
      <c r="C29" s="17"/>
      <c r="D29" s="17"/>
      <c r="E29" s="8"/>
      <c r="F29" s="8"/>
      <c r="G29" s="14"/>
    </row>
    <row r="30" spans="1:7" ht="36" customHeight="1" x14ac:dyDescent="0.35">
      <c r="A30" s="21">
        <v>18</v>
      </c>
      <c r="B30" s="6"/>
      <c r="C30" s="18"/>
      <c r="D30" s="18"/>
      <c r="E30" s="4"/>
      <c r="F30" s="4"/>
      <c r="G30" s="14"/>
    </row>
    <row r="31" spans="1:7" ht="36" customHeight="1" x14ac:dyDescent="0.35">
      <c r="A31" s="21">
        <v>19</v>
      </c>
      <c r="B31" s="11"/>
      <c r="C31" s="17"/>
      <c r="D31" s="17"/>
      <c r="E31" s="8"/>
      <c r="F31" s="8"/>
      <c r="G31" s="14"/>
    </row>
    <row r="32" spans="1:7" ht="36" customHeight="1" x14ac:dyDescent="0.35">
      <c r="A32" s="21">
        <v>20</v>
      </c>
      <c r="B32" s="6"/>
      <c r="C32" s="18"/>
      <c r="D32" s="18"/>
      <c r="E32" s="4"/>
      <c r="F32" s="4"/>
      <c r="G32" s="14"/>
    </row>
    <row r="33" spans="1:7" ht="36" customHeight="1" x14ac:dyDescent="0.35">
      <c r="A33" s="21">
        <v>21</v>
      </c>
      <c r="B33" s="11"/>
      <c r="C33" s="17"/>
      <c r="D33" s="17"/>
      <c r="E33" s="8"/>
      <c r="F33" s="8"/>
      <c r="G33" s="14"/>
    </row>
    <row r="34" spans="1:7" ht="36" customHeight="1" x14ac:dyDescent="0.35">
      <c r="A34" s="21">
        <v>22</v>
      </c>
      <c r="B34" s="6"/>
      <c r="C34" s="18"/>
      <c r="D34" s="18"/>
      <c r="E34" s="4"/>
      <c r="F34" s="4"/>
      <c r="G34" s="14"/>
    </row>
    <row r="35" spans="1:7" ht="36" customHeight="1" x14ac:dyDescent="0.35">
      <c r="A35" s="21">
        <v>23</v>
      </c>
      <c r="B35" s="11"/>
      <c r="C35" s="17"/>
      <c r="D35" s="17"/>
      <c r="E35" s="8"/>
      <c r="F35" s="8"/>
      <c r="G35" s="14"/>
    </row>
    <row r="36" spans="1:7" ht="36" customHeight="1" x14ac:dyDescent="0.35">
      <c r="A36" s="21">
        <v>24</v>
      </c>
      <c r="B36" s="6"/>
      <c r="C36" s="18"/>
      <c r="D36" s="18"/>
      <c r="E36" s="4"/>
      <c r="F36" s="4"/>
      <c r="G36" s="14"/>
    </row>
    <row r="37" spans="1:7" ht="36" customHeight="1" x14ac:dyDescent="0.35">
      <c r="A37" s="21">
        <v>25</v>
      </c>
      <c r="B37" s="11"/>
      <c r="C37" s="17"/>
      <c r="D37" s="17"/>
      <c r="E37" s="8"/>
      <c r="F37" s="8"/>
      <c r="G37" s="14"/>
    </row>
    <row r="38" spans="1:7" ht="36" customHeight="1" x14ac:dyDescent="0.35">
      <c r="A38" s="21">
        <v>26</v>
      </c>
      <c r="B38" s="6"/>
      <c r="C38" s="18"/>
      <c r="D38" s="18"/>
      <c r="E38" s="4"/>
      <c r="F38" s="4"/>
      <c r="G38" s="14"/>
    </row>
    <row r="39" spans="1:7" ht="36" customHeight="1" x14ac:dyDescent="0.35">
      <c r="A39" s="21">
        <v>27</v>
      </c>
      <c r="B39" s="11"/>
      <c r="C39" s="17"/>
      <c r="D39" s="17"/>
      <c r="E39" s="8"/>
      <c r="F39" s="8"/>
      <c r="G39" s="14"/>
    </row>
    <row r="40" spans="1:7" ht="36" customHeight="1" x14ac:dyDescent="0.35">
      <c r="A40" s="21">
        <v>28</v>
      </c>
      <c r="B40" s="6"/>
      <c r="C40" s="18"/>
      <c r="D40" s="18"/>
      <c r="E40" s="4"/>
      <c r="F40" s="4"/>
      <c r="G40" s="14"/>
    </row>
    <row r="41" spans="1:7" ht="36" customHeight="1" x14ac:dyDescent="0.35">
      <c r="A41" s="21">
        <v>29</v>
      </c>
      <c r="B41" s="11"/>
      <c r="C41" s="17"/>
      <c r="D41" s="17"/>
      <c r="E41" s="8"/>
      <c r="F41" s="8"/>
      <c r="G41" s="14"/>
    </row>
    <row r="42" spans="1:7" ht="36" customHeight="1" x14ac:dyDescent="0.35">
      <c r="A42" s="21">
        <v>30</v>
      </c>
      <c r="B42" s="6"/>
      <c r="C42" s="18"/>
      <c r="D42" s="18"/>
      <c r="E42" s="4"/>
      <c r="F42" s="4"/>
      <c r="G42" s="14"/>
    </row>
    <row r="43" spans="1:7" ht="36" customHeight="1" x14ac:dyDescent="0.35">
      <c r="A43" s="21">
        <v>31</v>
      </c>
      <c r="B43" s="11"/>
      <c r="C43" s="17"/>
      <c r="D43" s="17"/>
      <c r="E43" s="8"/>
      <c r="F43" s="8"/>
      <c r="G43" s="14"/>
    </row>
    <row r="44" spans="1:7" ht="36" customHeight="1" x14ac:dyDescent="0.35">
      <c r="A44" s="21">
        <v>32</v>
      </c>
      <c r="B44" s="6"/>
      <c r="C44" s="18"/>
      <c r="D44" s="18"/>
      <c r="E44" s="4"/>
      <c r="F44" s="4"/>
      <c r="G44" s="14"/>
    </row>
    <row r="45" spans="1:7" ht="36" customHeight="1" x14ac:dyDescent="0.35">
      <c r="A45" s="21">
        <v>33</v>
      </c>
      <c r="B45" s="11"/>
      <c r="C45" s="17"/>
      <c r="D45" s="17"/>
      <c r="E45" s="8"/>
      <c r="F45" s="8"/>
      <c r="G45" s="14"/>
    </row>
    <row r="46" spans="1:7" ht="36" customHeight="1" x14ac:dyDescent="0.35">
      <c r="A46" s="21">
        <v>34</v>
      </c>
      <c r="B46" s="6"/>
      <c r="C46" s="18"/>
      <c r="D46" s="18"/>
      <c r="E46" s="4"/>
      <c r="F46" s="4"/>
      <c r="G46" s="14"/>
    </row>
    <row r="47" spans="1:7" ht="36" customHeight="1" x14ac:dyDescent="0.35">
      <c r="A47" s="21">
        <v>35</v>
      </c>
      <c r="B47" s="11"/>
      <c r="C47" s="17"/>
      <c r="D47" s="17"/>
      <c r="E47" s="8"/>
      <c r="F47" s="8"/>
      <c r="G47" s="14"/>
    </row>
    <row r="48" spans="1:7" ht="36" customHeight="1" x14ac:dyDescent="0.35">
      <c r="A48" s="21">
        <v>36</v>
      </c>
      <c r="B48" s="6"/>
      <c r="C48" s="18"/>
      <c r="D48" s="18"/>
      <c r="E48" s="4"/>
      <c r="F48" s="4"/>
      <c r="G48" s="14"/>
    </row>
    <row r="49" spans="1:7" ht="36" customHeight="1" x14ac:dyDescent="0.35">
      <c r="A49" s="21">
        <v>37</v>
      </c>
      <c r="B49" s="11"/>
      <c r="C49" s="17"/>
      <c r="D49" s="17"/>
      <c r="E49" s="8"/>
      <c r="F49" s="8"/>
      <c r="G49" s="14"/>
    </row>
    <row r="50" spans="1:7" ht="36" customHeight="1" x14ac:dyDescent="0.35">
      <c r="A50" s="21">
        <v>38</v>
      </c>
      <c r="B50" s="6"/>
      <c r="C50" s="18"/>
      <c r="D50" s="18"/>
      <c r="E50" s="4"/>
      <c r="F50" s="4"/>
      <c r="G50" s="14"/>
    </row>
    <row r="51" spans="1:7" ht="36" customHeight="1" x14ac:dyDescent="0.35">
      <c r="A51" s="21">
        <v>39</v>
      </c>
      <c r="B51" s="11"/>
      <c r="C51" s="17"/>
      <c r="D51" s="17"/>
      <c r="E51" s="8"/>
      <c r="F51" s="8"/>
      <c r="G51" s="14"/>
    </row>
    <row r="52" spans="1:7" ht="36" customHeight="1" x14ac:dyDescent="0.35">
      <c r="A52" s="21">
        <v>40</v>
      </c>
      <c r="B52" s="6"/>
      <c r="C52" s="18"/>
      <c r="D52" s="18"/>
      <c r="E52" s="4"/>
      <c r="F52" s="4"/>
      <c r="G52" s="14"/>
    </row>
    <row r="53" spans="1:7" ht="36" customHeight="1" x14ac:dyDescent="0.35">
      <c r="A53" s="21">
        <v>41</v>
      </c>
      <c r="B53" s="11"/>
      <c r="C53" s="17"/>
      <c r="D53" s="17"/>
      <c r="E53" s="8"/>
      <c r="F53" s="8"/>
      <c r="G53" s="14"/>
    </row>
    <row r="54" spans="1:7" ht="36" customHeight="1" x14ac:dyDescent="0.35">
      <c r="A54" s="21">
        <v>42</v>
      </c>
      <c r="B54" s="6"/>
      <c r="C54" s="18"/>
      <c r="D54" s="18"/>
      <c r="E54" s="4"/>
      <c r="F54" s="4"/>
      <c r="G54" s="14"/>
    </row>
    <row r="55" spans="1:7" ht="36" customHeight="1" x14ac:dyDescent="0.35">
      <c r="A55" s="21">
        <v>43</v>
      </c>
      <c r="B55" s="11"/>
      <c r="C55" s="17"/>
      <c r="D55" s="17"/>
      <c r="E55" s="8"/>
      <c r="F55" s="8"/>
      <c r="G55" s="14"/>
    </row>
    <row r="56" spans="1:7" ht="36" customHeight="1" x14ac:dyDescent="0.35">
      <c r="A56" s="21">
        <v>44</v>
      </c>
      <c r="B56" s="6"/>
      <c r="C56" s="18"/>
      <c r="D56" s="18"/>
      <c r="E56" s="4"/>
      <c r="F56" s="4"/>
      <c r="G56" s="14"/>
    </row>
    <row r="57" spans="1:7" ht="36" customHeight="1" x14ac:dyDescent="0.35">
      <c r="A57" s="21">
        <v>45</v>
      </c>
      <c r="B57" s="11"/>
      <c r="C57" s="17"/>
      <c r="D57" s="17"/>
      <c r="E57" s="8"/>
      <c r="F57" s="8"/>
      <c r="G57" s="14"/>
    </row>
    <row r="58" spans="1:7" ht="36" customHeight="1" x14ac:dyDescent="0.35">
      <c r="A58" s="21">
        <v>46</v>
      </c>
      <c r="B58" s="6"/>
      <c r="C58" s="18"/>
      <c r="D58" s="18"/>
      <c r="E58" s="4"/>
      <c r="F58" s="4"/>
      <c r="G58" s="14"/>
    </row>
    <row r="59" spans="1:7" ht="36" customHeight="1" x14ac:dyDescent="0.35">
      <c r="A59" s="21">
        <v>47</v>
      </c>
      <c r="B59" s="11"/>
      <c r="C59" s="17"/>
      <c r="D59" s="17"/>
      <c r="E59" s="8"/>
      <c r="F59" s="8"/>
      <c r="G59" s="14"/>
    </row>
    <row r="60" spans="1:7" ht="36" customHeight="1" x14ac:dyDescent="0.35">
      <c r="A60" s="21">
        <v>48</v>
      </c>
      <c r="B60" s="6"/>
      <c r="C60" s="18"/>
      <c r="D60" s="18"/>
      <c r="E60" s="4"/>
      <c r="F60" s="4"/>
      <c r="G60" s="14"/>
    </row>
    <row r="61" spans="1:7" ht="36" customHeight="1" x14ac:dyDescent="0.35">
      <c r="A61" s="21">
        <v>49</v>
      </c>
      <c r="B61" s="11"/>
      <c r="C61" s="17"/>
      <c r="D61" s="17"/>
      <c r="E61" s="8"/>
      <c r="F61" s="8"/>
      <c r="G61" s="14"/>
    </row>
    <row r="62" spans="1:7" ht="36" customHeight="1" x14ac:dyDescent="0.35">
      <c r="A62" s="21">
        <v>50</v>
      </c>
      <c r="B62" s="6"/>
      <c r="C62" s="18"/>
      <c r="D62" s="18"/>
      <c r="E62" s="4"/>
      <c r="F62" s="4"/>
      <c r="G62" s="14"/>
    </row>
    <row r="63" spans="1:7" ht="36" customHeight="1" x14ac:dyDescent="0.35">
      <c r="A63" s="21">
        <v>51</v>
      </c>
      <c r="B63" s="11"/>
      <c r="C63" s="17"/>
      <c r="D63" s="17"/>
      <c r="E63" s="8"/>
      <c r="F63" s="8"/>
      <c r="G63" s="14"/>
    </row>
    <row r="64" spans="1:7" ht="36" customHeight="1" x14ac:dyDescent="0.35">
      <c r="A64" s="21">
        <v>52</v>
      </c>
      <c r="B64" s="6"/>
      <c r="C64" s="18"/>
      <c r="D64" s="18"/>
      <c r="E64" s="4"/>
      <c r="F64" s="4"/>
      <c r="G64" s="14"/>
    </row>
    <row r="65" spans="1:7" ht="36" customHeight="1" x14ac:dyDescent="0.35">
      <c r="A65" s="21">
        <v>53</v>
      </c>
      <c r="B65" s="11"/>
      <c r="C65" s="17"/>
      <c r="D65" s="17"/>
      <c r="E65" s="8"/>
      <c r="F65" s="8"/>
      <c r="G65" s="14"/>
    </row>
    <row r="66" spans="1:7" ht="36" customHeight="1" x14ac:dyDescent="0.35">
      <c r="A66" s="21">
        <v>54</v>
      </c>
      <c r="B66" s="6"/>
      <c r="C66" s="18"/>
      <c r="D66" s="18"/>
      <c r="E66" s="4"/>
      <c r="F66" s="4"/>
      <c r="G66" s="14"/>
    </row>
    <row r="67" spans="1:7" ht="36" customHeight="1" x14ac:dyDescent="0.35">
      <c r="A67" s="21">
        <v>55</v>
      </c>
      <c r="B67" s="11"/>
      <c r="C67" s="17"/>
      <c r="D67" s="17"/>
      <c r="E67" s="8"/>
      <c r="F67" s="8"/>
      <c r="G67" s="14"/>
    </row>
    <row r="68" spans="1:7" ht="36" customHeight="1" x14ac:dyDescent="0.35">
      <c r="A68" s="21">
        <v>56</v>
      </c>
      <c r="B68" s="6"/>
      <c r="C68" s="18"/>
      <c r="D68" s="18"/>
      <c r="E68" s="4"/>
      <c r="F68" s="4"/>
      <c r="G68" s="14"/>
    </row>
    <row r="69" spans="1:7" ht="36" customHeight="1" x14ac:dyDescent="0.35">
      <c r="A69" s="21">
        <v>57</v>
      </c>
      <c r="B69" s="11"/>
      <c r="C69" s="17"/>
      <c r="D69" s="17"/>
      <c r="E69" s="8"/>
      <c r="F69" s="8"/>
      <c r="G69" s="14"/>
    </row>
    <row r="70" spans="1:7" ht="36" customHeight="1" x14ac:dyDescent="0.35">
      <c r="A70" s="21">
        <v>58</v>
      </c>
      <c r="B70" s="6"/>
      <c r="C70" s="18"/>
      <c r="D70" s="18"/>
      <c r="E70" s="4"/>
      <c r="F70" s="4"/>
      <c r="G70" s="14"/>
    </row>
    <row r="71" spans="1:7" ht="36" customHeight="1" x14ac:dyDescent="0.35">
      <c r="A71" s="21">
        <v>59</v>
      </c>
      <c r="B71" s="11"/>
      <c r="C71" s="17"/>
      <c r="D71" s="17"/>
      <c r="E71" s="8"/>
      <c r="F71" s="8"/>
      <c r="G71" s="14"/>
    </row>
    <row r="72" spans="1:7" ht="36" customHeight="1" x14ac:dyDescent="0.35">
      <c r="A72" s="21">
        <v>60</v>
      </c>
      <c r="B72" s="6"/>
      <c r="C72" s="18"/>
      <c r="D72" s="18"/>
      <c r="E72" s="4"/>
      <c r="F72" s="4"/>
      <c r="G72" s="14"/>
    </row>
  </sheetData>
  <mergeCells count="8">
    <mergeCell ref="A11:G11"/>
    <mergeCell ref="B10:D10"/>
    <mergeCell ref="A1:D1"/>
    <mergeCell ref="B8:D8"/>
    <mergeCell ref="A3:D3"/>
    <mergeCell ref="B4:D4"/>
    <mergeCell ref="B9:D9"/>
    <mergeCell ref="A7:D7"/>
  </mergeCells>
  <conditionalFormatting sqref="G13:G72">
    <cfRule type="containsText" dxfId="14" priority="1" operator="containsText" text="مكتمل">
      <formula>NOT(ISERROR(SEARCH("مكتمل",G13)))</formula>
    </cfRule>
  </conditionalFormatting>
  <dataValidations count="2">
    <dataValidation type="list" allowBlank="1" sqref="C13:C72" xr:uid="{00000000-0002-0000-0600-000000000000}">
      <formula1>"1 - Strategy &amp; Guidance,2 - Needs Identification,3 - Affordability Estimate,4 - Tender Pack Development,5 - Detailed Cost Estimate,6 - Supplier Selection,7 - Contracting,8 - Contract Execution,9 - Contract Closure"</formula1>
      <formula2>0</formula2>
    </dataValidation>
    <dataValidation type="list" allowBlank="1" sqref="D13:D72 E17:E18" xr:uid="{00000000-0002-0000-0600-000002000000}">
      <formula1>IF(C13="2 - Needs Identification",Needs,IF(C13="3 - Affordability Estimate",Affordability,""))</formula1>
      <formula2>0</formula2>
    </dataValidation>
  </dataValidations>
  <pageMargins left="0.75" right="0.75" top="1" bottom="1" header="0.511811023622047" footer="0.511811023622047"/>
  <pageSetup orientation="landscape" horizontalDpi="300" verticalDpi="300"/>
  <extLst>
    <ext xmlns:x14="http://schemas.microsoft.com/office/spreadsheetml/2009/9/main" uri="{78C0D931-6437-407d-A8EE-F0AAD7539E65}">
      <x14:conditionalFormattings>
        <x14:conditionalFormatting xmlns:xm="http://schemas.microsoft.com/office/excel/2006/main">
          <x14:cfRule type="cellIs" priority="2" operator="equal" id="{B2FB8D03-4C26-4DF8-BFB2-50B40205C789}">
            <xm:f>Sheet1!$F$5</xm:f>
            <x14:dxf>
              <fill>
                <patternFill>
                  <bgColor rgb="FFFFC000"/>
                </patternFill>
              </fill>
            </x14:dxf>
          </x14:cfRule>
          <x14:cfRule type="cellIs" priority="3" operator="equal" id="{C3B2917B-3206-47CB-BF40-E21B5B586278}">
            <xm:f>Sheet1!$F$4</xm:f>
            <x14:dxf>
              <fill>
                <patternFill>
                  <bgColor rgb="FFFF0000"/>
                </patternFill>
              </fill>
            </x14:dxf>
          </x14:cfRule>
          <x14:cfRule type="cellIs" priority="4" operator="equal" id="{FC0621C4-97EE-4227-9A02-D36810394DD0}">
            <xm:f>Sheet1!$F$2</xm:f>
            <x14:dxf>
              <fill>
                <patternFill>
                  <bgColor rgb="FF002060"/>
                </patternFill>
              </fill>
            </x14:dxf>
          </x14:cfRule>
          <x14:cfRule type="cellIs" priority="5" operator="equal" id="{E3DEB076-EE64-4D32-8366-768558D77A15}">
            <xm:f>Sheet1!$F$3</xm:f>
            <x14:dxf>
              <fill>
                <patternFill>
                  <bgColor rgb="FF008000"/>
                </patternFill>
              </fill>
            </x14:dxf>
          </x14:cfRule>
          <xm:sqref>G13:G72</xm:sqref>
        </x14:conditionalFormatting>
      </x14:conditionalFormattings>
    </ext>
    <ext xmlns:x14="http://schemas.microsoft.com/office/spreadsheetml/2009/9/main" uri="{CCE6A557-97BC-4b89-ADB6-D9C93CAAB3DF}">
      <x14:dataValidations xmlns:xm="http://schemas.microsoft.com/office/excel/2006/main" count="1">
        <x14:dataValidation type="list" allowBlank="1" xr:uid="{4E1E29A7-3084-4E2C-A965-1F4598E0DDC7}">
          <x14:formula1>
            <xm:f>Sheet1!$F$2:$F$5</xm:f>
          </x14:formula1>
          <xm:sqref>G13:G72</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tabColor rgb="FF008000"/>
  </sheetPr>
  <dimension ref="A1:G72"/>
  <sheetViews>
    <sheetView showGridLines="0" rightToLeft="1" zoomScale="55" zoomScaleNormal="100" workbookViewId="0">
      <selection activeCell="F23" sqref="F23"/>
    </sheetView>
  </sheetViews>
  <sheetFormatPr defaultColWidth="8.6328125" defaultRowHeight="14.5" x14ac:dyDescent="0.35"/>
  <cols>
    <col min="1" max="1" width="10.1796875" style="1" bestFit="1" customWidth="1"/>
    <col min="2" max="2" width="16" style="1" customWidth="1"/>
    <col min="3" max="3" width="30" style="1" customWidth="1"/>
    <col min="4" max="4" width="26" style="1" customWidth="1"/>
    <col min="5" max="6" width="50.6328125" style="1" customWidth="1"/>
    <col min="7" max="7" width="14" style="1" customWidth="1"/>
  </cols>
  <sheetData>
    <row r="1" spans="1:7" ht="31.5" customHeight="1" x14ac:dyDescent="0.35">
      <c r="A1" s="125" t="str">
        <f>IF(B4="","SMRO-03",B4)</f>
        <v>تقديم الخدمات الاستشارية الفنية للحصول على شهادات</v>
      </c>
      <c r="B1" s="115"/>
      <c r="C1" s="115"/>
      <c r="D1" s="116"/>
    </row>
    <row r="2" spans="1:7" ht="3" customHeight="1" x14ac:dyDescent="0.35">
      <c r="A2" s="19"/>
      <c r="B2" s="19"/>
      <c r="C2" s="19"/>
      <c r="D2" s="19"/>
    </row>
    <row r="3" spans="1:7" ht="21.75" customHeight="1" x14ac:dyDescent="0.35">
      <c r="A3" s="126" t="s">
        <v>4</v>
      </c>
      <c r="B3" s="115"/>
      <c r="C3" s="115"/>
      <c r="D3" s="116"/>
    </row>
    <row r="4" spans="1:7" ht="27.75" customHeight="1" x14ac:dyDescent="0.35">
      <c r="A4" s="13" t="s">
        <v>1</v>
      </c>
      <c r="B4" s="119" t="s">
        <v>70</v>
      </c>
      <c r="C4" s="115"/>
      <c r="D4" s="116"/>
    </row>
    <row r="5" spans="1:7" ht="24" customHeight="1" x14ac:dyDescent="0.35">
      <c r="A5" s="13" t="s">
        <v>3</v>
      </c>
      <c r="B5" s="9" t="s">
        <v>71</v>
      </c>
      <c r="C5" s="13" t="s">
        <v>2</v>
      </c>
      <c r="D5" s="14" t="s">
        <v>62</v>
      </c>
    </row>
    <row r="6" spans="1:7" ht="7.5" customHeight="1" x14ac:dyDescent="0.35"/>
    <row r="7" spans="1:7" ht="21.75" customHeight="1" x14ac:dyDescent="0.35">
      <c r="A7" s="126" t="s">
        <v>5</v>
      </c>
      <c r="B7" s="115"/>
      <c r="C7" s="115"/>
      <c r="D7" s="116"/>
      <c r="E7" s="28" t="s">
        <v>51</v>
      </c>
      <c r="F7" s="26"/>
    </row>
    <row r="8" spans="1:7" ht="24" customHeight="1" x14ac:dyDescent="0.35">
      <c r="A8" s="13" t="s">
        <v>21</v>
      </c>
      <c r="B8" s="117" t="str">
        <f>IFERROR(LOOKUP(2,1/(C13:C72&lt;&gt;""),C13:C72),"—")</f>
        <v>8 - Contract Execution</v>
      </c>
      <c r="C8" s="115"/>
      <c r="D8" s="116"/>
      <c r="E8" s="28" t="s">
        <v>52</v>
      </c>
      <c r="F8" s="26"/>
    </row>
    <row r="9" spans="1:7" ht="24" customHeight="1" x14ac:dyDescent="0.35">
      <c r="A9" s="13" t="s">
        <v>22</v>
      </c>
      <c r="B9" s="120">
        <f>IFERROR(LOOKUP(2,1/(B13:B72&lt;&gt;""),B13:B72),"—")</f>
        <v>46076</v>
      </c>
      <c r="C9" s="121"/>
      <c r="D9" s="122"/>
      <c r="E9" s="28" t="s">
        <v>51</v>
      </c>
      <c r="F9" s="26"/>
    </row>
    <row r="10" spans="1:7" ht="24" customHeight="1" x14ac:dyDescent="0.35">
      <c r="A10" s="13" t="s">
        <v>10</v>
      </c>
      <c r="B10" s="117">
        <f>IFERROR(INDEX(E13:E72,MATCH(MAX(B13:B72),B13:B72,0)),"—")</f>
        <v>0</v>
      </c>
      <c r="C10" s="115"/>
      <c r="D10" s="116"/>
      <c r="E10" s="28" t="s">
        <v>52</v>
      </c>
      <c r="F10" s="26"/>
    </row>
    <row r="11" spans="1:7" ht="27.75" customHeight="1" x14ac:dyDescent="0.35">
      <c r="A11" s="123" t="s">
        <v>20</v>
      </c>
      <c r="B11" s="124"/>
      <c r="C11" s="124"/>
      <c r="D11" s="124"/>
      <c r="E11" s="124"/>
      <c r="F11" s="124"/>
      <c r="G11" s="124"/>
    </row>
    <row r="12" spans="1:7" ht="30" customHeight="1" x14ac:dyDescent="0.35">
      <c r="A12" s="20" t="s">
        <v>6</v>
      </c>
      <c r="B12" s="20" t="s">
        <v>7</v>
      </c>
      <c r="C12" s="20" t="s">
        <v>8</v>
      </c>
      <c r="D12" s="20" t="s">
        <v>9</v>
      </c>
      <c r="E12" s="20" t="s">
        <v>10</v>
      </c>
      <c r="F12" s="20" t="s">
        <v>11</v>
      </c>
      <c r="G12" s="20" t="s">
        <v>5</v>
      </c>
    </row>
    <row r="13" spans="1:7" ht="36" customHeight="1" x14ac:dyDescent="0.35">
      <c r="A13" s="21">
        <v>1</v>
      </c>
      <c r="B13" s="65">
        <v>46076</v>
      </c>
      <c r="C13" s="61" t="s">
        <v>82</v>
      </c>
      <c r="D13" s="61"/>
      <c r="E13" s="69"/>
      <c r="F13" s="69" t="s">
        <v>105</v>
      </c>
      <c r="G13" s="14" t="s">
        <v>41</v>
      </c>
    </row>
    <row r="14" spans="1:7" ht="36" customHeight="1" x14ac:dyDescent="0.35">
      <c r="A14" s="21">
        <v>2</v>
      </c>
      <c r="B14" s="6"/>
      <c r="C14" s="18"/>
      <c r="D14" s="18"/>
      <c r="E14" s="4"/>
      <c r="F14" s="4"/>
      <c r="G14" s="14"/>
    </row>
    <row r="15" spans="1:7" ht="36" customHeight="1" x14ac:dyDescent="0.35">
      <c r="A15" s="21">
        <v>3</v>
      </c>
      <c r="B15" s="11"/>
      <c r="C15" s="17"/>
      <c r="D15" s="17"/>
      <c r="E15" s="8"/>
      <c r="F15" s="8"/>
      <c r="G15" s="14"/>
    </row>
    <row r="16" spans="1:7" ht="36" customHeight="1" x14ac:dyDescent="0.35">
      <c r="A16" s="21">
        <v>4</v>
      </c>
      <c r="B16" s="6"/>
      <c r="C16" s="18"/>
      <c r="D16" s="18"/>
      <c r="E16" s="4"/>
      <c r="F16" s="4"/>
      <c r="G16" s="14"/>
    </row>
    <row r="17" spans="1:7" ht="36" customHeight="1" x14ac:dyDescent="0.35">
      <c r="A17" s="21">
        <v>5</v>
      </c>
      <c r="B17" s="11"/>
      <c r="C17" s="17"/>
      <c r="D17" s="17"/>
      <c r="E17" s="8"/>
      <c r="F17" s="8"/>
      <c r="G17" s="14"/>
    </row>
    <row r="18" spans="1:7" ht="36" customHeight="1" x14ac:dyDescent="0.35">
      <c r="A18" s="21">
        <v>6</v>
      </c>
      <c r="B18" s="6"/>
      <c r="C18" s="18"/>
      <c r="D18" s="18"/>
      <c r="E18" s="4"/>
      <c r="F18" s="4"/>
      <c r="G18" s="14"/>
    </row>
    <row r="19" spans="1:7" ht="36" customHeight="1" x14ac:dyDescent="0.35">
      <c r="A19" s="21">
        <v>7</v>
      </c>
      <c r="B19" s="11"/>
      <c r="C19" s="17"/>
      <c r="D19" s="17"/>
      <c r="E19" s="8"/>
      <c r="F19" s="8"/>
      <c r="G19" s="14"/>
    </row>
    <row r="20" spans="1:7" ht="36" customHeight="1" x14ac:dyDescent="0.35">
      <c r="A20" s="21">
        <v>8</v>
      </c>
      <c r="B20" s="6"/>
      <c r="C20" s="18"/>
      <c r="D20" s="18"/>
      <c r="E20" s="4"/>
      <c r="F20" s="4"/>
      <c r="G20" s="14"/>
    </row>
    <row r="21" spans="1:7" ht="36" customHeight="1" x14ac:dyDescent="0.35">
      <c r="A21" s="21">
        <v>9</v>
      </c>
      <c r="B21" s="11"/>
      <c r="C21" s="17"/>
      <c r="D21" s="17"/>
      <c r="E21" s="8"/>
      <c r="F21" s="8"/>
      <c r="G21" s="14"/>
    </row>
    <row r="22" spans="1:7" ht="36" customHeight="1" x14ac:dyDescent="0.35">
      <c r="A22" s="21">
        <v>10</v>
      </c>
      <c r="B22" s="6"/>
      <c r="C22" s="18"/>
      <c r="D22" s="18"/>
      <c r="E22" s="4"/>
      <c r="F22" s="4"/>
      <c r="G22" s="14"/>
    </row>
    <row r="23" spans="1:7" ht="36" customHeight="1" x14ac:dyDescent="0.35">
      <c r="A23" s="21">
        <v>11</v>
      </c>
      <c r="B23" s="11"/>
      <c r="C23" s="17"/>
      <c r="D23" s="17"/>
      <c r="E23" s="8"/>
      <c r="F23" s="8"/>
      <c r="G23" s="14"/>
    </row>
    <row r="24" spans="1:7" ht="36" customHeight="1" x14ac:dyDescent="0.35">
      <c r="A24" s="21">
        <v>12</v>
      </c>
      <c r="B24" s="6"/>
      <c r="C24" s="18"/>
      <c r="D24" s="18"/>
      <c r="E24" s="4"/>
      <c r="F24" s="4"/>
      <c r="G24" s="14"/>
    </row>
    <row r="25" spans="1:7" ht="36" customHeight="1" x14ac:dyDescent="0.35">
      <c r="A25" s="21">
        <v>13</v>
      </c>
      <c r="B25" s="11"/>
      <c r="C25" s="17"/>
      <c r="D25" s="17"/>
      <c r="E25" s="8"/>
      <c r="F25" s="8"/>
      <c r="G25" s="14"/>
    </row>
    <row r="26" spans="1:7" ht="36" customHeight="1" x14ac:dyDescent="0.35">
      <c r="A26" s="21">
        <v>14</v>
      </c>
      <c r="B26" s="6"/>
      <c r="C26" s="18"/>
      <c r="D26" s="18"/>
      <c r="E26" s="4"/>
      <c r="F26" s="4"/>
      <c r="G26" s="14"/>
    </row>
    <row r="27" spans="1:7" ht="36" customHeight="1" x14ac:dyDescent="0.35">
      <c r="A27" s="21">
        <v>15</v>
      </c>
      <c r="B27" s="11"/>
      <c r="C27" s="17"/>
      <c r="D27" s="17"/>
      <c r="E27" s="8"/>
      <c r="F27" s="8"/>
      <c r="G27" s="14"/>
    </row>
    <row r="28" spans="1:7" ht="36" customHeight="1" x14ac:dyDescent="0.35">
      <c r="A28" s="21">
        <v>16</v>
      </c>
      <c r="B28" s="6"/>
      <c r="C28" s="18"/>
      <c r="D28" s="18"/>
      <c r="E28" s="4"/>
      <c r="F28" s="4"/>
      <c r="G28" s="14"/>
    </row>
    <row r="29" spans="1:7" ht="36" customHeight="1" x14ac:dyDescent="0.35">
      <c r="A29" s="21">
        <v>17</v>
      </c>
      <c r="B29" s="11"/>
      <c r="C29" s="17"/>
      <c r="D29" s="17"/>
      <c r="E29" s="8"/>
      <c r="F29" s="8"/>
      <c r="G29" s="14"/>
    </row>
    <row r="30" spans="1:7" ht="36" customHeight="1" x14ac:dyDescent="0.35">
      <c r="A30" s="21">
        <v>18</v>
      </c>
      <c r="B30" s="6"/>
      <c r="C30" s="18"/>
      <c r="D30" s="18"/>
      <c r="E30" s="4"/>
      <c r="F30" s="4"/>
      <c r="G30" s="14"/>
    </row>
    <row r="31" spans="1:7" ht="36" customHeight="1" x14ac:dyDescent="0.35">
      <c r="A31" s="21">
        <v>19</v>
      </c>
      <c r="B31" s="11"/>
      <c r="C31" s="17"/>
      <c r="D31" s="17"/>
      <c r="E31" s="8"/>
      <c r="F31" s="8"/>
      <c r="G31" s="14"/>
    </row>
    <row r="32" spans="1:7" ht="36" customHeight="1" x14ac:dyDescent="0.35">
      <c r="A32" s="21">
        <v>20</v>
      </c>
      <c r="B32" s="6"/>
      <c r="C32" s="18"/>
      <c r="D32" s="18"/>
      <c r="E32" s="4"/>
      <c r="F32" s="4"/>
      <c r="G32" s="14"/>
    </row>
    <row r="33" spans="1:7" ht="36" customHeight="1" x14ac:dyDescent="0.35">
      <c r="A33" s="21">
        <v>21</v>
      </c>
      <c r="B33" s="11"/>
      <c r="C33" s="17"/>
      <c r="D33" s="17"/>
      <c r="E33" s="8"/>
      <c r="F33" s="8"/>
      <c r="G33" s="14"/>
    </row>
    <row r="34" spans="1:7" ht="36" customHeight="1" x14ac:dyDescent="0.35">
      <c r="A34" s="21">
        <v>22</v>
      </c>
      <c r="B34" s="6"/>
      <c r="C34" s="18"/>
      <c r="D34" s="18"/>
      <c r="E34" s="4"/>
      <c r="F34" s="4"/>
      <c r="G34" s="14"/>
    </row>
    <row r="35" spans="1:7" ht="36" customHeight="1" x14ac:dyDescent="0.35">
      <c r="A35" s="21">
        <v>23</v>
      </c>
      <c r="B35" s="11"/>
      <c r="C35" s="17"/>
      <c r="D35" s="17"/>
      <c r="E35" s="8"/>
      <c r="F35" s="8"/>
      <c r="G35" s="14"/>
    </row>
    <row r="36" spans="1:7" ht="36" customHeight="1" x14ac:dyDescent="0.35">
      <c r="A36" s="21">
        <v>24</v>
      </c>
      <c r="B36" s="6"/>
      <c r="C36" s="18"/>
      <c r="D36" s="18"/>
      <c r="E36" s="4"/>
      <c r="F36" s="4"/>
      <c r="G36" s="14"/>
    </row>
    <row r="37" spans="1:7" ht="36" customHeight="1" x14ac:dyDescent="0.35">
      <c r="A37" s="21">
        <v>25</v>
      </c>
      <c r="B37" s="11"/>
      <c r="C37" s="17"/>
      <c r="D37" s="17"/>
      <c r="E37" s="8"/>
      <c r="F37" s="8"/>
      <c r="G37" s="14"/>
    </row>
    <row r="38" spans="1:7" ht="36" customHeight="1" x14ac:dyDescent="0.35">
      <c r="A38" s="21">
        <v>26</v>
      </c>
      <c r="B38" s="6"/>
      <c r="C38" s="18"/>
      <c r="D38" s="18"/>
      <c r="E38" s="4"/>
      <c r="F38" s="4"/>
      <c r="G38" s="14"/>
    </row>
    <row r="39" spans="1:7" ht="36" customHeight="1" x14ac:dyDescent="0.35">
      <c r="A39" s="21">
        <v>27</v>
      </c>
      <c r="B39" s="11"/>
      <c r="C39" s="17"/>
      <c r="D39" s="17"/>
      <c r="E39" s="8"/>
      <c r="F39" s="8"/>
      <c r="G39" s="14"/>
    </row>
    <row r="40" spans="1:7" ht="36" customHeight="1" x14ac:dyDescent="0.35">
      <c r="A40" s="21">
        <v>28</v>
      </c>
      <c r="B40" s="6"/>
      <c r="C40" s="18"/>
      <c r="D40" s="18"/>
      <c r="E40" s="4"/>
      <c r="F40" s="4"/>
      <c r="G40" s="14"/>
    </row>
    <row r="41" spans="1:7" ht="36" customHeight="1" x14ac:dyDescent="0.35">
      <c r="A41" s="21">
        <v>29</v>
      </c>
      <c r="B41" s="11"/>
      <c r="C41" s="17"/>
      <c r="D41" s="17"/>
      <c r="E41" s="8"/>
      <c r="F41" s="8"/>
      <c r="G41" s="14"/>
    </row>
    <row r="42" spans="1:7" ht="36" customHeight="1" x14ac:dyDescent="0.35">
      <c r="A42" s="21">
        <v>30</v>
      </c>
      <c r="B42" s="6"/>
      <c r="C42" s="18"/>
      <c r="D42" s="18"/>
      <c r="E42" s="4"/>
      <c r="F42" s="4"/>
      <c r="G42" s="14"/>
    </row>
    <row r="43" spans="1:7" ht="36" customHeight="1" x14ac:dyDescent="0.35">
      <c r="A43" s="21">
        <v>31</v>
      </c>
      <c r="B43" s="11"/>
      <c r="C43" s="17"/>
      <c r="D43" s="17"/>
      <c r="E43" s="8"/>
      <c r="F43" s="8"/>
      <c r="G43" s="14"/>
    </row>
    <row r="44" spans="1:7" ht="36" customHeight="1" x14ac:dyDescent="0.35">
      <c r="A44" s="21">
        <v>32</v>
      </c>
      <c r="B44" s="6"/>
      <c r="C44" s="18"/>
      <c r="D44" s="18"/>
      <c r="E44" s="4"/>
      <c r="F44" s="4"/>
      <c r="G44" s="14"/>
    </row>
    <row r="45" spans="1:7" ht="36" customHeight="1" x14ac:dyDescent="0.35">
      <c r="A45" s="21">
        <v>33</v>
      </c>
      <c r="B45" s="11"/>
      <c r="C45" s="17"/>
      <c r="D45" s="17"/>
      <c r="E45" s="8"/>
      <c r="F45" s="8"/>
      <c r="G45" s="14"/>
    </row>
    <row r="46" spans="1:7" ht="36" customHeight="1" x14ac:dyDescent="0.35">
      <c r="A46" s="21">
        <v>34</v>
      </c>
      <c r="B46" s="6"/>
      <c r="C46" s="18"/>
      <c r="D46" s="18"/>
      <c r="E46" s="4"/>
      <c r="F46" s="4"/>
      <c r="G46" s="14"/>
    </row>
    <row r="47" spans="1:7" ht="36" customHeight="1" x14ac:dyDescent="0.35">
      <c r="A47" s="21">
        <v>35</v>
      </c>
      <c r="B47" s="11"/>
      <c r="C47" s="17"/>
      <c r="D47" s="17"/>
      <c r="E47" s="8"/>
      <c r="F47" s="8"/>
      <c r="G47" s="14"/>
    </row>
    <row r="48" spans="1:7" ht="36" customHeight="1" x14ac:dyDescent="0.35">
      <c r="A48" s="21">
        <v>36</v>
      </c>
      <c r="B48" s="6"/>
      <c r="C48" s="18"/>
      <c r="D48" s="18"/>
      <c r="E48" s="4"/>
      <c r="F48" s="4"/>
      <c r="G48" s="14"/>
    </row>
    <row r="49" spans="1:7" ht="36" customHeight="1" x14ac:dyDescent="0.35">
      <c r="A49" s="21">
        <v>37</v>
      </c>
      <c r="B49" s="11"/>
      <c r="C49" s="17"/>
      <c r="D49" s="17"/>
      <c r="E49" s="8"/>
      <c r="F49" s="8"/>
      <c r="G49" s="14"/>
    </row>
    <row r="50" spans="1:7" ht="36" customHeight="1" x14ac:dyDescent="0.35">
      <c r="A50" s="21">
        <v>38</v>
      </c>
      <c r="B50" s="6"/>
      <c r="C50" s="18"/>
      <c r="D50" s="18"/>
      <c r="E50" s="4"/>
      <c r="F50" s="4"/>
      <c r="G50" s="14"/>
    </row>
    <row r="51" spans="1:7" ht="36" customHeight="1" x14ac:dyDescent="0.35">
      <c r="A51" s="21">
        <v>39</v>
      </c>
      <c r="B51" s="11"/>
      <c r="C51" s="17"/>
      <c r="D51" s="17"/>
      <c r="E51" s="8"/>
      <c r="F51" s="8"/>
      <c r="G51" s="14"/>
    </row>
    <row r="52" spans="1:7" ht="36" customHeight="1" x14ac:dyDescent="0.35">
      <c r="A52" s="21">
        <v>40</v>
      </c>
      <c r="B52" s="6"/>
      <c r="C52" s="18"/>
      <c r="D52" s="18"/>
      <c r="E52" s="4"/>
      <c r="F52" s="4"/>
      <c r="G52" s="14"/>
    </row>
    <row r="53" spans="1:7" ht="36" customHeight="1" x14ac:dyDescent="0.35">
      <c r="A53" s="21">
        <v>41</v>
      </c>
      <c r="B53" s="11"/>
      <c r="C53" s="17"/>
      <c r="D53" s="17"/>
      <c r="E53" s="8"/>
      <c r="F53" s="8"/>
      <c r="G53" s="14"/>
    </row>
    <row r="54" spans="1:7" ht="36" customHeight="1" x14ac:dyDescent="0.35">
      <c r="A54" s="21">
        <v>42</v>
      </c>
      <c r="B54" s="6"/>
      <c r="C54" s="18"/>
      <c r="D54" s="18"/>
      <c r="E54" s="4"/>
      <c r="F54" s="4"/>
      <c r="G54" s="14"/>
    </row>
    <row r="55" spans="1:7" ht="36" customHeight="1" x14ac:dyDescent="0.35">
      <c r="A55" s="21">
        <v>43</v>
      </c>
      <c r="B55" s="11"/>
      <c r="C55" s="17"/>
      <c r="D55" s="17"/>
      <c r="E55" s="8"/>
      <c r="F55" s="8"/>
      <c r="G55" s="14"/>
    </row>
    <row r="56" spans="1:7" ht="36" customHeight="1" x14ac:dyDescent="0.35">
      <c r="A56" s="21">
        <v>44</v>
      </c>
      <c r="B56" s="6"/>
      <c r="C56" s="18"/>
      <c r="D56" s="18"/>
      <c r="E56" s="4"/>
      <c r="F56" s="4"/>
      <c r="G56" s="14"/>
    </row>
    <row r="57" spans="1:7" ht="36" customHeight="1" x14ac:dyDescent="0.35">
      <c r="A57" s="21">
        <v>45</v>
      </c>
      <c r="B57" s="11"/>
      <c r="C57" s="17"/>
      <c r="D57" s="17"/>
      <c r="E57" s="8"/>
      <c r="F57" s="8"/>
      <c r="G57" s="14"/>
    </row>
    <row r="58" spans="1:7" ht="36" customHeight="1" x14ac:dyDescent="0.35">
      <c r="A58" s="21">
        <v>46</v>
      </c>
      <c r="B58" s="6"/>
      <c r="C58" s="18"/>
      <c r="D58" s="18"/>
      <c r="E58" s="4"/>
      <c r="F58" s="4"/>
      <c r="G58" s="14"/>
    </row>
    <row r="59" spans="1:7" ht="36" customHeight="1" x14ac:dyDescent="0.35">
      <c r="A59" s="21">
        <v>47</v>
      </c>
      <c r="B59" s="11"/>
      <c r="C59" s="17"/>
      <c r="D59" s="17"/>
      <c r="E59" s="8"/>
      <c r="F59" s="8"/>
      <c r="G59" s="14"/>
    </row>
    <row r="60" spans="1:7" ht="36" customHeight="1" x14ac:dyDescent="0.35">
      <c r="A60" s="21">
        <v>48</v>
      </c>
      <c r="B60" s="6"/>
      <c r="C60" s="18"/>
      <c r="D60" s="18"/>
      <c r="E60" s="4"/>
      <c r="F60" s="4"/>
      <c r="G60" s="14"/>
    </row>
    <row r="61" spans="1:7" ht="36" customHeight="1" x14ac:dyDescent="0.35">
      <c r="A61" s="21">
        <v>49</v>
      </c>
      <c r="B61" s="11"/>
      <c r="C61" s="17"/>
      <c r="D61" s="17"/>
      <c r="E61" s="8"/>
      <c r="F61" s="8"/>
      <c r="G61" s="14"/>
    </row>
    <row r="62" spans="1:7" ht="36" customHeight="1" x14ac:dyDescent="0.35">
      <c r="A62" s="21">
        <v>50</v>
      </c>
      <c r="B62" s="6"/>
      <c r="C62" s="18"/>
      <c r="D62" s="18"/>
      <c r="E62" s="4"/>
      <c r="F62" s="4"/>
      <c r="G62" s="14"/>
    </row>
    <row r="63" spans="1:7" ht="36" customHeight="1" x14ac:dyDescent="0.35">
      <c r="A63" s="21">
        <v>51</v>
      </c>
      <c r="B63" s="11"/>
      <c r="C63" s="17"/>
      <c r="D63" s="17"/>
      <c r="E63" s="8"/>
      <c r="F63" s="8"/>
      <c r="G63" s="14"/>
    </row>
    <row r="64" spans="1:7" ht="36" customHeight="1" x14ac:dyDescent="0.35">
      <c r="A64" s="21">
        <v>52</v>
      </c>
      <c r="B64" s="6"/>
      <c r="C64" s="18"/>
      <c r="D64" s="18"/>
      <c r="E64" s="4"/>
      <c r="F64" s="4"/>
      <c r="G64" s="14"/>
    </row>
    <row r="65" spans="1:7" ht="36" customHeight="1" x14ac:dyDescent="0.35">
      <c r="A65" s="21">
        <v>53</v>
      </c>
      <c r="B65" s="11"/>
      <c r="C65" s="17"/>
      <c r="D65" s="17"/>
      <c r="E65" s="8"/>
      <c r="F65" s="8"/>
      <c r="G65" s="14"/>
    </row>
    <row r="66" spans="1:7" ht="36" customHeight="1" x14ac:dyDescent="0.35">
      <c r="A66" s="21">
        <v>54</v>
      </c>
      <c r="B66" s="6"/>
      <c r="C66" s="18"/>
      <c r="D66" s="18"/>
      <c r="E66" s="4"/>
      <c r="F66" s="4"/>
      <c r="G66" s="14"/>
    </row>
    <row r="67" spans="1:7" ht="36" customHeight="1" x14ac:dyDescent="0.35">
      <c r="A67" s="21">
        <v>55</v>
      </c>
      <c r="B67" s="11"/>
      <c r="C67" s="17"/>
      <c r="D67" s="17"/>
      <c r="E67" s="8"/>
      <c r="F67" s="8"/>
      <c r="G67" s="14"/>
    </row>
    <row r="68" spans="1:7" ht="36" customHeight="1" x14ac:dyDescent="0.35">
      <c r="A68" s="21">
        <v>56</v>
      </c>
      <c r="B68" s="6"/>
      <c r="C68" s="18"/>
      <c r="D68" s="18"/>
      <c r="E68" s="4"/>
      <c r="F68" s="4"/>
      <c r="G68" s="14"/>
    </row>
    <row r="69" spans="1:7" ht="36" customHeight="1" x14ac:dyDescent="0.35">
      <c r="A69" s="21">
        <v>57</v>
      </c>
      <c r="B69" s="11"/>
      <c r="C69" s="17"/>
      <c r="D69" s="17"/>
      <c r="E69" s="8"/>
      <c r="F69" s="8"/>
      <c r="G69" s="14"/>
    </row>
    <row r="70" spans="1:7" ht="36" customHeight="1" x14ac:dyDescent="0.35">
      <c r="A70" s="21">
        <v>58</v>
      </c>
      <c r="B70" s="6"/>
      <c r="C70" s="18"/>
      <c r="D70" s="18"/>
      <c r="E70" s="4"/>
      <c r="F70" s="4"/>
      <c r="G70" s="14"/>
    </row>
    <row r="71" spans="1:7" ht="36" customHeight="1" x14ac:dyDescent="0.35">
      <c r="A71" s="21">
        <v>59</v>
      </c>
      <c r="B71" s="11"/>
      <c r="C71" s="17"/>
      <c r="D71" s="17"/>
      <c r="E71" s="8"/>
      <c r="F71" s="8"/>
      <c r="G71" s="14"/>
    </row>
    <row r="72" spans="1:7" ht="36" customHeight="1" x14ac:dyDescent="0.35">
      <c r="A72" s="21">
        <v>60</v>
      </c>
      <c r="B72" s="6"/>
      <c r="C72" s="18"/>
      <c r="D72" s="18"/>
      <c r="E72" s="4"/>
      <c r="F72" s="4"/>
      <c r="G72" s="14"/>
    </row>
  </sheetData>
  <mergeCells count="8">
    <mergeCell ref="A11:G11"/>
    <mergeCell ref="B10:D10"/>
    <mergeCell ref="A1:D1"/>
    <mergeCell ref="B8:D8"/>
    <mergeCell ref="A3:D3"/>
    <mergeCell ref="B4:D4"/>
    <mergeCell ref="B9:D9"/>
    <mergeCell ref="A7:D7"/>
  </mergeCells>
  <conditionalFormatting sqref="G13:G72">
    <cfRule type="containsText" dxfId="9" priority="1" operator="containsText" text="مكتمل">
      <formula>NOT(ISERROR(SEARCH("مكتمل",G13)))</formula>
    </cfRule>
  </conditionalFormatting>
  <dataValidations count="2">
    <dataValidation type="list" allowBlank="1" sqref="C13:C72" xr:uid="{00000000-0002-0000-0700-000000000000}">
      <formula1>"1 - Strategy &amp; Guidance,2 - Needs Identification,3 - Affordability Estimate,4 - Tender Pack Development,5 - Detailed Cost Estimate,6 - Supplier Selection,7 - Contracting,8 - Contract Execution,9 - Contract Closure"</formula1>
      <formula2>0</formula2>
    </dataValidation>
    <dataValidation type="list" allowBlank="1" sqref="D13:D72" xr:uid="{00000000-0002-0000-0700-000002000000}">
      <formula1>IF(C13="2 - Needs Identification",Needs,IF(C13="3 - Affordability Estimate",Affordability,""))</formula1>
      <formula2>0</formula2>
    </dataValidation>
  </dataValidations>
  <pageMargins left="0.75" right="0.75" top="1" bottom="1" header="0.511811023622047" footer="0.511811023622047"/>
  <pageSetup orientation="landscape" horizontalDpi="300" verticalDpi="300"/>
  <extLst>
    <ext xmlns:x14="http://schemas.microsoft.com/office/spreadsheetml/2009/9/main" uri="{78C0D931-6437-407d-A8EE-F0AAD7539E65}">
      <x14:conditionalFormattings>
        <x14:conditionalFormatting xmlns:xm="http://schemas.microsoft.com/office/excel/2006/main">
          <x14:cfRule type="cellIs" priority="2" operator="equal" id="{B0FE3F21-0539-448A-97F8-612A4DD63DC4}">
            <xm:f>Sheet1!$F$5</xm:f>
            <x14:dxf>
              <fill>
                <patternFill>
                  <bgColor rgb="FFFFC000"/>
                </patternFill>
              </fill>
            </x14:dxf>
          </x14:cfRule>
          <x14:cfRule type="cellIs" priority="3" operator="equal" id="{7C18B3D2-59E2-4E70-8CC4-1FB424186B80}">
            <xm:f>Sheet1!$F$4</xm:f>
            <x14:dxf>
              <fill>
                <patternFill>
                  <bgColor rgb="FFFF0000"/>
                </patternFill>
              </fill>
            </x14:dxf>
          </x14:cfRule>
          <x14:cfRule type="cellIs" priority="4" operator="equal" id="{323E1EDC-7432-4C80-9466-780D8C644DBD}">
            <xm:f>Sheet1!$F$2</xm:f>
            <x14:dxf>
              <fill>
                <patternFill>
                  <bgColor rgb="FF002060"/>
                </patternFill>
              </fill>
            </x14:dxf>
          </x14:cfRule>
          <x14:cfRule type="cellIs" priority="5" operator="equal" id="{5524DADB-BEFA-4F06-AE9A-B7805FDAACA6}">
            <xm:f>Sheet1!$F$3</xm:f>
            <x14:dxf>
              <fill>
                <patternFill>
                  <bgColor rgb="FF008000"/>
                </patternFill>
              </fill>
            </x14:dxf>
          </x14:cfRule>
          <xm:sqref>G13:G72</xm:sqref>
        </x14:conditionalFormatting>
      </x14:conditionalFormattings>
    </ext>
    <ext xmlns:x14="http://schemas.microsoft.com/office/spreadsheetml/2009/9/main" uri="{CCE6A557-97BC-4b89-ADB6-D9C93CAAB3DF}">
      <x14:dataValidations xmlns:xm="http://schemas.microsoft.com/office/excel/2006/main" count="1">
        <x14:dataValidation type="list" allowBlank="1" xr:uid="{0F60C150-24F1-43F5-AA55-0573E708FC0B}">
          <x14:formula1>
            <xm:f>Sheet1!$F$2:$F$5</xm:f>
          </x14:formula1>
          <xm:sqref>G13:G72</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E0872-4072-4428-AC96-6AEAEE1DA831}">
  <dimension ref="A1:C8"/>
  <sheetViews>
    <sheetView rightToLeft="1" workbookViewId="0">
      <selection activeCell="C2" sqref="C2:C8"/>
    </sheetView>
  </sheetViews>
  <sheetFormatPr defaultRowHeight="14.5" x14ac:dyDescent="0.35"/>
  <cols>
    <col min="2" max="2" width="43" customWidth="1"/>
    <col min="3" max="3" width="99.54296875" customWidth="1"/>
  </cols>
  <sheetData>
    <row r="1" spans="1:3" x14ac:dyDescent="0.35">
      <c r="A1" s="29" t="s">
        <v>0</v>
      </c>
      <c r="B1" s="29" t="s">
        <v>1</v>
      </c>
      <c r="C1" s="29" t="s">
        <v>49</v>
      </c>
    </row>
    <row r="2" spans="1:3" x14ac:dyDescent="0.35">
      <c r="A2" s="3" t="s">
        <v>53</v>
      </c>
      <c r="B2" s="96" t="s">
        <v>60</v>
      </c>
      <c r="C2" s="3"/>
    </row>
    <row r="3" spans="1:3" ht="29" x14ac:dyDescent="0.35">
      <c r="A3" s="3" t="s">
        <v>54</v>
      </c>
      <c r="B3" s="98" t="s">
        <v>63</v>
      </c>
      <c r="C3" s="7"/>
    </row>
    <row r="4" spans="1:3" x14ac:dyDescent="0.35">
      <c r="A4" s="3" t="s">
        <v>55</v>
      </c>
      <c r="B4" s="96" t="s">
        <v>64</v>
      </c>
      <c r="C4" s="3"/>
    </row>
    <row r="5" spans="1:3" ht="29" x14ac:dyDescent="0.35">
      <c r="A5" s="3" t="s">
        <v>56</v>
      </c>
      <c r="B5" s="98" t="s">
        <v>66</v>
      </c>
      <c r="C5" s="7"/>
    </row>
    <row r="6" spans="1:3" x14ac:dyDescent="0.35">
      <c r="A6" s="3" t="s">
        <v>57</v>
      </c>
      <c r="B6" s="96" t="s">
        <v>68</v>
      </c>
      <c r="C6" s="3"/>
    </row>
    <row r="7" spans="1:3" x14ac:dyDescent="0.35">
      <c r="A7" s="3" t="s">
        <v>58</v>
      </c>
      <c r="B7" s="98" t="s">
        <v>69</v>
      </c>
      <c r="C7" s="7"/>
    </row>
    <row r="8" spans="1:3" x14ac:dyDescent="0.35">
      <c r="A8" s="3" t="s">
        <v>59</v>
      </c>
      <c r="B8" s="96" t="s">
        <v>70</v>
      </c>
      <c r="C8" s="3"/>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B5"/>
  <sheetViews>
    <sheetView zoomScaleNormal="100" workbookViewId="0"/>
  </sheetViews>
  <sheetFormatPr defaultColWidth="8.6328125" defaultRowHeight="14.5" x14ac:dyDescent="0.35"/>
  <sheetData>
    <row r="1" spans="1:2" ht="15" customHeight="1" x14ac:dyDescent="0.35">
      <c r="A1" s="1" t="s">
        <v>12</v>
      </c>
      <c r="B1" s="1" t="s">
        <v>13</v>
      </c>
    </row>
    <row r="2" spans="1:2" ht="15" customHeight="1" x14ac:dyDescent="0.35">
      <c r="A2" s="1" t="s">
        <v>14</v>
      </c>
      <c r="B2" s="1" t="s">
        <v>15</v>
      </c>
    </row>
    <row r="3" spans="1:2" ht="15" customHeight="1" x14ac:dyDescent="0.35">
      <c r="A3" s="1" t="s">
        <v>16</v>
      </c>
      <c r="B3" s="1" t="s">
        <v>17</v>
      </c>
    </row>
    <row r="4" spans="1:2" ht="15" customHeight="1" x14ac:dyDescent="0.35">
      <c r="B4" s="1" t="s">
        <v>18</v>
      </c>
    </row>
    <row r="5" spans="1:2" ht="15" customHeight="1" x14ac:dyDescent="0.35">
      <c r="B5" s="1" t="s">
        <v>19</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11</vt:i4>
      </vt:variant>
    </vt:vector>
  </HeadingPairs>
  <TitlesOfParts>
    <vt:vector size="24" baseType="lpstr">
      <vt:lpstr>Overview</vt:lpstr>
      <vt:lpstr>ISSUES</vt:lpstr>
      <vt:lpstr>Project Log</vt:lpstr>
      <vt:lpstr>SS-01</vt:lpstr>
      <vt:lpstr>SS-02</vt:lpstr>
      <vt:lpstr>Sheet1</vt:lpstr>
      <vt:lpstr>SS-03</vt:lpstr>
      <vt:lpstr>SS-04</vt:lpstr>
      <vt:lpstr>SS-05</vt:lpstr>
      <vt:lpstr>SS-06</vt:lpstr>
      <vt:lpstr>SS-07</vt:lpstr>
      <vt:lpstr>MM</vt:lpstr>
      <vt:lpstr>_REF</vt:lpstr>
      <vt:lpstr>Affordability</vt:lpstr>
      <vt:lpstr>Needs</vt:lpstr>
      <vt:lpstr>ISSUES!Print_Titles</vt:lpstr>
      <vt:lpstr>'Project Log'!Print_Titles</vt:lpstr>
      <vt:lpstr>'SS-01'!Print_Titles</vt:lpstr>
      <vt:lpstr>'SS-02'!Print_Titles</vt:lpstr>
      <vt:lpstr>'SS-03'!Print_Titles</vt:lpstr>
      <vt:lpstr>'SS-04'!Print_Titles</vt:lpstr>
      <vt:lpstr>'SS-05'!Print_Titles</vt:lpstr>
      <vt:lpstr>'SS-06'!Print_Titles</vt:lpstr>
      <vt:lpstr>'SS-07'!Print_Titles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Anas A. Alamri</cp:lastModifiedBy>
  <cp:revision>0</cp:revision>
  <dcterms:created xsi:type="dcterms:W3CDTF">2026-04-13T09:44:24Z</dcterms:created>
  <dcterms:modified xsi:type="dcterms:W3CDTF">2026-06-22T07:10:46Z</dcterms:modified>
  <dc:language>en-US</dc:language>
</cp:coreProperties>
</file>