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aalamri\Desktop\Waves Tracker\"/>
    </mc:Choice>
  </mc:AlternateContent>
  <xr:revisionPtr revIDLastSave="0" documentId="13_ncr:1_{8F65A91E-9877-42FC-9B8D-8B8D4C2A5A26}" xr6:coauthVersionLast="36" xr6:coauthVersionMax="36" xr10:uidLastSave="{00000000-0000-0000-0000-000000000000}"/>
  <bookViews>
    <workbookView xWindow="0" yWindow="0" windowWidth="19160" windowHeight="7410" xr2:uid="{56E366EF-F290-4EAC-B47F-4484C28F430A}"/>
  </bookViews>
  <sheets>
    <sheet name="PP-Overview" sheetId="2" r:id="rId1"/>
    <sheet name="SMRO-Overview" sheetId="3" r:id="rId2"/>
    <sheet name="SS-Overview" sheetId="4" r:id="rId3"/>
    <sheet name="Management Tracker" sheetId="8" r:id="rId4"/>
  </sheets>
  <externalReferences>
    <externalReference r:id="rId5"/>
    <externalReference r:id="rId6"/>
    <externalReference r:id="rId7"/>
  </externalReferences>
  <definedNames>
    <definedName name="_xlnm._FilterDatabase" localSheetId="3" hidden="1">'Management Tracker'!$A$1:$F$6</definedName>
    <definedName name="Affordability" localSheetId="1">[1]_REF!$B$2:$B$5</definedName>
    <definedName name="Affordability" localSheetId="2">[2]_REF!$B$2:$B$5</definedName>
    <definedName name="Affordability">[3]_REF!$B$2:$B$5</definedName>
    <definedName name="Needs" localSheetId="1">[1]_REF!$A$2:$A$3</definedName>
    <definedName name="Needs" localSheetId="2">[2]_REF!$A$2:$A$3</definedName>
    <definedName name="Needs">[3]_REF!$A$2:$A$3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1" i="4" l="1"/>
  <c r="I10" i="4"/>
  <c r="I9" i="4"/>
  <c r="I8" i="4"/>
  <c r="I7" i="4"/>
  <c r="I6" i="4"/>
  <c r="I5" i="4"/>
  <c r="F11" i="4"/>
  <c r="F10" i="4"/>
  <c r="F9" i="4"/>
  <c r="F8" i="4"/>
  <c r="F7" i="4"/>
  <c r="F6" i="4"/>
  <c r="F5" i="4"/>
  <c r="I12" i="3" l="1"/>
  <c r="I11" i="3"/>
  <c r="I10" i="3"/>
  <c r="I9" i="3"/>
  <c r="I8" i="3"/>
  <c r="I7" i="3"/>
  <c r="I6" i="3"/>
  <c r="I5" i="3"/>
  <c r="F12" i="3"/>
  <c r="F11" i="3"/>
  <c r="F10" i="3"/>
  <c r="F9" i="3"/>
  <c r="F8" i="3"/>
  <c r="F7" i="3"/>
  <c r="F6" i="3"/>
  <c r="F5" i="3"/>
  <c r="I12" i="2" l="1"/>
  <c r="I11" i="2"/>
  <c r="I10" i="2"/>
  <c r="I9" i="2"/>
  <c r="I8" i="2"/>
  <c r="I7" i="2"/>
  <c r="I6" i="2"/>
  <c r="I5" i="2"/>
  <c r="F12" i="2"/>
  <c r="F11" i="2"/>
  <c r="F10" i="2"/>
  <c r="F9" i="2"/>
  <c r="F8" i="2"/>
  <c r="F7" i="2"/>
  <c r="F6" i="2"/>
  <c r="F5" i="2"/>
  <c r="H11" i="4" l="1"/>
  <c r="G11" i="4"/>
  <c r="E11" i="4"/>
  <c r="D11" i="4"/>
  <c r="B11" i="4"/>
  <c r="H10" i="4"/>
  <c r="G10" i="4"/>
  <c r="E10" i="4"/>
  <c r="D10" i="4"/>
  <c r="B10" i="4"/>
  <c r="H9" i="4"/>
  <c r="G9" i="4"/>
  <c r="E9" i="4"/>
  <c r="D9" i="4"/>
  <c r="B9" i="4"/>
  <c r="H8" i="4"/>
  <c r="G8" i="4"/>
  <c r="E8" i="4"/>
  <c r="D8" i="4"/>
  <c r="B8" i="4"/>
  <c r="H7" i="4"/>
  <c r="G7" i="4"/>
  <c r="E7" i="4"/>
  <c r="D7" i="4"/>
  <c r="B7" i="4"/>
  <c r="H6" i="4"/>
  <c r="G6" i="4"/>
  <c r="E6" i="4"/>
  <c r="D6" i="4"/>
  <c r="B6" i="4"/>
  <c r="H5" i="4"/>
  <c r="G5" i="4"/>
  <c r="E5" i="4"/>
  <c r="D5" i="4"/>
  <c r="B5" i="4"/>
  <c r="H12" i="3" l="1"/>
  <c r="G12" i="3"/>
  <c r="E12" i="3"/>
  <c r="D12" i="3"/>
  <c r="B12" i="3"/>
  <c r="H11" i="3"/>
  <c r="G11" i="3"/>
  <c r="E11" i="3"/>
  <c r="D11" i="3"/>
  <c r="B11" i="3"/>
  <c r="H10" i="3"/>
  <c r="G10" i="3"/>
  <c r="E10" i="3"/>
  <c r="D10" i="3"/>
  <c r="B10" i="3"/>
  <c r="H9" i="3"/>
  <c r="G9" i="3"/>
  <c r="E9" i="3"/>
  <c r="D9" i="3"/>
  <c r="B9" i="3"/>
  <c r="H8" i="3"/>
  <c r="G8" i="3"/>
  <c r="E8" i="3"/>
  <c r="D8" i="3"/>
  <c r="B8" i="3"/>
  <c r="H7" i="3"/>
  <c r="G7" i="3"/>
  <c r="E7" i="3"/>
  <c r="D7" i="3"/>
  <c r="B7" i="3"/>
  <c r="H6" i="3"/>
  <c r="G6" i="3"/>
  <c r="E6" i="3"/>
  <c r="D6" i="3"/>
  <c r="B6" i="3"/>
  <c r="H5" i="3"/>
  <c r="G5" i="3"/>
  <c r="E5" i="3"/>
  <c r="D5" i="3"/>
  <c r="B5" i="3"/>
  <c r="H12" i="2" l="1"/>
  <c r="G12" i="2"/>
  <c r="E12" i="2"/>
  <c r="D12" i="2"/>
  <c r="B12" i="2"/>
  <c r="H11" i="2"/>
  <c r="G11" i="2"/>
  <c r="E11" i="2"/>
  <c r="D11" i="2"/>
  <c r="B11" i="2"/>
  <c r="H10" i="2"/>
  <c r="G10" i="2"/>
  <c r="E10" i="2"/>
  <c r="D10" i="2"/>
  <c r="B10" i="2"/>
  <c r="H9" i="2"/>
  <c r="G9" i="2"/>
  <c r="E9" i="2"/>
  <c r="D9" i="2"/>
  <c r="B9" i="2"/>
  <c r="H8" i="2"/>
  <c r="G8" i="2"/>
  <c r="E8" i="2"/>
  <c r="D8" i="2"/>
  <c r="B8" i="2"/>
  <c r="H7" i="2"/>
  <c r="G7" i="2"/>
  <c r="E7" i="2"/>
  <c r="D7" i="2"/>
  <c r="B7" i="2"/>
  <c r="H6" i="2"/>
  <c r="G6" i="2"/>
  <c r="E6" i="2"/>
  <c r="D6" i="2"/>
  <c r="B6" i="2"/>
  <c r="H5" i="2"/>
  <c r="G5" i="2"/>
  <c r="E5" i="2"/>
  <c r="D5" i="2"/>
  <c r="B5" i="2"/>
</calcChain>
</file>

<file path=xl/sharedStrings.xml><?xml version="1.0" encoding="utf-8"?>
<sst xmlns="http://schemas.openxmlformats.org/spreadsheetml/2006/main" count="81" uniqueCount="56">
  <si>
    <t>متابعة مشاريع Waves</t>
  </si>
  <si>
    <t>رقم المشروع</t>
  </si>
  <si>
    <t>اسم المشروع</t>
  </si>
  <si>
    <t>الموجة</t>
  </si>
  <si>
    <t>المختص</t>
  </si>
  <si>
    <t>المرحلة الحالية</t>
  </si>
  <si>
    <t>التحديث</t>
  </si>
  <si>
    <t>الملاحظة</t>
  </si>
  <si>
    <t>PP-01</t>
  </si>
  <si>
    <t>PP-02</t>
  </si>
  <si>
    <t>PP-03</t>
  </si>
  <si>
    <t>PP-04</t>
  </si>
  <si>
    <t>PP-05</t>
  </si>
  <si>
    <t>PP-06</t>
  </si>
  <si>
    <t>PP-07</t>
  </si>
  <si>
    <t>PP-08</t>
  </si>
  <si>
    <t>SMRO-01</t>
  </si>
  <si>
    <t>SMRO-02</t>
  </si>
  <si>
    <t>SMRO-03</t>
  </si>
  <si>
    <t>SMRO-04</t>
  </si>
  <si>
    <t>SMRO-05</t>
  </si>
  <si>
    <t>SMRO-06</t>
  </si>
  <si>
    <t>SMRO-07</t>
  </si>
  <si>
    <t>SMRO-08</t>
  </si>
  <si>
    <t>SS-01</t>
  </si>
  <si>
    <t>SS-02</t>
  </si>
  <si>
    <t>SS-03</t>
  </si>
  <si>
    <t>SS-04</t>
  </si>
  <si>
    <t>SS-05</t>
  </si>
  <si>
    <t>SS-06</t>
  </si>
  <si>
    <t>SS-07</t>
  </si>
  <si>
    <t>#</t>
  </si>
  <si>
    <t>التاريخ</t>
  </si>
  <si>
    <t>الموضوع</t>
  </si>
  <si>
    <t>2026-05-05</t>
  </si>
  <si>
    <t>2026-04-22</t>
  </si>
  <si>
    <t>2026-04-21</t>
  </si>
  <si>
    <t>2026-03-31</t>
  </si>
  <si>
    <t>الإجراء المتخذ</t>
  </si>
  <si>
    <t>تاريخ الإنجاز</t>
  </si>
  <si>
    <t>الحالة</t>
  </si>
  <si>
    <t xml:space="preserve"> IM Policy</t>
  </si>
  <si>
    <t>غير مكتمل</t>
  </si>
  <si>
    <t>Executive Meeting</t>
  </si>
  <si>
    <t>مكتمل</t>
  </si>
  <si>
    <t>Report of Needs Identification</t>
  </si>
  <si>
    <t>Cross Functional Processes</t>
  </si>
  <si>
    <t>المخرجات</t>
  </si>
  <si>
    <t xml:space="preserve">• 31-3-2026: استلام نسخة IM Policy المحدّثة من Deloitte بعد اجتماع 31 مارس
• 31-3-2026: تم استلام نسخه محدثة من السياسات 
• 31-3-2026: ارسال ايميل طلب الملاحظات الى الإدارات الفرعية باسناد المشتريات 
•2026-4-26 استلام تعليقات سعيد الزهراني و مرام الحوتان
• 2026-4-28استلام تعليقات مجدل القحطاني 
• 2026-5-3:استلام تعليقات شروق الدرويش
• 2026-5-10: استلام تعليقات عبدالعزيز الربيعان 
• 2026-5-10: تم ارسال الملاحظات على السياسة الى / مي الحمدان </t>
  </si>
  <si>
    <t xml:space="preserve">• 2026-3-10 : تم استلام الإصدار الأول للتقرير 
• 2026-4-12 : تم ارسال الملاحظات على التقرير لادارة المشروع 
• 2026-4-22 : تم استلام الاصدار الثاني من التقرير بالاضافة الى ملاحظات الاستشاري على ردود الادارات العامة بالوكالة 
• 2026-5-9: تم ارسال الملاحظات على التقرير الى ادارة المشروع </t>
  </si>
  <si>
    <t xml:space="preserve">• 2026-3-31 : تم استلام CF Processes Execution Approach
•2026-4-16 : تم استلام ملاحظات إدارة خدمات المستفيدين 
•2026-4-21 : تم استلام ملاحظات التكاليف  
•2026-4-22 : استلام ملاحظات إدارة الأداء 
• 2026-4-22: تم ارسال الملاحظات الى إدارة المشروع 
</t>
  </si>
  <si>
    <t>Tender Pack Development Stage</t>
  </si>
  <si>
    <t>• استلام قوالب مرحلة تطوير حزمة المناقصة من ديلويت
• استلام جدول  Deep Dive Training
• تم توزيع القوالب على فرق Wave 1 للمراجعة وبانتظار أي ملاحظات عليها
•14-5-2026: تم التواصل مع م.سعيد الزهراني لتزويدنا بالملاحظات على الورشة التدريبية على مرحلة تطوير وثائق المنافسة</t>
  </si>
  <si>
    <t>Change in Processes</t>
  </si>
  <si>
    <t>• موافقة إدارة التكاليف على تبسيط الإجراءات بشرط الحد الأدنى من المدخلات</t>
  </si>
  <si>
    <t>• الاجتماع الأول (22 أبريل)
• استلام محضر الاجتماع الأول (5 مايو)
• 4-5-2026: اجتماع مناقشة تعديلات Processes وWBS مع Deloitte وإدارة التكاليف
• 10-5-2026: أفاد الاستشاري بأنه سيتم أخذ ملاحظات التكاليف بالحسبان وسيتم تزويدنا بملخص الاجتماع قريبا
• 17-5-2026: تم تزويدنا بملخص اجتماع (4 May).
• 16-6-2026: تم التواصل مع أ.مي الحمدان بخصوص عدم وجود أي رد من الاستشاري على ملاحظات إدارة التكاليف التي طرحت في الاجتماع ، كم تم تزويدها بأمثلة تدعم أهمية وجود هيكل الأعمال.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</si>
</sst>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 yyyy"/>
    <numFmt numFmtId="165" formatCode="[$-409]mmmm\ d\,\ yyyy;@"/>
  </numFmts>
  <fonts count="16" x14ac:knownFonts="1">
    <font>
      <sz val="11"/>
      <color theme="1"/>
      <name val="Calibri"/>
      <family val="2"/>
      <scheme val="minor"/>
    </font>
    <font>
      <sz val="11"/>
      <color theme="1"/>
      <name val="Calibri"/>
      <family val="2"/>
      <charset val="1"/>
    </font>
    <font>
      <b/>
      <sz val="14"/>
      <color rgb="FFFFFFFF"/>
      <name val="Calibri"/>
      <family val="2"/>
    </font>
    <font>
      <b/>
      <sz val="11"/>
      <color rgb="FFFFFFFF"/>
      <name val="Calibri"/>
    </font>
    <font>
      <b/>
      <sz val="11"/>
      <color rgb="FF4A5568"/>
      <name val="Calibri"/>
      <charset val="1"/>
    </font>
    <font>
      <sz val="11"/>
      <color rgb="FF1A202C"/>
      <name val="Calibri"/>
      <charset val="1"/>
    </font>
    <font>
      <b/>
      <sz val="10"/>
      <color rgb="FFFFFFFF"/>
      <name val="Calibri"/>
      <family val="2"/>
    </font>
    <font>
      <b/>
      <sz val="9"/>
      <color rgb="FF1A7F37"/>
      <name val="Calibri"/>
      <family val="2"/>
    </font>
    <font>
      <b/>
      <sz val="11"/>
      <color rgb="FF888888"/>
      <name val="Calibri"/>
      <family val="2"/>
    </font>
    <font>
      <b/>
      <sz val="11"/>
      <color rgb="FF000000"/>
      <name val="Calibri"/>
      <family val="2"/>
    </font>
    <font>
      <sz val="10"/>
      <color rgb="FF000000"/>
      <name val="Calibri"/>
      <family val="2"/>
    </font>
    <font>
      <sz val="9"/>
      <color rgb="FF333333"/>
      <name val="Calibri"/>
      <family val="2"/>
    </font>
    <font>
      <b/>
      <sz val="9"/>
      <color rgb="FFCF222E"/>
      <name val="Calibri"/>
      <family val="2"/>
    </font>
    <font>
      <sz val="11"/>
      <color rgb="FF1A202C"/>
      <name val="Calibri"/>
      <family val="2"/>
    </font>
    <font>
      <b/>
      <sz val="11"/>
      <color rgb="FFFFFFFF"/>
      <name val="Calibri"/>
      <family val="2"/>
    </font>
    <font>
      <sz val="11"/>
      <color theme="1"/>
      <name val="Calibri"/>
      <family val="2"/>
    </font>
  </fonts>
  <fills count="12">
    <fill>
      <patternFill patternType="none"/>
    </fill>
    <fill>
      <patternFill patternType="gray125"/>
    </fill>
    <fill>
      <patternFill patternType="solid">
        <fgColor theme="1" tint="0.14999847407452621"/>
        <bgColor rgb="FF374151"/>
      </patternFill>
    </fill>
    <fill>
      <patternFill patternType="solid">
        <fgColor theme="1" tint="0.14999847407452621"/>
        <bgColor indexed="64"/>
      </patternFill>
    </fill>
    <fill>
      <patternFill patternType="solid">
        <fgColor rgb="FF4A5568"/>
        <bgColor rgb="FF374151"/>
      </patternFill>
    </fill>
    <fill>
      <patternFill patternType="solid">
        <fgColor rgb="FFFAFAFA"/>
        <bgColor rgb="FFF7FAFC"/>
      </patternFill>
    </fill>
    <fill>
      <patternFill patternType="solid">
        <fgColor rgb="FFFFFFFF"/>
        <bgColor rgb="FFFAFAFA"/>
      </patternFill>
    </fill>
    <fill>
      <patternFill patternType="solid">
        <fgColor rgb="FF2E5090"/>
        <bgColor rgb="FF1F3864"/>
      </patternFill>
    </fill>
    <fill>
      <patternFill patternType="solid">
        <fgColor rgb="FFFFFFFF"/>
        <bgColor rgb="FFF5F8FA"/>
      </patternFill>
    </fill>
    <fill>
      <patternFill patternType="solid">
        <fgColor rgb="FFF5F8FA"/>
        <bgColor rgb="FFFFFFFF"/>
      </patternFill>
    </fill>
    <fill>
      <patternFill patternType="solid">
        <fgColor rgb="FFFFE8E8"/>
      </patternFill>
    </fill>
    <fill>
      <patternFill patternType="solid">
        <fgColor rgb="FFE8F5E9"/>
      </patternFill>
    </fill>
  </fills>
  <borders count="3">
    <border>
      <left/>
      <right/>
      <top/>
      <bottom/>
      <diagonal/>
    </border>
    <border>
      <left style="thin">
        <color rgb="FFE2E8F0"/>
      </left>
      <right style="thin">
        <color rgb="FFE2E8F0"/>
      </right>
      <top style="thin">
        <color rgb="FFE2E8F0"/>
      </top>
      <bottom style="thin">
        <color rgb="FFE2E8F0"/>
      </bottom>
      <diagonal/>
    </border>
    <border>
      <left style="thin">
        <color rgb="FFB0BEC5"/>
      </left>
      <right style="thin">
        <color rgb="FFB0BEC5"/>
      </right>
      <top style="thin">
        <color rgb="FFB0BEC5"/>
      </top>
      <bottom style="thin">
        <color rgb="FFB0BEC5"/>
      </bottom>
      <diagonal/>
    </border>
  </borders>
  <cellStyleXfs count="2">
    <xf numFmtId="0" fontId="0" fillId="0" borderId="0"/>
    <xf numFmtId="0" fontId="1" fillId="0" borderId="0"/>
  </cellStyleXfs>
  <cellXfs count="46">
    <xf numFmtId="0" fontId="0" fillId="0" borderId="0" xfId="0"/>
    <xf numFmtId="0" fontId="1" fillId="0" borderId="0" xfId="1" applyAlignment="1"/>
    <xf numFmtId="0" fontId="1" fillId="4" borderId="0" xfId="1" applyFill="1" applyAlignment="1"/>
    <xf numFmtId="0" fontId="3" fillId="2" borderId="1" xfId="1" applyFont="1" applyFill="1" applyBorder="1" applyAlignment="1">
      <alignment horizontal="center" vertical="center"/>
    </xf>
    <xf numFmtId="0" fontId="4" fillId="5" borderId="1" xfId="1" applyFont="1" applyFill="1" applyBorder="1" applyAlignment="1">
      <alignment horizontal="center" vertical="center"/>
    </xf>
    <xf numFmtId="0" fontId="5" fillId="5" borderId="1" xfId="1" applyFont="1" applyFill="1" applyBorder="1" applyAlignment="1">
      <alignment horizontal="right" vertical="center" wrapText="1"/>
    </xf>
    <xf numFmtId="0" fontId="5" fillId="5" borderId="1" xfId="1" applyFont="1" applyFill="1" applyBorder="1" applyAlignment="1">
      <alignment horizontal="right" vertical="center"/>
    </xf>
    <xf numFmtId="0" fontId="5" fillId="5" borderId="1" xfId="1" applyFont="1" applyFill="1" applyBorder="1" applyAlignment="1">
      <alignment horizontal="center" vertical="center"/>
    </xf>
    <xf numFmtId="164" fontId="5" fillId="5" borderId="1" xfId="1" applyNumberFormat="1" applyFont="1" applyFill="1" applyBorder="1" applyAlignment="1">
      <alignment horizontal="center" vertical="center"/>
    </xf>
    <xf numFmtId="0" fontId="4" fillId="6" borderId="1" xfId="1" applyFont="1" applyFill="1" applyBorder="1" applyAlignment="1">
      <alignment horizontal="center" vertical="center"/>
    </xf>
    <xf numFmtId="0" fontId="5" fillId="6" borderId="1" xfId="1" applyFont="1" applyFill="1" applyBorder="1" applyAlignment="1">
      <alignment horizontal="right" vertical="center" wrapText="1"/>
    </xf>
    <xf numFmtId="0" fontId="5" fillId="6" borderId="1" xfId="1" applyFont="1" applyFill="1" applyBorder="1" applyAlignment="1">
      <alignment horizontal="right" vertical="center"/>
    </xf>
    <xf numFmtId="0" fontId="5" fillId="6" borderId="1" xfId="1" applyFont="1" applyFill="1" applyBorder="1" applyAlignment="1">
      <alignment horizontal="center" vertical="center"/>
    </xf>
    <xf numFmtId="164" fontId="5" fillId="6" borderId="1" xfId="1" applyNumberFormat="1" applyFont="1" applyFill="1" applyBorder="1" applyAlignment="1">
      <alignment horizontal="center" vertical="center"/>
    </xf>
    <xf numFmtId="0" fontId="1" fillId="3" borderId="0" xfId="1" applyFill="1" applyAlignment="1"/>
    <xf numFmtId="0" fontId="6" fillId="7" borderId="2" xfId="1" applyFont="1" applyFill="1" applyBorder="1" applyAlignment="1">
      <alignment horizontal="center" vertical="center"/>
    </xf>
    <xf numFmtId="0" fontId="6" fillId="7" borderId="2" xfId="1" applyFont="1" applyFill="1" applyBorder="1" applyAlignment="1">
      <alignment horizontal="center" vertical="center" readingOrder="2"/>
    </xf>
    <xf numFmtId="0" fontId="8" fillId="8" borderId="2" xfId="1" applyFont="1" applyFill="1" applyBorder="1" applyAlignment="1">
      <alignment horizontal="center" vertical="center"/>
    </xf>
    <xf numFmtId="0" fontId="9" fillId="8" borderId="2" xfId="1" applyFont="1" applyFill="1" applyBorder="1" applyAlignment="1">
      <alignment horizontal="center" vertical="center" wrapText="1"/>
    </xf>
    <xf numFmtId="0" fontId="10" fillId="8" borderId="2" xfId="1" applyFont="1" applyFill="1" applyBorder="1" applyAlignment="1">
      <alignment horizontal="center" vertical="center"/>
    </xf>
    <xf numFmtId="0" fontId="11" fillId="8" borderId="2" xfId="1" applyFont="1" applyFill="1" applyBorder="1" applyAlignment="1">
      <alignment horizontal="right" vertical="top" wrapText="1" readingOrder="2"/>
    </xf>
    <xf numFmtId="0" fontId="12" fillId="10" borderId="2" xfId="1" applyFont="1" applyFill="1" applyBorder="1" applyAlignment="1">
      <alignment horizontal="center" vertical="center"/>
    </xf>
    <xf numFmtId="0" fontId="8" fillId="9" borderId="2" xfId="1" applyFont="1" applyFill="1" applyBorder="1" applyAlignment="1">
      <alignment horizontal="center" vertical="center"/>
    </xf>
    <xf numFmtId="0" fontId="9" fillId="9" borderId="2" xfId="1" applyFont="1" applyFill="1" applyBorder="1" applyAlignment="1">
      <alignment horizontal="center" vertical="center" wrapText="1"/>
    </xf>
    <xf numFmtId="0" fontId="10" fillId="9" borderId="2" xfId="1" applyFont="1" applyFill="1" applyBorder="1" applyAlignment="1">
      <alignment horizontal="center" vertical="center"/>
    </xf>
    <xf numFmtId="0" fontId="11" fillId="9" borderId="2" xfId="1" applyFont="1" applyFill="1" applyBorder="1" applyAlignment="1">
      <alignment horizontal="right" vertical="top" wrapText="1" readingOrder="2"/>
    </xf>
    <xf numFmtId="0" fontId="7" fillId="11" borderId="2" xfId="1" applyFont="1" applyFill="1" applyBorder="1" applyAlignment="1">
      <alignment horizontal="center" vertical="center"/>
    </xf>
    <xf numFmtId="0" fontId="1" fillId="0" borderId="0" xfId="1" applyAlignment="1">
      <alignment horizontal="center"/>
    </xf>
    <xf numFmtId="0" fontId="1" fillId="0" borderId="0" xfId="1" applyAlignment="1">
      <alignment readingOrder="2"/>
    </xf>
    <xf numFmtId="0" fontId="13" fillId="5" borderId="1" xfId="0" applyFont="1" applyFill="1" applyBorder="1" applyAlignment="1">
      <alignment horizontal="center" vertical="center"/>
    </xf>
    <xf numFmtId="0" fontId="14" fillId="2" borderId="0" xfId="1" applyFont="1" applyFill="1" applyBorder="1" applyAlignment="1">
      <alignment horizontal="center" vertical="center"/>
    </xf>
    <xf numFmtId="0" fontId="0" fillId="0" borderId="0" xfId="0" applyAlignment="1">
      <alignment horizontal="center" vertical="center"/>
    </xf>
    <xf numFmtId="0" fontId="14" fillId="2" borderId="1" xfId="1" applyFont="1" applyFill="1" applyBorder="1" applyAlignment="1">
      <alignment horizontal="center" vertical="center"/>
    </xf>
    <xf numFmtId="0" fontId="13" fillId="6" borderId="1" xfId="0" applyFont="1" applyFill="1" applyBorder="1" applyAlignment="1">
      <alignment horizontal="center" vertical="center"/>
    </xf>
    <xf numFmtId="0" fontId="15" fillId="0" borderId="0" xfId="0" applyFont="1" applyAlignment="1">
      <alignment horizontal="center" vertical="center"/>
    </xf>
    <xf numFmtId="0" fontId="1" fillId="4" borderId="0" xfId="1" applyFill="1" applyAlignment="1">
      <alignment horizontal="center"/>
    </xf>
    <xf numFmtId="0" fontId="5" fillId="5" borderId="1" xfId="1" applyFont="1" applyFill="1" applyBorder="1" applyAlignment="1">
      <alignment horizontal="center" vertical="center" wrapText="1"/>
    </xf>
    <xf numFmtId="0" fontId="5" fillId="6" borderId="1" xfId="1" applyFont="1" applyFill="1" applyBorder="1" applyAlignment="1">
      <alignment horizontal="center" vertical="center" wrapText="1"/>
    </xf>
    <xf numFmtId="0" fontId="1" fillId="4" borderId="0" xfId="1" applyFill="1" applyAlignment="1">
      <alignment wrapText="1"/>
    </xf>
    <xf numFmtId="0" fontId="1" fillId="0" borderId="0" xfId="1" applyAlignment="1">
      <alignment wrapText="1"/>
    </xf>
    <xf numFmtId="0" fontId="3" fillId="2" borderId="1" xfId="1" applyFont="1" applyFill="1" applyBorder="1" applyAlignment="1">
      <alignment horizontal="center" vertical="center" wrapText="1"/>
    </xf>
    <xf numFmtId="164" fontId="5" fillId="5" borderId="1" xfId="1" applyNumberFormat="1" applyFont="1" applyFill="1" applyBorder="1" applyAlignment="1">
      <alignment horizontal="center" vertical="center" wrapText="1"/>
    </xf>
    <xf numFmtId="164" fontId="5" fillId="6" borderId="1" xfId="1" applyNumberFormat="1" applyFont="1" applyFill="1" applyBorder="1" applyAlignment="1">
      <alignment horizontal="center" vertical="center" wrapText="1"/>
    </xf>
    <xf numFmtId="165" fontId="10" fillId="9" borderId="2" xfId="1" applyNumberFormat="1" applyFont="1" applyFill="1" applyBorder="1" applyAlignment="1">
      <alignment horizontal="center" vertical="center"/>
    </xf>
    <xf numFmtId="0" fontId="2" fillId="2" borderId="0" xfId="1" applyFont="1" applyFill="1" applyAlignment="1">
      <alignment horizontal="center" vertical="center"/>
    </xf>
    <xf numFmtId="0" fontId="1" fillId="3" borderId="0" xfId="1" applyFill="1" applyAlignment="1"/>
  </cellXfs>
  <cellStyles count="2">
    <cellStyle name="Normal" xfId="0" builtinId="0"/>
    <cellStyle name="Normal 2" xfId="1" xr:uid="{0F9D88B1-F0CB-4BEA-BD6D-54F1ED31C9C3}"/>
  </cellStyles>
  <dxfs count="18">
    <dxf>
      <font>
        <b/>
        <color rgb="FFCF222E"/>
        <name val="Arial"/>
      </font>
      <fill>
        <patternFill patternType="solid">
          <fgColor rgb="FFFFE8E8"/>
          <bgColor rgb="FFFFE8E8"/>
        </patternFill>
      </fill>
    </dxf>
    <dxf>
      <font>
        <b/>
        <color rgb="FF1A7F37"/>
        <name val="Arial"/>
      </font>
      <fill>
        <patternFill patternType="solid">
          <fgColor rgb="FFE8F5E9"/>
          <bgColor rgb="FFE8F5E9"/>
        </patternFill>
      </fill>
    </dxf>
    <dxf>
      <fill>
        <patternFill>
          <fgColor rgb="FF008000"/>
          <bgColor rgb="FF0070C0"/>
        </patternFill>
      </fill>
    </dxf>
    <dxf>
      <fill>
        <patternFill>
          <bgColor rgb="FF00B050"/>
        </patternFill>
      </fill>
    </dxf>
    <dxf>
      <fill>
        <patternFill>
          <bgColor rgb="FFFFC000"/>
        </patternFill>
      </fill>
    </dxf>
    <dxf>
      <fill>
        <patternFill>
          <bgColor rgb="FFFF0000"/>
        </patternFill>
      </fill>
    </dxf>
    <dxf>
      <fill>
        <patternFill>
          <fgColor rgb="FF008000"/>
          <bgColor rgb="FF0070C0"/>
        </patternFill>
      </fill>
    </dxf>
    <dxf>
      <fill>
        <patternFill>
          <bgColor rgb="FF00B050"/>
        </patternFill>
      </fill>
    </dxf>
    <dxf>
      <fill>
        <patternFill>
          <bgColor rgb="FFFFC000"/>
        </patternFill>
      </fill>
    </dxf>
    <dxf>
      <fill>
        <patternFill>
          <bgColor rgb="FFFF0000"/>
        </patternFill>
      </fill>
    </dxf>
    <dxf>
      <fill>
        <patternFill>
          <fgColor rgb="FF008000"/>
          <bgColor rgb="FF0070C0"/>
        </patternFill>
      </fill>
    </dxf>
    <dxf>
      <fill>
        <patternFill>
          <bgColor rgb="FF00B050"/>
        </patternFill>
      </fill>
    </dxf>
    <dxf>
      <fill>
        <patternFill>
          <bgColor rgb="FFFFC000"/>
        </patternFill>
      </fill>
    </dxf>
    <dxf>
      <fill>
        <patternFill>
          <bgColor rgb="FFFF0000"/>
        </patternFill>
      </fill>
    </dxf>
    <dxf>
      <fill>
        <patternFill>
          <fgColor rgb="FF008000"/>
          <bgColor rgb="FF0070C0"/>
        </patternFill>
      </fill>
    </dxf>
    <dxf>
      <fill>
        <patternFill>
          <bgColor rgb="FF00B05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ave%20Tracker%20V2%20-%20SMR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ave%20Tracker%20V2%20-%20S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ave%20Tracker%20V2%20-%20P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ISSUES"/>
      <sheetName val="Project Log"/>
      <sheetName val="SMRO-01"/>
      <sheetName val="SMRO-02"/>
      <sheetName val="Sheet1"/>
      <sheetName val="SMRO-03"/>
      <sheetName val="SMRO-04"/>
      <sheetName val="SMRO-05"/>
      <sheetName val="SMRO-06"/>
      <sheetName val="SMRO-07"/>
      <sheetName val="SMRO-08"/>
      <sheetName val="MM"/>
      <sheetName val="_REF"/>
    </sheetNames>
    <sheetDataSet>
      <sheetData sheetId="0"/>
      <sheetData sheetId="1"/>
      <sheetData sheetId="2"/>
      <sheetData sheetId="3">
        <row r="4">
          <cell r="B4" t="str">
            <v>توريد قطع غيار لـ 8 مركبات عسكرية</v>
          </cell>
        </row>
        <row r="5">
          <cell r="B5" t="str">
            <v>عبدالمجيد ال عمامة</v>
          </cell>
        </row>
        <row r="13">
          <cell r="C13" t="str">
            <v>3 - Affordability Estimate</v>
          </cell>
          <cell r="D13" t="str">
            <v>Detailed LCCE</v>
          </cell>
          <cell r="E13" t="str">
            <v xml:space="preserve"> تم مناقشة مرحلة indpendent LCCE وانها سوف تطبق على غير مشاريع SMRO  ولا نزال بانتضار بعض التفاصيل لبعض قطع الغيار من PM </v>
          </cell>
          <cell r="F13" t="str">
            <v xml:space="preserve">بانتظار رد مدير المشروع لبعض التفاصيل المطلوبة لقطع الغيار من الجهه المستفيدة </v>
          </cell>
          <cell r="G13" t="str">
            <v>على المسار</v>
          </cell>
        </row>
        <row r="14">
          <cell r="C14" t="str">
            <v>3 - Affordability Estimate</v>
          </cell>
          <cell r="D14" t="str">
            <v>Independent LCCE</v>
          </cell>
          <cell r="E14" t="str">
            <v xml:space="preserve">تم مناقشة مدير المشروع على بعض قطع الغيار الغير مسعرة وأوضح لنا انه تم استلام قائمة من الجه المستفيدة وتم الاطلاع عليها ولكن كانت الأسعار غير حقيقية </v>
          </cell>
          <cell r="F14" t="str">
            <v>جاري أخذ الموافقة على تعبئة نموذج (TCO)</v>
          </cell>
          <cell r="G14" t="str">
            <v>على المسار</v>
          </cell>
        </row>
        <row r="15">
          <cell r="C15" t="str">
            <v>3 - Affordability Estimate</v>
          </cell>
          <cell r="D15" t="str">
            <v>TCO</v>
          </cell>
          <cell r="E15" t="str">
            <v>جاري العمل  العمل على تعبئة نموذج (TCO)</v>
          </cell>
          <cell r="F15" t="str">
            <v xml:space="preserve">لايوجد أي ملاحظات </v>
          </cell>
          <cell r="G15" t="str">
            <v>على المسار</v>
          </cell>
        </row>
        <row r="16">
          <cell r="C16" t="str">
            <v>3 - Affordability Estimate</v>
          </cell>
          <cell r="D16" t="str">
            <v>TCO</v>
          </cell>
          <cell r="E16" t="str">
            <v>مراجعة الاجراء قبل البدء في تعبئة نموذج (TCO)</v>
          </cell>
          <cell r="F16" t="str">
            <v>يتم مراجعة الاجراء مع الفريق التنفيذي في هذه المرحلة  حيث ان فريق ديلويت ذكر بأن مرحلة Affordability Analysis تأتي بعد تعبئة TCO .
عدم وضوح متطلبات الـ TCO بسبب القيام  بجميع أعمال الاجراء من قبل فريق الستلايت مع أن الفريق المعني بهذه الاجراءات هو فريق السنترل. 
مدراء المشاريع يطالبون بتسليم نوذج TCO علما انه لم يتم تزويدنا ببيانات لمدخلات الـTCO.</v>
          </cell>
          <cell r="G16" t="str">
            <v>على المسار</v>
          </cell>
        </row>
        <row r="17">
          <cell r="C17" t="str">
            <v>3 - Affordability Estimate</v>
          </cell>
          <cell r="D17" t="str">
            <v>TCO</v>
          </cell>
          <cell r="E17" t="str">
            <v xml:space="preserve">تم ارسال بريد الكتروني بطلب  مدخلات TCO من مدير المشروع </v>
          </cell>
          <cell r="F17" t="str">
            <v>بانتظار مدخلات الـ TCO</v>
          </cell>
          <cell r="G17" t="str">
            <v>على المسار</v>
          </cell>
        </row>
        <row r="18">
          <cell r="C18" t="str">
            <v>3 - Affordability Estimate</v>
          </cell>
          <cell r="D18" t="str">
            <v>TCO</v>
          </cell>
          <cell r="E18" t="str">
            <v xml:space="preserve">تم ارسال بريد مرفق به ملف TCO  يتضمن  (M) فقط </v>
          </cell>
          <cell r="F18" t="str">
            <v>تم اشعارنا بعدم وجود مدخلات  للبيانات (D.O.L.T.P.F )</v>
          </cell>
          <cell r="G18" t="str">
            <v>على المسار</v>
          </cell>
        </row>
        <row r="19">
          <cell r="C19" t="str">
            <v>4 - Tender Pack Development</v>
          </cell>
          <cell r="D19"/>
          <cell r="E19" t="str">
            <v xml:space="preserve">لايوجد أي جراء في المرحلة الحالية على إدارة التكاليف </v>
          </cell>
          <cell r="F19"/>
          <cell r="G19" t="str">
            <v>على المسار</v>
          </cell>
        </row>
        <row r="20">
          <cell r="C20" t="str">
            <v>4 - Tender Pack Development</v>
          </cell>
          <cell r="D20"/>
          <cell r="E20" t="str">
            <v xml:space="preserve">لايوجد أي جراء في المرحلة الحالية على إدارة التكاليف </v>
          </cell>
          <cell r="F20"/>
          <cell r="G20" t="str">
            <v>على المسار</v>
          </cell>
        </row>
        <row r="21">
          <cell r="C21"/>
          <cell r="D21"/>
          <cell r="E21"/>
          <cell r="F21"/>
          <cell r="G21"/>
        </row>
        <row r="22">
          <cell r="C22"/>
          <cell r="D22"/>
          <cell r="E22"/>
          <cell r="F22"/>
          <cell r="G22"/>
        </row>
        <row r="23">
          <cell r="C23"/>
          <cell r="D23"/>
          <cell r="E23"/>
          <cell r="F23"/>
          <cell r="G23"/>
        </row>
        <row r="24">
          <cell r="C24"/>
          <cell r="D24"/>
          <cell r="E24"/>
          <cell r="F24"/>
          <cell r="G24"/>
        </row>
        <row r="25">
          <cell r="C25"/>
          <cell r="D25"/>
          <cell r="E25"/>
          <cell r="F25"/>
          <cell r="G25"/>
        </row>
        <row r="26">
          <cell r="C26"/>
          <cell r="D26"/>
          <cell r="E26"/>
          <cell r="F26"/>
          <cell r="G26"/>
        </row>
        <row r="27">
          <cell r="C27"/>
          <cell r="D27"/>
          <cell r="E27"/>
          <cell r="F27"/>
          <cell r="G27"/>
        </row>
        <row r="28">
          <cell r="C28"/>
          <cell r="D28"/>
          <cell r="E28"/>
          <cell r="F28"/>
          <cell r="G28"/>
        </row>
        <row r="29">
          <cell r="C29"/>
          <cell r="D29"/>
          <cell r="E29"/>
          <cell r="F29"/>
          <cell r="G29"/>
        </row>
        <row r="30">
          <cell r="C30"/>
          <cell r="D30"/>
          <cell r="E30"/>
          <cell r="F30"/>
          <cell r="G30"/>
        </row>
        <row r="31">
          <cell r="C31"/>
          <cell r="D31"/>
          <cell r="E31"/>
          <cell r="F31"/>
          <cell r="G31"/>
        </row>
        <row r="32">
          <cell r="C32"/>
          <cell r="D32"/>
          <cell r="E32"/>
          <cell r="F32"/>
          <cell r="G32"/>
        </row>
        <row r="33">
          <cell r="C33"/>
          <cell r="D33"/>
          <cell r="E33"/>
          <cell r="F33"/>
          <cell r="G33"/>
        </row>
        <row r="34">
          <cell r="C34"/>
          <cell r="D34"/>
          <cell r="E34"/>
          <cell r="F34"/>
          <cell r="G34"/>
        </row>
        <row r="35">
          <cell r="C35"/>
          <cell r="D35"/>
          <cell r="E35"/>
          <cell r="F35"/>
          <cell r="G35"/>
        </row>
        <row r="36">
          <cell r="C36"/>
          <cell r="D36"/>
          <cell r="E36"/>
          <cell r="F36"/>
          <cell r="G36"/>
        </row>
        <row r="37">
          <cell r="C37"/>
          <cell r="D37"/>
          <cell r="E37"/>
          <cell r="F37"/>
          <cell r="G37"/>
        </row>
        <row r="38">
          <cell r="C38"/>
          <cell r="D38"/>
          <cell r="E38"/>
          <cell r="F38"/>
          <cell r="G38"/>
        </row>
        <row r="39">
          <cell r="C39"/>
          <cell r="D39"/>
          <cell r="E39"/>
          <cell r="F39"/>
          <cell r="G39"/>
        </row>
        <row r="40">
          <cell r="C40"/>
          <cell r="D40"/>
          <cell r="E40"/>
          <cell r="F40"/>
          <cell r="G40"/>
        </row>
        <row r="41">
          <cell r="C41"/>
          <cell r="D41"/>
          <cell r="E41"/>
          <cell r="F41"/>
          <cell r="G41"/>
        </row>
        <row r="42">
          <cell r="C42"/>
          <cell r="D42"/>
          <cell r="E42"/>
          <cell r="F42"/>
          <cell r="G42"/>
        </row>
        <row r="43">
          <cell r="C43"/>
          <cell r="D43"/>
          <cell r="E43"/>
          <cell r="F43"/>
          <cell r="G43"/>
        </row>
        <row r="44">
          <cell r="C44"/>
          <cell r="D44"/>
          <cell r="E44"/>
          <cell r="F44"/>
          <cell r="G44"/>
        </row>
        <row r="45">
          <cell r="C45"/>
          <cell r="D45"/>
          <cell r="E45"/>
          <cell r="F45"/>
          <cell r="G45"/>
        </row>
        <row r="46">
          <cell r="C46"/>
          <cell r="D46"/>
          <cell r="E46"/>
          <cell r="F46"/>
          <cell r="G46"/>
        </row>
        <row r="47">
          <cell r="C47"/>
          <cell r="D47"/>
          <cell r="E47"/>
          <cell r="F47"/>
          <cell r="G47"/>
        </row>
        <row r="48">
          <cell r="C48"/>
          <cell r="D48"/>
          <cell r="E48"/>
          <cell r="F48"/>
          <cell r="G48"/>
        </row>
        <row r="49">
          <cell r="C49"/>
          <cell r="D49"/>
          <cell r="E49"/>
          <cell r="F49"/>
          <cell r="G49"/>
        </row>
        <row r="50">
          <cell r="C50"/>
          <cell r="D50"/>
          <cell r="E50"/>
          <cell r="F50"/>
          <cell r="G50"/>
        </row>
        <row r="51">
          <cell r="C51"/>
          <cell r="D51"/>
          <cell r="E51"/>
          <cell r="F51"/>
          <cell r="G51"/>
        </row>
        <row r="52">
          <cell r="C52"/>
          <cell r="D52"/>
          <cell r="E52"/>
          <cell r="F52"/>
          <cell r="G52"/>
        </row>
        <row r="53">
          <cell r="C53"/>
          <cell r="D53"/>
          <cell r="E53"/>
          <cell r="F53"/>
          <cell r="G53"/>
        </row>
        <row r="54">
          <cell r="C54"/>
          <cell r="D54"/>
          <cell r="E54"/>
          <cell r="F54"/>
          <cell r="G54"/>
        </row>
        <row r="55">
          <cell r="C55"/>
          <cell r="D55"/>
          <cell r="E55"/>
          <cell r="F55"/>
          <cell r="G55"/>
        </row>
        <row r="56">
          <cell r="C56"/>
          <cell r="D56"/>
          <cell r="E56"/>
          <cell r="F56"/>
          <cell r="G56"/>
        </row>
        <row r="57">
          <cell r="C57"/>
          <cell r="D57"/>
          <cell r="E57"/>
          <cell r="F57"/>
          <cell r="G57"/>
        </row>
        <row r="58">
          <cell r="C58"/>
          <cell r="D58"/>
          <cell r="E58"/>
          <cell r="F58"/>
          <cell r="G58"/>
        </row>
        <row r="59">
          <cell r="C59"/>
          <cell r="D59"/>
          <cell r="E59"/>
          <cell r="F59"/>
          <cell r="G59"/>
        </row>
        <row r="60">
          <cell r="C60"/>
          <cell r="D60"/>
          <cell r="E60"/>
          <cell r="F60"/>
          <cell r="G60"/>
        </row>
        <row r="61">
          <cell r="C61"/>
          <cell r="D61"/>
          <cell r="E61"/>
          <cell r="F61"/>
          <cell r="G61"/>
        </row>
        <row r="62">
          <cell r="C62"/>
          <cell r="D62"/>
          <cell r="E62"/>
          <cell r="F62"/>
          <cell r="G62"/>
        </row>
        <row r="63">
          <cell r="C63"/>
          <cell r="D63"/>
          <cell r="E63"/>
          <cell r="F63"/>
          <cell r="G63"/>
        </row>
        <row r="64">
          <cell r="C64"/>
          <cell r="D64"/>
          <cell r="E64"/>
          <cell r="F64"/>
          <cell r="G64"/>
        </row>
        <row r="65">
          <cell r="C65"/>
          <cell r="D65"/>
          <cell r="E65"/>
          <cell r="F65"/>
          <cell r="G65"/>
        </row>
        <row r="66">
          <cell r="C66"/>
          <cell r="D66"/>
          <cell r="E66"/>
          <cell r="F66"/>
          <cell r="G66"/>
        </row>
        <row r="67">
          <cell r="C67"/>
          <cell r="D67"/>
          <cell r="E67"/>
          <cell r="F67"/>
          <cell r="G67"/>
        </row>
        <row r="68">
          <cell r="C68"/>
          <cell r="D68"/>
          <cell r="E68"/>
          <cell r="F68"/>
          <cell r="G68"/>
        </row>
        <row r="69">
          <cell r="C69"/>
          <cell r="D69"/>
          <cell r="E69"/>
          <cell r="F69"/>
          <cell r="G69"/>
        </row>
        <row r="70">
          <cell r="C70"/>
          <cell r="D70"/>
          <cell r="E70"/>
          <cell r="F70"/>
          <cell r="G70"/>
        </row>
        <row r="71">
          <cell r="C71"/>
          <cell r="D71"/>
          <cell r="E71"/>
          <cell r="F71"/>
          <cell r="G71"/>
        </row>
        <row r="72">
          <cell r="C72"/>
          <cell r="D72"/>
          <cell r="E72"/>
          <cell r="F72"/>
          <cell r="G72"/>
        </row>
      </sheetData>
      <sheetData sheetId="4">
        <row r="4">
          <cell r="B4" t="str">
            <v>عقد إصلاح شامل لطائرات C/D/S F-15</v>
          </cell>
        </row>
        <row r="5">
          <cell r="B5" t="str">
            <v>فهد الحبشان</v>
          </cell>
        </row>
        <row r="13">
          <cell r="C13" t="str">
            <v>3 - Affordability Estimate</v>
          </cell>
          <cell r="D13" t="str">
            <v>Detailed LCCE</v>
          </cell>
          <cell r="E13" t="str">
            <v>بانتظار البيانات التفصيلية من مدير المشروع</v>
          </cell>
          <cell r="F13" t="str">
            <v>تم استلام المشروع بشكل رسمي بدلا عن المختص أنس شرفي وتم حضور الاجتماع Check-out</v>
          </cell>
          <cell r="G13" t="str">
            <v xml:space="preserve">متأخر </v>
          </cell>
        </row>
        <row r="14">
          <cell r="C14" t="str">
            <v>3 - Affordability Estimate</v>
          </cell>
          <cell r="D14" t="str">
            <v>Detailed LCCE</v>
          </cell>
          <cell r="E14" t="str">
            <v>بانتظار البيانات التفصيلية من مدير المشروع</v>
          </cell>
          <cell r="F14" t="str">
            <v>بحسب افادة مدير المشروع لم يتمكن من الحصول على عدد الساعات الفعلي للعمرة وتم طلب رأي خبير كأقل تقدير يمكن استخدامه</v>
          </cell>
          <cell r="G14" t="str">
            <v xml:space="preserve">متأخر </v>
          </cell>
        </row>
        <row r="15">
          <cell r="C15" t="str">
            <v>3 - Affordability Estimate</v>
          </cell>
          <cell r="D15" t="str">
            <v>Detailed LCCE</v>
          </cell>
          <cell r="E15" t="str">
            <v>بانتظار البيانات التفصيلية من مدير المشروع</v>
          </cell>
          <cell r="F15" t="str">
            <v>تم طلب المعلومات الناقصة ليتمكن فريق التكاليف من اصدار LCCE
تاريخ خروج ال18 طائرة من الخدمة
عقود الاستدامة المتوقعة لكل الطائرات حتى نهاية خدمتها
عقود الدعم الفني للطائرات حتى نهاية خدمتها
خطة التخلص او الازالة للطائرات و التكاليف المترتبة عليها</v>
          </cell>
          <cell r="G15" t="str">
            <v xml:space="preserve">متأخر </v>
          </cell>
        </row>
        <row r="16">
          <cell r="C16" t="str">
            <v>3 - Affordability Estimate</v>
          </cell>
          <cell r="D16" t="str">
            <v>Detailed LCCE</v>
          </cell>
          <cell r="E16" t="str">
            <v>جاري العمل على تقرير تكلفة العقد</v>
          </cell>
          <cell r="F16" t="str">
            <v>تم إبلاغنا بان التفاصيل المطلوبة للعمل على LCCE غير متوفرة وبناء على الاتفاق مع الفريق التنفيذي سيتم إصدار تقرير تكلفة العقد فقط وليس LCCE</v>
          </cell>
          <cell r="G16" t="str">
            <v xml:space="preserve">متأخر </v>
          </cell>
        </row>
        <row r="17">
          <cell r="C17"/>
          <cell r="D17"/>
          <cell r="E17"/>
          <cell r="F17"/>
          <cell r="G17"/>
        </row>
        <row r="18">
          <cell r="C18"/>
          <cell r="D18"/>
          <cell r="E18"/>
          <cell r="F18"/>
          <cell r="G18"/>
        </row>
        <row r="19">
          <cell r="C19"/>
          <cell r="D19"/>
          <cell r="E19"/>
          <cell r="F19"/>
          <cell r="G19"/>
        </row>
        <row r="20">
          <cell r="C20"/>
          <cell r="D20"/>
          <cell r="E20"/>
          <cell r="F20"/>
          <cell r="G20"/>
        </row>
        <row r="21">
          <cell r="C21"/>
          <cell r="D21"/>
          <cell r="E21"/>
          <cell r="F21"/>
          <cell r="G21"/>
        </row>
        <row r="22">
          <cell r="C22"/>
          <cell r="D22"/>
          <cell r="E22"/>
          <cell r="F22"/>
          <cell r="G22"/>
        </row>
        <row r="23">
          <cell r="C23"/>
          <cell r="D23"/>
          <cell r="E23"/>
          <cell r="F23"/>
          <cell r="G23"/>
        </row>
        <row r="24">
          <cell r="C24"/>
          <cell r="D24"/>
          <cell r="E24"/>
          <cell r="F24"/>
          <cell r="G24"/>
        </row>
        <row r="25">
          <cell r="C25"/>
          <cell r="D25"/>
          <cell r="E25"/>
          <cell r="F25"/>
          <cell r="G25"/>
        </row>
        <row r="26">
          <cell r="C26"/>
          <cell r="D26"/>
          <cell r="E26"/>
          <cell r="F26"/>
          <cell r="G26"/>
        </row>
        <row r="27">
          <cell r="C27"/>
          <cell r="D27"/>
          <cell r="E27"/>
          <cell r="F27"/>
          <cell r="G27"/>
        </row>
        <row r="28">
          <cell r="C28"/>
          <cell r="D28"/>
          <cell r="E28"/>
          <cell r="F28"/>
          <cell r="G28"/>
        </row>
        <row r="29">
          <cell r="C29"/>
          <cell r="D29"/>
          <cell r="E29"/>
          <cell r="F29"/>
          <cell r="G29"/>
        </row>
        <row r="30">
          <cell r="C30"/>
          <cell r="D30"/>
          <cell r="E30"/>
          <cell r="F30"/>
          <cell r="G30"/>
        </row>
        <row r="31">
          <cell r="C31"/>
          <cell r="D31"/>
          <cell r="E31"/>
          <cell r="F31"/>
          <cell r="G31"/>
        </row>
        <row r="32">
          <cell r="C32"/>
          <cell r="D32"/>
          <cell r="E32"/>
          <cell r="F32"/>
          <cell r="G32"/>
        </row>
        <row r="33">
          <cell r="C33"/>
          <cell r="D33"/>
          <cell r="E33"/>
          <cell r="F33"/>
          <cell r="G33"/>
        </row>
        <row r="34">
          <cell r="C34"/>
          <cell r="D34"/>
          <cell r="E34"/>
          <cell r="F34"/>
          <cell r="G34"/>
        </row>
        <row r="35">
          <cell r="C35"/>
          <cell r="D35"/>
          <cell r="E35"/>
          <cell r="F35"/>
          <cell r="G35"/>
        </row>
        <row r="36">
          <cell r="C36"/>
          <cell r="D36"/>
          <cell r="E36"/>
          <cell r="F36"/>
          <cell r="G36"/>
        </row>
        <row r="37">
          <cell r="C37"/>
          <cell r="D37"/>
          <cell r="E37"/>
          <cell r="F37"/>
          <cell r="G37"/>
        </row>
        <row r="38">
          <cell r="C38"/>
          <cell r="D38"/>
          <cell r="E38"/>
          <cell r="F38"/>
          <cell r="G38"/>
        </row>
        <row r="39">
          <cell r="C39"/>
          <cell r="D39"/>
          <cell r="E39"/>
          <cell r="F39"/>
          <cell r="G39"/>
        </row>
        <row r="40">
          <cell r="C40"/>
          <cell r="D40"/>
          <cell r="E40"/>
          <cell r="F40"/>
          <cell r="G40"/>
        </row>
        <row r="41">
          <cell r="C41"/>
          <cell r="D41"/>
          <cell r="E41"/>
          <cell r="F41"/>
          <cell r="G41"/>
        </row>
        <row r="42">
          <cell r="C42"/>
          <cell r="D42"/>
          <cell r="E42"/>
          <cell r="F42"/>
          <cell r="G42"/>
        </row>
        <row r="43">
          <cell r="C43"/>
          <cell r="D43"/>
          <cell r="E43"/>
          <cell r="F43"/>
          <cell r="G43"/>
        </row>
        <row r="44">
          <cell r="C44"/>
          <cell r="D44"/>
          <cell r="E44"/>
          <cell r="F44"/>
          <cell r="G44"/>
        </row>
        <row r="45">
          <cell r="C45"/>
          <cell r="D45"/>
          <cell r="E45"/>
          <cell r="F45"/>
          <cell r="G45"/>
        </row>
        <row r="46">
          <cell r="C46"/>
          <cell r="D46"/>
          <cell r="E46"/>
          <cell r="F46"/>
          <cell r="G46"/>
        </row>
        <row r="47">
          <cell r="C47"/>
          <cell r="D47"/>
          <cell r="E47"/>
          <cell r="F47"/>
          <cell r="G47"/>
        </row>
        <row r="48">
          <cell r="C48"/>
          <cell r="D48"/>
          <cell r="E48"/>
          <cell r="F48"/>
          <cell r="G48"/>
        </row>
        <row r="49">
          <cell r="C49"/>
          <cell r="D49"/>
          <cell r="E49"/>
          <cell r="F49"/>
          <cell r="G49"/>
        </row>
        <row r="50">
          <cell r="C50"/>
          <cell r="D50"/>
          <cell r="E50"/>
          <cell r="F50"/>
          <cell r="G50"/>
        </row>
        <row r="51">
          <cell r="C51"/>
          <cell r="D51"/>
          <cell r="E51"/>
          <cell r="F51"/>
          <cell r="G51"/>
        </row>
        <row r="52">
          <cell r="C52"/>
          <cell r="D52"/>
          <cell r="E52"/>
          <cell r="F52"/>
          <cell r="G52"/>
        </row>
        <row r="53">
          <cell r="C53"/>
          <cell r="D53"/>
          <cell r="E53"/>
          <cell r="F53"/>
          <cell r="G53"/>
        </row>
        <row r="54">
          <cell r="C54"/>
          <cell r="D54"/>
          <cell r="E54"/>
          <cell r="F54"/>
          <cell r="G54"/>
        </row>
        <row r="55">
          <cell r="C55"/>
          <cell r="D55"/>
          <cell r="E55"/>
          <cell r="F55"/>
          <cell r="G55"/>
        </row>
        <row r="56">
          <cell r="C56"/>
          <cell r="D56"/>
          <cell r="E56"/>
          <cell r="F56"/>
          <cell r="G56"/>
        </row>
        <row r="57">
          <cell r="C57"/>
          <cell r="D57"/>
          <cell r="E57"/>
          <cell r="F57"/>
          <cell r="G57"/>
        </row>
        <row r="58">
          <cell r="C58"/>
          <cell r="D58"/>
          <cell r="E58"/>
          <cell r="F58"/>
          <cell r="G58"/>
        </row>
        <row r="59">
          <cell r="C59"/>
          <cell r="D59"/>
          <cell r="E59"/>
          <cell r="F59"/>
          <cell r="G59"/>
        </row>
        <row r="60">
          <cell r="C60"/>
          <cell r="D60"/>
          <cell r="E60"/>
          <cell r="F60"/>
          <cell r="G60"/>
        </row>
        <row r="61">
          <cell r="C61"/>
          <cell r="D61"/>
          <cell r="E61"/>
          <cell r="F61"/>
          <cell r="G61"/>
        </row>
        <row r="62">
          <cell r="C62"/>
          <cell r="D62"/>
          <cell r="E62"/>
          <cell r="F62"/>
          <cell r="G62"/>
        </row>
        <row r="63">
          <cell r="C63"/>
          <cell r="D63"/>
          <cell r="E63"/>
          <cell r="F63"/>
          <cell r="G63"/>
        </row>
        <row r="64">
          <cell r="C64"/>
          <cell r="D64"/>
          <cell r="E64"/>
          <cell r="F64"/>
          <cell r="G64"/>
        </row>
        <row r="65">
          <cell r="C65"/>
          <cell r="D65"/>
          <cell r="E65"/>
          <cell r="F65"/>
          <cell r="G65"/>
        </row>
        <row r="66">
          <cell r="C66"/>
          <cell r="D66"/>
          <cell r="E66"/>
          <cell r="F66"/>
          <cell r="G66"/>
        </row>
        <row r="67">
          <cell r="C67"/>
          <cell r="D67"/>
          <cell r="E67"/>
          <cell r="F67"/>
          <cell r="G67"/>
        </row>
        <row r="68">
          <cell r="C68"/>
          <cell r="D68"/>
          <cell r="E68"/>
          <cell r="F68"/>
          <cell r="G68"/>
        </row>
        <row r="69">
          <cell r="C69"/>
          <cell r="D69"/>
          <cell r="E69"/>
          <cell r="F69"/>
          <cell r="G69"/>
        </row>
        <row r="70">
          <cell r="C70"/>
          <cell r="D70"/>
          <cell r="E70"/>
          <cell r="F70"/>
          <cell r="G70"/>
        </row>
        <row r="71">
          <cell r="C71"/>
          <cell r="D71"/>
          <cell r="E71"/>
          <cell r="F71"/>
          <cell r="G71"/>
        </row>
        <row r="72">
          <cell r="C72"/>
          <cell r="D72"/>
          <cell r="E72"/>
          <cell r="F72"/>
          <cell r="G72"/>
        </row>
      </sheetData>
      <sheetData sheetId="5"/>
      <sheetData sheetId="6">
        <row r="4">
          <cell r="B4" t="str">
            <v>توريد قطع الغيار والتغييرات الهندسية</v>
          </cell>
        </row>
        <row r="5">
          <cell r="B5" t="str">
            <v>النقيب/مشعل السكران</v>
          </cell>
        </row>
        <row r="13">
          <cell r="C13" t="str">
            <v>3 - Affordability Estimate</v>
          </cell>
          <cell r="D13" t="str">
            <v>TCO</v>
          </cell>
          <cell r="E13" t="str">
            <v xml:space="preserve">طلب معلومات من  الجهة المستفيدة للمشروع </v>
          </cell>
          <cell r="F13" t="str">
            <v xml:space="preserve">لا يوجد  </v>
          </cell>
          <cell r="G13" t="str">
            <v>على المسار</v>
          </cell>
        </row>
        <row r="14">
          <cell r="C14" t="str">
            <v>3 - Affordability Estimate</v>
          </cell>
          <cell r="D14" t="str">
            <v>TCO</v>
          </cell>
          <cell r="E14" t="str">
            <v xml:space="preserve">تم طلب تعبئة نموذج TCO حسب المعطيات سابقة </v>
          </cell>
          <cell r="F14" t="str">
            <v xml:space="preserve">لا يوجد  </v>
          </cell>
          <cell r="G14" t="str">
            <v>على المسار</v>
          </cell>
        </row>
        <row r="15">
          <cell r="C15" t="str">
            <v>3 - Affordability Estimate</v>
          </cell>
          <cell r="D15" t="str">
            <v>TCO</v>
          </cell>
          <cell r="E15" t="str">
            <v>مراجعة الاجراء قبل البدء في تعبئة نموذج (TCO)</v>
          </cell>
          <cell r="F15" t="str">
            <v xml:space="preserve">عدم وضوح متطلبات الـ TCO بسبب القيام  بجميع أعمال الاجراء من قبل فريق الستلايت مع أن الفريق المعني بهذه الاجراءات هو فريق السنترل. 
مدير المشروع يطلب بتسليم نوذج TCO علما انه لم يتم تزويدنا ببيانات لمدخلات الـTCO.
عدم وضوح التدريب والمهام المطلوبة بالمرحلة </v>
          </cell>
          <cell r="G15" t="str">
            <v xml:space="preserve">خطر </v>
          </cell>
        </row>
        <row r="16">
          <cell r="C16" t="str">
            <v>3 - Affordability Estimate</v>
          </cell>
          <cell r="D16" t="str">
            <v>TCO</v>
          </cell>
          <cell r="E16" t="str">
            <v>تم ارسال بريد الكتروني لمدير المشروع لتزويدنا بمتطالبات نموذج TCO</v>
          </cell>
          <cell r="F16" t="str">
            <v>بانتظار مدخلات الـ TCO</v>
          </cell>
          <cell r="G16" t="str">
            <v>على المسار</v>
          </cell>
        </row>
        <row r="17">
          <cell r="C17" t="str">
            <v>3 - Affordability Estimate</v>
          </cell>
          <cell r="D17" t="str">
            <v>TCO</v>
          </cell>
          <cell r="E17" t="str">
            <v xml:space="preserve">تم ارسال بريد مرق به ملف TCO  يتضمن  (M) فقط </v>
          </cell>
          <cell r="F17" t="str">
            <v>تم اشعارنا بعدم وجود مدخلات  للبيانات (D.O.L.T.P.F )</v>
          </cell>
          <cell r="G17" t="str">
            <v xml:space="preserve">خطر </v>
          </cell>
        </row>
        <row r="18">
          <cell r="C18"/>
          <cell r="D18"/>
          <cell r="E18"/>
          <cell r="F18"/>
          <cell r="G18"/>
        </row>
        <row r="19">
          <cell r="C19"/>
          <cell r="D19"/>
          <cell r="E19"/>
          <cell r="F19"/>
          <cell r="G19"/>
        </row>
        <row r="20">
          <cell r="C20"/>
          <cell r="D20"/>
          <cell r="E20"/>
          <cell r="F20"/>
          <cell r="G20"/>
        </row>
        <row r="21">
          <cell r="C21"/>
          <cell r="D21"/>
          <cell r="E21"/>
          <cell r="F21"/>
          <cell r="G21"/>
        </row>
        <row r="22">
          <cell r="C22"/>
          <cell r="D22"/>
          <cell r="E22"/>
          <cell r="F22"/>
          <cell r="G22"/>
        </row>
        <row r="23">
          <cell r="C23"/>
          <cell r="D23"/>
          <cell r="E23"/>
          <cell r="F23"/>
          <cell r="G23"/>
        </row>
        <row r="24">
          <cell r="C24"/>
          <cell r="D24"/>
          <cell r="E24"/>
          <cell r="F24"/>
          <cell r="G24"/>
        </row>
        <row r="25">
          <cell r="C25"/>
          <cell r="D25"/>
          <cell r="E25"/>
          <cell r="F25"/>
          <cell r="G25"/>
        </row>
        <row r="26">
          <cell r="C26"/>
          <cell r="D26"/>
          <cell r="E26"/>
          <cell r="F26"/>
          <cell r="G26"/>
        </row>
        <row r="27">
          <cell r="C27"/>
          <cell r="D27"/>
          <cell r="E27"/>
          <cell r="F27"/>
          <cell r="G27"/>
        </row>
        <row r="28">
          <cell r="C28"/>
          <cell r="D28"/>
          <cell r="E28"/>
          <cell r="F28"/>
          <cell r="G28"/>
        </row>
        <row r="29">
          <cell r="C29"/>
          <cell r="D29"/>
          <cell r="E29"/>
          <cell r="F29"/>
          <cell r="G29"/>
        </row>
        <row r="30">
          <cell r="C30"/>
          <cell r="D30"/>
          <cell r="E30"/>
          <cell r="F30"/>
          <cell r="G30"/>
        </row>
        <row r="31">
          <cell r="C31"/>
          <cell r="D31"/>
          <cell r="E31"/>
          <cell r="F31"/>
          <cell r="G31"/>
        </row>
        <row r="32">
          <cell r="C32"/>
          <cell r="D32"/>
          <cell r="E32"/>
          <cell r="F32"/>
          <cell r="G32"/>
        </row>
        <row r="33">
          <cell r="C33"/>
          <cell r="D33"/>
          <cell r="E33"/>
          <cell r="F33"/>
          <cell r="G33"/>
        </row>
        <row r="34">
          <cell r="C34"/>
          <cell r="D34"/>
          <cell r="E34"/>
          <cell r="F34"/>
          <cell r="G34"/>
        </row>
        <row r="35">
          <cell r="C35"/>
          <cell r="D35"/>
          <cell r="E35"/>
          <cell r="F35"/>
          <cell r="G35"/>
        </row>
        <row r="36">
          <cell r="C36"/>
          <cell r="D36"/>
          <cell r="E36"/>
          <cell r="F36"/>
          <cell r="G36"/>
        </row>
        <row r="37">
          <cell r="C37"/>
          <cell r="D37"/>
          <cell r="E37"/>
          <cell r="F37"/>
          <cell r="G37"/>
        </row>
        <row r="38">
          <cell r="C38"/>
          <cell r="D38"/>
          <cell r="E38"/>
          <cell r="F38"/>
          <cell r="G38"/>
        </row>
        <row r="39">
          <cell r="C39"/>
          <cell r="D39"/>
          <cell r="E39"/>
          <cell r="F39"/>
          <cell r="G39"/>
        </row>
        <row r="40">
          <cell r="C40"/>
          <cell r="D40"/>
          <cell r="E40"/>
          <cell r="F40"/>
          <cell r="G40"/>
        </row>
        <row r="41">
          <cell r="C41"/>
          <cell r="D41"/>
          <cell r="E41"/>
          <cell r="F41"/>
          <cell r="G41"/>
        </row>
        <row r="42">
          <cell r="C42"/>
          <cell r="D42"/>
          <cell r="E42"/>
          <cell r="F42"/>
          <cell r="G42"/>
        </row>
        <row r="43">
          <cell r="C43"/>
          <cell r="D43"/>
          <cell r="E43"/>
          <cell r="F43"/>
          <cell r="G43"/>
        </row>
        <row r="44">
          <cell r="C44"/>
          <cell r="D44"/>
          <cell r="E44"/>
          <cell r="F44"/>
          <cell r="G44"/>
        </row>
        <row r="45">
          <cell r="C45"/>
          <cell r="D45"/>
          <cell r="E45"/>
          <cell r="F45"/>
          <cell r="G45"/>
        </row>
        <row r="46">
          <cell r="C46"/>
          <cell r="D46"/>
          <cell r="E46"/>
          <cell r="F46"/>
          <cell r="G46"/>
        </row>
        <row r="47">
          <cell r="C47"/>
          <cell r="D47"/>
          <cell r="E47"/>
          <cell r="F47"/>
          <cell r="G47"/>
        </row>
        <row r="48">
          <cell r="C48"/>
          <cell r="D48"/>
          <cell r="E48"/>
          <cell r="F48"/>
          <cell r="G48"/>
        </row>
        <row r="49">
          <cell r="C49"/>
          <cell r="D49"/>
          <cell r="E49"/>
          <cell r="F49"/>
          <cell r="G49"/>
        </row>
        <row r="50">
          <cell r="C50"/>
          <cell r="D50"/>
          <cell r="E50"/>
          <cell r="F50"/>
          <cell r="G50"/>
        </row>
        <row r="51">
          <cell r="C51"/>
          <cell r="D51"/>
          <cell r="E51"/>
          <cell r="F51"/>
          <cell r="G51"/>
        </row>
        <row r="52">
          <cell r="C52"/>
          <cell r="D52"/>
          <cell r="E52"/>
          <cell r="F52"/>
          <cell r="G52"/>
        </row>
        <row r="53">
          <cell r="C53"/>
          <cell r="D53"/>
          <cell r="E53"/>
          <cell r="F53"/>
          <cell r="G53"/>
        </row>
        <row r="54">
          <cell r="C54"/>
          <cell r="D54"/>
          <cell r="E54"/>
          <cell r="F54"/>
          <cell r="G54"/>
        </row>
        <row r="55">
          <cell r="C55"/>
          <cell r="D55"/>
          <cell r="E55"/>
          <cell r="F55"/>
          <cell r="G55"/>
        </row>
        <row r="56">
          <cell r="C56"/>
          <cell r="D56"/>
          <cell r="E56"/>
          <cell r="F56"/>
          <cell r="G56"/>
        </row>
        <row r="57">
          <cell r="C57"/>
          <cell r="D57"/>
          <cell r="E57"/>
          <cell r="F57"/>
          <cell r="G57"/>
        </row>
        <row r="58">
          <cell r="C58"/>
          <cell r="D58"/>
          <cell r="E58"/>
          <cell r="F58"/>
          <cell r="G58"/>
        </row>
        <row r="59">
          <cell r="C59"/>
          <cell r="D59"/>
          <cell r="E59"/>
          <cell r="F59"/>
          <cell r="G59"/>
        </row>
        <row r="60">
          <cell r="C60"/>
          <cell r="D60"/>
          <cell r="E60"/>
          <cell r="F60"/>
          <cell r="G60"/>
        </row>
        <row r="61">
          <cell r="C61"/>
          <cell r="D61"/>
          <cell r="E61"/>
          <cell r="F61"/>
          <cell r="G61"/>
        </row>
        <row r="62">
          <cell r="C62"/>
          <cell r="D62"/>
          <cell r="E62"/>
          <cell r="F62"/>
          <cell r="G62"/>
        </row>
        <row r="63">
          <cell r="C63"/>
          <cell r="D63"/>
          <cell r="E63"/>
          <cell r="F63"/>
          <cell r="G63"/>
        </row>
        <row r="64">
          <cell r="C64"/>
          <cell r="D64"/>
          <cell r="E64"/>
          <cell r="F64"/>
          <cell r="G64"/>
        </row>
        <row r="65">
          <cell r="C65"/>
          <cell r="D65"/>
          <cell r="E65"/>
          <cell r="F65"/>
          <cell r="G65"/>
        </row>
        <row r="68">
          <cell r="C68"/>
          <cell r="D68"/>
          <cell r="E68"/>
          <cell r="F68"/>
          <cell r="G68"/>
        </row>
        <row r="69">
          <cell r="C69"/>
          <cell r="D69"/>
          <cell r="E69"/>
          <cell r="F69"/>
          <cell r="G69"/>
        </row>
        <row r="70">
          <cell r="C70"/>
          <cell r="D70"/>
          <cell r="E70"/>
          <cell r="F70"/>
          <cell r="G70"/>
        </row>
        <row r="71">
          <cell r="C71"/>
          <cell r="D71"/>
          <cell r="E71"/>
          <cell r="F71"/>
          <cell r="G71"/>
        </row>
        <row r="72">
          <cell r="C72"/>
          <cell r="D72"/>
          <cell r="E72"/>
          <cell r="F72"/>
          <cell r="G72"/>
        </row>
      </sheetData>
      <sheetData sheetId="7">
        <row r="4">
          <cell r="B4" t="str">
            <v>الدعم الفني لمعدات الحرب الإلكترونية</v>
          </cell>
        </row>
        <row r="5">
          <cell r="B5" t="str">
            <v>الرائد/عبدالرحمن السديس</v>
          </cell>
        </row>
        <row r="13">
          <cell r="C13" t="str">
            <v>3 - Affordability Estimate</v>
          </cell>
          <cell r="D13" t="str">
            <v>Detailed LCCE</v>
          </cell>
          <cell r="E13" t="str">
            <v>تم  طلب FRI بتاريخ 23/4/2026</v>
          </cell>
          <cell r="F13" t="str">
            <v xml:space="preserve">لم ييتم الرد حتى  تاريخه . </v>
          </cell>
          <cell r="G13" t="str">
            <v>على المسار</v>
          </cell>
        </row>
        <row r="14">
          <cell r="C14" t="str">
            <v>3 - Affordability Estimate</v>
          </cell>
          <cell r="D14" t="str">
            <v>Detailed LCCE</v>
          </cell>
          <cell r="E14" t="str">
            <v xml:space="preserve">بانتضار رد RFI حسب افادة مدير المشروع </v>
          </cell>
          <cell r="F14" t="str">
            <v>لايوجد</v>
          </cell>
          <cell r="G14" t="str">
            <v>على المسار</v>
          </cell>
        </row>
        <row r="15">
          <cell r="C15" t="str">
            <v>3 - Affordability Estimate</v>
          </cell>
          <cell r="D15" t="str">
            <v>Detailed LCCE</v>
          </cell>
          <cell r="E15" t="str">
            <v xml:space="preserve">حسب الإفادة  بأنه تم رفض طلب RFI من الشركة  وبانتظار ارسال بريد الكتروني بشكل رسمي لتأكيد الرفض من قبل مدير المشروع </v>
          </cell>
          <cell r="F15" t="str">
            <v xml:space="preserve">حسب الإفادة  بأنه تم رفض طلب RFI من الشركة  وبانتظار ارسال بريد الكتروني بشكل رسمي لتأكيد الرفض من قبل مدير المشروع </v>
          </cell>
          <cell r="G15" t="str">
            <v>على المسار</v>
          </cell>
        </row>
        <row r="16">
          <cell r="C16" t="str">
            <v>3 - Affordability Estimate</v>
          </cell>
          <cell r="D16" t="str">
            <v>Detailed LCCE</v>
          </cell>
          <cell r="E16" t="str">
            <v xml:space="preserve">تم الرد من قبل مدير المشروع  بناء على رد الإدارة العامة لعملية الشراء بعدم تجاوب الشركة على طلب RFI </v>
          </cell>
          <cell r="F16" t="str">
            <v xml:space="preserve"> تم عقد اجتماع من قبل إدارة التكاليف قسم قطع الغيار وحضور مدير المشروع لمناقشة التحديات للحصول على أسعار استرشادية من الجهه الامدادية للقوة لقطع الغيار </v>
          </cell>
          <cell r="G16" t="str">
            <v xml:space="preserve">متأخر </v>
          </cell>
        </row>
        <row r="17">
          <cell r="C17" t="str">
            <v>3 - Affordability Estimate</v>
          </cell>
          <cell r="D17" t="str">
            <v>Detailed LCCE</v>
          </cell>
          <cell r="E17" t="str">
            <v xml:space="preserve">تم استلام أسعار استرشادية لعدد (19) مادة من بند قطع الغيار من أصل (109) </v>
          </cell>
          <cell r="F17" t="str">
            <v xml:space="preserve">تم استلام أسعار استرشادية لعدد (19) مادة من بند قطع الغيار من أصل (109) </v>
          </cell>
          <cell r="G17" t="str">
            <v xml:space="preserve">متأخر </v>
          </cell>
        </row>
        <row r="18">
          <cell r="C18" t="str">
            <v>3 - Affordability Estimate</v>
          </cell>
          <cell r="D18" t="str">
            <v>Detailed LCCE</v>
          </cell>
          <cell r="E18" t="str">
            <v>جاري العمل على  الـــــ Contract Cost وتسليمه</v>
          </cell>
          <cell r="F18"/>
          <cell r="G18" t="str">
            <v xml:space="preserve">متأخر </v>
          </cell>
        </row>
        <row r="19">
          <cell r="C19"/>
          <cell r="D19"/>
          <cell r="E19"/>
          <cell r="F19"/>
          <cell r="G19"/>
        </row>
        <row r="20">
          <cell r="C20"/>
          <cell r="D20"/>
          <cell r="E20"/>
          <cell r="F20"/>
          <cell r="G20"/>
        </row>
        <row r="21">
          <cell r="C21"/>
          <cell r="D21"/>
          <cell r="E21"/>
          <cell r="F21"/>
          <cell r="G21"/>
        </row>
        <row r="22">
          <cell r="C22"/>
          <cell r="D22"/>
          <cell r="E22"/>
          <cell r="F22"/>
          <cell r="G22"/>
        </row>
        <row r="23">
          <cell r="C23"/>
          <cell r="D23"/>
          <cell r="E23"/>
          <cell r="F23"/>
          <cell r="G23"/>
        </row>
        <row r="24">
          <cell r="C24"/>
          <cell r="D24"/>
          <cell r="E24"/>
          <cell r="F24"/>
          <cell r="G24"/>
        </row>
        <row r="25">
          <cell r="C25"/>
          <cell r="D25"/>
          <cell r="E25"/>
          <cell r="F25"/>
          <cell r="G25"/>
        </row>
        <row r="26">
          <cell r="C26"/>
          <cell r="D26"/>
          <cell r="E26"/>
          <cell r="F26"/>
          <cell r="G26"/>
        </row>
        <row r="27">
          <cell r="C27"/>
          <cell r="D27"/>
          <cell r="E27"/>
          <cell r="F27"/>
          <cell r="G27"/>
        </row>
        <row r="28">
          <cell r="C28"/>
          <cell r="D28"/>
          <cell r="E28"/>
          <cell r="F28"/>
          <cell r="G28"/>
        </row>
        <row r="29">
          <cell r="C29"/>
          <cell r="D29"/>
          <cell r="E29"/>
          <cell r="F29"/>
          <cell r="G29"/>
        </row>
        <row r="30">
          <cell r="C30"/>
          <cell r="D30"/>
          <cell r="E30"/>
          <cell r="F30"/>
          <cell r="G30"/>
        </row>
        <row r="31">
          <cell r="C31"/>
          <cell r="D31"/>
          <cell r="E31"/>
          <cell r="F31"/>
          <cell r="G31"/>
        </row>
        <row r="32">
          <cell r="C32"/>
          <cell r="D32"/>
          <cell r="E32"/>
          <cell r="F32"/>
          <cell r="G32"/>
        </row>
        <row r="33">
          <cell r="C33"/>
          <cell r="D33"/>
          <cell r="E33"/>
          <cell r="F33"/>
          <cell r="G33"/>
        </row>
        <row r="34">
          <cell r="C34"/>
          <cell r="D34"/>
          <cell r="E34"/>
          <cell r="F34"/>
          <cell r="G34"/>
        </row>
        <row r="35">
          <cell r="C35"/>
          <cell r="D35"/>
          <cell r="E35"/>
          <cell r="F35"/>
          <cell r="G35"/>
        </row>
        <row r="36">
          <cell r="C36"/>
          <cell r="D36"/>
          <cell r="E36"/>
          <cell r="F36"/>
          <cell r="G36"/>
        </row>
        <row r="37">
          <cell r="C37"/>
          <cell r="D37"/>
          <cell r="E37"/>
          <cell r="F37"/>
          <cell r="G37"/>
        </row>
        <row r="38">
          <cell r="C38"/>
          <cell r="D38"/>
          <cell r="E38"/>
          <cell r="F38"/>
          <cell r="G38"/>
        </row>
        <row r="39">
          <cell r="C39"/>
          <cell r="D39"/>
          <cell r="E39"/>
          <cell r="F39"/>
          <cell r="G39"/>
        </row>
        <row r="40">
          <cell r="C40"/>
          <cell r="D40"/>
          <cell r="E40"/>
          <cell r="F40"/>
          <cell r="G40"/>
        </row>
        <row r="41">
          <cell r="C41"/>
          <cell r="D41"/>
          <cell r="E41"/>
          <cell r="F41"/>
          <cell r="G41"/>
        </row>
        <row r="42">
          <cell r="C42"/>
          <cell r="D42"/>
          <cell r="E42"/>
          <cell r="F42"/>
          <cell r="G42"/>
        </row>
        <row r="43">
          <cell r="C43"/>
          <cell r="D43"/>
          <cell r="E43"/>
          <cell r="F43"/>
          <cell r="G43"/>
        </row>
        <row r="44">
          <cell r="C44"/>
          <cell r="D44"/>
          <cell r="E44"/>
          <cell r="F44"/>
          <cell r="G44"/>
        </row>
        <row r="45">
          <cell r="C45"/>
          <cell r="D45"/>
          <cell r="E45"/>
          <cell r="F45"/>
          <cell r="G45"/>
        </row>
        <row r="46">
          <cell r="C46"/>
          <cell r="D46"/>
          <cell r="E46"/>
          <cell r="F46"/>
          <cell r="G46"/>
        </row>
        <row r="47">
          <cell r="C47"/>
          <cell r="D47"/>
          <cell r="E47"/>
          <cell r="F47"/>
          <cell r="G47"/>
        </row>
        <row r="48">
          <cell r="C48"/>
          <cell r="D48"/>
          <cell r="E48"/>
          <cell r="F48"/>
          <cell r="G48"/>
        </row>
        <row r="49">
          <cell r="C49"/>
          <cell r="D49"/>
          <cell r="E49"/>
          <cell r="F49"/>
          <cell r="G49"/>
        </row>
        <row r="50">
          <cell r="C50"/>
          <cell r="D50"/>
          <cell r="E50"/>
          <cell r="F50"/>
          <cell r="G50"/>
        </row>
        <row r="51">
          <cell r="C51"/>
          <cell r="D51"/>
          <cell r="E51"/>
          <cell r="F51"/>
          <cell r="G51"/>
        </row>
        <row r="52">
          <cell r="C52"/>
          <cell r="D52"/>
          <cell r="E52"/>
          <cell r="F52"/>
          <cell r="G52"/>
        </row>
        <row r="53">
          <cell r="C53"/>
          <cell r="D53"/>
          <cell r="E53"/>
          <cell r="F53"/>
          <cell r="G53"/>
        </row>
        <row r="54">
          <cell r="C54"/>
          <cell r="D54"/>
          <cell r="E54"/>
          <cell r="F54"/>
          <cell r="G54"/>
        </row>
        <row r="55">
          <cell r="C55"/>
          <cell r="D55"/>
          <cell r="E55"/>
          <cell r="F55"/>
          <cell r="G55"/>
        </row>
        <row r="56">
          <cell r="C56"/>
          <cell r="D56"/>
          <cell r="E56"/>
          <cell r="F56"/>
          <cell r="G56"/>
        </row>
        <row r="57">
          <cell r="C57"/>
          <cell r="D57"/>
          <cell r="E57"/>
          <cell r="F57"/>
          <cell r="G57"/>
        </row>
        <row r="58">
          <cell r="C58"/>
          <cell r="D58"/>
          <cell r="E58"/>
          <cell r="F58"/>
          <cell r="G58"/>
        </row>
        <row r="59">
          <cell r="C59"/>
          <cell r="D59"/>
          <cell r="E59"/>
          <cell r="F59"/>
          <cell r="G59"/>
        </row>
        <row r="60">
          <cell r="C60"/>
          <cell r="D60"/>
          <cell r="E60"/>
          <cell r="F60"/>
          <cell r="G60"/>
        </row>
        <row r="61">
          <cell r="C61"/>
          <cell r="D61"/>
          <cell r="E61"/>
          <cell r="F61"/>
          <cell r="G61"/>
        </row>
        <row r="62">
          <cell r="C62"/>
          <cell r="D62"/>
          <cell r="E62"/>
          <cell r="F62"/>
          <cell r="G62"/>
        </row>
        <row r="63">
          <cell r="C63"/>
          <cell r="D63"/>
          <cell r="E63"/>
          <cell r="F63"/>
          <cell r="G63"/>
        </row>
        <row r="64">
          <cell r="C64"/>
          <cell r="D64"/>
          <cell r="E64"/>
          <cell r="F64"/>
          <cell r="G64"/>
        </row>
        <row r="65">
          <cell r="C65"/>
          <cell r="D65"/>
          <cell r="E65"/>
          <cell r="F65"/>
          <cell r="G65"/>
        </row>
        <row r="66">
          <cell r="C66"/>
          <cell r="D66"/>
          <cell r="E66"/>
          <cell r="F66"/>
          <cell r="G66"/>
        </row>
        <row r="67">
          <cell r="C67"/>
          <cell r="D67"/>
          <cell r="E67"/>
          <cell r="F67"/>
          <cell r="G67"/>
        </row>
        <row r="68">
          <cell r="C68"/>
          <cell r="D68"/>
          <cell r="E68"/>
          <cell r="F68"/>
          <cell r="G68"/>
        </row>
        <row r="69">
          <cell r="C69"/>
          <cell r="D69"/>
          <cell r="E69"/>
          <cell r="F69"/>
          <cell r="G69"/>
        </row>
        <row r="70">
          <cell r="C70"/>
          <cell r="D70"/>
          <cell r="E70"/>
          <cell r="F70"/>
          <cell r="G70"/>
        </row>
        <row r="71">
          <cell r="C71"/>
          <cell r="D71"/>
          <cell r="E71"/>
          <cell r="F71"/>
          <cell r="G71"/>
        </row>
        <row r="72">
          <cell r="C72"/>
          <cell r="D72"/>
          <cell r="E72"/>
          <cell r="F72"/>
          <cell r="G72"/>
        </row>
      </sheetData>
      <sheetData sheetId="8">
        <row r="4">
          <cell r="B4" t="str">
            <v>المساندة الفنية لمنظومة الطائرة المسيرة نوع (بوما)3</v>
          </cell>
        </row>
        <row r="5">
          <cell r="B5" t="str">
            <v>ياسر الشهراني</v>
          </cell>
        </row>
        <row r="13">
          <cell r="C13" t="str">
            <v>2 - Needs Identification</v>
          </cell>
          <cell r="D13"/>
          <cell r="E13" t="str">
            <v xml:space="preserve"> تم استلام ARF من قبل الجهة المستفيدة وتم مشاركته مع مدير المشروع للمراجعة</v>
          </cell>
          <cell r="F13" t="str">
            <v xml:space="preserve"> تم استلام ARF من قبل الجهة المستفيدة وتم مشاركته مع مدير المشروع للمراجعة</v>
          </cell>
          <cell r="G13" t="str">
            <v>على المسار</v>
          </cell>
        </row>
        <row r="14">
          <cell r="C14"/>
          <cell r="D14"/>
          <cell r="E14"/>
          <cell r="F14"/>
          <cell r="G14"/>
        </row>
        <row r="15">
          <cell r="C15"/>
          <cell r="D15"/>
          <cell r="E15"/>
          <cell r="F15"/>
          <cell r="G15"/>
        </row>
        <row r="16">
          <cell r="C16"/>
          <cell r="D16"/>
          <cell r="E16"/>
          <cell r="F16"/>
          <cell r="G16"/>
        </row>
        <row r="17">
          <cell r="C17"/>
          <cell r="D17"/>
          <cell r="E17"/>
          <cell r="F17"/>
          <cell r="G17"/>
        </row>
        <row r="18">
          <cell r="C18"/>
          <cell r="D18"/>
          <cell r="E18"/>
          <cell r="F18"/>
          <cell r="G18"/>
        </row>
        <row r="19">
          <cell r="C19"/>
          <cell r="D19"/>
          <cell r="E19"/>
          <cell r="F19"/>
          <cell r="G19"/>
        </row>
        <row r="20">
          <cell r="C20"/>
          <cell r="D20"/>
          <cell r="E20"/>
          <cell r="F20"/>
          <cell r="G20"/>
        </row>
        <row r="21">
          <cell r="C21"/>
          <cell r="D21"/>
          <cell r="E21"/>
          <cell r="F21"/>
          <cell r="G21"/>
        </row>
        <row r="22">
          <cell r="C22"/>
          <cell r="D22"/>
          <cell r="E22"/>
          <cell r="F22"/>
          <cell r="G22"/>
        </row>
        <row r="23">
          <cell r="C23"/>
          <cell r="D23"/>
          <cell r="E23"/>
          <cell r="F23"/>
          <cell r="G23"/>
        </row>
        <row r="24">
          <cell r="C24"/>
          <cell r="D24"/>
          <cell r="E24"/>
          <cell r="F24"/>
          <cell r="G24"/>
        </row>
        <row r="25">
          <cell r="C25"/>
          <cell r="D25"/>
          <cell r="E25"/>
          <cell r="F25"/>
          <cell r="G25"/>
        </row>
        <row r="26">
          <cell r="C26"/>
          <cell r="D26"/>
          <cell r="E26"/>
          <cell r="F26"/>
          <cell r="G26"/>
        </row>
        <row r="27">
          <cell r="C27"/>
          <cell r="D27"/>
          <cell r="E27"/>
          <cell r="F27"/>
          <cell r="G27"/>
        </row>
        <row r="28">
          <cell r="C28"/>
          <cell r="D28"/>
          <cell r="E28"/>
          <cell r="F28"/>
          <cell r="G28"/>
        </row>
        <row r="29">
          <cell r="C29"/>
          <cell r="D29"/>
          <cell r="E29"/>
          <cell r="F29"/>
          <cell r="G29"/>
        </row>
        <row r="30">
          <cell r="C30"/>
          <cell r="D30"/>
          <cell r="E30"/>
          <cell r="F30"/>
          <cell r="G30"/>
        </row>
        <row r="31">
          <cell r="C31"/>
          <cell r="D31"/>
          <cell r="E31"/>
          <cell r="F31"/>
          <cell r="G31"/>
        </row>
        <row r="32">
          <cell r="C32"/>
          <cell r="D32"/>
          <cell r="E32"/>
          <cell r="F32"/>
          <cell r="G32"/>
        </row>
        <row r="33">
          <cell r="C33"/>
          <cell r="D33"/>
          <cell r="E33"/>
          <cell r="F33"/>
          <cell r="G33"/>
        </row>
        <row r="34">
          <cell r="C34"/>
          <cell r="D34"/>
          <cell r="E34"/>
          <cell r="F34"/>
          <cell r="G34"/>
        </row>
        <row r="35">
          <cell r="C35"/>
          <cell r="D35"/>
          <cell r="E35"/>
          <cell r="F35"/>
          <cell r="G35"/>
        </row>
        <row r="36">
          <cell r="C36"/>
          <cell r="D36"/>
          <cell r="E36"/>
          <cell r="F36"/>
          <cell r="G36"/>
        </row>
        <row r="37">
          <cell r="C37"/>
          <cell r="D37"/>
          <cell r="E37"/>
          <cell r="F37"/>
          <cell r="G37"/>
        </row>
        <row r="38">
          <cell r="C38"/>
          <cell r="D38"/>
          <cell r="E38"/>
          <cell r="F38"/>
          <cell r="G38"/>
        </row>
        <row r="39">
          <cell r="C39"/>
          <cell r="D39"/>
          <cell r="E39"/>
          <cell r="F39"/>
          <cell r="G39"/>
        </row>
        <row r="40">
          <cell r="C40"/>
          <cell r="D40"/>
          <cell r="E40"/>
          <cell r="F40"/>
          <cell r="G40"/>
        </row>
        <row r="41">
          <cell r="C41"/>
          <cell r="D41"/>
          <cell r="E41"/>
          <cell r="F41"/>
          <cell r="G41"/>
        </row>
        <row r="42">
          <cell r="C42"/>
          <cell r="D42"/>
          <cell r="E42"/>
          <cell r="F42"/>
          <cell r="G42"/>
        </row>
        <row r="43">
          <cell r="C43"/>
          <cell r="D43"/>
          <cell r="E43"/>
          <cell r="F43"/>
          <cell r="G43"/>
        </row>
        <row r="44">
          <cell r="C44"/>
          <cell r="D44"/>
          <cell r="E44"/>
          <cell r="F44"/>
          <cell r="G44"/>
        </row>
        <row r="45">
          <cell r="C45"/>
          <cell r="D45"/>
          <cell r="E45"/>
          <cell r="F45"/>
          <cell r="G45"/>
        </row>
        <row r="46">
          <cell r="C46"/>
          <cell r="D46"/>
          <cell r="E46"/>
          <cell r="F46"/>
          <cell r="G46"/>
        </row>
        <row r="47">
          <cell r="C47"/>
          <cell r="D47"/>
          <cell r="E47"/>
          <cell r="F47"/>
          <cell r="G47"/>
        </row>
        <row r="48">
          <cell r="C48"/>
          <cell r="D48"/>
          <cell r="E48"/>
          <cell r="F48"/>
          <cell r="G48"/>
        </row>
        <row r="49">
          <cell r="C49"/>
          <cell r="D49"/>
          <cell r="E49"/>
          <cell r="F49"/>
          <cell r="G49"/>
        </row>
        <row r="50">
          <cell r="C50"/>
          <cell r="D50"/>
          <cell r="E50"/>
          <cell r="F50"/>
          <cell r="G50"/>
        </row>
        <row r="51">
          <cell r="C51"/>
          <cell r="D51"/>
          <cell r="E51"/>
          <cell r="F51"/>
          <cell r="G51"/>
        </row>
        <row r="52">
          <cell r="C52"/>
          <cell r="D52"/>
          <cell r="E52"/>
          <cell r="F52"/>
          <cell r="G52"/>
        </row>
        <row r="53">
          <cell r="C53"/>
          <cell r="D53"/>
          <cell r="E53"/>
          <cell r="F53"/>
          <cell r="G53"/>
        </row>
        <row r="54">
          <cell r="C54"/>
          <cell r="D54"/>
          <cell r="E54"/>
          <cell r="F54"/>
          <cell r="G54"/>
        </row>
        <row r="55">
          <cell r="C55"/>
          <cell r="D55"/>
          <cell r="E55"/>
          <cell r="F55"/>
          <cell r="G55"/>
        </row>
        <row r="56">
          <cell r="C56"/>
          <cell r="D56"/>
          <cell r="E56"/>
          <cell r="F56"/>
          <cell r="G56"/>
        </row>
        <row r="57">
          <cell r="C57"/>
          <cell r="D57"/>
          <cell r="E57"/>
          <cell r="F57"/>
          <cell r="G57"/>
        </row>
        <row r="58">
          <cell r="C58"/>
          <cell r="D58"/>
          <cell r="E58"/>
          <cell r="F58"/>
          <cell r="G58"/>
        </row>
        <row r="59">
          <cell r="C59"/>
          <cell r="D59"/>
          <cell r="E59"/>
          <cell r="F59"/>
          <cell r="G59"/>
        </row>
        <row r="60">
          <cell r="C60"/>
          <cell r="D60"/>
          <cell r="E60"/>
          <cell r="F60"/>
          <cell r="G60"/>
        </row>
        <row r="61">
          <cell r="C61"/>
          <cell r="D61"/>
          <cell r="E61"/>
          <cell r="F61"/>
          <cell r="G61"/>
        </row>
        <row r="62">
          <cell r="C62"/>
          <cell r="D62"/>
          <cell r="E62"/>
          <cell r="F62"/>
          <cell r="G62"/>
        </row>
        <row r="63">
          <cell r="C63"/>
          <cell r="D63"/>
          <cell r="E63"/>
          <cell r="F63"/>
          <cell r="G63"/>
        </row>
        <row r="64">
          <cell r="C64"/>
          <cell r="D64"/>
          <cell r="E64"/>
          <cell r="F64"/>
          <cell r="G64"/>
        </row>
        <row r="65">
          <cell r="C65"/>
          <cell r="D65"/>
          <cell r="E65"/>
          <cell r="F65"/>
          <cell r="G65"/>
        </row>
        <row r="66">
          <cell r="C66"/>
          <cell r="D66"/>
          <cell r="E66"/>
          <cell r="F66"/>
          <cell r="G66"/>
        </row>
        <row r="67">
          <cell r="C67"/>
          <cell r="D67"/>
          <cell r="E67"/>
          <cell r="F67"/>
          <cell r="G67"/>
        </row>
        <row r="68">
          <cell r="C68"/>
          <cell r="D68"/>
          <cell r="E68"/>
          <cell r="F68"/>
          <cell r="G68"/>
        </row>
        <row r="69">
          <cell r="C69"/>
          <cell r="D69"/>
          <cell r="E69"/>
          <cell r="F69"/>
          <cell r="G69"/>
        </row>
        <row r="70">
          <cell r="C70"/>
          <cell r="D70"/>
          <cell r="E70"/>
          <cell r="F70"/>
          <cell r="G70"/>
        </row>
        <row r="71">
          <cell r="C71"/>
          <cell r="D71"/>
          <cell r="E71"/>
          <cell r="F71"/>
          <cell r="G71"/>
        </row>
        <row r="72">
          <cell r="C72"/>
          <cell r="D72"/>
          <cell r="E72"/>
          <cell r="F72"/>
          <cell r="G72"/>
        </row>
      </sheetData>
      <sheetData sheetId="9">
        <row r="4">
          <cell r="B4" t="str">
            <v>المساندة الفنية والامدادية لنظام (لايتنيق شيلد)</v>
          </cell>
        </row>
        <row r="5">
          <cell r="B5" t="str">
            <v>النقيب/مشعل السكران</v>
          </cell>
        </row>
        <row r="13">
          <cell r="C13"/>
          <cell r="D13"/>
          <cell r="E13"/>
          <cell r="F13"/>
          <cell r="G13"/>
        </row>
        <row r="14">
          <cell r="C14"/>
          <cell r="D14"/>
          <cell r="E14"/>
          <cell r="F14"/>
          <cell r="G14"/>
        </row>
        <row r="15">
          <cell r="C15"/>
          <cell r="D15"/>
          <cell r="E15"/>
          <cell r="F15"/>
          <cell r="G15"/>
        </row>
        <row r="16">
          <cell r="C16"/>
          <cell r="D16"/>
          <cell r="E16"/>
          <cell r="F16"/>
          <cell r="G16"/>
        </row>
        <row r="17">
          <cell r="C17"/>
          <cell r="D17"/>
          <cell r="E17"/>
          <cell r="F17"/>
          <cell r="G17"/>
        </row>
        <row r="18">
          <cell r="C18"/>
          <cell r="D18"/>
          <cell r="E18"/>
          <cell r="F18"/>
          <cell r="G18"/>
        </row>
        <row r="19">
          <cell r="C19"/>
          <cell r="D19"/>
          <cell r="E19"/>
          <cell r="F19"/>
          <cell r="G19"/>
        </row>
        <row r="20">
          <cell r="C20"/>
          <cell r="D20"/>
          <cell r="E20"/>
          <cell r="F20"/>
          <cell r="G20"/>
        </row>
        <row r="21">
          <cell r="C21"/>
          <cell r="D21"/>
          <cell r="E21"/>
          <cell r="F21"/>
          <cell r="G21"/>
        </row>
        <row r="22">
          <cell r="C22"/>
          <cell r="D22"/>
          <cell r="E22"/>
          <cell r="F22"/>
          <cell r="G22"/>
        </row>
        <row r="23">
          <cell r="C23"/>
          <cell r="D23"/>
          <cell r="E23"/>
          <cell r="F23"/>
          <cell r="G23"/>
        </row>
        <row r="24">
          <cell r="C24"/>
          <cell r="D24"/>
          <cell r="E24"/>
          <cell r="F24"/>
          <cell r="G24"/>
        </row>
        <row r="25">
          <cell r="C25"/>
          <cell r="D25"/>
          <cell r="E25"/>
          <cell r="F25"/>
          <cell r="G25"/>
        </row>
        <row r="26">
          <cell r="C26"/>
          <cell r="D26"/>
          <cell r="E26"/>
          <cell r="F26"/>
          <cell r="G26"/>
        </row>
        <row r="27">
          <cell r="C27"/>
          <cell r="D27"/>
          <cell r="E27"/>
          <cell r="F27"/>
          <cell r="G27"/>
        </row>
        <row r="28">
          <cell r="C28"/>
          <cell r="D28"/>
          <cell r="E28"/>
          <cell r="F28"/>
          <cell r="G28"/>
        </row>
        <row r="29">
          <cell r="C29"/>
          <cell r="D29"/>
          <cell r="E29"/>
          <cell r="F29"/>
          <cell r="G29"/>
        </row>
        <row r="30">
          <cell r="C30"/>
          <cell r="D30"/>
          <cell r="E30"/>
          <cell r="F30"/>
          <cell r="G30"/>
        </row>
        <row r="31">
          <cell r="C31"/>
          <cell r="D31"/>
          <cell r="E31"/>
          <cell r="F31"/>
          <cell r="G31"/>
        </row>
        <row r="32">
          <cell r="C32"/>
          <cell r="D32"/>
          <cell r="E32"/>
          <cell r="F32"/>
          <cell r="G32"/>
        </row>
        <row r="33">
          <cell r="C33"/>
          <cell r="D33"/>
          <cell r="E33"/>
          <cell r="F33"/>
          <cell r="G33"/>
        </row>
        <row r="34">
          <cell r="C34"/>
          <cell r="D34"/>
          <cell r="E34"/>
          <cell r="F34"/>
          <cell r="G34"/>
        </row>
        <row r="35">
          <cell r="C35"/>
          <cell r="D35"/>
          <cell r="E35"/>
          <cell r="F35"/>
          <cell r="G35"/>
        </row>
        <row r="36">
          <cell r="C36"/>
          <cell r="D36"/>
          <cell r="E36"/>
          <cell r="F36"/>
          <cell r="G36"/>
        </row>
        <row r="37">
          <cell r="C37"/>
          <cell r="D37"/>
          <cell r="E37"/>
          <cell r="F37"/>
          <cell r="G37"/>
        </row>
        <row r="38">
          <cell r="C38"/>
          <cell r="D38"/>
          <cell r="E38"/>
          <cell r="F38"/>
          <cell r="G38"/>
        </row>
        <row r="39">
          <cell r="C39"/>
          <cell r="D39"/>
          <cell r="E39"/>
          <cell r="F39"/>
          <cell r="G39"/>
        </row>
        <row r="40">
          <cell r="C40"/>
          <cell r="D40"/>
          <cell r="E40"/>
          <cell r="F40"/>
          <cell r="G40"/>
        </row>
        <row r="41">
          <cell r="C41"/>
          <cell r="D41"/>
          <cell r="E41"/>
          <cell r="F41"/>
          <cell r="G41"/>
        </row>
        <row r="42">
          <cell r="C42"/>
          <cell r="D42"/>
          <cell r="E42"/>
          <cell r="F42"/>
          <cell r="G42"/>
        </row>
        <row r="43">
          <cell r="C43"/>
          <cell r="D43"/>
          <cell r="E43"/>
          <cell r="F43"/>
          <cell r="G43"/>
        </row>
        <row r="44">
          <cell r="C44"/>
          <cell r="D44"/>
          <cell r="E44"/>
          <cell r="F44"/>
          <cell r="G44"/>
        </row>
        <row r="45">
          <cell r="C45"/>
          <cell r="D45"/>
          <cell r="E45"/>
          <cell r="F45"/>
          <cell r="G45"/>
        </row>
        <row r="46">
          <cell r="C46"/>
          <cell r="D46"/>
          <cell r="E46"/>
          <cell r="F46"/>
          <cell r="G46"/>
        </row>
        <row r="47">
          <cell r="C47"/>
          <cell r="D47"/>
          <cell r="E47"/>
          <cell r="F47"/>
          <cell r="G47"/>
        </row>
        <row r="48">
          <cell r="C48"/>
          <cell r="D48"/>
          <cell r="E48"/>
          <cell r="F48"/>
          <cell r="G48"/>
        </row>
        <row r="49">
          <cell r="C49"/>
          <cell r="D49"/>
          <cell r="E49"/>
          <cell r="F49"/>
          <cell r="G49"/>
        </row>
        <row r="50">
          <cell r="C50"/>
          <cell r="D50"/>
          <cell r="E50"/>
          <cell r="F50"/>
          <cell r="G50"/>
        </row>
        <row r="51">
          <cell r="C51"/>
          <cell r="D51"/>
          <cell r="E51"/>
          <cell r="F51"/>
          <cell r="G51"/>
        </row>
        <row r="52">
          <cell r="C52"/>
          <cell r="D52"/>
          <cell r="E52"/>
          <cell r="F52"/>
          <cell r="G52"/>
        </row>
        <row r="53">
          <cell r="C53"/>
          <cell r="D53"/>
          <cell r="E53"/>
          <cell r="F53"/>
          <cell r="G53"/>
        </row>
        <row r="54">
          <cell r="C54"/>
          <cell r="D54"/>
          <cell r="E54"/>
          <cell r="F54"/>
          <cell r="G54"/>
        </row>
        <row r="55">
          <cell r="C55"/>
          <cell r="D55"/>
          <cell r="E55"/>
          <cell r="F55"/>
          <cell r="G55"/>
        </row>
        <row r="56">
          <cell r="C56"/>
          <cell r="D56"/>
          <cell r="E56"/>
          <cell r="F56"/>
          <cell r="G56"/>
        </row>
        <row r="57">
          <cell r="C57"/>
          <cell r="D57"/>
          <cell r="E57"/>
          <cell r="F57"/>
          <cell r="G57"/>
        </row>
        <row r="58">
          <cell r="C58"/>
          <cell r="D58"/>
          <cell r="E58"/>
          <cell r="F58"/>
          <cell r="G58"/>
        </row>
        <row r="59">
          <cell r="C59"/>
          <cell r="D59"/>
          <cell r="E59"/>
          <cell r="F59"/>
          <cell r="G59"/>
        </row>
        <row r="60">
          <cell r="C60"/>
          <cell r="D60"/>
          <cell r="E60"/>
          <cell r="F60"/>
          <cell r="G60"/>
        </row>
        <row r="61">
          <cell r="C61"/>
          <cell r="D61"/>
          <cell r="E61"/>
          <cell r="F61"/>
          <cell r="G61"/>
        </row>
        <row r="62">
          <cell r="C62"/>
          <cell r="D62"/>
          <cell r="E62"/>
          <cell r="F62"/>
          <cell r="G62"/>
        </row>
        <row r="63">
          <cell r="C63"/>
          <cell r="D63"/>
          <cell r="E63"/>
          <cell r="F63"/>
          <cell r="G63"/>
        </row>
        <row r="64">
          <cell r="C64"/>
          <cell r="D64"/>
          <cell r="E64"/>
          <cell r="F64"/>
          <cell r="G64"/>
        </row>
        <row r="65">
          <cell r="C65"/>
          <cell r="D65"/>
          <cell r="E65"/>
          <cell r="F65"/>
          <cell r="G65"/>
        </row>
        <row r="66">
          <cell r="C66"/>
          <cell r="D66"/>
          <cell r="E66"/>
          <cell r="F66"/>
          <cell r="G66"/>
        </row>
        <row r="67">
          <cell r="C67"/>
          <cell r="D67"/>
          <cell r="E67"/>
          <cell r="F67"/>
          <cell r="G67"/>
        </row>
        <row r="68">
          <cell r="C68"/>
          <cell r="D68"/>
          <cell r="E68"/>
          <cell r="F68"/>
          <cell r="G68"/>
        </row>
        <row r="69">
          <cell r="C69"/>
          <cell r="D69"/>
          <cell r="E69"/>
          <cell r="F69"/>
          <cell r="G69"/>
        </row>
        <row r="70">
          <cell r="C70"/>
          <cell r="D70"/>
          <cell r="E70"/>
          <cell r="F70"/>
          <cell r="G70"/>
        </row>
        <row r="71">
          <cell r="C71"/>
          <cell r="D71"/>
          <cell r="E71"/>
          <cell r="F71"/>
          <cell r="G71"/>
        </row>
        <row r="72">
          <cell r="C72"/>
          <cell r="D72"/>
          <cell r="E72"/>
          <cell r="F72"/>
          <cell r="G72"/>
        </row>
      </sheetData>
      <sheetData sheetId="10">
        <row r="4">
          <cell r="B4" t="str">
            <v>اسم المشروع :عقد استدامة سفن (LCCV) والخدمات</v>
          </cell>
        </row>
        <row r="5">
          <cell r="B5" t="str">
            <v>فهد الحبشان</v>
          </cell>
        </row>
        <row r="13">
          <cell r="C13" t="str">
            <v>8 - Contract Execution</v>
          </cell>
          <cell r="D13"/>
          <cell r="E13" t="str">
            <v xml:space="preserve">تم حضور اول اجتماع check-in </v>
          </cell>
          <cell r="F13" t="str">
            <v>تمت الإفادة بأنه لا حاجة لحضور ممثلين لإدارة التكاليف بما ان المشروع في مرحلة التنفيذ الا في حالة الحاجة الى تعديل عقدي</v>
          </cell>
          <cell r="G13" t="str">
            <v>على المسار</v>
          </cell>
        </row>
        <row r="14">
          <cell r="C14"/>
          <cell r="D14"/>
          <cell r="E14"/>
          <cell r="F14"/>
          <cell r="G14"/>
        </row>
        <row r="15">
          <cell r="C15"/>
          <cell r="D15"/>
          <cell r="E15"/>
          <cell r="F15"/>
          <cell r="G15"/>
        </row>
        <row r="16">
          <cell r="C16"/>
          <cell r="D16"/>
          <cell r="E16"/>
          <cell r="F16"/>
          <cell r="G16"/>
        </row>
        <row r="17">
          <cell r="C17"/>
          <cell r="D17"/>
          <cell r="E17"/>
          <cell r="F17"/>
          <cell r="G17"/>
        </row>
        <row r="18">
          <cell r="C18"/>
          <cell r="D18"/>
          <cell r="E18"/>
          <cell r="F18"/>
          <cell r="G18"/>
        </row>
        <row r="19">
          <cell r="C19"/>
          <cell r="D19"/>
          <cell r="E19"/>
          <cell r="F19"/>
          <cell r="G19"/>
        </row>
        <row r="20">
          <cell r="C20"/>
          <cell r="D20"/>
          <cell r="E20"/>
          <cell r="F20"/>
          <cell r="G20"/>
        </row>
        <row r="21">
          <cell r="C21"/>
          <cell r="D21"/>
          <cell r="E21"/>
          <cell r="F21"/>
          <cell r="G21"/>
        </row>
        <row r="22">
          <cell r="C22"/>
          <cell r="D22"/>
          <cell r="E22"/>
          <cell r="F22"/>
          <cell r="G22"/>
        </row>
        <row r="23">
          <cell r="C23"/>
          <cell r="D23"/>
          <cell r="E23"/>
          <cell r="F23"/>
          <cell r="G23"/>
        </row>
        <row r="24">
          <cell r="C24"/>
          <cell r="D24"/>
          <cell r="E24"/>
          <cell r="F24"/>
          <cell r="G24"/>
        </row>
        <row r="25">
          <cell r="C25"/>
          <cell r="D25"/>
          <cell r="E25"/>
          <cell r="F25"/>
          <cell r="G25"/>
        </row>
        <row r="26">
          <cell r="C26"/>
          <cell r="D26"/>
          <cell r="E26"/>
          <cell r="F26"/>
          <cell r="G26"/>
        </row>
        <row r="27">
          <cell r="C27"/>
          <cell r="D27"/>
          <cell r="E27"/>
          <cell r="F27"/>
          <cell r="G27"/>
        </row>
        <row r="28">
          <cell r="C28"/>
          <cell r="D28"/>
          <cell r="E28"/>
          <cell r="F28"/>
          <cell r="G28"/>
        </row>
        <row r="29">
          <cell r="C29"/>
          <cell r="D29"/>
          <cell r="E29"/>
          <cell r="F29"/>
          <cell r="G29"/>
        </row>
        <row r="30">
          <cell r="C30"/>
          <cell r="D30"/>
          <cell r="E30"/>
          <cell r="F30"/>
          <cell r="G30"/>
        </row>
        <row r="31">
          <cell r="C31"/>
          <cell r="D31"/>
          <cell r="E31"/>
          <cell r="F31"/>
          <cell r="G31"/>
        </row>
        <row r="32">
          <cell r="C32"/>
          <cell r="D32"/>
          <cell r="E32"/>
          <cell r="F32"/>
          <cell r="G32"/>
        </row>
        <row r="33">
          <cell r="C33"/>
          <cell r="D33"/>
          <cell r="E33"/>
          <cell r="F33"/>
          <cell r="G33"/>
        </row>
        <row r="34">
          <cell r="C34"/>
          <cell r="D34"/>
          <cell r="E34"/>
          <cell r="F34"/>
          <cell r="G34"/>
        </row>
        <row r="35">
          <cell r="C35"/>
          <cell r="D35"/>
          <cell r="E35"/>
          <cell r="F35"/>
          <cell r="G35"/>
        </row>
        <row r="36">
          <cell r="C36"/>
          <cell r="D36"/>
          <cell r="E36"/>
          <cell r="F36"/>
          <cell r="G36"/>
        </row>
        <row r="37">
          <cell r="C37"/>
          <cell r="D37"/>
          <cell r="E37"/>
          <cell r="F37"/>
          <cell r="G37"/>
        </row>
        <row r="38">
          <cell r="C38"/>
          <cell r="D38"/>
          <cell r="E38"/>
          <cell r="F38"/>
          <cell r="G38"/>
        </row>
        <row r="39">
          <cell r="C39"/>
          <cell r="D39"/>
          <cell r="E39"/>
          <cell r="F39"/>
          <cell r="G39"/>
        </row>
        <row r="40">
          <cell r="C40"/>
          <cell r="D40"/>
          <cell r="E40"/>
          <cell r="F40"/>
          <cell r="G40"/>
        </row>
        <row r="41">
          <cell r="C41"/>
          <cell r="D41"/>
          <cell r="E41"/>
          <cell r="F41"/>
          <cell r="G41"/>
        </row>
        <row r="42">
          <cell r="C42"/>
          <cell r="D42"/>
          <cell r="E42"/>
          <cell r="F42"/>
          <cell r="G42"/>
        </row>
        <row r="43">
          <cell r="C43"/>
          <cell r="D43"/>
          <cell r="E43"/>
          <cell r="F43"/>
          <cell r="G43"/>
        </row>
        <row r="44">
          <cell r="C44"/>
          <cell r="D44"/>
          <cell r="E44"/>
          <cell r="F44"/>
          <cell r="G44"/>
        </row>
        <row r="45">
          <cell r="C45"/>
          <cell r="D45"/>
          <cell r="E45"/>
          <cell r="F45"/>
          <cell r="G45"/>
        </row>
        <row r="46">
          <cell r="C46"/>
          <cell r="D46"/>
          <cell r="E46"/>
          <cell r="F46"/>
          <cell r="G46"/>
        </row>
        <row r="47">
          <cell r="C47"/>
          <cell r="D47"/>
          <cell r="E47"/>
          <cell r="F47"/>
          <cell r="G47"/>
        </row>
        <row r="48">
          <cell r="C48"/>
          <cell r="D48"/>
          <cell r="E48"/>
          <cell r="F48"/>
          <cell r="G48"/>
        </row>
        <row r="49">
          <cell r="C49"/>
          <cell r="D49"/>
          <cell r="E49"/>
          <cell r="F49"/>
          <cell r="G49"/>
        </row>
        <row r="50">
          <cell r="C50"/>
          <cell r="D50"/>
          <cell r="E50"/>
          <cell r="F50"/>
          <cell r="G50"/>
        </row>
        <row r="51">
          <cell r="C51"/>
          <cell r="D51"/>
          <cell r="E51"/>
          <cell r="F51"/>
          <cell r="G51"/>
        </row>
        <row r="52">
          <cell r="C52"/>
          <cell r="D52"/>
          <cell r="E52"/>
          <cell r="F52"/>
          <cell r="G52"/>
        </row>
        <row r="53">
          <cell r="C53"/>
          <cell r="D53"/>
          <cell r="E53"/>
          <cell r="F53"/>
          <cell r="G53"/>
        </row>
        <row r="54">
          <cell r="C54"/>
          <cell r="D54"/>
          <cell r="E54"/>
          <cell r="F54"/>
          <cell r="G54"/>
        </row>
        <row r="55">
          <cell r="C55"/>
          <cell r="D55"/>
          <cell r="E55"/>
          <cell r="F55"/>
          <cell r="G55"/>
        </row>
        <row r="56">
          <cell r="C56"/>
          <cell r="D56"/>
          <cell r="E56"/>
          <cell r="F56"/>
          <cell r="G56"/>
        </row>
        <row r="57">
          <cell r="C57"/>
          <cell r="D57"/>
          <cell r="E57"/>
          <cell r="F57"/>
          <cell r="G57"/>
        </row>
        <row r="58">
          <cell r="C58"/>
          <cell r="D58"/>
          <cell r="E58"/>
          <cell r="F58"/>
          <cell r="G58"/>
        </row>
        <row r="59">
          <cell r="C59"/>
          <cell r="D59"/>
          <cell r="E59"/>
          <cell r="F59"/>
          <cell r="G59"/>
        </row>
        <row r="60">
          <cell r="C60"/>
          <cell r="D60"/>
          <cell r="E60"/>
          <cell r="F60"/>
          <cell r="G60"/>
        </row>
        <row r="61">
          <cell r="C61"/>
          <cell r="D61"/>
          <cell r="E61"/>
          <cell r="F61"/>
          <cell r="G61"/>
        </row>
        <row r="62">
          <cell r="C62"/>
          <cell r="D62"/>
          <cell r="E62"/>
          <cell r="F62"/>
          <cell r="G62"/>
        </row>
        <row r="63">
          <cell r="C63"/>
          <cell r="D63"/>
          <cell r="E63"/>
          <cell r="F63"/>
          <cell r="G63"/>
        </row>
        <row r="64">
          <cell r="C64"/>
          <cell r="D64"/>
          <cell r="E64"/>
          <cell r="F64"/>
          <cell r="G64"/>
        </row>
        <row r="65">
          <cell r="C65"/>
          <cell r="D65"/>
          <cell r="E65"/>
          <cell r="F65"/>
          <cell r="G65"/>
        </row>
        <row r="66">
          <cell r="C66"/>
          <cell r="D66"/>
          <cell r="E66"/>
          <cell r="F66"/>
          <cell r="G66"/>
        </row>
        <row r="67">
          <cell r="C67"/>
          <cell r="D67"/>
          <cell r="E67"/>
          <cell r="F67"/>
          <cell r="G67"/>
        </row>
        <row r="68">
          <cell r="C68"/>
          <cell r="D68"/>
          <cell r="E68"/>
          <cell r="F68"/>
          <cell r="G68"/>
        </row>
        <row r="69">
          <cell r="C69"/>
          <cell r="D69"/>
          <cell r="E69"/>
          <cell r="F69"/>
          <cell r="G69"/>
        </row>
        <row r="70">
          <cell r="C70"/>
          <cell r="D70"/>
          <cell r="E70"/>
          <cell r="F70"/>
          <cell r="G70"/>
        </row>
        <row r="71">
          <cell r="C71"/>
          <cell r="D71"/>
          <cell r="E71"/>
          <cell r="F71"/>
          <cell r="G71"/>
        </row>
        <row r="72">
          <cell r="C72"/>
          <cell r="D72"/>
          <cell r="E72"/>
          <cell r="F72"/>
          <cell r="G72"/>
        </row>
      </sheetData>
      <sheetData sheetId="11">
        <row r="4">
          <cell r="B4" t="str">
            <v xml:space="preserve"> مشروع عقد قطع غيار وإصلاح مولدات الطاقة </v>
          </cell>
        </row>
        <row r="5">
          <cell r="B5" t="str">
            <v>عبدالمجيد ال عمامة</v>
          </cell>
        </row>
        <row r="13">
          <cell r="C13" t="str">
            <v>2 - Needs Identification</v>
          </cell>
          <cell r="D13"/>
          <cell r="E13" t="str">
            <v>الـ PPP&amp;B أفادوا بأن الـ ARF تم استلامه من قبل الجهة المستفيدة وتم مشاركته مع مدير المشروع للمراجعة</v>
          </cell>
          <cell r="F13" t="str">
            <v xml:space="preserve"> تم استلام ARF من قبل الجهة المستفيدة وتم مشاركته مع مدير المشروع للمراجعة</v>
          </cell>
          <cell r="G13" t="str">
            <v>على المسار</v>
          </cell>
        </row>
        <row r="14">
          <cell r="C14"/>
          <cell r="D14"/>
          <cell r="E14"/>
          <cell r="F14"/>
        </row>
        <row r="15">
          <cell r="C15"/>
          <cell r="D15"/>
          <cell r="E15"/>
          <cell r="F15"/>
          <cell r="G15"/>
        </row>
        <row r="16">
          <cell r="C16"/>
          <cell r="D16"/>
          <cell r="E16"/>
          <cell r="F16"/>
          <cell r="G16"/>
        </row>
        <row r="17">
          <cell r="C17"/>
          <cell r="D17"/>
          <cell r="E17"/>
          <cell r="F17"/>
          <cell r="G17"/>
        </row>
        <row r="18">
          <cell r="C18"/>
          <cell r="D18"/>
          <cell r="E18"/>
          <cell r="F18"/>
          <cell r="G18"/>
        </row>
        <row r="19">
          <cell r="C19"/>
          <cell r="D19"/>
          <cell r="E19"/>
          <cell r="F19"/>
          <cell r="G19"/>
        </row>
        <row r="20">
          <cell r="C20"/>
          <cell r="D20"/>
          <cell r="E20"/>
          <cell r="F20"/>
          <cell r="G20"/>
        </row>
        <row r="21">
          <cell r="C21"/>
          <cell r="D21"/>
          <cell r="E21"/>
          <cell r="F21"/>
          <cell r="G21"/>
        </row>
        <row r="22">
          <cell r="C22"/>
          <cell r="D22"/>
          <cell r="E22"/>
          <cell r="F22"/>
          <cell r="G22"/>
        </row>
        <row r="23">
          <cell r="C23"/>
          <cell r="D23"/>
          <cell r="E23"/>
          <cell r="F23"/>
          <cell r="G23"/>
        </row>
        <row r="24">
          <cell r="C24"/>
          <cell r="D24"/>
          <cell r="E24"/>
          <cell r="F24"/>
          <cell r="G24"/>
        </row>
        <row r="25">
          <cell r="C25"/>
          <cell r="D25"/>
          <cell r="E25"/>
          <cell r="F25"/>
          <cell r="G25"/>
        </row>
        <row r="26">
          <cell r="C26"/>
          <cell r="D26"/>
          <cell r="E26"/>
          <cell r="F26"/>
          <cell r="G26"/>
        </row>
        <row r="27">
          <cell r="C27"/>
          <cell r="D27"/>
          <cell r="E27"/>
          <cell r="F27"/>
          <cell r="G27"/>
        </row>
        <row r="28">
          <cell r="C28"/>
          <cell r="D28"/>
          <cell r="E28"/>
          <cell r="F28"/>
          <cell r="G28"/>
        </row>
        <row r="29">
          <cell r="C29"/>
          <cell r="D29"/>
          <cell r="E29"/>
          <cell r="F29"/>
          <cell r="G29"/>
        </row>
        <row r="30">
          <cell r="C30"/>
          <cell r="D30"/>
          <cell r="E30"/>
          <cell r="F30"/>
          <cell r="G30"/>
        </row>
        <row r="31">
          <cell r="C31"/>
          <cell r="D31"/>
          <cell r="E31"/>
          <cell r="F31"/>
          <cell r="G31"/>
        </row>
        <row r="32">
          <cell r="C32"/>
          <cell r="D32"/>
          <cell r="E32"/>
          <cell r="F32"/>
          <cell r="G32"/>
        </row>
        <row r="33">
          <cell r="C33"/>
          <cell r="D33"/>
          <cell r="E33"/>
          <cell r="F33"/>
          <cell r="G33"/>
        </row>
        <row r="34">
          <cell r="C34"/>
          <cell r="D34"/>
          <cell r="E34"/>
          <cell r="F34"/>
          <cell r="G34"/>
        </row>
        <row r="35">
          <cell r="C35"/>
          <cell r="D35"/>
          <cell r="E35"/>
          <cell r="F35"/>
          <cell r="G35"/>
        </row>
        <row r="36">
          <cell r="C36"/>
          <cell r="D36"/>
          <cell r="E36"/>
          <cell r="F36"/>
          <cell r="G36"/>
        </row>
        <row r="37">
          <cell r="C37"/>
          <cell r="D37"/>
          <cell r="E37"/>
          <cell r="F37"/>
          <cell r="G37"/>
        </row>
        <row r="38">
          <cell r="C38"/>
          <cell r="D38"/>
          <cell r="E38"/>
          <cell r="F38"/>
          <cell r="G38"/>
        </row>
        <row r="39">
          <cell r="C39"/>
          <cell r="D39"/>
          <cell r="E39"/>
          <cell r="F39"/>
          <cell r="G39"/>
        </row>
        <row r="40">
          <cell r="C40"/>
          <cell r="D40"/>
          <cell r="E40"/>
          <cell r="F40"/>
          <cell r="G40"/>
        </row>
        <row r="41">
          <cell r="C41"/>
          <cell r="D41"/>
          <cell r="E41"/>
          <cell r="F41"/>
          <cell r="G41"/>
        </row>
        <row r="42">
          <cell r="C42"/>
          <cell r="D42"/>
          <cell r="E42"/>
          <cell r="F42"/>
          <cell r="G42"/>
        </row>
        <row r="43">
          <cell r="C43"/>
          <cell r="D43"/>
          <cell r="E43"/>
          <cell r="F43"/>
          <cell r="G43"/>
        </row>
        <row r="44">
          <cell r="C44"/>
          <cell r="D44"/>
          <cell r="E44"/>
          <cell r="F44"/>
          <cell r="G44"/>
        </row>
        <row r="45">
          <cell r="C45"/>
          <cell r="D45"/>
          <cell r="E45"/>
          <cell r="F45"/>
          <cell r="G45"/>
        </row>
        <row r="46">
          <cell r="C46"/>
          <cell r="D46"/>
          <cell r="E46"/>
          <cell r="F46"/>
          <cell r="G46"/>
        </row>
        <row r="47">
          <cell r="C47"/>
          <cell r="D47"/>
          <cell r="E47"/>
          <cell r="F47"/>
          <cell r="G47"/>
        </row>
        <row r="48">
          <cell r="C48"/>
          <cell r="D48"/>
          <cell r="E48"/>
          <cell r="F48"/>
          <cell r="G48"/>
        </row>
        <row r="49">
          <cell r="C49"/>
          <cell r="D49"/>
          <cell r="E49"/>
          <cell r="F49"/>
          <cell r="G49"/>
        </row>
        <row r="50">
          <cell r="C50"/>
          <cell r="D50"/>
          <cell r="E50"/>
          <cell r="F50"/>
          <cell r="G50"/>
        </row>
        <row r="51">
          <cell r="C51"/>
          <cell r="D51"/>
          <cell r="E51"/>
          <cell r="F51"/>
          <cell r="G51"/>
        </row>
        <row r="52">
          <cell r="C52"/>
          <cell r="D52"/>
          <cell r="E52"/>
          <cell r="F52"/>
          <cell r="G52"/>
        </row>
        <row r="53">
          <cell r="C53"/>
          <cell r="D53"/>
          <cell r="E53"/>
          <cell r="F53"/>
          <cell r="G53"/>
        </row>
        <row r="54">
          <cell r="C54"/>
          <cell r="D54"/>
          <cell r="E54"/>
          <cell r="F54"/>
          <cell r="G54"/>
        </row>
        <row r="55">
          <cell r="C55"/>
          <cell r="D55"/>
          <cell r="E55"/>
          <cell r="F55"/>
          <cell r="G55"/>
        </row>
        <row r="56">
          <cell r="C56"/>
          <cell r="D56"/>
          <cell r="E56"/>
          <cell r="F56"/>
          <cell r="G56"/>
        </row>
        <row r="57">
          <cell r="C57"/>
          <cell r="D57"/>
          <cell r="E57"/>
          <cell r="F57"/>
          <cell r="G57"/>
        </row>
        <row r="58">
          <cell r="C58"/>
          <cell r="D58"/>
          <cell r="E58"/>
          <cell r="F58"/>
          <cell r="G58"/>
        </row>
        <row r="59">
          <cell r="C59"/>
          <cell r="D59"/>
          <cell r="E59"/>
          <cell r="F59"/>
          <cell r="G59"/>
        </row>
        <row r="60">
          <cell r="C60"/>
          <cell r="D60"/>
          <cell r="E60"/>
          <cell r="F60"/>
          <cell r="G60"/>
        </row>
        <row r="61">
          <cell r="C61"/>
          <cell r="D61"/>
          <cell r="E61"/>
          <cell r="F61"/>
          <cell r="G61"/>
        </row>
        <row r="62">
          <cell r="C62"/>
          <cell r="D62"/>
          <cell r="E62"/>
          <cell r="F62"/>
          <cell r="G62"/>
        </row>
        <row r="63">
          <cell r="C63"/>
          <cell r="D63"/>
          <cell r="E63"/>
          <cell r="F63"/>
          <cell r="G63"/>
        </row>
        <row r="64">
          <cell r="C64"/>
          <cell r="D64"/>
          <cell r="E64"/>
          <cell r="F64"/>
          <cell r="G64"/>
        </row>
        <row r="65">
          <cell r="C65"/>
          <cell r="D65"/>
          <cell r="E65"/>
          <cell r="F65"/>
          <cell r="G65"/>
        </row>
        <row r="66">
          <cell r="C66"/>
          <cell r="D66"/>
          <cell r="E66"/>
          <cell r="F66"/>
          <cell r="G66"/>
        </row>
        <row r="67">
          <cell r="C67"/>
          <cell r="D67"/>
          <cell r="E67"/>
          <cell r="F67"/>
          <cell r="G67"/>
        </row>
        <row r="68">
          <cell r="C68"/>
          <cell r="D68"/>
          <cell r="E68"/>
          <cell r="F68"/>
          <cell r="G68"/>
        </row>
        <row r="69">
          <cell r="C69"/>
          <cell r="D69"/>
          <cell r="E69"/>
          <cell r="F69"/>
          <cell r="G69"/>
        </row>
        <row r="70">
          <cell r="C70"/>
          <cell r="D70"/>
          <cell r="E70"/>
          <cell r="F70"/>
          <cell r="G70"/>
        </row>
        <row r="71">
          <cell r="C71"/>
          <cell r="D71"/>
          <cell r="E71"/>
          <cell r="F71"/>
          <cell r="G71"/>
        </row>
        <row r="72">
          <cell r="C72"/>
          <cell r="D72"/>
          <cell r="E72"/>
          <cell r="F72"/>
          <cell r="G72"/>
        </row>
      </sheetData>
      <sheetData sheetId="12"/>
      <sheetData sheetId="13">
        <row r="2">
          <cell r="A2" t="str">
            <v>CES</v>
          </cell>
          <cell r="B2" t="str">
            <v>Detailed LCCE</v>
          </cell>
        </row>
        <row r="3">
          <cell r="A3" t="str">
            <v>High Level LCCE</v>
          </cell>
          <cell r="B3" t="str">
            <v>Validation</v>
          </cell>
        </row>
        <row r="4">
          <cell r="B4" t="str">
            <v>Independent LCCE</v>
          </cell>
        </row>
        <row r="5">
          <cell r="B5" t="str">
            <v>TCO</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ISSUES"/>
      <sheetName val="Project Log"/>
      <sheetName val="SS-01"/>
      <sheetName val="SS-02"/>
      <sheetName val="Sheet1"/>
      <sheetName val="SS-03"/>
      <sheetName val="SS-04"/>
      <sheetName val="SS-05"/>
      <sheetName val="SS-06"/>
      <sheetName val="SS-07"/>
      <sheetName val="MM"/>
      <sheetName val="_REF"/>
    </sheetNames>
    <sheetDataSet>
      <sheetData sheetId="0"/>
      <sheetData sheetId="1"/>
      <sheetData sheetId="2"/>
      <sheetData sheetId="3">
        <row r="4">
          <cell r="B4" t="str">
            <v>توفير مواد خام وقطع الغيار لمطابع وزارة الدفاع (اتفاقية اطارية)</v>
          </cell>
        </row>
        <row r="5">
          <cell r="B5" t="str">
            <v>عادل الحمياني</v>
          </cell>
        </row>
        <row r="13">
          <cell r="C13" t="str">
            <v>3 - Affordability Estimate</v>
          </cell>
          <cell r="D13" t="str">
            <v>Detailed LCCE</v>
          </cell>
          <cell r="E13" t="str">
            <v xml:space="preserve">تم تزويدنا بملف الأسعار والكميات المتوقعة للمشروع </v>
          </cell>
          <cell r="F13"/>
          <cell r="G13" t="str">
            <v>مكتمل</v>
          </cell>
        </row>
        <row r="14">
          <cell r="C14" t="str">
            <v>3 - Affordability Estimate</v>
          </cell>
          <cell r="D14" t="str">
            <v>Detailed LCCE</v>
          </cell>
          <cell r="E14" t="str">
            <v xml:space="preserve">تم ارسال ايميل لمدير المشروع  بعدم وجود تفاصيل كافية </v>
          </cell>
          <cell r="F14" t="str">
            <v xml:space="preserve">1.	البنود في الورق والرول من (102الى 105) لم يتم ذكر الكميات المطلوبة 
2.	البنود في قطع غيار الصيانة من (296الى 297) لم يتم ذكر تفاصيل كافية لدراسة البند </v>
          </cell>
          <cell r="G14" t="str">
            <v>مكتمل</v>
          </cell>
        </row>
        <row r="15">
          <cell r="C15" t="str">
            <v>3 - Affordability Estimate</v>
          </cell>
          <cell r="D15" t="str">
            <v>Detailed LCCE</v>
          </cell>
          <cell r="E15" t="str">
            <v xml:space="preserve">تم تزويدنا  بقائمة الافتراضات </v>
          </cell>
          <cell r="F15"/>
          <cell r="G15" t="str">
            <v>مكتمل</v>
          </cell>
        </row>
        <row r="16">
          <cell r="C16" t="str">
            <v>3 - Affordability Estimate</v>
          </cell>
          <cell r="D16" t="str">
            <v>Detailed LCCE</v>
          </cell>
          <cell r="E16" t="str">
            <v>تم تزويدنا بأتفاقية اطارية جديدة  وبنود جديدة</v>
          </cell>
          <cell r="F16" t="str">
            <v>إعادة تعيين اغلب البنود في جداول الكميات</v>
          </cell>
          <cell r="G16" t="str">
            <v>مكتمل</v>
          </cell>
        </row>
        <row r="17">
          <cell r="C17" t="str">
            <v>3 - Affordability Estimate</v>
          </cell>
          <cell r="D17" t="str">
            <v>Detailed LCCE</v>
          </cell>
          <cell r="E17" t="str">
            <v>تم ارسال ايميل لمدير المشروع بوجود ملاحظات على الكراسة</v>
          </cell>
          <cell r="F17"/>
          <cell r="G17" t="str">
            <v>مكتمل</v>
          </cell>
        </row>
        <row r="18">
          <cell r="C18" t="str">
            <v>3 - Affordability Estimate</v>
          </cell>
          <cell r="D18" t="str">
            <v>Detailed LCCE</v>
          </cell>
          <cell r="E18" t="str">
            <v xml:space="preserve">تم تزويدنا بالكميات المتوقعة </v>
          </cell>
          <cell r="F18"/>
          <cell r="G18" t="str">
            <v>مكتمل</v>
          </cell>
        </row>
        <row r="19">
          <cell r="C19" t="str">
            <v>3 - Affordability Estimate</v>
          </cell>
          <cell r="D19" t="str">
            <v>Detailed LCCE</v>
          </cell>
          <cell r="E19" t="str">
            <v xml:space="preserve">مناقشة نموذج LCCE  مع مدير المشروع </v>
          </cell>
          <cell r="F19" t="str">
            <v>عدم وجود ملاحظات على النموذج</v>
          </cell>
          <cell r="G19" t="str">
            <v>مكتمل</v>
          </cell>
        </row>
        <row r="20">
          <cell r="C20" t="str">
            <v>3 - Affordability Estimate</v>
          </cell>
          <cell r="D20" t="str">
            <v>Validation</v>
          </cell>
          <cell r="E20" t="str">
            <v>تم المناقشة والمراجعة مع الزميلة منال والموافقة ماجاء في نموذج LCCE</v>
          </cell>
          <cell r="F20"/>
          <cell r="G20" t="str">
            <v>مكتمل</v>
          </cell>
        </row>
        <row r="21">
          <cell r="C21" t="str">
            <v>3 - Affordability Estimate</v>
          </cell>
          <cell r="D21" t="str">
            <v>Detailed LCCE</v>
          </cell>
          <cell r="E21" t="str">
            <v>تم ارسال LCCE لمدير المشروع</v>
          </cell>
          <cell r="F21"/>
          <cell r="G21" t="str">
            <v>مكتمل</v>
          </cell>
        </row>
        <row r="22">
          <cell r="C22" t="str">
            <v>3 - Affordability Estimate</v>
          </cell>
          <cell r="D22" t="str">
            <v>Detailed LCCE</v>
          </cell>
          <cell r="E22" t="str">
            <v>تم تزويدنا بأيميل من مدير المشروع بعدم وجود ملاحظات على نموذج LCCE</v>
          </cell>
          <cell r="F22"/>
          <cell r="G22" t="str">
            <v>مكتمل</v>
          </cell>
        </row>
        <row r="23">
          <cell r="C23" t="str">
            <v>3 - Affordability Estimate</v>
          </cell>
          <cell r="D23" t="str">
            <v>Independent LCCE</v>
          </cell>
          <cell r="E23" t="str">
            <v>تم استقبال ايميل من قبل مدير المشروع يطلب فية عمل نموذج LCCE  مستقل ان تطلب الامر</v>
          </cell>
          <cell r="F23"/>
          <cell r="G23" t="str">
            <v>مكتمل</v>
          </cell>
        </row>
        <row r="24">
          <cell r="C24" t="str">
            <v>3 - Affordability Estimate</v>
          </cell>
          <cell r="D24" t="str">
            <v>Independent LCCE</v>
          </cell>
          <cell r="E24" t="str">
            <v>ارسال لمدير المشروع ايميل بعدم الحاجة الى عمل نموذج LCCE  مستقل</v>
          </cell>
          <cell r="F24"/>
          <cell r="G24" t="str">
            <v>مكتمل</v>
          </cell>
        </row>
        <row r="25">
          <cell r="C25" t="str">
            <v>3 - Affordability Estimate</v>
          </cell>
          <cell r="D25" t="str">
            <v>TCO</v>
          </cell>
          <cell r="E25" t="str">
            <v xml:space="preserve">طلب مدير المشروع عمل TCO  </v>
          </cell>
          <cell r="F25" t="str">
            <v xml:space="preserve">تم توضيح من قبل مدير المشروع بعدم وجود أي تكاليف إضافية بعد التواصل مع الجهة المستفيدة </v>
          </cell>
          <cell r="G25" t="str">
            <v>مكتمل</v>
          </cell>
        </row>
        <row r="26">
          <cell r="C26" t="str">
            <v>3 - Affordability Estimate</v>
          </cell>
          <cell r="D26" t="str">
            <v>TCO</v>
          </cell>
          <cell r="E26" t="str">
            <v xml:space="preserve">تم ارسال نموذج TCO </v>
          </cell>
          <cell r="F26" t="str">
            <v xml:space="preserve">تم تذكر بان تكلفة LCCE  مساوية لي تكلفة TCO  وذلك لعدم وجود أي تكاليف إضافية </v>
          </cell>
          <cell r="G26" t="str">
            <v>مكتمل</v>
          </cell>
        </row>
        <row r="27">
          <cell r="C27" t="str">
            <v>3 - Affordability Estimate</v>
          </cell>
          <cell r="D27" t="str">
            <v>Detailed LCCE</v>
          </cell>
          <cell r="E27" t="str">
            <v xml:space="preserve">بانتظار تأييد الجهة المستفيدة لـLCCE </v>
          </cell>
          <cell r="F27"/>
          <cell r="G27" t="str">
            <v>مكتمل</v>
          </cell>
        </row>
        <row r="28">
          <cell r="C28" t="str">
            <v>3 - Affordability Estimate</v>
          </cell>
          <cell r="D28" t="str">
            <v>Detailed LCCE</v>
          </cell>
          <cell r="E28" t="str">
            <v>تم تأكيد بعدم وجود أي ملاحظات على LCCE  من الجهة المستفيدة</v>
          </cell>
          <cell r="F28" t="str">
            <v>باجتماع اليوم كان رد مدير المشروع بان الجهة المستفيدة لا توجد لديها أي ملاحظات على نموذج LCCE  بالإضافة الى عدم وجود أي اختلاف في الارتباط المالي مقارنة بالتكلفة التقديرية الأولية .</v>
          </cell>
          <cell r="G28" t="str">
            <v>مكتمل</v>
          </cell>
        </row>
        <row r="29">
          <cell r="C29" t="str">
            <v>4 - Tender Pack Development</v>
          </cell>
          <cell r="D29" t="str">
            <v>Detailed LCCE</v>
          </cell>
          <cell r="E29" t="str">
            <v>لم يتم حضور الاجتماع</v>
          </cell>
          <cell r="F29" t="str">
            <v>لم يتم حضور الاجتماع</v>
          </cell>
          <cell r="G29" t="str">
            <v>مكتمل</v>
          </cell>
        </row>
        <row r="30">
          <cell r="C30" t="str">
            <v>4 - Tender Pack Development</v>
          </cell>
          <cell r="D30" t="str">
            <v>Detailed LCCE</v>
          </cell>
          <cell r="E30" t="str">
            <v xml:space="preserve">لايوجد أي جراء على مقدر التكلفة </v>
          </cell>
          <cell r="F30" t="str">
            <v xml:space="preserve">الان في مرحلة اعداد الكراسة من قبل مدير المشروع </v>
          </cell>
          <cell r="G30" t="str">
            <v>مكتمل</v>
          </cell>
        </row>
        <row r="31">
          <cell r="C31"/>
          <cell r="D31"/>
          <cell r="E31"/>
          <cell r="F31"/>
          <cell r="G31"/>
        </row>
        <row r="32">
          <cell r="C32"/>
          <cell r="D32"/>
          <cell r="E32"/>
          <cell r="F32"/>
          <cell r="G32"/>
        </row>
        <row r="33">
          <cell r="C33"/>
          <cell r="D33"/>
          <cell r="E33"/>
          <cell r="F33"/>
          <cell r="G33"/>
        </row>
        <row r="34">
          <cell r="C34"/>
          <cell r="D34"/>
          <cell r="E34"/>
          <cell r="F34"/>
          <cell r="G34"/>
        </row>
        <row r="35">
          <cell r="C35"/>
          <cell r="D35"/>
          <cell r="E35"/>
          <cell r="F35"/>
          <cell r="G35"/>
        </row>
        <row r="36">
          <cell r="C36"/>
          <cell r="D36"/>
          <cell r="E36"/>
          <cell r="F36"/>
          <cell r="G36"/>
        </row>
        <row r="37">
          <cell r="C37"/>
          <cell r="D37"/>
          <cell r="E37"/>
          <cell r="F37"/>
          <cell r="G37"/>
        </row>
        <row r="38">
          <cell r="C38"/>
          <cell r="D38"/>
          <cell r="E38"/>
          <cell r="F38"/>
          <cell r="G38"/>
        </row>
        <row r="39">
          <cell r="C39"/>
          <cell r="D39"/>
          <cell r="E39"/>
          <cell r="F39"/>
          <cell r="G39"/>
        </row>
        <row r="40">
          <cell r="C40"/>
          <cell r="D40"/>
          <cell r="E40"/>
          <cell r="F40"/>
          <cell r="G40"/>
        </row>
        <row r="41">
          <cell r="C41"/>
          <cell r="D41"/>
          <cell r="E41"/>
          <cell r="F41"/>
          <cell r="G41"/>
        </row>
        <row r="42">
          <cell r="C42"/>
          <cell r="D42"/>
          <cell r="E42"/>
          <cell r="F42"/>
          <cell r="G42"/>
        </row>
        <row r="43">
          <cell r="C43"/>
          <cell r="D43"/>
          <cell r="E43"/>
          <cell r="F43"/>
          <cell r="G43"/>
        </row>
        <row r="44">
          <cell r="C44"/>
          <cell r="D44"/>
          <cell r="E44"/>
          <cell r="F44"/>
          <cell r="G44"/>
        </row>
        <row r="45">
          <cell r="C45"/>
          <cell r="D45"/>
          <cell r="E45"/>
          <cell r="F45"/>
          <cell r="G45"/>
        </row>
        <row r="46">
          <cell r="C46"/>
          <cell r="D46"/>
          <cell r="E46"/>
          <cell r="F46"/>
          <cell r="G46"/>
        </row>
        <row r="47">
          <cell r="C47"/>
          <cell r="D47"/>
          <cell r="E47"/>
          <cell r="F47"/>
          <cell r="G47"/>
        </row>
        <row r="48">
          <cell r="C48"/>
          <cell r="D48"/>
          <cell r="E48"/>
          <cell r="F48"/>
          <cell r="G48"/>
        </row>
        <row r="49">
          <cell r="C49"/>
          <cell r="D49"/>
          <cell r="E49"/>
          <cell r="F49"/>
          <cell r="G49"/>
        </row>
        <row r="50">
          <cell r="C50"/>
          <cell r="D50"/>
          <cell r="E50"/>
          <cell r="F50"/>
          <cell r="G50"/>
        </row>
        <row r="51">
          <cell r="C51"/>
          <cell r="D51"/>
          <cell r="E51"/>
          <cell r="F51"/>
          <cell r="G51"/>
        </row>
        <row r="52">
          <cell r="C52"/>
          <cell r="D52"/>
          <cell r="E52"/>
          <cell r="F52"/>
          <cell r="G52"/>
        </row>
        <row r="53">
          <cell r="C53"/>
          <cell r="D53"/>
          <cell r="E53"/>
          <cell r="F53"/>
          <cell r="G53"/>
        </row>
        <row r="54">
          <cell r="C54"/>
          <cell r="D54"/>
          <cell r="E54"/>
          <cell r="F54"/>
          <cell r="G54"/>
        </row>
        <row r="55">
          <cell r="C55"/>
          <cell r="D55"/>
          <cell r="E55"/>
          <cell r="F55"/>
          <cell r="G55"/>
        </row>
        <row r="56">
          <cell r="C56"/>
          <cell r="D56"/>
          <cell r="E56"/>
          <cell r="F56"/>
          <cell r="G56"/>
        </row>
        <row r="57">
          <cell r="C57"/>
          <cell r="D57"/>
          <cell r="E57"/>
          <cell r="F57"/>
          <cell r="G57"/>
        </row>
        <row r="58">
          <cell r="C58"/>
          <cell r="D58"/>
          <cell r="E58"/>
          <cell r="F58"/>
          <cell r="G58"/>
        </row>
        <row r="59">
          <cell r="C59"/>
          <cell r="D59"/>
          <cell r="E59"/>
          <cell r="F59"/>
          <cell r="G59"/>
        </row>
        <row r="60">
          <cell r="C60"/>
          <cell r="D60"/>
          <cell r="E60"/>
          <cell r="F60"/>
          <cell r="G60"/>
        </row>
        <row r="61">
          <cell r="C61"/>
          <cell r="D61"/>
          <cell r="E61"/>
          <cell r="F61"/>
          <cell r="G61"/>
        </row>
        <row r="62">
          <cell r="C62"/>
          <cell r="D62"/>
          <cell r="E62"/>
          <cell r="F62"/>
          <cell r="G62"/>
        </row>
        <row r="63">
          <cell r="C63"/>
          <cell r="D63"/>
          <cell r="E63"/>
          <cell r="F63"/>
          <cell r="G63"/>
        </row>
        <row r="64">
          <cell r="C64"/>
          <cell r="D64"/>
          <cell r="E64"/>
          <cell r="F64"/>
          <cell r="G64"/>
        </row>
        <row r="65">
          <cell r="C65"/>
          <cell r="D65"/>
          <cell r="E65"/>
          <cell r="F65"/>
          <cell r="G65"/>
        </row>
        <row r="66">
          <cell r="C66"/>
          <cell r="D66"/>
          <cell r="E66"/>
          <cell r="F66"/>
          <cell r="G66"/>
        </row>
        <row r="67">
          <cell r="C67"/>
          <cell r="D67"/>
          <cell r="E67"/>
          <cell r="F67"/>
          <cell r="G67"/>
        </row>
        <row r="68">
          <cell r="C68"/>
          <cell r="D68"/>
          <cell r="E68"/>
          <cell r="F68"/>
          <cell r="G68"/>
        </row>
        <row r="69">
          <cell r="C69"/>
          <cell r="D69"/>
          <cell r="E69"/>
          <cell r="F69"/>
          <cell r="G69"/>
        </row>
        <row r="70">
          <cell r="C70"/>
          <cell r="D70"/>
          <cell r="E70"/>
          <cell r="F70"/>
          <cell r="G70"/>
        </row>
        <row r="71">
          <cell r="C71"/>
          <cell r="D71"/>
          <cell r="E71"/>
          <cell r="F71"/>
          <cell r="G71"/>
        </row>
        <row r="72">
          <cell r="C72"/>
          <cell r="D72"/>
          <cell r="E72"/>
          <cell r="F72"/>
          <cell r="G72"/>
        </row>
      </sheetData>
      <sheetData sheetId="4">
        <row r="4">
          <cell r="B4" t="str">
            <v>توريد وتخديم المواد الغذائية لمرافق الأندية والضيافات بالمنطقة الوسطى</v>
          </cell>
        </row>
        <row r="5">
          <cell r="B5" t="str">
            <v>محمد الطويرش</v>
          </cell>
        </row>
        <row r="13">
          <cell r="C13" t="str">
            <v>3 - Affordability Estimate</v>
          </cell>
          <cell r="D13" t="str">
            <v>Detailed LCCE</v>
          </cell>
          <cell r="E13" t="str">
            <v>تم ارسال نموذج LCCEالى مدير المشروع للاطلاع وابداء الملاظات على  LCCE</v>
          </cell>
          <cell r="F13"/>
          <cell r="G13" t="str">
            <v>مكتمل</v>
          </cell>
        </row>
        <row r="14">
          <cell r="C14" t="str">
            <v>3 - Affordability Estimate</v>
          </cell>
          <cell r="D14" t="str">
            <v>Detailed LCCE</v>
          </cell>
          <cell r="E14" t="str">
            <v>تم تأكيد نموذج LCCE من قبل مدير المشروع بعدم وجود أي ملاحظات</v>
          </cell>
          <cell r="F14"/>
          <cell r="G14" t="str">
            <v>مكتمل</v>
          </cell>
        </row>
        <row r="15">
          <cell r="C15" t="str">
            <v>3 - Affordability Estimate</v>
          </cell>
          <cell r="D15" t="str">
            <v>Validation</v>
          </cell>
          <cell r="E15" t="str">
            <v>تم مناقشة مع الأستاذة منال وتم التأكيد والتدقيق على LCCE</v>
          </cell>
          <cell r="F15"/>
          <cell r="G15" t="str">
            <v>مكتمل</v>
          </cell>
        </row>
        <row r="16">
          <cell r="C16" t="str">
            <v>3 - Affordability Estimate</v>
          </cell>
          <cell r="D16" t="str">
            <v>Detailed LCCE</v>
          </cell>
          <cell r="E16" t="str">
            <v xml:space="preserve">تم إضافة بند وطلب تحديثة على نموذج LCCE  </v>
          </cell>
          <cell r="F16" t="str">
            <v xml:space="preserve">طلب إضافة بند (الذبائح) ضمن بنود المشروع </v>
          </cell>
          <cell r="G16" t="str">
            <v>مكتمل</v>
          </cell>
        </row>
        <row r="17">
          <cell r="C17" t="str">
            <v>3 - Affordability Estimate</v>
          </cell>
          <cell r="D17" t="str">
            <v>Detailed LCCE</v>
          </cell>
          <cell r="E17" t="str">
            <v xml:space="preserve">تم ارسال نموذج LCCE بعد إضافة البند </v>
          </cell>
          <cell r="F17"/>
          <cell r="G17" t="str">
            <v>مكتمل</v>
          </cell>
        </row>
        <row r="18">
          <cell r="C18" t="str">
            <v>3 - Affordability Estimate</v>
          </cell>
          <cell r="D18" t="str">
            <v>Validation</v>
          </cell>
          <cell r="E18" t="str">
            <v>تم مناقشة مع الأستاذة منال وتم التأكيد والتدقيق على LCCE بعد إضافة البند المحدث</v>
          </cell>
          <cell r="F18"/>
          <cell r="G18" t="str">
            <v>مكتمل</v>
          </cell>
        </row>
        <row r="19">
          <cell r="C19" t="str">
            <v>3 - Affordability Estimate</v>
          </cell>
          <cell r="D19" t="str">
            <v>Independent LCCE</v>
          </cell>
          <cell r="E19" t="str">
            <v xml:space="preserve">تم ارسال طلب من قبل مدير المشروع لطلب نموذج LCCE  مستقل </v>
          </cell>
          <cell r="F19"/>
          <cell r="G19" t="str">
            <v>مكتمل</v>
          </cell>
        </row>
        <row r="20">
          <cell r="C20" t="str">
            <v>3 - Affordability Estimate</v>
          </cell>
          <cell r="D20" t="str">
            <v>Independent LCCE</v>
          </cell>
          <cell r="E20" t="str">
            <v>تم الرد على مدير المشروع بعدم حاجة المشروع الى LCCE  مستقل</v>
          </cell>
          <cell r="F20"/>
          <cell r="G20" t="str">
            <v>مكتمل</v>
          </cell>
        </row>
        <row r="21">
          <cell r="C21" t="str">
            <v>3 - Affordability Estimate</v>
          </cell>
          <cell r="D21" t="str">
            <v>TCO</v>
          </cell>
          <cell r="E21" t="str">
            <v>تم طلب عمل TCO  تقرير تكلفة الكاملة للاستحواذ من قبل مدير المشروع</v>
          </cell>
          <cell r="F21"/>
          <cell r="G21" t="str">
            <v>مكتمل</v>
          </cell>
        </row>
        <row r="22">
          <cell r="C22" t="str">
            <v>3 - Affordability Estimate</v>
          </cell>
          <cell r="D22" t="str">
            <v>TCO</v>
          </cell>
          <cell r="E22" t="str">
            <v xml:space="preserve">تم ارسال نموذج TCO </v>
          </cell>
          <cell r="F22" t="str">
            <v>لا يوجد أي تكاليف إضافية وبالتالي مخرجات TCO مساوية لمخرجات LCCE</v>
          </cell>
          <cell r="G22" t="str">
            <v>مكتمل</v>
          </cell>
        </row>
        <row r="23">
          <cell r="C23" t="str">
            <v>3 - Affordability Estimate</v>
          </cell>
          <cell r="D23" t="str">
            <v>Detailed LCCE</v>
          </cell>
          <cell r="E23" t="str">
            <v xml:space="preserve">بانتظار رد الجهة المستفيدة على نموذج LCCE  </v>
          </cell>
          <cell r="F23" t="str">
            <v xml:space="preserve">تم ارسال نموذج LCCE من مدير المشروع للجهة المستفيدة </v>
          </cell>
          <cell r="G23" t="str">
            <v>على المسار</v>
          </cell>
        </row>
        <row r="24">
          <cell r="C24" t="str">
            <v>3 - Affordability Estimate</v>
          </cell>
          <cell r="D24" t="str">
            <v>Detailed LCCE</v>
          </cell>
          <cell r="E24" t="str">
            <v xml:space="preserve">بانتظار رد الجهة المستفيدة على نموذج LCCE  </v>
          </cell>
          <cell r="F24" t="str">
            <v xml:space="preserve">تم ارسال نموذج LCCE من مدير المشروع للجهة المستفيدة </v>
          </cell>
          <cell r="G24" t="str">
            <v>على المسار</v>
          </cell>
        </row>
        <row r="25">
          <cell r="C25" t="str">
            <v>3 - Affordability Estimate</v>
          </cell>
          <cell r="D25" t="str">
            <v>Detailed LCCE</v>
          </cell>
          <cell r="E25" t="str">
            <v xml:space="preserve">بانتظار رد الجهة المستفيدة على نموذج LCCE  </v>
          </cell>
          <cell r="F25" t="str">
            <v>تم ارسال نموذج LCCE من مدير المشروع للجهة المستفيدة 
تم ارسال ايميل اخر من قبل مدير المشروع للجهة المستفيدة للموظف البديل عن الممثل وذلك بسبب وجود إجازة مرضية مطولة للمثل الجهة المستفيدة السابق.</v>
          </cell>
          <cell r="G25" t="str">
            <v>على المسار</v>
          </cell>
        </row>
        <row r="26">
          <cell r="C26" t="str">
            <v>3 - Affordability Estimate</v>
          </cell>
          <cell r="D26"/>
          <cell r="E26" t="str">
            <v>تم عقد اجتماع تدريب المفصل للمرحلة القادمة</v>
          </cell>
          <cell r="F26" t="str">
            <v xml:space="preserve">تم شرح مخطط الاجرائي رقم 5،6  يوجد خطوتين يكون هناك دور للتكاليف وهي مخطط 6.1.1 + 6.1.2  ، كما ان تم ذكر بوجود ملاحظة بحيث ان اجراء تحديث LCCE قبل خطوة تحديث الامدال بالاظافة الى عدم وجود مسار يوضح إجراءات وخطوات الإدارة العامة للتكاليف </v>
          </cell>
          <cell r="G26" t="str">
            <v>مكتمل</v>
          </cell>
        </row>
        <row r="27">
          <cell r="C27" t="str">
            <v>3 - Affordability Estimate</v>
          </cell>
          <cell r="D27" t="str">
            <v>Independent LCCE</v>
          </cell>
          <cell r="E27" t="str">
            <v xml:space="preserve">تم موافقة الجهة المستفيدة على LCCE    </v>
          </cell>
          <cell r="F27" t="str">
            <v xml:space="preserve">تم موافقة الجهة المستفيدة على التكلفة وتفاصيل البنود في نموذج LCCE </v>
          </cell>
          <cell r="G27" t="str">
            <v>مكتمل</v>
          </cell>
        </row>
        <row r="28">
          <cell r="C28" t="str">
            <v>4 - Tender Pack Development</v>
          </cell>
          <cell r="D28"/>
          <cell r="E28" t="str">
            <v xml:space="preserve">تم تحديد نوع الشراء وهي منافسة عامة </v>
          </cell>
          <cell r="F28" t="str">
            <v>موافقة إدارة مدير المشروع على تحديد نوع المنافسة وهي منافسة عامة</v>
          </cell>
          <cell r="G28" t="str">
            <v>مكتمل</v>
          </cell>
        </row>
        <row r="29">
          <cell r="C29" t="str">
            <v>4 - Tender Pack Development</v>
          </cell>
          <cell r="D29"/>
          <cell r="E29" t="str">
            <v>تحديث ملف WBS  من قبل مدير المشروع</v>
          </cell>
          <cell r="F29" t="str">
            <v>سيتم حديث ملف WBS  من قبل مدير الشمروع وذلك بسبب ان مسار  المشروع  مدموج بين com &amp; tom معا ، فيتطلب تحديث الجدول الزمني المتوقع للمشروع ليتمشى مع Com قبل ان يتم مشاركة مدير المشروع لإدارته جميع المدخلات لاخذ الموافقة عليها .</v>
          </cell>
          <cell r="G29" t="str">
            <v>على المسار</v>
          </cell>
        </row>
        <row r="30">
          <cell r="C30" t="str">
            <v>4 - Tender Pack Development</v>
          </cell>
          <cell r="D30"/>
          <cell r="E30" t="str">
            <v>لم يتم حظور مدير المشروع. 
شرح خطوات تعبئة نموذج استرتيجية التوريد (SOURCING STRATEGY) من قبل مدير المشروع .</v>
          </cell>
          <cell r="F30" t="str">
            <v>يوجد نموذج مكون من (19) صفحة لابد من مدير المشروع تعبئته ، ذكروا مدراء المشاريع بالاجتماع بعدم الرضا عن الانموذج وذكر بان بعض البنود ليس من اختصاصهم بالإضافة الى ان النموذج لاينطبق على مشاريع التموين والخدمات ، بالإضافة الى ان النموذج سوف يأثر على وقت سير المشروع والمشاريع المستقبلية. (ذكر ممثل الشركة بانه سوف يتم مناقشة الامر مع الادارة والرد في الاجتماع القادم يوم الخميس).</v>
          </cell>
          <cell r="G30" t="str">
            <v>على المسار</v>
          </cell>
        </row>
        <row r="31">
          <cell r="C31" t="str">
            <v>4 - Tender Pack Development</v>
          </cell>
          <cell r="D31"/>
          <cell r="E31" t="str">
            <v>متابعة شرح خطوات تعبئة نموذج استرتيجية التوريد (SOURCING STRATEGY) من قبل مدير المشروع ، ومناقشة الملاحظات</v>
          </cell>
          <cell r="F31" t="str">
            <v>حتى الان لم يتم الانتهاء من تعبئة النموذج مع وجود بعض الملاحظات من قبل مدير المشروع على النموذج ومناقشتها .</v>
          </cell>
          <cell r="G31" t="str">
            <v>على المسار</v>
          </cell>
        </row>
        <row r="32">
          <cell r="C32" t="str">
            <v>4 - Tender Pack Development</v>
          </cell>
          <cell r="D32"/>
          <cell r="E32" t="str">
            <v xml:space="preserve">لم يتم حظور مدير المشروع </v>
          </cell>
          <cell r="F32" t="str">
            <v>حتى الان لم يتم الانتهاء من تعبئة النموذج مع علما بان (3) المشاريع لم يتم الانتهاء من هذه الخطوة ماعدا مشروعه وحد تم الانتهاء من نموذج استراتيجية التوريد.</v>
          </cell>
          <cell r="G32" t="str">
            <v xml:space="preserve">متأخر </v>
          </cell>
        </row>
        <row r="33">
          <cell r="C33" t="str">
            <v>4 - Tender Pack Development</v>
          </cell>
          <cell r="D33"/>
          <cell r="E33" t="str">
            <v xml:space="preserve">استكمال تعبئة النموذج </v>
          </cell>
          <cell r="F33" t="str">
            <v>حظور مدير المشروع ومناقشة بعض النقاط ، وسوف يقوم ببتعديلات أخيرة وتزود الجهة المستفيدة بالنموذج للمراجعة وابداء الملاحظات او الاعتماد للنتقال للخطوة التالية ، علما بأن تم وضع الاجتماع القادم هو نهاية الفترة المحدده لهذا النموذج ، وتم طلب تزويد ومشاركة فريق السياسات بالملاحظات على النموذج.</v>
          </cell>
          <cell r="G33" t="str">
            <v xml:space="preserve">متأخر </v>
          </cell>
        </row>
        <row r="34">
          <cell r="C34"/>
          <cell r="D34"/>
          <cell r="E34"/>
          <cell r="F34"/>
          <cell r="G34"/>
        </row>
        <row r="35">
          <cell r="C35"/>
          <cell r="D35"/>
          <cell r="E35"/>
          <cell r="F35"/>
          <cell r="G35"/>
        </row>
        <row r="36">
          <cell r="C36"/>
          <cell r="D36"/>
          <cell r="E36"/>
          <cell r="F36"/>
          <cell r="G36"/>
        </row>
        <row r="37">
          <cell r="C37"/>
          <cell r="D37"/>
          <cell r="E37"/>
          <cell r="F37"/>
          <cell r="G37"/>
        </row>
        <row r="38">
          <cell r="C38"/>
          <cell r="D38"/>
          <cell r="E38"/>
          <cell r="F38"/>
          <cell r="G38"/>
        </row>
        <row r="39">
          <cell r="C39"/>
          <cell r="D39"/>
          <cell r="E39"/>
          <cell r="F39"/>
          <cell r="G39"/>
        </row>
        <row r="40">
          <cell r="C40"/>
          <cell r="D40"/>
          <cell r="E40"/>
          <cell r="F40"/>
          <cell r="G40"/>
        </row>
        <row r="41">
          <cell r="C41"/>
          <cell r="D41"/>
          <cell r="E41"/>
          <cell r="F41"/>
          <cell r="G41"/>
        </row>
        <row r="42">
          <cell r="C42"/>
          <cell r="D42"/>
          <cell r="E42"/>
          <cell r="F42"/>
          <cell r="G42"/>
        </row>
        <row r="43">
          <cell r="C43"/>
          <cell r="D43"/>
          <cell r="E43"/>
          <cell r="F43"/>
          <cell r="G43"/>
        </row>
        <row r="44">
          <cell r="C44"/>
          <cell r="D44"/>
          <cell r="E44"/>
          <cell r="F44"/>
          <cell r="G44"/>
        </row>
        <row r="45">
          <cell r="C45"/>
          <cell r="D45"/>
          <cell r="E45"/>
          <cell r="F45"/>
          <cell r="G45"/>
        </row>
        <row r="46">
          <cell r="C46"/>
          <cell r="D46"/>
          <cell r="E46"/>
          <cell r="F46"/>
          <cell r="G46"/>
        </row>
        <row r="47">
          <cell r="C47"/>
          <cell r="D47"/>
          <cell r="E47"/>
          <cell r="F47"/>
          <cell r="G47"/>
        </row>
        <row r="48">
          <cell r="C48"/>
          <cell r="D48"/>
          <cell r="E48"/>
          <cell r="F48"/>
          <cell r="G48"/>
        </row>
        <row r="49">
          <cell r="C49"/>
          <cell r="D49"/>
          <cell r="E49"/>
          <cell r="F49"/>
          <cell r="G49"/>
        </row>
        <row r="50">
          <cell r="C50"/>
          <cell r="D50"/>
          <cell r="E50"/>
          <cell r="F50"/>
          <cell r="G50"/>
        </row>
        <row r="51">
          <cell r="C51"/>
          <cell r="D51"/>
          <cell r="E51"/>
          <cell r="F51"/>
          <cell r="G51"/>
        </row>
        <row r="52">
          <cell r="C52"/>
          <cell r="D52"/>
          <cell r="E52"/>
          <cell r="F52"/>
          <cell r="G52"/>
        </row>
        <row r="53">
          <cell r="C53"/>
          <cell r="D53"/>
          <cell r="E53"/>
          <cell r="F53"/>
          <cell r="G53"/>
        </row>
        <row r="54">
          <cell r="C54"/>
          <cell r="D54"/>
          <cell r="E54"/>
          <cell r="F54"/>
          <cell r="G54"/>
        </row>
        <row r="55">
          <cell r="C55"/>
          <cell r="D55"/>
          <cell r="E55"/>
          <cell r="F55"/>
          <cell r="G55"/>
        </row>
        <row r="56">
          <cell r="C56"/>
          <cell r="D56"/>
          <cell r="E56"/>
          <cell r="F56"/>
          <cell r="G56"/>
        </row>
        <row r="57">
          <cell r="C57"/>
          <cell r="D57"/>
          <cell r="E57"/>
          <cell r="F57"/>
          <cell r="G57"/>
        </row>
        <row r="58">
          <cell r="C58"/>
          <cell r="D58"/>
          <cell r="E58"/>
          <cell r="F58"/>
          <cell r="G58"/>
        </row>
        <row r="59">
          <cell r="C59"/>
          <cell r="D59"/>
          <cell r="E59"/>
          <cell r="F59"/>
          <cell r="G59"/>
        </row>
        <row r="60">
          <cell r="C60"/>
          <cell r="D60"/>
          <cell r="E60"/>
          <cell r="F60"/>
          <cell r="G60"/>
        </row>
        <row r="61">
          <cell r="C61"/>
          <cell r="D61"/>
          <cell r="E61"/>
          <cell r="F61"/>
          <cell r="G61"/>
        </row>
        <row r="62">
          <cell r="C62"/>
          <cell r="D62"/>
          <cell r="E62"/>
          <cell r="F62"/>
          <cell r="G62"/>
        </row>
        <row r="63">
          <cell r="C63"/>
          <cell r="D63"/>
          <cell r="E63"/>
          <cell r="F63"/>
          <cell r="G63"/>
        </row>
        <row r="64">
          <cell r="C64"/>
          <cell r="D64"/>
          <cell r="E64"/>
          <cell r="F64"/>
          <cell r="G64"/>
        </row>
        <row r="65">
          <cell r="C65"/>
          <cell r="D65"/>
          <cell r="E65"/>
          <cell r="F65"/>
          <cell r="G65"/>
        </row>
        <row r="66">
          <cell r="C66"/>
          <cell r="D66"/>
          <cell r="E66"/>
          <cell r="F66"/>
          <cell r="G66"/>
        </row>
        <row r="67">
          <cell r="C67"/>
          <cell r="D67"/>
          <cell r="E67"/>
          <cell r="F67"/>
          <cell r="G67"/>
        </row>
        <row r="68">
          <cell r="C68"/>
          <cell r="D68"/>
          <cell r="E68"/>
          <cell r="F68"/>
          <cell r="G68"/>
        </row>
        <row r="69">
          <cell r="C69"/>
          <cell r="D69"/>
          <cell r="E69"/>
          <cell r="F69"/>
          <cell r="G69"/>
        </row>
        <row r="70">
          <cell r="C70"/>
          <cell r="D70"/>
          <cell r="E70"/>
          <cell r="F70"/>
          <cell r="G70"/>
        </row>
        <row r="71">
          <cell r="C71"/>
          <cell r="D71"/>
          <cell r="E71"/>
          <cell r="F71"/>
          <cell r="G71"/>
        </row>
        <row r="72">
          <cell r="C72"/>
          <cell r="D72"/>
          <cell r="E72"/>
          <cell r="F72"/>
          <cell r="G72"/>
        </row>
        <row r="73">
          <cell r="C73"/>
          <cell r="E73"/>
          <cell r="F73"/>
        </row>
        <row r="74">
          <cell r="C74"/>
          <cell r="E74"/>
          <cell r="F74"/>
        </row>
      </sheetData>
      <sheetData sheetId="5"/>
      <sheetData sheetId="6">
        <row r="4">
          <cell r="B4" t="str">
            <v>بدلة الكشف وبدلة الإزالة لصالح القوات البرية</v>
          </cell>
        </row>
        <row r="5">
          <cell r="B5" t="str">
            <v>محمد اليوسف</v>
          </cell>
        </row>
        <row r="13">
          <cell r="C13" t="str">
            <v>2 - Needs Identification</v>
          </cell>
          <cell r="D13" t="str">
            <v>High Level LCCE</v>
          </cell>
          <cell r="E13" t="str">
            <v>تم استلام قائمة الافتراضات من مدير المشروع</v>
          </cell>
          <cell r="F13" t="str">
            <v>لايوجد ملاحظات على  قائمة الافتراضات</v>
          </cell>
          <cell r="G13" t="str">
            <v>على المسار</v>
          </cell>
        </row>
        <row r="14">
          <cell r="C14" t="str">
            <v>2 - Needs Identification</v>
          </cell>
          <cell r="D14" t="str">
            <v>High Level LCCE</v>
          </cell>
          <cell r="E14" t="str">
            <v>تم استلام سجل المخاطر من مدير المشروع</v>
          </cell>
          <cell r="F14" t="str">
            <v>لايوجد ملاحظات على سجل المخاطر</v>
          </cell>
          <cell r="G14" t="str">
            <v>على المسار</v>
          </cell>
        </row>
        <row r="15">
          <cell r="C15" t="str">
            <v>2 - Needs Identification</v>
          </cell>
          <cell r="D15" t="str">
            <v>High Level LCCE</v>
          </cell>
          <cell r="E15" t="str">
            <v xml:space="preserve">تم مناقشة مدير المشروع بقائمة الأسعار </v>
          </cell>
          <cell r="F15" t="str">
            <v>تم مصادقة مدير المشروع على الأسعار</v>
          </cell>
          <cell r="G15" t="str">
            <v>على المسار</v>
          </cell>
        </row>
        <row r="16">
          <cell r="C16" t="str">
            <v>2 - Needs Identification</v>
          </cell>
          <cell r="D16" t="str">
            <v>High Level LCCE</v>
          </cell>
          <cell r="E16" t="str">
            <v>تم اصدار النموذج دورة حياة المنتج الأولي</v>
          </cell>
          <cell r="F16" t="str">
            <v>بعد مراجعته مع مدير المشروع</v>
          </cell>
          <cell r="G16" t="str">
            <v>مكتمل</v>
          </cell>
        </row>
        <row r="17">
          <cell r="C17" t="str">
            <v>3 - Affordability Estimate</v>
          </cell>
          <cell r="D17" t="str">
            <v>Detailed LCCE</v>
          </cell>
          <cell r="E17" t="str">
            <v>تم مناقشة الأسعار بشكل موسع مع مدير المشروع بعد الاجتماع مع الجهة الطالبة</v>
          </cell>
          <cell r="F17" t="str">
            <v>تم الاجتماع مع الجهة المستفيدة للاستفادة من خبراتهم.</v>
          </cell>
          <cell r="G17" t="str">
            <v>على المسار</v>
          </cell>
        </row>
        <row r="18">
          <cell r="C18" t="str">
            <v>3 - Affordability Estimate</v>
          </cell>
          <cell r="D18" t="str">
            <v>Detailed LCCE</v>
          </cell>
          <cell r="E18" t="str">
            <v>تم اعتماد نموذج دورة حياة المنتج المفصلة</v>
          </cell>
          <cell r="F18" t="str">
            <v>لم يتم تغيير الأسعار عن نسخة نموذج دورة حياة المنتج الأولية.</v>
          </cell>
          <cell r="G18" t="str">
            <v>مكتمل</v>
          </cell>
        </row>
        <row r="19">
          <cell r="C19" t="str">
            <v>3 - Affordability Estimate</v>
          </cell>
          <cell r="D19" t="str">
            <v>Validation</v>
          </cell>
          <cell r="E19" t="str">
            <v xml:space="preserve"> مراجعة نموذج دورة حياة المنتج </v>
          </cell>
          <cell r="F19" t="str">
            <v>تم مراجعة نموذج دورة حياة المنتج مع الأستاذة منال المالك</v>
          </cell>
          <cell r="G19" t="str">
            <v>مكتمل</v>
          </cell>
        </row>
        <row r="20">
          <cell r="C20" t="str">
            <v>3 - Affordability Estimate</v>
          </cell>
          <cell r="D20" t="str">
            <v>TCO</v>
          </cell>
          <cell r="E20" t="str">
            <v>تم ارسال نموذج التكلفة الكلية للاستحواذ</v>
          </cell>
          <cell r="F20" t="str">
            <v>تم االأخذ بالاعتبار أن نموذج دورة حياة المنتج هو يساوي التكلفة الكلية للاستحواذ</v>
          </cell>
          <cell r="G20" t="str">
            <v>مكتمل</v>
          </cell>
        </row>
        <row r="21">
          <cell r="C21" t="str">
            <v>3 - Affordability Estimate</v>
          </cell>
          <cell r="D21" t="str">
            <v>TCO</v>
          </cell>
          <cell r="E21" t="str">
            <v>لايوجد</v>
          </cell>
          <cell r="F21" t="str">
            <v>كل الإجراءات المطلوبة حتى هذه المرحلة تمت وبانتظار التحديث من فريق ديلويت</v>
          </cell>
          <cell r="G21" t="str">
            <v>على المسار</v>
          </cell>
        </row>
        <row r="22">
          <cell r="C22" t="str">
            <v>3 - Affordability Estimate</v>
          </cell>
          <cell r="D22" t="str">
            <v>TCO</v>
          </cell>
          <cell r="E22" t="str">
            <v>لايوجد</v>
          </cell>
          <cell r="F22" t="str">
            <v>كل الإجراءات المطلوبة حتى هذه المرحلة تمت وبانتظار التحديث من فريق ديلويت</v>
          </cell>
          <cell r="G22" t="str">
            <v>على المسار</v>
          </cell>
        </row>
        <row r="23">
          <cell r="C23" t="str">
            <v>3 - Affordability Estimate</v>
          </cell>
          <cell r="D23" t="str">
            <v>TCO</v>
          </cell>
          <cell r="E23" t="str">
            <v>لايوجد</v>
          </cell>
          <cell r="F23" t="str">
            <v>تم حضور الاجتماع وبإنتظار ارسال الجهة المستفيدة  الارتباط المالي الجديد للمشروع او تعديل الكميات حيث أن التكلفة التقديرية كانت اعلى من الارتباط المالي بثلاثه بالمية</v>
          </cell>
          <cell r="G23" t="str">
            <v>على المسار</v>
          </cell>
        </row>
        <row r="24">
          <cell r="C24" t="str">
            <v>3 - Affordability Estimate</v>
          </cell>
          <cell r="D24" t="str">
            <v>TCO</v>
          </cell>
          <cell r="E24" t="str">
            <v>لايوجد</v>
          </cell>
          <cell r="F24" t="str">
            <v>تم حضور ورشة عمل في يوم الثلاثاء والأربعاء  12-13 مايو  بخصوص المرحلة القادمة بعد مايتم عمل إجراءات داخلية بين المستفيد النهائي ومدير المشروع</v>
          </cell>
          <cell r="G24" t="str">
            <v>على المسار</v>
          </cell>
        </row>
        <row r="25">
          <cell r="C25" t="str">
            <v>3 - Affordability Estimate</v>
          </cell>
          <cell r="D25" t="str">
            <v>TCO</v>
          </cell>
          <cell r="E25" t="str">
            <v>لايوجد</v>
          </cell>
          <cell r="F25" t="str">
            <v>تم حضور ورشة عمل في يوم الثلاثاء والأربعاء  12-13 مايو  بخصوص المرحلة القادمة بعد مايتم عمل إجراءات داخلية بين المستفيد النهائي ومدير المشروع</v>
          </cell>
          <cell r="G25" t="str">
            <v>على المسار</v>
          </cell>
        </row>
        <row r="26">
          <cell r="C26" t="str">
            <v>3 - Affordability Estimate</v>
          </cell>
          <cell r="D26" t="str">
            <v>TCO</v>
          </cell>
          <cell r="E26" t="str">
            <v>لايوجد</v>
          </cell>
          <cell r="F26" t="str">
            <v>لازال مدير المشروع يعمل مع المستفيد النهائي على المتطلبات بالتنسيق مع فريق ديلويت</v>
          </cell>
          <cell r="G26" t="str">
            <v>على المسار</v>
          </cell>
        </row>
        <row r="27">
          <cell r="C27" t="str">
            <v>3 - Affordability Estimate</v>
          </cell>
          <cell r="D27" t="str">
            <v>TCO</v>
          </cell>
          <cell r="E27" t="str">
            <v>لايوجد</v>
          </cell>
          <cell r="F27" t="str">
            <v>لازال مدير المشروع يعمل مع المستفيد النهائي على المتطلبات بالتنسيق مع فريق ديلويت</v>
          </cell>
          <cell r="G27" t="str">
            <v>على المسار</v>
          </cell>
        </row>
        <row r="28">
          <cell r="C28" t="str">
            <v>3 - Affordability Estimate</v>
          </cell>
          <cell r="D28"/>
          <cell r="E28" t="str">
            <v>لايوجد</v>
          </cell>
          <cell r="F28" t="str">
            <v xml:space="preserve">لازال مدير المشروع يعمل مع المستفيد النهائي على المتطلبات بالتنسيق مع فريق ديلويت </v>
          </cell>
          <cell r="G28" t="str">
            <v xml:space="preserve">متأخر </v>
          </cell>
        </row>
        <row r="29">
          <cell r="C29"/>
          <cell r="D29"/>
          <cell r="E29"/>
          <cell r="F29"/>
          <cell r="G29"/>
        </row>
        <row r="30">
          <cell r="C30"/>
          <cell r="D30"/>
          <cell r="E30"/>
          <cell r="F30"/>
          <cell r="G30"/>
        </row>
        <row r="31">
          <cell r="C31"/>
          <cell r="D31"/>
          <cell r="E31"/>
          <cell r="F31"/>
          <cell r="G31"/>
        </row>
        <row r="32">
          <cell r="C32"/>
          <cell r="D32"/>
          <cell r="E32"/>
          <cell r="F32"/>
          <cell r="G32"/>
        </row>
        <row r="33">
          <cell r="C33"/>
          <cell r="D33"/>
          <cell r="E33"/>
          <cell r="F33"/>
          <cell r="G33"/>
        </row>
        <row r="34">
          <cell r="C34"/>
          <cell r="D34"/>
          <cell r="E34"/>
          <cell r="F34"/>
          <cell r="G34"/>
        </row>
        <row r="35">
          <cell r="C35"/>
          <cell r="D35"/>
          <cell r="E35"/>
          <cell r="F35"/>
          <cell r="G35"/>
        </row>
        <row r="36">
          <cell r="C36"/>
          <cell r="D36"/>
          <cell r="E36"/>
          <cell r="F36"/>
          <cell r="G36"/>
        </row>
        <row r="37">
          <cell r="C37"/>
          <cell r="D37"/>
          <cell r="E37"/>
          <cell r="F37"/>
          <cell r="G37"/>
        </row>
        <row r="38">
          <cell r="C38"/>
          <cell r="D38"/>
          <cell r="E38"/>
          <cell r="F38"/>
          <cell r="G38"/>
        </row>
        <row r="39">
          <cell r="C39"/>
          <cell r="D39"/>
          <cell r="E39"/>
          <cell r="F39"/>
          <cell r="G39"/>
        </row>
        <row r="40">
          <cell r="C40"/>
          <cell r="D40"/>
          <cell r="E40"/>
          <cell r="F40"/>
          <cell r="G40"/>
        </row>
        <row r="41">
          <cell r="C41"/>
          <cell r="D41"/>
          <cell r="E41"/>
          <cell r="F41"/>
          <cell r="G41"/>
        </row>
        <row r="42">
          <cell r="C42"/>
          <cell r="D42"/>
          <cell r="E42"/>
          <cell r="F42"/>
          <cell r="G42"/>
        </row>
        <row r="43">
          <cell r="C43"/>
          <cell r="D43"/>
          <cell r="E43"/>
          <cell r="F43"/>
          <cell r="G43"/>
        </row>
        <row r="44">
          <cell r="C44"/>
          <cell r="D44"/>
          <cell r="E44"/>
          <cell r="F44"/>
          <cell r="G44"/>
        </row>
        <row r="45">
          <cell r="C45"/>
          <cell r="D45"/>
          <cell r="E45"/>
          <cell r="F45"/>
          <cell r="G45"/>
        </row>
        <row r="46">
          <cell r="C46"/>
          <cell r="D46"/>
          <cell r="E46"/>
          <cell r="F46"/>
          <cell r="G46"/>
        </row>
        <row r="47">
          <cell r="C47"/>
          <cell r="D47"/>
          <cell r="E47"/>
          <cell r="F47"/>
          <cell r="G47"/>
        </row>
        <row r="48">
          <cell r="C48"/>
          <cell r="D48"/>
          <cell r="E48"/>
          <cell r="F48"/>
          <cell r="G48"/>
        </row>
        <row r="49">
          <cell r="C49"/>
          <cell r="D49"/>
          <cell r="E49"/>
          <cell r="F49"/>
          <cell r="G49"/>
        </row>
        <row r="50">
          <cell r="C50"/>
          <cell r="D50"/>
          <cell r="E50"/>
          <cell r="F50"/>
          <cell r="G50"/>
        </row>
        <row r="51">
          <cell r="C51"/>
          <cell r="D51"/>
          <cell r="E51"/>
          <cell r="F51"/>
          <cell r="G51"/>
        </row>
        <row r="52">
          <cell r="C52"/>
          <cell r="D52"/>
          <cell r="E52"/>
          <cell r="F52"/>
          <cell r="G52"/>
        </row>
        <row r="53">
          <cell r="C53"/>
          <cell r="D53"/>
          <cell r="E53"/>
          <cell r="F53"/>
          <cell r="G53"/>
        </row>
        <row r="54">
          <cell r="C54"/>
          <cell r="D54"/>
          <cell r="E54"/>
          <cell r="F54"/>
          <cell r="G54"/>
        </row>
        <row r="55">
          <cell r="C55"/>
          <cell r="D55"/>
          <cell r="E55"/>
          <cell r="F55"/>
          <cell r="G55"/>
        </row>
        <row r="56">
          <cell r="C56"/>
          <cell r="D56"/>
          <cell r="E56"/>
          <cell r="F56"/>
          <cell r="G56"/>
        </row>
        <row r="57">
          <cell r="C57"/>
          <cell r="D57"/>
          <cell r="E57"/>
          <cell r="F57"/>
          <cell r="G57"/>
        </row>
        <row r="58">
          <cell r="C58"/>
          <cell r="D58"/>
          <cell r="E58"/>
          <cell r="F58"/>
          <cell r="G58"/>
        </row>
        <row r="59">
          <cell r="C59"/>
          <cell r="D59"/>
          <cell r="E59"/>
          <cell r="F59"/>
          <cell r="G59"/>
        </row>
        <row r="60">
          <cell r="C60"/>
          <cell r="D60"/>
          <cell r="E60"/>
          <cell r="F60"/>
          <cell r="G60"/>
        </row>
        <row r="61">
          <cell r="C61"/>
          <cell r="D61"/>
          <cell r="E61"/>
          <cell r="F61"/>
          <cell r="G61"/>
        </row>
        <row r="62">
          <cell r="C62"/>
          <cell r="D62"/>
          <cell r="E62"/>
          <cell r="F62"/>
          <cell r="G62"/>
        </row>
        <row r="63">
          <cell r="C63"/>
          <cell r="D63"/>
          <cell r="E63"/>
          <cell r="F63"/>
          <cell r="G63"/>
        </row>
        <row r="64">
          <cell r="C64"/>
          <cell r="D64"/>
          <cell r="E64"/>
          <cell r="F64"/>
          <cell r="G64"/>
        </row>
        <row r="65">
          <cell r="C65"/>
          <cell r="D65"/>
          <cell r="E65"/>
          <cell r="F65"/>
          <cell r="G65"/>
        </row>
        <row r="66">
          <cell r="C66"/>
          <cell r="D66"/>
          <cell r="E66"/>
          <cell r="F66"/>
          <cell r="G66"/>
        </row>
        <row r="67">
          <cell r="C67"/>
          <cell r="D67"/>
          <cell r="E67"/>
          <cell r="F67"/>
          <cell r="G67"/>
        </row>
        <row r="68">
          <cell r="C68"/>
          <cell r="D68"/>
          <cell r="E68"/>
          <cell r="F68"/>
          <cell r="G68"/>
        </row>
        <row r="69">
          <cell r="C69"/>
          <cell r="D69"/>
          <cell r="E69"/>
          <cell r="F69"/>
          <cell r="G69"/>
        </row>
        <row r="70">
          <cell r="C70"/>
          <cell r="D70"/>
          <cell r="E70"/>
          <cell r="F70"/>
          <cell r="G70"/>
        </row>
        <row r="71">
          <cell r="C71"/>
          <cell r="D71"/>
          <cell r="E71"/>
          <cell r="F71"/>
          <cell r="G71"/>
        </row>
        <row r="72">
          <cell r="C72"/>
          <cell r="D72"/>
          <cell r="E72"/>
          <cell r="F72"/>
          <cell r="G72"/>
        </row>
      </sheetData>
      <sheetData sheetId="7">
        <row r="4">
          <cell r="B4" t="str">
            <v>تأمين ملبوسات عسكرية لكليه الدفاع الجوي من الاتفاقية الاطارية</v>
          </cell>
        </row>
        <row r="5">
          <cell r="B5" t="str">
            <v>هيا المهنا</v>
          </cell>
        </row>
        <row r="13">
          <cell r="C13" t="str">
            <v>8 - Contract Execution</v>
          </cell>
          <cell r="D13"/>
          <cell r="E13" t="str">
            <v>المشروع اتفاقية اطارية وبمرحلة تنفيذ العقد ولا يوجد متطلب على إدارة التكاليف</v>
          </cell>
          <cell r="F13" t="str">
            <v>تم اشراك إدارة التكاليف بالمشروع من  مرحلة تنفيذ العقد ولا يتطلب مخرجات على  إدارة التكاليف</v>
          </cell>
          <cell r="G13" t="str">
            <v>مكتمل</v>
          </cell>
        </row>
        <row r="14">
          <cell r="C14"/>
          <cell r="D14"/>
          <cell r="E14"/>
          <cell r="F14"/>
          <cell r="G14"/>
        </row>
        <row r="15">
          <cell r="C15"/>
          <cell r="D15"/>
          <cell r="E15"/>
          <cell r="F15"/>
          <cell r="G15"/>
        </row>
        <row r="16">
          <cell r="C16"/>
          <cell r="D16"/>
          <cell r="E16"/>
          <cell r="F16"/>
          <cell r="G16"/>
        </row>
        <row r="17">
          <cell r="C17"/>
          <cell r="D17"/>
          <cell r="E17"/>
          <cell r="F17"/>
          <cell r="G17"/>
        </row>
        <row r="18">
          <cell r="C18"/>
          <cell r="D18"/>
          <cell r="E18"/>
          <cell r="F18"/>
          <cell r="G18"/>
        </row>
        <row r="19">
          <cell r="C19"/>
          <cell r="D19"/>
          <cell r="E19"/>
          <cell r="F19"/>
          <cell r="G19"/>
        </row>
        <row r="20">
          <cell r="C20"/>
          <cell r="D20"/>
          <cell r="E20"/>
          <cell r="F20"/>
          <cell r="G20"/>
        </row>
        <row r="21">
          <cell r="C21"/>
          <cell r="D21"/>
          <cell r="E21"/>
          <cell r="F21"/>
          <cell r="G21"/>
        </row>
        <row r="22">
          <cell r="C22"/>
          <cell r="D22"/>
          <cell r="E22"/>
          <cell r="F22"/>
          <cell r="G22"/>
        </row>
        <row r="23">
          <cell r="C23"/>
          <cell r="D23"/>
          <cell r="E23"/>
          <cell r="F23"/>
          <cell r="G23"/>
        </row>
        <row r="24">
          <cell r="C24"/>
          <cell r="D24"/>
          <cell r="E24"/>
          <cell r="F24"/>
          <cell r="G24"/>
        </row>
        <row r="25">
          <cell r="C25"/>
          <cell r="D25"/>
          <cell r="E25"/>
          <cell r="F25"/>
          <cell r="G25"/>
        </row>
        <row r="26">
          <cell r="C26"/>
          <cell r="D26"/>
          <cell r="E26"/>
          <cell r="F26"/>
          <cell r="G26"/>
        </row>
        <row r="27">
          <cell r="C27"/>
          <cell r="D27"/>
          <cell r="E27"/>
          <cell r="F27"/>
          <cell r="G27"/>
        </row>
        <row r="28">
          <cell r="C28"/>
          <cell r="D28"/>
          <cell r="E28"/>
          <cell r="F28"/>
          <cell r="G28"/>
        </row>
        <row r="29">
          <cell r="C29"/>
          <cell r="D29"/>
          <cell r="E29"/>
          <cell r="F29"/>
          <cell r="G29"/>
        </row>
        <row r="30">
          <cell r="C30"/>
          <cell r="D30"/>
          <cell r="E30"/>
          <cell r="F30"/>
          <cell r="G30"/>
        </row>
        <row r="31">
          <cell r="C31"/>
          <cell r="D31"/>
          <cell r="E31"/>
          <cell r="F31"/>
          <cell r="G31"/>
        </row>
        <row r="32">
          <cell r="C32"/>
          <cell r="D32"/>
          <cell r="E32"/>
          <cell r="F32"/>
          <cell r="G32"/>
        </row>
        <row r="33">
          <cell r="C33"/>
          <cell r="D33"/>
          <cell r="E33"/>
          <cell r="F33"/>
          <cell r="G33"/>
        </row>
        <row r="34">
          <cell r="C34"/>
          <cell r="D34"/>
          <cell r="E34"/>
          <cell r="F34"/>
          <cell r="G34"/>
        </row>
        <row r="35">
          <cell r="C35"/>
          <cell r="D35"/>
          <cell r="E35"/>
          <cell r="F35"/>
          <cell r="G35"/>
        </row>
        <row r="36">
          <cell r="C36"/>
          <cell r="D36"/>
          <cell r="E36"/>
          <cell r="F36"/>
          <cell r="G36"/>
        </row>
        <row r="37">
          <cell r="C37"/>
          <cell r="D37"/>
          <cell r="E37"/>
          <cell r="F37"/>
          <cell r="G37"/>
        </row>
        <row r="38">
          <cell r="C38"/>
          <cell r="D38"/>
          <cell r="E38"/>
          <cell r="F38"/>
          <cell r="G38"/>
        </row>
        <row r="39">
          <cell r="C39"/>
          <cell r="D39"/>
          <cell r="E39"/>
          <cell r="F39"/>
          <cell r="G39"/>
        </row>
        <row r="40">
          <cell r="C40"/>
          <cell r="D40"/>
          <cell r="E40"/>
          <cell r="F40"/>
          <cell r="G40"/>
        </row>
        <row r="41">
          <cell r="C41"/>
          <cell r="D41"/>
          <cell r="E41"/>
          <cell r="F41"/>
          <cell r="G41"/>
        </row>
        <row r="42">
          <cell r="C42"/>
          <cell r="D42"/>
          <cell r="E42"/>
          <cell r="F42"/>
          <cell r="G42"/>
        </row>
        <row r="43">
          <cell r="C43"/>
          <cell r="D43"/>
          <cell r="E43"/>
          <cell r="F43"/>
          <cell r="G43"/>
        </row>
        <row r="44">
          <cell r="C44"/>
          <cell r="D44"/>
          <cell r="E44"/>
          <cell r="F44"/>
          <cell r="G44"/>
        </row>
        <row r="45">
          <cell r="C45"/>
          <cell r="D45"/>
          <cell r="E45"/>
          <cell r="F45"/>
          <cell r="G45"/>
        </row>
        <row r="46">
          <cell r="C46"/>
          <cell r="D46"/>
          <cell r="E46"/>
          <cell r="F46"/>
          <cell r="G46"/>
        </row>
        <row r="47">
          <cell r="C47"/>
          <cell r="D47"/>
          <cell r="E47"/>
          <cell r="F47"/>
          <cell r="G47"/>
        </row>
        <row r="48">
          <cell r="C48"/>
          <cell r="D48"/>
          <cell r="E48"/>
          <cell r="F48"/>
          <cell r="G48"/>
        </row>
        <row r="49">
          <cell r="C49"/>
          <cell r="D49"/>
          <cell r="E49"/>
          <cell r="F49"/>
          <cell r="G49"/>
        </row>
        <row r="50">
          <cell r="C50"/>
          <cell r="D50"/>
          <cell r="E50"/>
          <cell r="F50"/>
          <cell r="G50"/>
        </row>
        <row r="51">
          <cell r="C51"/>
          <cell r="D51"/>
          <cell r="E51"/>
          <cell r="F51"/>
          <cell r="G51"/>
        </row>
        <row r="52">
          <cell r="C52"/>
          <cell r="D52"/>
          <cell r="E52"/>
          <cell r="F52"/>
          <cell r="G52"/>
        </row>
        <row r="53">
          <cell r="C53"/>
          <cell r="D53"/>
          <cell r="E53"/>
          <cell r="F53"/>
          <cell r="G53"/>
        </row>
        <row r="54">
          <cell r="C54"/>
          <cell r="D54"/>
          <cell r="E54"/>
          <cell r="F54"/>
          <cell r="G54"/>
        </row>
        <row r="55">
          <cell r="C55"/>
          <cell r="D55"/>
          <cell r="E55"/>
          <cell r="F55"/>
          <cell r="G55"/>
        </row>
        <row r="56">
          <cell r="C56"/>
          <cell r="D56"/>
          <cell r="E56"/>
          <cell r="F56"/>
          <cell r="G56"/>
        </row>
        <row r="57">
          <cell r="C57"/>
          <cell r="D57"/>
          <cell r="E57"/>
          <cell r="F57"/>
          <cell r="G57"/>
        </row>
        <row r="58">
          <cell r="C58"/>
          <cell r="D58"/>
          <cell r="E58"/>
          <cell r="F58"/>
          <cell r="G58"/>
        </row>
        <row r="59">
          <cell r="C59"/>
          <cell r="D59"/>
          <cell r="E59"/>
          <cell r="F59"/>
          <cell r="G59"/>
        </row>
        <row r="60">
          <cell r="C60"/>
          <cell r="D60"/>
          <cell r="E60"/>
          <cell r="F60"/>
          <cell r="G60"/>
        </row>
        <row r="61">
          <cell r="C61"/>
          <cell r="D61"/>
          <cell r="E61"/>
          <cell r="F61"/>
          <cell r="G61"/>
        </row>
        <row r="62">
          <cell r="C62"/>
          <cell r="D62"/>
          <cell r="E62"/>
          <cell r="F62"/>
          <cell r="G62"/>
        </row>
        <row r="63">
          <cell r="C63"/>
          <cell r="D63"/>
          <cell r="E63"/>
          <cell r="F63"/>
          <cell r="G63"/>
        </row>
        <row r="64">
          <cell r="C64"/>
          <cell r="D64"/>
          <cell r="E64"/>
          <cell r="F64"/>
          <cell r="G64"/>
        </row>
        <row r="65">
          <cell r="C65"/>
          <cell r="D65"/>
          <cell r="E65"/>
          <cell r="F65"/>
          <cell r="G65"/>
        </row>
        <row r="66">
          <cell r="C66"/>
          <cell r="D66"/>
          <cell r="E66"/>
          <cell r="F66"/>
          <cell r="G66"/>
        </row>
        <row r="67">
          <cell r="C67"/>
          <cell r="D67"/>
          <cell r="E67"/>
          <cell r="F67"/>
          <cell r="G67"/>
        </row>
        <row r="68">
          <cell r="C68"/>
          <cell r="D68"/>
          <cell r="E68"/>
          <cell r="F68"/>
          <cell r="G68"/>
        </row>
        <row r="69">
          <cell r="C69"/>
          <cell r="D69"/>
          <cell r="E69"/>
          <cell r="F69"/>
          <cell r="G69"/>
        </row>
        <row r="70">
          <cell r="C70"/>
          <cell r="D70"/>
          <cell r="E70"/>
          <cell r="F70"/>
          <cell r="G70"/>
        </row>
        <row r="71">
          <cell r="C71"/>
          <cell r="D71"/>
          <cell r="E71"/>
          <cell r="F71"/>
          <cell r="G71"/>
        </row>
        <row r="72">
          <cell r="C72"/>
          <cell r="D72"/>
          <cell r="E72"/>
          <cell r="F72"/>
          <cell r="G72"/>
        </row>
      </sheetData>
      <sheetData sheetId="8">
        <row r="4">
          <cell r="B4" t="str">
            <v>معدات تغطية إعلامية شاملة</v>
          </cell>
        </row>
        <row r="5">
          <cell r="B5" t="str">
            <v>محمد اليوسف</v>
          </cell>
        </row>
        <row r="13">
          <cell r="C13" t="str">
            <v>2 - Needs Identification</v>
          </cell>
          <cell r="D13"/>
          <cell r="E13" t="str">
            <v xml:space="preserve">تم استلام الـ ARF من قبل الـ PPP&amp;B وكان لديهم ملاحظات على جودة بعض المدخلات </v>
          </cell>
          <cell r="F13" t="str">
            <v>طلب من الجهة المستفيدة مراجعة جودة المدخلات</v>
          </cell>
          <cell r="G13" t="str">
            <v>على المسار</v>
          </cell>
        </row>
        <row r="14">
          <cell r="C14" t="str">
            <v>2 - Needs Identification</v>
          </cell>
          <cell r="D14"/>
          <cell r="E14" t="str">
            <v>لم يتم بدء دور إدارة التكاليف حتى الآن بناءا على التنسيق مع إدارة المحافظ</v>
          </cell>
          <cell r="F14"/>
          <cell r="G14" t="str">
            <v>على المسار</v>
          </cell>
        </row>
        <row r="15">
          <cell r="C15"/>
          <cell r="D15"/>
          <cell r="E15"/>
          <cell r="F15"/>
          <cell r="G15"/>
        </row>
        <row r="16">
          <cell r="C16"/>
          <cell r="D16"/>
          <cell r="E16"/>
          <cell r="F16"/>
          <cell r="G16"/>
        </row>
        <row r="17">
          <cell r="C17"/>
          <cell r="D17"/>
          <cell r="E17"/>
          <cell r="F17"/>
          <cell r="G17"/>
        </row>
        <row r="18">
          <cell r="C18"/>
          <cell r="D18"/>
          <cell r="E18"/>
          <cell r="F18"/>
          <cell r="G18"/>
        </row>
        <row r="19">
          <cell r="C19"/>
          <cell r="D19"/>
          <cell r="E19"/>
          <cell r="F19"/>
          <cell r="G19"/>
        </row>
        <row r="20">
          <cell r="C20"/>
          <cell r="D20"/>
          <cell r="E20"/>
          <cell r="F20"/>
          <cell r="G20"/>
        </row>
        <row r="21">
          <cell r="C21"/>
          <cell r="D21"/>
          <cell r="E21"/>
          <cell r="F21"/>
          <cell r="G21"/>
        </row>
        <row r="22">
          <cell r="C22"/>
          <cell r="D22"/>
          <cell r="E22"/>
          <cell r="F22"/>
          <cell r="G22"/>
        </row>
        <row r="23">
          <cell r="C23"/>
          <cell r="D23"/>
          <cell r="E23"/>
          <cell r="F23"/>
          <cell r="G23"/>
        </row>
        <row r="24">
          <cell r="C24"/>
          <cell r="D24"/>
          <cell r="E24"/>
          <cell r="F24"/>
          <cell r="G24"/>
        </row>
        <row r="25">
          <cell r="C25"/>
          <cell r="D25"/>
          <cell r="E25"/>
          <cell r="F25"/>
          <cell r="G25"/>
        </row>
        <row r="26">
          <cell r="C26"/>
          <cell r="D26"/>
          <cell r="E26"/>
          <cell r="F26"/>
          <cell r="G26"/>
        </row>
        <row r="27">
          <cell r="C27"/>
          <cell r="D27"/>
          <cell r="E27"/>
          <cell r="F27"/>
          <cell r="G27"/>
        </row>
        <row r="28">
          <cell r="C28"/>
          <cell r="D28"/>
          <cell r="E28"/>
          <cell r="F28"/>
          <cell r="G28"/>
        </row>
        <row r="29">
          <cell r="C29"/>
          <cell r="D29"/>
          <cell r="E29"/>
          <cell r="F29"/>
          <cell r="G29"/>
        </row>
        <row r="30">
          <cell r="C30"/>
          <cell r="D30"/>
          <cell r="E30"/>
          <cell r="F30"/>
          <cell r="G30"/>
        </row>
        <row r="31">
          <cell r="C31"/>
          <cell r="D31"/>
          <cell r="E31"/>
          <cell r="F31"/>
          <cell r="G31"/>
        </row>
        <row r="32">
          <cell r="C32"/>
          <cell r="D32"/>
          <cell r="E32"/>
          <cell r="F32"/>
          <cell r="G32"/>
        </row>
        <row r="33">
          <cell r="C33"/>
          <cell r="D33"/>
          <cell r="E33"/>
          <cell r="F33"/>
          <cell r="G33"/>
        </row>
        <row r="34">
          <cell r="C34"/>
          <cell r="D34"/>
          <cell r="E34"/>
          <cell r="F34"/>
          <cell r="G34"/>
        </row>
        <row r="35">
          <cell r="C35"/>
          <cell r="D35"/>
          <cell r="E35"/>
          <cell r="F35"/>
          <cell r="G35"/>
        </row>
        <row r="36">
          <cell r="C36"/>
          <cell r="D36"/>
          <cell r="E36"/>
          <cell r="F36"/>
          <cell r="G36"/>
        </row>
        <row r="37">
          <cell r="C37"/>
          <cell r="D37"/>
          <cell r="E37"/>
          <cell r="F37"/>
          <cell r="G37"/>
        </row>
        <row r="38">
          <cell r="C38"/>
          <cell r="D38"/>
          <cell r="E38"/>
          <cell r="F38"/>
          <cell r="G38"/>
        </row>
        <row r="39">
          <cell r="C39"/>
          <cell r="D39"/>
          <cell r="E39"/>
          <cell r="F39"/>
          <cell r="G39"/>
        </row>
        <row r="40">
          <cell r="C40"/>
          <cell r="D40"/>
          <cell r="E40"/>
          <cell r="F40"/>
          <cell r="G40"/>
        </row>
        <row r="41">
          <cell r="C41"/>
          <cell r="D41"/>
          <cell r="E41"/>
          <cell r="F41"/>
          <cell r="G41"/>
        </row>
        <row r="42">
          <cell r="C42"/>
          <cell r="D42"/>
          <cell r="E42"/>
          <cell r="F42"/>
          <cell r="G42"/>
        </row>
        <row r="43">
          <cell r="C43"/>
          <cell r="D43"/>
          <cell r="E43"/>
          <cell r="F43"/>
          <cell r="G43"/>
        </row>
        <row r="44">
          <cell r="C44"/>
          <cell r="D44"/>
          <cell r="E44"/>
          <cell r="F44"/>
          <cell r="G44"/>
        </row>
        <row r="45">
          <cell r="C45"/>
          <cell r="D45"/>
          <cell r="E45"/>
          <cell r="F45"/>
          <cell r="G45"/>
        </row>
        <row r="46">
          <cell r="C46"/>
          <cell r="D46"/>
          <cell r="E46"/>
          <cell r="F46"/>
          <cell r="G46"/>
        </row>
        <row r="47">
          <cell r="C47"/>
          <cell r="D47"/>
          <cell r="E47"/>
          <cell r="F47"/>
          <cell r="G47"/>
        </row>
        <row r="48">
          <cell r="C48"/>
          <cell r="D48"/>
          <cell r="E48"/>
          <cell r="F48"/>
          <cell r="G48"/>
        </row>
        <row r="49">
          <cell r="C49"/>
          <cell r="D49"/>
          <cell r="E49"/>
          <cell r="F49"/>
          <cell r="G49"/>
        </row>
        <row r="50">
          <cell r="C50"/>
          <cell r="D50"/>
          <cell r="E50"/>
          <cell r="F50"/>
          <cell r="G50"/>
        </row>
        <row r="51">
          <cell r="C51"/>
          <cell r="D51"/>
          <cell r="E51"/>
          <cell r="F51"/>
          <cell r="G51"/>
        </row>
        <row r="52">
          <cell r="C52"/>
          <cell r="D52"/>
          <cell r="E52"/>
          <cell r="F52"/>
          <cell r="G52"/>
        </row>
        <row r="53">
          <cell r="C53"/>
          <cell r="D53"/>
          <cell r="E53"/>
          <cell r="F53"/>
          <cell r="G53"/>
        </row>
        <row r="54">
          <cell r="C54"/>
          <cell r="D54"/>
          <cell r="E54"/>
          <cell r="F54"/>
          <cell r="G54"/>
        </row>
        <row r="55">
          <cell r="C55"/>
          <cell r="D55"/>
          <cell r="E55"/>
          <cell r="F55"/>
          <cell r="G55"/>
        </row>
        <row r="56">
          <cell r="C56"/>
          <cell r="D56"/>
          <cell r="E56"/>
          <cell r="F56"/>
          <cell r="G56"/>
        </row>
        <row r="57">
          <cell r="C57"/>
          <cell r="D57"/>
          <cell r="E57"/>
          <cell r="F57"/>
          <cell r="G57"/>
        </row>
        <row r="58">
          <cell r="C58"/>
          <cell r="D58"/>
          <cell r="E58"/>
          <cell r="F58"/>
          <cell r="G58"/>
        </row>
        <row r="59">
          <cell r="C59"/>
          <cell r="D59"/>
          <cell r="E59"/>
          <cell r="F59"/>
          <cell r="G59"/>
        </row>
        <row r="60">
          <cell r="C60"/>
          <cell r="D60"/>
          <cell r="E60"/>
          <cell r="F60"/>
          <cell r="G60"/>
        </row>
        <row r="61">
          <cell r="C61"/>
          <cell r="D61"/>
          <cell r="E61"/>
          <cell r="F61"/>
          <cell r="G61"/>
        </row>
        <row r="62">
          <cell r="C62"/>
          <cell r="D62"/>
          <cell r="E62"/>
          <cell r="F62"/>
          <cell r="G62"/>
        </row>
        <row r="63">
          <cell r="C63"/>
          <cell r="D63"/>
          <cell r="E63"/>
          <cell r="F63"/>
          <cell r="G63"/>
        </row>
        <row r="64">
          <cell r="C64"/>
          <cell r="D64"/>
          <cell r="E64"/>
          <cell r="F64"/>
          <cell r="G64"/>
        </row>
        <row r="65">
          <cell r="C65"/>
          <cell r="D65"/>
          <cell r="E65"/>
          <cell r="F65"/>
          <cell r="G65"/>
        </row>
        <row r="66">
          <cell r="C66"/>
          <cell r="D66"/>
          <cell r="E66"/>
          <cell r="F66"/>
          <cell r="G66"/>
        </row>
        <row r="67">
          <cell r="C67"/>
          <cell r="D67"/>
          <cell r="E67"/>
          <cell r="F67"/>
          <cell r="G67"/>
        </row>
        <row r="68">
          <cell r="C68"/>
          <cell r="D68"/>
          <cell r="E68"/>
          <cell r="F68"/>
          <cell r="G68"/>
        </row>
        <row r="69">
          <cell r="C69"/>
          <cell r="D69"/>
          <cell r="E69"/>
          <cell r="F69"/>
          <cell r="G69"/>
        </row>
        <row r="70">
          <cell r="C70"/>
          <cell r="D70"/>
          <cell r="E70"/>
          <cell r="F70"/>
          <cell r="G70"/>
        </row>
        <row r="71">
          <cell r="C71"/>
          <cell r="D71"/>
          <cell r="E71"/>
          <cell r="F71"/>
          <cell r="G71"/>
        </row>
        <row r="72">
          <cell r="C72"/>
          <cell r="D72"/>
          <cell r="E72"/>
          <cell r="F72"/>
          <cell r="G72"/>
        </row>
      </sheetData>
      <sheetData sheetId="9">
        <row r="4">
          <cell r="B4" t="str">
            <v>رشاش عيار 40 ام كي 19 مع ملحقاته</v>
          </cell>
        </row>
        <row r="5">
          <cell r="B5" t="str">
            <v>هيا المهنا</v>
          </cell>
        </row>
        <row r="13">
          <cell r="C13" t="str">
            <v>2 - Needs Identification</v>
          </cell>
          <cell r="D13"/>
          <cell r="E13" t="str">
            <v xml:space="preserve">اخر اجتماع كان بتاريخ 2026/04/26 يوم الاحد وتم تعبئة نموذج الاستخواذ من قبل مدير المشروع والجهة الطالبة </v>
          </cell>
          <cell r="F13"/>
          <cell r="G13" t="str">
            <v>على المسار</v>
          </cell>
        </row>
        <row r="14">
          <cell r="C14" t="str">
            <v>2 - Needs Identification</v>
          </cell>
          <cell r="D14"/>
          <cell r="E14" t="str">
            <v>تم الغاء الاجتماع</v>
          </cell>
          <cell r="F14"/>
          <cell r="G14" t="str">
            <v xml:space="preserve">متأخر </v>
          </cell>
        </row>
        <row r="15">
          <cell r="C15" t="str">
            <v>2 - Needs Identification</v>
          </cell>
          <cell r="D15"/>
          <cell r="E15" t="str">
            <v>أفاد ممثل الجهة المستفيدة بأنه سيتم إرسال ARF بتاريخ 07-05-2026</v>
          </cell>
          <cell r="F15" t="str">
            <v xml:space="preserve">تم شرح دور الجهة المستفيدة في تعبئة نموذج ال ARF </v>
          </cell>
          <cell r="G15" t="str">
            <v xml:space="preserve">متأخر </v>
          </cell>
        </row>
        <row r="16">
          <cell r="C16" t="str">
            <v>2 - Needs Identification</v>
          </cell>
          <cell r="D16"/>
          <cell r="E16" t="str">
            <v>تم الغاء الاجتماع</v>
          </cell>
          <cell r="F16"/>
          <cell r="G16" t="str">
            <v xml:space="preserve">متأخر </v>
          </cell>
        </row>
        <row r="17">
          <cell r="C17" t="str">
            <v>2 - Needs Identification</v>
          </cell>
          <cell r="D17"/>
          <cell r="E17" t="str">
            <v>لا يوجد متطلب على إدارة التكاليف حتى الان</v>
          </cell>
          <cell r="F17" t="str">
            <v xml:space="preserve">تعبئة نموذج الافتراضات (MDAL) من قبل مدير المشروع للانتقال للخطوات القادمة </v>
          </cell>
          <cell r="G17" t="str">
            <v>على المسار</v>
          </cell>
        </row>
        <row r="18">
          <cell r="C18" t="str">
            <v>2 - Needs Identification</v>
          </cell>
          <cell r="D18"/>
          <cell r="E18" t="str">
            <v>لا يوجد متطلب على إدارة التكاليف حتى الان</v>
          </cell>
          <cell r="F18" t="str">
            <v xml:space="preserve">تعبئة نموذج الافتراضات (MDAL) من قبل مدير المشروع للانتقال للخطوات القادمة </v>
          </cell>
          <cell r="G18" t="str">
            <v>على المسار</v>
          </cell>
        </row>
        <row r="19">
          <cell r="C19"/>
          <cell r="D19"/>
          <cell r="E19"/>
          <cell r="F19"/>
          <cell r="G19"/>
        </row>
        <row r="20">
          <cell r="C20"/>
          <cell r="D20"/>
          <cell r="E20"/>
          <cell r="F20"/>
          <cell r="G20"/>
        </row>
        <row r="21">
          <cell r="C21"/>
          <cell r="D21"/>
          <cell r="E21"/>
          <cell r="F21"/>
          <cell r="G21"/>
        </row>
        <row r="22">
          <cell r="C22"/>
          <cell r="D22"/>
          <cell r="E22"/>
          <cell r="F22"/>
          <cell r="G22"/>
        </row>
        <row r="23">
          <cell r="C23"/>
          <cell r="D23"/>
          <cell r="E23"/>
          <cell r="F23"/>
          <cell r="G23"/>
        </row>
        <row r="24">
          <cell r="C24"/>
          <cell r="D24"/>
          <cell r="E24"/>
          <cell r="F24"/>
          <cell r="G24"/>
        </row>
        <row r="25">
          <cell r="C25"/>
          <cell r="D25"/>
          <cell r="E25"/>
          <cell r="F25"/>
          <cell r="G25"/>
        </row>
        <row r="26">
          <cell r="C26"/>
          <cell r="D26"/>
          <cell r="E26"/>
          <cell r="F26"/>
          <cell r="G26"/>
        </row>
        <row r="27">
          <cell r="C27"/>
          <cell r="D27"/>
          <cell r="E27"/>
          <cell r="F27"/>
          <cell r="G27"/>
        </row>
        <row r="28">
          <cell r="C28"/>
          <cell r="D28"/>
          <cell r="E28"/>
          <cell r="F28"/>
          <cell r="G28"/>
        </row>
        <row r="29">
          <cell r="C29"/>
          <cell r="D29"/>
          <cell r="E29"/>
          <cell r="F29"/>
          <cell r="G29"/>
        </row>
        <row r="30">
          <cell r="C30"/>
          <cell r="D30"/>
          <cell r="E30"/>
          <cell r="F30"/>
          <cell r="G30"/>
        </row>
        <row r="31">
          <cell r="C31"/>
          <cell r="D31"/>
          <cell r="E31"/>
          <cell r="F31"/>
          <cell r="G31"/>
        </row>
        <row r="32">
          <cell r="C32"/>
          <cell r="D32"/>
          <cell r="E32"/>
          <cell r="F32"/>
          <cell r="G32"/>
        </row>
        <row r="33">
          <cell r="C33"/>
          <cell r="D33"/>
          <cell r="E33"/>
          <cell r="F33"/>
          <cell r="G33"/>
        </row>
        <row r="34">
          <cell r="C34"/>
          <cell r="D34"/>
          <cell r="E34"/>
          <cell r="F34"/>
          <cell r="G34"/>
        </row>
        <row r="35">
          <cell r="C35"/>
          <cell r="D35"/>
          <cell r="E35"/>
          <cell r="F35"/>
          <cell r="G35"/>
        </row>
        <row r="36">
          <cell r="C36"/>
          <cell r="D36"/>
          <cell r="E36"/>
          <cell r="F36"/>
          <cell r="G36"/>
        </row>
        <row r="37">
          <cell r="C37"/>
          <cell r="D37"/>
          <cell r="E37"/>
          <cell r="F37"/>
          <cell r="G37"/>
        </row>
        <row r="38">
          <cell r="C38"/>
          <cell r="D38"/>
          <cell r="E38"/>
          <cell r="F38"/>
          <cell r="G38"/>
        </row>
        <row r="39">
          <cell r="C39"/>
          <cell r="D39"/>
          <cell r="E39"/>
          <cell r="F39"/>
          <cell r="G39"/>
        </row>
        <row r="40">
          <cell r="C40"/>
          <cell r="D40"/>
          <cell r="E40"/>
          <cell r="F40"/>
          <cell r="G40"/>
        </row>
        <row r="41">
          <cell r="C41"/>
          <cell r="D41"/>
          <cell r="E41"/>
          <cell r="F41"/>
          <cell r="G41"/>
        </row>
        <row r="42">
          <cell r="C42"/>
          <cell r="D42"/>
          <cell r="E42"/>
          <cell r="F42"/>
          <cell r="G42"/>
        </row>
        <row r="43">
          <cell r="C43"/>
          <cell r="D43"/>
          <cell r="E43"/>
          <cell r="F43"/>
          <cell r="G43"/>
        </row>
        <row r="44">
          <cell r="C44"/>
          <cell r="D44"/>
          <cell r="E44"/>
          <cell r="F44"/>
          <cell r="G44"/>
        </row>
        <row r="45">
          <cell r="C45"/>
          <cell r="D45"/>
          <cell r="E45"/>
          <cell r="F45"/>
          <cell r="G45"/>
        </row>
        <row r="46">
          <cell r="C46"/>
          <cell r="D46"/>
          <cell r="E46"/>
          <cell r="F46"/>
          <cell r="G46"/>
        </row>
        <row r="47">
          <cell r="C47"/>
          <cell r="D47"/>
          <cell r="E47"/>
          <cell r="F47"/>
          <cell r="G47"/>
        </row>
        <row r="48">
          <cell r="C48"/>
          <cell r="D48"/>
          <cell r="E48"/>
          <cell r="F48"/>
          <cell r="G48"/>
        </row>
        <row r="49">
          <cell r="C49"/>
          <cell r="D49"/>
          <cell r="E49"/>
          <cell r="F49"/>
          <cell r="G49"/>
        </row>
        <row r="50">
          <cell r="C50"/>
          <cell r="D50"/>
          <cell r="E50"/>
          <cell r="F50"/>
          <cell r="G50"/>
        </row>
        <row r="51">
          <cell r="C51"/>
          <cell r="D51"/>
          <cell r="E51"/>
          <cell r="F51"/>
          <cell r="G51"/>
        </row>
        <row r="52">
          <cell r="C52"/>
          <cell r="D52"/>
          <cell r="E52"/>
          <cell r="F52"/>
          <cell r="G52"/>
        </row>
        <row r="53">
          <cell r="C53"/>
          <cell r="D53"/>
          <cell r="E53"/>
          <cell r="F53"/>
          <cell r="G53"/>
        </row>
        <row r="54">
          <cell r="C54"/>
          <cell r="D54"/>
          <cell r="E54"/>
          <cell r="F54"/>
          <cell r="G54"/>
        </row>
        <row r="55">
          <cell r="C55"/>
          <cell r="D55"/>
          <cell r="E55"/>
          <cell r="F55"/>
          <cell r="G55"/>
        </row>
        <row r="56">
          <cell r="C56"/>
          <cell r="D56"/>
          <cell r="E56"/>
          <cell r="F56"/>
          <cell r="G56"/>
        </row>
        <row r="57">
          <cell r="C57"/>
          <cell r="D57"/>
          <cell r="E57"/>
          <cell r="F57"/>
          <cell r="G57"/>
        </row>
        <row r="58">
          <cell r="C58"/>
          <cell r="D58"/>
          <cell r="E58"/>
          <cell r="F58"/>
          <cell r="G58"/>
        </row>
        <row r="59">
          <cell r="C59"/>
          <cell r="D59"/>
          <cell r="E59"/>
          <cell r="F59"/>
          <cell r="G59"/>
        </row>
        <row r="60">
          <cell r="C60"/>
          <cell r="D60"/>
          <cell r="E60"/>
          <cell r="F60"/>
          <cell r="G60"/>
        </row>
        <row r="61">
          <cell r="C61"/>
          <cell r="D61"/>
          <cell r="E61"/>
          <cell r="F61"/>
          <cell r="G61"/>
        </row>
        <row r="62">
          <cell r="C62"/>
          <cell r="D62"/>
          <cell r="E62"/>
          <cell r="F62"/>
          <cell r="G62"/>
        </row>
        <row r="63">
          <cell r="C63"/>
          <cell r="D63"/>
          <cell r="E63"/>
          <cell r="F63"/>
          <cell r="G63"/>
        </row>
        <row r="64">
          <cell r="C64"/>
          <cell r="D64"/>
          <cell r="E64"/>
          <cell r="F64"/>
          <cell r="G64"/>
        </row>
        <row r="65">
          <cell r="C65"/>
          <cell r="D65"/>
          <cell r="E65"/>
          <cell r="F65"/>
          <cell r="G65"/>
        </row>
        <row r="66">
          <cell r="C66"/>
          <cell r="D66"/>
          <cell r="E66"/>
          <cell r="F66"/>
          <cell r="G66"/>
        </row>
        <row r="67">
          <cell r="C67"/>
          <cell r="D67"/>
          <cell r="E67"/>
          <cell r="F67"/>
          <cell r="G67"/>
        </row>
        <row r="68">
          <cell r="C68"/>
          <cell r="D68"/>
          <cell r="E68"/>
          <cell r="F68"/>
          <cell r="G68"/>
        </row>
        <row r="69">
          <cell r="C69"/>
          <cell r="D69"/>
          <cell r="E69"/>
          <cell r="F69"/>
          <cell r="G69"/>
        </row>
        <row r="70">
          <cell r="C70"/>
          <cell r="D70"/>
          <cell r="E70"/>
          <cell r="F70"/>
          <cell r="G70"/>
        </row>
        <row r="71">
          <cell r="C71"/>
          <cell r="D71"/>
          <cell r="E71"/>
          <cell r="F71"/>
          <cell r="G71"/>
        </row>
        <row r="72">
          <cell r="C72"/>
          <cell r="D72"/>
          <cell r="E72"/>
          <cell r="F72"/>
          <cell r="G72"/>
        </row>
      </sheetData>
      <sheetData sheetId="10">
        <row r="4">
          <cell r="B4" t="str">
            <v>تقديم الخدمات الاستشارية الفنية للحصول على شهادات</v>
          </cell>
        </row>
        <row r="5">
          <cell r="B5" t="str">
            <v>عبدالله النويصر</v>
          </cell>
        </row>
        <row r="13">
          <cell r="C13" t="str">
            <v>8 - Contract Execution</v>
          </cell>
          <cell r="D13"/>
          <cell r="E13"/>
          <cell r="F13" t="str">
            <v>تم اشراك إدارة التكاليف بالمشروع من  مرحلة تنفيذ العقد ولا يتطلب مخرجات على  إدارة التكاليف</v>
          </cell>
          <cell r="G13" t="str">
            <v>مكتمل</v>
          </cell>
        </row>
        <row r="14">
          <cell r="C14"/>
          <cell r="D14"/>
          <cell r="E14"/>
          <cell r="F14"/>
          <cell r="G14"/>
        </row>
        <row r="15">
          <cell r="C15"/>
          <cell r="D15"/>
          <cell r="E15"/>
          <cell r="F15"/>
          <cell r="G15"/>
        </row>
        <row r="16">
          <cell r="C16"/>
          <cell r="D16"/>
          <cell r="E16"/>
          <cell r="F16"/>
          <cell r="G16"/>
        </row>
        <row r="17">
          <cell r="C17"/>
          <cell r="D17"/>
          <cell r="E17"/>
          <cell r="F17"/>
          <cell r="G17"/>
        </row>
        <row r="18">
          <cell r="C18"/>
          <cell r="D18"/>
          <cell r="E18"/>
          <cell r="F18"/>
          <cell r="G18"/>
        </row>
        <row r="19">
          <cell r="C19"/>
          <cell r="D19"/>
          <cell r="E19"/>
          <cell r="F19"/>
          <cell r="G19"/>
        </row>
        <row r="20">
          <cell r="C20"/>
          <cell r="D20"/>
          <cell r="E20"/>
          <cell r="F20"/>
          <cell r="G20"/>
        </row>
        <row r="21">
          <cell r="C21"/>
          <cell r="D21"/>
          <cell r="E21"/>
          <cell r="F21"/>
          <cell r="G21"/>
        </row>
        <row r="22">
          <cell r="C22"/>
          <cell r="D22"/>
          <cell r="E22"/>
          <cell r="F22"/>
          <cell r="G22"/>
        </row>
        <row r="23">
          <cell r="C23"/>
          <cell r="D23"/>
          <cell r="E23"/>
          <cell r="F23"/>
          <cell r="G23"/>
        </row>
        <row r="24">
          <cell r="C24"/>
          <cell r="D24"/>
          <cell r="E24"/>
          <cell r="F24"/>
          <cell r="G24"/>
        </row>
        <row r="25">
          <cell r="C25"/>
          <cell r="D25"/>
          <cell r="E25"/>
          <cell r="F25"/>
          <cell r="G25"/>
        </row>
        <row r="26">
          <cell r="C26"/>
          <cell r="D26"/>
          <cell r="E26"/>
          <cell r="F26"/>
          <cell r="G26"/>
        </row>
        <row r="27">
          <cell r="C27"/>
          <cell r="D27"/>
          <cell r="E27"/>
          <cell r="F27"/>
          <cell r="G27"/>
        </row>
        <row r="28">
          <cell r="C28"/>
          <cell r="D28"/>
          <cell r="E28"/>
          <cell r="F28"/>
          <cell r="G28"/>
        </row>
        <row r="29">
          <cell r="C29"/>
          <cell r="D29"/>
          <cell r="E29"/>
          <cell r="F29"/>
          <cell r="G29"/>
        </row>
        <row r="30">
          <cell r="C30"/>
          <cell r="D30"/>
          <cell r="E30"/>
          <cell r="F30"/>
          <cell r="G30"/>
        </row>
        <row r="31">
          <cell r="C31"/>
          <cell r="D31"/>
          <cell r="E31"/>
          <cell r="F31"/>
          <cell r="G31"/>
        </row>
        <row r="32">
          <cell r="C32"/>
          <cell r="D32"/>
          <cell r="E32"/>
          <cell r="F32"/>
          <cell r="G32"/>
        </row>
        <row r="33">
          <cell r="C33"/>
          <cell r="D33"/>
          <cell r="E33"/>
          <cell r="F33"/>
          <cell r="G33"/>
        </row>
        <row r="34">
          <cell r="C34"/>
          <cell r="D34"/>
          <cell r="E34"/>
          <cell r="F34"/>
          <cell r="G34"/>
        </row>
        <row r="35">
          <cell r="C35"/>
          <cell r="D35"/>
          <cell r="E35"/>
          <cell r="F35"/>
          <cell r="G35"/>
        </row>
        <row r="36">
          <cell r="C36"/>
          <cell r="D36"/>
          <cell r="E36"/>
          <cell r="F36"/>
          <cell r="G36"/>
        </row>
        <row r="37">
          <cell r="C37"/>
          <cell r="D37"/>
          <cell r="E37"/>
          <cell r="F37"/>
          <cell r="G37"/>
        </row>
        <row r="38">
          <cell r="C38"/>
          <cell r="D38"/>
          <cell r="E38"/>
          <cell r="F38"/>
          <cell r="G38"/>
        </row>
        <row r="39">
          <cell r="C39"/>
          <cell r="D39"/>
          <cell r="E39"/>
          <cell r="F39"/>
          <cell r="G39"/>
        </row>
        <row r="40">
          <cell r="C40"/>
          <cell r="D40"/>
          <cell r="E40"/>
          <cell r="F40"/>
          <cell r="G40"/>
        </row>
        <row r="41">
          <cell r="C41"/>
          <cell r="D41"/>
          <cell r="E41"/>
          <cell r="F41"/>
          <cell r="G41"/>
        </row>
        <row r="42">
          <cell r="C42"/>
          <cell r="D42"/>
          <cell r="E42"/>
          <cell r="F42"/>
          <cell r="G42"/>
        </row>
        <row r="43">
          <cell r="C43"/>
          <cell r="D43"/>
          <cell r="E43"/>
          <cell r="F43"/>
          <cell r="G43"/>
        </row>
        <row r="44">
          <cell r="C44"/>
          <cell r="D44"/>
          <cell r="E44"/>
          <cell r="F44"/>
          <cell r="G44"/>
        </row>
        <row r="45">
          <cell r="C45"/>
          <cell r="D45"/>
          <cell r="E45"/>
          <cell r="F45"/>
          <cell r="G45"/>
        </row>
        <row r="46">
          <cell r="C46"/>
          <cell r="D46"/>
          <cell r="E46"/>
          <cell r="F46"/>
          <cell r="G46"/>
        </row>
        <row r="47">
          <cell r="C47"/>
          <cell r="D47"/>
          <cell r="E47"/>
          <cell r="F47"/>
          <cell r="G47"/>
        </row>
        <row r="48">
          <cell r="C48"/>
          <cell r="D48"/>
          <cell r="E48"/>
          <cell r="F48"/>
          <cell r="G48"/>
        </row>
        <row r="49">
          <cell r="C49"/>
          <cell r="D49"/>
          <cell r="E49"/>
          <cell r="F49"/>
          <cell r="G49"/>
        </row>
        <row r="50">
          <cell r="C50"/>
          <cell r="D50"/>
          <cell r="E50"/>
          <cell r="F50"/>
          <cell r="G50"/>
        </row>
        <row r="51">
          <cell r="C51"/>
          <cell r="D51"/>
          <cell r="E51"/>
          <cell r="F51"/>
          <cell r="G51"/>
        </row>
        <row r="52">
          <cell r="C52"/>
          <cell r="D52"/>
          <cell r="E52"/>
          <cell r="F52"/>
          <cell r="G52"/>
        </row>
        <row r="53">
          <cell r="C53"/>
          <cell r="D53"/>
          <cell r="E53"/>
          <cell r="F53"/>
          <cell r="G53"/>
        </row>
        <row r="54">
          <cell r="C54"/>
          <cell r="D54"/>
          <cell r="E54"/>
          <cell r="F54"/>
          <cell r="G54"/>
        </row>
        <row r="55">
          <cell r="C55"/>
          <cell r="D55"/>
          <cell r="E55"/>
          <cell r="F55"/>
          <cell r="G55"/>
        </row>
        <row r="56">
          <cell r="C56"/>
          <cell r="D56"/>
          <cell r="E56"/>
          <cell r="F56"/>
          <cell r="G56"/>
        </row>
        <row r="57">
          <cell r="C57"/>
          <cell r="D57"/>
          <cell r="E57"/>
          <cell r="F57"/>
          <cell r="G57"/>
        </row>
        <row r="58">
          <cell r="C58"/>
          <cell r="D58"/>
          <cell r="E58"/>
          <cell r="F58"/>
          <cell r="G58"/>
        </row>
        <row r="59">
          <cell r="C59"/>
          <cell r="D59"/>
          <cell r="E59"/>
          <cell r="F59"/>
          <cell r="G59"/>
        </row>
        <row r="60">
          <cell r="C60"/>
          <cell r="D60"/>
          <cell r="E60"/>
          <cell r="F60"/>
          <cell r="G60"/>
        </row>
        <row r="61">
          <cell r="C61"/>
          <cell r="D61"/>
          <cell r="E61"/>
          <cell r="F61"/>
          <cell r="G61"/>
        </row>
        <row r="62">
          <cell r="C62"/>
          <cell r="D62"/>
          <cell r="E62"/>
          <cell r="F62"/>
          <cell r="G62"/>
        </row>
        <row r="63">
          <cell r="C63"/>
          <cell r="D63"/>
          <cell r="E63"/>
          <cell r="F63"/>
          <cell r="G63"/>
        </row>
        <row r="64">
          <cell r="C64"/>
          <cell r="D64"/>
          <cell r="E64"/>
          <cell r="F64"/>
          <cell r="G64"/>
        </row>
        <row r="65">
          <cell r="C65"/>
          <cell r="D65"/>
          <cell r="E65"/>
          <cell r="F65"/>
          <cell r="G65"/>
        </row>
        <row r="66">
          <cell r="C66"/>
          <cell r="D66"/>
          <cell r="E66"/>
          <cell r="F66"/>
          <cell r="G66"/>
        </row>
        <row r="67">
          <cell r="C67"/>
          <cell r="D67"/>
          <cell r="E67"/>
          <cell r="F67"/>
          <cell r="G67"/>
        </row>
        <row r="68">
          <cell r="C68"/>
          <cell r="D68"/>
          <cell r="E68"/>
          <cell r="F68"/>
          <cell r="G68"/>
        </row>
        <row r="69">
          <cell r="C69"/>
          <cell r="D69"/>
          <cell r="E69"/>
          <cell r="F69"/>
          <cell r="G69"/>
        </row>
        <row r="70">
          <cell r="C70"/>
          <cell r="D70"/>
          <cell r="E70"/>
          <cell r="F70"/>
          <cell r="G70"/>
        </row>
        <row r="71">
          <cell r="C71"/>
          <cell r="D71"/>
          <cell r="E71"/>
          <cell r="F71"/>
          <cell r="G71"/>
        </row>
        <row r="72">
          <cell r="C72"/>
          <cell r="D72"/>
          <cell r="E72"/>
          <cell r="F72"/>
          <cell r="G72"/>
        </row>
      </sheetData>
      <sheetData sheetId="11"/>
      <sheetData sheetId="12">
        <row r="2">
          <cell r="A2" t="str">
            <v>CES</v>
          </cell>
          <cell r="B2" t="str">
            <v>Detailed LCCE</v>
          </cell>
        </row>
        <row r="3">
          <cell r="A3" t="str">
            <v>High Level LCCE</v>
          </cell>
          <cell r="B3" t="str">
            <v>Validation</v>
          </cell>
        </row>
        <row r="4">
          <cell r="B4" t="str">
            <v>Independent LCCE</v>
          </cell>
        </row>
        <row r="5">
          <cell r="B5" t="str">
            <v>TCO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ISSUES"/>
      <sheetName val="Project Log"/>
      <sheetName val="PP-01"/>
      <sheetName val="PP-02"/>
      <sheetName val="Sheet1"/>
      <sheetName val="PP-03"/>
      <sheetName val="PP-04"/>
      <sheetName val="PP-05"/>
      <sheetName val="PP-06"/>
      <sheetName val="PP-07"/>
      <sheetName val="PP-08"/>
      <sheetName val="_REF"/>
    </sheetNames>
    <sheetDataSet>
      <sheetData sheetId="0" refreshError="1"/>
      <sheetData sheetId="1" refreshError="1"/>
      <sheetData sheetId="2" refreshError="1"/>
      <sheetData sheetId="3">
        <row r="4">
          <cell r="B4" t="str">
            <v xml:space="preserve"> تأمين أنظمة حرب الألغام الغير مأهولة</v>
          </cell>
        </row>
        <row r="5">
          <cell r="B5" t="str">
            <v>عبدالرحمن آل مسعود</v>
          </cell>
        </row>
        <row r="13">
          <cell r="C13" t="str">
            <v>3 - Affordability Estimate</v>
          </cell>
          <cell r="D13" t="str">
            <v>Detailed LCCE</v>
          </cell>
          <cell r="E13" t="str">
            <v>بانتظار ردود الشركات على طلبات الحصول على المعلومات (RFI) المرسل من قبل مدير المشروع ، كما انه تم ارسال ايميل لمدير المشروع بتاريخ 15/04/2026 بتزويدنا بالمدخلات حسب ماهو موضح في اجراء رقم (Determine Detailed Life Cycle Cost Estimate 4.1.1)</v>
          </cell>
          <cell r="G13" t="str">
            <v>على المسار</v>
          </cell>
        </row>
        <row r="14">
          <cell r="C14" t="str">
            <v>3 - Affordability Estimate</v>
          </cell>
          <cell r="D14" t="str">
            <v>Detailed LCCE</v>
          </cell>
          <cell r="E14" t="str">
            <v>لم يتم عقد اجتماع check-out</v>
          </cell>
          <cell r="G14" t="str">
            <v>على المسار</v>
          </cell>
        </row>
        <row r="15">
          <cell r="C15" t="str">
            <v>3 - Affordability Estimate</v>
          </cell>
          <cell r="D15" t="str">
            <v>Detailed LCCE</v>
          </cell>
          <cell r="E15" t="str">
            <v xml:space="preserve">لم يتم عقد اجتماع check - out </v>
          </cell>
          <cell r="F15" t="str">
            <v>بانتظار ردود الشركات على طلبات الحصول على المعلومات (RFI) المرسل من قبل مدير المشروع ، كما انه تم ارسال ايميل لمدير المشروع بتاريخ 15/04/2026 بتزويدنا بالمدخلات حسب ماهو موضح في اجراء رقم (Determine Detailed Life Cycle Cost Estimate 4.1.1)</v>
          </cell>
          <cell r="G15" t="str">
            <v>على المسار</v>
          </cell>
        </row>
        <row r="16">
          <cell r="C16" t="str">
            <v>3 - Affordability Estimate</v>
          </cell>
          <cell r="D16" t="str">
            <v>Detailed LCCE</v>
          </cell>
          <cell r="E16" t="str">
            <v>بانتظار ردود الشركات على طلبات الحصول على المعلومات (RFI) المرسل من قبل مدير المشروع</v>
          </cell>
          <cell r="F16" t="str">
            <v>لا يوجد اجتماع check-out</v>
          </cell>
          <cell r="G16" t="str">
            <v>على المسار</v>
          </cell>
        </row>
        <row r="17">
          <cell r="C17" t="str">
            <v>3 - Affordability Estimate</v>
          </cell>
          <cell r="D17" t="str">
            <v>Detailed LCCE</v>
          </cell>
          <cell r="E17" t="str">
            <v>بانتظار ردود الشركات على طلبات الحصول على المعلومات (RFI) المرسل من قبل مدير المشروع</v>
          </cell>
          <cell r="F17" t="str">
            <v>لا يوجد اجتماع check-out</v>
          </cell>
          <cell r="G17" t="str">
            <v>على المسار</v>
          </cell>
        </row>
        <row r="18">
          <cell r="C18" t="str">
            <v>3 - Affordability Estimate</v>
          </cell>
          <cell r="D18" t="str">
            <v>Detailed LCCE</v>
          </cell>
          <cell r="E18" t="str">
            <v>بانتظار ردود الشركات على طلبات الحصول على المعلومات (RFI) المرسل من قبل مدير المشروع</v>
          </cell>
          <cell r="F18" t="str">
            <v>لا يوجد اجتماع check-out</v>
          </cell>
          <cell r="G18" t="str">
            <v>على المسار</v>
          </cell>
        </row>
        <row r="19">
          <cell r="C19" t="str">
            <v>3 - Affordability Estimate</v>
          </cell>
          <cell r="D19" t="str">
            <v>Detailed LCCE</v>
          </cell>
          <cell r="E19" t="str">
            <v>بانتظار ردود الشركات على طلبات الحصول على المعلومات (RFI) المرسل من قبل مدير المشروع</v>
          </cell>
          <cell r="F19" t="str">
            <v>لا يوجد اجتماع check-out</v>
          </cell>
          <cell r="G19" t="str">
            <v>على المسار</v>
          </cell>
        </row>
      </sheetData>
      <sheetData sheetId="4">
        <row r="4">
          <cell r="B4" t="str">
            <v>تأمين راجمات الصواريخ بعيدة المدى</v>
          </cell>
        </row>
        <row r="5">
          <cell r="B5" t="str">
            <v>محمد بن زعير</v>
          </cell>
        </row>
        <row r="13">
          <cell r="C13" t="str">
            <v>3 - Affordability Estimate</v>
          </cell>
          <cell r="D13" t="str">
            <v>Detailed LCCE</v>
          </cell>
          <cell r="E13" t="str">
            <v>بانتظار ردود الشركات على طلبات الحصول على المعلومات (RFI) المرسل من قبل مدير المشروع، كما تم طلب توفير تفاصيل إضافية حيال متطلبات المشروع لتحديث تكلفة دورة الحياة بناء على مناقشة التقدير الاولي مع فريق المشروع</v>
          </cell>
          <cell r="G13" t="str">
            <v>على المسار</v>
          </cell>
        </row>
        <row r="14">
          <cell r="C14" t="str">
            <v>3 - Affordability Estimate</v>
          </cell>
          <cell r="D14" t="str">
            <v>Detailed LCCE</v>
          </cell>
          <cell r="E14" t="str">
            <v xml:space="preserve">لم يتم عقد اجتماع check - out </v>
          </cell>
          <cell r="G14" t="str">
            <v>على المسار</v>
          </cell>
        </row>
        <row r="15">
          <cell r="C15" t="str">
            <v>3 - Affordability Estimate</v>
          </cell>
          <cell r="D15" t="str">
            <v>Detailed LCCE</v>
          </cell>
          <cell r="E15" t="str">
            <v>بانتظار ردود الشركات على طلبات الحصول على المعلومات (RFI) المرسل من قبل مدير المشروع، كما تم طلب توفير تفاصيل إضافية حيال متطلبات المشروع لتحديث تكلفة دورة الحياة بناء على مناقشة التقدير الاولي مع فريق المشروع</v>
          </cell>
          <cell r="F15" t="str">
            <v>اا</v>
          </cell>
          <cell r="G15" t="str">
            <v>على المسار</v>
          </cell>
        </row>
        <row r="16">
          <cell r="C16" t="str">
            <v>3 - Affordability Estimate</v>
          </cell>
          <cell r="D16" t="str">
            <v>Detailed LCCE</v>
          </cell>
          <cell r="E16" t="str">
            <v xml:space="preserve">لم يتم عقد اجتماع check - out </v>
          </cell>
          <cell r="F16" t="str">
            <v>بانتظار ردود الشركات على طلبات الحصول على المعلومات (RFI) المرسل من قبل مدير المشروع، كما تم طلب توفير تفاصيل إضافية حيال متطلبات المشروع لتحديث تكلفة دورة الحياة بناء على مناقشة التقدير الاولي مع فريق المشروع</v>
          </cell>
          <cell r="G16" t="str">
            <v>على المسار</v>
          </cell>
        </row>
        <row r="17">
          <cell r="C17" t="str">
            <v>3 - Affordability Estimate</v>
          </cell>
          <cell r="D17" t="str">
            <v>Detailed LCCE</v>
          </cell>
          <cell r="E17" t="str">
            <v>بانتظار ردود الشركات على طلبات الحصول على المعلومات (RFI) المرسل من قبل مدير المشروع، كما تم طلب توفير تفاصيل إضافية حيال متطلبات المشروع لتحديث تكلفة دورة الحياة بناء على مناقشة التقدير الاولي مع فريق المشروع</v>
          </cell>
          <cell r="G17" t="str">
            <v>على المسار</v>
          </cell>
        </row>
        <row r="18">
          <cell r="C18" t="str">
            <v>3 - Affordability Estimate</v>
          </cell>
          <cell r="D18" t="str">
            <v>Detailed LCCE</v>
          </cell>
          <cell r="E18" t="str">
            <v>بانتظار ردود الشركات على طلبات الحصول على المعلومات (RFI) المرسل من قبل مدير المشروع، كما تم طلب توفير تفاصيل إضافية حيال متطلبات المشروع لتحديث تكلفة دورة الحياة بناء على مناقشة التقدير الاولي مع فريق المشروع</v>
          </cell>
          <cell r="F18" t="str">
            <v>لايوجد</v>
          </cell>
          <cell r="G18" t="str">
            <v>مكتمل</v>
          </cell>
        </row>
        <row r="19">
          <cell r="C19" t="str">
            <v>3 - Affordability Estimate</v>
          </cell>
          <cell r="D19" t="str">
            <v>Detailed LCCE</v>
          </cell>
          <cell r="E19" t="str">
            <v>بانتظار ردود الشركات على طلبات الحصول على المعلومات (RFI) المرسل من قبل مدير المشروع، كما تم طلب توفير تفاصيل إضافية حيال متطلبات المشروع لتحديث تكلفة دورة الحياة بناء على مناقشة التقدير الاولي مع فريق المشروع</v>
          </cell>
          <cell r="F19" t="str">
            <v>لايوجد</v>
          </cell>
          <cell r="G19" t="str">
            <v>مكتمل</v>
          </cell>
        </row>
        <row r="20">
          <cell r="C20" t="str">
            <v>3 - Affordability Estimate</v>
          </cell>
          <cell r="D20" t="str">
            <v>Detailed LCCE</v>
          </cell>
          <cell r="E20" t="str">
            <v>بانتظار ردود الشركات على طلبات الحصول على المعلومات (RFI) المرسل من قبل مدير المشروع، 
تم طلب توفير تفاصيل إضافية حيال متطلبات المشروع لتحديث تكلفة دورة الحياة بناء على مناقشة التقدير الاولي مع فريق المشروع
تم مناقشة ممثل الجهة المستفيدة حيال تزويد تفاصيل تجهيزات العربات لتحديث ملف المتطلبات الفنية والغير فنية للمشروع</v>
          </cell>
          <cell r="F20" t="str">
            <v>افاد مدير المشروع انه تم التواصل مع شركتين وانه سيتم الرد من قبلهم بنهاية الشهر الحالي
افادة ممثل الجهة المستفيدة ان التكلفة التقديرية تشمل قيمة العقد فقط وانه ينبغي توضيح ذلك اعند عرض مخرجات تكاليف دورة الحياة للمجالس المعنية</v>
          </cell>
          <cell r="G20" t="str">
            <v>على المسار</v>
          </cell>
        </row>
        <row r="21">
          <cell r="C21" t="str">
            <v>3 - Affordability Estimate</v>
          </cell>
          <cell r="D21" t="str">
            <v>Detailed LCCE</v>
          </cell>
          <cell r="E21" t="str">
            <v>بانتظار ردود الشركات على طلبات الحصول على المعلومات (RFI) المرسل من قبل مدير المشروع، 
تم طلب توفير تفاصيل إضافية حيال متطلبات المشروع لتحديث تكلفة دورة الحياة بناء على مناقشة التقدير الاولي مع فريق المشروع
تم مناقشة ممثل الجهة المستفيدة حيال تزويد تفاصيل تجهيزات العربات لتحديث ملف المتطلبات الفنية والغير فنية للمشروع</v>
          </cell>
          <cell r="F21" t="str">
            <v>افاد مدير المشروع انه تم التواصل مع شركتين وانه سيتم الرد من قبلهم بنهاية الشهر الحالي
افادة ممثل الجهة المستفيدة ان التكلفة التقديرية تشمل قيمة العقد فقط وانه ينبغي توضيح ذلك اعند عرض مخرجات تكاليف دورة الحياة للمجالس المعنية</v>
          </cell>
          <cell r="G21" t="str">
            <v>على المسار</v>
          </cell>
        </row>
      </sheetData>
      <sheetData sheetId="5" refreshError="1"/>
      <sheetData sheetId="6">
        <row r="4">
          <cell r="B4" t="str">
            <v>تأمين عدد (4) طائرات نقل استراتيجي</v>
          </cell>
        </row>
        <row r="5">
          <cell r="B5" t="str">
            <v>النقيب/أصيل القصيمي</v>
          </cell>
        </row>
        <row r="13">
          <cell r="C13" t="str">
            <v>3 - Affordability Estimate</v>
          </cell>
          <cell r="D13" t="str">
            <v>Detailed LCCE</v>
          </cell>
          <cell r="E13" t="str">
            <v xml:space="preserve">تم الاتفاق مع مدير المشروع على ارسال ايميل بالمتطلبات الخاصة بنموذج Detail LCCE وتحديث مستندات المشروع </v>
          </cell>
          <cell r="F13" t="str">
            <v xml:space="preserve">تم ارسال ايميل بتاريخ 15/04/2026  لمدير المشروع بمتطلبات Detailed LCCE   </v>
          </cell>
          <cell r="G13" t="str">
            <v>على المسار</v>
          </cell>
        </row>
        <row r="14">
          <cell r="C14" t="str">
            <v>3 - Affordability Estimate</v>
          </cell>
          <cell r="D14" t="str">
            <v>Detailed LCCE</v>
          </cell>
          <cell r="E14" t="str">
            <v>أفاد مدير المشروع بعدم الحاجة لنموذج Detail LCCE  والاكتفاء بنموذج HL LCCE وعلى ذلك تم الاتفاق على إرسال إيميل يفيد بذلك</v>
          </cell>
          <cell r="F14" t="str">
            <v>تم استلام ايميل من قبل مدير المشروع بتاريخ 15/04/2026  حيث سيتم نقل المشروع إلى (Wave 2) حسب إفادة الفريق التنفيذي للمبادرة.</v>
          </cell>
          <cell r="G14" t="str">
            <v>على المسار</v>
          </cell>
        </row>
        <row r="15">
          <cell r="C15" t="str">
            <v>3 - Affordability Estimate</v>
          </cell>
          <cell r="D15" t="str">
            <v>Detailed LCCE</v>
          </cell>
          <cell r="E15" t="str">
            <v>مناقشة نقل المشروع إلى (Wave 2) حسب إفادة الفريق التنفيذي للمبادرة ومدير الشمروع وبانتظار التأكيد في الاجتماع القادم وإرسال ايميل رسمي من قبل مدير المشروع</v>
          </cell>
          <cell r="F15" t="str">
            <v>لايوجد</v>
          </cell>
          <cell r="G15" t="str">
            <v xml:space="preserve">خطر </v>
          </cell>
        </row>
        <row r="16">
          <cell r="C16" t="str">
            <v>3 - Affordability Estimate</v>
          </cell>
          <cell r="D16" t="str">
            <v>Detailed LCCE</v>
          </cell>
          <cell r="E16" t="str">
            <v>مناقشة نقل المشروع إلى (Wave 2) حسب إفادة الفريق التنفيذي للمبادرة ومدير الشمروع وبانتظار التأكيد في الاجتماع القادم وإرسال ايميل رسمي من قبل مدير المشروع</v>
          </cell>
          <cell r="F16" t="str">
            <v>لايوجد</v>
          </cell>
          <cell r="G16" t="str">
            <v xml:space="preserve">خطر </v>
          </cell>
        </row>
        <row r="17">
          <cell r="C17" t="str">
            <v>3 - Affordability Estimate</v>
          </cell>
          <cell r="D17" t="str">
            <v>Detailed LCCE</v>
          </cell>
          <cell r="E17" t="str">
            <v xml:space="preserve">لايوجد تحديث على المشروع حتى تاريخه </v>
          </cell>
          <cell r="F17" t="str">
            <v xml:space="preserve">لايوجد
</v>
          </cell>
          <cell r="G17" t="str">
            <v xml:space="preserve">خطر </v>
          </cell>
        </row>
        <row r="18">
          <cell r="C18" t="str">
            <v>3 - Affordability Estimate</v>
          </cell>
          <cell r="D18" t="str">
            <v>لايوجد</v>
          </cell>
          <cell r="E18" t="str">
            <v xml:space="preserve">لم يتم عقد اجتماع check - out </v>
          </cell>
          <cell r="G18" t="str">
            <v xml:space="preserve">خطر </v>
          </cell>
        </row>
        <row r="19">
          <cell r="C19" t="str">
            <v>3 - Affordability Estimate</v>
          </cell>
          <cell r="D19" t="str">
            <v>لايوجد</v>
          </cell>
          <cell r="E19" t="str">
            <v>مناقشة نقل المشروع إلى (Wave 2) حسب إفادة الفريق التنفيذي للمبادرة ومدير الشمروع وبانتظار التأكيد في الاجتماع القادم وإرسال ايميل رسمي من قبل مدير المشروع</v>
          </cell>
          <cell r="F19" t="str">
            <v>تم التواصل بعد الاجتماع في تاريخ 04/05/2026 من قبل PPP&amp;P بشأن استكمال إجراءات المشروع بغض النظر عن نقل المشروع الى WAVE2</v>
          </cell>
          <cell r="G19" t="str">
            <v xml:space="preserve">خطر </v>
          </cell>
        </row>
        <row r="20">
          <cell r="C20" t="str">
            <v>3 - Affordability Estimate</v>
          </cell>
          <cell r="D20" t="str">
            <v>Validation</v>
          </cell>
          <cell r="E20" t="str">
            <v xml:space="preserve">لم يتم عقد اجتماع check - out </v>
          </cell>
          <cell r="F20" t="str">
            <v xml:space="preserve"> تم الانتهاء من اجراء Validation LCCE  </v>
          </cell>
          <cell r="G20" t="str">
            <v>مكتمل</v>
          </cell>
        </row>
        <row r="21">
          <cell r="C21" t="str">
            <v>3 - Affordability Estimate</v>
          </cell>
          <cell r="E21" t="str">
            <v xml:space="preserve">لايوجد تحديث على المشروع حتى تاريخه </v>
          </cell>
          <cell r="F21" t="str">
            <v>لايوجد</v>
          </cell>
          <cell r="G21" t="str">
            <v>مكتمل</v>
          </cell>
        </row>
        <row r="22">
          <cell r="C22" t="str">
            <v>3 - Affordability Estimate</v>
          </cell>
          <cell r="E22" t="str">
            <v xml:space="preserve">لايوجد تحديث على المشروع حتى تاريخه </v>
          </cell>
          <cell r="F22" t="str">
            <v xml:space="preserve">لايوجد تحديث على المشروع حتى تاريخه </v>
          </cell>
          <cell r="G22" t="str">
            <v>مكتمل</v>
          </cell>
        </row>
        <row r="23">
          <cell r="C23" t="str">
            <v>3 - Affordability Estimate</v>
          </cell>
          <cell r="E23" t="str">
            <v>بانتظار متطلبات ومدخلات TCO</v>
          </cell>
          <cell r="F23" t="str">
            <v>لايوجد</v>
          </cell>
          <cell r="G23" t="str">
            <v>مكتمل</v>
          </cell>
        </row>
        <row r="24">
          <cell r="C24" t="str">
            <v>3 - Affordability Estimate</v>
          </cell>
          <cell r="E24" t="str">
            <v xml:space="preserve">لم يتم عقد اجتماع check - out </v>
          </cell>
          <cell r="F24" t="str">
            <v>بانتظار متطلبات ومدخلات TCO</v>
          </cell>
          <cell r="G24" t="str">
            <v>مكتمل</v>
          </cell>
        </row>
        <row r="25">
          <cell r="C25" t="str">
            <v>3 - Affordability Estimate</v>
          </cell>
          <cell r="D25" t="str">
            <v>لايوجد</v>
          </cell>
          <cell r="E25" t="str">
            <v>بانتظار متطلبات ومدخلات TCO</v>
          </cell>
          <cell r="F25" t="str">
            <v>لم يتم توفير المتطلبات والمدخلات لعدم حضور الجهة المستفيدة وعدم تجاوبها في توفير المتطلبات</v>
          </cell>
          <cell r="G25" t="str">
            <v xml:space="preserve">خطر </v>
          </cell>
        </row>
        <row r="26">
          <cell r="C26" t="str">
            <v>3 - Affordability Estimate</v>
          </cell>
          <cell r="D26" t="str">
            <v>لايوجد</v>
          </cell>
          <cell r="E26" t="str">
            <v>بانتظار متطلبات ومدخلات TCO</v>
          </cell>
          <cell r="F26" t="str">
            <v>لم يتم توفير المتطلبات والمدخلات لعدم حضور الجهة المستفيدة وعدم تجاوبها في توفير المتطلبات</v>
          </cell>
          <cell r="G26" t="str">
            <v xml:space="preserve">خطر </v>
          </cell>
        </row>
      </sheetData>
      <sheetData sheetId="7">
        <row r="4">
          <cell r="B4" t="str">
            <v xml:space="preserve"> توريد وتركيب أجهزة اتصالات معرفة برمجيا</v>
          </cell>
        </row>
        <row r="5">
          <cell r="B5" t="str">
            <v>عايض الشهراني</v>
          </cell>
        </row>
        <row r="13">
          <cell r="C13" t="str">
            <v>3 - Affordability Estimate</v>
          </cell>
          <cell r="D13" t="str">
            <v>Detailed LCCE</v>
          </cell>
          <cell r="E13" t="str">
            <v>جاري إعداد Detailed LCCE</v>
          </cell>
          <cell r="G13" t="str">
            <v>على المسار</v>
          </cell>
        </row>
        <row r="14">
          <cell r="C14" t="str">
            <v>3 - Affordability Estimate</v>
          </cell>
          <cell r="D14" t="str">
            <v>Detailed LCCE</v>
          </cell>
          <cell r="E14" t="str">
            <v>تم الانتهاء من اعداد Detailed LCCE</v>
          </cell>
          <cell r="F14" t="str">
            <v>لم يتم عقد اجتماع check-out</v>
          </cell>
          <cell r="G14" t="str">
            <v>مكتمل</v>
          </cell>
        </row>
        <row r="15">
          <cell r="C15" t="str">
            <v>3 - Affordability Estimate</v>
          </cell>
          <cell r="D15" t="str">
            <v>Validation</v>
          </cell>
          <cell r="E15" t="str">
            <v>تم الانتهاء من اعداد Detailed LCCE وفي انتظار مراجعة الملف من قبل الأستاذ بدر</v>
          </cell>
          <cell r="G15" t="str">
            <v>على المسار</v>
          </cell>
        </row>
        <row r="16">
          <cell r="C16" t="str">
            <v>3 - Affordability Estimate</v>
          </cell>
          <cell r="D16" t="str">
            <v>Validation</v>
          </cell>
          <cell r="E16" t="str">
            <v xml:space="preserve">تمت المراجعة من الاستاذ بدر وتم ارسال الملف لمدير المشروع
</v>
          </cell>
          <cell r="F16" t="str">
            <v xml:space="preserve">لم يتم عقد اجتماع check - out </v>
          </cell>
          <cell r="G16" t="str">
            <v>مكتمل</v>
          </cell>
        </row>
        <row r="17">
          <cell r="C17" t="str">
            <v>4 - Tender Pack Development</v>
          </cell>
          <cell r="E17" t="str">
            <v>تم حظور  ورشة عمل عن  تطوير وثائق حزمة المنافسة</v>
          </cell>
          <cell r="G17" t="str">
            <v>مكتمل</v>
          </cell>
        </row>
        <row r="18">
          <cell r="C18" t="str">
            <v>4 - Tender Pack Development</v>
          </cell>
          <cell r="E18" t="str">
            <v>لا يوجد اجتماع</v>
          </cell>
          <cell r="F18" t="str">
            <v xml:space="preserve">لم يتم عقد اجتماع check - out </v>
          </cell>
          <cell r="G18" t="str">
            <v>مكتمل</v>
          </cell>
        </row>
        <row r="19">
          <cell r="C19" t="str">
            <v>3 - Affordability Estimate</v>
          </cell>
          <cell r="D19" t="str">
            <v>TCO</v>
          </cell>
          <cell r="E19" t="str">
            <v>تم ارسال اميل لمدير المشروع بمتطلبات مدير المشروع</v>
          </cell>
          <cell r="G19" t="str">
            <v>على المسار</v>
          </cell>
        </row>
        <row r="20">
          <cell r="C20" t="str">
            <v>3 - Affordability Estimate</v>
          </cell>
          <cell r="D20" t="str">
            <v>TCO</v>
          </cell>
          <cell r="E20" t="str">
            <v>لا يوجد اجتماع
تم الاجتماع مع مدير المشروع وتم مناقشة المتطلبات</v>
          </cell>
          <cell r="G20" t="str">
            <v>مكتمل</v>
          </cell>
        </row>
        <row r="21">
          <cell r="C21" t="str">
            <v>3 - Affordability Estimate</v>
          </cell>
          <cell r="D21" t="str">
            <v>TCO</v>
          </cell>
          <cell r="E21" t="str">
            <v>تم حضور الاجتماع  وفي انتظار مدير المشروع لتزويدنا  بتكاليف TCO</v>
          </cell>
          <cell r="G21" t="str">
            <v>على المسار</v>
          </cell>
        </row>
        <row r="22">
          <cell r="C22" t="str">
            <v>3 - Affordability Estimate</v>
          </cell>
          <cell r="D22" t="str">
            <v>TCO</v>
          </cell>
          <cell r="E22" t="str">
            <v>اتم استلام متطلبات ال tco من مدير المشروع</v>
          </cell>
          <cell r="G22" t="str">
            <v>على المسار</v>
          </cell>
        </row>
      </sheetData>
      <sheetData sheetId="8">
        <row r="4">
          <cell r="B4" t="str">
            <v>تعديل وتحسين قدرات البتريوت إلى الجيل القادم بعدد (9) رادارات (LTAMS)</v>
          </cell>
        </row>
        <row r="5">
          <cell r="B5" t="str">
            <v>لمى القحطاني</v>
          </cell>
        </row>
        <row r="13">
          <cell r="C13" t="str">
            <v>2 - Needs Identification</v>
          </cell>
          <cell r="E13" t="str">
            <v xml:space="preserve">لم يتم تسليم ARF حتى الان </v>
          </cell>
          <cell r="G13" t="str">
            <v xml:space="preserve">متأخر </v>
          </cell>
        </row>
        <row r="14">
          <cell r="C14" t="str">
            <v>2 - Needs Identification</v>
          </cell>
          <cell r="E14" t="str">
            <v>لم يتم تسليم ARF حتى الان ولايوجد تحديث</v>
          </cell>
          <cell r="G14" t="str">
            <v xml:space="preserve">متأخر </v>
          </cell>
        </row>
        <row r="15">
          <cell r="C15" t="str">
            <v>2 - Needs Identification</v>
          </cell>
          <cell r="E15" t="str">
            <v>لم يتم تسليم ARF حتى الان ولايوجد تحديث</v>
          </cell>
          <cell r="F15" t="str">
            <v xml:space="preserve">أفاد مدير المشروع بأنه سيتم البدا في نموذج MDAL </v>
          </cell>
          <cell r="G15" t="str">
            <v xml:space="preserve">متأخر </v>
          </cell>
        </row>
        <row r="16">
          <cell r="C16" t="str">
            <v>2 - Needs Identification</v>
          </cell>
          <cell r="E16" t="str">
            <v>لم يتم تسليم ARF حتى الان ولايوجد تحديث</v>
          </cell>
          <cell r="F16" t="str">
            <v xml:space="preserve">أفاد مدير المشروع بأنه سيتم البدا في نموذج MDAL </v>
          </cell>
          <cell r="G16" t="str">
            <v xml:space="preserve">متأخر </v>
          </cell>
        </row>
        <row r="17">
          <cell r="C17" t="str">
            <v>2 - Needs Identification</v>
          </cell>
          <cell r="E17" t="str">
            <v xml:space="preserve">لم يتم تسليم ARF حتى الان وحسب افادة مدير المشروع بانه تم استلام خطاب من الجهة المستفيدة بالتريث </v>
          </cell>
          <cell r="F17" t="str">
            <v>بانتظار مناقشة الفريق التنفيذي للمشاريع بشان استمرار المشروع</v>
          </cell>
          <cell r="G17" t="str">
            <v xml:space="preserve">خطر </v>
          </cell>
        </row>
        <row r="18">
          <cell r="C18" t="str">
            <v>2 - Needs Identification</v>
          </cell>
          <cell r="E18" t="str">
            <v>لم يتم تسليم ARF حتى الان ولايوجد تحديث</v>
          </cell>
          <cell r="F18" t="str">
            <v>بانتظار مناقشة الفريق التنفيذي للمشاريع بشان استمرار المشروع</v>
          </cell>
          <cell r="G18" t="str">
            <v xml:space="preserve">خطر </v>
          </cell>
        </row>
        <row r="19">
          <cell r="C19" t="str">
            <v>2 - Needs Identification</v>
          </cell>
          <cell r="E19" t="str">
            <v xml:space="preserve">لم يحضر مدير المشروع ولا يوجد تحديث </v>
          </cell>
          <cell r="F19" t="str">
            <v>بانتظار مناقشة الفريق التنفيذي للمشاريع بشان استمرار المشروع</v>
          </cell>
          <cell r="G19" t="str">
            <v xml:space="preserve">خطر </v>
          </cell>
        </row>
        <row r="20">
          <cell r="C20" t="str">
            <v>2 - Needs Identification</v>
          </cell>
          <cell r="E20" t="str">
            <v xml:space="preserve">لا يوجد اجتماع </v>
          </cell>
          <cell r="F20" t="str">
            <v>بانتظار مناقشة الفريق التنفيذي للمشاريع بشان استمرار المشروع</v>
          </cell>
          <cell r="G20" t="str">
            <v xml:space="preserve">خطر </v>
          </cell>
        </row>
      </sheetData>
      <sheetData sheetId="9">
        <row r="4">
          <cell r="B4" t="str">
            <v>شراء طائرات دورية بحرية مسلحة لصالح القوات البحرية (MPA)</v>
          </cell>
        </row>
        <row r="5">
          <cell r="B5" t="str">
            <v>النقيب/أصيل القصيمي</v>
          </cell>
        </row>
        <row r="13">
          <cell r="C13" t="str">
            <v>8 - Contract Execution</v>
          </cell>
          <cell r="E13" t="str">
            <v xml:space="preserve">تم حضور اول اجتماع check-in </v>
          </cell>
          <cell r="F13" t="str">
            <v>تمت الإفادة بأنه لا حاجة لحضور ممثلين لإدارة التكاليف بما ان المشروع في مرحلة التنفيذ الا في حالة الحاجة الى تعديل عقدي</v>
          </cell>
          <cell r="G13" t="str">
            <v>مكتمل</v>
          </cell>
        </row>
      </sheetData>
      <sheetData sheetId="10">
        <row r="4">
          <cell r="B4" t="str">
            <v>تأمين كاشفات القناصة لصالح القوات البرية</v>
          </cell>
        </row>
        <row r="5">
          <cell r="B5" t="str">
            <v>محمد البارقي</v>
          </cell>
        </row>
      </sheetData>
      <sheetData sheetId="11">
        <row r="4">
          <cell r="B4" t="str">
            <v>اسم المشروع :تأمين ذخائر من نوع طوربيدات (MU-90) مع خدمات المساندة الفنية والتدريب.</v>
          </cell>
        </row>
        <row r="5">
          <cell r="B5" t="str">
            <v>أنس العمري</v>
          </cell>
        </row>
        <row r="13">
          <cell r="C13" t="str">
            <v>8 - Contract Execution</v>
          </cell>
          <cell r="E13" t="str">
            <v xml:space="preserve">تم حضور اول اجتماع check-in </v>
          </cell>
          <cell r="F13" t="str">
            <v>تمت الإفادة بأنه لا حاجة لحضور ممثلين لإدارة التكاليف بما ان المشروع في مرحلة التنفيذ الا في حالة الحاجة الى تعديل عقدي</v>
          </cell>
          <cell r="G13" t="str">
            <v>مكتمل</v>
          </cell>
        </row>
      </sheetData>
      <sheetData sheetId="12">
        <row r="2">
          <cell r="A2" t="str">
            <v>CES</v>
          </cell>
          <cell r="B2" t="str">
            <v>Detailed LCCE</v>
          </cell>
        </row>
        <row r="3">
          <cell r="A3" t="str">
            <v>High Level LCCE</v>
          </cell>
          <cell r="B3" t="str">
            <v>Validation</v>
          </cell>
        </row>
        <row r="4">
          <cell r="B4" t="str">
            <v>Independent LCCE</v>
          </cell>
        </row>
        <row r="5">
          <cell r="B5" t="str">
            <v>TCO</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A2F06-74C0-4DD8-BC56-C238E20E939D}">
  <sheetPr>
    <tabColor rgb="FF0070C0"/>
  </sheetPr>
  <dimension ref="A1:I12"/>
  <sheetViews>
    <sheetView showGridLines="0" rightToLeft="1" tabSelected="1" zoomScale="72" zoomScaleNormal="100" workbookViewId="0">
      <pane ySplit="3" topLeftCell="A4" activePane="bottomLeft" state="frozen"/>
      <selection pane="bottomLeft" activeCell="H10" sqref="H10"/>
    </sheetView>
  </sheetViews>
  <sheetFormatPr defaultColWidth="7.90625" defaultRowHeight="14.5" x14ac:dyDescent="0.35"/>
  <cols>
    <col min="1" max="1" width="11.90625" style="1" customWidth="1"/>
    <col min="2" max="2" width="41.6328125" style="1" customWidth="1"/>
    <col min="3" max="3" width="8.26953125" style="1" customWidth="1"/>
    <col min="4" max="4" width="20.1796875" style="1" customWidth="1"/>
    <col min="5" max="6" width="29.36328125" style="1" customWidth="1"/>
    <col min="7" max="7" width="41.453125" style="39" bestFit="1" customWidth="1"/>
    <col min="8" max="8" width="41.26953125" style="39" customWidth="1"/>
    <col min="9" max="9" width="13.26953125" style="1" customWidth="1"/>
    <col min="10" max="16384" width="7.90625" style="1"/>
  </cols>
  <sheetData>
    <row r="1" spans="1:9" ht="36" customHeight="1" x14ac:dyDescent="0.35">
      <c r="A1" s="44" t="s">
        <v>0</v>
      </c>
      <c r="B1" s="45"/>
      <c r="C1" s="45"/>
      <c r="D1" s="45"/>
      <c r="E1" s="45"/>
      <c r="F1" s="45"/>
      <c r="G1" s="45"/>
      <c r="H1" s="45"/>
      <c r="I1" s="14"/>
    </row>
    <row r="2" spans="1:9" ht="3" customHeight="1" x14ac:dyDescent="0.35">
      <c r="A2" s="2"/>
      <c r="B2" s="2"/>
      <c r="C2" s="2"/>
      <c r="D2" s="2"/>
      <c r="E2" s="2"/>
      <c r="F2" s="2"/>
      <c r="G2" s="38"/>
      <c r="H2" s="38"/>
      <c r="I2" s="2"/>
    </row>
    <row r="3" spans="1:9" ht="6" customHeight="1" x14ac:dyDescent="0.35"/>
    <row r="4" spans="1:9" ht="25.5" customHeight="1" x14ac:dyDescent="0.35">
      <c r="A4" s="3" t="s">
        <v>1</v>
      </c>
      <c r="B4" s="3" t="s">
        <v>2</v>
      </c>
      <c r="C4" s="3" t="s">
        <v>3</v>
      </c>
      <c r="D4" s="3" t="s">
        <v>4</v>
      </c>
      <c r="E4" s="3" t="s">
        <v>5</v>
      </c>
      <c r="F4" s="32" t="s">
        <v>47</v>
      </c>
      <c r="G4" s="40" t="s">
        <v>6</v>
      </c>
      <c r="H4" s="40" t="s">
        <v>7</v>
      </c>
      <c r="I4" s="30" t="s">
        <v>40</v>
      </c>
    </row>
    <row r="5" spans="1:9" ht="29" x14ac:dyDescent="0.35">
      <c r="A5" s="4" t="s">
        <v>8</v>
      </c>
      <c r="B5" s="5" t="str">
        <f>'[3]PP-01'!B4</f>
        <v xml:space="preserve"> تأمين أنظمة حرب الألغام الغير مأهولة</v>
      </c>
      <c r="C5" s="4">
        <v>1</v>
      </c>
      <c r="D5" s="7" t="str">
        <f>'[3]PP-01'!B5</f>
        <v>عبدالرحمن آل مسعود</v>
      </c>
      <c r="E5" s="7" t="str">
        <f>IFERROR(LOOKUP(2,1/('[3]PP-01'!C13:C72&lt;&gt;""),'[3]PP-01'!C13:C72),"—")</f>
        <v>3 - Affordability Estimate</v>
      </c>
      <c r="F5" s="29" t="str">
        <f>IFERROR(LOOKUP(2,1/('[3]PP-01'!D13:D72&lt;&gt;""),'[3]PP-01'!D13:D72),"—")</f>
        <v>Detailed LCCE</v>
      </c>
      <c r="G5" s="41" t="str">
        <f>IFERROR(LOOKUP(2,1/('[3]PP-01'!E13:E72&lt;&gt;""),'[3]PP-01'!E13:E72),"—")</f>
        <v>بانتظار ردود الشركات على طلبات الحصول على المعلومات (RFI) المرسل من قبل مدير المشروع</v>
      </c>
      <c r="H5" s="5" t="str">
        <f>IFERROR(LOOKUP(2,1/('[3]PP-01'!F13:F72&lt;&gt;""),'[3]PP-01'!F13:F72),"—")</f>
        <v>لا يوجد اجتماع check-out</v>
      </c>
      <c r="I5" s="34" t="str">
        <f>IFERROR(LOOKUP(2,1/('[3]PP-01'!G13:G72&lt;&gt;""),'[3]PP-01'!G13:G72),"—")</f>
        <v>على المسار</v>
      </c>
    </row>
    <row r="6" spans="1:9" ht="116" x14ac:dyDescent="0.35">
      <c r="A6" s="9" t="s">
        <v>9</v>
      </c>
      <c r="B6" s="10" t="str">
        <f>'[3]PP-02'!B4</f>
        <v>تأمين راجمات الصواريخ بعيدة المدى</v>
      </c>
      <c r="C6" s="9">
        <v>1</v>
      </c>
      <c r="D6" s="12" t="str">
        <f>'[3]PP-02'!B5</f>
        <v>محمد بن زعير</v>
      </c>
      <c r="E6" s="12" t="str">
        <f>IFERROR(LOOKUP(2,1/('[3]PP-02'!C13:C72&lt;&gt;""),'[3]PP-02'!C13:C72),"—")</f>
        <v>3 - Affordability Estimate</v>
      </c>
      <c r="F6" s="29" t="str">
        <f>IFERROR(LOOKUP(2,1/('[3]PP-02'!D13:D72&lt;&gt;""),'[3]PP-02'!D13:D72),"—")</f>
        <v>Detailed LCCE</v>
      </c>
      <c r="G6" s="42" t="str">
        <f>IFERROR(LOOKUP(2,1/('[3]PP-02'!E13:E72&lt;&gt;""),'[3]PP-02'!E13:E72),"—")</f>
        <v>بانتظار ردود الشركات على طلبات الحصول على المعلومات (RFI) المرسل من قبل مدير المشروع، 
تم طلب توفير تفاصيل إضافية حيال متطلبات المشروع لتحديث تكلفة دورة الحياة بناء على مناقشة التقدير الاولي مع فريق المشروع
تم مناقشة ممثل الجهة المستفيدة حيال تزويد تفاصيل تجهيزات العربات لتحديث ملف المتطلبات الفنية والغير فنية للمشروع</v>
      </c>
      <c r="H6" s="10" t="str">
        <f>IFERROR(LOOKUP(2,1/('[3]PP-02'!F13:F72&lt;&gt;""),'[3]PP-02'!F13:F72),"—")</f>
        <v>افاد مدير المشروع انه تم التواصل مع شركتين وانه سيتم الرد من قبلهم بنهاية الشهر الحالي
افادة ممثل الجهة المستفيدة ان التكلفة التقديرية تشمل قيمة العقد فقط وانه ينبغي توضيح ذلك اعند عرض مخرجات تكاليف دورة الحياة للمجالس المعنية</v>
      </c>
      <c r="I6" s="34" t="str">
        <f>IFERROR(LOOKUP(2,1/('[3]PP-02'!G13:G72&lt;&gt;""),'[3]PP-02'!G13:G72),"—")</f>
        <v>على المسار</v>
      </c>
    </row>
    <row r="7" spans="1:9" ht="29" x14ac:dyDescent="0.35">
      <c r="A7" s="4" t="s">
        <v>10</v>
      </c>
      <c r="B7" s="5" t="str">
        <f>'[3]PP-03'!B4</f>
        <v>تأمين عدد (4) طائرات نقل استراتيجي</v>
      </c>
      <c r="C7" s="4">
        <v>1</v>
      </c>
      <c r="D7" s="7" t="str">
        <f>'[3]PP-03'!B5</f>
        <v>النقيب/أصيل القصيمي</v>
      </c>
      <c r="E7" s="7" t="str">
        <f>IFERROR(LOOKUP(2,1/('[3]PP-03'!C13:C72&lt;&gt;""),'[3]PP-03'!C13:C72),"—")</f>
        <v>3 - Affordability Estimate</v>
      </c>
      <c r="F7" s="29" t="str">
        <f>IFERROR(LOOKUP(2,1/('[3]PP-03'!D13:D72&lt;&gt;""),'[3]PP-03'!D13:D72),"—")</f>
        <v>لايوجد</v>
      </c>
      <c r="G7" s="41" t="str">
        <f>IFERROR(LOOKUP(2,1/('[3]PP-03'!E13:E72&lt;&gt;""),'[3]PP-03'!E13:E72),"—")</f>
        <v>بانتظار متطلبات ومدخلات TCO</v>
      </c>
      <c r="H7" s="5" t="str">
        <f>IFERROR(LOOKUP(2,1/('[3]PP-03'!F13:F72&lt;&gt;""),'[3]PP-03'!F13:F72),"—")</f>
        <v>لم يتم توفير المتطلبات والمدخلات لعدم حضور الجهة المستفيدة وعدم تجاوبها في توفير المتطلبات</v>
      </c>
      <c r="I7" s="34" t="str">
        <f>IFERROR(LOOKUP(2,1/('[3]PP-03'!G13:G72&lt;&gt;""),'[3]PP-03'!G13:G72),"—")</f>
        <v xml:space="preserve">خطر </v>
      </c>
    </row>
    <row r="8" spans="1:9" ht="33.75" customHeight="1" x14ac:dyDescent="0.35">
      <c r="A8" s="9" t="s">
        <v>11</v>
      </c>
      <c r="B8" s="10" t="str">
        <f>'[3]PP-04'!B4</f>
        <v xml:space="preserve"> توريد وتركيب أجهزة اتصالات معرفة برمجيا</v>
      </c>
      <c r="C8" s="9">
        <v>1</v>
      </c>
      <c r="D8" s="12" t="str">
        <f>'[3]PP-04'!B5</f>
        <v>عايض الشهراني</v>
      </c>
      <c r="E8" s="12" t="str">
        <f>IFERROR(LOOKUP(2,1/('[3]PP-04'!C13:C72&lt;&gt;""),'[3]PP-04'!C13:C72),"—")</f>
        <v>3 - Affordability Estimate</v>
      </c>
      <c r="F8" s="29" t="str">
        <f>IFERROR(LOOKUP(2,1/('[3]PP-04'!D13:D72&lt;&gt;""),'[3]PP-04'!D13:D72),"—")</f>
        <v>TCO</v>
      </c>
      <c r="G8" s="42" t="str">
        <f>IFERROR(LOOKUP(2,1/('[3]PP-04'!E13:E72&lt;&gt;""),'[3]PP-04'!E13:E72),"—")</f>
        <v>اتم استلام متطلبات ال tco من مدير المشروع</v>
      </c>
      <c r="H8" s="10" t="str">
        <f>IFERROR(LOOKUP(2,1/('[3]PP-04'!F13:F72&lt;&gt;""),'[3]PP-04'!F13:F72),"—")</f>
        <v xml:space="preserve">لم يتم عقد اجتماع check - out </v>
      </c>
      <c r="I8" s="34" t="str">
        <f>IFERROR(LOOKUP(2,1/('[3]PP-04'!G13:G72&lt;&gt;""),'[3]PP-04'!G13:G72),"—")</f>
        <v>على المسار</v>
      </c>
    </row>
    <row r="9" spans="1:9" ht="33.75" customHeight="1" x14ac:dyDescent="0.35">
      <c r="A9" s="4" t="s">
        <v>12</v>
      </c>
      <c r="B9" s="5" t="str">
        <f>'[3]PP-05'!B4</f>
        <v>تعديل وتحسين قدرات البتريوت إلى الجيل القادم بعدد (9) رادارات (LTAMS)</v>
      </c>
      <c r="C9" s="4">
        <v>2</v>
      </c>
      <c r="D9" s="7" t="str">
        <f>'[3]PP-05'!B5</f>
        <v>لمى القحطاني</v>
      </c>
      <c r="E9" s="7" t="str">
        <f>IFERROR(LOOKUP(2,1/('[3]PP-05'!C13:C72&lt;&gt;""),'[3]PP-05'!C13:C72),"—")</f>
        <v>2 - Needs Identification</v>
      </c>
      <c r="F9" s="29" t="str">
        <f>IFERROR(LOOKUP(2,1/('[3]PP-05'!D17:D76&lt;&gt;""),'[3]PP-05'!D17:D76),"—")</f>
        <v>—</v>
      </c>
      <c r="G9" s="41" t="str">
        <f>IFERROR(LOOKUP(2,1/('[3]PP-05'!E13:E72&lt;&gt;""),'[3]PP-05'!E13:E72),"—")</f>
        <v xml:space="preserve">لا يوجد اجتماع </v>
      </c>
      <c r="H9" s="5" t="str">
        <f>IFERROR(LOOKUP(2,1/('[3]PP-05'!F13:F72&lt;&gt;""),'[3]PP-05'!F13:F72),"—")</f>
        <v>بانتظار مناقشة الفريق التنفيذي للمشاريع بشان استمرار المشروع</v>
      </c>
      <c r="I9" s="34" t="str">
        <f>IFERROR(LOOKUP(2,1/('[3]PP-05'!G13:G72&lt;&gt;""),'[3]PP-05'!G13:G72),"—")</f>
        <v xml:space="preserve">خطر </v>
      </c>
    </row>
    <row r="10" spans="1:9" ht="43.5" x14ac:dyDescent="0.35">
      <c r="A10" s="9" t="s">
        <v>13</v>
      </c>
      <c r="B10" s="10" t="str">
        <f>'[3]PP-06'!B4</f>
        <v>شراء طائرات دورية بحرية مسلحة لصالح القوات البحرية (MPA)</v>
      </c>
      <c r="C10" s="9">
        <v>2</v>
      </c>
      <c r="D10" s="12" t="str">
        <f>'[3]PP-06'!B5</f>
        <v>النقيب/أصيل القصيمي</v>
      </c>
      <c r="E10" s="12" t="str">
        <f>IFERROR(LOOKUP(2,1/('[3]PP-06'!C13:C72&lt;&gt;""),'[3]PP-06'!C13:C72),"—")</f>
        <v>8 - Contract Execution</v>
      </c>
      <c r="F10" s="29" t="str">
        <f>IFERROR(LOOKUP(2,1/('[3]PP-06'!D18:D77&lt;&gt;""),'[3]PP-06'!D18:D77),"—")</f>
        <v>—</v>
      </c>
      <c r="G10" s="42" t="str">
        <f>IFERROR(LOOKUP(2,1/('[3]PP-06'!E13:E72&lt;&gt;""),'[3]PP-06'!E13:E72),"—")</f>
        <v xml:space="preserve">تم حضور اول اجتماع check-in </v>
      </c>
      <c r="H10" s="10" t="str">
        <f>IFERROR(LOOKUP(2,1/('[3]PP-06'!F13:F72&lt;&gt;""),'[3]PP-06'!F13:F72),"—")</f>
        <v>تمت الإفادة بأنه لا حاجة لحضور ممثلين لإدارة التكاليف بما ان المشروع في مرحلة التنفيذ الا في حالة الحاجة الى تعديل عقدي</v>
      </c>
      <c r="I10" s="34" t="str">
        <f>IFERROR(LOOKUP(2,1/('[3]PP-06'!G13:G72&lt;&gt;""),'[3]PP-06'!G13:G72),"—")</f>
        <v>مكتمل</v>
      </c>
    </row>
    <row r="11" spans="1:9" ht="33.75" customHeight="1" x14ac:dyDescent="0.35">
      <c r="A11" s="4" t="s">
        <v>14</v>
      </c>
      <c r="B11" s="5" t="str">
        <f>'[3]PP-07'!B4</f>
        <v>تأمين كاشفات القناصة لصالح القوات البرية</v>
      </c>
      <c r="C11" s="4">
        <v>2</v>
      </c>
      <c r="D11" s="7" t="str">
        <f>'[3]PP-07'!B5</f>
        <v>محمد البارقي</v>
      </c>
      <c r="E11" s="7" t="str">
        <f>IFERROR(LOOKUP(2,1/('[3]PP-07'!C13:C72&lt;&gt;""),'[3]PP-07'!C13:C72),"—")</f>
        <v>—</v>
      </c>
      <c r="F11" s="29" t="str">
        <f>IFERROR(LOOKUP(2,1/('[3]PP-07'!D19:D78&lt;&gt;""),'[3]PP-07'!D19:D78),"—")</f>
        <v>—</v>
      </c>
      <c r="G11" s="41" t="str">
        <f>IFERROR(LOOKUP(2,1/('[3]PP-07'!E13:E72&lt;&gt;""),'[3]PP-07'!E13:E72),"—")</f>
        <v>—</v>
      </c>
      <c r="H11" s="5" t="str">
        <f>IFERROR(LOOKUP(2,1/('[3]PP-07'!F13:F72&lt;&gt;""),'[3]PP-07'!F13:F72),"—")</f>
        <v>—</v>
      </c>
      <c r="I11" s="34" t="str">
        <f>IFERROR(LOOKUP(2,1/('[3]PP-07'!G13:G72&lt;&gt;""),'[3]PP-07'!G13:G72),"—")</f>
        <v>—</v>
      </c>
    </row>
    <row r="12" spans="1:9" ht="43.5" x14ac:dyDescent="0.35">
      <c r="A12" s="9" t="s">
        <v>15</v>
      </c>
      <c r="B12" s="10" t="str">
        <f>'[3]PP-08'!B4</f>
        <v>اسم المشروع :تأمين ذخائر من نوع طوربيدات (MU-90) مع خدمات المساندة الفنية والتدريب.</v>
      </c>
      <c r="C12" s="9">
        <v>2</v>
      </c>
      <c r="D12" s="12" t="str">
        <f>'[3]PP-08'!B5</f>
        <v>أنس العمري</v>
      </c>
      <c r="E12" s="12" t="str">
        <f>IFERROR(LOOKUP(2,1/('[3]PP-08'!C13:C72&lt;&gt;""),'[3]PP-08'!C13:C72),"—")</f>
        <v>8 - Contract Execution</v>
      </c>
      <c r="F12" s="29" t="str">
        <f>IFERROR(LOOKUP(2,1/('[3]PP-08'!D20:D79&lt;&gt;""),'[3]PP-08'!D20:D79),"—")</f>
        <v>—</v>
      </c>
      <c r="G12" s="42" t="str">
        <f>IFERROR(LOOKUP(2,1/('[3]PP-08'!E13:E72&lt;&gt;""),'[3]PP-08'!E13:E72),"—")</f>
        <v xml:space="preserve">تم حضور اول اجتماع check-in </v>
      </c>
      <c r="H12" s="10" t="str">
        <f>IFERROR(LOOKUP(2,1/('[3]PP-08'!F13:F72&lt;&gt;""),'[3]PP-08'!F13:F72),"—")</f>
        <v>تمت الإفادة بأنه لا حاجة لحضور ممثلين لإدارة التكاليف بما ان المشروع في مرحلة التنفيذ الا في حالة الحاجة الى تعديل عقدي</v>
      </c>
      <c r="I12" s="34" t="str">
        <f>IFERROR(LOOKUP(2,1/('[3]PP-08'!G13:G72&lt;&gt;""),'[3]PP-08'!G13:G72),"—")</f>
        <v>مكتمل</v>
      </c>
    </row>
  </sheetData>
  <mergeCells count="1">
    <mergeCell ref="A1:H1"/>
  </mergeCells>
  <conditionalFormatting sqref="I5:I12">
    <cfRule type="containsText" dxfId="17" priority="1" operator="containsText" text="متأخر">
      <formula>NOT(ISERROR(SEARCH("متأخر",I5)))</formula>
    </cfRule>
    <cfRule type="containsText" dxfId="16" priority="2" operator="containsText" text="خطر">
      <formula>NOT(ISERROR(SEARCH("خطر",I5)))</formula>
    </cfRule>
    <cfRule type="containsText" dxfId="15" priority="3" operator="containsText" text="على المسار">
      <formula>NOT(ISERROR(SEARCH("على المسار",I5)))</formula>
    </cfRule>
    <cfRule type="containsText" dxfId="14" priority="4" operator="containsText" text="مكتمل">
      <formula>NOT(ISERROR(SEARCH("مكتمل",I5)))</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03554-E145-4013-A971-282C46D6EDA5}">
  <sheetPr>
    <tabColor rgb="FF00B050"/>
  </sheetPr>
  <dimension ref="A1:I12"/>
  <sheetViews>
    <sheetView showGridLines="0" rightToLeft="1" zoomScale="67" zoomScaleNormal="100" workbookViewId="0">
      <pane ySplit="3" topLeftCell="A4" activePane="bottomLeft" state="frozen"/>
      <selection pane="bottomLeft" activeCell="G5" sqref="G5"/>
    </sheetView>
  </sheetViews>
  <sheetFormatPr defaultColWidth="7.90625" defaultRowHeight="14.5" x14ac:dyDescent="0.35"/>
  <cols>
    <col min="1" max="1" width="11.90625" style="1" customWidth="1"/>
    <col min="2" max="2" width="41.6328125" style="27" customWidth="1"/>
    <col min="3" max="3" width="8.26953125" style="1" customWidth="1"/>
    <col min="4" max="4" width="20.1796875" style="27" customWidth="1"/>
    <col min="5" max="6" width="29.36328125" style="1" customWidth="1"/>
    <col min="7" max="7" width="32.90625" style="39" bestFit="1" customWidth="1"/>
    <col min="8" max="8" width="41.26953125" style="1" customWidth="1"/>
    <col min="9" max="9" width="14.36328125" style="1" customWidth="1"/>
    <col min="10" max="16384" width="7.90625" style="1"/>
  </cols>
  <sheetData>
    <row r="1" spans="1:9" ht="36" customHeight="1" x14ac:dyDescent="0.35">
      <c r="A1" s="44" t="s">
        <v>0</v>
      </c>
      <c r="B1" s="45"/>
      <c r="C1" s="45"/>
      <c r="D1" s="45"/>
      <c r="E1" s="45"/>
      <c r="F1" s="45"/>
      <c r="G1" s="45"/>
      <c r="H1" s="45"/>
      <c r="I1" s="14"/>
    </row>
    <row r="2" spans="1:9" ht="3" customHeight="1" x14ac:dyDescent="0.35">
      <c r="A2" s="2"/>
      <c r="B2" s="35"/>
      <c r="C2" s="2"/>
      <c r="D2" s="35"/>
      <c r="E2" s="2"/>
      <c r="F2" s="2"/>
      <c r="G2" s="38"/>
      <c r="H2" s="2"/>
      <c r="I2" s="2"/>
    </row>
    <row r="3" spans="1:9" ht="6" customHeight="1" x14ac:dyDescent="0.35"/>
    <row r="4" spans="1:9" ht="25.5" customHeight="1" x14ac:dyDescent="0.35">
      <c r="A4" s="3" t="s">
        <v>1</v>
      </c>
      <c r="B4" s="3" t="s">
        <v>2</v>
      </c>
      <c r="C4" s="3" t="s">
        <v>3</v>
      </c>
      <c r="D4" s="3" t="s">
        <v>4</v>
      </c>
      <c r="E4" s="3" t="s">
        <v>5</v>
      </c>
      <c r="F4" s="32" t="s">
        <v>47</v>
      </c>
      <c r="G4" s="40" t="s">
        <v>6</v>
      </c>
      <c r="H4" s="3" t="s">
        <v>7</v>
      </c>
      <c r="I4" s="30" t="s">
        <v>40</v>
      </c>
    </row>
    <row r="5" spans="1:9" ht="29" x14ac:dyDescent="0.35">
      <c r="A5" s="4" t="s">
        <v>16</v>
      </c>
      <c r="B5" s="36" t="str">
        <f>'[1]SMRO-01'!B4</f>
        <v>توريد قطع غيار لـ 8 مركبات عسكرية</v>
      </c>
      <c r="C5" s="4">
        <v>1</v>
      </c>
      <c r="D5" s="7" t="str">
        <f>'[1]SMRO-01'!B5</f>
        <v>عبدالمجيد ال عمامة</v>
      </c>
      <c r="E5" s="7" t="str">
        <f>IFERROR(LOOKUP(2,1/('[1]SMRO-01'!C13:C72&lt;&gt;""),'[1]SMRO-01'!C13:C72),"—")</f>
        <v>4 - Tender Pack Development</v>
      </c>
      <c r="F5" s="29" t="str">
        <f>IFERROR(LOOKUP(2,1/('[1]SMRO-01'!D13:D72&lt;&gt;""),'[1]SMRO-01'!D13:D72),"—")</f>
        <v>TCO</v>
      </c>
      <c r="G5" s="41" t="str">
        <f>IFERROR(LOOKUP(2,1/('[1]SMRO-01'!E13:E72&lt;&gt;""),'[1]SMRO-01'!E13:E72),"—")</f>
        <v xml:space="preserve">لايوجد أي جراء في المرحلة الحالية على إدارة التكاليف </v>
      </c>
      <c r="H5" s="5" t="str">
        <f>IFERROR(LOOKUP(2,1/('[1]SMRO-01'!F13:F72&lt;&gt;""),'[1]SMRO-01'!F13:F72),"—")</f>
        <v>تم اشعارنا بعدم وجود مدخلات  للبيانات (D.O.L.T.P.F )</v>
      </c>
      <c r="I5" s="34" t="str">
        <f>IFERROR(LOOKUP(2,1/('[1]SMRO-01'!G13:G72&lt;&gt;""),'[1]SMRO-01'!G13:G72),"—")</f>
        <v>على المسار</v>
      </c>
    </row>
    <row r="6" spans="1:9" ht="43.5" x14ac:dyDescent="0.35">
      <c r="A6" s="4" t="s">
        <v>17</v>
      </c>
      <c r="B6" s="37" t="str">
        <f>'[1]SMRO-02'!B4</f>
        <v>عقد إصلاح شامل لطائرات C/D/S F-15</v>
      </c>
      <c r="C6" s="9">
        <v>1</v>
      </c>
      <c r="D6" s="12" t="str">
        <f>'[1]SMRO-02'!B5</f>
        <v>فهد الحبشان</v>
      </c>
      <c r="E6" s="12" t="str">
        <f>IFERROR(LOOKUP(2,1/('[1]SMRO-02'!C13:C72&lt;&gt;""),'[1]SMRO-02'!C13:C72),"—")</f>
        <v>3 - Affordability Estimate</v>
      </c>
      <c r="F6" s="33" t="str">
        <f>IFERROR(LOOKUP(2,1/('[1]SMRO-02'!D13:D72&lt;&gt;""),'[1]SMRO-02'!D13:D72),"—")</f>
        <v>Detailed LCCE</v>
      </c>
      <c r="G6" s="42" t="str">
        <f>IFERROR(LOOKUP(2,1/('[1]SMRO-02'!E13:E72&lt;&gt;""),'[1]SMRO-02'!E13:E72),"—")</f>
        <v>جاري العمل على تقرير تكلفة العقد</v>
      </c>
      <c r="H6" s="10" t="str">
        <f>IFERROR(LOOKUP(2,1/('[1]SMRO-02'!F13:F72&lt;&gt;""),'[1]SMRO-02'!F13:F72),"—")</f>
        <v>تم إبلاغنا بان التفاصيل المطلوبة للعمل على LCCE غير متوفرة وبناء على الاتفاق مع الفريق التنفيذي سيتم إصدار تقرير تكلفة العقد فقط وليس LCCE</v>
      </c>
      <c r="I6" s="34" t="str">
        <f>IFERROR(LOOKUP(2,1/('[1]SMRO-02'!G13:G72&lt;&gt;""),'[1]SMRO-02'!G13:G72),"—")</f>
        <v xml:space="preserve">متأخر </v>
      </c>
    </row>
    <row r="7" spans="1:9" ht="29" x14ac:dyDescent="0.35">
      <c r="A7" s="4" t="s">
        <v>18</v>
      </c>
      <c r="B7" s="36" t="str">
        <f>'[1]SMRO-03'!B4</f>
        <v>توريد قطع الغيار والتغييرات الهندسية</v>
      </c>
      <c r="C7" s="4">
        <v>1</v>
      </c>
      <c r="D7" s="7" t="str">
        <f>'[1]SMRO-03'!B5</f>
        <v>النقيب/مشعل السكران</v>
      </c>
      <c r="E7" s="7" t="str">
        <f>IFERROR(LOOKUP(2,1/('[1]SMRO-03'!C13:C72&lt;&gt;""),'[1]SMRO-03'!C13:C72),"—")</f>
        <v>3 - Affordability Estimate</v>
      </c>
      <c r="F7" s="29" t="str">
        <f>IFERROR(LOOKUP(2,1/('[1]SMRO-03'!D13:D72&lt;&gt;""),'[1]SMRO-03'!D13:D72),"—")</f>
        <v>TCO</v>
      </c>
      <c r="G7" s="41" t="str">
        <f>IFERROR(LOOKUP(2,1/('[1]SMRO-03'!E13:E72&lt;&gt;""),'[1]SMRO-03'!E13:E72),"—")</f>
        <v xml:space="preserve">تم ارسال بريد مرق به ملف TCO  يتضمن  (M) فقط </v>
      </c>
      <c r="H7" s="5" t="str">
        <f>IFERROR(LOOKUP(2,1/('[1]SMRO-03'!F13:F72&lt;&gt;""),'[1]SMRO-03'!F13:F72),"—")</f>
        <v>تم اشعارنا بعدم وجود مدخلات  للبيانات (D.O.L.T.P.F )</v>
      </c>
      <c r="I7" s="34" t="str">
        <f>IFERROR(LOOKUP(2,1/('[1]SMRO-03'!G13:G72&lt;&gt;""),'[1]SMRO-03'!G13:G72),"—")</f>
        <v xml:space="preserve">خطر </v>
      </c>
    </row>
    <row r="8" spans="1:9" ht="29" x14ac:dyDescent="0.35">
      <c r="A8" s="4" t="s">
        <v>19</v>
      </c>
      <c r="B8" s="37" t="str">
        <f>'[1]SMRO-04'!B4</f>
        <v>الدعم الفني لمعدات الحرب الإلكترونية</v>
      </c>
      <c r="C8" s="9">
        <v>1</v>
      </c>
      <c r="D8" s="12" t="str">
        <f>'[1]SMRO-04'!B5</f>
        <v>الرائد/عبدالرحمن السديس</v>
      </c>
      <c r="E8" s="12" t="str">
        <f>IFERROR(LOOKUP(2,1/('[1]SMRO-04'!C13:C72&lt;&gt;""),'[1]SMRO-04'!C13:C72),"—")</f>
        <v>3 - Affordability Estimate</v>
      </c>
      <c r="F8" s="33" t="str">
        <f>IFERROR(LOOKUP(2,1/('[1]SMRO-04'!D13:D72&lt;&gt;""),'[1]SMRO-04'!D13:D72),"—")</f>
        <v>Detailed LCCE</v>
      </c>
      <c r="G8" s="42" t="str">
        <f>IFERROR(LOOKUP(2,1/('[1]SMRO-04'!E13:E72&lt;&gt;""),'[1]SMRO-04'!E13:E72),"—")</f>
        <v>جاري العمل على  الـــــ Contract Cost وتسليمه</v>
      </c>
      <c r="H8" s="10" t="str">
        <f>IFERROR(LOOKUP(2,1/('[1]SMRO-04'!F13:F72&lt;&gt;""),'[1]SMRO-04'!F13:F72),"—")</f>
        <v xml:space="preserve">تم استلام أسعار استرشادية لعدد (19) مادة من بند قطع الغيار من أصل (109) </v>
      </c>
      <c r="I8" s="34" t="str">
        <f>IFERROR(LOOKUP(2,1/('[1]SMRO-04'!G13:G72&lt;&gt;""),'[1]SMRO-04'!G13:G72),"—")</f>
        <v xml:space="preserve">متأخر </v>
      </c>
    </row>
    <row r="9" spans="1:9" ht="33.75" customHeight="1" x14ac:dyDescent="0.35">
      <c r="A9" s="4" t="s">
        <v>20</v>
      </c>
      <c r="B9" s="36" t="str">
        <f>'[1]SMRO-05'!B4</f>
        <v>المساندة الفنية لمنظومة الطائرة المسيرة نوع (بوما)3</v>
      </c>
      <c r="C9" s="4">
        <v>2</v>
      </c>
      <c r="D9" s="7" t="str">
        <f>'[1]SMRO-05'!B5</f>
        <v>ياسر الشهراني</v>
      </c>
      <c r="E9" s="7" t="str">
        <f>IFERROR(LOOKUP(2,1/('[1]SMRO-05'!C13:C72&lt;&gt;""),'[1]SMRO-05'!C13:C72),"—")</f>
        <v>2 - Needs Identification</v>
      </c>
      <c r="F9" s="29" t="str">
        <f>IFERROR(LOOKUP(2,1/('[1]SMRO-05'!D13:D72&lt;&gt;""),'[1]SMRO-05'!D13:D72),"—")</f>
        <v>—</v>
      </c>
      <c r="G9" s="41" t="str">
        <f>IFERROR(LOOKUP(2,1/('[1]SMRO-05'!E13:E72&lt;&gt;""),'[1]SMRO-05'!E13:E72),"—")</f>
        <v xml:space="preserve"> تم استلام ARF من قبل الجهة المستفيدة وتم مشاركته مع مدير المشروع للمراجعة</v>
      </c>
      <c r="H9" s="5" t="str">
        <f>IFERROR(LOOKUP(2,1/('[1]SMRO-05'!F13:F72&lt;&gt;""),'[1]SMRO-05'!F13:F72),"—")</f>
        <v xml:space="preserve"> تم استلام ARF من قبل الجهة المستفيدة وتم مشاركته مع مدير المشروع للمراجعة</v>
      </c>
      <c r="I9" s="34" t="str">
        <f>IFERROR(LOOKUP(2,1/('[1]SMRO-05'!G13:G72&lt;&gt;""),'[1]SMRO-05'!G13:G72),"—")</f>
        <v>على المسار</v>
      </c>
    </row>
    <row r="10" spans="1:9" ht="33.75" customHeight="1" x14ac:dyDescent="0.35">
      <c r="A10" s="4" t="s">
        <v>21</v>
      </c>
      <c r="B10" s="37" t="str">
        <f>'[1]SMRO-06'!B4</f>
        <v>المساندة الفنية والامدادية لنظام (لايتنيق شيلد)</v>
      </c>
      <c r="C10" s="9">
        <v>2</v>
      </c>
      <c r="D10" s="12" t="str">
        <f>'[1]SMRO-06'!B5</f>
        <v>النقيب/مشعل السكران</v>
      </c>
      <c r="E10" s="12" t="str">
        <f>IFERROR(LOOKUP(2,1/('[1]SMRO-06'!C13:C72&lt;&gt;""),'[1]SMRO-06'!C13:C72),"—")</f>
        <v>—</v>
      </c>
      <c r="F10" s="33" t="str">
        <f>IFERROR(LOOKUP(2,1/('[1]SMRO-06'!D13:D72&lt;&gt;""),'[1]SMRO-06'!D13:D72),"—")</f>
        <v>—</v>
      </c>
      <c r="G10" s="42" t="str">
        <f>IFERROR(LOOKUP(2,1/('[1]SMRO-06'!E13:E72&lt;&gt;""),'[1]SMRO-06'!E13:E72),"—")</f>
        <v>—</v>
      </c>
      <c r="H10" s="10" t="str">
        <f>IFERROR(LOOKUP(2,1/('[1]SMRO-06'!F13:F72&lt;&gt;""),'[1]SMRO-06'!F13:F72),"—")</f>
        <v>—</v>
      </c>
      <c r="I10" s="34" t="str">
        <f>IFERROR(LOOKUP(2,1/('[1]SMRO-06'!G13:G72&lt;&gt;""),'[1]SMRO-06'!G13:G72),"—")</f>
        <v>—</v>
      </c>
    </row>
    <row r="11" spans="1:9" ht="43.5" x14ac:dyDescent="0.35">
      <c r="A11" s="4" t="s">
        <v>22</v>
      </c>
      <c r="B11" s="36" t="str">
        <f>'[1]SMRO-07'!B4</f>
        <v>اسم المشروع :عقد استدامة سفن (LCCV) والخدمات</v>
      </c>
      <c r="C11" s="4">
        <v>2</v>
      </c>
      <c r="D11" s="7" t="str">
        <f>'[1]SMRO-07'!B5</f>
        <v>فهد الحبشان</v>
      </c>
      <c r="E11" s="7" t="str">
        <f>IFERROR(LOOKUP(2,1/('[1]SMRO-07'!C13:C72&lt;&gt;""),'[1]SMRO-07'!C13:C72),"—")</f>
        <v>8 - Contract Execution</v>
      </c>
      <c r="F11" s="29" t="str">
        <f>IFERROR(LOOKUP(2,1/('[1]SMRO-07'!D13:D72&lt;&gt;""),'[1]SMRO-07'!D13:D72),"—")</f>
        <v>—</v>
      </c>
      <c r="G11" s="41" t="str">
        <f>IFERROR(LOOKUP(2,1/('[1]SMRO-07'!E13:E72&lt;&gt;""),'[1]SMRO-07'!E13:E72),"—")</f>
        <v xml:space="preserve">تم حضور اول اجتماع check-in </v>
      </c>
      <c r="H11" s="5" t="str">
        <f>IFERROR(LOOKUP(2,1/('[1]SMRO-07'!F13:F72&lt;&gt;""),'[1]SMRO-07'!F13:F72),"—")</f>
        <v>تمت الإفادة بأنه لا حاجة لحضور ممثلين لإدارة التكاليف بما ان المشروع في مرحلة التنفيذ الا في حالة الحاجة الى تعديل عقدي</v>
      </c>
      <c r="I11" s="34" t="str">
        <f>IFERROR(LOOKUP(2,1/('[1]SMRO-07'!G13:G72&lt;&gt;""),'[1]SMRO-07'!G13:G72),"—")</f>
        <v>على المسار</v>
      </c>
    </row>
    <row r="12" spans="1:9" ht="43.5" x14ac:dyDescent="0.35">
      <c r="A12" s="4" t="s">
        <v>23</v>
      </c>
      <c r="B12" s="37" t="str">
        <f>'[1]SMRO-08'!B4</f>
        <v xml:space="preserve"> مشروع عقد قطع غيار وإصلاح مولدات الطاقة </v>
      </c>
      <c r="C12" s="9">
        <v>2</v>
      </c>
      <c r="D12" s="12" t="str">
        <f>'[1]SMRO-08'!B5</f>
        <v>عبدالمجيد ال عمامة</v>
      </c>
      <c r="E12" s="12" t="str">
        <f>IFERROR(LOOKUP(2,1/('[1]SMRO-08'!C13:C72&lt;&gt;""),'[1]SMRO-08'!C13:C72),"—")</f>
        <v>2 - Needs Identification</v>
      </c>
      <c r="F12" s="33" t="str">
        <f>IFERROR(LOOKUP(2,1/('[1]SMRO-08'!D13:D72&lt;&gt;""),'[1]SMRO-08'!D13:D72),"—")</f>
        <v>—</v>
      </c>
      <c r="G12" s="42" t="str">
        <f>IFERROR(LOOKUP(2,1/('[1]SMRO-08'!E13:E72&lt;&gt;""),'[1]SMRO-08'!E13:E72),"—")</f>
        <v>الـ PPP&amp;B أفادوا بأن الـ ARF تم استلامه من قبل الجهة المستفيدة وتم مشاركته مع مدير المشروع للمراجعة</v>
      </c>
      <c r="H12" s="10" t="str">
        <f>IFERROR(LOOKUP(2,1/('[1]SMRO-08'!F13:F72&lt;&gt;""),'[1]SMRO-08'!F13:F72),"—")</f>
        <v xml:space="preserve"> تم استلام ARF من قبل الجهة المستفيدة وتم مشاركته مع مدير المشروع للمراجعة</v>
      </c>
      <c r="I12" s="34" t="str">
        <f>IFERROR(LOOKUP(2,1/('[1]SMRO-08'!G13:G72&lt;&gt;""),'[1]SMRO-08'!G13:G72),"—")</f>
        <v>على المسار</v>
      </c>
    </row>
  </sheetData>
  <mergeCells count="1">
    <mergeCell ref="A1:H1"/>
  </mergeCells>
  <conditionalFormatting sqref="I5:I12">
    <cfRule type="containsText" dxfId="13" priority="1" operator="containsText" text="متأخر">
      <formula>NOT(ISERROR(SEARCH("متأخر",I5)))</formula>
    </cfRule>
    <cfRule type="containsText" dxfId="12" priority="2" operator="containsText" text="خطر">
      <formula>NOT(ISERROR(SEARCH("خطر",I5)))</formula>
    </cfRule>
    <cfRule type="containsText" dxfId="11" priority="3" operator="containsText" text="على المسار">
      <formula>NOT(ISERROR(SEARCH("على المسار",I5)))</formula>
    </cfRule>
    <cfRule type="containsText" dxfId="10" priority="4" operator="containsText" text="مكتمل">
      <formula>NOT(ISERROR(SEARCH("مكتمل",I5)))</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A356F-7CB1-4DE6-A7E8-10C0D34E58E0}">
  <sheetPr>
    <tabColor rgb="FFFFFF00"/>
  </sheetPr>
  <dimension ref="A1:J11"/>
  <sheetViews>
    <sheetView showGridLines="0" rightToLeft="1" zoomScale="68" zoomScaleNormal="100" workbookViewId="0">
      <pane ySplit="3" topLeftCell="A4" activePane="bottomLeft" state="frozen"/>
      <selection pane="bottomLeft" activeCell="E17" sqref="E17"/>
    </sheetView>
  </sheetViews>
  <sheetFormatPr defaultColWidth="7.90625" defaultRowHeight="14.5" x14ac:dyDescent="0.35"/>
  <cols>
    <col min="1" max="1" width="11.90625" style="1" customWidth="1"/>
    <col min="2" max="2" width="41.6328125" style="1" customWidth="1"/>
    <col min="3" max="3" width="8.26953125" style="1" customWidth="1"/>
    <col min="4" max="4" width="20.1796875" style="1" customWidth="1"/>
    <col min="5" max="6" width="29.36328125" style="1" customWidth="1"/>
    <col min="7" max="7" width="50.90625" style="1" customWidth="1"/>
    <col min="8" max="8" width="41.26953125" style="1" customWidth="1"/>
    <col min="9" max="9" width="15.453125" style="1" customWidth="1"/>
    <col min="10" max="16384" width="7.90625" style="1"/>
  </cols>
  <sheetData>
    <row r="1" spans="1:10" ht="36" customHeight="1" x14ac:dyDescent="0.35">
      <c r="A1" s="44" t="s">
        <v>0</v>
      </c>
      <c r="B1" s="45"/>
      <c r="C1" s="45"/>
      <c r="D1" s="45"/>
      <c r="E1" s="45"/>
      <c r="F1" s="45"/>
      <c r="G1" s="45"/>
      <c r="H1" s="45"/>
      <c r="I1" s="14"/>
      <c r="J1" s="31"/>
    </row>
    <row r="2" spans="1:10" ht="3" customHeight="1" x14ac:dyDescent="0.35">
      <c r="A2" s="2"/>
      <c r="B2" s="2"/>
      <c r="C2" s="2"/>
      <c r="D2" s="2"/>
      <c r="E2" s="2"/>
      <c r="F2" s="2"/>
      <c r="G2" s="2"/>
      <c r="H2" s="2"/>
      <c r="I2" s="2"/>
      <c r="J2" s="31"/>
    </row>
    <row r="3" spans="1:10" ht="6" customHeight="1" x14ac:dyDescent="0.35">
      <c r="J3" s="31"/>
    </row>
    <row r="4" spans="1:10" ht="25.5" customHeight="1" x14ac:dyDescent="0.35">
      <c r="A4" s="3" t="s">
        <v>1</v>
      </c>
      <c r="B4" s="3" t="s">
        <v>2</v>
      </c>
      <c r="C4" s="3" t="s">
        <v>3</v>
      </c>
      <c r="D4" s="3" t="s">
        <v>4</v>
      </c>
      <c r="E4" s="3" t="s">
        <v>5</v>
      </c>
      <c r="F4" s="32" t="s">
        <v>47</v>
      </c>
      <c r="G4" s="3" t="s">
        <v>6</v>
      </c>
      <c r="H4" s="3" t="s">
        <v>7</v>
      </c>
      <c r="I4" s="30" t="s">
        <v>40</v>
      </c>
      <c r="J4" s="31"/>
    </row>
    <row r="5" spans="1:10" ht="29" x14ac:dyDescent="0.35">
      <c r="A5" s="4" t="s">
        <v>24</v>
      </c>
      <c r="B5" s="5" t="str">
        <f>'[2]SS-01'!B4</f>
        <v>توفير مواد خام وقطع الغيار لمطابع وزارة الدفاع (اتفاقية اطارية)</v>
      </c>
      <c r="C5" s="4">
        <v>1</v>
      </c>
      <c r="D5" s="6" t="str">
        <f>'[2]SS-01'!B5</f>
        <v>عادل الحمياني</v>
      </c>
      <c r="E5" s="7" t="str">
        <f>IFERROR(LOOKUP(2,1/('[2]SS-01'!C13:C72&lt;&gt;""),'[2]SS-01'!C13:C72),"—")</f>
        <v>4 - Tender Pack Development</v>
      </c>
      <c r="F5" s="29" t="str">
        <f>IFERROR(LOOKUP(2,1/('[2]SS-01'!D13:D72&lt;&gt;""),'[2]SS-01'!D13:D72),"—")</f>
        <v>Detailed LCCE</v>
      </c>
      <c r="G5" s="8" t="str">
        <f>IFERROR(LOOKUP(2,1/('[2]SS-01'!E13:E72&lt;&gt;""),'[2]SS-01'!E13:E72),"—")</f>
        <v xml:space="preserve">لايوجد أي جراء على مقدر التكلفة </v>
      </c>
      <c r="H5" s="5" t="str">
        <f>IFERROR(LOOKUP(2,1/('[2]SS-01'!F13:F72&lt;&gt;""),'[2]SS-01'!F13:F72),"—")</f>
        <v xml:space="preserve">الان في مرحلة اعداد الكراسة من قبل مدير المشروع </v>
      </c>
      <c r="I5" s="34" t="str">
        <f>IFERROR(LOOKUP(2,1/('[2]SS-01'!G13:G72&lt;&gt;""),'[2]SS-01'!G13:G72),"—")</f>
        <v>مكتمل</v>
      </c>
      <c r="J5" s="31"/>
    </row>
    <row r="6" spans="1:10" ht="43.5" x14ac:dyDescent="0.35">
      <c r="A6" s="4" t="s">
        <v>25</v>
      </c>
      <c r="B6" s="10" t="str">
        <f>'[2]SS-02'!B4</f>
        <v>توريد وتخديم المواد الغذائية لمرافق الأندية والضيافات بالمنطقة الوسطى</v>
      </c>
      <c r="C6" s="9">
        <v>1</v>
      </c>
      <c r="D6" s="11" t="str">
        <f>'[2]SS-02'!B5</f>
        <v>محمد الطويرش</v>
      </c>
      <c r="E6" s="12" t="str">
        <f>IFERROR(LOOKUP(2,1/('[2]SS-02'!C13:C74&lt;&gt;""),'[2]SS-02'!C13:C74),"—")</f>
        <v>4 - Tender Pack Development</v>
      </c>
      <c r="F6" s="33" t="str">
        <f>IFERROR(LOOKUP(2,1/('[2]SS-02'!D13:D72&lt;&gt;""),'[2]SS-02'!D13:D72),"—")</f>
        <v>Independent LCCE</v>
      </c>
      <c r="G6" s="13" t="str">
        <f>IFERROR(LOOKUP(2,1/('[2]SS-02'!E13:E74&lt;&gt;""),'[2]SS-02'!E13:E74),"—")</f>
        <v xml:space="preserve">استكمال تعبئة النموذج </v>
      </c>
      <c r="H6" s="10" t="str">
        <f>IFERROR(LOOKUP(2,1/('[2]SS-02'!F13:F74&lt;&gt;""),'[2]SS-02'!F13:F74),"—")</f>
        <v>حظور مدير المشروع ومناقشة بعض النقاط ، وسوف يقوم ببتعديلات أخيرة وتزود الجهة المستفيدة بالنموذج للمراجعة وابداء الملاحظات او الاعتماد للنتقال للخطوة التالية ، علما بأن تم وضع الاجتماع القادم هو نهاية الفترة المحدده لهذا النموذج ، وتم طلب تزويد ومشاركة فريق السياسات بالملاحظات على النموذج.</v>
      </c>
      <c r="I6" s="34" t="str">
        <f>IFERROR(LOOKUP(2,1/('[2]SS-02'!G13:G72&lt;&gt;""),'[2]SS-02'!G13:G72),"—")</f>
        <v xml:space="preserve">متأخر </v>
      </c>
      <c r="J6" s="31"/>
    </row>
    <row r="7" spans="1:10" ht="29" x14ac:dyDescent="0.35">
      <c r="A7" s="4" t="s">
        <v>26</v>
      </c>
      <c r="B7" s="5" t="str">
        <f>'[2]SS-03'!B4</f>
        <v>بدلة الكشف وبدلة الإزالة لصالح القوات البرية</v>
      </c>
      <c r="C7" s="4">
        <v>1</v>
      </c>
      <c r="D7" s="6" t="str">
        <f>'[2]SS-03'!B5</f>
        <v>محمد اليوسف</v>
      </c>
      <c r="E7" s="7" t="str">
        <f>IFERROR(LOOKUP(2,1/('[2]SS-03'!C13:C72&lt;&gt;""),'[2]SS-03'!C13:C72),"—")</f>
        <v>3 - Affordability Estimate</v>
      </c>
      <c r="F7" s="29" t="str">
        <f>IFERROR(LOOKUP(2,1/('[2]SS-03'!D13:D72&lt;&gt;""),'[2]SS-03'!D13:D72),"—")</f>
        <v>TCO</v>
      </c>
      <c r="G7" s="8" t="str">
        <f>IFERROR(LOOKUP(2,1/('[2]SS-03'!E13:E72&lt;&gt;""),'[2]SS-03'!E13:E72),"—")</f>
        <v>لايوجد</v>
      </c>
      <c r="H7" s="5" t="str">
        <f>IFERROR(LOOKUP(2,1/('[2]SS-03'!F13:F72&lt;&gt;""),'[2]SS-03'!F13:F72),"—")</f>
        <v xml:space="preserve">لازال مدير المشروع يعمل مع المستفيد النهائي على المتطلبات بالتنسيق مع فريق ديلويت </v>
      </c>
      <c r="I7" s="34" t="str">
        <f>IFERROR(LOOKUP(2,1/('[2]SS-03'!G13:G72&lt;&gt;""),'[2]SS-03'!G13:G72),"—")</f>
        <v xml:space="preserve">متأخر </v>
      </c>
      <c r="J7" s="31"/>
    </row>
    <row r="8" spans="1:10" ht="33.75" customHeight="1" x14ac:dyDescent="0.35">
      <c r="A8" s="4" t="s">
        <v>27</v>
      </c>
      <c r="B8" s="10" t="str">
        <f>'[2]SS-04'!B4</f>
        <v>تأمين ملبوسات عسكرية لكليه الدفاع الجوي من الاتفاقية الاطارية</v>
      </c>
      <c r="C8" s="9">
        <v>2</v>
      </c>
      <c r="D8" s="11" t="str">
        <f>'[2]SS-04'!B5</f>
        <v>هيا المهنا</v>
      </c>
      <c r="E8" s="12" t="str">
        <f>IFERROR(LOOKUP(2,1/('[2]SS-04'!C13:C72&lt;&gt;""),'[2]SS-04'!C13:C72),"—")</f>
        <v>8 - Contract Execution</v>
      </c>
      <c r="F8" s="33" t="str">
        <f>IFERROR(LOOKUP(2,1/('[2]SS-04'!D13:D72&lt;&gt;""),'[2]SS-04'!D13:D72),"—")</f>
        <v>—</v>
      </c>
      <c r="G8" s="13" t="str">
        <f>IFERROR(LOOKUP(2,1/('[2]SS-04'!E13:E72&lt;&gt;""),'[2]SS-04'!E13:E72),"—")</f>
        <v>المشروع اتفاقية اطارية وبمرحلة تنفيذ العقد ولا يوجد متطلب على إدارة التكاليف</v>
      </c>
      <c r="H8" s="10" t="str">
        <f>IFERROR(LOOKUP(2,1/('[2]SS-04'!F13:F72&lt;&gt;""),'[2]SS-04'!F13:F72),"—")</f>
        <v>تم اشراك إدارة التكاليف بالمشروع من  مرحلة تنفيذ العقد ولا يتطلب مخرجات على  إدارة التكاليف</v>
      </c>
      <c r="I8" s="34" t="str">
        <f>IFERROR(LOOKUP(2,1/('[2]SS-04'!G13:G72&lt;&gt;""),'[2]SS-04'!G13:G72),"—")</f>
        <v>مكتمل</v>
      </c>
    </row>
    <row r="9" spans="1:10" ht="33.75" customHeight="1" x14ac:dyDescent="0.35">
      <c r="A9" s="4" t="s">
        <v>28</v>
      </c>
      <c r="B9" s="5" t="str">
        <f>'[2]SS-05'!B4</f>
        <v>معدات تغطية إعلامية شاملة</v>
      </c>
      <c r="C9" s="4">
        <v>2</v>
      </c>
      <c r="D9" s="6" t="str">
        <f>'[2]SS-05'!B5</f>
        <v>محمد اليوسف</v>
      </c>
      <c r="E9" s="7" t="str">
        <f>IFERROR(LOOKUP(2,1/('[2]SS-05'!C13:C72&lt;&gt;""),'[2]SS-05'!C13:C72),"—")</f>
        <v>2 - Needs Identification</v>
      </c>
      <c r="F9" s="29" t="str">
        <f>IFERROR(LOOKUP(2,1/('[2]SS-05'!D13:D72&lt;&gt;""),'[2]SS-05'!D13:D72),"—")</f>
        <v>—</v>
      </c>
      <c r="G9" s="8" t="str">
        <f>IFERROR(LOOKUP(2,1/('[2]SS-05'!E13:E72&lt;&gt;""),'[2]SS-05'!E13:E72),"—")</f>
        <v>لم يتم بدء دور إدارة التكاليف حتى الآن بناءا على التنسيق مع إدارة المحافظ</v>
      </c>
      <c r="H9" s="5" t="str">
        <f>IFERROR(LOOKUP(2,1/('[2]SS-05'!F13:F72&lt;&gt;""),'[2]SS-05'!F13:F72),"—")</f>
        <v>طلب من الجهة المستفيدة مراجعة جودة المدخلات</v>
      </c>
      <c r="I9" s="34" t="str">
        <f>IFERROR(LOOKUP(2,1/('[2]SS-05'!G13:G72&lt;&gt;""),'[2]SS-05'!G13:G72),"—")</f>
        <v>على المسار</v>
      </c>
    </row>
    <row r="10" spans="1:10" ht="33.75" customHeight="1" x14ac:dyDescent="0.35">
      <c r="A10" s="4" t="s">
        <v>29</v>
      </c>
      <c r="B10" s="10" t="str">
        <f>'[2]SS-06'!B4</f>
        <v>رشاش عيار 40 ام كي 19 مع ملحقاته</v>
      </c>
      <c r="C10" s="9">
        <v>2</v>
      </c>
      <c r="D10" s="11" t="str">
        <f>'[2]SS-06'!B5</f>
        <v>هيا المهنا</v>
      </c>
      <c r="E10" s="12" t="str">
        <f>IFERROR(LOOKUP(2,1/('[2]SS-06'!C13:C72&lt;&gt;""),'[2]SS-06'!C13:C72),"—")</f>
        <v>2 - Needs Identification</v>
      </c>
      <c r="F10" s="33" t="str">
        <f>IFERROR(LOOKUP(2,1/('[2]SS-06'!D13:D72&lt;&gt;""),'[2]SS-06'!D13:D72),"—")</f>
        <v>—</v>
      </c>
      <c r="G10" s="13" t="str">
        <f>IFERROR(LOOKUP(2,1/('[2]SS-06'!E13:E72&lt;&gt;""),'[2]SS-06'!E13:E72),"—")</f>
        <v>لا يوجد متطلب على إدارة التكاليف حتى الان</v>
      </c>
      <c r="H10" s="10" t="str">
        <f>IFERROR(LOOKUP(2,1/('[2]SS-06'!F13:F72&lt;&gt;""),'[2]SS-06'!F13:F72),"—")</f>
        <v xml:space="preserve">تعبئة نموذج الافتراضات (MDAL) من قبل مدير المشروع للانتقال للخطوات القادمة </v>
      </c>
      <c r="I10" s="34" t="str">
        <f>IFERROR(LOOKUP(2,1/('[2]SS-06'!G13:G72&lt;&gt;""),'[2]SS-06'!G13:G72),"—")</f>
        <v>على المسار</v>
      </c>
    </row>
    <row r="11" spans="1:10" ht="33.75" customHeight="1" x14ac:dyDescent="0.35">
      <c r="A11" s="4" t="s">
        <v>30</v>
      </c>
      <c r="B11" s="5" t="str">
        <f>'[2]SS-07'!B4</f>
        <v>تقديم الخدمات الاستشارية الفنية للحصول على شهادات</v>
      </c>
      <c r="C11" s="4">
        <v>2</v>
      </c>
      <c r="D11" s="6" t="str">
        <f>'[2]SS-07'!B5</f>
        <v>عبدالله النويصر</v>
      </c>
      <c r="E11" s="7" t="str">
        <f>IFERROR(LOOKUP(2,1/('[2]SS-07'!C13:C72&lt;&gt;""),'[2]SS-07'!C13:C72),"—")</f>
        <v>8 - Contract Execution</v>
      </c>
      <c r="F11" s="29" t="str">
        <f>IFERROR(LOOKUP(2,1/('[2]SS-07'!D13:D72&lt;&gt;""),'[2]SS-07'!D13:D72),"—")</f>
        <v>—</v>
      </c>
      <c r="G11" s="8" t="str">
        <f>IFERROR(LOOKUP(2,1/('[2]SS-07'!E13:E72&lt;&gt;""),'[2]SS-07'!E13:E72),"—")</f>
        <v>—</v>
      </c>
      <c r="H11" s="5" t="str">
        <f>IFERROR(LOOKUP(2,1/('[2]SS-07'!F13:F72&lt;&gt;""),'[2]SS-07'!F13:F72),"—")</f>
        <v>تم اشراك إدارة التكاليف بالمشروع من  مرحلة تنفيذ العقد ولا يتطلب مخرجات على  إدارة التكاليف</v>
      </c>
      <c r="I11" s="34" t="str">
        <f>IFERROR(LOOKUP(2,1/('[2]SS-07'!G13:G72&lt;&gt;""),'[2]SS-07'!G13:G72),"—")</f>
        <v>مكتمل</v>
      </c>
    </row>
  </sheetData>
  <mergeCells count="1">
    <mergeCell ref="A1:H1"/>
  </mergeCells>
  <conditionalFormatting sqref="J1:J7">
    <cfRule type="containsText" dxfId="9" priority="5" operator="containsText" text="متأخر">
      <formula>NOT(ISERROR(SEARCH("متأخر",J1)))</formula>
    </cfRule>
    <cfRule type="containsText" dxfId="8" priority="6" operator="containsText" text="خطر">
      <formula>NOT(ISERROR(SEARCH("خطر",J1)))</formula>
    </cfRule>
    <cfRule type="containsText" dxfId="7" priority="7" operator="containsText" text="على المسار">
      <formula>NOT(ISERROR(SEARCH("على المسار",J1)))</formula>
    </cfRule>
    <cfRule type="containsText" dxfId="6" priority="8" operator="containsText" text="مكتمل">
      <formula>NOT(ISERROR(SEARCH("مكتمل",J1)))</formula>
    </cfRule>
  </conditionalFormatting>
  <conditionalFormatting sqref="I5:I11">
    <cfRule type="containsText" dxfId="5" priority="1" operator="containsText" text="متأخر">
      <formula>NOT(ISERROR(SEARCH("متأخر",I5)))</formula>
    </cfRule>
    <cfRule type="containsText" dxfId="4" priority="2" operator="containsText" text="خطر">
      <formula>NOT(ISERROR(SEARCH("خطر",I5)))</formula>
    </cfRule>
    <cfRule type="containsText" dxfId="3" priority="3" operator="containsText" text="على المسار">
      <formula>NOT(ISERROR(SEARCH("على المسار",I5)))</formula>
    </cfRule>
    <cfRule type="containsText" dxfId="2" priority="4" operator="containsText" text="مكتمل">
      <formula>NOT(ISERROR(SEARCH("مكتمل",I5)))</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E6BFC-0103-44C4-A89E-860D8E0C5B16}">
  <sheetPr>
    <tabColor theme="5" tint="0.39997558519241921"/>
  </sheetPr>
  <dimension ref="A1:F7"/>
  <sheetViews>
    <sheetView rightToLeft="1" zoomScale="92" zoomScaleNormal="100" workbookViewId="0">
      <pane ySplit="1" topLeftCell="A2" activePane="bottomLeft" state="frozen"/>
      <selection pane="bottomLeft" activeCell="F4" sqref="F4"/>
    </sheetView>
  </sheetViews>
  <sheetFormatPr defaultColWidth="7.90625" defaultRowHeight="14.5" x14ac:dyDescent="0.35"/>
  <cols>
    <col min="1" max="1" width="5.453125" style="1" customWidth="1"/>
    <col min="2" max="2" width="29.36328125" style="27" customWidth="1"/>
    <col min="3" max="3" width="12.81640625" style="1" customWidth="1"/>
    <col min="4" max="4" width="47.6328125" style="28" customWidth="1"/>
    <col min="5" max="6" width="14.6328125" style="1" customWidth="1"/>
    <col min="7" max="16384" width="7.90625" style="1"/>
  </cols>
  <sheetData>
    <row r="1" spans="1:6" ht="24" customHeight="1" x14ac:dyDescent="0.35">
      <c r="A1" s="15" t="s">
        <v>31</v>
      </c>
      <c r="B1" s="15" t="s">
        <v>33</v>
      </c>
      <c r="C1" s="15" t="s">
        <v>32</v>
      </c>
      <c r="D1" s="16" t="s">
        <v>38</v>
      </c>
      <c r="E1" s="15" t="s">
        <v>39</v>
      </c>
      <c r="F1" s="15" t="s">
        <v>40</v>
      </c>
    </row>
    <row r="2" spans="1:6" ht="108" x14ac:dyDescent="0.35">
      <c r="A2" s="17">
        <v>1</v>
      </c>
      <c r="B2" s="18" t="s">
        <v>41</v>
      </c>
      <c r="C2" s="19" t="s">
        <v>36</v>
      </c>
      <c r="D2" s="20" t="s">
        <v>48</v>
      </c>
      <c r="E2" s="43">
        <v>46152</v>
      </c>
      <c r="F2" s="21" t="s">
        <v>44</v>
      </c>
    </row>
    <row r="3" spans="1:6" ht="60" x14ac:dyDescent="0.35">
      <c r="A3" s="22">
        <v>2</v>
      </c>
      <c r="B3" s="23" t="s">
        <v>51</v>
      </c>
      <c r="C3" s="24" t="s">
        <v>34</v>
      </c>
      <c r="D3" s="25" t="s">
        <v>52</v>
      </c>
      <c r="E3" s="24"/>
      <c r="F3" s="21" t="s">
        <v>42</v>
      </c>
    </row>
    <row r="4" spans="1:6" ht="120" x14ac:dyDescent="0.35">
      <c r="A4" s="17">
        <v>3</v>
      </c>
      <c r="B4" s="18" t="s">
        <v>43</v>
      </c>
      <c r="C4" s="19" t="s">
        <v>35</v>
      </c>
      <c r="D4" s="20" t="s">
        <v>55</v>
      </c>
      <c r="E4" s="43">
        <v>46147</v>
      </c>
      <c r="F4" s="26" t="s">
        <v>44</v>
      </c>
    </row>
    <row r="5" spans="1:6" ht="60" x14ac:dyDescent="0.35">
      <c r="A5" s="22">
        <v>4</v>
      </c>
      <c r="B5" s="23" t="s">
        <v>45</v>
      </c>
      <c r="C5" s="24" t="s">
        <v>35</v>
      </c>
      <c r="D5" s="25" t="s">
        <v>49</v>
      </c>
      <c r="E5" s="43">
        <v>46141</v>
      </c>
      <c r="F5" s="26" t="s">
        <v>44</v>
      </c>
    </row>
    <row r="6" spans="1:6" ht="72" x14ac:dyDescent="0.35">
      <c r="A6" s="17">
        <v>5</v>
      </c>
      <c r="B6" s="18" t="s">
        <v>46</v>
      </c>
      <c r="C6" s="19" t="s">
        <v>37</v>
      </c>
      <c r="D6" s="20" t="s">
        <v>50</v>
      </c>
      <c r="E6" s="43">
        <v>46134</v>
      </c>
      <c r="F6" s="21" t="s">
        <v>44</v>
      </c>
    </row>
    <row r="7" spans="1:6" x14ac:dyDescent="0.35">
      <c r="A7" s="27">
        <v>6</v>
      </c>
      <c r="B7" s="18" t="s">
        <v>53</v>
      </c>
      <c r="D7" s="20" t="s">
        <v>54</v>
      </c>
    </row>
  </sheetData>
  <autoFilter ref="A1:F6" xr:uid="{00000000-0009-0000-0000-000000000000}"/>
  <conditionalFormatting sqref="F2:F999">
    <cfRule type="cellIs" dxfId="1" priority="1" operator="equal">
      <formula>"مكتمل"</formula>
    </cfRule>
    <cfRule type="cellIs" dxfId="0" priority="2" operator="equal">
      <formula>"غير مكتمل"</formula>
    </cfRule>
  </conditionalFormatting>
  <dataValidations count="1">
    <dataValidation type="list" allowBlank="1" sqref="F2:F999" xr:uid="{0CC1E10A-A935-4861-95CA-5C9B31F5F6F4}">
      <formula1>"مكتمل,غير مكتمل"</formula1>
    </dataValidation>
  </dataValidation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PP-Overview</vt:lpstr>
      <vt:lpstr>SMRO-Overview</vt:lpstr>
      <vt:lpstr>SS-Overview</vt:lpstr>
      <vt:lpstr>Management Tracker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 A. Alamri</dc:creator>
  <cp:lastModifiedBy>Anas A. Alamri</cp:lastModifiedBy>
  <dcterms:created xsi:type="dcterms:W3CDTF">2026-05-03T08:04:00Z</dcterms:created>
  <dcterms:modified xsi:type="dcterms:W3CDTF">2026-06-18T08:01:29Z</dcterms:modified>
</cp:coreProperties>
</file>