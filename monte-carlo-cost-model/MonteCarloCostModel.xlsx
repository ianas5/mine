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 Carlo" sheetId="1" state="visible" r:id="rId1"/>
    <sheet name="Chart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6B35"/>
      <sz val="18"/>
    </font>
    <font>
      <name val="Calibri"/>
      <color rgb="006C6C70"/>
      <sz val="10"/>
    </font>
    <font>
      <name val="Calibri"/>
      <b val="1"/>
      <color rgb="00FFFFFF"/>
      <sz val="11"/>
    </font>
    <font>
      <name val="Calibri"/>
      <color rgb="001C1C1E"/>
      <sz val="11"/>
    </font>
    <font>
      <name val="Calibri"/>
      <color rgb="006C6C70"/>
      <sz val="11"/>
    </font>
    <font>
      <name val="Calibri"/>
      <b val="1"/>
      <color rgb="001C1C1E"/>
      <sz val="11"/>
    </font>
    <font>
      <name val="Calibri"/>
      <b val="1"/>
      <color rgb="00FF6B35"/>
      <sz val="12"/>
    </font>
    <font>
      <name val="Calibri"/>
      <b val="1"/>
      <color rgb="00FF6B35"/>
      <sz val="11"/>
    </font>
    <font>
      <name val="Calibri"/>
      <b val="1"/>
      <color rgb="0000A88A"/>
      <sz val="11"/>
    </font>
    <font>
      <name val="Calibri"/>
      <color rgb="009A9AA0"/>
      <sz val="10"/>
    </font>
    <font>
      <name val="Calibri"/>
      <b val="1"/>
      <color rgb="00FFFFFF"/>
      <sz val="10"/>
    </font>
    <font>
      <name val="Calibri"/>
      <b val="1"/>
      <color rgb="00FF6B35"/>
      <sz val="14"/>
    </font>
    <font>
      <name val="Calibri"/>
      <b val="1"/>
      <color rgb="0000A88A"/>
      <sz val="14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4D6"/>
      </patternFill>
    </fill>
    <fill>
      <patternFill patternType="solid">
        <fgColor rgb="0000A88A"/>
      </patternFill>
    </fill>
  </fills>
  <borders count="2">
    <border>
      <left/>
      <right/>
      <top/>
      <bottom/>
      <diagonal/>
    </border>
    <border>
      <left style="thin">
        <color rgb="00D0D0D5"/>
      </left>
      <right style="thin">
        <color rgb="00D0D0D5"/>
      </right>
      <top style="thin">
        <color rgb="00D0D0D5"/>
      </top>
      <bottom style="thin">
        <color rgb="00D0D0D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0" pivotButton="0" quotePrefix="0" xfId="0"/>
    <xf numFmtId="0" fontId="0" fillId="2" borderId="0" pivotButton="0" quotePrefix="0" xfId="0"/>
    <xf numFmtId="0" fontId="11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4" fillId="0" borderId="1" pivotButton="0" quotePrefix="0" xfId="0"/>
    <xf numFmtId="164" fontId="4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0" borderId="0" pivotButton="0" quotePrefix="0" xfId="0"/>
    <xf numFmtId="1" fontId="4" fillId="3" borderId="1" applyAlignment="1" pivotButton="0" quotePrefix="0" xfId="0">
      <alignment horizontal="right" vertical="center"/>
    </xf>
    <xf numFmtId="3" fontId="0" fillId="0" borderId="0" pivotButton="0" quotePrefix="0" xfId="0"/>
    <xf numFmtId="9" fontId="4" fillId="3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Cost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cat>
            <numRef>
              <f>'Charts'!$D$4:$D$33</f>
            </numRef>
          </cat>
          <val>
            <numRef>
              <f>'Charts'!$E$4:$E$33</f>
            </numRef>
          </val>
        </ser>
        <gapWidth val="8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Total cost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S-Curve — probability cost is at or below</a:t>
            </a:r>
          </a:p>
        </rich>
      </tx>
    </title>
    <plotArea>
      <scatterChart>
        <ser>
          <idx val="0"/>
          <order val="0"/>
          <tx>
            <v>S-curve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'Charts'!$B$43:$B$63</f>
            </numRef>
          </xVal>
          <yVal>
            <numRef>
              <f>'Charts'!$A$43:$A$63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cost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probability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1" customWidth="1" min="4" max="4"/>
    <col width="11" customWidth="1" min="5" max="5"/>
    <col width="13" customWidth="1" min="6" max="6"/>
    <col width="3" customWidth="1" min="7" max="7"/>
    <col width="13" customWidth="1" min="8" max="8"/>
    <col width="12" customWidth="1" min="9" max="9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</cols>
  <sheetData>
    <row r="1">
      <c r="A1" s="1" t="inlineStr">
        <is>
          <t>MONTE CARLO COST MODEL</t>
        </is>
      </c>
    </row>
    <row r="2">
      <c r="A2" s="2" t="inlineStr">
        <is>
          <t>5,000 iterations run live in-sheet. Edit the yellow input cells, then press F9 to re-roll. Stats below update automatically.</t>
        </is>
      </c>
      <c r="M2" s="3" t="inlineStr">
        <is>
          <t>↓ SIMULATION ENGINE — one row per iteration (safe to ignore / collapse)</t>
        </is>
      </c>
    </row>
    <row r="4">
      <c r="A4" s="4" t="inlineStr">
        <is>
          <t>Item</t>
        </is>
      </c>
      <c r="B4" s="4" t="inlineStr">
        <is>
          <t>Distribution</t>
        </is>
      </c>
      <c r="C4" s="4" t="inlineStr">
        <is>
          <t>P1</t>
        </is>
      </c>
      <c r="D4" s="4" t="inlineStr">
        <is>
          <t>P2</t>
        </is>
      </c>
      <c r="E4" s="4" t="inlineStr">
        <is>
          <t>P3</t>
        </is>
      </c>
      <c r="F4" s="4" t="inlineStr">
        <is>
          <t>Central</t>
        </is>
      </c>
      <c r="H4" s="5" t="inlineStr">
        <is>
          <t>SETTINGS</t>
        </is>
      </c>
      <c r="I4" s="6" t="n"/>
      <c r="M4" s="7" t="inlineStr">
        <is>
          <t>Labor</t>
        </is>
      </c>
      <c r="N4" s="7" t="inlineStr">
        <is>
          <t>Materials</t>
        </is>
      </c>
      <c r="O4" s="7" t="inlineStr">
        <is>
          <t>Equipment</t>
        </is>
      </c>
      <c r="P4" s="7" t="inlineStr">
        <is>
          <t>Subcontractors</t>
        </is>
      </c>
      <c r="Q4" s="7" t="inlineStr">
        <is>
          <t>Permits &amp; Fees</t>
        </is>
      </c>
      <c r="R4" s="7" t="inlineStr">
        <is>
          <t>Risk Reserve</t>
        </is>
      </c>
      <c r="S4" s="8" t="inlineStr">
        <is>
          <t>Total</t>
        </is>
      </c>
    </row>
    <row r="5">
      <c r="A5" s="9" t="inlineStr">
        <is>
          <t>Labor</t>
        </is>
      </c>
      <c r="B5" s="9" t="inlineStr">
        <is>
          <t>pert</t>
        </is>
      </c>
      <c r="C5" s="10" t="n">
        <v>40000</v>
      </c>
      <c r="D5" s="10" t="n">
        <v>55000</v>
      </c>
      <c r="E5" s="10" t="n">
        <v>90000</v>
      </c>
      <c r="F5" s="11">
        <f>(C5+4*D5+E5)/6</f>
        <v/>
      </c>
      <c r="H5" s="12" t="inlineStr">
        <is>
          <t>Iterations</t>
        </is>
      </c>
      <c r="I5" s="13" t="n">
        <v>5000</v>
      </c>
      <c r="M5" s="14">
        <f>_xlfn.BETA.INV($AA5,1+4*($D$5-$C$5)/($E$5-$C$5),1+4*($E$5-$D$5)/($E$5-$C$5),$C$5,$E$5)</f>
        <v/>
      </c>
      <c r="N5" s="14">
        <f>IF($AB5&lt;($D$6-$C$6)/($E$6-$C$6),$C$6+SQRT($AB5*($E$6-$C$6)*($D$6-$C$6)),$E$6-SQRT((1-$AB5)*($E$6-$C$6)*($E$6-$D$6)))</f>
        <v/>
      </c>
      <c r="O5" s="14">
        <f>_xlfn.NORM.INV($AC5,$C$7,$D$7)</f>
        <v/>
      </c>
      <c r="P5" s="14">
        <f>$C$8+($D$8-$C$8)*$AD5</f>
        <v/>
      </c>
      <c r="Q5" s="14">
        <f>$C$9</f>
        <v/>
      </c>
      <c r="R5" s="14">
        <f>_xlfn.LOGNORM.INV($AF5,LN($C$10)-0.5*LN(1+($D$10/$C$10)^2),SQRT(LN(1+($D$10/$C$10)^2)))</f>
        <v/>
      </c>
      <c r="S5" s="14">
        <f>SUM(M5:R5)</f>
        <v/>
      </c>
      <c r="AA5">
        <f>RAND()</f>
        <v/>
      </c>
      <c r="AB5">
        <f>RAND()</f>
        <v/>
      </c>
      <c r="AC5">
        <f>RAND()</f>
        <v/>
      </c>
      <c r="AD5">
        <f>RAND()</f>
        <v/>
      </c>
      <c r="AE5">
        <f>RAND()</f>
        <v/>
      </c>
      <c r="AF5">
        <f>RAND()</f>
        <v/>
      </c>
    </row>
    <row r="6">
      <c r="A6" s="9" t="inlineStr">
        <is>
          <t>Materials</t>
        </is>
      </c>
      <c r="B6" s="9" t="inlineStr">
        <is>
          <t>triangular</t>
        </is>
      </c>
      <c r="C6" s="10" t="n">
        <v>30000</v>
      </c>
      <c r="D6" s="10" t="n">
        <v>38000</v>
      </c>
      <c r="E6" s="10" t="n">
        <v>60000</v>
      </c>
      <c r="F6" s="11">
        <f>(C6+D6+E6)/3</f>
        <v/>
      </c>
      <c r="H6" s="12" t="inlineStr">
        <is>
          <t>Budget</t>
        </is>
      </c>
      <c r="I6" s="10" t="n">
        <v>185000</v>
      </c>
      <c r="M6" s="14">
        <f>_xlfn.BETA.INV($AA6,1+4*($D$5-$C$5)/($E$5-$C$5),1+4*($E$5-$D$5)/($E$5-$C$5),$C$5,$E$5)</f>
        <v/>
      </c>
      <c r="N6" s="14">
        <f>IF($AB6&lt;($D$6-$C$6)/($E$6-$C$6),$C$6+SQRT($AB6*($E$6-$C$6)*($D$6-$C$6)),$E$6-SQRT((1-$AB6)*($E$6-$C$6)*($E$6-$D$6)))</f>
        <v/>
      </c>
      <c r="O6" s="14">
        <f>_xlfn.NORM.INV($AC6,$C$7,$D$7)</f>
        <v/>
      </c>
      <c r="P6" s="14">
        <f>$C$8+($D$8-$C$8)*$AD6</f>
        <v/>
      </c>
      <c r="Q6" s="14">
        <f>$C$9</f>
        <v/>
      </c>
      <c r="R6" s="14">
        <f>_xlfn.LOGNORM.INV($AF6,LN($C$10)-0.5*LN(1+($D$10/$C$10)^2),SQRT(LN(1+($D$10/$C$10)^2)))</f>
        <v/>
      </c>
      <c r="S6" s="14">
        <f>SUM(M6:R6)</f>
        <v/>
      </c>
      <c r="AA6">
        <f>RAND()</f>
        <v/>
      </c>
      <c r="AB6">
        <f>RAND()</f>
        <v/>
      </c>
      <c r="AC6">
        <f>RAND()</f>
        <v/>
      </c>
      <c r="AD6">
        <f>RAND()</f>
        <v/>
      </c>
      <c r="AE6">
        <f>RAND()</f>
        <v/>
      </c>
      <c r="AF6">
        <f>RAND()</f>
        <v/>
      </c>
    </row>
    <row r="7">
      <c r="A7" s="9" t="inlineStr">
        <is>
          <t>Equipment</t>
        </is>
      </c>
      <c r="B7" s="9" t="inlineStr">
        <is>
          <t>normal</t>
        </is>
      </c>
      <c r="C7" s="10" t="n">
        <v>15000</v>
      </c>
      <c r="D7" s="10" t="n">
        <v>3000</v>
      </c>
      <c r="E7" s="10" t="n"/>
      <c r="F7" s="11">
        <f>C7</f>
        <v/>
      </c>
      <c r="H7" s="12" t="inlineStr">
        <is>
          <t>Confidence</t>
        </is>
      </c>
      <c r="I7" s="15" t="n">
        <v>0.8</v>
      </c>
      <c r="M7" s="14">
        <f>_xlfn.BETA.INV($AA7,1+4*($D$5-$C$5)/($E$5-$C$5),1+4*($E$5-$D$5)/($E$5-$C$5),$C$5,$E$5)</f>
        <v/>
      </c>
      <c r="N7" s="14">
        <f>IF($AB7&lt;($D$6-$C$6)/($E$6-$C$6),$C$6+SQRT($AB7*($E$6-$C$6)*($D$6-$C$6)),$E$6-SQRT((1-$AB7)*($E$6-$C$6)*($E$6-$D$6)))</f>
        <v/>
      </c>
      <c r="O7" s="14">
        <f>_xlfn.NORM.INV($AC7,$C$7,$D$7)</f>
        <v/>
      </c>
      <c r="P7" s="14">
        <f>$C$8+($D$8-$C$8)*$AD7</f>
        <v/>
      </c>
      <c r="Q7" s="14">
        <f>$C$9</f>
        <v/>
      </c>
      <c r="R7" s="14">
        <f>_xlfn.LOGNORM.INV($AF7,LN($C$10)-0.5*LN(1+($D$10/$C$10)^2),SQRT(LN(1+($D$10/$C$10)^2)))</f>
        <v/>
      </c>
      <c r="S7" s="14">
        <f>SUM(M7:R7)</f>
        <v/>
      </c>
      <c r="AA7">
        <f>RAND()</f>
        <v/>
      </c>
      <c r="AB7">
        <f>RAND()</f>
        <v/>
      </c>
      <c r="AC7">
        <f>RAND()</f>
        <v/>
      </c>
      <c r="AD7">
        <f>RAND()</f>
        <v/>
      </c>
      <c r="AE7">
        <f>RAND()</f>
        <v/>
      </c>
      <c r="AF7">
        <f>RAND()</f>
        <v/>
      </c>
    </row>
    <row r="8">
      <c r="A8" s="9" t="inlineStr">
        <is>
          <t>Subcontractors</t>
        </is>
      </c>
      <c r="B8" s="9" t="inlineStr">
        <is>
          <t>uniform</t>
        </is>
      </c>
      <c r="C8" s="10" t="n">
        <v>20000</v>
      </c>
      <c r="D8" s="10" t="n">
        <v>35000</v>
      </c>
      <c r="E8" s="10" t="n"/>
      <c r="F8" s="11">
        <f>(C8+D8)/2</f>
        <v/>
      </c>
      <c r="M8" s="14">
        <f>_xlfn.BETA.INV($AA8,1+4*($D$5-$C$5)/($E$5-$C$5),1+4*($E$5-$D$5)/($E$5-$C$5),$C$5,$E$5)</f>
        <v/>
      </c>
      <c r="N8" s="14">
        <f>IF($AB8&lt;($D$6-$C$6)/($E$6-$C$6),$C$6+SQRT($AB8*($E$6-$C$6)*($D$6-$C$6)),$E$6-SQRT((1-$AB8)*($E$6-$C$6)*($E$6-$D$6)))</f>
        <v/>
      </c>
      <c r="O8" s="14">
        <f>_xlfn.NORM.INV($AC8,$C$7,$D$7)</f>
        <v/>
      </c>
      <c r="P8" s="14">
        <f>$C$8+($D$8-$C$8)*$AD8</f>
        <v/>
      </c>
      <c r="Q8" s="14">
        <f>$C$9</f>
        <v/>
      </c>
      <c r="R8" s="14">
        <f>_xlfn.LOGNORM.INV($AF8,LN($C$10)-0.5*LN(1+($D$10/$C$10)^2),SQRT(LN(1+($D$10/$C$10)^2)))</f>
        <v/>
      </c>
      <c r="S8" s="14">
        <f>SUM(M8:R8)</f>
        <v/>
      </c>
      <c r="AA8">
        <f>RAND()</f>
        <v/>
      </c>
      <c r="AB8">
        <f>RAND()</f>
        <v/>
      </c>
      <c r="AC8">
        <f>RAND()</f>
        <v/>
      </c>
      <c r="AD8">
        <f>RAND()</f>
        <v/>
      </c>
      <c r="AE8">
        <f>RAND()</f>
        <v/>
      </c>
      <c r="AF8">
        <f>RAND()</f>
        <v/>
      </c>
    </row>
    <row r="9">
      <c r="A9" s="9" t="inlineStr">
        <is>
          <t>Permits &amp; Fees</t>
        </is>
      </c>
      <c r="B9" s="9" t="inlineStr">
        <is>
          <t>fixed</t>
        </is>
      </c>
      <c r="C9" s="10" t="n">
        <v>5000</v>
      </c>
      <c r="D9" s="10" t="n"/>
      <c r="E9" s="10" t="n"/>
      <c r="F9" s="11">
        <f>C9</f>
        <v/>
      </c>
      <c r="M9" s="14">
        <f>_xlfn.BETA.INV($AA9,1+4*($D$5-$C$5)/($E$5-$C$5),1+4*($E$5-$D$5)/($E$5-$C$5),$C$5,$E$5)</f>
        <v/>
      </c>
      <c r="N9" s="14">
        <f>IF($AB9&lt;($D$6-$C$6)/($E$6-$C$6),$C$6+SQRT($AB9*($E$6-$C$6)*($D$6-$C$6)),$E$6-SQRT((1-$AB9)*($E$6-$C$6)*($E$6-$D$6)))</f>
        <v/>
      </c>
      <c r="O9" s="14">
        <f>_xlfn.NORM.INV($AC9,$C$7,$D$7)</f>
        <v/>
      </c>
      <c r="P9" s="14">
        <f>$C$8+($D$8-$C$8)*$AD9</f>
        <v/>
      </c>
      <c r="Q9" s="14">
        <f>$C$9</f>
        <v/>
      </c>
      <c r="R9" s="14">
        <f>_xlfn.LOGNORM.INV($AF9,LN($C$10)-0.5*LN(1+($D$10/$C$10)^2),SQRT(LN(1+($D$10/$C$10)^2)))</f>
        <v/>
      </c>
      <c r="S9" s="14">
        <f>SUM(M9:R9)</f>
        <v/>
      </c>
      <c r="AA9">
        <f>RAND()</f>
        <v/>
      </c>
      <c r="AB9">
        <f>RAND()</f>
        <v/>
      </c>
      <c r="AC9">
        <f>RAND()</f>
        <v/>
      </c>
      <c r="AD9">
        <f>RAND()</f>
        <v/>
      </c>
      <c r="AE9">
        <f>RAND()</f>
        <v/>
      </c>
      <c r="AF9">
        <f>RAND()</f>
        <v/>
      </c>
    </row>
    <row r="10">
      <c r="A10" s="9" t="inlineStr">
        <is>
          <t>Risk Reserve</t>
        </is>
      </c>
      <c r="B10" s="9" t="inlineStr">
        <is>
          <t>lognormal</t>
        </is>
      </c>
      <c r="C10" s="10" t="n">
        <v>8000</v>
      </c>
      <c r="D10" s="10" t="n">
        <v>4000</v>
      </c>
      <c r="E10" s="10" t="n"/>
      <c r="F10" s="11">
        <f>C10</f>
        <v/>
      </c>
      <c r="M10" s="14">
        <f>_xlfn.BETA.INV($AA10,1+4*($D$5-$C$5)/($E$5-$C$5),1+4*($E$5-$D$5)/($E$5-$C$5),$C$5,$E$5)</f>
        <v/>
      </c>
      <c r="N10" s="14">
        <f>IF($AB10&lt;($D$6-$C$6)/($E$6-$C$6),$C$6+SQRT($AB10*($E$6-$C$6)*($D$6-$C$6)),$E$6-SQRT((1-$AB10)*($E$6-$C$6)*($E$6-$D$6)))</f>
        <v/>
      </c>
      <c r="O10" s="14">
        <f>_xlfn.NORM.INV($AC10,$C$7,$D$7)</f>
        <v/>
      </c>
      <c r="P10" s="14">
        <f>$C$8+($D$8-$C$8)*$AD10</f>
        <v/>
      </c>
      <c r="Q10" s="14">
        <f>$C$9</f>
        <v/>
      </c>
      <c r="R10" s="14">
        <f>_xlfn.LOGNORM.INV($AF10,LN($C$10)-0.5*LN(1+($D$10/$C$10)^2),SQRT(LN(1+($D$10/$C$10)^2)))</f>
        <v/>
      </c>
      <c r="S10" s="14">
        <f>SUM(M10:R10)</f>
        <v/>
      </c>
      <c r="AA10">
        <f>RAND()</f>
        <v/>
      </c>
      <c r="AB10">
        <f>RAND()</f>
        <v/>
      </c>
      <c r="AC10">
        <f>RAND()</f>
        <v/>
      </c>
      <c r="AD10">
        <f>RAND()</f>
        <v/>
      </c>
      <c r="AE10">
        <f>RAND()</f>
        <v/>
      </c>
      <c r="AF10">
        <f>RAND()</f>
        <v/>
      </c>
    </row>
    <row r="11">
      <c r="A11" s="16" t="inlineStr">
        <is>
          <t>Base estimate</t>
        </is>
      </c>
      <c r="F11" s="17">
        <f>SUM(F5:F10)</f>
        <v/>
      </c>
      <c r="M11" s="14">
        <f>_xlfn.BETA.INV($AA11,1+4*($D$5-$C$5)/($E$5-$C$5),1+4*($E$5-$D$5)/($E$5-$C$5),$C$5,$E$5)</f>
        <v/>
      </c>
      <c r="N11" s="14">
        <f>IF($AB11&lt;($D$6-$C$6)/($E$6-$C$6),$C$6+SQRT($AB11*($E$6-$C$6)*($D$6-$C$6)),$E$6-SQRT((1-$AB11)*($E$6-$C$6)*($E$6-$D$6)))</f>
        <v/>
      </c>
      <c r="O11" s="14">
        <f>_xlfn.NORM.INV($AC11,$C$7,$D$7)</f>
        <v/>
      </c>
      <c r="P11" s="14">
        <f>$C$8+($D$8-$C$8)*$AD11</f>
        <v/>
      </c>
      <c r="Q11" s="14">
        <f>$C$9</f>
        <v/>
      </c>
      <c r="R11" s="14">
        <f>_xlfn.LOGNORM.INV($AF11,LN($C$10)-0.5*LN(1+($D$10/$C$10)^2),SQRT(LN(1+($D$10/$C$10)^2)))</f>
        <v/>
      </c>
      <c r="S11" s="14">
        <f>SUM(M11:R11)</f>
        <v/>
      </c>
      <c r="AA11">
        <f>RAND()</f>
        <v/>
      </c>
      <c r="AB11">
        <f>RAND()</f>
        <v/>
      </c>
      <c r="AC11">
        <f>RAND()</f>
        <v/>
      </c>
      <c r="AD11">
        <f>RAND()</f>
        <v/>
      </c>
      <c r="AE11">
        <f>RAND()</f>
        <v/>
      </c>
      <c r="AF11">
        <f>RAND()</f>
        <v/>
      </c>
    </row>
    <row r="12">
      <c r="M12" s="14">
        <f>_xlfn.BETA.INV($AA12,1+4*($D$5-$C$5)/($E$5-$C$5),1+4*($E$5-$D$5)/($E$5-$C$5),$C$5,$E$5)</f>
        <v/>
      </c>
      <c r="N12" s="14">
        <f>IF($AB12&lt;($D$6-$C$6)/($E$6-$C$6),$C$6+SQRT($AB12*($E$6-$C$6)*($D$6-$C$6)),$E$6-SQRT((1-$AB12)*($E$6-$C$6)*($E$6-$D$6)))</f>
        <v/>
      </c>
      <c r="O12" s="14">
        <f>_xlfn.NORM.INV($AC12,$C$7,$D$7)</f>
        <v/>
      </c>
      <c r="P12" s="14">
        <f>$C$8+($D$8-$C$8)*$AD12</f>
        <v/>
      </c>
      <c r="Q12" s="14">
        <f>$C$9</f>
        <v/>
      </c>
      <c r="R12" s="14">
        <f>_xlfn.LOGNORM.INV($AF12,LN($C$10)-0.5*LN(1+($D$10/$C$10)^2),SQRT(LN(1+($D$10/$C$10)^2)))</f>
        <v/>
      </c>
      <c r="S12" s="14">
        <f>SUM(M12:R12)</f>
        <v/>
      </c>
      <c r="AA12">
        <f>RAND()</f>
        <v/>
      </c>
      <c r="AB12">
        <f>RAND()</f>
        <v/>
      </c>
      <c r="AC12">
        <f>RAND()</f>
        <v/>
      </c>
      <c r="AD12">
        <f>RAND()</f>
        <v/>
      </c>
      <c r="AE12">
        <f>RAND()</f>
        <v/>
      </c>
      <c r="AF12">
        <f>RAND()</f>
        <v/>
      </c>
    </row>
    <row r="13">
      <c r="M13" s="14">
        <f>_xlfn.BETA.INV($AA13,1+4*($D$5-$C$5)/($E$5-$C$5),1+4*($E$5-$D$5)/($E$5-$C$5),$C$5,$E$5)</f>
        <v/>
      </c>
      <c r="N13" s="14">
        <f>IF($AB13&lt;($D$6-$C$6)/($E$6-$C$6),$C$6+SQRT($AB13*($E$6-$C$6)*($D$6-$C$6)),$E$6-SQRT((1-$AB13)*($E$6-$C$6)*($E$6-$D$6)))</f>
        <v/>
      </c>
      <c r="O13" s="14">
        <f>_xlfn.NORM.INV($AC13,$C$7,$D$7)</f>
        <v/>
      </c>
      <c r="P13" s="14">
        <f>$C$8+($D$8-$C$8)*$AD13</f>
        <v/>
      </c>
      <c r="Q13" s="14">
        <f>$C$9</f>
        <v/>
      </c>
      <c r="R13" s="14">
        <f>_xlfn.LOGNORM.INV($AF13,LN($C$10)-0.5*LN(1+($D$10/$C$10)^2),SQRT(LN(1+($D$10/$C$10)^2)))</f>
        <v/>
      </c>
      <c r="S13" s="14">
        <f>SUM(M13:R13)</f>
        <v/>
      </c>
      <c r="AA13">
        <f>RAND()</f>
        <v/>
      </c>
      <c r="AB13">
        <f>RAND()</f>
        <v/>
      </c>
      <c r="AC13">
        <f>RAND()</f>
        <v/>
      </c>
      <c r="AD13">
        <f>RAND()</f>
        <v/>
      </c>
      <c r="AE13">
        <f>RAND()</f>
        <v/>
      </c>
      <c r="AF13">
        <f>RAND()</f>
        <v/>
      </c>
    </row>
    <row r="14">
      <c r="A14" s="18" t="inlineStr">
        <is>
          <t>SUMMARY  (live — press F9 to re-roll)</t>
        </is>
      </c>
      <c r="M14" s="14">
        <f>_xlfn.BETA.INV($AA14,1+4*($D$5-$C$5)/($E$5-$C$5),1+4*($E$5-$D$5)/($E$5-$C$5),$C$5,$E$5)</f>
        <v/>
      </c>
      <c r="N14" s="14">
        <f>IF($AB14&lt;($D$6-$C$6)/($E$6-$C$6),$C$6+SQRT($AB14*($E$6-$C$6)*($D$6-$C$6)),$E$6-SQRT((1-$AB14)*($E$6-$C$6)*($E$6-$D$6)))</f>
        <v/>
      </c>
      <c r="O14" s="14">
        <f>_xlfn.NORM.INV($AC14,$C$7,$D$7)</f>
        <v/>
      </c>
      <c r="P14" s="14">
        <f>$C$8+($D$8-$C$8)*$AD14</f>
        <v/>
      </c>
      <c r="Q14" s="14">
        <f>$C$9</f>
        <v/>
      </c>
      <c r="R14" s="14">
        <f>_xlfn.LOGNORM.INV($AF14,LN($C$10)-0.5*LN(1+($D$10/$C$10)^2),SQRT(LN(1+($D$10/$C$10)^2)))</f>
        <v/>
      </c>
      <c r="S14" s="14">
        <f>SUM(M14:R14)</f>
        <v/>
      </c>
      <c r="AA14">
        <f>RAND()</f>
        <v/>
      </c>
      <c r="AB14">
        <f>RAND()</f>
        <v/>
      </c>
      <c r="AC14">
        <f>RAND()</f>
        <v/>
      </c>
      <c r="AD14">
        <f>RAND()</f>
        <v/>
      </c>
      <c r="AE14">
        <f>RAND()</f>
        <v/>
      </c>
      <c r="AF14">
        <f>RAND()</f>
        <v/>
      </c>
    </row>
    <row r="15">
      <c r="A15" s="9" t="inlineStr">
        <is>
          <t>Mean (expected)</t>
        </is>
      </c>
      <c r="B15" s="19">
        <f>AVERAGE($S$5:$S$5004)</f>
        <v/>
      </c>
      <c r="M15" s="14">
        <f>_xlfn.BETA.INV($AA15,1+4*($D$5-$C$5)/($E$5-$C$5),1+4*($E$5-$D$5)/($E$5-$C$5),$C$5,$E$5)</f>
        <v/>
      </c>
      <c r="N15" s="14">
        <f>IF($AB15&lt;($D$6-$C$6)/($E$6-$C$6),$C$6+SQRT($AB15*($E$6-$C$6)*($D$6-$C$6)),$E$6-SQRT((1-$AB15)*($E$6-$C$6)*($E$6-$D$6)))</f>
        <v/>
      </c>
      <c r="O15" s="14">
        <f>_xlfn.NORM.INV($AC15,$C$7,$D$7)</f>
        <v/>
      </c>
      <c r="P15" s="14">
        <f>$C$8+($D$8-$C$8)*$AD15</f>
        <v/>
      </c>
      <c r="Q15" s="14">
        <f>$C$9</f>
        <v/>
      </c>
      <c r="R15" s="14">
        <f>_xlfn.LOGNORM.INV($AF15,LN($C$10)-0.5*LN(1+($D$10/$C$10)^2),SQRT(LN(1+($D$10/$C$10)^2)))</f>
        <v/>
      </c>
      <c r="S15" s="14">
        <f>SUM(M15:R15)</f>
        <v/>
      </c>
      <c r="AA15">
        <f>RAND()</f>
        <v/>
      </c>
      <c r="AB15">
        <f>RAND()</f>
        <v/>
      </c>
      <c r="AC15">
        <f>RAND()</f>
        <v/>
      </c>
      <c r="AD15">
        <f>RAND()</f>
        <v/>
      </c>
      <c r="AE15">
        <f>RAND()</f>
        <v/>
      </c>
      <c r="AF15">
        <f>RAND()</f>
        <v/>
      </c>
    </row>
    <row r="16">
      <c r="A16" s="9" t="inlineStr">
        <is>
          <t>Std deviation</t>
        </is>
      </c>
      <c r="B16" s="20">
        <f>_xlfn.STDEV.S($S$5:$S$5004)</f>
        <v/>
      </c>
      <c r="M16" s="14">
        <f>_xlfn.BETA.INV($AA16,1+4*($D$5-$C$5)/($E$5-$C$5),1+4*($E$5-$D$5)/($E$5-$C$5),$C$5,$E$5)</f>
        <v/>
      </c>
      <c r="N16" s="14">
        <f>IF($AB16&lt;($D$6-$C$6)/($E$6-$C$6),$C$6+SQRT($AB16*($E$6-$C$6)*($D$6-$C$6)),$E$6-SQRT((1-$AB16)*($E$6-$C$6)*($E$6-$D$6)))</f>
        <v/>
      </c>
      <c r="O16" s="14">
        <f>_xlfn.NORM.INV($AC16,$C$7,$D$7)</f>
        <v/>
      </c>
      <c r="P16" s="14">
        <f>$C$8+($D$8-$C$8)*$AD16</f>
        <v/>
      </c>
      <c r="Q16" s="14">
        <f>$C$9</f>
        <v/>
      </c>
      <c r="R16" s="14">
        <f>_xlfn.LOGNORM.INV($AF16,LN($C$10)-0.5*LN(1+($D$10/$C$10)^2),SQRT(LN(1+($D$10/$C$10)^2)))</f>
        <v/>
      </c>
      <c r="S16" s="14">
        <f>SUM(M16:R16)</f>
        <v/>
      </c>
      <c r="AA16">
        <f>RAND()</f>
        <v/>
      </c>
      <c r="AB16">
        <f>RAND()</f>
        <v/>
      </c>
      <c r="AC16">
        <f>RAND()</f>
        <v/>
      </c>
      <c r="AD16">
        <f>RAND()</f>
        <v/>
      </c>
      <c r="AE16">
        <f>RAND()</f>
        <v/>
      </c>
      <c r="AF16">
        <f>RAND()</f>
        <v/>
      </c>
    </row>
    <row r="17">
      <c r="A17" s="9" t="inlineStr">
        <is>
          <t>Minimum</t>
        </is>
      </c>
      <c r="B17" s="20">
        <f>MIN($S$5:$S$5004)</f>
        <v/>
      </c>
      <c r="M17" s="14">
        <f>_xlfn.BETA.INV($AA17,1+4*($D$5-$C$5)/($E$5-$C$5),1+4*($E$5-$D$5)/($E$5-$C$5),$C$5,$E$5)</f>
        <v/>
      </c>
      <c r="N17" s="14">
        <f>IF($AB17&lt;($D$6-$C$6)/($E$6-$C$6),$C$6+SQRT($AB17*($E$6-$C$6)*($D$6-$C$6)),$E$6-SQRT((1-$AB17)*($E$6-$C$6)*($E$6-$D$6)))</f>
        <v/>
      </c>
      <c r="O17" s="14">
        <f>_xlfn.NORM.INV($AC17,$C$7,$D$7)</f>
        <v/>
      </c>
      <c r="P17" s="14">
        <f>$C$8+($D$8-$C$8)*$AD17</f>
        <v/>
      </c>
      <c r="Q17" s="14">
        <f>$C$9</f>
        <v/>
      </c>
      <c r="R17" s="14">
        <f>_xlfn.LOGNORM.INV($AF17,LN($C$10)-0.5*LN(1+($D$10/$C$10)^2),SQRT(LN(1+($D$10/$C$10)^2)))</f>
        <v/>
      </c>
      <c r="S17" s="14">
        <f>SUM(M17:R17)</f>
        <v/>
      </c>
      <c r="AA17">
        <f>RAND()</f>
        <v/>
      </c>
      <c r="AB17">
        <f>RAND()</f>
        <v/>
      </c>
      <c r="AC17">
        <f>RAND()</f>
        <v/>
      </c>
      <c r="AD17">
        <f>RAND()</f>
        <v/>
      </c>
      <c r="AE17">
        <f>RAND()</f>
        <v/>
      </c>
      <c r="AF17">
        <f>RAND()</f>
        <v/>
      </c>
    </row>
    <row r="18">
      <c r="A18" s="9" t="inlineStr">
        <is>
          <t>Maximum</t>
        </is>
      </c>
      <c r="B18" s="20">
        <f>MAX($S$5:$S$5004)</f>
        <v/>
      </c>
      <c r="M18" s="14">
        <f>_xlfn.BETA.INV($AA18,1+4*($D$5-$C$5)/($E$5-$C$5),1+4*($E$5-$D$5)/($E$5-$C$5),$C$5,$E$5)</f>
        <v/>
      </c>
      <c r="N18" s="14">
        <f>IF($AB18&lt;($D$6-$C$6)/($E$6-$C$6),$C$6+SQRT($AB18*($E$6-$C$6)*($D$6-$C$6)),$E$6-SQRT((1-$AB18)*($E$6-$C$6)*($E$6-$D$6)))</f>
        <v/>
      </c>
      <c r="O18" s="14">
        <f>_xlfn.NORM.INV($AC18,$C$7,$D$7)</f>
        <v/>
      </c>
      <c r="P18" s="14">
        <f>$C$8+($D$8-$C$8)*$AD18</f>
        <v/>
      </c>
      <c r="Q18" s="14">
        <f>$C$9</f>
        <v/>
      </c>
      <c r="R18" s="14">
        <f>_xlfn.LOGNORM.INV($AF18,LN($C$10)-0.5*LN(1+($D$10/$C$10)^2),SQRT(LN(1+($D$10/$C$10)^2)))</f>
        <v/>
      </c>
      <c r="S18" s="14">
        <f>SUM(M18:R18)</f>
        <v/>
      </c>
      <c r="AA18">
        <f>RAND()</f>
        <v/>
      </c>
      <c r="AB18">
        <f>RAND()</f>
        <v/>
      </c>
      <c r="AC18">
        <f>RAND()</f>
        <v/>
      </c>
      <c r="AD18">
        <f>RAND()</f>
        <v/>
      </c>
      <c r="AE18">
        <f>RAND()</f>
        <v/>
      </c>
      <c r="AF18">
        <f>RAND()</f>
        <v/>
      </c>
    </row>
    <row r="19">
      <c r="A19" s="9" t="inlineStr">
        <is>
          <t>P10  (optimistic)</t>
        </is>
      </c>
      <c r="B19" s="20">
        <f>_xlfn.PERCENTILE.INC($S$5:$S$5004,0.1)</f>
        <v/>
      </c>
      <c r="M19" s="14">
        <f>_xlfn.BETA.INV($AA19,1+4*($D$5-$C$5)/($E$5-$C$5),1+4*($E$5-$D$5)/($E$5-$C$5),$C$5,$E$5)</f>
        <v/>
      </c>
      <c r="N19" s="14">
        <f>IF($AB19&lt;($D$6-$C$6)/($E$6-$C$6),$C$6+SQRT($AB19*($E$6-$C$6)*($D$6-$C$6)),$E$6-SQRT((1-$AB19)*($E$6-$C$6)*($E$6-$D$6)))</f>
        <v/>
      </c>
      <c r="O19" s="14">
        <f>_xlfn.NORM.INV($AC19,$C$7,$D$7)</f>
        <v/>
      </c>
      <c r="P19" s="14">
        <f>$C$8+($D$8-$C$8)*$AD19</f>
        <v/>
      </c>
      <c r="Q19" s="14">
        <f>$C$9</f>
        <v/>
      </c>
      <c r="R19" s="14">
        <f>_xlfn.LOGNORM.INV($AF19,LN($C$10)-0.5*LN(1+($D$10/$C$10)^2),SQRT(LN(1+($D$10/$C$10)^2)))</f>
        <v/>
      </c>
      <c r="S19" s="14">
        <f>SUM(M19:R19)</f>
        <v/>
      </c>
      <c r="AA19">
        <f>RAND()</f>
        <v/>
      </c>
      <c r="AB19">
        <f>RAND()</f>
        <v/>
      </c>
      <c r="AC19">
        <f>RAND()</f>
        <v/>
      </c>
      <c r="AD19">
        <f>RAND()</f>
        <v/>
      </c>
      <c r="AE19">
        <f>RAND()</f>
        <v/>
      </c>
      <c r="AF19">
        <f>RAND()</f>
        <v/>
      </c>
    </row>
    <row r="20">
      <c r="A20" s="9" t="inlineStr">
        <is>
          <t>P50  (median)</t>
        </is>
      </c>
      <c r="B20" s="20">
        <f>_xlfn.PERCENTILE.INC($S$5:$S$5004,0.5)</f>
        <v/>
      </c>
      <c r="M20" s="14">
        <f>_xlfn.BETA.INV($AA20,1+4*($D$5-$C$5)/($E$5-$C$5),1+4*($E$5-$D$5)/($E$5-$C$5),$C$5,$E$5)</f>
        <v/>
      </c>
      <c r="N20" s="14">
        <f>IF($AB20&lt;($D$6-$C$6)/($E$6-$C$6),$C$6+SQRT($AB20*($E$6-$C$6)*($D$6-$C$6)),$E$6-SQRT((1-$AB20)*($E$6-$C$6)*($E$6-$D$6)))</f>
        <v/>
      </c>
      <c r="O20" s="14">
        <f>_xlfn.NORM.INV($AC20,$C$7,$D$7)</f>
        <v/>
      </c>
      <c r="P20" s="14">
        <f>$C$8+($D$8-$C$8)*$AD20</f>
        <v/>
      </c>
      <c r="Q20" s="14">
        <f>$C$9</f>
        <v/>
      </c>
      <c r="R20" s="14">
        <f>_xlfn.LOGNORM.INV($AF20,LN($C$10)-0.5*LN(1+($D$10/$C$10)^2),SQRT(LN(1+($D$10/$C$10)^2)))</f>
        <v/>
      </c>
      <c r="S20" s="14">
        <f>SUM(M20:R20)</f>
        <v/>
      </c>
      <c r="AA20">
        <f>RAND()</f>
        <v/>
      </c>
      <c r="AB20">
        <f>RAND()</f>
        <v/>
      </c>
      <c r="AC20">
        <f>RAND()</f>
        <v/>
      </c>
      <c r="AD20">
        <f>RAND()</f>
        <v/>
      </c>
      <c r="AE20">
        <f>RAND()</f>
        <v/>
      </c>
      <c r="AF20">
        <f>RAND()</f>
        <v/>
      </c>
    </row>
    <row r="21">
      <c r="A21" s="9" t="inlineStr">
        <is>
          <t>P80  (conservative)</t>
        </is>
      </c>
      <c r="B21" s="20">
        <f>_xlfn.PERCENTILE.INC($S$5:$S$5004,0.8)</f>
        <v/>
      </c>
      <c r="M21" s="14">
        <f>_xlfn.BETA.INV($AA21,1+4*($D$5-$C$5)/($E$5-$C$5),1+4*($E$5-$D$5)/($E$5-$C$5),$C$5,$E$5)</f>
        <v/>
      </c>
      <c r="N21" s="14">
        <f>IF($AB21&lt;($D$6-$C$6)/($E$6-$C$6),$C$6+SQRT($AB21*($E$6-$C$6)*($D$6-$C$6)),$E$6-SQRT((1-$AB21)*($E$6-$C$6)*($E$6-$D$6)))</f>
        <v/>
      </c>
      <c r="O21" s="14">
        <f>_xlfn.NORM.INV($AC21,$C$7,$D$7)</f>
        <v/>
      </c>
      <c r="P21" s="14">
        <f>$C$8+($D$8-$C$8)*$AD21</f>
        <v/>
      </c>
      <c r="Q21" s="14">
        <f>$C$9</f>
        <v/>
      </c>
      <c r="R21" s="14">
        <f>_xlfn.LOGNORM.INV($AF21,LN($C$10)-0.5*LN(1+($D$10/$C$10)^2),SQRT(LN(1+($D$10/$C$10)^2)))</f>
        <v/>
      </c>
      <c r="S21" s="14">
        <f>SUM(M21:R21)</f>
        <v/>
      </c>
      <c r="AA21">
        <f>RAND()</f>
        <v/>
      </c>
      <c r="AB21">
        <f>RAND()</f>
        <v/>
      </c>
      <c r="AC21">
        <f>RAND()</f>
        <v/>
      </c>
      <c r="AD21">
        <f>RAND()</f>
        <v/>
      </c>
      <c r="AE21">
        <f>RAND()</f>
        <v/>
      </c>
      <c r="AF21">
        <f>RAND()</f>
        <v/>
      </c>
    </row>
    <row r="22">
      <c r="A22" s="9" t="inlineStr">
        <is>
          <t>P90</t>
        </is>
      </c>
      <c r="B22" s="20">
        <f>_xlfn.PERCENTILE.INC($S$5:$S$5004,0.9)</f>
        <v/>
      </c>
      <c r="M22" s="14">
        <f>_xlfn.BETA.INV($AA22,1+4*($D$5-$C$5)/($E$5-$C$5),1+4*($E$5-$D$5)/($E$5-$C$5),$C$5,$E$5)</f>
        <v/>
      </c>
      <c r="N22" s="14">
        <f>IF($AB22&lt;($D$6-$C$6)/($E$6-$C$6),$C$6+SQRT($AB22*($E$6-$C$6)*($D$6-$C$6)),$E$6-SQRT((1-$AB22)*($E$6-$C$6)*($E$6-$D$6)))</f>
        <v/>
      </c>
      <c r="O22" s="14">
        <f>_xlfn.NORM.INV($AC22,$C$7,$D$7)</f>
        <v/>
      </c>
      <c r="P22" s="14">
        <f>$C$8+($D$8-$C$8)*$AD22</f>
        <v/>
      </c>
      <c r="Q22" s="14">
        <f>$C$9</f>
        <v/>
      </c>
      <c r="R22" s="14">
        <f>_xlfn.LOGNORM.INV($AF22,LN($C$10)-0.5*LN(1+($D$10/$C$10)^2),SQRT(LN(1+($D$10/$C$10)^2)))</f>
        <v/>
      </c>
      <c r="S22" s="14">
        <f>SUM(M22:R22)</f>
        <v/>
      </c>
      <c r="AA22">
        <f>RAND()</f>
        <v/>
      </c>
      <c r="AB22">
        <f>RAND()</f>
        <v/>
      </c>
      <c r="AC22">
        <f>RAND()</f>
        <v/>
      </c>
      <c r="AD22">
        <f>RAND()</f>
        <v/>
      </c>
      <c r="AE22">
        <f>RAND()</f>
        <v/>
      </c>
      <c r="AF22">
        <f>RAND()</f>
        <v/>
      </c>
    </row>
    <row r="23">
      <c r="A23" s="9" t="inlineStr">
        <is>
          <t>P95</t>
        </is>
      </c>
      <c r="B23" s="20">
        <f>_xlfn.PERCENTILE.INC($S$5:$S$5004,0.95)</f>
        <v/>
      </c>
      <c r="M23" s="14">
        <f>_xlfn.BETA.INV($AA23,1+4*($D$5-$C$5)/($E$5-$C$5),1+4*($E$5-$D$5)/($E$5-$C$5),$C$5,$E$5)</f>
        <v/>
      </c>
      <c r="N23" s="14">
        <f>IF($AB23&lt;($D$6-$C$6)/($E$6-$C$6),$C$6+SQRT($AB23*($E$6-$C$6)*($D$6-$C$6)),$E$6-SQRT((1-$AB23)*($E$6-$C$6)*($E$6-$D$6)))</f>
        <v/>
      </c>
      <c r="O23" s="14">
        <f>_xlfn.NORM.INV($AC23,$C$7,$D$7)</f>
        <v/>
      </c>
      <c r="P23" s="14">
        <f>$C$8+($D$8-$C$8)*$AD23</f>
        <v/>
      </c>
      <c r="Q23" s="14">
        <f>$C$9</f>
        <v/>
      </c>
      <c r="R23" s="14">
        <f>_xlfn.LOGNORM.INV($AF23,LN($C$10)-0.5*LN(1+($D$10/$C$10)^2),SQRT(LN(1+($D$10/$C$10)^2)))</f>
        <v/>
      </c>
      <c r="S23" s="14">
        <f>SUM(M23:R23)</f>
        <v/>
      </c>
      <c r="AA23">
        <f>RAND()</f>
        <v/>
      </c>
      <c r="AB23">
        <f>RAND()</f>
        <v/>
      </c>
      <c r="AC23">
        <f>RAND()</f>
        <v/>
      </c>
      <c r="AD23">
        <f>RAND()</f>
        <v/>
      </c>
      <c r="AE23">
        <f>RAND()</f>
        <v/>
      </c>
      <c r="AF23">
        <f>RAND()</f>
        <v/>
      </c>
    </row>
    <row r="24">
      <c r="A24" s="9" t="inlineStr">
        <is>
          <t>Recommended @ 80%</t>
        </is>
      </c>
      <c r="B24" s="19">
        <f>_xlfn.PERCENTILE.INC($S$5:$S$5004,$I$7)</f>
        <v/>
      </c>
      <c r="M24" s="14">
        <f>_xlfn.BETA.INV($AA24,1+4*($D$5-$C$5)/($E$5-$C$5),1+4*($E$5-$D$5)/($E$5-$C$5),$C$5,$E$5)</f>
        <v/>
      </c>
      <c r="N24" s="14">
        <f>IF($AB24&lt;($D$6-$C$6)/($E$6-$C$6),$C$6+SQRT($AB24*($E$6-$C$6)*($D$6-$C$6)),$E$6-SQRT((1-$AB24)*($E$6-$C$6)*($E$6-$D$6)))</f>
        <v/>
      </c>
      <c r="O24" s="14">
        <f>_xlfn.NORM.INV($AC24,$C$7,$D$7)</f>
        <v/>
      </c>
      <c r="P24" s="14">
        <f>$C$8+($D$8-$C$8)*$AD24</f>
        <v/>
      </c>
      <c r="Q24" s="14">
        <f>$C$9</f>
        <v/>
      </c>
      <c r="R24" s="14">
        <f>_xlfn.LOGNORM.INV($AF24,LN($C$10)-0.5*LN(1+($D$10/$C$10)^2),SQRT(LN(1+($D$10/$C$10)^2)))</f>
        <v/>
      </c>
      <c r="S24" s="14">
        <f>SUM(M24:R24)</f>
        <v/>
      </c>
      <c r="AA24">
        <f>RAND()</f>
        <v/>
      </c>
      <c r="AB24">
        <f>RAND()</f>
        <v/>
      </c>
      <c r="AC24">
        <f>RAND()</f>
        <v/>
      </c>
      <c r="AD24">
        <f>RAND()</f>
        <v/>
      </c>
      <c r="AE24">
        <f>RAND()</f>
        <v/>
      </c>
      <c r="AF24">
        <f>RAND()</f>
        <v/>
      </c>
    </row>
    <row r="25">
      <c r="A25" s="9" t="inlineStr">
        <is>
          <t>Contingency vs base</t>
        </is>
      </c>
      <c r="B25" s="20">
        <f>_xlfn.PERCENTILE.INC($S$5:$S$5004,$I$7)-F11</f>
        <v/>
      </c>
      <c r="M25" s="14">
        <f>_xlfn.BETA.INV($AA25,1+4*($D$5-$C$5)/($E$5-$C$5),1+4*($E$5-$D$5)/($E$5-$C$5),$C$5,$E$5)</f>
        <v/>
      </c>
      <c r="N25" s="14">
        <f>IF($AB25&lt;($D$6-$C$6)/($E$6-$C$6),$C$6+SQRT($AB25*($E$6-$C$6)*($D$6-$C$6)),$E$6-SQRT((1-$AB25)*($E$6-$C$6)*($E$6-$D$6)))</f>
        <v/>
      </c>
      <c r="O25" s="14">
        <f>_xlfn.NORM.INV($AC25,$C$7,$D$7)</f>
        <v/>
      </c>
      <c r="P25" s="14">
        <f>$C$8+($D$8-$C$8)*$AD25</f>
        <v/>
      </c>
      <c r="Q25" s="14">
        <f>$C$9</f>
        <v/>
      </c>
      <c r="R25" s="14">
        <f>_xlfn.LOGNORM.INV($AF25,LN($C$10)-0.5*LN(1+($D$10/$C$10)^2),SQRT(LN(1+($D$10/$C$10)^2)))</f>
        <v/>
      </c>
      <c r="S25" s="14">
        <f>SUM(M25:R25)</f>
        <v/>
      </c>
      <c r="AA25">
        <f>RAND()</f>
        <v/>
      </c>
      <c r="AB25">
        <f>RAND()</f>
        <v/>
      </c>
      <c r="AC25">
        <f>RAND()</f>
        <v/>
      </c>
      <c r="AD25">
        <f>RAND()</f>
        <v/>
      </c>
      <c r="AE25">
        <f>RAND()</f>
        <v/>
      </c>
      <c r="AF25">
        <f>RAND()</f>
        <v/>
      </c>
    </row>
    <row r="26">
      <c r="A26" s="9" t="inlineStr">
        <is>
          <t>P(cost &lt;= budget)</t>
        </is>
      </c>
      <c r="B26" s="21">
        <f>COUNTIF($S$5:$S$5004,"&lt;="&amp;$I$6)/5000</f>
        <v/>
      </c>
      <c r="M26" s="14">
        <f>_xlfn.BETA.INV($AA26,1+4*($D$5-$C$5)/($E$5-$C$5),1+4*($E$5-$D$5)/($E$5-$C$5),$C$5,$E$5)</f>
        <v/>
      </c>
      <c r="N26" s="14">
        <f>IF($AB26&lt;($D$6-$C$6)/($E$6-$C$6),$C$6+SQRT($AB26*($E$6-$C$6)*($D$6-$C$6)),$E$6-SQRT((1-$AB26)*($E$6-$C$6)*($E$6-$D$6)))</f>
        <v/>
      </c>
      <c r="O26" s="14">
        <f>_xlfn.NORM.INV($AC26,$C$7,$D$7)</f>
        <v/>
      </c>
      <c r="P26" s="14">
        <f>$C$8+($D$8-$C$8)*$AD26</f>
        <v/>
      </c>
      <c r="Q26" s="14">
        <f>$C$9</f>
        <v/>
      </c>
      <c r="R26" s="14">
        <f>_xlfn.LOGNORM.INV($AF26,LN($C$10)-0.5*LN(1+($D$10/$C$10)^2),SQRT(LN(1+($D$10/$C$10)^2)))</f>
        <v/>
      </c>
      <c r="S26" s="14">
        <f>SUM(M26:R26)</f>
        <v/>
      </c>
      <c r="AA26">
        <f>RAND()</f>
        <v/>
      </c>
      <c r="AB26">
        <f>RAND()</f>
        <v/>
      </c>
      <c r="AC26">
        <f>RAND()</f>
        <v/>
      </c>
      <c r="AD26">
        <f>RAND()</f>
        <v/>
      </c>
      <c r="AE26">
        <f>RAND()</f>
        <v/>
      </c>
      <c r="AF26">
        <f>RAND()</f>
        <v/>
      </c>
    </row>
    <row r="27">
      <c r="M27" s="14">
        <f>_xlfn.BETA.INV($AA27,1+4*($D$5-$C$5)/($E$5-$C$5),1+4*($E$5-$D$5)/($E$5-$C$5),$C$5,$E$5)</f>
        <v/>
      </c>
      <c r="N27" s="14">
        <f>IF($AB27&lt;($D$6-$C$6)/($E$6-$C$6),$C$6+SQRT($AB27*($E$6-$C$6)*($D$6-$C$6)),$E$6-SQRT((1-$AB27)*($E$6-$C$6)*($E$6-$D$6)))</f>
        <v/>
      </c>
      <c r="O27" s="14">
        <f>_xlfn.NORM.INV($AC27,$C$7,$D$7)</f>
        <v/>
      </c>
      <c r="P27" s="14">
        <f>$C$8+($D$8-$C$8)*$AD27</f>
        <v/>
      </c>
      <c r="Q27" s="14">
        <f>$C$9</f>
        <v/>
      </c>
      <c r="R27" s="14">
        <f>_xlfn.LOGNORM.INV($AF27,LN($C$10)-0.5*LN(1+($D$10/$C$10)^2),SQRT(LN(1+($D$10/$C$10)^2)))</f>
        <v/>
      </c>
      <c r="S27" s="14">
        <f>SUM(M27:R27)</f>
        <v/>
      </c>
      <c r="AA27">
        <f>RAND()</f>
        <v/>
      </c>
      <c r="AB27">
        <f>RAND()</f>
        <v/>
      </c>
      <c r="AC27">
        <f>RAND()</f>
        <v/>
      </c>
      <c r="AD27">
        <f>RAND()</f>
        <v/>
      </c>
      <c r="AE27">
        <f>RAND()</f>
        <v/>
      </c>
      <c r="AF27">
        <f>RAND()</f>
        <v/>
      </c>
    </row>
    <row r="28">
      <c r="M28" s="14">
        <f>_xlfn.BETA.INV($AA28,1+4*($D$5-$C$5)/($E$5-$C$5),1+4*($E$5-$D$5)/($E$5-$C$5),$C$5,$E$5)</f>
        <v/>
      </c>
      <c r="N28" s="14">
        <f>IF($AB28&lt;($D$6-$C$6)/($E$6-$C$6),$C$6+SQRT($AB28*($E$6-$C$6)*($D$6-$C$6)),$E$6-SQRT((1-$AB28)*($E$6-$C$6)*($E$6-$D$6)))</f>
        <v/>
      </c>
      <c r="O28" s="14">
        <f>_xlfn.NORM.INV($AC28,$C$7,$D$7)</f>
        <v/>
      </c>
      <c r="P28" s="14">
        <f>$C$8+($D$8-$C$8)*$AD28</f>
        <v/>
      </c>
      <c r="Q28" s="14">
        <f>$C$9</f>
        <v/>
      </c>
      <c r="R28" s="14">
        <f>_xlfn.LOGNORM.INV($AF28,LN($C$10)-0.5*LN(1+($D$10/$C$10)^2),SQRT(LN(1+($D$10/$C$10)^2)))</f>
        <v/>
      </c>
      <c r="S28" s="14">
        <f>SUM(M28:R28)</f>
        <v/>
      </c>
      <c r="AA28">
        <f>RAND()</f>
        <v/>
      </c>
      <c r="AB28">
        <f>RAND()</f>
        <v/>
      </c>
      <c r="AC28">
        <f>RAND()</f>
        <v/>
      </c>
      <c r="AD28">
        <f>RAND()</f>
        <v/>
      </c>
      <c r="AE28">
        <f>RAND()</f>
        <v/>
      </c>
      <c r="AF28">
        <f>RAND()</f>
        <v/>
      </c>
    </row>
    <row r="29">
      <c r="M29" s="14">
        <f>_xlfn.BETA.INV($AA29,1+4*($D$5-$C$5)/($E$5-$C$5),1+4*($E$5-$D$5)/($E$5-$C$5),$C$5,$E$5)</f>
        <v/>
      </c>
      <c r="N29" s="14">
        <f>IF($AB29&lt;($D$6-$C$6)/($E$6-$C$6),$C$6+SQRT($AB29*($E$6-$C$6)*($D$6-$C$6)),$E$6-SQRT((1-$AB29)*($E$6-$C$6)*($E$6-$D$6)))</f>
        <v/>
      </c>
      <c r="O29" s="14">
        <f>_xlfn.NORM.INV($AC29,$C$7,$D$7)</f>
        <v/>
      </c>
      <c r="P29" s="14">
        <f>$C$8+($D$8-$C$8)*$AD29</f>
        <v/>
      </c>
      <c r="Q29" s="14">
        <f>$C$9</f>
        <v/>
      </c>
      <c r="R29" s="14">
        <f>_xlfn.LOGNORM.INV($AF29,LN($C$10)-0.5*LN(1+($D$10/$C$10)^2),SQRT(LN(1+($D$10/$C$10)^2)))</f>
        <v/>
      </c>
      <c r="S29" s="14">
        <f>SUM(M29:R29)</f>
        <v/>
      </c>
      <c r="AA29">
        <f>RAND()</f>
        <v/>
      </c>
      <c r="AB29">
        <f>RAND()</f>
        <v/>
      </c>
      <c r="AC29">
        <f>RAND()</f>
        <v/>
      </c>
      <c r="AD29">
        <f>RAND()</f>
        <v/>
      </c>
      <c r="AE29">
        <f>RAND()</f>
        <v/>
      </c>
      <c r="AF29">
        <f>RAND()</f>
        <v/>
      </c>
    </row>
    <row r="30">
      <c r="M30" s="14">
        <f>_xlfn.BETA.INV($AA30,1+4*($D$5-$C$5)/($E$5-$C$5),1+4*($E$5-$D$5)/($E$5-$C$5),$C$5,$E$5)</f>
        <v/>
      </c>
      <c r="N30" s="14">
        <f>IF($AB30&lt;($D$6-$C$6)/($E$6-$C$6),$C$6+SQRT($AB30*($E$6-$C$6)*($D$6-$C$6)),$E$6-SQRT((1-$AB30)*($E$6-$C$6)*($E$6-$D$6)))</f>
        <v/>
      </c>
      <c r="O30" s="14">
        <f>_xlfn.NORM.INV($AC30,$C$7,$D$7)</f>
        <v/>
      </c>
      <c r="P30" s="14">
        <f>$C$8+($D$8-$C$8)*$AD30</f>
        <v/>
      </c>
      <c r="Q30" s="14">
        <f>$C$9</f>
        <v/>
      </c>
      <c r="R30" s="14">
        <f>_xlfn.LOGNORM.INV($AF30,LN($C$10)-0.5*LN(1+($D$10/$C$10)^2),SQRT(LN(1+($D$10/$C$10)^2)))</f>
        <v/>
      </c>
      <c r="S30" s="14">
        <f>SUM(M30:R30)</f>
        <v/>
      </c>
      <c r="AA30">
        <f>RAND()</f>
        <v/>
      </c>
      <c r="AB30">
        <f>RAND()</f>
        <v/>
      </c>
      <c r="AC30">
        <f>RAND()</f>
        <v/>
      </c>
      <c r="AD30">
        <f>RAND()</f>
        <v/>
      </c>
      <c r="AE30">
        <f>RAND()</f>
        <v/>
      </c>
      <c r="AF30">
        <f>RAND()</f>
        <v/>
      </c>
    </row>
    <row r="31">
      <c r="M31" s="14">
        <f>_xlfn.BETA.INV($AA31,1+4*($D$5-$C$5)/($E$5-$C$5),1+4*($E$5-$D$5)/($E$5-$C$5),$C$5,$E$5)</f>
        <v/>
      </c>
      <c r="N31" s="14">
        <f>IF($AB31&lt;($D$6-$C$6)/($E$6-$C$6),$C$6+SQRT($AB31*($E$6-$C$6)*($D$6-$C$6)),$E$6-SQRT((1-$AB31)*($E$6-$C$6)*($E$6-$D$6)))</f>
        <v/>
      </c>
      <c r="O31" s="14">
        <f>_xlfn.NORM.INV($AC31,$C$7,$D$7)</f>
        <v/>
      </c>
      <c r="P31" s="14">
        <f>$C$8+($D$8-$C$8)*$AD31</f>
        <v/>
      </c>
      <c r="Q31" s="14">
        <f>$C$9</f>
        <v/>
      </c>
      <c r="R31" s="14">
        <f>_xlfn.LOGNORM.INV($AF31,LN($C$10)-0.5*LN(1+($D$10/$C$10)^2),SQRT(LN(1+($D$10/$C$10)^2)))</f>
        <v/>
      </c>
      <c r="S31" s="14">
        <f>SUM(M31:R31)</f>
        <v/>
      </c>
      <c r="AA31">
        <f>RAND()</f>
        <v/>
      </c>
      <c r="AB31">
        <f>RAND()</f>
        <v/>
      </c>
      <c r="AC31">
        <f>RAND()</f>
        <v/>
      </c>
      <c r="AD31">
        <f>RAND()</f>
        <v/>
      </c>
      <c r="AE31">
        <f>RAND()</f>
        <v/>
      </c>
      <c r="AF31">
        <f>RAND()</f>
        <v/>
      </c>
    </row>
    <row r="32">
      <c r="M32" s="14">
        <f>_xlfn.BETA.INV($AA32,1+4*($D$5-$C$5)/($E$5-$C$5),1+4*($E$5-$D$5)/($E$5-$C$5),$C$5,$E$5)</f>
        <v/>
      </c>
      <c r="N32" s="14">
        <f>IF($AB32&lt;($D$6-$C$6)/($E$6-$C$6),$C$6+SQRT($AB32*($E$6-$C$6)*($D$6-$C$6)),$E$6-SQRT((1-$AB32)*($E$6-$C$6)*($E$6-$D$6)))</f>
        <v/>
      </c>
      <c r="O32" s="14">
        <f>_xlfn.NORM.INV($AC32,$C$7,$D$7)</f>
        <v/>
      </c>
      <c r="P32" s="14">
        <f>$C$8+($D$8-$C$8)*$AD32</f>
        <v/>
      </c>
      <c r="Q32" s="14">
        <f>$C$9</f>
        <v/>
      </c>
      <c r="R32" s="14">
        <f>_xlfn.LOGNORM.INV($AF32,LN($C$10)-0.5*LN(1+($D$10/$C$10)^2),SQRT(LN(1+($D$10/$C$10)^2)))</f>
        <v/>
      </c>
      <c r="S32" s="14">
        <f>SUM(M32:R32)</f>
        <v/>
      </c>
      <c r="AA32">
        <f>RAND()</f>
        <v/>
      </c>
      <c r="AB32">
        <f>RAND()</f>
        <v/>
      </c>
      <c r="AC32">
        <f>RAND()</f>
        <v/>
      </c>
      <c r="AD32">
        <f>RAND()</f>
        <v/>
      </c>
      <c r="AE32">
        <f>RAND()</f>
        <v/>
      </c>
      <c r="AF32">
        <f>RAND()</f>
        <v/>
      </c>
    </row>
    <row r="33">
      <c r="M33" s="14">
        <f>_xlfn.BETA.INV($AA33,1+4*($D$5-$C$5)/($E$5-$C$5),1+4*($E$5-$D$5)/($E$5-$C$5),$C$5,$E$5)</f>
        <v/>
      </c>
      <c r="N33" s="14">
        <f>IF($AB33&lt;($D$6-$C$6)/($E$6-$C$6),$C$6+SQRT($AB33*($E$6-$C$6)*($D$6-$C$6)),$E$6-SQRT((1-$AB33)*($E$6-$C$6)*($E$6-$D$6)))</f>
        <v/>
      </c>
      <c r="O33" s="14">
        <f>_xlfn.NORM.INV($AC33,$C$7,$D$7)</f>
        <v/>
      </c>
      <c r="P33" s="14">
        <f>$C$8+($D$8-$C$8)*$AD33</f>
        <v/>
      </c>
      <c r="Q33" s="14">
        <f>$C$9</f>
        <v/>
      </c>
      <c r="R33" s="14">
        <f>_xlfn.LOGNORM.INV($AF33,LN($C$10)-0.5*LN(1+($D$10/$C$10)^2),SQRT(LN(1+($D$10/$C$10)^2)))</f>
        <v/>
      </c>
      <c r="S33" s="14">
        <f>SUM(M33:R33)</f>
        <v/>
      </c>
      <c r="AA33">
        <f>RAND()</f>
        <v/>
      </c>
      <c r="AB33">
        <f>RAND()</f>
        <v/>
      </c>
      <c r="AC33">
        <f>RAND()</f>
        <v/>
      </c>
      <c r="AD33">
        <f>RAND()</f>
        <v/>
      </c>
      <c r="AE33">
        <f>RAND()</f>
        <v/>
      </c>
      <c r="AF33">
        <f>RAND()</f>
        <v/>
      </c>
    </row>
    <row r="34">
      <c r="M34" s="14">
        <f>_xlfn.BETA.INV($AA34,1+4*($D$5-$C$5)/($E$5-$C$5),1+4*($E$5-$D$5)/($E$5-$C$5),$C$5,$E$5)</f>
        <v/>
      </c>
      <c r="N34" s="14">
        <f>IF($AB34&lt;($D$6-$C$6)/($E$6-$C$6),$C$6+SQRT($AB34*($E$6-$C$6)*($D$6-$C$6)),$E$6-SQRT((1-$AB34)*($E$6-$C$6)*($E$6-$D$6)))</f>
        <v/>
      </c>
      <c r="O34" s="14">
        <f>_xlfn.NORM.INV($AC34,$C$7,$D$7)</f>
        <v/>
      </c>
      <c r="P34" s="14">
        <f>$C$8+($D$8-$C$8)*$AD34</f>
        <v/>
      </c>
      <c r="Q34" s="14">
        <f>$C$9</f>
        <v/>
      </c>
      <c r="R34" s="14">
        <f>_xlfn.LOGNORM.INV($AF34,LN($C$10)-0.5*LN(1+($D$10/$C$10)^2),SQRT(LN(1+($D$10/$C$10)^2)))</f>
        <v/>
      </c>
      <c r="S34" s="14">
        <f>SUM(M34:R34)</f>
        <v/>
      </c>
      <c r="AA34">
        <f>RAND()</f>
        <v/>
      </c>
      <c r="AB34">
        <f>RAND()</f>
        <v/>
      </c>
      <c r="AC34">
        <f>RAND()</f>
        <v/>
      </c>
      <c r="AD34">
        <f>RAND()</f>
        <v/>
      </c>
      <c r="AE34">
        <f>RAND()</f>
        <v/>
      </c>
      <c r="AF34">
        <f>RAND()</f>
        <v/>
      </c>
    </row>
    <row r="35">
      <c r="M35" s="14">
        <f>_xlfn.BETA.INV($AA35,1+4*($D$5-$C$5)/($E$5-$C$5),1+4*($E$5-$D$5)/($E$5-$C$5),$C$5,$E$5)</f>
        <v/>
      </c>
      <c r="N35" s="14">
        <f>IF($AB35&lt;($D$6-$C$6)/($E$6-$C$6),$C$6+SQRT($AB35*($E$6-$C$6)*($D$6-$C$6)),$E$6-SQRT((1-$AB35)*($E$6-$C$6)*($E$6-$D$6)))</f>
        <v/>
      </c>
      <c r="O35" s="14">
        <f>_xlfn.NORM.INV($AC35,$C$7,$D$7)</f>
        <v/>
      </c>
      <c r="P35" s="14">
        <f>$C$8+($D$8-$C$8)*$AD35</f>
        <v/>
      </c>
      <c r="Q35" s="14">
        <f>$C$9</f>
        <v/>
      </c>
      <c r="R35" s="14">
        <f>_xlfn.LOGNORM.INV($AF35,LN($C$10)-0.5*LN(1+($D$10/$C$10)^2),SQRT(LN(1+($D$10/$C$10)^2)))</f>
        <v/>
      </c>
      <c r="S35" s="14">
        <f>SUM(M35:R35)</f>
        <v/>
      </c>
      <c r="AA35">
        <f>RAND()</f>
        <v/>
      </c>
      <c r="AB35">
        <f>RAND()</f>
        <v/>
      </c>
      <c r="AC35">
        <f>RAND()</f>
        <v/>
      </c>
      <c r="AD35">
        <f>RAND()</f>
        <v/>
      </c>
      <c r="AE35">
        <f>RAND()</f>
        <v/>
      </c>
      <c r="AF35">
        <f>RAND()</f>
        <v/>
      </c>
    </row>
    <row r="36">
      <c r="M36" s="14">
        <f>_xlfn.BETA.INV($AA36,1+4*($D$5-$C$5)/($E$5-$C$5),1+4*($E$5-$D$5)/($E$5-$C$5),$C$5,$E$5)</f>
        <v/>
      </c>
      <c r="N36" s="14">
        <f>IF($AB36&lt;($D$6-$C$6)/($E$6-$C$6),$C$6+SQRT($AB36*($E$6-$C$6)*($D$6-$C$6)),$E$6-SQRT((1-$AB36)*($E$6-$C$6)*($E$6-$D$6)))</f>
        <v/>
      </c>
      <c r="O36" s="14">
        <f>_xlfn.NORM.INV($AC36,$C$7,$D$7)</f>
        <v/>
      </c>
      <c r="P36" s="14">
        <f>$C$8+($D$8-$C$8)*$AD36</f>
        <v/>
      </c>
      <c r="Q36" s="14">
        <f>$C$9</f>
        <v/>
      </c>
      <c r="R36" s="14">
        <f>_xlfn.LOGNORM.INV($AF36,LN($C$10)-0.5*LN(1+($D$10/$C$10)^2),SQRT(LN(1+($D$10/$C$10)^2)))</f>
        <v/>
      </c>
      <c r="S36" s="14">
        <f>SUM(M36:R36)</f>
        <v/>
      </c>
      <c r="AA36">
        <f>RAND()</f>
        <v/>
      </c>
      <c r="AB36">
        <f>RAND()</f>
        <v/>
      </c>
      <c r="AC36">
        <f>RAND()</f>
        <v/>
      </c>
      <c r="AD36">
        <f>RAND()</f>
        <v/>
      </c>
      <c r="AE36">
        <f>RAND()</f>
        <v/>
      </c>
      <c r="AF36">
        <f>RAND()</f>
        <v/>
      </c>
    </row>
    <row r="37">
      <c r="M37" s="14">
        <f>_xlfn.BETA.INV($AA37,1+4*($D$5-$C$5)/($E$5-$C$5),1+4*($E$5-$D$5)/($E$5-$C$5),$C$5,$E$5)</f>
        <v/>
      </c>
      <c r="N37" s="14">
        <f>IF($AB37&lt;($D$6-$C$6)/($E$6-$C$6),$C$6+SQRT($AB37*($E$6-$C$6)*($D$6-$C$6)),$E$6-SQRT((1-$AB37)*($E$6-$C$6)*($E$6-$D$6)))</f>
        <v/>
      </c>
      <c r="O37" s="14">
        <f>_xlfn.NORM.INV($AC37,$C$7,$D$7)</f>
        <v/>
      </c>
      <c r="P37" s="14">
        <f>$C$8+($D$8-$C$8)*$AD37</f>
        <v/>
      </c>
      <c r="Q37" s="14">
        <f>$C$9</f>
        <v/>
      </c>
      <c r="R37" s="14">
        <f>_xlfn.LOGNORM.INV($AF37,LN($C$10)-0.5*LN(1+($D$10/$C$10)^2),SQRT(LN(1+($D$10/$C$10)^2)))</f>
        <v/>
      </c>
      <c r="S37" s="14">
        <f>SUM(M37:R37)</f>
        <v/>
      </c>
      <c r="AA37">
        <f>RAND()</f>
        <v/>
      </c>
      <c r="AB37">
        <f>RAND()</f>
        <v/>
      </c>
      <c r="AC37">
        <f>RAND()</f>
        <v/>
      </c>
      <c r="AD37">
        <f>RAND()</f>
        <v/>
      </c>
      <c r="AE37">
        <f>RAND()</f>
        <v/>
      </c>
      <c r="AF37">
        <f>RAND()</f>
        <v/>
      </c>
    </row>
    <row r="38">
      <c r="M38" s="14">
        <f>_xlfn.BETA.INV($AA38,1+4*($D$5-$C$5)/($E$5-$C$5),1+4*($E$5-$D$5)/($E$5-$C$5),$C$5,$E$5)</f>
        <v/>
      </c>
      <c r="N38" s="14">
        <f>IF($AB38&lt;($D$6-$C$6)/($E$6-$C$6),$C$6+SQRT($AB38*($E$6-$C$6)*($D$6-$C$6)),$E$6-SQRT((1-$AB38)*($E$6-$C$6)*($E$6-$D$6)))</f>
        <v/>
      </c>
      <c r="O38" s="14">
        <f>_xlfn.NORM.INV($AC38,$C$7,$D$7)</f>
        <v/>
      </c>
      <c r="P38" s="14">
        <f>$C$8+($D$8-$C$8)*$AD38</f>
        <v/>
      </c>
      <c r="Q38" s="14">
        <f>$C$9</f>
        <v/>
      </c>
      <c r="R38" s="14">
        <f>_xlfn.LOGNORM.INV($AF38,LN($C$10)-0.5*LN(1+($D$10/$C$10)^2),SQRT(LN(1+($D$10/$C$10)^2)))</f>
        <v/>
      </c>
      <c r="S38" s="14">
        <f>SUM(M38:R38)</f>
        <v/>
      </c>
      <c r="AA38">
        <f>RAND()</f>
        <v/>
      </c>
      <c r="AB38">
        <f>RAND()</f>
        <v/>
      </c>
      <c r="AC38">
        <f>RAND()</f>
        <v/>
      </c>
      <c r="AD38">
        <f>RAND()</f>
        <v/>
      </c>
      <c r="AE38">
        <f>RAND()</f>
        <v/>
      </c>
      <c r="AF38">
        <f>RAND()</f>
        <v/>
      </c>
    </row>
    <row r="39">
      <c r="M39" s="14">
        <f>_xlfn.BETA.INV($AA39,1+4*($D$5-$C$5)/($E$5-$C$5),1+4*($E$5-$D$5)/($E$5-$C$5),$C$5,$E$5)</f>
        <v/>
      </c>
      <c r="N39" s="14">
        <f>IF($AB39&lt;($D$6-$C$6)/($E$6-$C$6),$C$6+SQRT($AB39*($E$6-$C$6)*($D$6-$C$6)),$E$6-SQRT((1-$AB39)*($E$6-$C$6)*($E$6-$D$6)))</f>
        <v/>
      </c>
      <c r="O39" s="14">
        <f>_xlfn.NORM.INV($AC39,$C$7,$D$7)</f>
        <v/>
      </c>
      <c r="P39" s="14">
        <f>$C$8+($D$8-$C$8)*$AD39</f>
        <v/>
      </c>
      <c r="Q39" s="14">
        <f>$C$9</f>
        <v/>
      </c>
      <c r="R39" s="14">
        <f>_xlfn.LOGNORM.INV($AF39,LN($C$10)-0.5*LN(1+($D$10/$C$10)^2),SQRT(LN(1+($D$10/$C$10)^2)))</f>
        <v/>
      </c>
      <c r="S39" s="14">
        <f>SUM(M39:R39)</f>
        <v/>
      </c>
      <c r="AA39">
        <f>RAND()</f>
        <v/>
      </c>
      <c r="AB39">
        <f>RAND()</f>
        <v/>
      </c>
      <c r="AC39">
        <f>RAND()</f>
        <v/>
      </c>
      <c r="AD39">
        <f>RAND()</f>
        <v/>
      </c>
      <c r="AE39">
        <f>RAND()</f>
        <v/>
      </c>
      <c r="AF39">
        <f>RAND()</f>
        <v/>
      </c>
    </row>
    <row r="40">
      <c r="M40" s="14">
        <f>_xlfn.BETA.INV($AA40,1+4*($D$5-$C$5)/($E$5-$C$5),1+4*($E$5-$D$5)/($E$5-$C$5),$C$5,$E$5)</f>
        <v/>
      </c>
      <c r="N40" s="14">
        <f>IF($AB40&lt;($D$6-$C$6)/($E$6-$C$6),$C$6+SQRT($AB40*($E$6-$C$6)*($D$6-$C$6)),$E$6-SQRT((1-$AB40)*($E$6-$C$6)*($E$6-$D$6)))</f>
        <v/>
      </c>
      <c r="O40" s="14">
        <f>_xlfn.NORM.INV($AC40,$C$7,$D$7)</f>
        <v/>
      </c>
      <c r="P40" s="14">
        <f>$C$8+($D$8-$C$8)*$AD40</f>
        <v/>
      </c>
      <c r="Q40" s="14">
        <f>$C$9</f>
        <v/>
      </c>
      <c r="R40" s="14">
        <f>_xlfn.LOGNORM.INV($AF40,LN($C$10)-0.5*LN(1+($D$10/$C$10)^2),SQRT(LN(1+($D$10/$C$10)^2)))</f>
        <v/>
      </c>
      <c r="S40" s="14">
        <f>SUM(M40:R40)</f>
        <v/>
      </c>
      <c r="AA40">
        <f>RAND()</f>
        <v/>
      </c>
      <c r="AB40">
        <f>RAND()</f>
        <v/>
      </c>
      <c r="AC40">
        <f>RAND()</f>
        <v/>
      </c>
      <c r="AD40">
        <f>RAND()</f>
        <v/>
      </c>
      <c r="AE40">
        <f>RAND()</f>
        <v/>
      </c>
      <c r="AF40">
        <f>RAND()</f>
        <v/>
      </c>
    </row>
    <row r="41">
      <c r="M41" s="14">
        <f>_xlfn.BETA.INV($AA41,1+4*($D$5-$C$5)/($E$5-$C$5),1+4*($E$5-$D$5)/($E$5-$C$5),$C$5,$E$5)</f>
        <v/>
      </c>
      <c r="N41" s="14">
        <f>IF($AB41&lt;($D$6-$C$6)/($E$6-$C$6),$C$6+SQRT($AB41*($E$6-$C$6)*($D$6-$C$6)),$E$6-SQRT((1-$AB41)*($E$6-$C$6)*($E$6-$D$6)))</f>
        <v/>
      </c>
      <c r="O41" s="14">
        <f>_xlfn.NORM.INV($AC41,$C$7,$D$7)</f>
        <v/>
      </c>
      <c r="P41" s="14">
        <f>$C$8+($D$8-$C$8)*$AD41</f>
        <v/>
      </c>
      <c r="Q41" s="14">
        <f>$C$9</f>
        <v/>
      </c>
      <c r="R41" s="14">
        <f>_xlfn.LOGNORM.INV($AF41,LN($C$10)-0.5*LN(1+($D$10/$C$10)^2),SQRT(LN(1+($D$10/$C$10)^2)))</f>
        <v/>
      </c>
      <c r="S41" s="14">
        <f>SUM(M41:R41)</f>
        <v/>
      </c>
      <c r="AA41">
        <f>RAND()</f>
        <v/>
      </c>
      <c r="AB41">
        <f>RAND()</f>
        <v/>
      </c>
      <c r="AC41">
        <f>RAND()</f>
        <v/>
      </c>
      <c r="AD41">
        <f>RAND()</f>
        <v/>
      </c>
      <c r="AE41">
        <f>RAND()</f>
        <v/>
      </c>
      <c r="AF41">
        <f>RAND()</f>
        <v/>
      </c>
    </row>
    <row r="42">
      <c r="M42" s="14">
        <f>_xlfn.BETA.INV($AA42,1+4*($D$5-$C$5)/($E$5-$C$5),1+4*($E$5-$D$5)/($E$5-$C$5),$C$5,$E$5)</f>
        <v/>
      </c>
      <c r="N42" s="14">
        <f>IF($AB42&lt;($D$6-$C$6)/($E$6-$C$6),$C$6+SQRT($AB42*($E$6-$C$6)*($D$6-$C$6)),$E$6-SQRT((1-$AB42)*($E$6-$C$6)*($E$6-$D$6)))</f>
        <v/>
      </c>
      <c r="O42" s="14">
        <f>_xlfn.NORM.INV($AC42,$C$7,$D$7)</f>
        <v/>
      </c>
      <c r="P42" s="14">
        <f>$C$8+($D$8-$C$8)*$AD42</f>
        <v/>
      </c>
      <c r="Q42" s="14">
        <f>$C$9</f>
        <v/>
      </c>
      <c r="R42" s="14">
        <f>_xlfn.LOGNORM.INV($AF42,LN($C$10)-0.5*LN(1+($D$10/$C$10)^2),SQRT(LN(1+($D$10/$C$10)^2)))</f>
        <v/>
      </c>
      <c r="S42" s="14">
        <f>SUM(M42:R42)</f>
        <v/>
      </c>
      <c r="AA42">
        <f>RAND()</f>
        <v/>
      </c>
      <c r="AB42">
        <f>RAND()</f>
        <v/>
      </c>
      <c r="AC42">
        <f>RAND()</f>
        <v/>
      </c>
      <c r="AD42">
        <f>RAND()</f>
        <v/>
      </c>
      <c r="AE42">
        <f>RAND()</f>
        <v/>
      </c>
      <c r="AF42">
        <f>RAND()</f>
        <v/>
      </c>
    </row>
    <row r="43">
      <c r="M43" s="14">
        <f>_xlfn.BETA.INV($AA43,1+4*($D$5-$C$5)/($E$5-$C$5),1+4*($E$5-$D$5)/($E$5-$C$5),$C$5,$E$5)</f>
        <v/>
      </c>
      <c r="N43" s="14">
        <f>IF($AB43&lt;($D$6-$C$6)/($E$6-$C$6),$C$6+SQRT($AB43*($E$6-$C$6)*($D$6-$C$6)),$E$6-SQRT((1-$AB43)*($E$6-$C$6)*($E$6-$D$6)))</f>
        <v/>
      </c>
      <c r="O43" s="14">
        <f>_xlfn.NORM.INV($AC43,$C$7,$D$7)</f>
        <v/>
      </c>
      <c r="P43" s="14">
        <f>$C$8+($D$8-$C$8)*$AD43</f>
        <v/>
      </c>
      <c r="Q43" s="14">
        <f>$C$9</f>
        <v/>
      </c>
      <c r="R43" s="14">
        <f>_xlfn.LOGNORM.INV($AF43,LN($C$10)-0.5*LN(1+($D$10/$C$10)^2),SQRT(LN(1+($D$10/$C$10)^2)))</f>
        <v/>
      </c>
      <c r="S43" s="14">
        <f>SUM(M43:R43)</f>
        <v/>
      </c>
      <c r="AA43">
        <f>RAND()</f>
        <v/>
      </c>
      <c r="AB43">
        <f>RAND()</f>
        <v/>
      </c>
      <c r="AC43">
        <f>RAND()</f>
        <v/>
      </c>
      <c r="AD43">
        <f>RAND()</f>
        <v/>
      </c>
      <c r="AE43">
        <f>RAND()</f>
        <v/>
      </c>
      <c r="AF43">
        <f>RAND()</f>
        <v/>
      </c>
    </row>
    <row r="44">
      <c r="M44" s="14">
        <f>_xlfn.BETA.INV($AA44,1+4*($D$5-$C$5)/($E$5-$C$5),1+4*($E$5-$D$5)/($E$5-$C$5),$C$5,$E$5)</f>
        <v/>
      </c>
      <c r="N44" s="14">
        <f>IF($AB44&lt;($D$6-$C$6)/($E$6-$C$6),$C$6+SQRT($AB44*($E$6-$C$6)*($D$6-$C$6)),$E$6-SQRT((1-$AB44)*($E$6-$C$6)*($E$6-$D$6)))</f>
        <v/>
      </c>
      <c r="O44" s="14">
        <f>_xlfn.NORM.INV($AC44,$C$7,$D$7)</f>
        <v/>
      </c>
      <c r="P44" s="14">
        <f>$C$8+($D$8-$C$8)*$AD44</f>
        <v/>
      </c>
      <c r="Q44" s="14">
        <f>$C$9</f>
        <v/>
      </c>
      <c r="R44" s="14">
        <f>_xlfn.LOGNORM.INV($AF44,LN($C$10)-0.5*LN(1+($D$10/$C$10)^2),SQRT(LN(1+($D$10/$C$10)^2)))</f>
        <v/>
      </c>
      <c r="S44" s="14">
        <f>SUM(M44:R44)</f>
        <v/>
      </c>
      <c r="AA44">
        <f>RAND()</f>
        <v/>
      </c>
      <c r="AB44">
        <f>RAND()</f>
        <v/>
      </c>
      <c r="AC44">
        <f>RAND()</f>
        <v/>
      </c>
      <c r="AD44">
        <f>RAND()</f>
        <v/>
      </c>
      <c r="AE44">
        <f>RAND()</f>
        <v/>
      </c>
      <c r="AF44">
        <f>RAND()</f>
        <v/>
      </c>
    </row>
    <row r="45">
      <c r="M45" s="14">
        <f>_xlfn.BETA.INV($AA45,1+4*($D$5-$C$5)/($E$5-$C$5),1+4*($E$5-$D$5)/($E$5-$C$5),$C$5,$E$5)</f>
        <v/>
      </c>
      <c r="N45" s="14">
        <f>IF($AB45&lt;($D$6-$C$6)/($E$6-$C$6),$C$6+SQRT($AB45*($E$6-$C$6)*($D$6-$C$6)),$E$6-SQRT((1-$AB45)*($E$6-$C$6)*($E$6-$D$6)))</f>
        <v/>
      </c>
      <c r="O45" s="14">
        <f>_xlfn.NORM.INV($AC45,$C$7,$D$7)</f>
        <v/>
      </c>
      <c r="P45" s="14">
        <f>$C$8+($D$8-$C$8)*$AD45</f>
        <v/>
      </c>
      <c r="Q45" s="14">
        <f>$C$9</f>
        <v/>
      </c>
      <c r="R45" s="14">
        <f>_xlfn.LOGNORM.INV($AF45,LN($C$10)-0.5*LN(1+($D$10/$C$10)^2),SQRT(LN(1+($D$10/$C$10)^2)))</f>
        <v/>
      </c>
      <c r="S45" s="14">
        <f>SUM(M45:R45)</f>
        <v/>
      </c>
      <c r="AA45">
        <f>RAND()</f>
        <v/>
      </c>
      <c r="AB45">
        <f>RAND()</f>
        <v/>
      </c>
      <c r="AC45">
        <f>RAND()</f>
        <v/>
      </c>
      <c r="AD45">
        <f>RAND()</f>
        <v/>
      </c>
      <c r="AE45">
        <f>RAND()</f>
        <v/>
      </c>
      <c r="AF45">
        <f>RAND()</f>
        <v/>
      </c>
    </row>
    <row r="46">
      <c r="M46" s="14">
        <f>_xlfn.BETA.INV($AA46,1+4*($D$5-$C$5)/($E$5-$C$5),1+4*($E$5-$D$5)/($E$5-$C$5),$C$5,$E$5)</f>
        <v/>
      </c>
      <c r="N46" s="14">
        <f>IF($AB46&lt;($D$6-$C$6)/($E$6-$C$6),$C$6+SQRT($AB46*($E$6-$C$6)*($D$6-$C$6)),$E$6-SQRT((1-$AB46)*($E$6-$C$6)*($E$6-$D$6)))</f>
        <v/>
      </c>
      <c r="O46" s="14">
        <f>_xlfn.NORM.INV($AC46,$C$7,$D$7)</f>
        <v/>
      </c>
      <c r="P46" s="14">
        <f>$C$8+($D$8-$C$8)*$AD46</f>
        <v/>
      </c>
      <c r="Q46" s="14">
        <f>$C$9</f>
        <v/>
      </c>
      <c r="R46" s="14">
        <f>_xlfn.LOGNORM.INV($AF46,LN($C$10)-0.5*LN(1+($D$10/$C$10)^2),SQRT(LN(1+($D$10/$C$10)^2)))</f>
        <v/>
      </c>
      <c r="S46" s="14">
        <f>SUM(M46:R46)</f>
        <v/>
      </c>
      <c r="AA46">
        <f>RAND()</f>
        <v/>
      </c>
      <c r="AB46">
        <f>RAND()</f>
        <v/>
      </c>
      <c r="AC46">
        <f>RAND()</f>
        <v/>
      </c>
      <c r="AD46">
        <f>RAND()</f>
        <v/>
      </c>
      <c r="AE46">
        <f>RAND()</f>
        <v/>
      </c>
      <c r="AF46">
        <f>RAND()</f>
        <v/>
      </c>
    </row>
    <row r="47">
      <c r="M47" s="14">
        <f>_xlfn.BETA.INV($AA47,1+4*($D$5-$C$5)/($E$5-$C$5),1+4*($E$5-$D$5)/($E$5-$C$5),$C$5,$E$5)</f>
        <v/>
      </c>
      <c r="N47" s="14">
        <f>IF($AB47&lt;($D$6-$C$6)/($E$6-$C$6),$C$6+SQRT($AB47*($E$6-$C$6)*($D$6-$C$6)),$E$6-SQRT((1-$AB47)*($E$6-$C$6)*($E$6-$D$6)))</f>
        <v/>
      </c>
      <c r="O47" s="14">
        <f>_xlfn.NORM.INV($AC47,$C$7,$D$7)</f>
        <v/>
      </c>
      <c r="P47" s="14">
        <f>$C$8+($D$8-$C$8)*$AD47</f>
        <v/>
      </c>
      <c r="Q47" s="14">
        <f>$C$9</f>
        <v/>
      </c>
      <c r="R47" s="14">
        <f>_xlfn.LOGNORM.INV($AF47,LN($C$10)-0.5*LN(1+($D$10/$C$10)^2),SQRT(LN(1+($D$10/$C$10)^2)))</f>
        <v/>
      </c>
      <c r="S47" s="14">
        <f>SUM(M47:R47)</f>
        <v/>
      </c>
      <c r="AA47">
        <f>RAND()</f>
        <v/>
      </c>
      <c r="AB47">
        <f>RAND()</f>
        <v/>
      </c>
      <c r="AC47">
        <f>RAND()</f>
        <v/>
      </c>
      <c r="AD47">
        <f>RAND()</f>
        <v/>
      </c>
      <c r="AE47">
        <f>RAND()</f>
        <v/>
      </c>
      <c r="AF47">
        <f>RAND()</f>
        <v/>
      </c>
    </row>
    <row r="48">
      <c r="M48" s="14">
        <f>_xlfn.BETA.INV($AA48,1+4*($D$5-$C$5)/($E$5-$C$5),1+4*($E$5-$D$5)/($E$5-$C$5),$C$5,$E$5)</f>
        <v/>
      </c>
      <c r="N48" s="14">
        <f>IF($AB48&lt;($D$6-$C$6)/($E$6-$C$6),$C$6+SQRT($AB48*($E$6-$C$6)*($D$6-$C$6)),$E$6-SQRT((1-$AB48)*($E$6-$C$6)*($E$6-$D$6)))</f>
        <v/>
      </c>
      <c r="O48" s="14">
        <f>_xlfn.NORM.INV($AC48,$C$7,$D$7)</f>
        <v/>
      </c>
      <c r="P48" s="14">
        <f>$C$8+($D$8-$C$8)*$AD48</f>
        <v/>
      </c>
      <c r="Q48" s="14">
        <f>$C$9</f>
        <v/>
      </c>
      <c r="R48" s="14">
        <f>_xlfn.LOGNORM.INV($AF48,LN($C$10)-0.5*LN(1+($D$10/$C$10)^2),SQRT(LN(1+($D$10/$C$10)^2)))</f>
        <v/>
      </c>
      <c r="S48" s="14">
        <f>SUM(M48:R48)</f>
        <v/>
      </c>
      <c r="AA48">
        <f>RAND()</f>
        <v/>
      </c>
      <c r="AB48">
        <f>RAND()</f>
        <v/>
      </c>
      <c r="AC48">
        <f>RAND()</f>
        <v/>
      </c>
      <c r="AD48">
        <f>RAND()</f>
        <v/>
      </c>
      <c r="AE48">
        <f>RAND()</f>
        <v/>
      </c>
      <c r="AF48">
        <f>RAND()</f>
        <v/>
      </c>
    </row>
    <row r="49">
      <c r="M49" s="14">
        <f>_xlfn.BETA.INV($AA49,1+4*($D$5-$C$5)/($E$5-$C$5),1+4*($E$5-$D$5)/($E$5-$C$5),$C$5,$E$5)</f>
        <v/>
      </c>
      <c r="N49" s="14">
        <f>IF($AB49&lt;($D$6-$C$6)/($E$6-$C$6),$C$6+SQRT($AB49*($E$6-$C$6)*($D$6-$C$6)),$E$6-SQRT((1-$AB49)*($E$6-$C$6)*($E$6-$D$6)))</f>
        <v/>
      </c>
      <c r="O49" s="14">
        <f>_xlfn.NORM.INV($AC49,$C$7,$D$7)</f>
        <v/>
      </c>
      <c r="P49" s="14">
        <f>$C$8+($D$8-$C$8)*$AD49</f>
        <v/>
      </c>
      <c r="Q49" s="14">
        <f>$C$9</f>
        <v/>
      </c>
      <c r="R49" s="14">
        <f>_xlfn.LOGNORM.INV($AF49,LN($C$10)-0.5*LN(1+($D$10/$C$10)^2),SQRT(LN(1+($D$10/$C$10)^2)))</f>
        <v/>
      </c>
      <c r="S49" s="14">
        <f>SUM(M49:R49)</f>
        <v/>
      </c>
      <c r="AA49">
        <f>RAND()</f>
        <v/>
      </c>
      <c r="AB49">
        <f>RAND()</f>
        <v/>
      </c>
      <c r="AC49">
        <f>RAND()</f>
        <v/>
      </c>
      <c r="AD49">
        <f>RAND()</f>
        <v/>
      </c>
      <c r="AE49">
        <f>RAND()</f>
        <v/>
      </c>
      <c r="AF49">
        <f>RAND()</f>
        <v/>
      </c>
    </row>
    <row r="50">
      <c r="M50" s="14">
        <f>_xlfn.BETA.INV($AA50,1+4*($D$5-$C$5)/($E$5-$C$5),1+4*($E$5-$D$5)/($E$5-$C$5),$C$5,$E$5)</f>
        <v/>
      </c>
      <c r="N50" s="14">
        <f>IF($AB50&lt;($D$6-$C$6)/($E$6-$C$6),$C$6+SQRT($AB50*($E$6-$C$6)*($D$6-$C$6)),$E$6-SQRT((1-$AB50)*($E$6-$C$6)*($E$6-$D$6)))</f>
        <v/>
      </c>
      <c r="O50" s="14">
        <f>_xlfn.NORM.INV($AC50,$C$7,$D$7)</f>
        <v/>
      </c>
      <c r="P50" s="14">
        <f>$C$8+($D$8-$C$8)*$AD50</f>
        <v/>
      </c>
      <c r="Q50" s="14">
        <f>$C$9</f>
        <v/>
      </c>
      <c r="R50" s="14">
        <f>_xlfn.LOGNORM.INV($AF50,LN($C$10)-0.5*LN(1+($D$10/$C$10)^2),SQRT(LN(1+($D$10/$C$10)^2)))</f>
        <v/>
      </c>
      <c r="S50" s="14">
        <f>SUM(M50:R50)</f>
        <v/>
      </c>
      <c r="AA50">
        <f>RAND()</f>
        <v/>
      </c>
      <c r="AB50">
        <f>RAND()</f>
        <v/>
      </c>
      <c r="AC50">
        <f>RAND()</f>
        <v/>
      </c>
      <c r="AD50">
        <f>RAND()</f>
        <v/>
      </c>
      <c r="AE50">
        <f>RAND()</f>
        <v/>
      </c>
      <c r="AF50">
        <f>RAND()</f>
        <v/>
      </c>
    </row>
    <row r="51">
      <c r="M51" s="14">
        <f>_xlfn.BETA.INV($AA51,1+4*($D$5-$C$5)/($E$5-$C$5),1+4*($E$5-$D$5)/($E$5-$C$5),$C$5,$E$5)</f>
        <v/>
      </c>
      <c r="N51" s="14">
        <f>IF($AB51&lt;($D$6-$C$6)/($E$6-$C$6),$C$6+SQRT($AB51*($E$6-$C$6)*($D$6-$C$6)),$E$6-SQRT((1-$AB51)*($E$6-$C$6)*($E$6-$D$6)))</f>
        <v/>
      </c>
      <c r="O51" s="14">
        <f>_xlfn.NORM.INV($AC51,$C$7,$D$7)</f>
        <v/>
      </c>
      <c r="P51" s="14">
        <f>$C$8+($D$8-$C$8)*$AD51</f>
        <v/>
      </c>
      <c r="Q51" s="14">
        <f>$C$9</f>
        <v/>
      </c>
      <c r="R51" s="14">
        <f>_xlfn.LOGNORM.INV($AF51,LN($C$10)-0.5*LN(1+($D$10/$C$10)^2),SQRT(LN(1+($D$10/$C$10)^2)))</f>
        <v/>
      </c>
      <c r="S51" s="14">
        <f>SUM(M51:R51)</f>
        <v/>
      </c>
      <c r="AA51">
        <f>RAND()</f>
        <v/>
      </c>
      <c r="AB51">
        <f>RAND()</f>
        <v/>
      </c>
      <c r="AC51">
        <f>RAND()</f>
        <v/>
      </c>
      <c r="AD51">
        <f>RAND()</f>
        <v/>
      </c>
      <c r="AE51">
        <f>RAND()</f>
        <v/>
      </c>
      <c r="AF51">
        <f>RAND()</f>
        <v/>
      </c>
    </row>
    <row r="52">
      <c r="M52" s="14">
        <f>_xlfn.BETA.INV($AA52,1+4*($D$5-$C$5)/($E$5-$C$5),1+4*($E$5-$D$5)/($E$5-$C$5),$C$5,$E$5)</f>
        <v/>
      </c>
      <c r="N52" s="14">
        <f>IF($AB52&lt;($D$6-$C$6)/($E$6-$C$6),$C$6+SQRT($AB52*($E$6-$C$6)*($D$6-$C$6)),$E$6-SQRT((1-$AB52)*($E$6-$C$6)*($E$6-$D$6)))</f>
        <v/>
      </c>
      <c r="O52" s="14">
        <f>_xlfn.NORM.INV($AC52,$C$7,$D$7)</f>
        <v/>
      </c>
      <c r="P52" s="14">
        <f>$C$8+($D$8-$C$8)*$AD52</f>
        <v/>
      </c>
      <c r="Q52" s="14">
        <f>$C$9</f>
        <v/>
      </c>
      <c r="R52" s="14">
        <f>_xlfn.LOGNORM.INV($AF52,LN($C$10)-0.5*LN(1+($D$10/$C$10)^2),SQRT(LN(1+($D$10/$C$10)^2)))</f>
        <v/>
      </c>
      <c r="S52" s="14">
        <f>SUM(M52:R52)</f>
        <v/>
      </c>
      <c r="AA52">
        <f>RAND()</f>
        <v/>
      </c>
      <c r="AB52">
        <f>RAND()</f>
        <v/>
      </c>
      <c r="AC52">
        <f>RAND()</f>
        <v/>
      </c>
      <c r="AD52">
        <f>RAND()</f>
        <v/>
      </c>
      <c r="AE52">
        <f>RAND()</f>
        <v/>
      </c>
      <c r="AF52">
        <f>RAND()</f>
        <v/>
      </c>
    </row>
    <row r="53">
      <c r="M53" s="14">
        <f>_xlfn.BETA.INV($AA53,1+4*($D$5-$C$5)/($E$5-$C$5),1+4*($E$5-$D$5)/($E$5-$C$5),$C$5,$E$5)</f>
        <v/>
      </c>
      <c r="N53" s="14">
        <f>IF($AB53&lt;($D$6-$C$6)/($E$6-$C$6),$C$6+SQRT($AB53*($E$6-$C$6)*($D$6-$C$6)),$E$6-SQRT((1-$AB53)*($E$6-$C$6)*($E$6-$D$6)))</f>
        <v/>
      </c>
      <c r="O53" s="14">
        <f>_xlfn.NORM.INV($AC53,$C$7,$D$7)</f>
        <v/>
      </c>
      <c r="P53" s="14">
        <f>$C$8+($D$8-$C$8)*$AD53</f>
        <v/>
      </c>
      <c r="Q53" s="14">
        <f>$C$9</f>
        <v/>
      </c>
      <c r="R53" s="14">
        <f>_xlfn.LOGNORM.INV($AF53,LN($C$10)-0.5*LN(1+($D$10/$C$10)^2),SQRT(LN(1+($D$10/$C$10)^2)))</f>
        <v/>
      </c>
      <c r="S53" s="14">
        <f>SUM(M53:R53)</f>
        <v/>
      </c>
      <c r="AA53">
        <f>RAND()</f>
        <v/>
      </c>
      <c r="AB53">
        <f>RAND()</f>
        <v/>
      </c>
      <c r="AC53">
        <f>RAND()</f>
        <v/>
      </c>
      <c r="AD53">
        <f>RAND()</f>
        <v/>
      </c>
      <c r="AE53">
        <f>RAND()</f>
        <v/>
      </c>
      <c r="AF53">
        <f>RAND()</f>
        <v/>
      </c>
    </row>
    <row r="54">
      <c r="M54" s="14">
        <f>_xlfn.BETA.INV($AA54,1+4*($D$5-$C$5)/($E$5-$C$5),1+4*($E$5-$D$5)/($E$5-$C$5),$C$5,$E$5)</f>
        <v/>
      </c>
      <c r="N54" s="14">
        <f>IF($AB54&lt;($D$6-$C$6)/($E$6-$C$6),$C$6+SQRT($AB54*($E$6-$C$6)*($D$6-$C$6)),$E$6-SQRT((1-$AB54)*($E$6-$C$6)*($E$6-$D$6)))</f>
        <v/>
      </c>
      <c r="O54" s="14">
        <f>_xlfn.NORM.INV($AC54,$C$7,$D$7)</f>
        <v/>
      </c>
      <c r="P54" s="14">
        <f>$C$8+($D$8-$C$8)*$AD54</f>
        <v/>
      </c>
      <c r="Q54" s="14">
        <f>$C$9</f>
        <v/>
      </c>
      <c r="R54" s="14">
        <f>_xlfn.LOGNORM.INV($AF54,LN($C$10)-0.5*LN(1+($D$10/$C$10)^2),SQRT(LN(1+($D$10/$C$10)^2)))</f>
        <v/>
      </c>
      <c r="S54" s="14">
        <f>SUM(M54:R54)</f>
        <v/>
      </c>
      <c r="AA54">
        <f>RAND()</f>
        <v/>
      </c>
      <c r="AB54">
        <f>RAND()</f>
        <v/>
      </c>
      <c r="AC54">
        <f>RAND()</f>
        <v/>
      </c>
      <c r="AD54">
        <f>RAND()</f>
        <v/>
      </c>
      <c r="AE54">
        <f>RAND()</f>
        <v/>
      </c>
      <c r="AF54">
        <f>RAND()</f>
        <v/>
      </c>
    </row>
    <row r="55">
      <c r="M55" s="14">
        <f>_xlfn.BETA.INV($AA55,1+4*($D$5-$C$5)/($E$5-$C$5),1+4*($E$5-$D$5)/($E$5-$C$5),$C$5,$E$5)</f>
        <v/>
      </c>
      <c r="N55" s="14">
        <f>IF($AB55&lt;($D$6-$C$6)/($E$6-$C$6),$C$6+SQRT($AB55*($E$6-$C$6)*($D$6-$C$6)),$E$6-SQRT((1-$AB55)*($E$6-$C$6)*($E$6-$D$6)))</f>
        <v/>
      </c>
      <c r="O55" s="14">
        <f>_xlfn.NORM.INV($AC55,$C$7,$D$7)</f>
        <v/>
      </c>
      <c r="P55" s="14">
        <f>$C$8+($D$8-$C$8)*$AD55</f>
        <v/>
      </c>
      <c r="Q55" s="14">
        <f>$C$9</f>
        <v/>
      </c>
      <c r="R55" s="14">
        <f>_xlfn.LOGNORM.INV($AF55,LN($C$10)-0.5*LN(1+($D$10/$C$10)^2),SQRT(LN(1+($D$10/$C$10)^2)))</f>
        <v/>
      </c>
      <c r="S55" s="14">
        <f>SUM(M55:R55)</f>
        <v/>
      </c>
      <c r="AA55">
        <f>RAND()</f>
        <v/>
      </c>
      <c r="AB55">
        <f>RAND()</f>
        <v/>
      </c>
      <c r="AC55">
        <f>RAND()</f>
        <v/>
      </c>
      <c r="AD55">
        <f>RAND()</f>
        <v/>
      </c>
      <c r="AE55">
        <f>RAND()</f>
        <v/>
      </c>
      <c r="AF55">
        <f>RAND()</f>
        <v/>
      </c>
    </row>
    <row r="56">
      <c r="M56" s="14">
        <f>_xlfn.BETA.INV($AA56,1+4*($D$5-$C$5)/($E$5-$C$5),1+4*($E$5-$D$5)/($E$5-$C$5),$C$5,$E$5)</f>
        <v/>
      </c>
      <c r="N56" s="14">
        <f>IF($AB56&lt;($D$6-$C$6)/($E$6-$C$6),$C$6+SQRT($AB56*($E$6-$C$6)*($D$6-$C$6)),$E$6-SQRT((1-$AB56)*($E$6-$C$6)*($E$6-$D$6)))</f>
        <v/>
      </c>
      <c r="O56" s="14">
        <f>_xlfn.NORM.INV($AC56,$C$7,$D$7)</f>
        <v/>
      </c>
      <c r="P56" s="14">
        <f>$C$8+($D$8-$C$8)*$AD56</f>
        <v/>
      </c>
      <c r="Q56" s="14">
        <f>$C$9</f>
        <v/>
      </c>
      <c r="R56" s="14">
        <f>_xlfn.LOGNORM.INV($AF56,LN($C$10)-0.5*LN(1+($D$10/$C$10)^2),SQRT(LN(1+($D$10/$C$10)^2)))</f>
        <v/>
      </c>
      <c r="S56" s="14">
        <f>SUM(M56:R56)</f>
        <v/>
      </c>
      <c r="AA56">
        <f>RAND()</f>
        <v/>
      </c>
      <c r="AB56">
        <f>RAND()</f>
        <v/>
      </c>
      <c r="AC56">
        <f>RAND()</f>
        <v/>
      </c>
      <c r="AD56">
        <f>RAND()</f>
        <v/>
      </c>
      <c r="AE56">
        <f>RAND()</f>
        <v/>
      </c>
      <c r="AF56">
        <f>RAND()</f>
        <v/>
      </c>
    </row>
    <row r="57">
      <c r="M57" s="14">
        <f>_xlfn.BETA.INV($AA57,1+4*($D$5-$C$5)/($E$5-$C$5),1+4*($E$5-$D$5)/($E$5-$C$5),$C$5,$E$5)</f>
        <v/>
      </c>
      <c r="N57" s="14">
        <f>IF($AB57&lt;($D$6-$C$6)/($E$6-$C$6),$C$6+SQRT($AB57*($E$6-$C$6)*($D$6-$C$6)),$E$6-SQRT((1-$AB57)*($E$6-$C$6)*($E$6-$D$6)))</f>
        <v/>
      </c>
      <c r="O57" s="14">
        <f>_xlfn.NORM.INV($AC57,$C$7,$D$7)</f>
        <v/>
      </c>
      <c r="P57" s="14">
        <f>$C$8+($D$8-$C$8)*$AD57</f>
        <v/>
      </c>
      <c r="Q57" s="14">
        <f>$C$9</f>
        <v/>
      </c>
      <c r="R57" s="14">
        <f>_xlfn.LOGNORM.INV($AF57,LN($C$10)-0.5*LN(1+($D$10/$C$10)^2),SQRT(LN(1+($D$10/$C$10)^2)))</f>
        <v/>
      </c>
      <c r="S57" s="14">
        <f>SUM(M57:R57)</f>
        <v/>
      </c>
      <c r="AA57">
        <f>RAND()</f>
        <v/>
      </c>
      <c r="AB57">
        <f>RAND()</f>
        <v/>
      </c>
      <c r="AC57">
        <f>RAND()</f>
        <v/>
      </c>
      <c r="AD57">
        <f>RAND()</f>
        <v/>
      </c>
      <c r="AE57">
        <f>RAND()</f>
        <v/>
      </c>
      <c r="AF57">
        <f>RAND()</f>
        <v/>
      </c>
    </row>
    <row r="58">
      <c r="M58" s="14">
        <f>_xlfn.BETA.INV($AA58,1+4*($D$5-$C$5)/($E$5-$C$5),1+4*($E$5-$D$5)/($E$5-$C$5),$C$5,$E$5)</f>
        <v/>
      </c>
      <c r="N58" s="14">
        <f>IF($AB58&lt;($D$6-$C$6)/($E$6-$C$6),$C$6+SQRT($AB58*($E$6-$C$6)*($D$6-$C$6)),$E$6-SQRT((1-$AB58)*($E$6-$C$6)*($E$6-$D$6)))</f>
        <v/>
      </c>
      <c r="O58" s="14">
        <f>_xlfn.NORM.INV($AC58,$C$7,$D$7)</f>
        <v/>
      </c>
      <c r="P58" s="14">
        <f>$C$8+($D$8-$C$8)*$AD58</f>
        <v/>
      </c>
      <c r="Q58" s="14">
        <f>$C$9</f>
        <v/>
      </c>
      <c r="R58" s="14">
        <f>_xlfn.LOGNORM.INV($AF58,LN($C$10)-0.5*LN(1+($D$10/$C$10)^2),SQRT(LN(1+($D$10/$C$10)^2)))</f>
        <v/>
      </c>
      <c r="S58" s="14">
        <f>SUM(M58:R58)</f>
        <v/>
      </c>
      <c r="AA58">
        <f>RAND()</f>
        <v/>
      </c>
      <c r="AB58">
        <f>RAND()</f>
        <v/>
      </c>
      <c r="AC58">
        <f>RAND()</f>
        <v/>
      </c>
      <c r="AD58">
        <f>RAND()</f>
        <v/>
      </c>
      <c r="AE58">
        <f>RAND()</f>
        <v/>
      </c>
      <c r="AF58">
        <f>RAND()</f>
        <v/>
      </c>
    </row>
    <row r="59">
      <c r="M59" s="14">
        <f>_xlfn.BETA.INV($AA59,1+4*($D$5-$C$5)/($E$5-$C$5),1+4*($E$5-$D$5)/($E$5-$C$5),$C$5,$E$5)</f>
        <v/>
      </c>
      <c r="N59" s="14">
        <f>IF($AB59&lt;($D$6-$C$6)/($E$6-$C$6),$C$6+SQRT($AB59*($E$6-$C$6)*($D$6-$C$6)),$E$6-SQRT((1-$AB59)*($E$6-$C$6)*($E$6-$D$6)))</f>
        <v/>
      </c>
      <c r="O59" s="14">
        <f>_xlfn.NORM.INV($AC59,$C$7,$D$7)</f>
        <v/>
      </c>
      <c r="P59" s="14">
        <f>$C$8+($D$8-$C$8)*$AD59</f>
        <v/>
      </c>
      <c r="Q59" s="14">
        <f>$C$9</f>
        <v/>
      </c>
      <c r="R59" s="14">
        <f>_xlfn.LOGNORM.INV($AF59,LN($C$10)-0.5*LN(1+($D$10/$C$10)^2),SQRT(LN(1+($D$10/$C$10)^2)))</f>
        <v/>
      </c>
      <c r="S59" s="14">
        <f>SUM(M59:R59)</f>
        <v/>
      </c>
      <c r="AA59">
        <f>RAND()</f>
        <v/>
      </c>
      <c r="AB59">
        <f>RAND()</f>
        <v/>
      </c>
      <c r="AC59">
        <f>RAND()</f>
        <v/>
      </c>
      <c r="AD59">
        <f>RAND()</f>
        <v/>
      </c>
      <c r="AE59">
        <f>RAND()</f>
        <v/>
      </c>
      <c r="AF59">
        <f>RAND()</f>
        <v/>
      </c>
    </row>
    <row r="60">
      <c r="M60" s="14">
        <f>_xlfn.BETA.INV($AA60,1+4*($D$5-$C$5)/($E$5-$C$5),1+4*($E$5-$D$5)/($E$5-$C$5),$C$5,$E$5)</f>
        <v/>
      </c>
      <c r="N60" s="14">
        <f>IF($AB60&lt;($D$6-$C$6)/($E$6-$C$6),$C$6+SQRT($AB60*($E$6-$C$6)*($D$6-$C$6)),$E$6-SQRT((1-$AB60)*($E$6-$C$6)*($E$6-$D$6)))</f>
        <v/>
      </c>
      <c r="O60" s="14">
        <f>_xlfn.NORM.INV($AC60,$C$7,$D$7)</f>
        <v/>
      </c>
      <c r="P60" s="14">
        <f>$C$8+($D$8-$C$8)*$AD60</f>
        <v/>
      </c>
      <c r="Q60" s="14">
        <f>$C$9</f>
        <v/>
      </c>
      <c r="R60" s="14">
        <f>_xlfn.LOGNORM.INV($AF60,LN($C$10)-0.5*LN(1+($D$10/$C$10)^2),SQRT(LN(1+($D$10/$C$10)^2)))</f>
        <v/>
      </c>
      <c r="S60" s="14">
        <f>SUM(M60:R60)</f>
        <v/>
      </c>
      <c r="AA60">
        <f>RAND()</f>
        <v/>
      </c>
      <c r="AB60">
        <f>RAND()</f>
        <v/>
      </c>
      <c r="AC60">
        <f>RAND()</f>
        <v/>
      </c>
      <c r="AD60">
        <f>RAND()</f>
        <v/>
      </c>
      <c r="AE60">
        <f>RAND()</f>
        <v/>
      </c>
      <c r="AF60">
        <f>RAND()</f>
        <v/>
      </c>
    </row>
    <row r="61">
      <c r="M61" s="14">
        <f>_xlfn.BETA.INV($AA61,1+4*($D$5-$C$5)/($E$5-$C$5),1+4*($E$5-$D$5)/($E$5-$C$5),$C$5,$E$5)</f>
        <v/>
      </c>
      <c r="N61" s="14">
        <f>IF($AB61&lt;($D$6-$C$6)/($E$6-$C$6),$C$6+SQRT($AB61*($E$6-$C$6)*($D$6-$C$6)),$E$6-SQRT((1-$AB61)*($E$6-$C$6)*($E$6-$D$6)))</f>
        <v/>
      </c>
      <c r="O61" s="14">
        <f>_xlfn.NORM.INV($AC61,$C$7,$D$7)</f>
        <v/>
      </c>
      <c r="P61" s="14">
        <f>$C$8+($D$8-$C$8)*$AD61</f>
        <v/>
      </c>
      <c r="Q61" s="14">
        <f>$C$9</f>
        <v/>
      </c>
      <c r="R61" s="14">
        <f>_xlfn.LOGNORM.INV($AF61,LN($C$10)-0.5*LN(1+($D$10/$C$10)^2),SQRT(LN(1+($D$10/$C$10)^2)))</f>
        <v/>
      </c>
      <c r="S61" s="14">
        <f>SUM(M61:R61)</f>
        <v/>
      </c>
      <c r="AA61">
        <f>RAND()</f>
        <v/>
      </c>
      <c r="AB61">
        <f>RAND()</f>
        <v/>
      </c>
      <c r="AC61">
        <f>RAND()</f>
        <v/>
      </c>
      <c r="AD61">
        <f>RAND()</f>
        <v/>
      </c>
      <c r="AE61">
        <f>RAND()</f>
        <v/>
      </c>
      <c r="AF61">
        <f>RAND()</f>
        <v/>
      </c>
    </row>
    <row r="62">
      <c r="M62" s="14">
        <f>_xlfn.BETA.INV($AA62,1+4*($D$5-$C$5)/($E$5-$C$5),1+4*($E$5-$D$5)/($E$5-$C$5),$C$5,$E$5)</f>
        <v/>
      </c>
      <c r="N62" s="14">
        <f>IF($AB62&lt;($D$6-$C$6)/($E$6-$C$6),$C$6+SQRT($AB62*($E$6-$C$6)*($D$6-$C$6)),$E$6-SQRT((1-$AB62)*($E$6-$C$6)*($E$6-$D$6)))</f>
        <v/>
      </c>
      <c r="O62" s="14">
        <f>_xlfn.NORM.INV($AC62,$C$7,$D$7)</f>
        <v/>
      </c>
      <c r="P62" s="14">
        <f>$C$8+($D$8-$C$8)*$AD62</f>
        <v/>
      </c>
      <c r="Q62" s="14">
        <f>$C$9</f>
        <v/>
      </c>
      <c r="R62" s="14">
        <f>_xlfn.LOGNORM.INV($AF62,LN($C$10)-0.5*LN(1+($D$10/$C$10)^2),SQRT(LN(1+($D$10/$C$10)^2)))</f>
        <v/>
      </c>
      <c r="S62" s="14">
        <f>SUM(M62:R62)</f>
        <v/>
      </c>
      <c r="AA62">
        <f>RAND()</f>
        <v/>
      </c>
      <c r="AB62">
        <f>RAND()</f>
        <v/>
      </c>
      <c r="AC62">
        <f>RAND()</f>
        <v/>
      </c>
      <c r="AD62">
        <f>RAND()</f>
        <v/>
      </c>
      <c r="AE62">
        <f>RAND()</f>
        <v/>
      </c>
      <c r="AF62">
        <f>RAND()</f>
        <v/>
      </c>
    </row>
    <row r="63">
      <c r="M63" s="14">
        <f>_xlfn.BETA.INV($AA63,1+4*($D$5-$C$5)/($E$5-$C$5),1+4*($E$5-$D$5)/($E$5-$C$5),$C$5,$E$5)</f>
        <v/>
      </c>
      <c r="N63" s="14">
        <f>IF($AB63&lt;($D$6-$C$6)/($E$6-$C$6),$C$6+SQRT($AB63*($E$6-$C$6)*($D$6-$C$6)),$E$6-SQRT((1-$AB63)*($E$6-$C$6)*($E$6-$D$6)))</f>
        <v/>
      </c>
      <c r="O63" s="14">
        <f>_xlfn.NORM.INV($AC63,$C$7,$D$7)</f>
        <v/>
      </c>
      <c r="P63" s="14">
        <f>$C$8+($D$8-$C$8)*$AD63</f>
        <v/>
      </c>
      <c r="Q63" s="14">
        <f>$C$9</f>
        <v/>
      </c>
      <c r="R63" s="14">
        <f>_xlfn.LOGNORM.INV($AF63,LN($C$10)-0.5*LN(1+($D$10/$C$10)^2),SQRT(LN(1+($D$10/$C$10)^2)))</f>
        <v/>
      </c>
      <c r="S63" s="14">
        <f>SUM(M63:R63)</f>
        <v/>
      </c>
      <c r="AA63">
        <f>RAND()</f>
        <v/>
      </c>
      <c r="AB63">
        <f>RAND()</f>
        <v/>
      </c>
      <c r="AC63">
        <f>RAND()</f>
        <v/>
      </c>
      <c r="AD63">
        <f>RAND()</f>
        <v/>
      </c>
      <c r="AE63">
        <f>RAND()</f>
        <v/>
      </c>
      <c r="AF63">
        <f>RAND()</f>
        <v/>
      </c>
    </row>
    <row r="64">
      <c r="M64" s="14">
        <f>_xlfn.BETA.INV($AA64,1+4*($D$5-$C$5)/($E$5-$C$5),1+4*($E$5-$D$5)/($E$5-$C$5),$C$5,$E$5)</f>
        <v/>
      </c>
      <c r="N64" s="14">
        <f>IF($AB64&lt;($D$6-$C$6)/($E$6-$C$6),$C$6+SQRT($AB64*($E$6-$C$6)*($D$6-$C$6)),$E$6-SQRT((1-$AB64)*($E$6-$C$6)*($E$6-$D$6)))</f>
        <v/>
      </c>
      <c r="O64" s="14">
        <f>_xlfn.NORM.INV($AC64,$C$7,$D$7)</f>
        <v/>
      </c>
      <c r="P64" s="14">
        <f>$C$8+($D$8-$C$8)*$AD64</f>
        <v/>
      </c>
      <c r="Q64" s="14">
        <f>$C$9</f>
        <v/>
      </c>
      <c r="R64" s="14">
        <f>_xlfn.LOGNORM.INV($AF64,LN($C$10)-0.5*LN(1+($D$10/$C$10)^2),SQRT(LN(1+($D$10/$C$10)^2)))</f>
        <v/>
      </c>
      <c r="S64" s="14">
        <f>SUM(M64:R64)</f>
        <v/>
      </c>
      <c r="AA64">
        <f>RAND()</f>
        <v/>
      </c>
      <c r="AB64">
        <f>RAND()</f>
        <v/>
      </c>
      <c r="AC64">
        <f>RAND()</f>
        <v/>
      </c>
      <c r="AD64">
        <f>RAND()</f>
        <v/>
      </c>
      <c r="AE64">
        <f>RAND()</f>
        <v/>
      </c>
      <c r="AF64">
        <f>RAND()</f>
        <v/>
      </c>
    </row>
    <row r="65">
      <c r="M65" s="14">
        <f>_xlfn.BETA.INV($AA65,1+4*($D$5-$C$5)/($E$5-$C$5),1+4*($E$5-$D$5)/($E$5-$C$5),$C$5,$E$5)</f>
        <v/>
      </c>
      <c r="N65" s="14">
        <f>IF($AB65&lt;($D$6-$C$6)/($E$6-$C$6),$C$6+SQRT($AB65*($E$6-$C$6)*($D$6-$C$6)),$E$6-SQRT((1-$AB65)*($E$6-$C$6)*($E$6-$D$6)))</f>
        <v/>
      </c>
      <c r="O65" s="14">
        <f>_xlfn.NORM.INV($AC65,$C$7,$D$7)</f>
        <v/>
      </c>
      <c r="P65" s="14">
        <f>$C$8+($D$8-$C$8)*$AD65</f>
        <v/>
      </c>
      <c r="Q65" s="14">
        <f>$C$9</f>
        <v/>
      </c>
      <c r="R65" s="14">
        <f>_xlfn.LOGNORM.INV($AF65,LN($C$10)-0.5*LN(1+($D$10/$C$10)^2),SQRT(LN(1+($D$10/$C$10)^2)))</f>
        <v/>
      </c>
      <c r="S65" s="14">
        <f>SUM(M65:R65)</f>
        <v/>
      </c>
      <c r="AA65">
        <f>RAND()</f>
        <v/>
      </c>
      <c r="AB65">
        <f>RAND()</f>
        <v/>
      </c>
      <c r="AC65">
        <f>RAND()</f>
        <v/>
      </c>
      <c r="AD65">
        <f>RAND()</f>
        <v/>
      </c>
      <c r="AE65">
        <f>RAND()</f>
        <v/>
      </c>
      <c r="AF65">
        <f>RAND()</f>
        <v/>
      </c>
    </row>
    <row r="66">
      <c r="M66" s="14">
        <f>_xlfn.BETA.INV($AA66,1+4*($D$5-$C$5)/($E$5-$C$5),1+4*($E$5-$D$5)/($E$5-$C$5),$C$5,$E$5)</f>
        <v/>
      </c>
      <c r="N66" s="14">
        <f>IF($AB66&lt;($D$6-$C$6)/($E$6-$C$6),$C$6+SQRT($AB66*($E$6-$C$6)*($D$6-$C$6)),$E$6-SQRT((1-$AB66)*($E$6-$C$6)*($E$6-$D$6)))</f>
        <v/>
      </c>
      <c r="O66" s="14">
        <f>_xlfn.NORM.INV($AC66,$C$7,$D$7)</f>
        <v/>
      </c>
      <c r="P66" s="14">
        <f>$C$8+($D$8-$C$8)*$AD66</f>
        <v/>
      </c>
      <c r="Q66" s="14">
        <f>$C$9</f>
        <v/>
      </c>
      <c r="R66" s="14">
        <f>_xlfn.LOGNORM.INV($AF66,LN($C$10)-0.5*LN(1+($D$10/$C$10)^2),SQRT(LN(1+($D$10/$C$10)^2)))</f>
        <v/>
      </c>
      <c r="S66" s="14">
        <f>SUM(M66:R66)</f>
        <v/>
      </c>
      <c r="AA66">
        <f>RAND()</f>
        <v/>
      </c>
      <c r="AB66">
        <f>RAND()</f>
        <v/>
      </c>
      <c r="AC66">
        <f>RAND()</f>
        <v/>
      </c>
      <c r="AD66">
        <f>RAND()</f>
        <v/>
      </c>
      <c r="AE66">
        <f>RAND()</f>
        <v/>
      </c>
      <c r="AF66">
        <f>RAND()</f>
        <v/>
      </c>
    </row>
    <row r="67">
      <c r="M67" s="14">
        <f>_xlfn.BETA.INV($AA67,1+4*($D$5-$C$5)/($E$5-$C$5),1+4*($E$5-$D$5)/($E$5-$C$5),$C$5,$E$5)</f>
        <v/>
      </c>
      <c r="N67" s="14">
        <f>IF($AB67&lt;($D$6-$C$6)/($E$6-$C$6),$C$6+SQRT($AB67*($E$6-$C$6)*($D$6-$C$6)),$E$6-SQRT((1-$AB67)*($E$6-$C$6)*($E$6-$D$6)))</f>
        <v/>
      </c>
      <c r="O67" s="14">
        <f>_xlfn.NORM.INV($AC67,$C$7,$D$7)</f>
        <v/>
      </c>
      <c r="P67" s="14">
        <f>$C$8+($D$8-$C$8)*$AD67</f>
        <v/>
      </c>
      <c r="Q67" s="14">
        <f>$C$9</f>
        <v/>
      </c>
      <c r="R67" s="14">
        <f>_xlfn.LOGNORM.INV($AF67,LN($C$10)-0.5*LN(1+($D$10/$C$10)^2),SQRT(LN(1+($D$10/$C$10)^2)))</f>
        <v/>
      </c>
      <c r="S67" s="14">
        <f>SUM(M67:R67)</f>
        <v/>
      </c>
      <c r="AA67">
        <f>RAND()</f>
        <v/>
      </c>
      <c r="AB67">
        <f>RAND()</f>
        <v/>
      </c>
      <c r="AC67">
        <f>RAND()</f>
        <v/>
      </c>
      <c r="AD67">
        <f>RAND()</f>
        <v/>
      </c>
      <c r="AE67">
        <f>RAND()</f>
        <v/>
      </c>
      <c r="AF67">
        <f>RAND()</f>
        <v/>
      </c>
    </row>
    <row r="68">
      <c r="M68" s="14">
        <f>_xlfn.BETA.INV($AA68,1+4*($D$5-$C$5)/($E$5-$C$5),1+4*($E$5-$D$5)/($E$5-$C$5),$C$5,$E$5)</f>
        <v/>
      </c>
      <c r="N68" s="14">
        <f>IF($AB68&lt;($D$6-$C$6)/($E$6-$C$6),$C$6+SQRT($AB68*($E$6-$C$6)*($D$6-$C$6)),$E$6-SQRT((1-$AB68)*($E$6-$C$6)*($E$6-$D$6)))</f>
        <v/>
      </c>
      <c r="O68" s="14">
        <f>_xlfn.NORM.INV($AC68,$C$7,$D$7)</f>
        <v/>
      </c>
      <c r="P68" s="14">
        <f>$C$8+($D$8-$C$8)*$AD68</f>
        <v/>
      </c>
      <c r="Q68" s="14">
        <f>$C$9</f>
        <v/>
      </c>
      <c r="R68" s="14">
        <f>_xlfn.LOGNORM.INV($AF68,LN($C$10)-0.5*LN(1+($D$10/$C$10)^2),SQRT(LN(1+($D$10/$C$10)^2)))</f>
        <v/>
      </c>
      <c r="S68" s="14">
        <f>SUM(M68:R68)</f>
        <v/>
      </c>
      <c r="AA68">
        <f>RAND()</f>
        <v/>
      </c>
      <c r="AB68">
        <f>RAND()</f>
        <v/>
      </c>
      <c r="AC68">
        <f>RAND()</f>
        <v/>
      </c>
      <c r="AD68">
        <f>RAND()</f>
        <v/>
      </c>
      <c r="AE68">
        <f>RAND()</f>
        <v/>
      </c>
      <c r="AF68">
        <f>RAND()</f>
        <v/>
      </c>
    </row>
    <row r="69">
      <c r="M69" s="14">
        <f>_xlfn.BETA.INV($AA69,1+4*($D$5-$C$5)/($E$5-$C$5),1+4*($E$5-$D$5)/($E$5-$C$5),$C$5,$E$5)</f>
        <v/>
      </c>
      <c r="N69" s="14">
        <f>IF($AB69&lt;($D$6-$C$6)/($E$6-$C$6),$C$6+SQRT($AB69*($E$6-$C$6)*($D$6-$C$6)),$E$6-SQRT((1-$AB69)*($E$6-$C$6)*($E$6-$D$6)))</f>
        <v/>
      </c>
      <c r="O69" s="14">
        <f>_xlfn.NORM.INV($AC69,$C$7,$D$7)</f>
        <v/>
      </c>
      <c r="P69" s="14">
        <f>$C$8+($D$8-$C$8)*$AD69</f>
        <v/>
      </c>
      <c r="Q69" s="14">
        <f>$C$9</f>
        <v/>
      </c>
      <c r="R69" s="14">
        <f>_xlfn.LOGNORM.INV($AF69,LN($C$10)-0.5*LN(1+($D$10/$C$10)^2),SQRT(LN(1+($D$10/$C$10)^2)))</f>
        <v/>
      </c>
      <c r="S69" s="14">
        <f>SUM(M69:R69)</f>
        <v/>
      </c>
      <c r="AA69">
        <f>RAND()</f>
        <v/>
      </c>
      <c r="AB69">
        <f>RAND()</f>
        <v/>
      </c>
      <c r="AC69">
        <f>RAND()</f>
        <v/>
      </c>
      <c r="AD69">
        <f>RAND()</f>
        <v/>
      </c>
      <c r="AE69">
        <f>RAND()</f>
        <v/>
      </c>
      <c r="AF69">
        <f>RAND()</f>
        <v/>
      </c>
    </row>
    <row r="70">
      <c r="M70" s="14">
        <f>_xlfn.BETA.INV($AA70,1+4*($D$5-$C$5)/($E$5-$C$5),1+4*($E$5-$D$5)/($E$5-$C$5),$C$5,$E$5)</f>
        <v/>
      </c>
      <c r="N70" s="14">
        <f>IF($AB70&lt;($D$6-$C$6)/($E$6-$C$6),$C$6+SQRT($AB70*($E$6-$C$6)*($D$6-$C$6)),$E$6-SQRT((1-$AB70)*($E$6-$C$6)*($E$6-$D$6)))</f>
        <v/>
      </c>
      <c r="O70" s="14">
        <f>_xlfn.NORM.INV($AC70,$C$7,$D$7)</f>
        <v/>
      </c>
      <c r="P70" s="14">
        <f>$C$8+($D$8-$C$8)*$AD70</f>
        <v/>
      </c>
      <c r="Q70" s="14">
        <f>$C$9</f>
        <v/>
      </c>
      <c r="R70" s="14">
        <f>_xlfn.LOGNORM.INV($AF70,LN($C$10)-0.5*LN(1+($D$10/$C$10)^2),SQRT(LN(1+($D$10/$C$10)^2)))</f>
        <v/>
      </c>
      <c r="S70" s="14">
        <f>SUM(M70:R70)</f>
        <v/>
      </c>
      <c r="AA70">
        <f>RAND()</f>
        <v/>
      </c>
      <c r="AB70">
        <f>RAND()</f>
        <v/>
      </c>
      <c r="AC70">
        <f>RAND()</f>
        <v/>
      </c>
      <c r="AD70">
        <f>RAND()</f>
        <v/>
      </c>
      <c r="AE70">
        <f>RAND()</f>
        <v/>
      </c>
      <c r="AF70">
        <f>RAND()</f>
        <v/>
      </c>
    </row>
    <row r="71">
      <c r="M71" s="14">
        <f>_xlfn.BETA.INV($AA71,1+4*($D$5-$C$5)/($E$5-$C$5),1+4*($E$5-$D$5)/($E$5-$C$5),$C$5,$E$5)</f>
        <v/>
      </c>
      <c r="N71" s="14">
        <f>IF($AB71&lt;($D$6-$C$6)/($E$6-$C$6),$C$6+SQRT($AB71*($E$6-$C$6)*($D$6-$C$6)),$E$6-SQRT((1-$AB71)*($E$6-$C$6)*($E$6-$D$6)))</f>
        <v/>
      </c>
      <c r="O71" s="14">
        <f>_xlfn.NORM.INV($AC71,$C$7,$D$7)</f>
        <v/>
      </c>
      <c r="P71" s="14">
        <f>$C$8+($D$8-$C$8)*$AD71</f>
        <v/>
      </c>
      <c r="Q71" s="14">
        <f>$C$9</f>
        <v/>
      </c>
      <c r="R71" s="14">
        <f>_xlfn.LOGNORM.INV($AF71,LN($C$10)-0.5*LN(1+($D$10/$C$10)^2),SQRT(LN(1+($D$10/$C$10)^2)))</f>
        <v/>
      </c>
      <c r="S71" s="14">
        <f>SUM(M71:R71)</f>
        <v/>
      </c>
      <c r="AA71">
        <f>RAND()</f>
        <v/>
      </c>
      <c r="AB71">
        <f>RAND()</f>
        <v/>
      </c>
      <c r="AC71">
        <f>RAND()</f>
        <v/>
      </c>
      <c r="AD71">
        <f>RAND()</f>
        <v/>
      </c>
      <c r="AE71">
        <f>RAND()</f>
        <v/>
      </c>
      <c r="AF71">
        <f>RAND()</f>
        <v/>
      </c>
    </row>
    <row r="72">
      <c r="M72" s="14">
        <f>_xlfn.BETA.INV($AA72,1+4*($D$5-$C$5)/($E$5-$C$5),1+4*($E$5-$D$5)/($E$5-$C$5),$C$5,$E$5)</f>
        <v/>
      </c>
      <c r="N72" s="14">
        <f>IF($AB72&lt;($D$6-$C$6)/($E$6-$C$6),$C$6+SQRT($AB72*($E$6-$C$6)*($D$6-$C$6)),$E$6-SQRT((1-$AB72)*($E$6-$C$6)*($E$6-$D$6)))</f>
        <v/>
      </c>
      <c r="O72" s="14">
        <f>_xlfn.NORM.INV($AC72,$C$7,$D$7)</f>
        <v/>
      </c>
      <c r="P72" s="14">
        <f>$C$8+($D$8-$C$8)*$AD72</f>
        <v/>
      </c>
      <c r="Q72" s="14">
        <f>$C$9</f>
        <v/>
      </c>
      <c r="R72" s="14">
        <f>_xlfn.LOGNORM.INV($AF72,LN($C$10)-0.5*LN(1+($D$10/$C$10)^2),SQRT(LN(1+($D$10/$C$10)^2)))</f>
        <v/>
      </c>
      <c r="S72" s="14">
        <f>SUM(M72:R72)</f>
        <v/>
      </c>
      <c r="AA72">
        <f>RAND()</f>
        <v/>
      </c>
      <c r="AB72">
        <f>RAND()</f>
        <v/>
      </c>
      <c r="AC72">
        <f>RAND()</f>
        <v/>
      </c>
      <c r="AD72">
        <f>RAND()</f>
        <v/>
      </c>
      <c r="AE72">
        <f>RAND()</f>
        <v/>
      </c>
      <c r="AF72">
        <f>RAND()</f>
        <v/>
      </c>
    </row>
    <row r="73">
      <c r="M73" s="14">
        <f>_xlfn.BETA.INV($AA73,1+4*($D$5-$C$5)/($E$5-$C$5),1+4*($E$5-$D$5)/($E$5-$C$5),$C$5,$E$5)</f>
        <v/>
      </c>
      <c r="N73" s="14">
        <f>IF($AB73&lt;($D$6-$C$6)/($E$6-$C$6),$C$6+SQRT($AB73*($E$6-$C$6)*($D$6-$C$6)),$E$6-SQRT((1-$AB73)*($E$6-$C$6)*($E$6-$D$6)))</f>
        <v/>
      </c>
      <c r="O73" s="14">
        <f>_xlfn.NORM.INV($AC73,$C$7,$D$7)</f>
        <v/>
      </c>
      <c r="P73" s="14">
        <f>$C$8+($D$8-$C$8)*$AD73</f>
        <v/>
      </c>
      <c r="Q73" s="14">
        <f>$C$9</f>
        <v/>
      </c>
      <c r="R73" s="14">
        <f>_xlfn.LOGNORM.INV($AF73,LN($C$10)-0.5*LN(1+($D$10/$C$10)^2),SQRT(LN(1+($D$10/$C$10)^2)))</f>
        <v/>
      </c>
      <c r="S73" s="14">
        <f>SUM(M73:R73)</f>
        <v/>
      </c>
      <c r="AA73">
        <f>RAND()</f>
        <v/>
      </c>
      <c r="AB73">
        <f>RAND()</f>
        <v/>
      </c>
      <c r="AC73">
        <f>RAND()</f>
        <v/>
      </c>
      <c r="AD73">
        <f>RAND()</f>
        <v/>
      </c>
      <c r="AE73">
        <f>RAND()</f>
        <v/>
      </c>
      <c r="AF73">
        <f>RAND()</f>
        <v/>
      </c>
    </row>
    <row r="74">
      <c r="M74" s="14">
        <f>_xlfn.BETA.INV($AA74,1+4*($D$5-$C$5)/($E$5-$C$5),1+4*($E$5-$D$5)/($E$5-$C$5),$C$5,$E$5)</f>
        <v/>
      </c>
      <c r="N74" s="14">
        <f>IF($AB74&lt;($D$6-$C$6)/($E$6-$C$6),$C$6+SQRT($AB74*($E$6-$C$6)*($D$6-$C$6)),$E$6-SQRT((1-$AB74)*($E$6-$C$6)*($E$6-$D$6)))</f>
        <v/>
      </c>
      <c r="O74" s="14">
        <f>_xlfn.NORM.INV($AC74,$C$7,$D$7)</f>
        <v/>
      </c>
      <c r="P74" s="14">
        <f>$C$8+($D$8-$C$8)*$AD74</f>
        <v/>
      </c>
      <c r="Q74" s="14">
        <f>$C$9</f>
        <v/>
      </c>
      <c r="R74" s="14">
        <f>_xlfn.LOGNORM.INV($AF74,LN($C$10)-0.5*LN(1+($D$10/$C$10)^2),SQRT(LN(1+($D$10/$C$10)^2)))</f>
        <v/>
      </c>
      <c r="S74" s="14">
        <f>SUM(M74:R74)</f>
        <v/>
      </c>
      <c r="AA74">
        <f>RAND()</f>
        <v/>
      </c>
      <c r="AB74">
        <f>RAND()</f>
        <v/>
      </c>
      <c r="AC74">
        <f>RAND()</f>
        <v/>
      </c>
      <c r="AD74">
        <f>RAND()</f>
        <v/>
      </c>
      <c r="AE74">
        <f>RAND()</f>
        <v/>
      </c>
      <c r="AF74">
        <f>RAND()</f>
        <v/>
      </c>
    </row>
    <row r="75">
      <c r="M75" s="14">
        <f>_xlfn.BETA.INV($AA75,1+4*($D$5-$C$5)/($E$5-$C$5),1+4*($E$5-$D$5)/($E$5-$C$5),$C$5,$E$5)</f>
        <v/>
      </c>
      <c r="N75" s="14">
        <f>IF($AB75&lt;($D$6-$C$6)/($E$6-$C$6),$C$6+SQRT($AB75*($E$6-$C$6)*($D$6-$C$6)),$E$6-SQRT((1-$AB75)*($E$6-$C$6)*($E$6-$D$6)))</f>
        <v/>
      </c>
      <c r="O75" s="14">
        <f>_xlfn.NORM.INV($AC75,$C$7,$D$7)</f>
        <v/>
      </c>
      <c r="P75" s="14">
        <f>$C$8+($D$8-$C$8)*$AD75</f>
        <v/>
      </c>
      <c r="Q75" s="14">
        <f>$C$9</f>
        <v/>
      </c>
      <c r="R75" s="14">
        <f>_xlfn.LOGNORM.INV($AF75,LN($C$10)-0.5*LN(1+($D$10/$C$10)^2),SQRT(LN(1+($D$10/$C$10)^2)))</f>
        <v/>
      </c>
      <c r="S75" s="14">
        <f>SUM(M75:R75)</f>
        <v/>
      </c>
      <c r="AA75">
        <f>RAND()</f>
        <v/>
      </c>
      <c r="AB75">
        <f>RAND()</f>
        <v/>
      </c>
      <c r="AC75">
        <f>RAND()</f>
        <v/>
      </c>
      <c r="AD75">
        <f>RAND()</f>
        <v/>
      </c>
      <c r="AE75">
        <f>RAND()</f>
        <v/>
      </c>
      <c r="AF75">
        <f>RAND()</f>
        <v/>
      </c>
    </row>
    <row r="76">
      <c r="M76" s="14">
        <f>_xlfn.BETA.INV($AA76,1+4*($D$5-$C$5)/($E$5-$C$5),1+4*($E$5-$D$5)/($E$5-$C$5),$C$5,$E$5)</f>
        <v/>
      </c>
      <c r="N76" s="14">
        <f>IF($AB76&lt;($D$6-$C$6)/($E$6-$C$6),$C$6+SQRT($AB76*($E$6-$C$6)*($D$6-$C$6)),$E$6-SQRT((1-$AB76)*($E$6-$C$6)*($E$6-$D$6)))</f>
        <v/>
      </c>
      <c r="O76" s="14">
        <f>_xlfn.NORM.INV($AC76,$C$7,$D$7)</f>
        <v/>
      </c>
      <c r="P76" s="14">
        <f>$C$8+($D$8-$C$8)*$AD76</f>
        <v/>
      </c>
      <c r="Q76" s="14">
        <f>$C$9</f>
        <v/>
      </c>
      <c r="R76" s="14">
        <f>_xlfn.LOGNORM.INV($AF76,LN($C$10)-0.5*LN(1+($D$10/$C$10)^2),SQRT(LN(1+($D$10/$C$10)^2)))</f>
        <v/>
      </c>
      <c r="S76" s="14">
        <f>SUM(M76:R76)</f>
        <v/>
      </c>
      <c r="AA76">
        <f>RAND()</f>
        <v/>
      </c>
      <c r="AB76">
        <f>RAND()</f>
        <v/>
      </c>
      <c r="AC76">
        <f>RAND()</f>
        <v/>
      </c>
      <c r="AD76">
        <f>RAND()</f>
        <v/>
      </c>
      <c r="AE76">
        <f>RAND()</f>
        <v/>
      </c>
      <c r="AF76">
        <f>RAND()</f>
        <v/>
      </c>
    </row>
    <row r="77">
      <c r="M77" s="14">
        <f>_xlfn.BETA.INV($AA77,1+4*($D$5-$C$5)/($E$5-$C$5),1+4*($E$5-$D$5)/($E$5-$C$5),$C$5,$E$5)</f>
        <v/>
      </c>
      <c r="N77" s="14">
        <f>IF($AB77&lt;($D$6-$C$6)/($E$6-$C$6),$C$6+SQRT($AB77*($E$6-$C$6)*($D$6-$C$6)),$E$6-SQRT((1-$AB77)*($E$6-$C$6)*($E$6-$D$6)))</f>
        <v/>
      </c>
      <c r="O77" s="14">
        <f>_xlfn.NORM.INV($AC77,$C$7,$D$7)</f>
        <v/>
      </c>
      <c r="P77" s="14">
        <f>$C$8+($D$8-$C$8)*$AD77</f>
        <v/>
      </c>
      <c r="Q77" s="14">
        <f>$C$9</f>
        <v/>
      </c>
      <c r="R77" s="14">
        <f>_xlfn.LOGNORM.INV($AF77,LN($C$10)-0.5*LN(1+($D$10/$C$10)^2),SQRT(LN(1+($D$10/$C$10)^2)))</f>
        <v/>
      </c>
      <c r="S77" s="14">
        <f>SUM(M77:R77)</f>
        <v/>
      </c>
      <c r="AA77">
        <f>RAND()</f>
        <v/>
      </c>
      <c r="AB77">
        <f>RAND()</f>
        <v/>
      </c>
      <c r="AC77">
        <f>RAND()</f>
        <v/>
      </c>
      <c r="AD77">
        <f>RAND()</f>
        <v/>
      </c>
      <c r="AE77">
        <f>RAND()</f>
        <v/>
      </c>
      <c r="AF77">
        <f>RAND()</f>
        <v/>
      </c>
    </row>
    <row r="78">
      <c r="M78" s="14">
        <f>_xlfn.BETA.INV($AA78,1+4*($D$5-$C$5)/($E$5-$C$5),1+4*($E$5-$D$5)/($E$5-$C$5),$C$5,$E$5)</f>
        <v/>
      </c>
      <c r="N78" s="14">
        <f>IF($AB78&lt;($D$6-$C$6)/($E$6-$C$6),$C$6+SQRT($AB78*($E$6-$C$6)*($D$6-$C$6)),$E$6-SQRT((1-$AB78)*($E$6-$C$6)*($E$6-$D$6)))</f>
        <v/>
      </c>
      <c r="O78" s="14">
        <f>_xlfn.NORM.INV($AC78,$C$7,$D$7)</f>
        <v/>
      </c>
      <c r="P78" s="14">
        <f>$C$8+($D$8-$C$8)*$AD78</f>
        <v/>
      </c>
      <c r="Q78" s="14">
        <f>$C$9</f>
        <v/>
      </c>
      <c r="R78" s="14">
        <f>_xlfn.LOGNORM.INV($AF78,LN($C$10)-0.5*LN(1+($D$10/$C$10)^2),SQRT(LN(1+($D$10/$C$10)^2)))</f>
        <v/>
      </c>
      <c r="S78" s="14">
        <f>SUM(M78:R78)</f>
        <v/>
      </c>
      <c r="AA78">
        <f>RAND()</f>
        <v/>
      </c>
      <c r="AB78">
        <f>RAND()</f>
        <v/>
      </c>
      <c r="AC78">
        <f>RAND()</f>
        <v/>
      </c>
      <c r="AD78">
        <f>RAND()</f>
        <v/>
      </c>
      <c r="AE78">
        <f>RAND()</f>
        <v/>
      </c>
      <c r="AF78">
        <f>RAND()</f>
        <v/>
      </c>
    </row>
    <row r="79">
      <c r="M79" s="14">
        <f>_xlfn.BETA.INV($AA79,1+4*($D$5-$C$5)/($E$5-$C$5),1+4*($E$5-$D$5)/($E$5-$C$5),$C$5,$E$5)</f>
        <v/>
      </c>
      <c r="N79" s="14">
        <f>IF($AB79&lt;($D$6-$C$6)/($E$6-$C$6),$C$6+SQRT($AB79*($E$6-$C$6)*($D$6-$C$6)),$E$6-SQRT((1-$AB79)*($E$6-$C$6)*($E$6-$D$6)))</f>
        <v/>
      </c>
      <c r="O79" s="14">
        <f>_xlfn.NORM.INV($AC79,$C$7,$D$7)</f>
        <v/>
      </c>
      <c r="P79" s="14">
        <f>$C$8+($D$8-$C$8)*$AD79</f>
        <v/>
      </c>
      <c r="Q79" s="14">
        <f>$C$9</f>
        <v/>
      </c>
      <c r="R79" s="14">
        <f>_xlfn.LOGNORM.INV($AF79,LN($C$10)-0.5*LN(1+($D$10/$C$10)^2),SQRT(LN(1+($D$10/$C$10)^2)))</f>
        <v/>
      </c>
      <c r="S79" s="14">
        <f>SUM(M79:R79)</f>
        <v/>
      </c>
      <c r="AA79">
        <f>RAND()</f>
        <v/>
      </c>
      <c r="AB79">
        <f>RAND()</f>
        <v/>
      </c>
      <c r="AC79">
        <f>RAND()</f>
        <v/>
      </c>
      <c r="AD79">
        <f>RAND()</f>
        <v/>
      </c>
      <c r="AE79">
        <f>RAND()</f>
        <v/>
      </c>
      <c r="AF79">
        <f>RAND()</f>
        <v/>
      </c>
    </row>
    <row r="80">
      <c r="M80" s="14">
        <f>_xlfn.BETA.INV($AA80,1+4*($D$5-$C$5)/($E$5-$C$5),1+4*($E$5-$D$5)/($E$5-$C$5),$C$5,$E$5)</f>
        <v/>
      </c>
      <c r="N80" s="14">
        <f>IF($AB80&lt;($D$6-$C$6)/($E$6-$C$6),$C$6+SQRT($AB80*($E$6-$C$6)*($D$6-$C$6)),$E$6-SQRT((1-$AB80)*($E$6-$C$6)*($E$6-$D$6)))</f>
        <v/>
      </c>
      <c r="O80" s="14">
        <f>_xlfn.NORM.INV($AC80,$C$7,$D$7)</f>
        <v/>
      </c>
      <c r="P80" s="14">
        <f>$C$8+($D$8-$C$8)*$AD80</f>
        <v/>
      </c>
      <c r="Q80" s="14">
        <f>$C$9</f>
        <v/>
      </c>
      <c r="R80" s="14">
        <f>_xlfn.LOGNORM.INV($AF80,LN($C$10)-0.5*LN(1+($D$10/$C$10)^2),SQRT(LN(1+($D$10/$C$10)^2)))</f>
        <v/>
      </c>
      <c r="S80" s="14">
        <f>SUM(M80:R80)</f>
        <v/>
      </c>
      <c r="AA80">
        <f>RAND()</f>
        <v/>
      </c>
      <c r="AB80">
        <f>RAND()</f>
        <v/>
      </c>
      <c r="AC80">
        <f>RAND()</f>
        <v/>
      </c>
      <c r="AD80">
        <f>RAND()</f>
        <v/>
      </c>
      <c r="AE80">
        <f>RAND()</f>
        <v/>
      </c>
      <c r="AF80">
        <f>RAND()</f>
        <v/>
      </c>
    </row>
    <row r="81">
      <c r="M81" s="14">
        <f>_xlfn.BETA.INV($AA81,1+4*($D$5-$C$5)/($E$5-$C$5),1+4*($E$5-$D$5)/($E$5-$C$5),$C$5,$E$5)</f>
        <v/>
      </c>
      <c r="N81" s="14">
        <f>IF($AB81&lt;($D$6-$C$6)/($E$6-$C$6),$C$6+SQRT($AB81*($E$6-$C$6)*($D$6-$C$6)),$E$6-SQRT((1-$AB81)*($E$6-$C$6)*($E$6-$D$6)))</f>
        <v/>
      </c>
      <c r="O81" s="14">
        <f>_xlfn.NORM.INV($AC81,$C$7,$D$7)</f>
        <v/>
      </c>
      <c r="P81" s="14">
        <f>$C$8+($D$8-$C$8)*$AD81</f>
        <v/>
      </c>
      <c r="Q81" s="14">
        <f>$C$9</f>
        <v/>
      </c>
      <c r="R81" s="14">
        <f>_xlfn.LOGNORM.INV($AF81,LN($C$10)-0.5*LN(1+($D$10/$C$10)^2),SQRT(LN(1+($D$10/$C$10)^2)))</f>
        <v/>
      </c>
      <c r="S81" s="14">
        <f>SUM(M81:R81)</f>
        <v/>
      </c>
      <c r="AA81">
        <f>RAND()</f>
        <v/>
      </c>
      <c r="AB81">
        <f>RAND()</f>
        <v/>
      </c>
      <c r="AC81">
        <f>RAND()</f>
        <v/>
      </c>
      <c r="AD81">
        <f>RAND()</f>
        <v/>
      </c>
      <c r="AE81">
        <f>RAND()</f>
        <v/>
      </c>
      <c r="AF81">
        <f>RAND()</f>
        <v/>
      </c>
    </row>
    <row r="82">
      <c r="M82" s="14">
        <f>_xlfn.BETA.INV($AA82,1+4*($D$5-$C$5)/($E$5-$C$5),1+4*($E$5-$D$5)/($E$5-$C$5),$C$5,$E$5)</f>
        <v/>
      </c>
      <c r="N82" s="14">
        <f>IF($AB82&lt;($D$6-$C$6)/($E$6-$C$6),$C$6+SQRT($AB82*($E$6-$C$6)*($D$6-$C$6)),$E$6-SQRT((1-$AB82)*($E$6-$C$6)*($E$6-$D$6)))</f>
        <v/>
      </c>
      <c r="O82" s="14">
        <f>_xlfn.NORM.INV($AC82,$C$7,$D$7)</f>
        <v/>
      </c>
      <c r="P82" s="14">
        <f>$C$8+($D$8-$C$8)*$AD82</f>
        <v/>
      </c>
      <c r="Q82" s="14">
        <f>$C$9</f>
        <v/>
      </c>
      <c r="R82" s="14">
        <f>_xlfn.LOGNORM.INV($AF82,LN($C$10)-0.5*LN(1+($D$10/$C$10)^2),SQRT(LN(1+($D$10/$C$10)^2)))</f>
        <v/>
      </c>
      <c r="S82" s="14">
        <f>SUM(M82:R82)</f>
        <v/>
      </c>
      <c r="AA82">
        <f>RAND()</f>
        <v/>
      </c>
      <c r="AB82">
        <f>RAND()</f>
        <v/>
      </c>
      <c r="AC82">
        <f>RAND()</f>
        <v/>
      </c>
      <c r="AD82">
        <f>RAND()</f>
        <v/>
      </c>
      <c r="AE82">
        <f>RAND()</f>
        <v/>
      </c>
      <c r="AF82">
        <f>RAND()</f>
        <v/>
      </c>
    </row>
    <row r="83">
      <c r="M83" s="14">
        <f>_xlfn.BETA.INV($AA83,1+4*($D$5-$C$5)/($E$5-$C$5),1+4*($E$5-$D$5)/($E$5-$C$5),$C$5,$E$5)</f>
        <v/>
      </c>
      <c r="N83" s="14">
        <f>IF($AB83&lt;($D$6-$C$6)/($E$6-$C$6),$C$6+SQRT($AB83*($E$6-$C$6)*($D$6-$C$6)),$E$6-SQRT((1-$AB83)*($E$6-$C$6)*($E$6-$D$6)))</f>
        <v/>
      </c>
      <c r="O83" s="14">
        <f>_xlfn.NORM.INV($AC83,$C$7,$D$7)</f>
        <v/>
      </c>
      <c r="P83" s="14">
        <f>$C$8+($D$8-$C$8)*$AD83</f>
        <v/>
      </c>
      <c r="Q83" s="14">
        <f>$C$9</f>
        <v/>
      </c>
      <c r="R83" s="14">
        <f>_xlfn.LOGNORM.INV($AF83,LN($C$10)-0.5*LN(1+($D$10/$C$10)^2),SQRT(LN(1+($D$10/$C$10)^2)))</f>
        <v/>
      </c>
      <c r="S83" s="14">
        <f>SUM(M83:R83)</f>
        <v/>
      </c>
      <c r="AA83">
        <f>RAND()</f>
        <v/>
      </c>
      <c r="AB83">
        <f>RAND()</f>
        <v/>
      </c>
      <c r="AC83">
        <f>RAND()</f>
        <v/>
      </c>
      <c r="AD83">
        <f>RAND()</f>
        <v/>
      </c>
      <c r="AE83">
        <f>RAND()</f>
        <v/>
      </c>
      <c r="AF83">
        <f>RAND()</f>
        <v/>
      </c>
    </row>
    <row r="84">
      <c r="M84" s="14">
        <f>_xlfn.BETA.INV($AA84,1+4*($D$5-$C$5)/($E$5-$C$5),1+4*($E$5-$D$5)/($E$5-$C$5),$C$5,$E$5)</f>
        <v/>
      </c>
      <c r="N84" s="14">
        <f>IF($AB84&lt;($D$6-$C$6)/($E$6-$C$6),$C$6+SQRT($AB84*($E$6-$C$6)*($D$6-$C$6)),$E$6-SQRT((1-$AB84)*($E$6-$C$6)*($E$6-$D$6)))</f>
        <v/>
      </c>
      <c r="O84" s="14">
        <f>_xlfn.NORM.INV($AC84,$C$7,$D$7)</f>
        <v/>
      </c>
      <c r="P84" s="14">
        <f>$C$8+($D$8-$C$8)*$AD84</f>
        <v/>
      </c>
      <c r="Q84" s="14">
        <f>$C$9</f>
        <v/>
      </c>
      <c r="R84" s="14">
        <f>_xlfn.LOGNORM.INV($AF84,LN($C$10)-0.5*LN(1+($D$10/$C$10)^2),SQRT(LN(1+($D$10/$C$10)^2)))</f>
        <v/>
      </c>
      <c r="S84" s="14">
        <f>SUM(M84:R84)</f>
        <v/>
      </c>
      <c r="AA84">
        <f>RAND()</f>
        <v/>
      </c>
      <c r="AB84">
        <f>RAND()</f>
        <v/>
      </c>
      <c r="AC84">
        <f>RAND()</f>
        <v/>
      </c>
      <c r="AD84">
        <f>RAND()</f>
        <v/>
      </c>
      <c r="AE84">
        <f>RAND()</f>
        <v/>
      </c>
      <c r="AF84">
        <f>RAND()</f>
        <v/>
      </c>
    </row>
    <row r="85">
      <c r="M85" s="14">
        <f>_xlfn.BETA.INV($AA85,1+4*($D$5-$C$5)/($E$5-$C$5),1+4*($E$5-$D$5)/($E$5-$C$5),$C$5,$E$5)</f>
        <v/>
      </c>
      <c r="N85" s="14">
        <f>IF($AB85&lt;($D$6-$C$6)/($E$6-$C$6),$C$6+SQRT($AB85*($E$6-$C$6)*($D$6-$C$6)),$E$6-SQRT((1-$AB85)*($E$6-$C$6)*($E$6-$D$6)))</f>
        <v/>
      </c>
      <c r="O85" s="14">
        <f>_xlfn.NORM.INV($AC85,$C$7,$D$7)</f>
        <v/>
      </c>
      <c r="P85" s="14">
        <f>$C$8+($D$8-$C$8)*$AD85</f>
        <v/>
      </c>
      <c r="Q85" s="14">
        <f>$C$9</f>
        <v/>
      </c>
      <c r="R85" s="14">
        <f>_xlfn.LOGNORM.INV($AF85,LN($C$10)-0.5*LN(1+($D$10/$C$10)^2),SQRT(LN(1+($D$10/$C$10)^2)))</f>
        <v/>
      </c>
      <c r="S85" s="14">
        <f>SUM(M85:R85)</f>
        <v/>
      </c>
      <c r="AA85">
        <f>RAND()</f>
        <v/>
      </c>
      <c r="AB85">
        <f>RAND()</f>
        <v/>
      </c>
      <c r="AC85">
        <f>RAND()</f>
        <v/>
      </c>
      <c r="AD85">
        <f>RAND()</f>
        <v/>
      </c>
      <c r="AE85">
        <f>RAND()</f>
        <v/>
      </c>
      <c r="AF85">
        <f>RAND()</f>
        <v/>
      </c>
    </row>
    <row r="86">
      <c r="M86" s="14">
        <f>_xlfn.BETA.INV($AA86,1+4*($D$5-$C$5)/($E$5-$C$5),1+4*($E$5-$D$5)/($E$5-$C$5),$C$5,$E$5)</f>
        <v/>
      </c>
      <c r="N86" s="14">
        <f>IF($AB86&lt;($D$6-$C$6)/($E$6-$C$6),$C$6+SQRT($AB86*($E$6-$C$6)*($D$6-$C$6)),$E$6-SQRT((1-$AB86)*($E$6-$C$6)*($E$6-$D$6)))</f>
        <v/>
      </c>
      <c r="O86" s="14">
        <f>_xlfn.NORM.INV($AC86,$C$7,$D$7)</f>
        <v/>
      </c>
      <c r="P86" s="14">
        <f>$C$8+($D$8-$C$8)*$AD86</f>
        <v/>
      </c>
      <c r="Q86" s="14">
        <f>$C$9</f>
        <v/>
      </c>
      <c r="R86" s="14">
        <f>_xlfn.LOGNORM.INV($AF86,LN($C$10)-0.5*LN(1+($D$10/$C$10)^2),SQRT(LN(1+($D$10/$C$10)^2)))</f>
        <v/>
      </c>
      <c r="S86" s="14">
        <f>SUM(M86:R86)</f>
        <v/>
      </c>
      <c r="AA86">
        <f>RAND()</f>
        <v/>
      </c>
      <c r="AB86">
        <f>RAND()</f>
        <v/>
      </c>
      <c r="AC86">
        <f>RAND()</f>
        <v/>
      </c>
      <c r="AD86">
        <f>RAND()</f>
        <v/>
      </c>
      <c r="AE86">
        <f>RAND()</f>
        <v/>
      </c>
      <c r="AF86">
        <f>RAND()</f>
        <v/>
      </c>
    </row>
    <row r="87">
      <c r="M87" s="14">
        <f>_xlfn.BETA.INV($AA87,1+4*($D$5-$C$5)/($E$5-$C$5),1+4*($E$5-$D$5)/($E$5-$C$5),$C$5,$E$5)</f>
        <v/>
      </c>
      <c r="N87" s="14">
        <f>IF($AB87&lt;($D$6-$C$6)/($E$6-$C$6),$C$6+SQRT($AB87*($E$6-$C$6)*($D$6-$C$6)),$E$6-SQRT((1-$AB87)*($E$6-$C$6)*($E$6-$D$6)))</f>
        <v/>
      </c>
      <c r="O87" s="14">
        <f>_xlfn.NORM.INV($AC87,$C$7,$D$7)</f>
        <v/>
      </c>
      <c r="P87" s="14">
        <f>$C$8+($D$8-$C$8)*$AD87</f>
        <v/>
      </c>
      <c r="Q87" s="14">
        <f>$C$9</f>
        <v/>
      </c>
      <c r="R87" s="14">
        <f>_xlfn.LOGNORM.INV($AF87,LN($C$10)-0.5*LN(1+($D$10/$C$10)^2),SQRT(LN(1+($D$10/$C$10)^2)))</f>
        <v/>
      </c>
      <c r="S87" s="14">
        <f>SUM(M87:R87)</f>
        <v/>
      </c>
      <c r="AA87">
        <f>RAND()</f>
        <v/>
      </c>
      <c r="AB87">
        <f>RAND()</f>
        <v/>
      </c>
      <c r="AC87">
        <f>RAND()</f>
        <v/>
      </c>
      <c r="AD87">
        <f>RAND()</f>
        <v/>
      </c>
      <c r="AE87">
        <f>RAND()</f>
        <v/>
      </c>
      <c r="AF87">
        <f>RAND()</f>
        <v/>
      </c>
    </row>
    <row r="88">
      <c r="M88" s="14">
        <f>_xlfn.BETA.INV($AA88,1+4*($D$5-$C$5)/($E$5-$C$5),1+4*($E$5-$D$5)/($E$5-$C$5),$C$5,$E$5)</f>
        <v/>
      </c>
      <c r="N88" s="14">
        <f>IF($AB88&lt;($D$6-$C$6)/($E$6-$C$6),$C$6+SQRT($AB88*($E$6-$C$6)*($D$6-$C$6)),$E$6-SQRT((1-$AB88)*($E$6-$C$6)*($E$6-$D$6)))</f>
        <v/>
      </c>
      <c r="O88" s="14">
        <f>_xlfn.NORM.INV($AC88,$C$7,$D$7)</f>
        <v/>
      </c>
      <c r="P88" s="14">
        <f>$C$8+($D$8-$C$8)*$AD88</f>
        <v/>
      </c>
      <c r="Q88" s="14">
        <f>$C$9</f>
        <v/>
      </c>
      <c r="R88" s="14">
        <f>_xlfn.LOGNORM.INV($AF88,LN($C$10)-0.5*LN(1+($D$10/$C$10)^2),SQRT(LN(1+($D$10/$C$10)^2)))</f>
        <v/>
      </c>
      <c r="S88" s="14">
        <f>SUM(M88:R88)</f>
        <v/>
      </c>
      <c r="AA88">
        <f>RAND()</f>
        <v/>
      </c>
      <c r="AB88">
        <f>RAND()</f>
        <v/>
      </c>
      <c r="AC88">
        <f>RAND()</f>
        <v/>
      </c>
      <c r="AD88">
        <f>RAND()</f>
        <v/>
      </c>
      <c r="AE88">
        <f>RAND()</f>
        <v/>
      </c>
      <c r="AF88">
        <f>RAND()</f>
        <v/>
      </c>
    </row>
    <row r="89">
      <c r="M89" s="14">
        <f>_xlfn.BETA.INV($AA89,1+4*($D$5-$C$5)/($E$5-$C$5),1+4*($E$5-$D$5)/($E$5-$C$5),$C$5,$E$5)</f>
        <v/>
      </c>
      <c r="N89" s="14">
        <f>IF($AB89&lt;($D$6-$C$6)/($E$6-$C$6),$C$6+SQRT($AB89*($E$6-$C$6)*($D$6-$C$6)),$E$6-SQRT((1-$AB89)*($E$6-$C$6)*($E$6-$D$6)))</f>
        <v/>
      </c>
      <c r="O89" s="14">
        <f>_xlfn.NORM.INV($AC89,$C$7,$D$7)</f>
        <v/>
      </c>
      <c r="P89" s="14">
        <f>$C$8+($D$8-$C$8)*$AD89</f>
        <v/>
      </c>
      <c r="Q89" s="14">
        <f>$C$9</f>
        <v/>
      </c>
      <c r="R89" s="14">
        <f>_xlfn.LOGNORM.INV($AF89,LN($C$10)-0.5*LN(1+($D$10/$C$10)^2),SQRT(LN(1+($D$10/$C$10)^2)))</f>
        <v/>
      </c>
      <c r="S89" s="14">
        <f>SUM(M89:R89)</f>
        <v/>
      </c>
      <c r="AA89">
        <f>RAND()</f>
        <v/>
      </c>
      <c r="AB89">
        <f>RAND()</f>
        <v/>
      </c>
      <c r="AC89">
        <f>RAND()</f>
        <v/>
      </c>
      <c r="AD89">
        <f>RAND()</f>
        <v/>
      </c>
      <c r="AE89">
        <f>RAND()</f>
        <v/>
      </c>
      <c r="AF89">
        <f>RAND()</f>
        <v/>
      </c>
    </row>
    <row r="90">
      <c r="M90" s="14">
        <f>_xlfn.BETA.INV($AA90,1+4*($D$5-$C$5)/($E$5-$C$5),1+4*($E$5-$D$5)/($E$5-$C$5),$C$5,$E$5)</f>
        <v/>
      </c>
      <c r="N90" s="14">
        <f>IF($AB90&lt;($D$6-$C$6)/($E$6-$C$6),$C$6+SQRT($AB90*($E$6-$C$6)*($D$6-$C$6)),$E$6-SQRT((1-$AB90)*($E$6-$C$6)*($E$6-$D$6)))</f>
        <v/>
      </c>
      <c r="O90" s="14">
        <f>_xlfn.NORM.INV($AC90,$C$7,$D$7)</f>
        <v/>
      </c>
      <c r="P90" s="14">
        <f>$C$8+($D$8-$C$8)*$AD90</f>
        <v/>
      </c>
      <c r="Q90" s="14">
        <f>$C$9</f>
        <v/>
      </c>
      <c r="R90" s="14">
        <f>_xlfn.LOGNORM.INV($AF90,LN($C$10)-0.5*LN(1+($D$10/$C$10)^2),SQRT(LN(1+($D$10/$C$10)^2)))</f>
        <v/>
      </c>
      <c r="S90" s="14">
        <f>SUM(M90:R90)</f>
        <v/>
      </c>
      <c r="AA90">
        <f>RAND()</f>
        <v/>
      </c>
      <c r="AB90">
        <f>RAND()</f>
        <v/>
      </c>
      <c r="AC90">
        <f>RAND()</f>
        <v/>
      </c>
      <c r="AD90">
        <f>RAND()</f>
        <v/>
      </c>
      <c r="AE90">
        <f>RAND()</f>
        <v/>
      </c>
      <c r="AF90">
        <f>RAND()</f>
        <v/>
      </c>
    </row>
    <row r="91">
      <c r="M91" s="14">
        <f>_xlfn.BETA.INV($AA91,1+4*($D$5-$C$5)/($E$5-$C$5),1+4*($E$5-$D$5)/($E$5-$C$5),$C$5,$E$5)</f>
        <v/>
      </c>
      <c r="N91" s="14">
        <f>IF($AB91&lt;($D$6-$C$6)/($E$6-$C$6),$C$6+SQRT($AB91*($E$6-$C$6)*($D$6-$C$6)),$E$6-SQRT((1-$AB91)*($E$6-$C$6)*($E$6-$D$6)))</f>
        <v/>
      </c>
      <c r="O91" s="14">
        <f>_xlfn.NORM.INV($AC91,$C$7,$D$7)</f>
        <v/>
      </c>
      <c r="P91" s="14">
        <f>$C$8+($D$8-$C$8)*$AD91</f>
        <v/>
      </c>
      <c r="Q91" s="14">
        <f>$C$9</f>
        <v/>
      </c>
      <c r="R91" s="14">
        <f>_xlfn.LOGNORM.INV($AF91,LN($C$10)-0.5*LN(1+($D$10/$C$10)^2),SQRT(LN(1+($D$10/$C$10)^2)))</f>
        <v/>
      </c>
      <c r="S91" s="14">
        <f>SUM(M91:R91)</f>
        <v/>
      </c>
      <c r="AA91">
        <f>RAND()</f>
        <v/>
      </c>
      <c r="AB91">
        <f>RAND()</f>
        <v/>
      </c>
      <c r="AC91">
        <f>RAND()</f>
        <v/>
      </c>
      <c r="AD91">
        <f>RAND()</f>
        <v/>
      </c>
      <c r="AE91">
        <f>RAND()</f>
        <v/>
      </c>
      <c r="AF91">
        <f>RAND()</f>
        <v/>
      </c>
    </row>
    <row r="92">
      <c r="M92" s="14">
        <f>_xlfn.BETA.INV($AA92,1+4*($D$5-$C$5)/($E$5-$C$5),1+4*($E$5-$D$5)/($E$5-$C$5),$C$5,$E$5)</f>
        <v/>
      </c>
      <c r="N92" s="14">
        <f>IF($AB92&lt;($D$6-$C$6)/($E$6-$C$6),$C$6+SQRT($AB92*($E$6-$C$6)*($D$6-$C$6)),$E$6-SQRT((1-$AB92)*($E$6-$C$6)*($E$6-$D$6)))</f>
        <v/>
      </c>
      <c r="O92" s="14">
        <f>_xlfn.NORM.INV($AC92,$C$7,$D$7)</f>
        <v/>
      </c>
      <c r="P92" s="14">
        <f>$C$8+($D$8-$C$8)*$AD92</f>
        <v/>
      </c>
      <c r="Q92" s="14">
        <f>$C$9</f>
        <v/>
      </c>
      <c r="R92" s="14">
        <f>_xlfn.LOGNORM.INV($AF92,LN($C$10)-0.5*LN(1+($D$10/$C$10)^2),SQRT(LN(1+($D$10/$C$10)^2)))</f>
        <v/>
      </c>
      <c r="S92" s="14">
        <f>SUM(M92:R92)</f>
        <v/>
      </c>
      <c r="AA92">
        <f>RAND()</f>
        <v/>
      </c>
      <c r="AB92">
        <f>RAND()</f>
        <v/>
      </c>
      <c r="AC92">
        <f>RAND()</f>
        <v/>
      </c>
      <c r="AD92">
        <f>RAND()</f>
        <v/>
      </c>
      <c r="AE92">
        <f>RAND()</f>
        <v/>
      </c>
      <c r="AF92">
        <f>RAND()</f>
        <v/>
      </c>
    </row>
    <row r="93">
      <c r="M93" s="14">
        <f>_xlfn.BETA.INV($AA93,1+4*($D$5-$C$5)/($E$5-$C$5),1+4*($E$5-$D$5)/($E$5-$C$5),$C$5,$E$5)</f>
        <v/>
      </c>
      <c r="N93" s="14">
        <f>IF($AB93&lt;($D$6-$C$6)/($E$6-$C$6),$C$6+SQRT($AB93*($E$6-$C$6)*($D$6-$C$6)),$E$6-SQRT((1-$AB93)*($E$6-$C$6)*($E$6-$D$6)))</f>
        <v/>
      </c>
      <c r="O93" s="14">
        <f>_xlfn.NORM.INV($AC93,$C$7,$D$7)</f>
        <v/>
      </c>
      <c r="P93" s="14">
        <f>$C$8+($D$8-$C$8)*$AD93</f>
        <v/>
      </c>
      <c r="Q93" s="14">
        <f>$C$9</f>
        <v/>
      </c>
      <c r="R93" s="14">
        <f>_xlfn.LOGNORM.INV($AF93,LN($C$10)-0.5*LN(1+($D$10/$C$10)^2),SQRT(LN(1+($D$10/$C$10)^2)))</f>
        <v/>
      </c>
      <c r="S93" s="14">
        <f>SUM(M93:R93)</f>
        <v/>
      </c>
      <c r="AA93">
        <f>RAND()</f>
        <v/>
      </c>
      <c r="AB93">
        <f>RAND()</f>
        <v/>
      </c>
      <c r="AC93">
        <f>RAND()</f>
        <v/>
      </c>
      <c r="AD93">
        <f>RAND()</f>
        <v/>
      </c>
      <c r="AE93">
        <f>RAND()</f>
        <v/>
      </c>
      <c r="AF93">
        <f>RAND()</f>
        <v/>
      </c>
    </row>
    <row r="94">
      <c r="M94" s="14">
        <f>_xlfn.BETA.INV($AA94,1+4*($D$5-$C$5)/($E$5-$C$5),1+4*($E$5-$D$5)/($E$5-$C$5),$C$5,$E$5)</f>
        <v/>
      </c>
      <c r="N94" s="14">
        <f>IF($AB94&lt;($D$6-$C$6)/($E$6-$C$6),$C$6+SQRT($AB94*($E$6-$C$6)*($D$6-$C$6)),$E$6-SQRT((1-$AB94)*($E$6-$C$6)*($E$6-$D$6)))</f>
        <v/>
      </c>
      <c r="O94" s="14">
        <f>_xlfn.NORM.INV($AC94,$C$7,$D$7)</f>
        <v/>
      </c>
      <c r="P94" s="14">
        <f>$C$8+($D$8-$C$8)*$AD94</f>
        <v/>
      </c>
      <c r="Q94" s="14">
        <f>$C$9</f>
        <v/>
      </c>
      <c r="R94" s="14">
        <f>_xlfn.LOGNORM.INV($AF94,LN($C$10)-0.5*LN(1+($D$10/$C$10)^2),SQRT(LN(1+($D$10/$C$10)^2)))</f>
        <v/>
      </c>
      <c r="S94" s="14">
        <f>SUM(M94:R94)</f>
        <v/>
      </c>
      <c r="AA94">
        <f>RAND()</f>
        <v/>
      </c>
      <c r="AB94">
        <f>RAND()</f>
        <v/>
      </c>
      <c r="AC94">
        <f>RAND()</f>
        <v/>
      </c>
      <c r="AD94">
        <f>RAND()</f>
        <v/>
      </c>
      <c r="AE94">
        <f>RAND()</f>
        <v/>
      </c>
      <c r="AF94">
        <f>RAND()</f>
        <v/>
      </c>
    </row>
    <row r="95">
      <c r="M95" s="14">
        <f>_xlfn.BETA.INV($AA95,1+4*($D$5-$C$5)/($E$5-$C$5),1+4*($E$5-$D$5)/($E$5-$C$5),$C$5,$E$5)</f>
        <v/>
      </c>
      <c r="N95" s="14">
        <f>IF($AB95&lt;($D$6-$C$6)/($E$6-$C$6),$C$6+SQRT($AB95*($E$6-$C$6)*($D$6-$C$6)),$E$6-SQRT((1-$AB95)*($E$6-$C$6)*($E$6-$D$6)))</f>
        <v/>
      </c>
      <c r="O95" s="14">
        <f>_xlfn.NORM.INV($AC95,$C$7,$D$7)</f>
        <v/>
      </c>
      <c r="P95" s="14">
        <f>$C$8+($D$8-$C$8)*$AD95</f>
        <v/>
      </c>
      <c r="Q95" s="14">
        <f>$C$9</f>
        <v/>
      </c>
      <c r="R95" s="14">
        <f>_xlfn.LOGNORM.INV($AF95,LN($C$10)-0.5*LN(1+($D$10/$C$10)^2),SQRT(LN(1+($D$10/$C$10)^2)))</f>
        <v/>
      </c>
      <c r="S95" s="14">
        <f>SUM(M95:R95)</f>
        <v/>
      </c>
      <c r="AA95">
        <f>RAND()</f>
        <v/>
      </c>
      <c r="AB95">
        <f>RAND()</f>
        <v/>
      </c>
      <c r="AC95">
        <f>RAND()</f>
        <v/>
      </c>
      <c r="AD95">
        <f>RAND()</f>
        <v/>
      </c>
      <c r="AE95">
        <f>RAND()</f>
        <v/>
      </c>
      <c r="AF95">
        <f>RAND()</f>
        <v/>
      </c>
    </row>
    <row r="96">
      <c r="M96" s="14">
        <f>_xlfn.BETA.INV($AA96,1+4*($D$5-$C$5)/($E$5-$C$5),1+4*($E$5-$D$5)/($E$5-$C$5),$C$5,$E$5)</f>
        <v/>
      </c>
      <c r="N96" s="14">
        <f>IF($AB96&lt;($D$6-$C$6)/($E$6-$C$6),$C$6+SQRT($AB96*($E$6-$C$6)*($D$6-$C$6)),$E$6-SQRT((1-$AB96)*($E$6-$C$6)*($E$6-$D$6)))</f>
        <v/>
      </c>
      <c r="O96" s="14">
        <f>_xlfn.NORM.INV($AC96,$C$7,$D$7)</f>
        <v/>
      </c>
      <c r="P96" s="14">
        <f>$C$8+($D$8-$C$8)*$AD96</f>
        <v/>
      </c>
      <c r="Q96" s="14">
        <f>$C$9</f>
        <v/>
      </c>
      <c r="R96" s="14">
        <f>_xlfn.LOGNORM.INV($AF96,LN($C$10)-0.5*LN(1+($D$10/$C$10)^2),SQRT(LN(1+($D$10/$C$10)^2)))</f>
        <v/>
      </c>
      <c r="S96" s="14">
        <f>SUM(M96:R96)</f>
        <v/>
      </c>
      <c r="AA96">
        <f>RAND()</f>
        <v/>
      </c>
      <c r="AB96">
        <f>RAND()</f>
        <v/>
      </c>
      <c r="AC96">
        <f>RAND()</f>
        <v/>
      </c>
      <c r="AD96">
        <f>RAND()</f>
        <v/>
      </c>
      <c r="AE96">
        <f>RAND()</f>
        <v/>
      </c>
      <c r="AF96">
        <f>RAND()</f>
        <v/>
      </c>
    </row>
    <row r="97">
      <c r="M97" s="14">
        <f>_xlfn.BETA.INV($AA97,1+4*($D$5-$C$5)/($E$5-$C$5),1+4*($E$5-$D$5)/($E$5-$C$5),$C$5,$E$5)</f>
        <v/>
      </c>
      <c r="N97" s="14">
        <f>IF($AB97&lt;($D$6-$C$6)/($E$6-$C$6),$C$6+SQRT($AB97*($E$6-$C$6)*($D$6-$C$6)),$E$6-SQRT((1-$AB97)*($E$6-$C$6)*($E$6-$D$6)))</f>
        <v/>
      </c>
      <c r="O97" s="14">
        <f>_xlfn.NORM.INV($AC97,$C$7,$D$7)</f>
        <v/>
      </c>
      <c r="P97" s="14">
        <f>$C$8+($D$8-$C$8)*$AD97</f>
        <v/>
      </c>
      <c r="Q97" s="14">
        <f>$C$9</f>
        <v/>
      </c>
      <c r="R97" s="14">
        <f>_xlfn.LOGNORM.INV($AF97,LN($C$10)-0.5*LN(1+($D$10/$C$10)^2),SQRT(LN(1+($D$10/$C$10)^2)))</f>
        <v/>
      </c>
      <c r="S97" s="14">
        <f>SUM(M97:R97)</f>
        <v/>
      </c>
      <c r="AA97">
        <f>RAND()</f>
        <v/>
      </c>
      <c r="AB97">
        <f>RAND()</f>
        <v/>
      </c>
      <c r="AC97">
        <f>RAND()</f>
        <v/>
      </c>
      <c r="AD97">
        <f>RAND()</f>
        <v/>
      </c>
      <c r="AE97">
        <f>RAND()</f>
        <v/>
      </c>
      <c r="AF97">
        <f>RAND()</f>
        <v/>
      </c>
    </row>
    <row r="98">
      <c r="M98" s="14">
        <f>_xlfn.BETA.INV($AA98,1+4*($D$5-$C$5)/($E$5-$C$5),1+4*($E$5-$D$5)/($E$5-$C$5),$C$5,$E$5)</f>
        <v/>
      </c>
      <c r="N98" s="14">
        <f>IF($AB98&lt;($D$6-$C$6)/($E$6-$C$6),$C$6+SQRT($AB98*($E$6-$C$6)*($D$6-$C$6)),$E$6-SQRT((1-$AB98)*($E$6-$C$6)*($E$6-$D$6)))</f>
        <v/>
      </c>
      <c r="O98" s="14">
        <f>_xlfn.NORM.INV($AC98,$C$7,$D$7)</f>
        <v/>
      </c>
      <c r="P98" s="14">
        <f>$C$8+($D$8-$C$8)*$AD98</f>
        <v/>
      </c>
      <c r="Q98" s="14">
        <f>$C$9</f>
        <v/>
      </c>
      <c r="R98" s="14">
        <f>_xlfn.LOGNORM.INV($AF98,LN($C$10)-0.5*LN(1+($D$10/$C$10)^2),SQRT(LN(1+($D$10/$C$10)^2)))</f>
        <v/>
      </c>
      <c r="S98" s="14">
        <f>SUM(M98:R98)</f>
        <v/>
      </c>
      <c r="AA98">
        <f>RAND()</f>
        <v/>
      </c>
      <c r="AB98">
        <f>RAND()</f>
        <v/>
      </c>
      <c r="AC98">
        <f>RAND()</f>
        <v/>
      </c>
      <c r="AD98">
        <f>RAND()</f>
        <v/>
      </c>
      <c r="AE98">
        <f>RAND()</f>
        <v/>
      </c>
      <c r="AF98">
        <f>RAND()</f>
        <v/>
      </c>
    </row>
    <row r="99">
      <c r="M99" s="14">
        <f>_xlfn.BETA.INV($AA99,1+4*($D$5-$C$5)/($E$5-$C$5),1+4*($E$5-$D$5)/($E$5-$C$5),$C$5,$E$5)</f>
        <v/>
      </c>
      <c r="N99" s="14">
        <f>IF($AB99&lt;($D$6-$C$6)/($E$6-$C$6),$C$6+SQRT($AB99*($E$6-$C$6)*($D$6-$C$6)),$E$6-SQRT((1-$AB99)*($E$6-$C$6)*($E$6-$D$6)))</f>
        <v/>
      </c>
      <c r="O99" s="14">
        <f>_xlfn.NORM.INV($AC99,$C$7,$D$7)</f>
        <v/>
      </c>
      <c r="P99" s="14">
        <f>$C$8+($D$8-$C$8)*$AD99</f>
        <v/>
      </c>
      <c r="Q99" s="14">
        <f>$C$9</f>
        <v/>
      </c>
      <c r="R99" s="14">
        <f>_xlfn.LOGNORM.INV($AF99,LN($C$10)-0.5*LN(1+($D$10/$C$10)^2),SQRT(LN(1+($D$10/$C$10)^2)))</f>
        <v/>
      </c>
      <c r="S99" s="14">
        <f>SUM(M99:R99)</f>
        <v/>
      </c>
      <c r="AA99">
        <f>RAND()</f>
        <v/>
      </c>
      <c r="AB99">
        <f>RAND()</f>
        <v/>
      </c>
      <c r="AC99">
        <f>RAND()</f>
        <v/>
      </c>
      <c r="AD99">
        <f>RAND()</f>
        <v/>
      </c>
      <c r="AE99">
        <f>RAND()</f>
        <v/>
      </c>
      <c r="AF99">
        <f>RAND()</f>
        <v/>
      </c>
    </row>
    <row r="100">
      <c r="M100" s="14">
        <f>_xlfn.BETA.INV($AA100,1+4*($D$5-$C$5)/($E$5-$C$5),1+4*($E$5-$D$5)/($E$5-$C$5),$C$5,$E$5)</f>
        <v/>
      </c>
      <c r="N100" s="14">
        <f>IF($AB100&lt;($D$6-$C$6)/($E$6-$C$6),$C$6+SQRT($AB100*($E$6-$C$6)*($D$6-$C$6)),$E$6-SQRT((1-$AB100)*($E$6-$C$6)*($E$6-$D$6)))</f>
        <v/>
      </c>
      <c r="O100" s="14">
        <f>_xlfn.NORM.INV($AC100,$C$7,$D$7)</f>
        <v/>
      </c>
      <c r="P100" s="14">
        <f>$C$8+($D$8-$C$8)*$AD100</f>
        <v/>
      </c>
      <c r="Q100" s="14">
        <f>$C$9</f>
        <v/>
      </c>
      <c r="R100" s="14">
        <f>_xlfn.LOGNORM.INV($AF100,LN($C$10)-0.5*LN(1+($D$10/$C$10)^2),SQRT(LN(1+($D$10/$C$10)^2)))</f>
        <v/>
      </c>
      <c r="S100" s="14">
        <f>SUM(M100:R100)</f>
        <v/>
      </c>
      <c r="AA100">
        <f>RAND()</f>
        <v/>
      </c>
      <c r="AB100">
        <f>RAND()</f>
        <v/>
      </c>
      <c r="AC100">
        <f>RAND()</f>
        <v/>
      </c>
      <c r="AD100">
        <f>RAND()</f>
        <v/>
      </c>
      <c r="AE100">
        <f>RAND()</f>
        <v/>
      </c>
      <c r="AF100">
        <f>RAND()</f>
        <v/>
      </c>
    </row>
    <row r="101">
      <c r="M101" s="14">
        <f>_xlfn.BETA.INV($AA101,1+4*($D$5-$C$5)/($E$5-$C$5),1+4*($E$5-$D$5)/($E$5-$C$5),$C$5,$E$5)</f>
        <v/>
      </c>
      <c r="N101" s="14">
        <f>IF($AB101&lt;($D$6-$C$6)/($E$6-$C$6),$C$6+SQRT($AB101*($E$6-$C$6)*($D$6-$C$6)),$E$6-SQRT((1-$AB101)*($E$6-$C$6)*($E$6-$D$6)))</f>
        <v/>
      </c>
      <c r="O101" s="14">
        <f>_xlfn.NORM.INV($AC101,$C$7,$D$7)</f>
        <v/>
      </c>
      <c r="P101" s="14">
        <f>$C$8+($D$8-$C$8)*$AD101</f>
        <v/>
      </c>
      <c r="Q101" s="14">
        <f>$C$9</f>
        <v/>
      </c>
      <c r="R101" s="14">
        <f>_xlfn.LOGNORM.INV($AF101,LN($C$10)-0.5*LN(1+($D$10/$C$10)^2),SQRT(LN(1+($D$10/$C$10)^2)))</f>
        <v/>
      </c>
      <c r="S101" s="14">
        <f>SUM(M101:R101)</f>
        <v/>
      </c>
      <c r="AA101">
        <f>RAND()</f>
        <v/>
      </c>
      <c r="AB101">
        <f>RAND()</f>
        <v/>
      </c>
      <c r="AC101">
        <f>RAND()</f>
        <v/>
      </c>
      <c r="AD101">
        <f>RAND()</f>
        <v/>
      </c>
      <c r="AE101">
        <f>RAND()</f>
        <v/>
      </c>
      <c r="AF101">
        <f>RAND()</f>
        <v/>
      </c>
    </row>
    <row r="102">
      <c r="M102" s="14">
        <f>_xlfn.BETA.INV($AA102,1+4*($D$5-$C$5)/($E$5-$C$5),1+4*($E$5-$D$5)/($E$5-$C$5),$C$5,$E$5)</f>
        <v/>
      </c>
      <c r="N102" s="14">
        <f>IF($AB102&lt;($D$6-$C$6)/($E$6-$C$6),$C$6+SQRT($AB102*($E$6-$C$6)*($D$6-$C$6)),$E$6-SQRT((1-$AB102)*($E$6-$C$6)*($E$6-$D$6)))</f>
        <v/>
      </c>
      <c r="O102" s="14">
        <f>_xlfn.NORM.INV($AC102,$C$7,$D$7)</f>
        <v/>
      </c>
      <c r="P102" s="14">
        <f>$C$8+($D$8-$C$8)*$AD102</f>
        <v/>
      </c>
      <c r="Q102" s="14">
        <f>$C$9</f>
        <v/>
      </c>
      <c r="R102" s="14">
        <f>_xlfn.LOGNORM.INV($AF102,LN($C$10)-0.5*LN(1+($D$10/$C$10)^2),SQRT(LN(1+($D$10/$C$10)^2)))</f>
        <v/>
      </c>
      <c r="S102" s="14">
        <f>SUM(M102:R102)</f>
        <v/>
      </c>
      <c r="AA102">
        <f>RAND()</f>
        <v/>
      </c>
      <c r="AB102">
        <f>RAND()</f>
        <v/>
      </c>
      <c r="AC102">
        <f>RAND()</f>
        <v/>
      </c>
      <c r="AD102">
        <f>RAND()</f>
        <v/>
      </c>
      <c r="AE102">
        <f>RAND()</f>
        <v/>
      </c>
      <c r="AF102">
        <f>RAND()</f>
        <v/>
      </c>
    </row>
    <row r="103">
      <c r="M103" s="14">
        <f>_xlfn.BETA.INV($AA103,1+4*($D$5-$C$5)/($E$5-$C$5),1+4*($E$5-$D$5)/($E$5-$C$5),$C$5,$E$5)</f>
        <v/>
      </c>
      <c r="N103" s="14">
        <f>IF($AB103&lt;($D$6-$C$6)/($E$6-$C$6),$C$6+SQRT($AB103*($E$6-$C$6)*($D$6-$C$6)),$E$6-SQRT((1-$AB103)*($E$6-$C$6)*($E$6-$D$6)))</f>
        <v/>
      </c>
      <c r="O103" s="14">
        <f>_xlfn.NORM.INV($AC103,$C$7,$D$7)</f>
        <v/>
      </c>
      <c r="P103" s="14">
        <f>$C$8+($D$8-$C$8)*$AD103</f>
        <v/>
      </c>
      <c r="Q103" s="14">
        <f>$C$9</f>
        <v/>
      </c>
      <c r="R103" s="14">
        <f>_xlfn.LOGNORM.INV($AF103,LN($C$10)-0.5*LN(1+($D$10/$C$10)^2),SQRT(LN(1+($D$10/$C$10)^2)))</f>
        <v/>
      </c>
      <c r="S103" s="14">
        <f>SUM(M103:R103)</f>
        <v/>
      </c>
      <c r="AA103">
        <f>RAND()</f>
        <v/>
      </c>
      <c r="AB103">
        <f>RAND()</f>
        <v/>
      </c>
      <c r="AC103">
        <f>RAND()</f>
        <v/>
      </c>
      <c r="AD103">
        <f>RAND()</f>
        <v/>
      </c>
      <c r="AE103">
        <f>RAND()</f>
        <v/>
      </c>
      <c r="AF103">
        <f>RAND()</f>
        <v/>
      </c>
    </row>
    <row r="104">
      <c r="M104" s="14">
        <f>_xlfn.BETA.INV($AA104,1+4*($D$5-$C$5)/($E$5-$C$5),1+4*($E$5-$D$5)/($E$5-$C$5),$C$5,$E$5)</f>
        <v/>
      </c>
      <c r="N104" s="14">
        <f>IF($AB104&lt;($D$6-$C$6)/($E$6-$C$6),$C$6+SQRT($AB104*($E$6-$C$6)*($D$6-$C$6)),$E$6-SQRT((1-$AB104)*($E$6-$C$6)*($E$6-$D$6)))</f>
        <v/>
      </c>
      <c r="O104" s="14">
        <f>_xlfn.NORM.INV($AC104,$C$7,$D$7)</f>
        <v/>
      </c>
      <c r="P104" s="14">
        <f>$C$8+($D$8-$C$8)*$AD104</f>
        <v/>
      </c>
      <c r="Q104" s="14">
        <f>$C$9</f>
        <v/>
      </c>
      <c r="R104" s="14">
        <f>_xlfn.LOGNORM.INV($AF104,LN($C$10)-0.5*LN(1+($D$10/$C$10)^2),SQRT(LN(1+($D$10/$C$10)^2)))</f>
        <v/>
      </c>
      <c r="S104" s="14">
        <f>SUM(M104:R104)</f>
        <v/>
      </c>
      <c r="AA104">
        <f>RAND()</f>
        <v/>
      </c>
      <c r="AB104">
        <f>RAND()</f>
        <v/>
      </c>
      <c r="AC104">
        <f>RAND()</f>
        <v/>
      </c>
      <c r="AD104">
        <f>RAND()</f>
        <v/>
      </c>
      <c r="AE104">
        <f>RAND()</f>
        <v/>
      </c>
      <c r="AF104">
        <f>RAND()</f>
        <v/>
      </c>
    </row>
    <row r="105">
      <c r="M105" s="14">
        <f>_xlfn.BETA.INV($AA105,1+4*($D$5-$C$5)/($E$5-$C$5),1+4*($E$5-$D$5)/($E$5-$C$5),$C$5,$E$5)</f>
        <v/>
      </c>
      <c r="N105" s="14">
        <f>IF($AB105&lt;($D$6-$C$6)/($E$6-$C$6),$C$6+SQRT($AB105*($E$6-$C$6)*($D$6-$C$6)),$E$6-SQRT((1-$AB105)*($E$6-$C$6)*($E$6-$D$6)))</f>
        <v/>
      </c>
      <c r="O105" s="14">
        <f>_xlfn.NORM.INV($AC105,$C$7,$D$7)</f>
        <v/>
      </c>
      <c r="P105" s="14">
        <f>$C$8+($D$8-$C$8)*$AD105</f>
        <v/>
      </c>
      <c r="Q105" s="14">
        <f>$C$9</f>
        <v/>
      </c>
      <c r="R105" s="14">
        <f>_xlfn.LOGNORM.INV($AF105,LN($C$10)-0.5*LN(1+($D$10/$C$10)^2),SQRT(LN(1+($D$10/$C$10)^2)))</f>
        <v/>
      </c>
      <c r="S105" s="14">
        <f>SUM(M105:R105)</f>
        <v/>
      </c>
      <c r="AA105">
        <f>RAND()</f>
        <v/>
      </c>
      <c r="AB105">
        <f>RAND()</f>
        <v/>
      </c>
      <c r="AC105">
        <f>RAND()</f>
        <v/>
      </c>
      <c r="AD105">
        <f>RAND()</f>
        <v/>
      </c>
      <c r="AE105">
        <f>RAND()</f>
        <v/>
      </c>
      <c r="AF105">
        <f>RAND()</f>
        <v/>
      </c>
    </row>
    <row r="106">
      <c r="M106" s="14">
        <f>_xlfn.BETA.INV($AA106,1+4*($D$5-$C$5)/($E$5-$C$5),1+4*($E$5-$D$5)/($E$5-$C$5),$C$5,$E$5)</f>
        <v/>
      </c>
      <c r="N106" s="14">
        <f>IF($AB106&lt;($D$6-$C$6)/($E$6-$C$6),$C$6+SQRT($AB106*($E$6-$C$6)*($D$6-$C$6)),$E$6-SQRT((1-$AB106)*($E$6-$C$6)*($E$6-$D$6)))</f>
        <v/>
      </c>
      <c r="O106" s="14">
        <f>_xlfn.NORM.INV($AC106,$C$7,$D$7)</f>
        <v/>
      </c>
      <c r="P106" s="14">
        <f>$C$8+($D$8-$C$8)*$AD106</f>
        <v/>
      </c>
      <c r="Q106" s="14">
        <f>$C$9</f>
        <v/>
      </c>
      <c r="R106" s="14">
        <f>_xlfn.LOGNORM.INV($AF106,LN($C$10)-0.5*LN(1+($D$10/$C$10)^2),SQRT(LN(1+($D$10/$C$10)^2)))</f>
        <v/>
      </c>
      <c r="S106" s="14">
        <f>SUM(M106:R106)</f>
        <v/>
      </c>
      <c r="AA106">
        <f>RAND()</f>
        <v/>
      </c>
      <c r="AB106">
        <f>RAND()</f>
        <v/>
      </c>
      <c r="AC106">
        <f>RAND()</f>
        <v/>
      </c>
      <c r="AD106">
        <f>RAND()</f>
        <v/>
      </c>
      <c r="AE106">
        <f>RAND()</f>
        <v/>
      </c>
      <c r="AF106">
        <f>RAND()</f>
        <v/>
      </c>
    </row>
    <row r="107">
      <c r="M107" s="14">
        <f>_xlfn.BETA.INV($AA107,1+4*($D$5-$C$5)/($E$5-$C$5),1+4*($E$5-$D$5)/($E$5-$C$5),$C$5,$E$5)</f>
        <v/>
      </c>
      <c r="N107" s="14">
        <f>IF($AB107&lt;($D$6-$C$6)/($E$6-$C$6),$C$6+SQRT($AB107*($E$6-$C$6)*($D$6-$C$6)),$E$6-SQRT((1-$AB107)*($E$6-$C$6)*($E$6-$D$6)))</f>
        <v/>
      </c>
      <c r="O107" s="14">
        <f>_xlfn.NORM.INV($AC107,$C$7,$D$7)</f>
        <v/>
      </c>
      <c r="P107" s="14">
        <f>$C$8+($D$8-$C$8)*$AD107</f>
        <v/>
      </c>
      <c r="Q107" s="14">
        <f>$C$9</f>
        <v/>
      </c>
      <c r="R107" s="14">
        <f>_xlfn.LOGNORM.INV($AF107,LN($C$10)-0.5*LN(1+($D$10/$C$10)^2),SQRT(LN(1+($D$10/$C$10)^2)))</f>
        <v/>
      </c>
      <c r="S107" s="14">
        <f>SUM(M107:R107)</f>
        <v/>
      </c>
      <c r="AA107">
        <f>RAND()</f>
        <v/>
      </c>
      <c r="AB107">
        <f>RAND()</f>
        <v/>
      </c>
      <c r="AC107">
        <f>RAND()</f>
        <v/>
      </c>
      <c r="AD107">
        <f>RAND()</f>
        <v/>
      </c>
      <c r="AE107">
        <f>RAND()</f>
        <v/>
      </c>
      <c r="AF107">
        <f>RAND()</f>
        <v/>
      </c>
    </row>
    <row r="108">
      <c r="M108" s="14">
        <f>_xlfn.BETA.INV($AA108,1+4*($D$5-$C$5)/($E$5-$C$5),1+4*($E$5-$D$5)/($E$5-$C$5),$C$5,$E$5)</f>
        <v/>
      </c>
      <c r="N108" s="14">
        <f>IF($AB108&lt;($D$6-$C$6)/($E$6-$C$6),$C$6+SQRT($AB108*($E$6-$C$6)*($D$6-$C$6)),$E$6-SQRT((1-$AB108)*($E$6-$C$6)*($E$6-$D$6)))</f>
        <v/>
      </c>
      <c r="O108" s="14">
        <f>_xlfn.NORM.INV($AC108,$C$7,$D$7)</f>
        <v/>
      </c>
      <c r="P108" s="14">
        <f>$C$8+($D$8-$C$8)*$AD108</f>
        <v/>
      </c>
      <c r="Q108" s="14">
        <f>$C$9</f>
        <v/>
      </c>
      <c r="R108" s="14">
        <f>_xlfn.LOGNORM.INV($AF108,LN($C$10)-0.5*LN(1+($D$10/$C$10)^2),SQRT(LN(1+($D$10/$C$10)^2)))</f>
        <v/>
      </c>
      <c r="S108" s="14">
        <f>SUM(M108:R108)</f>
        <v/>
      </c>
      <c r="AA108">
        <f>RAND()</f>
        <v/>
      </c>
      <c r="AB108">
        <f>RAND()</f>
        <v/>
      </c>
      <c r="AC108">
        <f>RAND()</f>
        <v/>
      </c>
      <c r="AD108">
        <f>RAND()</f>
        <v/>
      </c>
      <c r="AE108">
        <f>RAND()</f>
        <v/>
      </c>
      <c r="AF108">
        <f>RAND()</f>
        <v/>
      </c>
    </row>
    <row r="109">
      <c r="M109" s="14">
        <f>_xlfn.BETA.INV($AA109,1+4*($D$5-$C$5)/($E$5-$C$5),1+4*($E$5-$D$5)/($E$5-$C$5),$C$5,$E$5)</f>
        <v/>
      </c>
      <c r="N109" s="14">
        <f>IF($AB109&lt;($D$6-$C$6)/($E$6-$C$6),$C$6+SQRT($AB109*($E$6-$C$6)*($D$6-$C$6)),$E$6-SQRT((1-$AB109)*($E$6-$C$6)*($E$6-$D$6)))</f>
        <v/>
      </c>
      <c r="O109" s="14">
        <f>_xlfn.NORM.INV($AC109,$C$7,$D$7)</f>
        <v/>
      </c>
      <c r="P109" s="14">
        <f>$C$8+($D$8-$C$8)*$AD109</f>
        <v/>
      </c>
      <c r="Q109" s="14">
        <f>$C$9</f>
        <v/>
      </c>
      <c r="R109" s="14">
        <f>_xlfn.LOGNORM.INV($AF109,LN($C$10)-0.5*LN(1+($D$10/$C$10)^2),SQRT(LN(1+($D$10/$C$10)^2)))</f>
        <v/>
      </c>
      <c r="S109" s="14">
        <f>SUM(M109:R109)</f>
        <v/>
      </c>
      <c r="AA109">
        <f>RAND()</f>
        <v/>
      </c>
      <c r="AB109">
        <f>RAND()</f>
        <v/>
      </c>
      <c r="AC109">
        <f>RAND()</f>
        <v/>
      </c>
      <c r="AD109">
        <f>RAND()</f>
        <v/>
      </c>
      <c r="AE109">
        <f>RAND()</f>
        <v/>
      </c>
      <c r="AF109">
        <f>RAND()</f>
        <v/>
      </c>
    </row>
    <row r="110">
      <c r="M110" s="14">
        <f>_xlfn.BETA.INV($AA110,1+4*($D$5-$C$5)/($E$5-$C$5),1+4*($E$5-$D$5)/($E$5-$C$5),$C$5,$E$5)</f>
        <v/>
      </c>
      <c r="N110" s="14">
        <f>IF($AB110&lt;($D$6-$C$6)/($E$6-$C$6),$C$6+SQRT($AB110*($E$6-$C$6)*($D$6-$C$6)),$E$6-SQRT((1-$AB110)*($E$6-$C$6)*($E$6-$D$6)))</f>
        <v/>
      </c>
      <c r="O110" s="14">
        <f>_xlfn.NORM.INV($AC110,$C$7,$D$7)</f>
        <v/>
      </c>
      <c r="P110" s="14">
        <f>$C$8+($D$8-$C$8)*$AD110</f>
        <v/>
      </c>
      <c r="Q110" s="14">
        <f>$C$9</f>
        <v/>
      </c>
      <c r="R110" s="14">
        <f>_xlfn.LOGNORM.INV($AF110,LN($C$10)-0.5*LN(1+($D$10/$C$10)^2),SQRT(LN(1+($D$10/$C$10)^2)))</f>
        <v/>
      </c>
      <c r="S110" s="14">
        <f>SUM(M110:R110)</f>
        <v/>
      </c>
      <c r="AA110">
        <f>RAND()</f>
        <v/>
      </c>
      <c r="AB110">
        <f>RAND()</f>
        <v/>
      </c>
      <c r="AC110">
        <f>RAND()</f>
        <v/>
      </c>
      <c r="AD110">
        <f>RAND()</f>
        <v/>
      </c>
      <c r="AE110">
        <f>RAND()</f>
        <v/>
      </c>
      <c r="AF110">
        <f>RAND()</f>
        <v/>
      </c>
    </row>
    <row r="111">
      <c r="M111" s="14">
        <f>_xlfn.BETA.INV($AA111,1+4*($D$5-$C$5)/($E$5-$C$5),1+4*($E$5-$D$5)/($E$5-$C$5),$C$5,$E$5)</f>
        <v/>
      </c>
      <c r="N111" s="14">
        <f>IF($AB111&lt;($D$6-$C$6)/($E$6-$C$6),$C$6+SQRT($AB111*($E$6-$C$6)*($D$6-$C$6)),$E$6-SQRT((1-$AB111)*($E$6-$C$6)*($E$6-$D$6)))</f>
        <v/>
      </c>
      <c r="O111" s="14">
        <f>_xlfn.NORM.INV($AC111,$C$7,$D$7)</f>
        <v/>
      </c>
      <c r="P111" s="14">
        <f>$C$8+($D$8-$C$8)*$AD111</f>
        <v/>
      </c>
      <c r="Q111" s="14">
        <f>$C$9</f>
        <v/>
      </c>
      <c r="R111" s="14">
        <f>_xlfn.LOGNORM.INV($AF111,LN($C$10)-0.5*LN(1+($D$10/$C$10)^2),SQRT(LN(1+($D$10/$C$10)^2)))</f>
        <v/>
      </c>
      <c r="S111" s="14">
        <f>SUM(M111:R111)</f>
        <v/>
      </c>
      <c r="AA111">
        <f>RAND()</f>
        <v/>
      </c>
      <c r="AB111">
        <f>RAND()</f>
        <v/>
      </c>
      <c r="AC111">
        <f>RAND()</f>
        <v/>
      </c>
      <c r="AD111">
        <f>RAND()</f>
        <v/>
      </c>
      <c r="AE111">
        <f>RAND()</f>
        <v/>
      </c>
      <c r="AF111">
        <f>RAND()</f>
        <v/>
      </c>
    </row>
    <row r="112">
      <c r="M112" s="14">
        <f>_xlfn.BETA.INV($AA112,1+4*($D$5-$C$5)/($E$5-$C$5),1+4*($E$5-$D$5)/($E$5-$C$5),$C$5,$E$5)</f>
        <v/>
      </c>
      <c r="N112" s="14">
        <f>IF($AB112&lt;($D$6-$C$6)/($E$6-$C$6),$C$6+SQRT($AB112*($E$6-$C$6)*($D$6-$C$6)),$E$6-SQRT((1-$AB112)*($E$6-$C$6)*($E$6-$D$6)))</f>
        <v/>
      </c>
      <c r="O112" s="14">
        <f>_xlfn.NORM.INV($AC112,$C$7,$D$7)</f>
        <v/>
      </c>
      <c r="P112" s="14">
        <f>$C$8+($D$8-$C$8)*$AD112</f>
        <v/>
      </c>
      <c r="Q112" s="14">
        <f>$C$9</f>
        <v/>
      </c>
      <c r="R112" s="14">
        <f>_xlfn.LOGNORM.INV($AF112,LN($C$10)-0.5*LN(1+($D$10/$C$10)^2),SQRT(LN(1+($D$10/$C$10)^2)))</f>
        <v/>
      </c>
      <c r="S112" s="14">
        <f>SUM(M112:R112)</f>
        <v/>
      </c>
      <c r="AA112">
        <f>RAND()</f>
        <v/>
      </c>
      <c r="AB112">
        <f>RAND()</f>
        <v/>
      </c>
      <c r="AC112">
        <f>RAND()</f>
        <v/>
      </c>
      <c r="AD112">
        <f>RAND()</f>
        <v/>
      </c>
      <c r="AE112">
        <f>RAND()</f>
        <v/>
      </c>
      <c r="AF112">
        <f>RAND()</f>
        <v/>
      </c>
    </row>
    <row r="113">
      <c r="M113" s="14">
        <f>_xlfn.BETA.INV($AA113,1+4*($D$5-$C$5)/($E$5-$C$5),1+4*($E$5-$D$5)/($E$5-$C$5),$C$5,$E$5)</f>
        <v/>
      </c>
      <c r="N113" s="14">
        <f>IF($AB113&lt;($D$6-$C$6)/($E$6-$C$6),$C$6+SQRT($AB113*($E$6-$C$6)*($D$6-$C$6)),$E$6-SQRT((1-$AB113)*($E$6-$C$6)*($E$6-$D$6)))</f>
        <v/>
      </c>
      <c r="O113" s="14">
        <f>_xlfn.NORM.INV($AC113,$C$7,$D$7)</f>
        <v/>
      </c>
      <c r="P113" s="14">
        <f>$C$8+($D$8-$C$8)*$AD113</f>
        <v/>
      </c>
      <c r="Q113" s="14">
        <f>$C$9</f>
        <v/>
      </c>
      <c r="R113" s="14">
        <f>_xlfn.LOGNORM.INV($AF113,LN($C$10)-0.5*LN(1+($D$10/$C$10)^2),SQRT(LN(1+($D$10/$C$10)^2)))</f>
        <v/>
      </c>
      <c r="S113" s="14">
        <f>SUM(M113:R113)</f>
        <v/>
      </c>
      <c r="AA113">
        <f>RAND()</f>
        <v/>
      </c>
      <c r="AB113">
        <f>RAND()</f>
        <v/>
      </c>
      <c r="AC113">
        <f>RAND()</f>
        <v/>
      </c>
      <c r="AD113">
        <f>RAND()</f>
        <v/>
      </c>
      <c r="AE113">
        <f>RAND()</f>
        <v/>
      </c>
      <c r="AF113">
        <f>RAND()</f>
        <v/>
      </c>
    </row>
    <row r="114">
      <c r="M114" s="14">
        <f>_xlfn.BETA.INV($AA114,1+4*($D$5-$C$5)/($E$5-$C$5),1+4*($E$5-$D$5)/($E$5-$C$5),$C$5,$E$5)</f>
        <v/>
      </c>
      <c r="N114" s="14">
        <f>IF($AB114&lt;($D$6-$C$6)/($E$6-$C$6),$C$6+SQRT($AB114*($E$6-$C$6)*($D$6-$C$6)),$E$6-SQRT((1-$AB114)*($E$6-$C$6)*($E$6-$D$6)))</f>
        <v/>
      </c>
      <c r="O114" s="14">
        <f>_xlfn.NORM.INV($AC114,$C$7,$D$7)</f>
        <v/>
      </c>
      <c r="P114" s="14">
        <f>$C$8+($D$8-$C$8)*$AD114</f>
        <v/>
      </c>
      <c r="Q114" s="14">
        <f>$C$9</f>
        <v/>
      </c>
      <c r="R114" s="14">
        <f>_xlfn.LOGNORM.INV($AF114,LN($C$10)-0.5*LN(1+($D$10/$C$10)^2),SQRT(LN(1+($D$10/$C$10)^2)))</f>
        <v/>
      </c>
      <c r="S114" s="14">
        <f>SUM(M114:R114)</f>
        <v/>
      </c>
      <c r="AA114">
        <f>RAND()</f>
        <v/>
      </c>
      <c r="AB114">
        <f>RAND()</f>
        <v/>
      </c>
      <c r="AC114">
        <f>RAND()</f>
        <v/>
      </c>
      <c r="AD114">
        <f>RAND()</f>
        <v/>
      </c>
      <c r="AE114">
        <f>RAND()</f>
        <v/>
      </c>
      <c r="AF114">
        <f>RAND()</f>
        <v/>
      </c>
    </row>
    <row r="115">
      <c r="M115" s="14">
        <f>_xlfn.BETA.INV($AA115,1+4*($D$5-$C$5)/($E$5-$C$5),1+4*($E$5-$D$5)/($E$5-$C$5),$C$5,$E$5)</f>
        <v/>
      </c>
      <c r="N115" s="14">
        <f>IF($AB115&lt;($D$6-$C$6)/($E$6-$C$6),$C$6+SQRT($AB115*($E$6-$C$6)*($D$6-$C$6)),$E$6-SQRT((1-$AB115)*($E$6-$C$6)*($E$6-$D$6)))</f>
        <v/>
      </c>
      <c r="O115" s="14">
        <f>_xlfn.NORM.INV($AC115,$C$7,$D$7)</f>
        <v/>
      </c>
      <c r="P115" s="14">
        <f>$C$8+($D$8-$C$8)*$AD115</f>
        <v/>
      </c>
      <c r="Q115" s="14">
        <f>$C$9</f>
        <v/>
      </c>
      <c r="R115" s="14">
        <f>_xlfn.LOGNORM.INV($AF115,LN($C$10)-0.5*LN(1+($D$10/$C$10)^2),SQRT(LN(1+($D$10/$C$10)^2)))</f>
        <v/>
      </c>
      <c r="S115" s="14">
        <f>SUM(M115:R115)</f>
        <v/>
      </c>
      <c r="AA115">
        <f>RAND()</f>
        <v/>
      </c>
      <c r="AB115">
        <f>RAND()</f>
        <v/>
      </c>
      <c r="AC115">
        <f>RAND()</f>
        <v/>
      </c>
      <c r="AD115">
        <f>RAND()</f>
        <v/>
      </c>
      <c r="AE115">
        <f>RAND()</f>
        <v/>
      </c>
      <c r="AF115">
        <f>RAND()</f>
        <v/>
      </c>
    </row>
    <row r="116">
      <c r="M116" s="14">
        <f>_xlfn.BETA.INV($AA116,1+4*($D$5-$C$5)/($E$5-$C$5),1+4*($E$5-$D$5)/($E$5-$C$5),$C$5,$E$5)</f>
        <v/>
      </c>
      <c r="N116" s="14">
        <f>IF($AB116&lt;($D$6-$C$6)/($E$6-$C$6),$C$6+SQRT($AB116*($E$6-$C$6)*($D$6-$C$6)),$E$6-SQRT((1-$AB116)*($E$6-$C$6)*($E$6-$D$6)))</f>
        <v/>
      </c>
      <c r="O116" s="14">
        <f>_xlfn.NORM.INV($AC116,$C$7,$D$7)</f>
        <v/>
      </c>
      <c r="P116" s="14">
        <f>$C$8+($D$8-$C$8)*$AD116</f>
        <v/>
      </c>
      <c r="Q116" s="14">
        <f>$C$9</f>
        <v/>
      </c>
      <c r="R116" s="14">
        <f>_xlfn.LOGNORM.INV($AF116,LN($C$10)-0.5*LN(1+($D$10/$C$10)^2),SQRT(LN(1+($D$10/$C$10)^2)))</f>
        <v/>
      </c>
      <c r="S116" s="14">
        <f>SUM(M116:R116)</f>
        <v/>
      </c>
      <c r="AA116">
        <f>RAND()</f>
        <v/>
      </c>
      <c r="AB116">
        <f>RAND()</f>
        <v/>
      </c>
      <c r="AC116">
        <f>RAND()</f>
        <v/>
      </c>
      <c r="AD116">
        <f>RAND()</f>
        <v/>
      </c>
      <c r="AE116">
        <f>RAND()</f>
        <v/>
      </c>
      <c r="AF116">
        <f>RAND()</f>
        <v/>
      </c>
    </row>
    <row r="117">
      <c r="M117" s="14">
        <f>_xlfn.BETA.INV($AA117,1+4*($D$5-$C$5)/($E$5-$C$5),1+4*($E$5-$D$5)/($E$5-$C$5),$C$5,$E$5)</f>
        <v/>
      </c>
      <c r="N117" s="14">
        <f>IF($AB117&lt;($D$6-$C$6)/($E$6-$C$6),$C$6+SQRT($AB117*($E$6-$C$6)*($D$6-$C$6)),$E$6-SQRT((1-$AB117)*($E$6-$C$6)*($E$6-$D$6)))</f>
        <v/>
      </c>
      <c r="O117" s="14">
        <f>_xlfn.NORM.INV($AC117,$C$7,$D$7)</f>
        <v/>
      </c>
      <c r="P117" s="14">
        <f>$C$8+($D$8-$C$8)*$AD117</f>
        <v/>
      </c>
      <c r="Q117" s="14">
        <f>$C$9</f>
        <v/>
      </c>
      <c r="R117" s="14">
        <f>_xlfn.LOGNORM.INV($AF117,LN($C$10)-0.5*LN(1+($D$10/$C$10)^2),SQRT(LN(1+($D$10/$C$10)^2)))</f>
        <v/>
      </c>
      <c r="S117" s="14">
        <f>SUM(M117:R117)</f>
        <v/>
      </c>
      <c r="AA117">
        <f>RAND()</f>
        <v/>
      </c>
      <c r="AB117">
        <f>RAND()</f>
        <v/>
      </c>
      <c r="AC117">
        <f>RAND()</f>
        <v/>
      </c>
      <c r="AD117">
        <f>RAND()</f>
        <v/>
      </c>
      <c r="AE117">
        <f>RAND()</f>
        <v/>
      </c>
      <c r="AF117">
        <f>RAND()</f>
        <v/>
      </c>
    </row>
    <row r="118">
      <c r="M118" s="14">
        <f>_xlfn.BETA.INV($AA118,1+4*($D$5-$C$5)/($E$5-$C$5),1+4*($E$5-$D$5)/($E$5-$C$5),$C$5,$E$5)</f>
        <v/>
      </c>
      <c r="N118" s="14">
        <f>IF($AB118&lt;($D$6-$C$6)/($E$6-$C$6),$C$6+SQRT($AB118*($E$6-$C$6)*($D$6-$C$6)),$E$6-SQRT((1-$AB118)*($E$6-$C$6)*($E$6-$D$6)))</f>
        <v/>
      </c>
      <c r="O118" s="14">
        <f>_xlfn.NORM.INV($AC118,$C$7,$D$7)</f>
        <v/>
      </c>
      <c r="P118" s="14">
        <f>$C$8+($D$8-$C$8)*$AD118</f>
        <v/>
      </c>
      <c r="Q118" s="14">
        <f>$C$9</f>
        <v/>
      </c>
      <c r="R118" s="14">
        <f>_xlfn.LOGNORM.INV($AF118,LN($C$10)-0.5*LN(1+($D$10/$C$10)^2),SQRT(LN(1+($D$10/$C$10)^2)))</f>
        <v/>
      </c>
      <c r="S118" s="14">
        <f>SUM(M118:R118)</f>
        <v/>
      </c>
      <c r="AA118">
        <f>RAND()</f>
        <v/>
      </c>
      <c r="AB118">
        <f>RAND()</f>
        <v/>
      </c>
      <c r="AC118">
        <f>RAND()</f>
        <v/>
      </c>
      <c r="AD118">
        <f>RAND()</f>
        <v/>
      </c>
      <c r="AE118">
        <f>RAND()</f>
        <v/>
      </c>
      <c r="AF118">
        <f>RAND()</f>
        <v/>
      </c>
    </row>
    <row r="119">
      <c r="M119" s="14">
        <f>_xlfn.BETA.INV($AA119,1+4*($D$5-$C$5)/($E$5-$C$5),1+4*($E$5-$D$5)/($E$5-$C$5),$C$5,$E$5)</f>
        <v/>
      </c>
      <c r="N119" s="14">
        <f>IF($AB119&lt;($D$6-$C$6)/($E$6-$C$6),$C$6+SQRT($AB119*($E$6-$C$6)*($D$6-$C$6)),$E$6-SQRT((1-$AB119)*($E$6-$C$6)*($E$6-$D$6)))</f>
        <v/>
      </c>
      <c r="O119" s="14">
        <f>_xlfn.NORM.INV($AC119,$C$7,$D$7)</f>
        <v/>
      </c>
      <c r="P119" s="14">
        <f>$C$8+($D$8-$C$8)*$AD119</f>
        <v/>
      </c>
      <c r="Q119" s="14">
        <f>$C$9</f>
        <v/>
      </c>
      <c r="R119" s="14">
        <f>_xlfn.LOGNORM.INV($AF119,LN($C$10)-0.5*LN(1+($D$10/$C$10)^2),SQRT(LN(1+($D$10/$C$10)^2)))</f>
        <v/>
      </c>
      <c r="S119" s="14">
        <f>SUM(M119:R119)</f>
        <v/>
      </c>
      <c r="AA119">
        <f>RAND()</f>
        <v/>
      </c>
      <c r="AB119">
        <f>RAND()</f>
        <v/>
      </c>
      <c r="AC119">
        <f>RAND()</f>
        <v/>
      </c>
      <c r="AD119">
        <f>RAND()</f>
        <v/>
      </c>
      <c r="AE119">
        <f>RAND()</f>
        <v/>
      </c>
      <c r="AF119">
        <f>RAND()</f>
        <v/>
      </c>
    </row>
    <row r="120">
      <c r="M120" s="14">
        <f>_xlfn.BETA.INV($AA120,1+4*($D$5-$C$5)/($E$5-$C$5),1+4*($E$5-$D$5)/($E$5-$C$5),$C$5,$E$5)</f>
        <v/>
      </c>
      <c r="N120" s="14">
        <f>IF($AB120&lt;($D$6-$C$6)/($E$6-$C$6),$C$6+SQRT($AB120*($E$6-$C$6)*($D$6-$C$6)),$E$6-SQRT((1-$AB120)*($E$6-$C$6)*($E$6-$D$6)))</f>
        <v/>
      </c>
      <c r="O120" s="14">
        <f>_xlfn.NORM.INV($AC120,$C$7,$D$7)</f>
        <v/>
      </c>
      <c r="P120" s="14">
        <f>$C$8+($D$8-$C$8)*$AD120</f>
        <v/>
      </c>
      <c r="Q120" s="14">
        <f>$C$9</f>
        <v/>
      </c>
      <c r="R120" s="14">
        <f>_xlfn.LOGNORM.INV($AF120,LN($C$10)-0.5*LN(1+($D$10/$C$10)^2),SQRT(LN(1+($D$10/$C$10)^2)))</f>
        <v/>
      </c>
      <c r="S120" s="14">
        <f>SUM(M120:R120)</f>
        <v/>
      </c>
      <c r="AA120">
        <f>RAND()</f>
        <v/>
      </c>
      <c r="AB120">
        <f>RAND()</f>
        <v/>
      </c>
      <c r="AC120">
        <f>RAND()</f>
        <v/>
      </c>
      <c r="AD120">
        <f>RAND()</f>
        <v/>
      </c>
      <c r="AE120">
        <f>RAND()</f>
        <v/>
      </c>
      <c r="AF120">
        <f>RAND()</f>
        <v/>
      </c>
    </row>
    <row r="121">
      <c r="M121" s="14">
        <f>_xlfn.BETA.INV($AA121,1+4*($D$5-$C$5)/($E$5-$C$5),1+4*($E$5-$D$5)/($E$5-$C$5),$C$5,$E$5)</f>
        <v/>
      </c>
      <c r="N121" s="14">
        <f>IF($AB121&lt;($D$6-$C$6)/($E$6-$C$6),$C$6+SQRT($AB121*($E$6-$C$6)*($D$6-$C$6)),$E$6-SQRT((1-$AB121)*($E$6-$C$6)*($E$6-$D$6)))</f>
        <v/>
      </c>
      <c r="O121" s="14">
        <f>_xlfn.NORM.INV($AC121,$C$7,$D$7)</f>
        <v/>
      </c>
      <c r="P121" s="14">
        <f>$C$8+($D$8-$C$8)*$AD121</f>
        <v/>
      </c>
      <c r="Q121" s="14">
        <f>$C$9</f>
        <v/>
      </c>
      <c r="R121" s="14">
        <f>_xlfn.LOGNORM.INV($AF121,LN($C$10)-0.5*LN(1+($D$10/$C$10)^2),SQRT(LN(1+($D$10/$C$10)^2)))</f>
        <v/>
      </c>
      <c r="S121" s="14">
        <f>SUM(M121:R121)</f>
        <v/>
      </c>
      <c r="AA121">
        <f>RAND()</f>
        <v/>
      </c>
      <c r="AB121">
        <f>RAND()</f>
        <v/>
      </c>
      <c r="AC121">
        <f>RAND()</f>
        <v/>
      </c>
      <c r="AD121">
        <f>RAND()</f>
        <v/>
      </c>
      <c r="AE121">
        <f>RAND()</f>
        <v/>
      </c>
      <c r="AF121">
        <f>RAND()</f>
        <v/>
      </c>
    </row>
    <row r="122">
      <c r="M122" s="14">
        <f>_xlfn.BETA.INV($AA122,1+4*($D$5-$C$5)/($E$5-$C$5),1+4*($E$5-$D$5)/($E$5-$C$5),$C$5,$E$5)</f>
        <v/>
      </c>
      <c r="N122" s="14">
        <f>IF($AB122&lt;($D$6-$C$6)/($E$6-$C$6),$C$6+SQRT($AB122*($E$6-$C$6)*($D$6-$C$6)),$E$6-SQRT((1-$AB122)*($E$6-$C$6)*($E$6-$D$6)))</f>
        <v/>
      </c>
      <c r="O122" s="14">
        <f>_xlfn.NORM.INV($AC122,$C$7,$D$7)</f>
        <v/>
      </c>
      <c r="P122" s="14">
        <f>$C$8+($D$8-$C$8)*$AD122</f>
        <v/>
      </c>
      <c r="Q122" s="14">
        <f>$C$9</f>
        <v/>
      </c>
      <c r="R122" s="14">
        <f>_xlfn.LOGNORM.INV($AF122,LN($C$10)-0.5*LN(1+($D$10/$C$10)^2),SQRT(LN(1+($D$10/$C$10)^2)))</f>
        <v/>
      </c>
      <c r="S122" s="14">
        <f>SUM(M122:R122)</f>
        <v/>
      </c>
      <c r="AA122">
        <f>RAND()</f>
        <v/>
      </c>
      <c r="AB122">
        <f>RAND()</f>
        <v/>
      </c>
      <c r="AC122">
        <f>RAND()</f>
        <v/>
      </c>
      <c r="AD122">
        <f>RAND()</f>
        <v/>
      </c>
      <c r="AE122">
        <f>RAND()</f>
        <v/>
      </c>
      <c r="AF122">
        <f>RAND()</f>
        <v/>
      </c>
    </row>
    <row r="123">
      <c r="M123" s="14">
        <f>_xlfn.BETA.INV($AA123,1+4*($D$5-$C$5)/($E$5-$C$5),1+4*($E$5-$D$5)/($E$5-$C$5),$C$5,$E$5)</f>
        <v/>
      </c>
      <c r="N123" s="14">
        <f>IF($AB123&lt;($D$6-$C$6)/($E$6-$C$6),$C$6+SQRT($AB123*($E$6-$C$6)*($D$6-$C$6)),$E$6-SQRT((1-$AB123)*($E$6-$C$6)*($E$6-$D$6)))</f>
        <v/>
      </c>
      <c r="O123" s="14">
        <f>_xlfn.NORM.INV($AC123,$C$7,$D$7)</f>
        <v/>
      </c>
      <c r="P123" s="14">
        <f>$C$8+($D$8-$C$8)*$AD123</f>
        <v/>
      </c>
      <c r="Q123" s="14">
        <f>$C$9</f>
        <v/>
      </c>
      <c r="R123" s="14">
        <f>_xlfn.LOGNORM.INV($AF123,LN($C$10)-0.5*LN(1+($D$10/$C$10)^2),SQRT(LN(1+($D$10/$C$10)^2)))</f>
        <v/>
      </c>
      <c r="S123" s="14">
        <f>SUM(M123:R123)</f>
        <v/>
      </c>
      <c r="AA123">
        <f>RAND()</f>
        <v/>
      </c>
      <c r="AB123">
        <f>RAND()</f>
        <v/>
      </c>
      <c r="AC123">
        <f>RAND()</f>
        <v/>
      </c>
      <c r="AD123">
        <f>RAND()</f>
        <v/>
      </c>
      <c r="AE123">
        <f>RAND()</f>
        <v/>
      </c>
      <c r="AF123">
        <f>RAND()</f>
        <v/>
      </c>
    </row>
    <row r="124">
      <c r="M124" s="14">
        <f>_xlfn.BETA.INV($AA124,1+4*($D$5-$C$5)/($E$5-$C$5),1+4*($E$5-$D$5)/($E$5-$C$5),$C$5,$E$5)</f>
        <v/>
      </c>
      <c r="N124" s="14">
        <f>IF($AB124&lt;($D$6-$C$6)/($E$6-$C$6),$C$6+SQRT($AB124*($E$6-$C$6)*($D$6-$C$6)),$E$6-SQRT((1-$AB124)*($E$6-$C$6)*($E$6-$D$6)))</f>
        <v/>
      </c>
      <c r="O124" s="14">
        <f>_xlfn.NORM.INV($AC124,$C$7,$D$7)</f>
        <v/>
      </c>
      <c r="P124" s="14">
        <f>$C$8+($D$8-$C$8)*$AD124</f>
        <v/>
      </c>
      <c r="Q124" s="14">
        <f>$C$9</f>
        <v/>
      </c>
      <c r="R124" s="14">
        <f>_xlfn.LOGNORM.INV($AF124,LN($C$10)-0.5*LN(1+($D$10/$C$10)^2),SQRT(LN(1+($D$10/$C$10)^2)))</f>
        <v/>
      </c>
      <c r="S124" s="14">
        <f>SUM(M124:R124)</f>
        <v/>
      </c>
      <c r="AA124">
        <f>RAND()</f>
        <v/>
      </c>
      <c r="AB124">
        <f>RAND()</f>
        <v/>
      </c>
      <c r="AC124">
        <f>RAND()</f>
        <v/>
      </c>
      <c r="AD124">
        <f>RAND()</f>
        <v/>
      </c>
      <c r="AE124">
        <f>RAND()</f>
        <v/>
      </c>
      <c r="AF124">
        <f>RAND()</f>
        <v/>
      </c>
    </row>
    <row r="125">
      <c r="M125" s="14">
        <f>_xlfn.BETA.INV($AA125,1+4*($D$5-$C$5)/($E$5-$C$5),1+4*($E$5-$D$5)/($E$5-$C$5),$C$5,$E$5)</f>
        <v/>
      </c>
      <c r="N125" s="14">
        <f>IF($AB125&lt;($D$6-$C$6)/($E$6-$C$6),$C$6+SQRT($AB125*($E$6-$C$6)*($D$6-$C$6)),$E$6-SQRT((1-$AB125)*($E$6-$C$6)*($E$6-$D$6)))</f>
        <v/>
      </c>
      <c r="O125" s="14">
        <f>_xlfn.NORM.INV($AC125,$C$7,$D$7)</f>
        <v/>
      </c>
      <c r="P125" s="14">
        <f>$C$8+($D$8-$C$8)*$AD125</f>
        <v/>
      </c>
      <c r="Q125" s="14">
        <f>$C$9</f>
        <v/>
      </c>
      <c r="R125" s="14">
        <f>_xlfn.LOGNORM.INV($AF125,LN($C$10)-0.5*LN(1+($D$10/$C$10)^2),SQRT(LN(1+($D$10/$C$10)^2)))</f>
        <v/>
      </c>
      <c r="S125" s="14">
        <f>SUM(M125:R125)</f>
        <v/>
      </c>
      <c r="AA125">
        <f>RAND()</f>
        <v/>
      </c>
      <c r="AB125">
        <f>RAND()</f>
        <v/>
      </c>
      <c r="AC125">
        <f>RAND()</f>
        <v/>
      </c>
      <c r="AD125">
        <f>RAND()</f>
        <v/>
      </c>
      <c r="AE125">
        <f>RAND()</f>
        <v/>
      </c>
      <c r="AF125">
        <f>RAND()</f>
        <v/>
      </c>
    </row>
    <row r="126">
      <c r="M126" s="14">
        <f>_xlfn.BETA.INV($AA126,1+4*($D$5-$C$5)/($E$5-$C$5),1+4*($E$5-$D$5)/($E$5-$C$5),$C$5,$E$5)</f>
        <v/>
      </c>
      <c r="N126" s="14">
        <f>IF($AB126&lt;($D$6-$C$6)/($E$6-$C$6),$C$6+SQRT($AB126*($E$6-$C$6)*($D$6-$C$6)),$E$6-SQRT((1-$AB126)*($E$6-$C$6)*($E$6-$D$6)))</f>
        <v/>
      </c>
      <c r="O126" s="14">
        <f>_xlfn.NORM.INV($AC126,$C$7,$D$7)</f>
        <v/>
      </c>
      <c r="P126" s="14">
        <f>$C$8+($D$8-$C$8)*$AD126</f>
        <v/>
      </c>
      <c r="Q126" s="14">
        <f>$C$9</f>
        <v/>
      </c>
      <c r="R126" s="14">
        <f>_xlfn.LOGNORM.INV($AF126,LN($C$10)-0.5*LN(1+($D$10/$C$10)^2),SQRT(LN(1+($D$10/$C$10)^2)))</f>
        <v/>
      </c>
      <c r="S126" s="14">
        <f>SUM(M126:R126)</f>
        <v/>
      </c>
      <c r="AA126">
        <f>RAND()</f>
        <v/>
      </c>
      <c r="AB126">
        <f>RAND()</f>
        <v/>
      </c>
      <c r="AC126">
        <f>RAND()</f>
        <v/>
      </c>
      <c r="AD126">
        <f>RAND()</f>
        <v/>
      </c>
      <c r="AE126">
        <f>RAND()</f>
        <v/>
      </c>
      <c r="AF126">
        <f>RAND()</f>
        <v/>
      </c>
    </row>
    <row r="127">
      <c r="M127" s="14">
        <f>_xlfn.BETA.INV($AA127,1+4*($D$5-$C$5)/($E$5-$C$5),1+4*($E$5-$D$5)/($E$5-$C$5),$C$5,$E$5)</f>
        <v/>
      </c>
      <c r="N127" s="14">
        <f>IF($AB127&lt;($D$6-$C$6)/($E$6-$C$6),$C$6+SQRT($AB127*($E$6-$C$6)*($D$6-$C$6)),$E$6-SQRT((1-$AB127)*($E$6-$C$6)*($E$6-$D$6)))</f>
        <v/>
      </c>
      <c r="O127" s="14">
        <f>_xlfn.NORM.INV($AC127,$C$7,$D$7)</f>
        <v/>
      </c>
      <c r="P127" s="14">
        <f>$C$8+($D$8-$C$8)*$AD127</f>
        <v/>
      </c>
      <c r="Q127" s="14">
        <f>$C$9</f>
        <v/>
      </c>
      <c r="R127" s="14">
        <f>_xlfn.LOGNORM.INV($AF127,LN($C$10)-0.5*LN(1+($D$10/$C$10)^2),SQRT(LN(1+($D$10/$C$10)^2)))</f>
        <v/>
      </c>
      <c r="S127" s="14">
        <f>SUM(M127:R127)</f>
        <v/>
      </c>
      <c r="AA127">
        <f>RAND()</f>
        <v/>
      </c>
      <c r="AB127">
        <f>RAND()</f>
        <v/>
      </c>
      <c r="AC127">
        <f>RAND()</f>
        <v/>
      </c>
      <c r="AD127">
        <f>RAND()</f>
        <v/>
      </c>
      <c r="AE127">
        <f>RAND()</f>
        <v/>
      </c>
      <c r="AF127">
        <f>RAND()</f>
        <v/>
      </c>
    </row>
    <row r="128">
      <c r="M128" s="14">
        <f>_xlfn.BETA.INV($AA128,1+4*($D$5-$C$5)/($E$5-$C$5),1+4*($E$5-$D$5)/($E$5-$C$5),$C$5,$E$5)</f>
        <v/>
      </c>
      <c r="N128" s="14">
        <f>IF($AB128&lt;($D$6-$C$6)/($E$6-$C$6),$C$6+SQRT($AB128*($E$6-$C$6)*($D$6-$C$6)),$E$6-SQRT((1-$AB128)*($E$6-$C$6)*($E$6-$D$6)))</f>
        <v/>
      </c>
      <c r="O128" s="14">
        <f>_xlfn.NORM.INV($AC128,$C$7,$D$7)</f>
        <v/>
      </c>
      <c r="P128" s="14">
        <f>$C$8+($D$8-$C$8)*$AD128</f>
        <v/>
      </c>
      <c r="Q128" s="14">
        <f>$C$9</f>
        <v/>
      </c>
      <c r="R128" s="14">
        <f>_xlfn.LOGNORM.INV($AF128,LN($C$10)-0.5*LN(1+($D$10/$C$10)^2),SQRT(LN(1+($D$10/$C$10)^2)))</f>
        <v/>
      </c>
      <c r="S128" s="14">
        <f>SUM(M128:R128)</f>
        <v/>
      </c>
      <c r="AA128">
        <f>RAND()</f>
        <v/>
      </c>
      <c r="AB128">
        <f>RAND()</f>
        <v/>
      </c>
      <c r="AC128">
        <f>RAND()</f>
        <v/>
      </c>
      <c r="AD128">
        <f>RAND()</f>
        <v/>
      </c>
      <c r="AE128">
        <f>RAND()</f>
        <v/>
      </c>
      <c r="AF128">
        <f>RAND()</f>
        <v/>
      </c>
    </row>
    <row r="129">
      <c r="M129" s="14">
        <f>_xlfn.BETA.INV($AA129,1+4*($D$5-$C$5)/($E$5-$C$5),1+4*($E$5-$D$5)/($E$5-$C$5),$C$5,$E$5)</f>
        <v/>
      </c>
      <c r="N129" s="14">
        <f>IF($AB129&lt;($D$6-$C$6)/($E$6-$C$6),$C$6+SQRT($AB129*($E$6-$C$6)*($D$6-$C$6)),$E$6-SQRT((1-$AB129)*($E$6-$C$6)*($E$6-$D$6)))</f>
        <v/>
      </c>
      <c r="O129" s="14">
        <f>_xlfn.NORM.INV($AC129,$C$7,$D$7)</f>
        <v/>
      </c>
      <c r="P129" s="14">
        <f>$C$8+($D$8-$C$8)*$AD129</f>
        <v/>
      </c>
      <c r="Q129" s="14">
        <f>$C$9</f>
        <v/>
      </c>
      <c r="R129" s="14">
        <f>_xlfn.LOGNORM.INV($AF129,LN($C$10)-0.5*LN(1+($D$10/$C$10)^2),SQRT(LN(1+($D$10/$C$10)^2)))</f>
        <v/>
      </c>
      <c r="S129" s="14">
        <f>SUM(M129:R129)</f>
        <v/>
      </c>
      <c r="AA129">
        <f>RAND()</f>
        <v/>
      </c>
      <c r="AB129">
        <f>RAND()</f>
        <v/>
      </c>
      <c r="AC129">
        <f>RAND()</f>
        <v/>
      </c>
      <c r="AD129">
        <f>RAND()</f>
        <v/>
      </c>
      <c r="AE129">
        <f>RAND()</f>
        <v/>
      </c>
      <c r="AF129">
        <f>RAND()</f>
        <v/>
      </c>
    </row>
    <row r="130">
      <c r="M130" s="14">
        <f>_xlfn.BETA.INV($AA130,1+4*($D$5-$C$5)/($E$5-$C$5),1+4*($E$5-$D$5)/($E$5-$C$5),$C$5,$E$5)</f>
        <v/>
      </c>
      <c r="N130" s="14">
        <f>IF($AB130&lt;($D$6-$C$6)/($E$6-$C$6),$C$6+SQRT($AB130*($E$6-$C$6)*($D$6-$C$6)),$E$6-SQRT((1-$AB130)*($E$6-$C$6)*($E$6-$D$6)))</f>
        <v/>
      </c>
      <c r="O130" s="14">
        <f>_xlfn.NORM.INV($AC130,$C$7,$D$7)</f>
        <v/>
      </c>
      <c r="P130" s="14">
        <f>$C$8+($D$8-$C$8)*$AD130</f>
        <v/>
      </c>
      <c r="Q130" s="14">
        <f>$C$9</f>
        <v/>
      </c>
      <c r="R130" s="14">
        <f>_xlfn.LOGNORM.INV($AF130,LN($C$10)-0.5*LN(1+($D$10/$C$10)^2),SQRT(LN(1+($D$10/$C$10)^2)))</f>
        <v/>
      </c>
      <c r="S130" s="14">
        <f>SUM(M130:R130)</f>
        <v/>
      </c>
      <c r="AA130">
        <f>RAND()</f>
        <v/>
      </c>
      <c r="AB130">
        <f>RAND()</f>
        <v/>
      </c>
      <c r="AC130">
        <f>RAND()</f>
        <v/>
      </c>
      <c r="AD130">
        <f>RAND()</f>
        <v/>
      </c>
      <c r="AE130">
        <f>RAND()</f>
        <v/>
      </c>
      <c r="AF130">
        <f>RAND()</f>
        <v/>
      </c>
    </row>
    <row r="131">
      <c r="M131" s="14">
        <f>_xlfn.BETA.INV($AA131,1+4*($D$5-$C$5)/($E$5-$C$5),1+4*($E$5-$D$5)/($E$5-$C$5),$C$5,$E$5)</f>
        <v/>
      </c>
      <c r="N131" s="14">
        <f>IF($AB131&lt;($D$6-$C$6)/($E$6-$C$6),$C$6+SQRT($AB131*($E$6-$C$6)*($D$6-$C$6)),$E$6-SQRT((1-$AB131)*($E$6-$C$6)*($E$6-$D$6)))</f>
        <v/>
      </c>
      <c r="O131" s="14">
        <f>_xlfn.NORM.INV($AC131,$C$7,$D$7)</f>
        <v/>
      </c>
      <c r="P131" s="14">
        <f>$C$8+($D$8-$C$8)*$AD131</f>
        <v/>
      </c>
      <c r="Q131" s="14">
        <f>$C$9</f>
        <v/>
      </c>
      <c r="R131" s="14">
        <f>_xlfn.LOGNORM.INV($AF131,LN($C$10)-0.5*LN(1+($D$10/$C$10)^2),SQRT(LN(1+($D$10/$C$10)^2)))</f>
        <v/>
      </c>
      <c r="S131" s="14">
        <f>SUM(M131:R131)</f>
        <v/>
      </c>
      <c r="AA131">
        <f>RAND()</f>
        <v/>
      </c>
      <c r="AB131">
        <f>RAND()</f>
        <v/>
      </c>
      <c r="AC131">
        <f>RAND()</f>
        <v/>
      </c>
      <c r="AD131">
        <f>RAND()</f>
        <v/>
      </c>
      <c r="AE131">
        <f>RAND()</f>
        <v/>
      </c>
      <c r="AF131">
        <f>RAND()</f>
        <v/>
      </c>
    </row>
    <row r="132">
      <c r="M132" s="14">
        <f>_xlfn.BETA.INV($AA132,1+4*($D$5-$C$5)/($E$5-$C$5),1+4*($E$5-$D$5)/($E$5-$C$5),$C$5,$E$5)</f>
        <v/>
      </c>
      <c r="N132" s="14">
        <f>IF($AB132&lt;($D$6-$C$6)/($E$6-$C$6),$C$6+SQRT($AB132*($E$6-$C$6)*($D$6-$C$6)),$E$6-SQRT((1-$AB132)*($E$6-$C$6)*($E$6-$D$6)))</f>
        <v/>
      </c>
      <c r="O132" s="14">
        <f>_xlfn.NORM.INV($AC132,$C$7,$D$7)</f>
        <v/>
      </c>
      <c r="P132" s="14">
        <f>$C$8+($D$8-$C$8)*$AD132</f>
        <v/>
      </c>
      <c r="Q132" s="14">
        <f>$C$9</f>
        <v/>
      </c>
      <c r="R132" s="14">
        <f>_xlfn.LOGNORM.INV($AF132,LN($C$10)-0.5*LN(1+($D$10/$C$10)^2),SQRT(LN(1+($D$10/$C$10)^2)))</f>
        <v/>
      </c>
      <c r="S132" s="14">
        <f>SUM(M132:R132)</f>
        <v/>
      </c>
      <c r="AA132">
        <f>RAND()</f>
        <v/>
      </c>
      <c r="AB132">
        <f>RAND()</f>
        <v/>
      </c>
      <c r="AC132">
        <f>RAND()</f>
        <v/>
      </c>
      <c r="AD132">
        <f>RAND()</f>
        <v/>
      </c>
      <c r="AE132">
        <f>RAND()</f>
        <v/>
      </c>
      <c r="AF132">
        <f>RAND()</f>
        <v/>
      </c>
    </row>
    <row r="133">
      <c r="M133" s="14">
        <f>_xlfn.BETA.INV($AA133,1+4*($D$5-$C$5)/($E$5-$C$5),1+4*($E$5-$D$5)/($E$5-$C$5),$C$5,$E$5)</f>
        <v/>
      </c>
      <c r="N133" s="14">
        <f>IF($AB133&lt;($D$6-$C$6)/($E$6-$C$6),$C$6+SQRT($AB133*($E$6-$C$6)*($D$6-$C$6)),$E$6-SQRT((1-$AB133)*($E$6-$C$6)*($E$6-$D$6)))</f>
        <v/>
      </c>
      <c r="O133" s="14">
        <f>_xlfn.NORM.INV($AC133,$C$7,$D$7)</f>
        <v/>
      </c>
      <c r="P133" s="14">
        <f>$C$8+($D$8-$C$8)*$AD133</f>
        <v/>
      </c>
      <c r="Q133" s="14">
        <f>$C$9</f>
        <v/>
      </c>
      <c r="R133" s="14">
        <f>_xlfn.LOGNORM.INV($AF133,LN($C$10)-0.5*LN(1+($D$10/$C$10)^2),SQRT(LN(1+($D$10/$C$10)^2)))</f>
        <v/>
      </c>
      <c r="S133" s="14">
        <f>SUM(M133:R133)</f>
        <v/>
      </c>
      <c r="AA133">
        <f>RAND()</f>
        <v/>
      </c>
      <c r="AB133">
        <f>RAND()</f>
        <v/>
      </c>
      <c r="AC133">
        <f>RAND()</f>
        <v/>
      </c>
      <c r="AD133">
        <f>RAND()</f>
        <v/>
      </c>
      <c r="AE133">
        <f>RAND()</f>
        <v/>
      </c>
      <c r="AF133">
        <f>RAND()</f>
        <v/>
      </c>
    </row>
    <row r="134">
      <c r="M134" s="14">
        <f>_xlfn.BETA.INV($AA134,1+4*($D$5-$C$5)/($E$5-$C$5),1+4*($E$5-$D$5)/($E$5-$C$5),$C$5,$E$5)</f>
        <v/>
      </c>
      <c r="N134" s="14">
        <f>IF($AB134&lt;($D$6-$C$6)/($E$6-$C$6),$C$6+SQRT($AB134*($E$6-$C$6)*($D$6-$C$6)),$E$6-SQRT((1-$AB134)*($E$6-$C$6)*($E$6-$D$6)))</f>
        <v/>
      </c>
      <c r="O134" s="14">
        <f>_xlfn.NORM.INV($AC134,$C$7,$D$7)</f>
        <v/>
      </c>
      <c r="P134" s="14">
        <f>$C$8+($D$8-$C$8)*$AD134</f>
        <v/>
      </c>
      <c r="Q134" s="14">
        <f>$C$9</f>
        <v/>
      </c>
      <c r="R134" s="14">
        <f>_xlfn.LOGNORM.INV($AF134,LN($C$10)-0.5*LN(1+($D$10/$C$10)^2),SQRT(LN(1+($D$10/$C$10)^2)))</f>
        <v/>
      </c>
      <c r="S134" s="14">
        <f>SUM(M134:R134)</f>
        <v/>
      </c>
      <c r="AA134">
        <f>RAND()</f>
        <v/>
      </c>
      <c r="AB134">
        <f>RAND()</f>
        <v/>
      </c>
      <c r="AC134">
        <f>RAND()</f>
        <v/>
      </c>
      <c r="AD134">
        <f>RAND()</f>
        <v/>
      </c>
      <c r="AE134">
        <f>RAND()</f>
        <v/>
      </c>
      <c r="AF134">
        <f>RAND()</f>
        <v/>
      </c>
    </row>
    <row r="135">
      <c r="M135" s="14">
        <f>_xlfn.BETA.INV($AA135,1+4*($D$5-$C$5)/($E$5-$C$5),1+4*($E$5-$D$5)/($E$5-$C$5),$C$5,$E$5)</f>
        <v/>
      </c>
      <c r="N135" s="14">
        <f>IF($AB135&lt;($D$6-$C$6)/($E$6-$C$6),$C$6+SQRT($AB135*($E$6-$C$6)*($D$6-$C$6)),$E$6-SQRT((1-$AB135)*($E$6-$C$6)*($E$6-$D$6)))</f>
        <v/>
      </c>
      <c r="O135" s="14">
        <f>_xlfn.NORM.INV($AC135,$C$7,$D$7)</f>
        <v/>
      </c>
      <c r="P135" s="14">
        <f>$C$8+($D$8-$C$8)*$AD135</f>
        <v/>
      </c>
      <c r="Q135" s="14">
        <f>$C$9</f>
        <v/>
      </c>
      <c r="R135" s="14">
        <f>_xlfn.LOGNORM.INV($AF135,LN($C$10)-0.5*LN(1+($D$10/$C$10)^2),SQRT(LN(1+($D$10/$C$10)^2)))</f>
        <v/>
      </c>
      <c r="S135" s="14">
        <f>SUM(M135:R135)</f>
        <v/>
      </c>
      <c r="AA135">
        <f>RAND()</f>
        <v/>
      </c>
      <c r="AB135">
        <f>RAND()</f>
        <v/>
      </c>
      <c r="AC135">
        <f>RAND()</f>
        <v/>
      </c>
      <c r="AD135">
        <f>RAND()</f>
        <v/>
      </c>
      <c r="AE135">
        <f>RAND()</f>
        <v/>
      </c>
      <c r="AF135">
        <f>RAND()</f>
        <v/>
      </c>
    </row>
    <row r="136">
      <c r="M136" s="14">
        <f>_xlfn.BETA.INV($AA136,1+4*($D$5-$C$5)/($E$5-$C$5),1+4*($E$5-$D$5)/($E$5-$C$5),$C$5,$E$5)</f>
        <v/>
      </c>
      <c r="N136" s="14">
        <f>IF($AB136&lt;($D$6-$C$6)/($E$6-$C$6),$C$6+SQRT($AB136*($E$6-$C$6)*($D$6-$C$6)),$E$6-SQRT((1-$AB136)*($E$6-$C$6)*($E$6-$D$6)))</f>
        <v/>
      </c>
      <c r="O136" s="14">
        <f>_xlfn.NORM.INV($AC136,$C$7,$D$7)</f>
        <v/>
      </c>
      <c r="P136" s="14">
        <f>$C$8+($D$8-$C$8)*$AD136</f>
        <v/>
      </c>
      <c r="Q136" s="14">
        <f>$C$9</f>
        <v/>
      </c>
      <c r="R136" s="14">
        <f>_xlfn.LOGNORM.INV($AF136,LN($C$10)-0.5*LN(1+($D$10/$C$10)^2),SQRT(LN(1+($D$10/$C$10)^2)))</f>
        <v/>
      </c>
      <c r="S136" s="14">
        <f>SUM(M136:R136)</f>
        <v/>
      </c>
      <c r="AA136">
        <f>RAND()</f>
        <v/>
      </c>
      <c r="AB136">
        <f>RAND()</f>
        <v/>
      </c>
      <c r="AC136">
        <f>RAND()</f>
        <v/>
      </c>
      <c r="AD136">
        <f>RAND()</f>
        <v/>
      </c>
      <c r="AE136">
        <f>RAND()</f>
        <v/>
      </c>
      <c r="AF136">
        <f>RAND()</f>
        <v/>
      </c>
    </row>
    <row r="137">
      <c r="M137" s="14">
        <f>_xlfn.BETA.INV($AA137,1+4*($D$5-$C$5)/($E$5-$C$5),1+4*($E$5-$D$5)/($E$5-$C$5),$C$5,$E$5)</f>
        <v/>
      </c>
      <c r="N137" s="14">
        <f>IF($AB137&lt;($D$6-$C$6)/($E$6-$C$6),$C$6+SQRT($AB137*($E$6-$C$6)*($D$6-$C$6)),$E$6-SQRT((1-$AB137)*($E$6-$C$6)*($E$6-$D$6)))</f>
        <v/>
      </c>
      <c r="O137" s="14">
        <f>_xlfn.NORM.INV($AC137,$C$7,$D$7)</f>
        <v/>
      </c>
      <c r="P137" s="14">
        <f>$C$8+($D$8-$C$8)*$AD137</f>
        <v/>
      </c>
      <c r="Q137" s="14">
        <f>$C$9</f>
        <v/>
      </c>
      <c r="R137" s="14">
        <f>_xlfn.LOGNORM.INV($AF137,LN($C$10)-0.5*LN(1+($D$10/$C$10)^2),SQRT(LN(1+($D$10/$C$10)^2)))</f>
        <v/>
      </c>
      <c r="S137" s="14">
        <f>SUM(M137:R137)</f>
        <v/>
      </c>
      <c r="AA137">
        <f>RAND()</f>
        <v/>
      </c>
      <c r="AB137">
        <f>RAND()</f>
        <v/>
      </c>
      <c r="AC137">
        <f>RAND()</f>
        <v/>
      </c>
      <c r="AD137">
        <f>RAND()</f>
        <v/>
      </c>
      <c r="AE137">
        <f>RAND()</f>
        <v/>
      </c>
      <c r="AF137">
        <f>RAND()</f>
        <v/>
      </c>
    </row>
    <row r="138">
      <c r="M138" s="14">
        <f>_xlfn.BETA.INV($AA138,1+4*($D$5-$C$5)/($E$5-$C$5),1+4*($E$5-$D$5)/($E$5-$C$5),$C$5,$E$5)</f>
        <v/>
      </c>
      <c r="N138" s="14">
        <f>IF($AB138&lt;($D$6-$C$6)/($E$6-$C$6),$C$6+SQRT($AB138*($E$6-$C$6)*($D$6-$C$6)),$E$6-SQRT((1-$AB138)*($E$6-$C$6)*($E$6-$D$6)))</f>
        <v/>
      </c>
      <c r="O138" s="14">
        <f>_xlfn.NORM.INV($AC138,$C$7,$D$7)</f>
        <v/>
      </c>
      <c r="P138" s="14">
        <f>$C$8+($D$8-$C$8)*$AD138</f>
        <v/>
      </c>
      <c r="Q138" s="14">
        <f>$C$9</f>
        <v/>
      </c>
      <c r="R138" s="14">
        <f>_xlfn.LOGNORM.INV($AF138,LN($C$10)-0.5*LN(1+($D$10/$C$10)^2),SQRT(LN(1+($D$10/$C$10)^2)))</f>
        <v/>
      </c>
      <c r="S138" s="14">
        <f>SUM(M138:R138)</f>
        <v/>
      </c>
      <c r="AA138">
        <f>RAND()</f>
        <v/>
      </c>
      <c r="AB138">
        <f>RAND()</f>
        <v/>
      </c>
      <c r="AC138">
        <f>RAND()</f>
        <v/>
      </c>
      <c r="AD138">
        <f>RAND()</f>
        <v/>
      </c>
      <c r="AE138">
        <f>RAND()</f>
        <v/>
      </c>
      <c r="AF138">
        <f>RAND()</f>
        <v/>
      </c>
    </row>
    <row r="139">
      <c r="M139" s="14">
        <f>_xlfn.BETA.INV($AA139,1+4*($D$5-$C$5)/($E$5-$C$5),1+4*($E$5-$D$5)/($E$5-$C$5),$C$5,$E$5)</f>
        <v/>
      </c>
      <c r="N139" s="14">
        <f>IF($AB139&lt;($D$6-$C$6)/($E$6-$C$6),$C$6+SQRT($AB139*($E$6-$C$6)*($D$6-$C$6)),$E$6-SQRT((1-$AB139)*($E$6-$C$6)*($E$6-$D$6)))</f>
        <v/>
      </c>
      <c r="O139" s="14">
        <f>_xlfn.NORM.INV($AC139,$C$7,$D$7)</f>
        <v/>
      </c>
      <c r="P139" s="14">
        <f>$C$8+($D$8-$C$8)*$AD139</f>
        <v/>
      </c>
      <c r="Q139" s="14">
        <f>$C$9</f>
        <v/>
      </c>
      <c r="R139" s="14">
        <f>_xlfn.LOGNORM.INV($AF139,LN($C$10)-0.5*LN(1+($D$10/$C$10)^2),SQRT(LN(1+($D$10/$C$10)^2)))</f>
        <v/>
      </c>
      <c r="S139" s="14">
        <f>SUM(M139:R139)</f>
        <v/>
      </c>
      <c r="AA139">
        <f>RAND()</f>
        <v/>
      </c>
      <c r="AB139">
        <f>RAND()</f>
        <v/>
      </c>
      <c r="AC139">
        <f>RAND()</f>
        <v/>
      </c>
      <c r="AD139">
        <f>RAND()</f>
        <v/>
      </c>
      <c r="AE139">
        <f>RAND()</f>
        <v/>
      </c>
      <c r="AF139">
        <f>RAND()</f>
        <v/>
      </c>
    </row>
    <row r="140">
      <c r="M140" s="14">
        <f>_xlfn.BETA.INV($AA140,1+4*($D$5-$C$5)/($E$5-$C$5),1+4*($E$5-$D$5)/($E$5-$C$5),$C$5,$E$5)</f>
        <v/>
      </c>
      <c r="N140" s="14">
        <f>IF($AB140&lt;($D$6-$C$6)/($E$6-$C$6),$C$6+SQRT($AB140*($E$6-$C$6)*($D$6-$C$6)),$E$6-SQRT((1-$AB140)*($E$6-$C$6)*($E$6-$D$6)))</f>
        <v/>
      </c>
      <c r="O140" s="14">
        <f>_xlfn.NORM.INV($AC140,$C$7,$D$7)</f>
        <v/>
      </c>
      <c r="P140" s="14">
        <f>$C$8+($D$8-$C$8)*$AD140</f>
        <v/>
      </c>
      <c r="Q140" s="14">
        <f>$C$9</f>
        <v/>
      </c>
      <c r="R140" s="14">
        <f>_xlfn.LOGNORM.INV($AF140,LN($C$10)-0.5*LN(1+($D$10/$C$10)^2),SQRT(LN(1+($D$10/$C$10)^2)))</f>
        <v/>
      </c>
      <c r="S140" s="14">
        <f>SUM(M140:R140)</f>
        <v/>
      </c>
      <c r="AA140">
        <f>RAND()</f>
        <v/>
      </c>
      <c r="AB140">
        <f>RAND()</f>
        <v/>
      </c>
      <c r="AC140">
        <f>RAND()</f>
        <v/>
      </c>
      <c r="AD140">
        <f>RAND()</f>
        <v/>
      </c>
      <c r="AE140">
        <f>RAND()</f>
        <v/>
      </c>
      <c r="AF140">
        <f>RAND()</f>
        <v/>
      </c>
    </row>
    <row r="141">
      <c r="M141" s="14">
        <f>_xlfn.BETA.INV($AA141,1+4*($D$5-$C$5)/($E$5-$C$5),1+4*($E$5-$D$5)/($E$5-$C$5),$C$5,$E$5)</f>
        <v/>
      </c>
      <c r="N141" s="14">
        <f>IF($AB141&lt;($D$6-$C$6)/($E$6-$C$6),$C$6+SQRT($AB141*($E$6-$C$6)*($D$6-$C$6)),$E$6-SQRT((1-$AB141)*($E$6-$C$6)*($E$6-$D$6)))</f>
        <v/>
      </c>
      <c r="O141" s="14">
        <f>_xlfn.NORM.INV($AC141,$C$7,$D$7)</f>
        <v/>
      </c>
      <c r="P141" s="14">
        <f>$C$8+($D$8-$C$8)*$AD141</f>
        <v/>
      </c>
      <c r="Q141" s="14">
        <f>$C$9</f>
        <v/>
      </c>
      <c r="R141" s="14">
        <f>_xlfn.LOGNORM.INV($AF141,LN($C$10)-0.5*LN(1+($D$10/$C$10)^2),SQRT(LN(1+($D$10/$C$10)^2)))</f>
        <v/>
      </c>
      <c r="S141" s="14">
        <f>SUM(M141:R141)</f>
        <v/>
      </c>
      <c r="AA141">
        <f>RAND()</f>
        <v/>
      </c>
      <c r="AB141">
        <f>RAND()</f>
        <v/>
      </c>
      <c r="AC141">
        <f>RAND()</f>
        <v/>
      </c>
      <c r="AD141">
        <f>RAND()</f>
        <v/>
      </c>
      <c r="AE141">
        <f>RAND()</f>
        <v/>
      </c>
      <c r="AF141">
        <f>RAND()</f>
        <v/>
      </c>
    </row>
    <row r="142">
      <c r="M142" s="14">
        <f>_xlfn.BETA.INV($AA142,1+4*($D$5-$C$5)/($E$5-$C$5),1+4*($E$5-$D$5)/($E$5-$C$5),$C$5,$E$5)</f>
        <v/>
      </c>
      <c r="N142" s="14">
        <f>IF($AB142&lt;($D$6-$C$6)/($E$6-$C$6),$C$6+SQRT($AB142*($E$6-$C$6)*($D$6-$C$6)),$E$6-SQRT((1-$AB142)*($E$6-$C$6)*($E$6-$D$6)))</f>
        <v/>
      </c>
      <c r="O142" s="14">
        <f>_xlfn.NORM.INV($AC142,$C$7,$D$7)</f>
        <v/>
      </c>
      <c r="P142" s="14">
        <f>$C$8+($D$8-$C$8)*$AD142</f>
        <v/>
      </c>
      <c r="Q142" s="14">
        <f>$C$9</f>
        <v/>
      </c>
      <c r="R142" s="14">
        <f>_xlfn.LOGNORM.INV($AF142,LN($C$10)-0.5*LN(1+($D$10/$C$10)^2),SQRT(LN(1+($D$10/$C$10)^2)))</f>
        <v/>
      </c>
      <c r="S142" s="14">
        <f>SUM(M142:R142)</f>
        <v/>
      </c>
      <c r="AA142">
        <f>RAND()</f>
        <v/>
      </c>
      <c r="AB142">
        <f>RAND()</f>
        <v/>
      </c>
      <c r="AC142">
        <f>RAND()</f>
        <v/>
      </c>
      <c r="AD142">
        <f>RAND()</f>
        <v/>
      </c>
      <c r="AE142">
        <f>RAND()</f>
        <v/>
      </c>
      <c r="AF142">
        <f>RAND()</f>
        <v/>
      </c>
    </row>
    <row r="143">
      <c r="M143" s="14">
        <f>_xlfn.BETA.INV($AA143,1+4*($D$5-$C$5)/($E$5-$C$5),1+4*($E$5-$D$5)/($E$5-$C$5),$C$5,$E$5)</f>
        <v/>
      </c>
      <c r="N143" s="14">
        <f>IF($AB143&lt;($D$6-$C$6)/($E$6-$C$6),$C$6+SQRT($AB143*($E$6-$C$6)*($D$6-$C$6)),$E$6-SQRT((1-$AB143)*($E$6-$C$6)*($E$6-$D$6)))</f>
        <v/>
      </c>
      <c r="O143" s="14">
        <f>_xlfn.NORM.INV($AC143,$C$7,$D$7)</f>
        <v/>
      </c>
      <c r="P143" s="14">
        <f>$C$8+($D$8-$C$8)*$AD143</f>
        <v/>
      </c>
      <c r="Q143" s="14">
        <f>$C$9</f>
        <v/>
      </c>
      <c r="R143" s="14">
        <f>_xlfn.LOGNORM.INV($AF143,LN($C$10)-0.5*LN(1+($D$10/$C$10)^2),SQRT(LN(1+($D$10/$C$10)^2)))</f>
        <v/>
      </c>
      <c r="S143" s="14">
        <f>SUM(M143:R143)</f>
        <v/>
      </c>
      <c r="AA143">
        <f>RAND()</f>
        <v/>
      </c>
      <c r="AB143">
        <f>RAND()</f>
        <v/>
      </c>
      <c r="AC143">
        <f>RAND()</f>
        <v/>
      </c>
      <c r="AD143">
        <f>RAND()</f>
        <v/>
      </c>
      <c r="AE143">
        <f>RAND()</f>
        <v/>
      </c>
      <c r="AF143">
        <f>RAND()</f>
        <v/>
      </c>
    </row>
    <row r="144">
      <c r="M144" s="14">
        <f>_xlfn.BETA.INV($AA144,1+4*($D$5-$C$5)/($E$5-$C$5),1+4*($E$5-$D$5)/($E$5-$C$5),$C$5,$E$5)</f>
        <v/>
      </c>
      <c r="N144" s="14">
        <f>IF($AB144&lt;($D$6-$C$6)/($E$6-$C$6),$C$6+SQRT($AB144*($E$6-$C$6)*($D$6-$C$6)),$E$6-SQRT((1-$AB144)*($E$6-$C$6)*($E$6-$D$6)))</f>
        <v/>
      </c>
      <c r="O144" s="14">
        <f>_xlfn.NORM.INV($AC144,$C$7,$D$7)</f>
        <v/>
      </c>
      <c r="P144" s="14">
        <f>$C$8+($D$8-$C$8)*$AD144</f>
        <v/>
      </c>
      <c r="Q144" s="14">
        <f>$C$9</f>
        <v/>
      </c>
      <c r="R144" s="14">
        <f>_xlfn.LOGNORM.INV($AF144,LN($C$10)-0.5*LN(1+($D$10/$C$10)^2),SQRT(LN(1+($D$10/$C$10)^2)))</f>
        <v/>
      </c>
      <c r="S144" s="14">
        <f>SUM(M144:R144)</f>
        <v/>
      </c>
      <c r="AA144">
        <f>RAND()</f>
        <v/>
      </c>
      <c r="AB144">
        <f>RAND()</f>
        <v/>
      </c>
      <c r="AC144">
        <f>RAND()</f>
        <v/>
      </c>
      <c r="AD144">
        <f>RAND()</f>
        <v/>
      </c>
      <c r="AE144">
        <f>RAND()</f>
        <v/>
      </c>
      <c r="AF144">
        <f>RAND()</f>
        <v/>
      </c>
    </row>
    <row r="145">
      <c r="M145" s="14">
        <f>_xlfn.BETA.INV($AA145,1+4*($D$5-$C$5)/($E$5-$C$5),1+4*($E$5-$D$5)/($E$5-$C$5),$C$5,$E$5)</f>
        <v/>
      </c>
      <c r="N145" s="14">
        <f>IF($AB145&lt;($D$6-$C$6)/($E$6-$C$6),$C$6+SQRT($AB145*($E$6-$C$6)*($D$6-$C$6)),$E$6-SQRT((1-$AB145)*($E$6-$C$6)*($E$6-$D$6)))</f>
        <v/>
      </c>
      <c r="O145" s="14">
        <f>_xlfn.NORM.INV($AC145,$C$7,$D$7)</f>
        <v/>
      </c>
      <c r="P145" s="14">
        <f>$C$8+($D$8-$C$8)*$AD145</f>
        <v/>
      </c>
      <c r="Q145" s="14">
        <f>$C$9</f>
        <v/>
      </c>
      <c r="R145" s="14">
        <f>_xlfn.LOGNORM.INV($AF145,LN($C$10)-0.5*LN(1+($D$10/$C$10)^2),SQRT(LN(1+($D$10/$C$10)^2)))</f>
        <v/>
      </c>
      <c r="S145" s="14">
        <f>SUM(M145:R145)</f>
        <v/>
      </c>
      <c r="AA145">
        <f>RAND()</f>
        <v/>
      </c>
      <c r="AB145">
        <f>RAND()</f>
        <v/>
      </c>
      <c r="AC145">
        <f>RAND()</f>
        <v/>
      </c>
      <c r="AD145">
        <f>RAND()</f>
        <v/>
      </c>
      <c r="AE145">
        <f>RAND()</f>
        <v/>
      </c>
      <c r="AF145">
        <f>RAND()</f>
        <v/>
      </c>
    </row>
    <row r="146">
      <c r="M146" s="14">
        <f>_xlfn.BETA.INV($AA146,1+4*($D$5-$C$5)/($E$5-$C$5),1+4*($E$5-$D$5)/($E$5-$C$5),$C$5,$E$5)</f>
        <v/>
      </c>
      <c r="N146" s="14">
        <f>IF($AB146&lt;($D$6-$C$6)/($E$6-$C$6),$C$6+SQRT($AB146*($E$6-$C$6)*($D$6-$C$6)),$E$6-SQRT((1-$AB146)*($E$6-$C$6)*($E$6-$D$6)))</f>
        <v/>
      </c>
      <c r="O146" s="14">
        <f>_xlfn.NORM.INV($AC146,$C$7,$D$7)</f>
        <v/>
      </c>
      <c r="P146" s="14">
        <f>$C$8+($D$8-$C$8)*$AD146</f>
        <v/>
      </c>
      <c r="Q146" s="14">
        <f>$C$9</f>
        <v/>
      </c>
      <c r="R146" s="14">
        <f>_xlfn.LOGNORM.INV($AF146,LN($C$10)-0.5*LN(1+($D$10/$C$10)^2),SQRT(LN(1+($D$10/$C$10)^2)))</f>
        <v/>
      </c>
      <c r="S146" s="14">
        <f>SUM(M146:R146)</f>
        <v/>
      </c>
      <c r="AA146">
        <f>RAND()</f>
        <v/>
      </c>
      <c r="AB146">
        <f>RAND()</f>
        <v/>
      </c>
      <c r="AC146">
        <f>RAND()</f>
        <v/>
      </c>
      <c r="AD146">
        <f>RAND()</f>
        <v/>
      </c>
      <c r="AE146">
        <f>RAND()</f>
        <v/>
      </c>
      <c r="AF146">
        <f>RAND()</f>
        <v/>
      </c>
    </row>
    <row r="147">
      <c r="M147" s="14">
        <f>_xlfn.BETA.INV($AA147,1+4*($D$5-$C$5)/($E$5-$C$5),1+4*($E$5-$D$5)/($E$5-$C$5),$C$5,$E$5)</f>
        <v/>
      </c>
      <c r="N147" s="14">
        <f>IF($AB147&lt;($D$6-$C$6)/($E$6-$C$6),$C$6+SQRT($AB147*($E$6-$C$6)*($D$6-$C$6)),$E$6-SQRT((1-$AB147)*($E$6-$C$6)*($E$6-$D$6)))</f>
        <v/>
      </c>
      <c r="O147" s="14">
        <f>_xlfn.NORM.INV($AC147,$C$7,$D$7)</f>
        <v/>
      </c>
      <c r="P147" s="14">
        <f>$C$8+($D$8-$C$8)*$AD147</f>
        <v/>
      </c>
      <c r="Q147" s="14">
        <f>$C$9</f>
        <v/>
      </c>
      <c r="R147" s="14">
        <f>_xlfn.LOGNORM.INV($AF147,LN($C$10)-0.5*LN(1+($D$10/$C$10)^2),SQRT(LN(1+($D$10/$C$10)^2)))</f>
        <v/>
      </c>
      <c r="S147" s="14">
        <f>SUM(M147:R147)</f>
        <v/>
      </c>
      <c r="AA147">
        <f>RAND()</f>
        <v/>
      </c>
      <c r="AB147">
        <f>RAND()</f>
        <v/>
      </c>
      <c r="AC147">
        <f>RAND()</f>
        <v/>
      </c>
      <c r="AD147">
        <f>RAND()</f>
        <v/>
      </c>
      <c r="AE147">
        <f>RAND()</f>
        <v/>
      </c>
      <c r="AF147">
        <f>RAND()</f>
        <v/>
      </c>
    </row>
    <row r="148">
      <c r="M148" s="14">
        <f>_xlfn.BETA.INV($AA148,1+4*($D$5-$C$5)/($E$5-$C$5),1+4*($E$5-$D$5)/($E$5-$C$5),$C$5,$E$5)</f>
        <v/>
      </c>
      <c r="N148" s="14">
        <f>IF($AB148&lt;($D$6-$C$6)/($E$6-$C$6),$C$6+SQRT($AB148*($E$6-$C$6)*($D$6-$C$6)),$E$6-SQRT((1-$AB148)*($E$6-$C$6)*($E$6-$D$6)))</f>
        <v/>
      </c>
      <c r="O148" s="14">
        <f>_xlfn.NORM.INV($AC148,$C$7,$D$7)</f>
        <v/>
      </c>
      <c r="P148" s="14">
        <f>$C$8+($D$8-$C$8)*$AD148</f>
        <v/>
      </c>
      <c r="Q148" s="14">
        <f>$C$9</f>
        <v/>
      </c>
      <c r="R148" s="14">
        <f>_xlfn.LOGNORM.INV($AF148,LN($C$10)-0.5*LN(1+($D$10/$C$10)^2),SQRT(LN(1+($D$10/$C$10)^2)))</f>
        <v/>
      </c>
      <c r="S148" s="14">
        <f>SUM(M148:R148)</f>
        <v/>
      </c>
      <c r="AA148">
        <f>RAND()</f>
        <v/>
      </c>
      <c r="AB148">
        <f>RAND()</f>
        <v/>
      </c>
      <c r="AC148">
        <f>RAND()</f>
        <v/>
      </c>
      <c r="AD148">
        <f>RAND()</f>
        <v/>
      </c>
      <c r="AE148">
        <f>RAND()</f>
        <v/>
      </c>
      <c r="AF148">
        <f>RAND()</f>
        <v/>
      </c>
    </row>
    <row r="149">
      <c r="M149" s="14">
        <f>_xlfn.BETA.INV($AA149,1+4*($D$5-$C$5)/($E$5-$C$5),1+4*($E$5-$D$5)/($E$5-$C$5),$C$5,$E$5)</f>
        <v/>
      </c>
      <c r="N149" s="14">
        <f>IF($AB149&lt;($D$6-$C$6)/($E$6-$C$6),$C$6+SQRT($AB149*($E$6-$C$6)*($D$6-$C$6)),$E$6-SQRT((1-$AB149)*($E$6-$C$6)*($E$6-$D$6)))</f>
        <v/>
      </c>
      <c r="O149" s="14">
        <f>_xlfn.NORM.INV($AC149,$C$7,$D$7)</f>
        <v/>
      </c>
      <c r="P149" s="14">
        <f>$C$8+($D$8-$C$8)*$AD149</f>
        <v/>
      </c>
      <c r="Q149" s="14">
        <f>$C$9</f>
        <v/>
      </c>
      <c r="R149" s="14">
        <f>_xlfn.LOGNORM.INV($AF149,LN($C$10)-0.5*LN(1+($D$10/$C$10)^2),SQRT(LN(1+($D$10/$C$10)^2)))</f>
        <v/>
      </c>
      <c r="S149" s="14">
        <f>SUM(M149:R149)</f>
        <v/>
      </c>
      <c r="AA149">
        <f>RAND()</f>
        <v/>
      </c>
      <c r="AB149">
        <f>RAND()</f>
        <v/>
      </c>
      <c r="AC149">
        <f>RAND()</f>
        <v/>
      </c>
      <c r="AD149">
        <f>RAND()</f>
        <v/>
      </c>
      <c r="AE149">
        <f>RAND()</f>
        <v/>
      </c>
      <c r="AF149">
        <f>RAND()</f>
        <v/>
      </c>
    </row>
    <row r="150">
      <c r="M150" s="14">
        <f>_xlfn.BETA.INV($AA150,1+4*($D$5-$C$5)/($E$5-$C$5),1+4*($E$5-$D$5)/($E$5-$C$5),$C$5,$E$5)</f>
        <v/>
      </c>
      <c r="N150" s="14">
        <f>IF($AB150&lt;($D$6-$C$6)/($E$6-$C$6),$C$6+SQRT($AB150*($E$6-$C$6)*($D$6-$C$6)),$E$6-SQRT((1-$AB150)*($E$6-$C$6)*($E$6-$D$6)))</f>
        <v/>
      </c>
      <c r="O150" s="14">
        <f>_xlfn.NORM.INV($AC150,$C$7,$D$7)</f>
        <v/>
      </c>
      <c r="P150" s="14">
        <f>$C$8+($D$8-$C$8)*$AD150</f>
        <v/>
      </c>
      <c r="Q150" s="14">
        <f>$C$9</f>
        <v/>
      </c>
      <c r="R150" s="14">
        <f>_xlfn.LOGNORM.INV($AF150,LN($C$10)-0.5*LN(1+($D$10/$C$10)^2),SQRT(LN(1+($D$10/$C$10)^2)))</f>
        <v/>
      </c>
      <c r="S150" s="14">
        <f>SUM(M150:R150)</f>
        <v/>
      </c>
      <c r="AA150">
        <f>RAND()</f>
        <v/>
      </c>
      <c r="AB150">
        <f>RAND()</f>
        <v/>
      </c>
      <c r="AC150">
        <f>RAND()</f>
        <v/>
      </c>
      <c r="AD150">
        <f>RAND()</f>
        <v/>
      </c>
      <c r="AE150">
        <f>RAND()</f>
        <v/>
      </c>
      <c r="AF150">
        <f>RAND()</f>
        <v/>
      </c>
    </row>
    <row r="151">
      <c r="M151" s="14">
        <f>_xlfn.BETA.INV($AA151,1+4*($D$5-$C$5)/($E$5-$C$5),1+4*($E$5-$D$5)/($E$5-$C$5),$C$5,$E$5)</f>
        <v/>
      </c>
      <c r="N151" s="14">
        <f>IF($AB151&lt;($D$6-$C$6)/($E$6-$C$6),$C$6+SQRT($AB151*($E$6-$C$6)*($D$6-$C$6)),$E$6-SQRT((1-$AB151)*($E$6-$C$6)*($E$6-$D$6)))</f>
        <v/>
      </c>
      <c r="O151" s="14">
        <f>_xlfn.NORM.INV($AC151,$C$7,$D$7)</f>
        <v/>
      </c>
      <c r="P151" s="14">
        <f>$C$8+($D$8-$C$8)*$AD151</f>
        <v/>
      </c>
      <c r="Q151" s="14">
        <f>$C$9</f>
        <v/>
      </c>
      <c r="R151" s="14">
        <f>_xlfn.LOGNORM.INV($AF151,LN($C$10)-0.5*LN(1+($D$10/$C$10)^2),SQRT(LN(1+($D$10/$C$10)^2)))</f>
        <v/>
      </c>
      <c r="S151" s="14">
        <f>SUM(M151:R151)</f>
        <v/>
      </c>
      <c r="AA151">
        <f>RAND()</f>
        <v/>
      </c>
      <c r="AB151">
        <f>RAND()</f>
        <v/>
      </c>
      <c r="AC151">
        <f>RAND()</f>
        <v/>
      </c>
      <c r="AD151">
        <f>RAND()</f>
        <v/>
      </c>
      <c r="AE151">
        <f>RAND()</f>
        <v/>
      </c>
      <c r="AF151">
        <f>RAND()</f>
        <v/>
      </c>
    </row>
    <row r="152">
      <c r="M152" s="14">
        <f>_xlfn.BETA.INV($AA152,1+4*($D$5-$C$5)/($E$5-$C$5),1+4*($E$5-$D$5)/($E$5-$C$5),$C$5,$E$5)</f>
        <v/>
      </c>
      <c r="N152" s="14">
        <f>IF($AB152&lt;($D$6-$C$6)/($E$6-$C$6),$C$6+SQRT($AB152*($E$6-$C$6)*($D$6-$C$6)),$E$6-SQRT((1-$AB152)*($E$6-$C$6)*($E$6-$D$6)))</f>
        <v/>
      </c>
      <c r="O152" s="14">
        <f>_xlfn.NORM.INV($AC152,$C$7,$D$7)</f>
        <v/>
      </c>
      <c r="P152" s="14">
        <f>$C$8+($D$8-$C$8)*$AD152</f>
        <v/>
      </c>
      <c r="Q152" s="14">
        <f>$C$9</f>
        <v/>
      </c>
      <c r="R152" s="14">
        <f>_xlfn.LOGNORM.INV($AF152,LN($C$10)-0.5*LN(1+($D$10/$C$10)^2),SQRT(LN(1+($D$10/$C$10)^2)))</f>
        <v/>
      </c>
      <c r="S152" s="14">
        <f>SUM(M152:R152)</f>
        <v/>
      </c>
      <c r="AA152">
        <f>RAND()</f>
        <v/>
      </c>
      <c r="AB152">
        <f>RAND()</f>
        <v/>
      </c>
      <c r="AC152">
        <f>RAND()</f>
        <v/>
      </c>
      <c r="AD152">
        <f>RAND()</f>
        <v/>
      </c>
      <c r="AE152">
        <f>RAND()</f>
        <v/>
      </c>
      <c r="AF152">
        <f>RAND()</f>
        <v/>
      </c>
    </row>
    <row r="153">
      <c r="M153" s="14">
        <f>_xlfn.BETA.INV($AA153,1+4*($D$5-$C$5)/($E$5-$C$5),1+4*($E$5-$D$5)/($E$5-$C$5),$C$5,$E$5)</f>
        <v/>
      </c>
      <c r="N153" s="14">
        <f>IF($AB153&lt;($D$6-$C$6)/($E$6-$C$6),$C$6+SQRT($AB153*($E$6-$C$6)*($D$6-$C$6)),$E$6-SQRT((1-$AB153)*($E$6-$C$6)*($E$6-$D$6)))</f>
        <v/>
      </c>
      <c r="O153" s="14">
        <f>_xlfn.NORM.INV($AC153,$C$7,$D$7)</f>
        <v/>
      </c>
      <c r="P153" s="14">
        <f>$C$8+($D$8-$C$8)*$AD153</f>
        <v/>
      </c>
      <c r="Q153" s="14">
        <f>$C$9</f>
        <v/>
      </c>
      <c r="R153" s="14">
        <f>_xlfn.LOGNORM.INV($AF153,LN($C$10)-0.5*LN(1+($D$10/$C$10)^2),SQRT(LN(1+($D$10/$C$10)^2)))</f>
        <v/>
      </c>
      <c r="S153" s="14">
        <f>SUM(M153:R153)</f>
        <v/>
      </c>
      <c r="AA153">
        <f>RAND()</f>
        <v/>
      </c>
      <c r="AB153">
        <f>RAND()</f>
        <v/>
      </c>
      <c r="AC153">
        <f>RAND()</f>
        <v/>
      </c>
      <c r="AD153">
        <f>RAND()</f>
        <v/>
      </c>
      <c r="AE153">
        <f>RAND()</f>
        <v/>
      </c>
      <c r="AF153">
        <f>RAND()</f>
        <v/>
      </c>
    </row>
    <row r="154">
      <c r="M154" s="14">
        <f>_xlfn.BETA.INV($AA154,1+4*($D$5-$C$5)/($E$5-$C$5),1+4*($E$5-$D$5)/($E$5-$C$5),$C$5,$E$5)</f>
        <v/>
      </c>
      <c r="N154" s="14">
        <f>IF($AB154&lt;($D$6-$C$6)/($E$6-$C$6),$C$6+SQRT($AB154*($E$6-$C$6)*($D$6-$C$6)),$E$6-SQRT((1-$AB154)*($E$6-$C$6)*($E$6-$D$6)))</f>
        <v/>
      </c>
      <c r="O154" s="14">
        <f>_xlfn.NORM.INV($AC154,$C$7,$D$7)</f>
        <v/>
      </c>
      <c r="P154" s="14">
        <f>$C$8+($D$8-$C$8)*$AD154</f>
        <v/>
      </c>
      <c r="Q154" s="14">
        <f>$C$9</f>
        <v/>
      </c>
      <c r="R154" s="14">
        <f>_xlfn.LOGNORM.INV($AF154,LN($C$10)-0.5*LN(1+($D$10/$C$10)^2),SQRT(LN(1+($D$10/$C$10)^2)))</f>
        <v/>
      </c>
      <c r="S154" s="14">
        <f>SUM(M154:R154)</f>
        <v/>
      </c>
      <c r="AA154">
        <f>RAND()</f>
        <v/>
      </c>
      <c r="AB154">
        <f>RAND()</f>
        <v/>
      </c>
      <c r="AC154">
        <f>RAND()</f>
        <v/>
      </c>
      <c r="AD154">
        <f>RAND()</f>
        <v/>
      </c>
      <c r="AE154">
        <f>RAND()</f>
        <v/>
      </c>
      <c r="AF154">
        <f>RAND()</f>
        <v/>
      </c>
    </row>
    <row r="155">
      <c r="M155" s="14">
        <f>_xlfn.BETA.INV($AA155,1+4*($D$5-$C$5)/($E$5-$C$5),1+4*($E$5-$D$5)/($E$5-$C$5),$C$5,$E$5)</f>
        <v/>
      </c>
      <c r="N155" s="14">
        <f>IF($AB155&lt;($D$6-$C$6)/($E$6-$C$6),$C$6+SQRT($AB155*($E$6-$C$6)*($D$6-$C$6)),$E$6-SQRT((1-$AB155)*($E$6-$C$6)*($E$6-$D$6)))</f>
        <v/>
      </c>
      <c r="O155" s="14">
        <f>_xlfn.NORM.INV($AC155,$C$7,$D$7)</f>
        <v/>
      </c>
      <c r="P155" s="14">
        <f>$C$8+($D$8-$C$8)*$AD155</f>
        <v/>
      </c>
      <c r="Q155" s="14">
        <f>$C$9</f>
        <v/>
      </c>
      <c r="R155" s="14">
        <f>_xlfn.LOGNORM.INV($AF155,LN($C$10)-0.5*LN(1+($D$10/$C$10)^2),SQRT(LN(1+($D$10/$C$10)^2)))</f>
        <v/>
      </c>
      <c r="S155" s="14">
        <f>SUM(M155:R155)</f>
        <v/>
      </c>
      <c r="AA155">
        <f>RAND()</f>
        <v/>
      </c>
      <c r="AB155">
        <f>RAND()</f>
        <v/>
      </c>
      <c r="AC155">
        <f>RAND()</f>
        <v/>
      </c>
      <c r="AD155">
        <f>RAND()</f>
        <v/>
      </c>
      <c r="AE155">
        <f>RAND()</f>
        <v/>
      </c>
      <c r="AF155">
        <f>RAND()</f>
        <v/>
      </c>
    </row>
    <row r="156">
      <c r="M156" s="14">
        <f>_xlfn.BETA.INV($AA156,1+4*($D$5-$C$5)/($E$5-$C$5),1+4*($E$5-$D$5)/($E$5-$C$5),$C$5,$E$5)</f>
        <v/>
      </c>
      <c r="N156" s="14">
        <f>IF($AB156&lt;($D$6-$C$6)/($E$6-$C$6),$C$6+SQRT($AB156*($E$6-$C$6)*($D$6-$C$6)),$E$6-SQRT((1-$AB156)*($E$6-$C$6)*($E$6-$D$6)))</f>
        <v/>
      </c>
      <c r="O156" s="14">
        <f>_xlfn.NORM.INV($AC156,$C$7,$D$7)</f>
        <v/>
      </c>
      <c r="P156" s="14">
        <f>$C$8+($D$8-$C$8)*$AD156</f>
        <v/>
      </c>
      <c r="Q156" s="14">
        <f>$C$9</f>
        <v/>
      </c>
      <c r="R156" s="14">
        <f>_xlfn.LOGNORM.INV($AF156,LN($C$10)-0.5*LN(1+($D$10/$C$10)^2),SQRT(LN(1+($D$10/$C$10)^2)))</f>
        <v/>
      </c>
      <c r="S156" s="14">
        <f>SUM(M156:R156)</f>
        <v/>
      </c>
      <c r="AA156">
        <f>RAND()</f>
        <v/>
      </c>
      <c r="AB156">
        <f>RAND()</f>
        <v/>
      </c>
      <c r="AC156">
        <f>RAND()</f>
        <v/>
      </c>
      <c r="AD156">
        <f>RAND()</f>
        <v/>
      </c>
      <c r="AE156">
        <f>RAND()</f>
        <v/>
      </c>
      <c r="AF156">
        <f>RAND()</f>
        <v/>
      </c>
    </row>
    <row r="157">
      <c r="M157" s="14">
        <f>_xlfn.BETA.INV($AA157,1+4*($D$5-$C$5)/($E$5-$C$5),1+4*($E$5-$D$5)/($E$5-$C$5),$C$5,$E$5)</f>
        <v/>
      </c>
      <c r="N157" s="14">
        <f>IF($AB157&lt;($D$6-$C$6)/($E$6-$C$6),$C$6+SQRT($AB157*($E$6-$C$6)*($D$6-$C$6)),$E$6-SQRT((1-$AB157)*($E$6-$C$6)*($E$6-$D$6)))</f>
        <v/>
      </c>
      <c r="O157" s="14">
        <f>_xlfn.NORM.INV($AC157,$C$7,$D$7)</f>
        <v/>
      </c>
      <c r="P157" s="14">
        <f>$C$8+($D$8-$C$8)*$AD157</f>
        <v/>
      </c>
      <c r="Q157" s="14">
        <f>$C$9</f>
        <v/>
      </c>
      <c r="R157" s="14">
        <f>_xlfn.LOGNORM.INV($AF157,LN($C$10)-0.5*LN(1+($D$10/$C$10)^2),SQRT(LN(1+($D$10/$C$10)^2)))</f>
        <v/>
      </c>
      <c r="S157" s="14">
        <f>SUM(M157:R157)</f>
        <v/>
      </c>
      <c r="AA157">
        <f>RAND()</f>
        <v/>
      </c>
      <c r="AB157">
        <f>RAND()</f>
        <v/>
      </c>
      <c r="AC157">
        <f>RAND()</f>
        <v/>
      </c>
      <c r="AD157">
        <f>RAND()</f>
        <v/>
      </c>
      <c r="AE157">
        <f>RAND()</f>
        <v/>
      </c>
      <c r="AF157">
        <f>RAND()</f>
        <v/>
      </c>
    </row>
    <row r="158">
      <c r="M158" s="14">
        <f>_xlfn.BETA.INV($AA158,1+4*($D$5-$C$5)/($E$5-$C$5),1+4*($E$5-$D$5)/($E$5-$C$5),$C$5,$E$5)</f>
        <v/>
      </c>
      <c r="N158" s="14">
        <f>IF($AB158&lt;($D$6-$C$6)/($E$6-$C$6),$C$6+SQRT($AB158*($E$6-$C$6)*($D$6-$C$6)),$E$6-SQRT((1-$AB158)*($E$6-$C$6)*($E$6-$D$6)))</f>
        <v/>
      </c>
      <c r="O158" s="14">
        <f>_xlfn.NORM.INV($AC158,$C$7,$D$7)</f>
        <v/>
      </c>
      <c r="P158" s="14">
        <f>$C$8+($D$8-$C$8)*$AD158</f>
        <v/>
      </c>
      <c r="Q158" s="14">
        <f>$C$9</f>
        <v/>
      </c>
      <c r="R158" s="14">
        <f>_xlfn.LOGNORM.INV($AF158,LN($C$10)-0.5*LN(1+($D$10/$C$10)^2),SQRT(LN(1+($D$10/$C$10)^2)))</f>
        <v/>
      </c>
      <c r="S158" s="14">
        <f>SUM(M158:R158)</f>
        <v/>
      </c>
      <c r="AA158">
        <f>RAND()</f>
        <v/>
      </c>
      <c r="AB158">
        <f>RAND()</f>
        <v/>
      </c>
      <c r="AC158">
        <f>RAND()</f>
        <v/>
      </c>
      <c r="AD158">
        <f>RAND()</f>
        <v/>
      </c>
      <c r="AE158">
        <f>RAND()</f>
        <v/>
      </c>
      <c r="AF158">
        <f>RAND()</f>
        <v/>
      </c>
    </row>
    <row r="159">
      <c r="M159" s="14">
        <f>_xlfn.BETA.INV($AA159,1+4*($D$5-$C$5)/($E$5-$C$5),1+4*($E$5-$D$5)/($E$5-$C$5),$C$5,$E$5)</f>
        <v/>
      </c>
      <c r="N159" s="14">
        <f>IF($AB159&lt;($D$6-$C$6)/($E$6-$C$6),$C$6+SQRT($AB159*($E$6-$C$6)*($D$6-$C$6)),$E$6-SQRT((1-$AB159)*($E$6-$C$6)*($E$6-$D$6)))</f>
        <v/>
      </c>
      <c r="O159" s="14">
        <f>_xlfn.NORM.INV($AC159,$C$7,$D$7)</f>
        <v/>
      </c>
      <c r="P159" s="14">
        <f>$C$8+($D$8-$C$8)*$AD159</f>
        <v/>
      </c>
      <c r="Q159" s="14">
        <f>$C$9</f>
        <v/>
      </c>
      <c r="R159" s="14">
        <f>_xlfn.LOGNORM.INV($AF159,LN($C$10)-0.5*LN(1+($D$10/$C$10)^2),SQRT(LN(1+($D$10/$C$10)^2)))</f>
        <v/>
      </c>
      <c r="S159" s="14">
        <f>SUM(M159:R159)</f>
        <v/>
      </c>
      <c r="AA159">
        <f>RAND()</f>
        <v/>
      </c>
      <c r="AB159">
        <f>RAND()</f>
        <v/>
      </c>
      <c r="AC159">
        <f>RAND()</f>
        <v/>
      </c>
      <c r="AD159">
        <f>RAND()</f>
        <v/>
      </c>
      <c r="AE159">
        <f>RAND()</f>
        <v/>
      </c>
      <c r="AF159">
        <f>RAND()</f>
        <v/>
      </c>
    </row>
    <row r="160">
      <c r="M160" s="14">
        <f>_xlfn.BETA.INV($AA160,1+4*($D$5-$C$5)/($E$5-$C$5),1+4*($E$5-$D$5)/($E$5-$C$5),$C$5,$E$5)</f>
        <v/>
      </c>
      <c r="N160" s="14">
        <f>IF($AB160&lt;($D$6-$C$6)/($E$6-$C$6),$C$6+SQRT($AB160*($E$6-$C$6)*($D$6-$C$6)),$E$6-SQRT((1-$AB160)*($E$6-$C$6)*($E$6-$D$6)))</f>
        <v/>
      </c>
      <c r="O160" s="14">
        <f>_xlfn.NORM.INV($AC160,$C$7,$D$7)</f>
        <v/>
      </c>
      <c r="P160" s="14">
        <f>$C$8+($D$8-$C$8)*$AD160</f>
        <v/>
      </c>
      <c r="Q160" s="14">
        <f>$C$9</f>
        <v/>
      </c>
      <c r="R160" s="14">
        <f>_xlfn.LOGNORM.INV($AF160,LN($C$10)-0.5*LN(1+($D$10/$C$10)^2),SQRT(LN(1+($D$10/$C$10)^2)))</f>
        <v/>
      </c>
      <c r="S160" s="14">
        <f>SUM(M160:R160)</f>
        <v/>
      </c>
      <c r="AA160">
        <f>RAND()</f>
        <v/>
      </c>
      <c r="AB160">
        <f>RAND()</f>
        <v/>
      </c>
      <c r="AC160">
        <f>RAND()</f>
        <v/>
      </c>
      <c r="AD160">
        <f>RAND()</f>
        <v/>
      </c>
      <c r="AE160">
        <f>RAND()</f>
        <v/>
      </c>
      <c r="AF160">
        <f>RAND()</f>
        <v/>
      </c>
    </row>
    <row r="161">
      <c r="M161" s="14">
        <f>_xlfn.BETA.INV($AA161,1+4*($D$5-$C$5)/($E$5-$C$5),1+4*($E$5-$D$5)/($E$5-$C$5),$C$5,$E$5)</f>
        <v/>
      </c>
      <c r="N161" s="14">
        <f>IF($AB161&lt;($D$6-$C$6)/($E$6-$C$6),$C$6+SQRT($AB161*($E$6-$C$6)*($D$6-$C$6)),$E$6-SQRT((1-$AB161)*($E$6-$C$6)*($E$6-$D$6)))</f>
        <v/>
      </c>
      <c r="O161" s="14">
        <f>_xlfn.NORM.INV($AC161,$C$7,$D$7)</f>
        <v/>
      </c>
      <c r="P161" s="14">
        <f>$C$8+($D$8-$C$8)*$AD161</f>
        <v/>
      </c>
      <c r="Q161" s="14">
        <f>$C$9</f>
        <v/>
      </c>
      <c r="R161" s="14">
        <f>_xlfn.LOGNORM.INV($AF161,LN($C$10)-0.5*LN(1+($D$10/$C$10)^2),SQRT(LN(1+($D$10/$C$10)^2)))</f>
        <v/>
      </c>
      <c r="S161" s="14">
        <f>SUM(M161:R161)</f>
        <v/>
      </c>
      <c r="AA161">
        <f>RAND()</f>
        <v/>
      </c>
      <c r="AB161">
        <f>RAND()</f>
        <v/>
      </c>
      <c r="AC161">
        <f>RAND()</f>
        <v/>
      </c>
      <c r="AD161">
        <f>RAND()</f>
        <v/>
      </c>
      <c r="AE161">
        <f>RAND()</f>
        <v/>
      </c>
      <c r="AF161">
        <f>RAND()</f>
        <v/>
      </c>
    </row>
    <row r="162">
      <c r="M162" s="14">
        <f>_xlfn.BETA.INV($AA162,1+4*($D$5-$C$5)/($E$5-$C$5),1+4*($E$5-$D$5)/($E$5-$C$5),$C$5,$E$5)</f>
        <v/>
      </c>
      <c r="N162" s="14">
        <f>IF($AB162&lt;($D$6-$C$6)/($E$6-$C$6),$C$6+SQRT($AB162*($E$6-$C$6)*($D$6-$C$6)),$E$6-SQRT((1-$AB162)*($E$6-$C$6)*($E$6-$D$6)))</f>
        <v/>
      </c>
      <c r="O162" s="14">
        <f>_xlfn.NORM.INV($AC162,$C$7,$D$7)</f>
        <v/>
      </c>
      <c r="P162" s="14">
        <f>$C$8+($D$8-$C$8)*$AD162</f>
        <v/>
      </c>
      <c r="Q162" s="14">
        <f>$C$9</f>
        <v/>
      </c>
      <c r="R162" s="14">
        <f>_xlfn.LOGNORM.INV($AF162,LN($C$10)-0.5*LN(1+($D$10/$C$10)^2),SQRT(LN(1+($D$10/$C$10)^2)))</f>
        <v/>
      </c>
      <c r="S162" s="14">
        <f>SUM(M162:R162)</f>
        <v/>
      </c>
      <c r="AA162">
        <f>RAND()</f>
        <v/>
      </c>
      <c r="AB162">
        <f>RAND()</f>
        <v/>
      </c>
      <c r="AC162">
        <f>RAND()</f>
        <v/>
      </c>
      <c r="AD162">
        <f>RAND()</f>
        <v/>
      </c>
      <c r="AE162">
        <f>RAND()</f>
        <v/>
      </c>
      <c r="AF162">
        <f>RAND()</f>
        <v/>
      </c>
    </row>
    <row r="163">
      <c r="M163" s="14">
        <f>_xlfn.BETA.INV($AA163,1+4*($D$5-$C$5)/($E$5-$C$5),1+4*($E$5-$D$5)/($E$5-$C$5),$C$5,$E$5)</f>
        <v/>
      </c>
      <c r="N163" s="14">
        <f>IF($AB163&lt;($D$6-$C$6)/($E$6-$C$6),$C$6+SQRT($AB163*($E$6-$C$6)*($D$6-$C$6)),$E$6-SQRT((1-$AB163)*($E$6-$C$6)*($E$6-$D$6)))</f>
        <v/>
      </c>
      <c r="O163" s="14">
        <f>_xlfn.NORM.INV($AC163,$C$7,$D$7)</f>
        <v/>
      </c>
      <c r="P163" s="14">
        <f>$C$8+($D$8-$C$8)*$AD163</f>
        <v/>
      </c>
      <c r="Q163" s="14">
        <f>$C$9</f>
        <v/>
      </c>
      <c r="R163" s="14">
        <f>_xlfn.LOGNORM.INV($AF163,LN($C$10)-0.5*LN(1+($D$10/$C$10)^2),SQRT(LN(1+($D$10/$C$10)^2)))</f>
        <v/>
      </c>
      <c r="S163" s="14">
        <f>SUM(M163:R163)</f>
        <v/>
      </c>
      <c r="AA163">
        <f>RAND()</f>
        <v/>
      </c>
      <c r="AB163">
        <f>RAND()</f>
        <v/>
      </c>
      <c r="AC163">
        <f>RAND()</f>
        <v/>
      </c>
      <c r="AD163">
        <f>RAND()</f>
        <v/>
      </c>
      <c r="AE163">
        <f>RAND()</f>
        <v/>
      </c>
      <c r="AF163">
        <f>RAND()</f>
        <v/>
      </c>
    </row>
    <row r="164">
      <c r="M164" s="14">
        <f>_xlfn.BETA.INV($AA164,1+4*($D$5-$C$5)/($E$5-$C$5),1+4*($E$5-$D$5)/($E$5-$C$5),$C$5,$E$5)</f>
        <v/>
      </c>
      <c r="N164" s="14">
        <f>IF($AB164&lt;($D$6-$C$6)/($E$6-$C$6),$C$6+SQRT($AB164*($E$6-$C$6)*($D$6-$C$6)),$E$6-SQRT((1-$AB164)*($E$6-$C$6)*($E$6-$D$6)))</f>
        <v/>
      </c>
      <c r="O164" s="14">
        <f>_xlfn.NORM.INV($AC164,$C$7,$D$7)</f>
        <v/>
      </c>
      <c r="P164" s="14">
        <f>$C$8+($D$8-$C$8)*$AD164</f>
        <v/>
      </c>
      <c r="Q164" s="14">
        <f>$C$9</f>
        <v/>
      </c>
      <c r="R164" s="14">
        <f>_xlfn.LOGNORM.INV($AF164,LN($C$10)-0.5*LN(1+($D$10/$C$10)^2),SQRT(LN(1+($D$10/$C$10)^2)))</f>
        <v/>
      </c>
      <c r="S164" s="14">
        <f>SUM(M164:R164)</f>
        <v/>
      </c>
      <c r="AA164">
        <f>RAND()</f>
        <v/>
      </c>
      <c r="AB164">
        <f>RAND()</f>
        <v/>
      </c>
      <c r="AC164">
        <f>RAND()</f>
        <v/>
      </c>
      <c r="AD164">
        <f>RAND()</f>
        <v/>
      </c>
      <c r="AE164">
        <f>RAND()</f>
        <v/>
      </c>
      <c r="AF164">
        <f>RAND()</f>
        <v/>
      </c>
    </row>
    <row r="165">
      <c r="M165" s="14">
        <f>_xlfn.BETA.INV($AA165,1+4*($D$5-$C$5)/($E$5-$C$5),1+4*($E$5-$D$5)/($E$5-$C$5),$C$5,$E$5)</f>
        <v/>
      </c>
      <c r="N165" s="14">
        <f>IF($AB165&lt;($D$6-$C$6)/($E$6-$C$6),$C$6+SQRT($AB165*($E$6-$C$6)*($D$6-$C$6)),$E$6-SQRT((1-$AB165)*($E$6-$C$6)*($E$6-$D$6)))</f>
        <v/>
      </c>
      <c r="O165" s="14">
        <f>_xlfn.NORM.INV($AC165,$C$7,$D$7)</f>
        <v/>
      </c>
      <c r="P165" s="14">
        <f>$C$8+($D$8-$C$8)*$AD165</f>
        <v/>
      </c>
      <c r="Q165" s="14">
        <f>$C$9</f>
        <v/>
      </c>
      <c r="R165" s="14">
        <f>_xlfn.LOGNORM.INV($AF165,LN($C$10)-0.5*LN(1+($D$10/$C$10)^2),SQRT(LN(1+($D$10/$C$10)^2)))</f>
        <v/>
      </c>
      <c r="S165" s="14">
        <f>SUM(M165:R165)</f>
        <v/>
      </c>
      <c r="AA165">
        <f>RAND()</f>
        <v/>
      </c>
      <c r="AB165">
        <f>RAND()</f>
        <v/>
      </c>
      <c r="AC165">
        <f>RAND()</f>
        <v/>
      </c>
      <c r="AD165">
        <f>RAND()</f>
        <v/>
      </c>
      <c r="AE165">
        <f>RAND()</f>
        <v/>
      </c>
      <c r="AF165">
        <f>RAND()</f>
        <v/>
      </c>
    </row>
    <row r="166">
      <c r="M166" s="14">
        <f>_xlfn.BETA.INV($AA166,1+4*($D$5-$C$5)/($E$5-$C$5),1+4*($E$5-$D$5)/($E$5-$C$5),$C$5,$E$5)</f>
        <v/>
      </c>
      <c r="N166" s="14">
        <f>IF($AB166&lt;($D$6-$C$6)/($E$6-$C$6),$C$6+SQRT($AB166*($E$6-$C$6)*($D$6-$C$6)),$E$6-SQRT((1-$AB166)*($E$6-$C$6)*($E$6-$D$6)))</f>
        <v/>
      </c>
      <c r="O166" s="14">
        <f>_xlfn.NORM.INV($AC166,$C$7,$D$7)</f>
        <v/>
      </c>
      <c r="P166" s="14">
        <f>$C$8+($D$8-$C$8)*$AD166</f>
        <v/>
      </c>
      <c r="Q166" s="14">
        <f>$C$9</f>
        <v/>
      </c>
      <c r="R166" s="14">
        <f>_xlfn.LOGNORM.INV($AF166,LN($C$10)-0.5*LN(1+($D$10/$C$10)^2),SQRT(LN(1+($D$10/$C$10)^2)))</f>
        <v/>
      </c>
      <c r="S166" s="14">
        <f>SUM(M166:R166)</f>
        <v/>
      </c>
      <c r="AA166">
        <f>RAND()</f>
        <v/>
      </c>
      <c r="AB166">
        <f>RAND()</f>
        <v/>
      </c>
      <c r="AC166">
        <f>RAND()</f>
        <v/>
      </c>
      <c r="AD166">
        <f>RAND()</f>
        <v/>
      </c>
      <c r="AE166">
        <f>RAND()</f>
        <v/>
      </c>
      <c r="AF166">
        <f>RAND()</f>
        <v/>
      </c>
    </row>
    <row r="167">
      <c r="M167" s="14">
        <f>_xlfn.BETA.INV($AA167,1+4*($D$5-$C$5)/($E$5-$C$5),1+4*($E$5-$D$5)/($E$5-$C$5),$C$5,$E$5)</f>
        <v/>
      </c>
      <c r="N167" s="14">
        <f>IF($AB167&lt;($D$6-$C$6)/($E$6-$C$6),$C$6+SQRT($AB167*($E$6-$C$6)*($D$6-$C$6)),$E$6-SQRT((1-$AB167)*($E$6-$C$6)*($E$6-$D$6)))</f>
        <v/>
      </c>
      <c r="O167" s="14">
        <f>_xlfn.NORM.INV($AC167,$C$7,$D$7)</f>
        <v/>
      </c>
      <c r="P167" s="14">
        <f>$C$8+($D$8-$C$8)*$AD167</f>
        <v/>
      </c>
      <c r="Q167" s="14">
        <f>$C$9</f>
        <v/>
      </c>
      <c r="R167" s="14">
        <f>_xlfn.LOGNORM.INV($AF167,LN($C$10)-0.5*LN(1+($D$10/$C$10)^2),SQRT(LN(1+($D$10/$C$10)^2)))</f>
        <v/>
      </c>
      <c r="S167" s="14">
        <f>SUM(M167:R167)</f>
        <v/>
      </c>
      <c r="AA167">
        <f>RAND()</f>
        <v/>
      </c>
      <c r="AB167">
        <f>RAND()</f>
        <v/>
      </c>
      <c r="AC167">
        <f>RAND()</f>
        <v/>
      </c>
      <c r="AD167">
        <f>RAND()</f>
        <v/>
      </c>
      <c r="AE167">
        <f>RAND()</f>
        <v/>
      </c>
      <c r="AF167">
        <f>RAND()</f>
        <v/>
      </c>
    </row>
    <row r="168">
      <c r="M168" s="14">
        <f>_xlfn.BETA.INV($AA168,1+4*($D$5-$C$5)/($E$5-$C$5),1+4*($E$5-$D$5)/($E$5-$C$5),$C$5,$E$5)</f>
        <v/>
      </c>
      <c r="N168" s="14">
        <f>IF($AB168&lt;($D$6-$C$6)/($E$6-$C$6),$C$6+SQRT($AB168*($E$6-$C$6)*($D$6-$C$6)),$E$6-SQRT((1-$AB168)*($E$6-$C$6)*($E$6-$D$6)))</f>
        <v/>
      </c>
      <c r="O168" s="14">
        <f>_xlfn.NORM.INV($AC168,$C$7,$D$7)</f>
        <v/>
      </c>
      <c r="P168" s="14">
        <f>$C$8+($D$8-$C$8)*$AD168</f>
        <v/>
      </c>
      <c r="Q168" s="14">
        <f>$C$9</f>
        <v/>
      </c>
      <c r="R168" s="14">
        <f>_xlfn.LOGNORM.INV($AF168,LN($C$10)-0.5*LN(1+($D$10/$C$10)^2),SQRT(LN(1+($D$10/$C$10)^2)))</f>
        <v/>
      </c>
      <c r="S168" s="14">
        <f>SUM(M168:R168)</f>
        <v/>
      </c>
      <c r="AA168">
        <f>RAND()</f>
        <v/>
      </c>
      <c r="AB168">
        <f>RAND()</f>
        <v/>
      </c>
      <c r="AC168">
        <f>RAND()</f>
        <v/>
      </c>
      <c r="AD168">
        <f>RAND()</f>
        <v/>
      </c>
      <c r="AE168">
        <f>RAND()</f>
        <v/>
      </c>
      <c r="AF168">
        <f>RAND()</f>
        <v/>
      </c>
    </row>
    <row r="169">
      <c r="M169" s="14">
        <f>_xlfn.BETA.INV($AA169,1+4*($D$5-$C$5)/($E$5-$C$5),1+4*($E$5-$D$5)/($E$5-$C$5),$C$5,$E$5)</f>
        <v/>
      </c>
      <c r="N169" s="14">
        <f>IF($AB169&lt;($D$6-$C$6)/($E$6-$C$6),$C$6+SQRT($AB169*($E$6-$C$6)*($D$6-$C$6)),$E$6-SQRT((1-$AB169)*($E$6-$C$6)*($E$6-$D$6)))</f>
        <v/>
      </c>
      <c r="O169" s="14">
        <f>_xlfn.NORM.INV($AC169,$C$7,$D$7)</f>
        <v/>
      </c>
      <c r="P169" s="14">
        <f>$C$8+($D$8-$C$8)*$AD169</f>
        <v/>
      </c>
      <c r="Q169" s="14">
        <f>$C$9</f>
        <v/>
      </c>
      <c r="R169" s="14">
        <f>_xlfn.LOGNORM.INV($AF169,LN($C$10)-0.5*LN(1+($D$10/$C$10)^2),SQRT(LN(1+($D$10/$C$10)^2)))</f>
        <v/>
      </c>
      <c r="S169" s="14">
        <f>SUM(M169:R169)</f>
        <v/>
      </c>
      <c r="AA169">
        <f>RAND()</f>
        <v/>
      </c>
      <c r="AB169">
        <f>RAND()</f>
        <v/>
      </c>
      <c r="AC169">
        <f>RAND()</f>
        <v/>
      </c>
      <c r="AD169">
        <f>RAND()</f>
        <v/>
      </c>
      <c r="AE169">
        <f>RAND()</f>
        <v/>
      </c>
      <c r="AF169">
        <f>RAND()</f>
        <v/>
      </c>
    </row>
    <row r="170">
      <c r="M170" s="14">
        <f>_xlfn.BETA.INV($AA170,1+4*($D$5-$C$5)/($E$5-$C$5),1+4*($E$5-$D$5)/($E$5-$C$5),$C$5,$E$5)</f>
        <v/>
      </c>
      <c r="N170" s="14">
        <f>IF($AB170&lt;($D$6-$C$6)/($E$6-$C$6),$C$6+SQRT($AB170*($E$6-$C$6)*($D$6-$C$6)),$E$6-SQRT((1-$AB170)*($E$6-$C$6)*($E$6-$D$6)))</f>
        <v/>
      </c>
      <c r="O170" s="14">
        <f>_xlfn.NORM.INV($AC170,$C$7,$D$7)</f>
        <v/>
      </c>
      <c r="P170" s="14">
        <f>$C$8+($D$8-$C$8)*$AD170</f>
        <v/>
      </c>
      <c r="Q170" s="14">
        <f>$C$9</f>
        <v/>
      </c>
      <c r="R170" s="14">
        <f>_xlfn.LOGNORM.INV($AF170,LN($C$10)-0.5*LN(1+($D$10/$C$10)^2),SQRT(LN(1+($D$10/$C$10)^2)))</f>
        <v/>
      </c>
      <c r="S170" s="14">
        <f>SUM(M170:R170)</f>
        <v/>
      </c>
      <c r="AA170">
        <f>RAND()</f>
        <v/>
      </c>
      <c r="AB170">
        <f>RAND()</f>
        <v/>
      </c>
      <c r="AC170">
        <f>RAND()</f>
        <v/>
      </c>
      <c r="AD170">
        <f>RAND()</f>
        <v/>
      </c>
      <c r="AE170">
        <f>RAND()</f>
        <v/>
      </c>
      <c r="AF170">
        <f>RAND()</f>
        <v/>
      </c>
    </row>
    <row r="171">
      <c r="M171" s="14">
        <f>_xlfn.BETA.INV($AA171,1+4*($D$5-$C$5)/($E$5-$C$5),1+4*($E$5-$D$5)/($E$5-$C$5),$C$5,$E$5)</f>
        <v/>
      </c>
      <c r="N171" s="14">
        <f>IF($AB171&lt;($D$6-$C$6)/($E$6-$C$6),$C$6+SQRT($AB171*($E$6-$C$6)*($D$6-$C$6)),$E$6-SQRT((1-$AB171)*($E$6-$C$6)*($E$6-$D$6)))</f>
        <v/>
      </c>
      <c r="O171" s="14">
        <f>_xlfn.NORM.INV($AC171,$C$7,$D$7)</f>
        <v/>
      </c>
      <c r="P171" s="14">
        <f>$C$8+($D$8-$C$8)*$AD171</f>
        <v/>
      </c>
      <c r="Q171" s="14">
        <f>$C$9</f>
        <v/>
      </c>
      <c r="R171" s="14">
        <f>_xlfn.LOGNORM.INV($AF171,LN($C$10)-0.5*LN(1+($D$10/$C$10)^2),SQRT(LN(1+($D$10/$C$10)^2)))</f>
        <v/>
      </c>
      <c r="S171" s="14">
        <f>SUM(M171:R171)</f>
        <v/>
      </c>
      <c r="AA171">
        <f>RAND()</f>
        <v/>
      </c>
      <c r="AB171">
        <f>RAND()</f>
        <v/>
      </c>
      <c r="AC171">
        <f>RAND()</f>
        <v/>
      </c>
      <c r="AD171">
        <f>RAND()</f>
        <v/>
      </c>
      <c r="AE171">
        <f>RAND()</f>
        <v/>
      </c>
      <c r="AF171">
        <f>RAND()</f>
        <v/>
      </c>
    </row>
    <row r="172">
      <c r="M172" s="14">
        <f>_xlfn.BETA.INV($AA172,1+4*($D$5-$C$5)/($E$5-$C$5),1+4*($E$5-$D$5)/($E$5-$C$5),$C$5,$E$5)</f>
        <v/>
      </c>
      <c r="N172" s="14">
        <f>IF($AB172&lt;($D$6-$C$6)/($E$6-$C$6),$C$6+SQRT($AB172*($E$6-$C$6)*($D$6-$C$6)),$E$6-SQRT((1-$AB172)*($E$6-$C$6)*($E$6-$D$6)))</f>
        <v/>
      </c>
      <c r="O172" s="14">
        <f>_xlfn.NORM.INV($AC172,$C$7,$D$7)</f>
        <v/>
      </c>
      <c r="P172" s="14">
        <f>$C$8+($D$8-$C$8)*$AD172</f>
        <v/>
      </c>
      <c r="Q172" s="14">
        <f>$C$9</f>
        <v/>
      </c>
      <c r="R172" s="14">
        <f>_xlfn.LOGNORM.INV($AF172,LN($C$10)-0.5*LN(1+($D$10/$C$10)^2),SQRT(LN(1+($D$10/$C$10)^2)))</f>
        <v/>
      </c>
      <c r="S172" s="14">
        <f>SUM(M172:R172)</f>
        <v/>
      </c>
      <c r="AA172">
        <f>RAND()</f>
        <v/>
      </c>
      <c r="AB172">
        <f>RAND()</f>
        <v/>
      </c>
      <c r="AC172">
        <f>RAND()</f>
        <v/>
      </c>
      <c r="AD172">
        <f>RAND()</f>
        <v/>
      </c>
      <c r="AE172">
        <f>RAND()</f>
        <v/>
      </c>
      <c r="AF172">
        <f>RAND()</f>
        <v/>
      </c>
    </row>
    <row r="173">
      <c r="M173" s="14">
        <f>_xlfn.BETA.INV($AA173,1+4*($D$5-$C$5)/($E$5-$C$5),1+4*($E$5-$D$5)/($E$5-$C$5),$C$5,$E$5)</f>
        <v/>
      </c>
      <c r="N173" s="14">
        <f>IF($AB173&lt;($D$6-$C$6)/($E$6-$C$6),$C$6+SQRT($AB173*($E$6-$C$6)*($D$6-$C$6)),$E$6-SQRT((1-$AB173)*($E$6-$C$6)*($E$6-$D$6)))</f>
        <v/>
      </c>
      <c r="O173" s="14">
        <f>_xlfn.NORM.INV($AC173,$C$7,$D$7)</f>
        <v/>
      </c>
      <c r="P173" s="14">
        <f>$C$8+($D$8-$C$8)*$AD173</f>
        <v/>
      </c>
      <c r="Q173" s="14">
        <f>$C$9</f>
        <v/>
      </c>
      <c r="R173" s="14">
        <f>_xlfn.LOGNORM.INV($AF173,LN($C$10)-0.5*LN(1+($D$10/$C$10)^2),SQRT(LN(1+($D$10/$C$10)^2)))</f>
        <v/>
      </c>
      <c r="S173" s="14">
        <f>SUM(M173:R173)</f>
        <v/>
      </c>
      <c r="AA173">
        <f>RAND()</f>
        <v/>
      </c>
      <c r="AB173">
        <f>RAND()</f>
        <v/>
      </c>
      <c r="AC173">
        <f>RAND()</f>
        <v/>
      </c>
      <c r="AD173">
        <f>RAND()</f>
        <v/>
      </c>
      <c r="AE173">
        <f>RAND()</f>
        <v/>
      </c>
      <c r="AF173">
        <f>RAND()</f>
        <v/>
      </c>
    </row>
    <row r="174">
      <c r="M174" s="14">
        <f>_xlfn.BETA.INV($AA174,1+4*($D$5-$C$5)/($E$5-$C$5),1+4*($E$5-$D$5)/($E$5-$C$5),$C$5,$E$5)</f>
        <v/>
      </c>
      <c r="N174" s="14">
        <f>IF($AB174&lt;($D$6-$C$6)/($E$6-$C$6),$C$6+SQRT($AB174*($E$6-$C$6)*($D$6-$C$6)),$E$6-SQRT((1-$AB174)*($E$6-$C$6)*($E$6-$D$6)))</f>
        <v/>
      </c>
      <c r="O174" s="14">
        <f>_xlfn.NORM.INV($AC174,$C$7,$D$7)</f>
        <v/>
      </c>
      <c r="P174" s="14">
        <f>$C$8+($D$8-$C$8)*$AD174</f>
        <v/>
      </c>
      <c r="Q174" s="14">
        <f>$C$9</f>
        <v/>
      </c>
      <c r="R174" s="14">
        <f>_xlfn.LOGNORM.INV($AF174,LN($C$10)-0.5*LN(1+($D$10/$C$10)^2),SQRT(LN(1+($D$10/$C$10)^2)))</f>
        <v/>
      </c>
      <c r="S174" s="14">
        <f>SUM(M174:R174)</f>
        <v/>
      </c>
      <c r="AA174">
        <f>RAND()</f>
        <v/>
      </c>
      <c r="AB174">
        <f>RAND()</f>
        <v/>
      </c>
      <c r="AC174">
        <f>RAND()</f>
        <v/>
      </c>
      <c r="AD174">
        <f>RAND()</f>
        <v/>
      </c>
      <c r="AE174">
        <f>RAND()</f>
        <v/>
      </c>
      <c r="AF174">
        <f>RAND()</f>
        <v/>
      </c>
    </row>
    <row r="175">
      <c r="M175" s="14">
        <f>_xlfn.BETA.INV($AA175,1+4*($D$5-$C$5)/($E$5-$C$5),1+4*($E$5-$D$5)/($E$5-$C$5),$C$5,$E$5)</f>
        <v/>
      </c>
      <c r="N175" s="14">
        <f>IF($AB175&lt;($D$6-$C$6)/($E$6-$C$6),$C$6+SQRT($AB175*($E$6-$C$6)*($D$6-$C$6)),$E$6-SQRT((1-$AB175)*($E$6-$C$6)*($E$6-$D$6)))</f>
        <v/>
      </c>
      <c r="O175" s="14">
        <f>_xlfn.NORM.INV($AC175,$C$7,$D$7)</f>
        <v/>
      </c>
      <c r="P175" s="14">
        <f>$C$8+($D$8-$C$8)*$AD175</f>
        <v/>
      </c>
      <c r="Q175" s="14">
        <f>$C$9</f>
        <v/>
      </c>
      <c r="R175" s="14">
        <f>_xlfn.LOGNORM.INV($AF175,LN($C$10)-0.5*LN(1+($D$10/$C$10)^2),SQRT(LN(1+($D$10/$C$10)^2)))</f>
        <v/>
      </c>
      <c r="S175" s="14">
        <f>SUM(M175:R175)</f>
        <v/>
      </c>
      <c r="AA175">
        <f>RAND()</f>
        <v/>
      </c>
      <c r="AB175">
        <f>RAND()</f>
        <v/>
      </c>
      <c r="AC175">
        <f>RAND()</f>
        <v/>
      </c>
      <c r="AD175">
        <f>RAND()</f>
        <v/>
      </c>
      <c r="AE175">
        <f>RAND()</f>
        <v/>
      </c>
      <c r="AF175">
        <f>RAND()</f>
        <v/>
      </c>
    </row>
    <row r="176">
      <c r="M176" s="14">
        <f>_xlfn.BETA.INV($AA176,1+4*($D$5-$C$5)/($E$5-$C$5),1+4*($E$5-$D$5)/($E$5-$C$5),$C$5,$E$5)</f>
        <v/>
      </c>
      <c r="N176" s="14">
        <f>IF($AB176&lt;($D$6-$C$6)/($E$6-$C$6),$C$6+SQRT($AB176*($E$6-$C$6)*($D$6-$C$6)),$E$6-SQRT((1-$AB176)*($E$6-$C$6)*($E$6-$D$6)))</f>
        <v/>
      </c>
      <c r="O176" s="14">
        <f>_xlfn.NORM.INV($AC176,$C$7,$D$7)</f>
        <v/>
      </c>
      <c r="P176" s="14">
        <f>$C$8+($D$8-$C$8)*$AD176</f>
        <v/>
      </c>
      <c r="Q176" s="14">
        <f>$C$9</f>
        <v/>
      </c>
      <c r="R176" s="14">
        <f>_xlfn.LOGNORM.INV($AF176,LN($C$10)-0.5*LN(1+($D$10/$C$10)^2),SQRT(LN(1+($D$10/$C$10)^2)))</f>
        <v/>
      </c>
      <c r="S176" s="14">
        <f>SUM(M176:R176)</f>
        <v/>
      </c>
      <c r="AA176">
        <f>RAND()</f>
        <v/>
      </c>
      <c r="AB176">
        <f>RAND()</f>
        <v/>
      </c>
      <c r="AC176">
        <f>RAND()</f>
        <v/>
      </c>
      <c r="AD176">
        <f>RAND()</f>
        <v/>
      </c>
      <c r="AE176">
        <f>RAND()</f>
        <v/>
      </c>
      <c r="AF176">
        <f>RAND()</f>
        <v/>
      </c>
    </row>
    <row r="177">
      <c r="M177" s="14">
        <f>_xlfn.BETA.INV($AA177,1+4*($D$5-$C$5)/($E$5-$C$5),1+4*($E$5-$D$5)/($E$5-$C$5),$C$5,$E$5)</f>
        <v/>
      </c>
      <c r="N177" s="14">
        <f>IF($AB177&lt;($D$6-$C$6)/($E$6-$C$6),$C$6+SQRT($AB177*($E$6-$C$6)*($D$6-$C$6)),$E$6-SQRT((1-$AB177)*($E$6-$C$6)*($E$6-$D$6)))</f>
        <v/>
      </c>
      <c r="O177" s="14">
        <f>_xlfn.NORM.INV($AC177,$C$7,$D$7)</f>
        <v/>
      </c>
      <c r="P177" s="14">
        <f>$C$8+($D$8-$C$8)*$AD177</f>
        <v/>
      </c>
      <c r="Q177" s="14">
        <f>$C$9</f>
        <v/>
      </c>
      <c r="R177" s="14">
        <f>_xlfn.LOGNORM.INV($AF177,LN($C$10)-0.5*LN(1+($D$10/$C$10)^2),SQRT(LN(1+($D$10/$C$10)^2)))</f>
        <v/>
      </c>
      <c r="S177" s="14">
        <f>SUM(M177:R177)</f>
        <v/>
      </c>
      <c r="AA177">
        <f>RAND()</f>
        <v/>
      </c>
      <c r="AB177">
        <f>RAND()</f>
        <v/>
      </c>
      <c r="AC177">
        <f>RAND()</f>
        <v/>
      </c>
      <c r="AD177">
        <f>RAND()</f>
        <v/>
      </c>
      <c r="AE177">
        <f>RAND()</f>
        <v/>
      </c>
      <c r="AF177">
        <f>RAND()</f>
        <v/>
      </c>
    </row>
    <row r="178">
      <c r="M178" s="14">
        <f>_xlfn.BETA.INV($AA178,1+4*($D$5-$C$5)/($E$5-$C$5),1+4*($E$5-$D$5)/($E$5-$C$5),$C$5,$E$5)</f>
        <v/>
      </c>
      <c r="N178" s="14">
        <f>IF($AB178&lt;($D$6-$C$6)/($E$6-$C$6),$C$6+SQRT($AB178*($E$6-$C$6)*($D$6-$C$6)),$E$6-SQRT((1-$AB178)*($E$6-$C$6)*($E$6-$D$6)))</f>
        <v/>
      </c>
      <c r="O178" s="14">
        <f>_xlfn.NORM.INV($AC178,$C$7,$D$7)</f>
        <v/>
      </c>
      <c r="P178" s="14">
        <f>$C$8+($D$8-$C$8)*$AD178</f>
        <v/>
      </c>
      <c r="Q178" s="14">
        <f>$C$9</f>
        <v/>
      </c>
      <c r="R178" s="14">
        <f>_xlfn.LOGNORM.INV($AF178,LN($C$10)-0.5*LN(1+($D$10/$C$10)^2),SQRT(LN(1+($D$10/$C$10)^2)))</f>
        <v/>
      </c>
      <c r="S178" s="14">
        <f>SUM(M178:R178)</f>
        <v/>
      </c>
      <c r="AA178">
        <f>RAND()</f>
        <v/>
      </c>
      <c r="AB178">
        <f>RAND()</f>
        <v/>
      </c>
      <c r="AC178">
        <f>RAND()</f>
        <v/>
      </c>
      <c r="AD178">
        <f>RAND()</f>
        <v/>
      </c>
      <c r="AE178">
        <f>RAND()</f>
        <v/>
      </c>
      <c r="AF178">
        <f>RAND()</f>
        <v/>
      </c>
    </row>
    <row r="179">
      <c r="M179" s="14">
        <f>_xlfn.BETA.INV($AA179,1+4*($D$5-$C$5)/($E$5-$C$5),1+4*($E$5-$D$5)/($E$5-$C$5),$C$5,$E$5)</f>
        <v/>
      </c>
      <c r="N179" s="14">
        <f>IF($AB179&lt;($D$6-$C$6)/($E$6-$C$6),$C$6+SQRT($AB179*($E$6-$C$6)*($D$6-$C$6)),$E$6-SQRT((1-$AB179)*($E$6-$C$6)*($E$6-$D$6)))</f>
        <v/>
      </c>
      <c r="O179" s="14">
        <f>_xlfn.NORM.INV($AC179,$C$7,$D$7)</f>
        <v/>
      </c>
      <c r="P179" s="14">
        <f>$C$8+($D$8-$C$8)*$AD179</f>
        <v/>
      </c>
      <c r="Q179" s="14">
        <f>$C$9</f>
        <v/>
      </c>
      <c r="R179" s="14">
        <f>_xlfn.LOGNORM.INV($AF179,LN($C$10)-0.5*LN(1+($D$10/$C$10)^2),SQRT(LN(1+($D$10/$C$10)^2)))</f>
        <v/>
      </c>
      <c r="S179" s="14">
        <f>SUM(M179:R179)</f>
        <v/>
      </c>
      <c r="AA179">
        <f>RAND()</f>
        <v/>
      </c>
      <c r="AB179">
        <f>RAND()</f>
        <v/>
      </c>
      <c r="AC179">
        <f>RAND()</f>
        <v/>
      </c>
      <c r="AD179">
        <f>RAND()</f>
        <v/>
      </c>
      <c r="AE179">
        <f>RAND()</f>
        <v/>
      </c>
      <c r="AF179">
        <f>RAND()</f>
        <v/>
      </c>
    </row>
    <row r="180">
      <c r="M180" s="14">
        <f>_xlfn.BETA.INV($AA180,1+4*($D$5-$C$5)/($E$5-$C$5),1+4*($E$5-$D$5)/($E$5-$C$5),$C$5,$E$5)</f>
        <v/>
      </c>
      <c r="N180" s="14">
        <f>IF($AB180&lt;($D$6-$C$6)/($E$6-$C$6),$C$6+SQRT($AB180*($E$6-$C$6)*($D$6-$C$6)),$E$6-SQRT((1-$AB180)*($E$6-$C$6)*($E$6-$D$6)))</f>
        <v/>
      </c>
      <c r="O180" s="14">
        <f>_xlfn.NORM.INV($AC180,$C$7,$D$7)</f>
        <v/>
      </c>
      <c r="P180" s="14">
        <f>$C$8+($D$8-$C$8)*$AD180</f>
        <v/>
      </c>
      <c r="Q180" s="14">
        <f>$C$9</f>
        <v/>
      </c>
      <c r="R180" s="14">
        <f>_xlfn.LOGNORM.INV($AF180,LN($C$10)-0.5*LN(1+($D$10/$C$10)^2),SQRT(LN(1+($D$10/$C$10)^2)))</f>
        <v/>
      </c>
      <c r="S180" s="14">
        <f>SUM(M180:R180)</f>
        <v/>
      </c>
      <c r="AA180">
        <f>RAND()</f>
        <v/>
      </c>
      <c r="AB180">
        <f>RAND()</f>
        <v/>
      </c>
      <c r="AC180">
        <f>RAND()</f>
        <v/>
      </c>
      <c r="AD180">
        <f>RAND()</f>
        <v/>
      </c>
      <c r="AE180">
        <f>RAND()</f>
        <v/>
      </c>
      <c r="AF180">
        <f>RAND()</f>
        <v/>
      </c>
    </row>
    <row r="181">
      <c r="M181" s="14">
        <f>_xlfn.BETA.INV($AA181,1+4*($D$5-$C$5)/($E$5-$C$5),1+4*($E$5-$D$5)/($E$5-$C$5),$C$5,$E$5)</f>
        <v/>
      </c>
      <c r="N181" s="14">
        <f>IF($AB181&lt;($D$6-$C$6)/($E$6-$C$6),$C$6+SQRT($AB181*($E$6-$C$6)*($D$6-$C$6)),$E$6-SQRT((1-$AB181)*($E$6-$C$6)*($E$6-$D$6)))</f>
        <v/>
      </c>
      <c r="O181" s="14">
        <f>_xlfn.NORM.INV($AC181,$C$7,$D$7)</f>
        <v/>
      </c>
      <c r="P181" s="14">
        <f>$C$8+($D$8-$C$8)*$AD181</f>
        <v/>
      </c>
      <c r="Q181" s="14">
        <f>$C$9</f>
        <v/>
      </c>
      <c r="R181" s="14">
        <f>_xlfn.LOGNORM.INV($AF181,LN($C$10)-0.5*LN(1+($D$10/$C$10)^2),SQRT(LN(1+($D$10/$C$10)^2)))</f>
        <v/>
      </c>
      <c r="S181" s="14">
        <f>SUM(M181:R181)</f>
        <v/>
      </c>
      <c r="AA181">
        <f>RAND()</f>
        <v/>
      </c>
      <c r="AB181">
        <f>RAND()</f>
        <v/>
      </c>
      <c r="AC181">
        <f>RAND()</f>
        <v/>
      </c>
      <c r="AD181">
        <f>RAND()</f>
        <v/>
      </c>
      <c r="AE181">
        <f>RAND()</f>
        <v/>
      </c>
      <c r="AF181">
        <f>RAND()</f>
        <v/>
      </c>
    </row>
    <row r="182">
      <c r="M182" s="14">
        <f>_xlfn.BETA.INV($AA182,1+4*($D$5-$C$5)/($E$5-$C$5),1+4*($E$5-$D$5)/($E$5-$C$5),$C$5,$E$5)</f>
        <v/>
      </c>
      <c r="N182" s="14">
        <f>IF($AB182&lt;($D$6-$C$6)/($E$6-$C$6),$C$6+SQRT($AB182*($E$6-$C$6)*($D$6-$C$6)),$E$6-SQRT((1-$AB182)*($E$6-$C$6)*($E$6-$D$6)))</f>
        <v/>
      </c>
      <c r="O182" s="14">
        <f>_xlfn.NORM.INV($AC182,$C$7,$D$7)</f>
        <v/>
      </c>
      <c r="P182" s="14">
        <f>$C$8+($D$8-$C$8)*$AD182</f>
        <v/>
      </c>
      <c r="Q182" s="14">
        <f>$C$9</f>
        <v/>
      </c>
      <c r="R182" s="14">
        <f>_xlfn.LOGNORM.INV($AF182,LN($C$10)-0.5*LN(1+($D$10/$C$10)^2),SQRT(LN(1+($D$10/$C$10)^2)))</f>
        <v/>
      </c>
      <c r="S182" s="14">
        <f>SUM(M182:R182)</f>
        <v/>
      </c>
      <c r="AA182">
        <f>RAND()</f>
        <v/>
      </c>
      <c r="AB182">
        <f>RAND()</f>
        <v/>
      </c>
      <c r="AC182">
        <f>RAND()</f>
        <v/>
      </c>
      <c r="AD182">
        <f>RAND()</f>
        <v/>
      </c>
      <c r="AE182">
        <f>RAND()</f>
        <v/>
      </c>
      <c r="AF182">
        <f>RAND()</f>
        <v/>
      </c>
    </row>
    <row r="183">
      <c r="M183" s="14">
        <f>_xlfn.BETA.INV($AA183,1+4*($D$5-$C$5)/($E$5-$C$5),1+4*($E$5-$D$5)/($E$5-$C$5),$C$5,$E$5)</f>
        <v/>
      </c>
      <c r="N183" s="14">
        <f>IF($AB183&lt;($D$6-$C$6)/($E$6-$C$6),$C$6+SQRT($AB183*($E$6-$C$6)*($D$6-$C$6)),$E$6-SQRT((1-$AB183)*($E$6-$C$6)*($E$6-$D$6)))</f>
        <v/>
      </c>
      <c r="O183" s="14">
        <f>_xlfn.NORM.INV($AC183,$C$7,$D$7)</f>
        <v/>
      </c>
      <c r="P183" s="14">
        <f>$C$8+($D$8-$C$8)*$AD183</f>
        <v/>
      </c>
      <c r="Q183" s="14">
        <f>$C$9</f>
        <v/>
      </c>
      <c r="R183" s="14">
        <f>_xlfn.LOGNORM.INV($AF183,LN($C$10)-0.5*LN(1+($D$10/$C$10)^2),SQRT(LN(1+($D$10/$C$10)^2)))</f>
        <v/>
      </c>
      <c r="S183" s="14">
        <f>SUM(M183:R183)</f>
        <v/>
      </c>
      <c r="AA183">
        <f>RAND()</f>
        <v/>
      </c>
      <c r="AB183">
        <f>RAND()</f>
        <v/>
      </c>
      <c r="AC183">
        <f>RAND()</f>
        <v/>
      </c>
      <c r="AD183">
        <f>RAND()</f>
        <v/>
      </c>
      <c r="AE183">
        <f>RAND()</f>
        <v/>
      </c>
      <c r="AF183">
        <f>RAND()</f>
        <v/>
      </c>
    </row>
    <row r="184">
      <c r="M184" s="14">
        <f>_xlfn.BETA.INV($AA184,1+4*($D$5-$C$5)/($E$5-$C$5),1+4*($E$5-$D$5)/($E$5-$C$5),$C$5,$E$5)</f>
        <v/>
      </c>
      <c r="N184" s="14">
        <f>IF($AB184&lt;($D$6-$C$6)/($E$6-$C$6),$C$6+SQRT($AB184*($E$6-$C$6)*($D$6-$C$6)),$E$6-SQRT((1-$AB184)*($E$6-$C$6)*($E$6-$D$6)))</f>
        <v/>
      </c>
      <c r="O184" s="14">
        <f>_xlfn.NORM.INV($AC184,$C$7,$D$7)</f>
        <v/>
      </c>
      <c r="P184" s="14">
        <f>$C$8+($D$8-$C$8)*$AD184</f>
        <v/>
      </c>
      <c r="Q184" s="14">
        <f>$C$9</f>
        <v/>
      </c>
      <c r="R184" s="14">
        <f>_xlfn.LOGNORM.INV($AF184,LN($C$10)-0.5*LN(1+($D$10/$C$10)^2),SQRT(LN(1+($D$10/$C$10)^2)))</f>
        <v/>
      </c>
      <c r="S184" s="14">
        <f>SUM(M184:R184)</f>
        <v/>
      </c>
      <c r="AA184">
        <f>RAND()</f>
        <v/>
      </c>
      <c r="AB184">
        <f>RAND()</f>
        <v/>
      </c>
      <c r="AC184">
        <f>RAND()</f>
        <v/>
      </c>
      <c r="AD184">
        <f>RAND()</f>
        <v/>
      </c>
      <c r="AE184">
        <f>RAND()</f>
        <v/>
      </c>
      <c r="AF184">
        <f>RAND()</f>
        <v/>
      </c>
    </row>
    <row r="185">
      <c r="M185" s="14">
        <f>_xlfn.BETA.INV($AA185,1+4*($D$5-$C$5)/($E$5-$C$5),1+4*($E$5-$D$5)/($E$5-$C$5),$C$5,$E$5)</f>
        <v/>
      </c>
      <c r="N185" s="14">
        <f>IF($AB185&lt;($D$6-$C$6)/($E$6-$C$6),$C$6+SQRT($AB185*($E$6-$C$6)*($D$6-$C$6)),$E$6-SQRT((1-$AB185)*($E$6-$C$6)*($E$6-$D$6)))</f>
        <v/>
      </c>
      <c r="O185" s="14">
        <f>_xlfn.NORM.INV($AC185,$C$7,$D$7)</f>
        <v/>
      </c>
      <c r="P185" s="14">
        <f>$C$8+($D$8-$C$8)*$AD185</f>
        <v/>
      </c>
      <c r="Q185" s="14">
        <f>$C$9</f>
        <v/>
      </c>
      <c r="R185" s="14">
        <f>_xlfn.LOGNORM.INV($AF185,LN($C$10)-0.5*LN(1+($D$10/$C$10)^2),SQRT(LN(1+($D$10/$C$10)^2)))</f>
        <v/>
      </c>
      <c r="S185" s="14">
        <f>SUM(M185:R185)</f>
        <v/>
      </c>
      <c r="AA185">
        <f>RAND()</f>
        <v/>
      </c>
      <c r="AB185">
        <f>RAND()</f>
        <v/>
      </c>
      <c r="AC185">
        <f>RAND()</f>
        <v/>
      </c>
      <c r="AD185">
        <f>RAND()</f>
        <v/>
      </c>
      <c r="AE185">
        <f>RAND()</f>
        <v/>
      </c>
      <c r="AF185">
        <f>RAND()</f>
        <v/>
      </c>
    </row>
    <row r="186">
      <c r="M186" s="14">
        <f>_xlfn.BETA.INV($AA186,1+4*($D$5-$C$5)/($E$5-$C$5),1+4*($E$5-$D$5)/($E$5-$C$5),$C$5,$E$5)</f>
        <v/>
      </c>
      <c r="N186" s="14">
        <f>IF($AB186&lt;($D$6-$C$6)/($E$6-$C$6),$C$6+SQRT($AB186*($E$6-$C$6)*($D$6-$C$6)),$E$6-SQRT((1-$AB186)*($E$6-$C$6)*($E$6-$D$6)))</f>
        <v/>
      </c>
      <c r="O186" s="14">
        <f>_xlfn.NORM.INV($AC186,$C$7,$D$7)</f>
        <v/>
      </c>
      <c r="P186" s="14">
        <f>$C$8+($D$8-$C$8)*$AD186</f>
        <v/>
      </c>
      <c r="Q186" s="14">
        <f>$C$9</f>
        <v/>
      </c>
      <c r="R186" s="14">
        <f>_xlfn.LOGNORM.INV($AF186,LN($C$10)-0.5*LN(1+($D$10/$C$10)^2),SQRT(LN(1+($D$10/$C$10)^2)))</f>
        <v/>
      </c>
      <c r="S186" s="14">
        <f>SUM(M186:R186)</f>
        <v/>
      </c>
      <c r="AA186">
        <f>RAND()</f>
        <v/>
      </c>
      <c r="AB186">
        <f>RAND()</f>
        <v/>
      </c>
      <c r="AC186">
        <f>RAND()</f>
        <v/>
      </c>
      <c r="AD186">
        <f>RAND()</f>
        <v/>
      </c>
      <c r="AE186">
        <f>RAND()</f>
        <v/>
      </c>
      <c r="AF186">
        <f>RAND()</f>
        <v/>
      </c>
    </row>
    <row r="187">
      <c r="M187" s="14">
        <f>_xlfn.BETA.INV($AA187,1+4*($D$5-$C$5)/($E$5-$C$5),1+4*($E$5-$D$5)/($E$5-$C$5),$C$5,$E$5)</f>
        <v/>
      </c>
      <c r="N187" s="14">
        <f>IF($AB187&lt;($D$6-$C$6)/($E$6-$C$6),$C$6+SQRT($AB187*($E$6-$C$6)*($D$6-$C$6)),$E$6-SQRT((1-$AB187)*($E$6-$C$6)*($E$6-$D$6)))</f>
        <v/>
      </c>
      <c r="O187" s="14">
        <f>_xlfn.NORM.INV($AC187,$C$7,$D$7)</f>
        <v/>
      </c>
      <c r="P187" s="14">
        <f>$C$8+($D$8-$C$8)*$AD187</f>
        <v/>
      </c>
      <c r="Q187" s="14">
        <f>$C$9</f>
        <v/>
      </c>
      <c r="R187" s="14">
        <f>_xlfn.LOGNORM.INV($AF187,LN($C$10)-0.5*LN(1+($D$10/$C$10)^2),SQRT(LN(1+($D$10/$C$10)^2)))</f>
        <v/>
      </c>
      <c r="S187" s="14">
        <f>SUM(M187:R187)</f>
        <v/>
      </c>
      <c r="AA187">
        <f>RAND()</f>
        <v/>
      </c>
      <c r="AB187">
        <f>RAND()</f>
        <v/>
      </c>
      <c r="AC187">
        <f>RAND()</f>
        <v/>
      </c>
      <c r="AD187">
        <f>RAND()</f>
        <v/>
      </c>
      <c r="AE187">
        <f>RAND()</f>
        <v/>
      </c>
      <c r="AF187">
        <f>RAND()</f>
        <v/>
      </c>
    </row>
    <row r="188">
      <c r="M188" s="14">
        <f>_xlfn.BETA.INV($AA188,1+4*($D$5-$C$5)/($E$5-$C$5),1+4*($E$5-$D$5)/($E$5-$C$5),$C$5,$E$5)</f>
        <v/>
      </c>
      <c r="N188" s="14">
        <f>IF($AB188&lt;($D$6-$C$6)/($E$6-$C$6),$C$6+SQRT($AB188*($E$6-$C$6)*($D$6-$C$6)),$E$6-SQRT((1-$AB188)*($E$6-$C$6)*($E$6-$D$6)))</f>
        <v/>
      </c>
      <c r="O188" s="14">
        <f>_xlfn.NORM.INV($AC188,$C$7,$D$7)</f>
        <v/>
      </c>
      <c r="P188" s="14">
        <f>$C$8+($D$8-$C$8)*$AD188</f>
        <v/>
      </c>
      <c r="Q188" s="14">
        <f>$C$9</f>
        <v/>
      </c>
      <c r="R188" s="14">
        <f>_xlfn.LOGNORM.INV($AF188,LN($C$10)-0.5*LN(1+($D$10/$C$10)^2),SQRT(LN(1+($D$10/$C$10)^2)))</f>
        <v/>
      </c>
      <c r="S188" s="14">
        <f>SUM(M188:R188)</f>
        <v/>
      </c>
      <c r="AA188">
        <f>RAND()</f>
        <v/>
      </c>
      <c r="AB188">
        <f>RAND()</f>
        <v/>
      </c>
      <c r="AC188">
        <f>RAND()</f>
        <v/>
      </c>
      <c r="AD188">
        <f>RAND()</f>
        <v/>
      </c>
      <c r="AE188">
        <f>RAND()</f>
        <v/>
      </c>
      <c r="AF188">
        <f>RAND()</f>
        <v/>
      </c>
    </row>
    <row r="189">
      <c r="M189" s="14">
        <f>_xlfn.BETA.INV($AA189,1+4*($D$5-$C$5)/($E$5-$C$5),1+4*($E$5-$D$5)/($E$5-$C$5),$C$5,$E$5)</f>
        <v/>
      </c>
      <c r="N189" s="14">
        <f>IF($AB189&lt;($D$6-$C$6)/($E$6-$C$6),$C$6+SQRT($AB189*($E$6-$C$6)*($D$6-$C$6)),$E$6-SQRT((1-$AB189)*($E$6-$C$6)*($E$6-$D$6)))</f>
        <v/>
      </c>
      <c r="O189" s="14">
        <f>_xlfn.NORM.INV($AC189,$C$7,$D$7)</f>
        <v/>
      </c>
      <c r="P189" s="14">
        <f>$C$8+($D$8-$C$8)*$AD189</f>
        <v/>
      </c>
      <c r="Q189" s="14">
        <f>$C$9</f>
        <v/>
      </c>
      <c r="R189" s="14">
        <f>_xlfn.LOGNORM.INV($AF189,LN($C$10)-0.5*LN(1+($D$10/$C$10)^2),SQRT(LN(1+($D$10/$C$10)^2)))</f>
        <v/>
      </c>
      <c r="S189" s="14">
        <f>SUM(M189:R189)</f>
        <v/>
      </c>
      <c r="AA189">
        <f>RAND()</f>
        <v/>
      </c>
      <c r="AB189">
        <f>RAND()</f>
        <v/>
      </c>
      <c r="AC189">
        <f>RAND()</f>
        <v/>
      </c>
      <c r="AD189">
        <f>RAND()</f>
        <v/>
      </c>
      <c r="AE189">
        <f>RAND()</f>
        <v/>
      </c>
      <c r="AF189">
        <f>RAND()</f>
        <v/>
      </c>
    </row>
    <row r="190">
      <c r="M190" s="14">
        <f>_xlfn.BETA.INV($AA190,1+4*($D$5-$C$5)/($E$5-$C$5),1+4*($E$5-$D$5)/($E$5-$C$5),$C$5,$E$5)</f>
        <v/>
      </c>
      <c r="N190" s="14">
        <f>IF($AB190&lt;($D$6-$C$6)/($E$6-$C$6),$C$6+SQRT($AB190*($E$6-$C$6)*($D$6-$C$6)),$E$6-SQRT((1-$AB190)*($E$6-$C$6)*($E$6-$D$6)))</f>
        <v/>
      </c>
      <c r="O190" s="14">
        <f>_xlfn.NORM.INV($AC190,$C$7,$D$7)</f>
        <v/>
      </c>
      <c r="P190" s="14">
        <f>$C$8+($D$8-$C$8)*$AD190</f>
        <v/>
      </c>
      <c r="Q190" s="14">
        <f>$C$9</f>
        <v/>
      </c>
      <c r="R190" s="14">
        <f>_xlfn.LOGNORM.INV($AF190,LN($C$10)-0.5*LN(1+($D$10/$C$10)^2),SQRT(LN(1+($D$10/$C$10)^2)))</f>
        <v/>
      </c>
      <c r="S190" s="14">
        <f>SUM(M190:R190)</f>
        <v/>
      </c>
      <c r="AA190">
        <f>RAND()</f>
        <v/>
      </c>
      <c r="AB190">
        <f>RAND()</f>
        <v/>
      </c>
      <c r="AC190">
        <f>RAND()</f>
        <v/>
      </c>
      <c r="AD190">
        <f>RAND()</f>
        <v/>
      </c>
      <c r="AE190">
        <f>RAND()</f>
        <v/>
      </c>
      <c r="AF190">
        <f>RAND()</f>
        <v/>
      </c>
    </row>
    <row r="191">
      <c r="M191" s="14">
        <f>_xlfn.BETA.INV($AA191,1+4*($D$5-$C$5)/($E$5-$C$5),1+4*($E$5-$D$5)/($E$5-$C$5),$C$5,$E$5)</f>
        <v/>
      </c>
      <c r="N191" s="14">
        <f>IF($AB191&lt;($D$6-$C$6)/($E$6-$C$6),$C$6+SQRT($AB191*($E$6-$C$6)*($D$6-$C$6)),$E$6-SQRT((1-$AB191)*($E$6-$C$6)*($E$6-$D$6)))</f>
        <v/>
      </c>
      <c r="O191" s="14">
        <f>_xlfn.NORM.INV($AC191,$C$7,$D$7)</f>
        <v/>
      </c>
      <c r="P191" s="14">
        <f>$C$8+($D$8-$C$8)*$AD191</f>
        <v/>
      </c>
      <c r="Q191" s="14">
        <f>$C$9</f>
        <v/>
      </c>
      <c r="R191" s="14">
        <f>_xlfn.LOGNORM.INV($AF191,LN($C$10)-0.5*LN(1+($D$10/$C$10)^2),SQRT(LN(1+($D$10/$C$10)^2)))</f>
        <v/>
      </c>
      <c r="S191" s="14">
        <f>SUM(M191:R191)</f>
        <v/>
      </c>
      <c r="AA191">
        <f>RAND()</f>
        <v/>
      </c>
      <c r="AB191">
        <f>RAND()</f>
        <v/>
      </c>
      <c r="AC191">
        <f>RAND()</f>
        <v/>
      </c>
      <c r="AD191">
        <f>RAND()</f>
        <v/>
      </c>
      <c r="AE191">
        <f>RAND()</f>
        <v/>
      </c>
      <c r="AF191">
        <f>RAND()</f>
        <v/>
      </c>
    </row>
    <row r="192">
      <c r="M192" s="14">
        <f>_xlfn.BETA.INV($AA192,1+4*($D$5-$C$5)/($E$5-$C$5),1+4*($E$5-$D$5)/($E$5-$C$5),$C$5,$E$5)</f>
        <v/>
      </c>
      <c r="N192" s="14">
        <f>IF($AB192&lt;($D$6-$C$6)/($E$6-$C$6),$C$6+SQRT($AB192*($E$6-$C$6)*($D$6-$C$6)),$E$6-SQRT((1-$AB192)*($E$6-$C$6)*($E$6-$D$6)))</f>
        <v/>
      </c>
      <c r="O192" s="14">
        <f>_xlfn.NORM.INV($AC192,$C$7,$D$7)</f>
        <v/>
      </c>
      <c r="P192" s="14">
        <f>$C$8+($D$8-$C$8)*$AD192</f>
        <v/>
      </c>
      <c r="Q192" s="14">
        <f>$C$9</f>
        <v/>
      </c>
      <c r="R192" s="14">
        <f>_xlfn.LOGNORM.INV($AF192,LN($C$10)-0.5*LN(1+($D$10/$C$10)^2),SQRT(LN(1+($D$10/$C$10)^2)))</f>
        <v/>
      </c>
      <c r="S192" s="14">
        <f>SUM(M192:R192)</f>
        <v/>
      </c>
      <c r="AA192">
        <f>RAND()</f>
        <v/>
      </c>
      <c r="AB192">
        <f>RAND()</f>
        <v/>
      </c>
      <c r="AC192">
        <f>RAND()</f>
        <v/>
      </c>
      <c r="AD192">
        <f>RAND()</f>
        <v/>
      </c>
      <c r="AE192">
        <f>RAND()</f>
        <v/>
      </c>
      <c r="AF192">
        <f>RAND()</f>
        <v/>
      </c>
    </row>
    <row r="193">
      <c r="M193" s="14">
        <f>_xlfn.BETA.INV($AA193,1+4*($D$5-$C$5)/($E$5-$C$5),1+4*($E$5-$D$5)/($E$5-$C$5),$C$5,$E$5)</f>
        <v/>
      </c>
      <c r="N193" s="14">
        <f>IF($AB193&lt;($D$6-$C$6)/($E$6-$C$6),$C$6+SQRT($AB193*($E$6-$C$6)*($D$6-$C$6)),$E$6-SQRT((1-$AB193)*($E$6-$C$6)*($E$6-$D$6)))</f>
        <v/>
      </c>
      <c r="O193" s="14">
        <f>_xlfn.NORM.INV($AC193,$C$7,$D$7)</f>
        <v/>
      </c>
      <c r="P193" s="14">
        <f>$C$8+($D$8-$C$8)*$AD193</f>
        <v/>
      </c>
      <c r="Q193" s="14">
        <f>$C$9</f>
        <v/>
      </c>
      <c r="R193" s="14">
        <f>_xlfn.LOGNORM.INV($AF193,LN($C$10)-0.5*LN(1+($D$10/$C$10)^2),SQRT(LN(1+($D$10/$C$10)^2)))</f>
        <v/>
      </c>
      <c r="S193" s="14">
        <f>SUM(M193:R193)</f>
        <v/>
      </c>
      <c r="AA193">
        <f>RAND()</f>
        <v/>
      </c>
      <c r="AB193">
        <f>RAND()</f>
        <v/>
      </c>
      <c r="AC193">
        <f>RAND()</f>
        <v/>
      </c>
      <c r="AD193">
        <f>RAND()</f>
        <v/>
      </c>
      <c r="AE193">
        <f>RAND()</f>
        <v/>
      </c>
      <c r="AF193">
        <f>RAND()</f>
        <v/>
      </c>
    </row>
    <row r="194">
      <c r="M194" s="14">
        <f>_xlfn.BETA.INV($AA194,1+4*($D$5-$C$5)/($E$5-$C$5),1+4*($E$5-$D$5)/($E$5-$C$5),$C$5,$E$5)</f>
        <v/>
      </c>
      <c r="N194" s="14">
        <f>IF($AB194&lt;($D$6-$C$6)/($E$6-$C$6),$C$6+SQRT($AB194*($E$6-$C$6)*($D$6-$C$6)),$E$6-SQRT((1-$AB194)*($E$6-$C$6)*($E$6-$D$6)))</f>
        <v/>
      </c>
      <c r="O194" s="14">
        <f>_xlfn.NORM.INV($AC194,$C$7,$D$7)</f>
        <v/>
      </c>
      <c r="P194" s="14">
        <f>$C$8+($D$8-$C$8)*$AD194</f>
        <v/>
      </c>
      <c r="Q194" s="14">
        <f>$C$9</f>
        <v/>
      </c>
      <c r="R194" s="14">
        <f>_xlfn.LOGNORM.INV($AF194,LN($C$10)-0.5*LN(1+($D$10/$C$10)^2),SQRT(LN(1+($D$10/$C$10)^2)))</f>
        <v/>
      </c>
      <c r="S194" s="14">
        <f>SUM(M194:R194)</f>
        <v/>
      </c>
      <c r="AA194">
        <f>RAND()</f>
        <v/>
      </c>
      <c r="AB194">
        <f>RAND()</f>
        <v/>
      </c>
      <c r="AC194">
        <f>RAND()</f>
        <v/>
      </c>
      <c r="AD194">
        <f>RAND()</f>
        <v/>
      </c>
      <c r="AE194">
        <f>RAND()</f>
        <v/>
      </c>
      <c r="AF194">
        <f>RAND()</f>
        <v/>
      </c>
    </row>
    <row r="195">
      <c r="M195" s="14">
        <f>_xlfn.BETA.INV($AA195,1+4*($D$5-$C$5)/($E$5-$C$5),1+4*($E$5-$D$5)/($E$5-$C$5),$C$5,$E$5)</f>
        <v/>
      </c>
      <c r="N195" s="14">
        <f>IF($AB195&lt;($D$6-$C$6)/($E$6-$C$6),$C$6+SQRT($AB195*($E$6-$C$6)*($D$6-$C$6)),$E$6-SQRT((1-$AB195)*($E$6-$C$6)*($E$6-$D$6)))</f>
        <v/>
      </c>
      <c r="O195" s="14">
        <f>_xlfn.NORM.INV($AC195,$C$7,$D$7)</f>
        <v/>
      </c>
      <c r="P195" s="14">
        <f>$C$8+($D$8-$C$8)*$AD195</f>
        <v/>
      </c>
      <c r="Q195" s="14">
        <f>$C$9</f>
        <v/>
      </c>
      <c r="R195" s="14">
        <f>_xlfn.LOGNORM.INV($AF195,LN($C$10)-0.5*LN(1+($D$10/$C$10)^2),SQRT(LN(1+($D$10/$C$10)^2)))</f>
        <v/>
      </c>
      <c r="S195" s="14">
        <f>SUM(M195:R195)</f>
        <v/>
      </c>
      <c r="AA195">
        <f>RAND()</f>
        <v/>
      </c>
      <c r="AB195">
        <f>RAND()</f>
        <v/>
      </c>
      <c r="AC195">
        <f>RAND()</f>
        <v/>
      </c>
      <c r="AD195">
        <f>RAND()</f>
        <v/>
      </c>
      <c r="AE195">
        <f>RAND()</f>
        <v/>
      </c>
      <c r="AF195">
        <f>RAND()</f>
        <v/>
      </c>
    </row>
    <row r="196">
      <c r="M196" s="14">
        <f>_xlfn.BETA.INV($AA196,1+4*($D$5-$C$5)/($E$5-$C$5),1+4*($E$5-$D$5)/($E$5-$C$5),$C$5,$E$5)</f>
        <v/>
      </c>
      <c r="N196" s="14">
        <f>IF($AB196&lt;($D$6-$C$6)/($E$6-$C$6),$C$6+SQRT($AB196*($E$6-$C$6)*($D$6-$C$6)),$E$6-SQRT((1-$AB196)*($E$6-$C$6)*($E$6-$D$6)))</f>
        <v/>
      </c>
      <c r="O196" s="14">
        <f>_xlfn.NORM.INV($AC196,$C$7,$D$7)</f>
        <v/>
      </c>
      <c r="P196" s="14">
        <f>$C$8+($D$8-$C$8)*$AD196</f>
        <v/>
      </c>
      <c r="Q196" s="14">
        <f>$C$9</f>
        <v/>
      </c>
      <c r="R196" s="14">
        <f>_xlfn.LOGNORM.INV($AF196,LN($C$10)-0.5*LN(1+($D$10/$C$10)^2),SQRT(LN(1+($D$10/$C$10)^2)))</f>
        <v/>
      </c>
      <c r="S196" s="14">
        <f>SUM(M196:R196)</f>
        <v/>
      </c>
      <c r="AA196">
        <f>RAND()</f>
        <v/>
      </c>
      <c r="AB196">
        <f>RAND()</f>
        <v/>
      </c>
      <c r="AC196">
        <f>RAND()</f>
        <v/>
      </c>
      <c r="AD196">
        <f>RAND()</f>
        <v/>
      </c>
      <c r="AE196">
        <f>RAND()</f>
        <v/>
      </c>
      <c r="AF196">
        <f>RAND()</f>
        <v/>
      </c>
    </row>
    <row r="197">
      <c r="M197" s="14">
        <f>_xlfn.BETA.INV($AA197,1+4*($D$5-$C$5)/($E$5-$C$5),1+4*($E$5-$D$5)/($E$5-$C$5),$C$5,$E$5)</f>
        <v/>
      </c>
      <c r="N197" s="14">
        <f>IF($AB197&lt;($D$6-$C$6)/($E$6-$C$6),$C$6+SQRT($AB197*($E$6-$C$6)*($D$6-$C$6)),$E$6-SQRT((1-$AB197)*($E$6-$C$6)*($E$6-$D$6)))</f>
        <v/>
      </c>
      <c r="O197" s="14">
        <f>_xlfn.NORM.INV($AC197,$C$7,$D$7)</f>
        <v/>
      </c>
      <c r="P197" s="14">
        <f>$C$8+($D$8-$C$8)*$AD197</f>
        <v/>
      </c>
      <c r="Q197" s="14">
        <f>$C$9</f>
        <v/>
      </c>
      <c r="R197" s="14">
        <f>_xlfn.LOGNORM.INV($AF197,LN($C$10)-0.5*LN(1+($D$10/$C$10)^2),SQRT(LN(1+($D$10/$C$10)^2)))</f>
        <v/>
      </c>
      <c r="S197" s="14">
        <f>SUM(M197:R197)</f>
        <v/>
      </c>
      <c r="AA197">
        <f>RAND()</f>
        <v/>
      </c>
      <c r="AB197">
        <f>RAND()</f>
        <v/>
      </c>
      <c r="AC197">
        <f>RAND()</f>
        <v/>
      </c>
      <c r="AD197">
        <f>RAND()</f>
        <v/>
      </c>
      <c r="AE197">
        <f>RAND()</f>
        <v/>
      </c>
      <c r="AF197">
        <f>RAND()</f>
        <v/>
      </c>
    </row>
    <row r="198">
      <c r="M198" s="14">
        <f>_xlfn.BETA.INV($AA198,1+4*($D$5-$C$5)/($E$5-$C$5),1+4*($E$5-$D$5)/($E$5-$C$5),$C$5,$E$5)</f>
        <v/>
      </c>
      <c r="N198" s="14">
        <f>IF($AB198&lt;($D$6-$C$6)/($E$6-$C$6),$C$6+SQRT($AB198*($E$6-$C$6)*($D$6-$C$6)),$E$6-SQRT((1-$AB198)*($E$6-$C$6)*($E$6-$D$6)))</f>
        <v/>
      </c>
      <c r="O198" s="14">
        <f>_xlfn.NORM.INV($AC198,$C$7,$D$7)</f>
        <v/>
      </c>
      <c r="P198" s="14">
        <f>$C$8+($D$8-$C$8)*$AD198</f>
        <v/>
      </c>
      <c r="Q198" s="14">
        <f>$C$9</f>
        <v/>
      </c>
      <c r="R198" s="14">
        <f>_xlfn.LOGNORM.INV($AF198,LN($C$10)-0.5*LN(1+($D$10/$C$10)^2),SQRT(LN(1+($D$10/$C$10)^2)))</f>
        <v/>
      </c>
      <c r="S198" s="14">
        <f>SUM(M198:R198)</f>
        <v/>
      </c>
      <c r="AA198">
        <f>RAND()</f>
        <v/>
      </c>
      <c r="AB198">
        <f>RAND()</f>
        <v/>
      </c>
      <c r="AC198">
        <f>RAND()</f>
        <v/>
      </c>
      <c r="AD198">
        <f>RAND()</f>
        <v/>
      </c>
      <c r="AE198">
        <f>RAND()</f>
        <v/>
      </c>
      <c r="AF198">
        <f>RAND()</f>
        <v/>
      </c>
    </row>
    <row r="199">
      <c r="M199" s="14">
        <f>_xlfn.BETA.INV($AA199,1+4*($D$5-$C$5)/($E$5-$C$5),1+4*($E$5-$D$5)/($E$5-$C$5),$C$5,$E$5)</f>
        <v/>
      </c>
      <c r="N199" s="14">
        <f>IF($AB199&lt;($D$6-$C$6)/($E$6-$C$6),$C$6+SQRT($AB199*($E$6-$C$6)*($D$6-$C$6)),$E$6-SQRT((1-$AB199)*($E$6-$C$6)*($E$6-$D$6)))</f>
        <v/>
      </c>
      <c r="O199" s="14">
        <f>_xlfn.NORM.INV($AC199,$C$7,$D$7)</f>
        <v/>
      </c>
      <c r="P199" s="14">
        <f>$C$8+($D$8-$C$8)*$AD199</f>
        <v/>
      </c>
      <c r="Q199" s="14">
        <f>$C$9</f>
        <v/>
      </c>
      <c r="R199" s="14">
        <f>_xlfn.LOGNORM.INV($AF199,LN($C$10)-0.5*LN(1+($D$10/$C$10)^2),SQRT(LN(1+($D$10/$C$10)^2)))</f>
        <v/>
      </c>
      <c r="S199" s="14">
        <f>SUM(M199:R199)</f>
        <v/>
      </c>
      <c r="AA199">
        <f>RAND()</f>
        <v/>
      </c>
      <c r="AB199">
        <f>RAND()</f>
        <v/>
      </c>
      <c r="AC199">
        <f>RAND()</f>
        <v/>
      </c>
      <c r="AD199">
        <f>RAND()</f>
        <v/>
      </c>
      <c r="AE199">
        <f>RAND()</f>
        <v/>
      </c>
      <c r="AF199">
        <f>RAND()</f>
        <v/>
      </c>
    </row>
    <row r="200">
      <c r="M200" s="14">
        <f>_xlfn.BETA.INV($AA200,1+4*($D$5-$C$5)/($E$5-$C$5),1+4*($E$5-$D$5)/($E$5-$C$5),$C$5,$E$5)</f>
        <v/>
      </c>
      <c r="N200" s="14">
        <f>IF($AB200&lt;($D$6-$C$6)/($E$6-$C$6),$C$6+SQRT($AB200*($E$6-$C$6)*($D$6-$C$6)),$E$6-SQRT((1-$AB200)*($E$6-$C$6)*($E$6-$D$6)))</f>
        <v/>
      </c>
      <c r="O200" s="14">
        <f>_xlfn.NORM.INV($AC200,$C$7,$D$7)</f>
        <v/>
      </c>
      <c r="P200" s="14">
        <f>$C$8+($D$8-$C$8)*$AD200</f>
        <v/>
      </c>
      <c r="Q200" s="14">
        <f>$C$9</f>
        <v/>
      </c>
      <c r="R200" s="14">
        <f>_xlfn.LOGNORM.INV($AF200,LN($C$10)-0.5*LN(1+($D$10/$C$10)^2),SQRT(LN(1+($D$10/$C$10)^2)))</f>
        <v/>
      </c>
      <c r="S200" s="14">
        <f>SUM(M200:R200)</f>
        <v/>
      </c>
      <c r="AA200">
        <f>RAND()</f>
        <v/>
      </c>
      <c r="AB200">
        <f>RAND()</f>
        <v/>
      </c>
      <c r="AC200">
        <f>RAND()</f>
        <v/>
      </c>
      <c r="AD200">
        <f>RAND()</f>
        <v/>
      </c>
      <c r="AE200">
        <f>RAND()</f>
        <v/>
      </c>
      <c r="AF200">
        <f>RAND()</f>
        <v/>
      </c>
    </row>
    <row r="201">
      <c r="M201" s="14">
        <f>_xlfn.BETA.INV($AA201,1+4*($D$5-$C$5)/($E$5-$C$5),1+4*($E$5-$D$5)/($E$5-$C$5),$C$5,$E$5)</f>
        <v/>
      </c>
      <c r="N201" s="14">
        <f>IF($AB201&lt;($D$6-$C$6)/($E$6-$C$6),$C$6+SQRT($AB201*($E$6-$C$6)*($D$6-$C$6)),$E$6-SQRT((1-$AB201)*($E$6-$C$6)*($E$6-$D$6)))</f>
        <v/>
      </c>
      <c r="O201" s="14">
        <f>_xlfn.NORM.INV($AC201,$C$7,$D$7)</f>
        <v/>
      </c>
      <c r="P201" s="14">
        <f>$C$8+($D$8-$C$8)*$AD201</f>
        <v/>
      </c>
      <c r="Q201" s="14">
        <f>$C$9</f>
        <v/>
      </c>
      <c r="R201" s="14">
        <f>_xlfn.LOGNORM.INV($AF201,LN($C$10)-0.5*LN(1+($D$10/$C$10)^2),SQRT(LN(1+($D$10/$C$10)^2)))</f>
        <v/>
      </c>
      <c r="S201" s="14">
        <f>SUM(M201:R201)</f>
        <v/>
      </c>
      <c r="AA201">
        <f>RAND()</f>
        <v/>
      </c>
      <c r="AB201">
        <f>RAND()</f>
        <v/>
      </c>
      <c r="AC201">
        <f>RAND()</f>
        <v/>
      </c>
      <c r="AD201">
        <f>RAND()</f>
        <v/>
      </c>
      <c r="AE201">
        <f>RAND()</f>
        <v/>
      </c>
      <c r="AF201">
        <f>RAND()</f>
        <v/>
      </c>
    </row>
    <row r="202">
      <c r="M202" s="14">
        <f>_xlfn.BETA.INV($AA202,1+4*($D$5-$C$5)/($E$5-$C$5),1+4*($E$5-$D$5)/($E$5-$C$5),$C$5,$E$5)</f>
        <v/>
      </c>
      <c r="N202" s="14">
        <f>IF($AB202&lt;($D$6-$C$6)/($E$6-$C$6),$C$6+SQRT($AB202*($E$6-$C$6)*($D$6-$C$6)),$E$6-SQRT((1-$AB202)*($E$6-$C$6)*($E$6-$D$6)))</f>
        <v/>
      </c>
      <c r="O202" s="14">
        <f>_xlfn.NORM.INV($AC202,$C$7,$D$7)</f>
        <v/>
      </c>
      <c r="P202" s="14">
        <f>$C$8+($D$8-$C$8)*$AD202</f>
        <v/>
      </c>
      <c r="Q202" s="14">
        <f>$C$9</f>
        <v/>
      </c>
      <c r="R202" s="14">
        <f>_xlfn.LOGNORM.INV($AF202,LN($C$10)-0.5*LN(1+($D$10/$C$10)^2),SQRT(LN(1+($D$10/$C$10)^2)))</f>
        <v/>
      </c>
      <c r="S202" s="14">
        <f>SUM(M202:R202)</f>
        <v/>
      </c>
      <c r="AA202">
        <f>RAND()</f>
        <v/>
      </c>
      <c r="AB202">
        <f>RAND()</f>
        <v/>
      </c>
      <c r="AC202">
        <f>RAND()</f>
        <v/>
      </c>
      <c r="AD202">
        <f>RAND()</f>
        <v/>
      </c>
      <c r="AE202">
        <f>RAND()</f>
        <v/>
      </c>
      <c r="AF202">
        <f>RAND()</f>
        <v/>
      </c>
    </row>
    <row r="203">
      <c r="M203" s="14">
        <f>_xlfn.BETA.INV($AA203,1+4*($D$5-$C$5)/($E$5-$C$5),1+4*($E$5-$D$5)/($E$5-$C$5),$C$5,$E$5)</f>
        <v/>
      </c>
      <c r="N203" s="14">
        <f>IF($AB203&lt;($D$6-$C$6)/($E$6-$C$6),$C$6+SQRT($AB203*($E$6-$C$6)*($D$6-$C$6)),$E$6-SQRT((1-$AB203)*($E$6-$C$6)*($E$6-$D$6)))</f>
        <v/>
      </c>
      <c r="O203" s="14">
        <f>_xlfn.NORM.INV($AC203,$C$7,$D$7)</f>
        <v/>
      </c>
      <c r="P203" s="14">
        <f>$C$8+($D$8-$C$8)*$AD203</f>
        <v/>
      </c>
      <c r="Q203" s="14">
        <f>$C$9</f>
        <v/>
      </c>
      <c r="R203" s="14">
        <f>_xlfn.LOGNORM.INV($AF203,LN($C$10)-0.5*LN(1+($D$10/$C$10)^2),SQRT(LN(1+($D$10/$C$10)^2)))</f>
        <v/>
      </c>
      <c r="S203" s="14">
        <f>SUM(M203:R203)</f>
        <v/>
      </c>
      <c r="AA203">
        <f>RAND()</f>
        <v/>
      </c>
      <c r="AB203">
        <f>RAND()</f>
        <v/>
      </c>
      <c r="AC203">
        <f>RAND()</f>
        <v/>
      </c>
      <c r="AD203">
        <f>RAND()</f>
        <v/>
      </c>
      <c r="AE203">
        <f>RAND()</f>
        <v/>
      </c>
      <c r="AF203">
        <f>RAND()</f>
        <v/>
      </c>
    </row>
    <row r="204">
      <c r="M204" s="14">
        <f>_xlfn.BETA.INV($AA204,1+4*($D$5-$C$5)/($E$5-$C$5),1+4*($E$5-$D$5)/($E$5-$C$5),$C$5,$E$5)</f>
        <v/>
      </c>
      <c r="N204" s="14">
        <f>IF($AB204&lt;($D$6-$C$6)/($E$6-$C$6),$C$6+SQRT($AB204*($E$6-$C$6)*($D$6-$C$6)),$E$6-SQRT((1-$AB204)*($E$6-$C$6)*($E$6-$D$6)))</f>
        <v/>
      </c>
      <c r="O204" s="14">
        <f>_xlfn.NORM.INV($AC204,$C$7,$D$7)</f>
        <v/>
      </c>
      <c r="P204" s="14">
        <f>$C$8+($D$8-$C$8)*$AD204</f>
        <v/>
      </c>
      <c r="Q204" s="14">
        <f>$C$9</f>
        <v/>
      </c>
      <c r="R204" s="14">
        <f>_xlfn.LOGNORM.INV($AF204,LN($C$10)-0.5*LN(1+($D$10/$C$10)^2),SQRT(LN(1+($D$10/$C$10)^2)))</f>
        <v/>
      </c>
      <c r="S204" s="14">
        <f>SUM(M204:R204)</f>
        <v/>
      </c>
      <c r="AA204">
        <f>RAND()</f>
        <v/>
      </c>
      <c r="AB204">
        <f>RAND()</f>
        <v/>
      </c>
      <c r="AC204">
        <f>RAND()</f>
        <v/>
      </c>
      <c r="AD204">
        <f>RAND()</f>
        <v/>
      </c>
      <c r="AE204">
        <f>RAND()</f>
        <v/>
      </c>
      <c r="AF204">
        <f>RAND()</f>
        <v/>
      </c>
    </row>
    <row r="205">
      <c r="M205" s="14">
        <f>_xlfn.BETA.INV($AA205,1+4*($D$5-$C$5)/($E$5-$C$5),1+4*($E$5-$D$5)/($E$5-$C$5),$C$5,$E$5)</f>
        <v/>
      </c>
      <c r="N205" s="14">
        <f>IF($AB205&lt;($D$6-$C$6)/($E$6-$C$6),$C$6+SQRT($AB205*($E$6-$C$6)*($D$6-$C$6)),$E$6-SQRT((1-$AB205)*($E$6-$C$6)*($E$6-$D$6)))</f>
        <v/>
      </c>
      <c r="O205" s="14">
        <f>_xlfn.NORM.INV($AC205,$C$7,$D$7)</f>
        <v/>
      </c>
      <c r="P205" s="14">
        <f>$C$8+($D$8-$C$8)*$AD205</f>
        <v/>
      </c>
      <c r="Q205" s="14">
        <f>$C$9</f>
        <v/>
      </c>
      <c r="R205" s="14">
        <f>_xlfn.LOGNORM.INV($AF205,LN($C$10)-0.5*LN(1+($D$10/$C$10)^2),SQRT(LN(1+($D$10/$C$10)^2)))</f>
        <v/>
      </c>
      <c r="S205" s="14">
        <f>SUM(M205:R205)</f>
        <v/>
      </c>
      <c r="AA205">
        <f>RAND()</f>
        <v/>
      </c>
      <c r="AB205">
        <f>RAND()</f>
        <v/>
      </c>
      <c r="AC205">
        <f>RAND()</f>
        <v/>
      </c>
      <c r="AD205">
        <f>RAND()</f>
        <v/>
      </c>
      <c r="AE205">
        <f>RAND()</f>
        <v/>
      </c>
      <c r="AF205">
        <f>RAND()</f>
        <v/>
      </c>
    </row>
    <row r="206">
      <c r="M206" s="14">
        <f>_xlfn.BETA.INV($AA206,1+4*($D$5-$C$5)/($E$5-$C$5),1+4*($E$5-$D$5)/($E$5-$C$5),$C$5,$E$5)</f>
        <v/>
      </c>
      <c r="N206" s="14">
        <f>IF($AB206&lt;($D$6-$C$6)/($E$6-$C$6),$C$6+SQRT($AB206*($E$6-$C$6)*($D$6-$C$6)),$E$6-SQRT((1-$AB206)*($E$6-$C$6)*($E$6-$D$6)))</f>
        <v/>
      </c>
      <c r="O206" s="14">
        <f>_xlfn.NORM.INV($AC206,$C$7,$D$7)</f>
        <v/>
      </c>
      <c r="P206" s="14">
        <f>$C$8+($D$8-$C$8)*$AD206</f>
        <v/>
      </c>
      <c r="Q206" s="14">
        <f>$C$9</f>
        <v/>
      </c>
      <c r="R206" s="14">
        <f>_xlfn.LOGNORM.INV($AF206,LN($C$10)-0.5*LN(1+($D$10/$C$10)^2),SQRT(LN(1+($D$10/$C$10)^2)))</f>
        <v/>
      </c>
      <c r="S206" s="14">
        <f>SUM(M206:R206)</f>
        <v/>
      </c>
      <c r="AA206">
        <f>RAND()</f>
        <v/>
      </c>
      <c r="AB206">
        <f>RAND()</f>
        <v/>
      </c>
      <c r="AC206">
        <f>RAND()</f>
        <v/>
      </c>
      <c r="AD206">
        <f>RAND()</f>
        <v/>
      </c>
      <c r="AE206">
        <f>RAND()</f>
        <v/>
      </c>
      <c r="AF206">
        <f>RAND()</f>
        <v/>
      </c>
    </row>
    <row r="207">
      <c r="M207" s="14">
        <f>_xlfn.BETA.INV($AA207,1+4*($D$5-$C$5)/($E$5-$C$5),1+4*($E$5-$D$5)/($E$5-$C$5),$C$5,$E$5)</f>
        <v/>
      </c>
      <c r="N207" s="14">
        <f>IF($AB207&lt;($D$6-$C$6)/($E$6-$C$6),$C$6+SQRT($AB207*($E$6-$C$6)*($D$6-$C$6)),$E$6-SQRT((1-$AB207)*($E$6-$C$6)*($E$6-$D$6)))</f>
        <v/>
      </c>
      <c r="O207" s="14">
        <f>_xlfn.NORM.INV($AC207,$C$7,$D$7)</f>
        <v/>
      </c>
      <c r="P207" s="14">
        <f>$C$8+($D$8-$C$8)*$AD207</f>
        <v/>
      </c>
      <c r="Q207" s="14">
        <f>$C$9</f>
        <v/>
      </c>
      <c r="R207" s="14">
        <f>_xlfn.LOGNORM.INV($AF207,LN($C$10)-0.5*LN(1+($D$10/$C$10)^2),SQRT(LN(1+($D$10/$C$10)^2)))</f>
        <v/>
      </c>
      <c r="S207" s="14">
        <f>SUM(M207:R207)</f>
        <v/>
      </c>
      <c r="AA207">
        <f>RAND()</f>
        <v/>
      </c>
      <c r="AB207">
        <f>RAND()</f>
        <v/>
      </c>
      <c r="AC207">
        <f>RAND()</f>
        <v/>
      </c>
      <c r="AD207">
        <f>RAND()</f>
        <v/>
      </c>
      <c r="AE207">
        <f>RAND()</f>
        <v/>
      </c>
      <c r="AF207">
        <f>RAND()</f>
        <v/>
      </c>
    </row>
    <row r="208">
      <c r="M208" s="14">
        <f>_xlfn.BETA.INV($AA208,1+4*($D$5-$C$5)/($E$5-$C$5),1+4*($E$5-$D$5)/($E$5-$C$5),$C$5,$E$5)</f>
        <v/>
      </c>
      <c r="N208" s="14">
        <f>IF($AB208&lt;($D$6-$C$6)/($E$6-$C$6),$C$6+SQRT($AB208*($E$6-$C$6)*($D$6-$C$6)),$E$6-SQRT((1-$AB208)*($E$6-$C$6)*($E$6-$D$6)))</f>
        <v/>
      </c>
      <c r="O208" s="14">
        <f>_xlfn.NORM.INV($AC208,$C$7,$D$7)</f>
        <v/>
      </c>
      <c r="P208" s="14">
        <f>$C$8+($D$8-$C$8)*$AD208</f>
        <v/>
      </c>
      <c r="Q208" s="14">
        <f>$C$9</f>
        <v/>
      </c>
      <c r="R208" s="14">
        <f>_xlfn.LOGNORM.INV($AF208,LN($C$10)-0.5*LN(1+($D$10/$C$10)^2),SQRT(LN(1+($D$10/$C$10)^2)))</f>
        <v/>
      </c>
      <c r="S208" s="14">
        <f>SUM(M208:R208)</f>
        <v/>
      </c>
      <c r="AA208">
        <f>RAND()</f>
        <v/>
      </c>
      <c r="AB208">
        <f>RAND()</f>
        <v/>
      </c>
      <c r="AC208">
        <f>RAND()</f>
        <v/>
      </c>
      <c r="AD208">
        <f>RAND()</f>
        <v/>
      </c>
      <c r="AE208">
        <f>RAND()</f>
        <v/>
      </c>
      <c r="AF208">
        <f>RAND()</f>
        <v/>
      </c>
    </row>
    <row r="209">
      <c r="M209" s="14">
        <f>_xlfn.BETA.INV($AA209,1+4*($D$5-$C$5)/($E$5-$C$5),1+4*($E$5-$D$5)/($E$5-$C$5),$C$5,$E$5)</f>
        <v/>
      </c>
      <c r="N209" s="14">
        <f>IF($AB209&lt;($D$6-$C$6)/($E$6-$C$6),$C$6+SQRT($AB209*($E$6-$C$6)*($D$6-$C$6)),$E$6-SQRT((1-$AB209)*($E$6-$C$6)*($E$6-$D$6)))</f>
        <v/>
      </c>
      <c r="O209" s="14">
        <f>_xlfn.NORM.INV($AC209,$C$7,$D$7)</f>
        <v/>
      </c>
      <c r="P209" s="14">
        <f>$C$8+($D$8-$C$8)*$AD209</f>
        <v/>
      </c>
      <c r="Q209" s="14">
        <f>$C$9</f>
        <v/>
      </c>
      <c r="R209" s="14">
        <f>_xlfn.LOGNORM.INV($AF209,LN($C$10)-0.5*LN(1+($D$10/$C$10)^2),SQRT(LN(1+($D$10/$C$10)^2)))</f>
        <v/>
      </c>
      <c r="S209" s="14">
        <f>SUM(M209:R209)</f>
        <v/>
      </c>
      <c r="AA209">
        <f>RAND()</f>
        <v/>
      </c>
      <c r="AB209">
        <f>RAND()</f>
        <v/>
      </c>
      <c r="AC209">
        <f>RAND()</f>
        <v/>
      </c>
      <c r="AD209">
        <f>RAND()</f>
        <v/>
      </c>
      <c r="AE209">
        <f>RAND()</f>
        <v/>
      </c>
      <c r="AF209">
        <f>RAND()</f>
        <v/>
      </c>
    </row>
    <row r="210">
      <c r="M210" s="14">
        <f>_xlfn.BETA.INV($AA210,1+4*($D$5-$C$5)/($E$5-$C$5),1+4*($E$5-$D$5)/($E$5-$C$5),$C$5,$E$5)</f>
        <v/>
      </c>
      <c r="N210" s="14">
        <f>IF($AB210&lt;($D$6-$C$6)/($E$6-$C$6),$C$6+SQRT($AB210*($E$6-$C$6)*($D$6-$C$6)),$E$6-SQRT((1-$AB210)*($E$6-$C$6)*($E$6-$D$6)))</f>
        <v/>
      </c>
      <c r="O210" s="14">
        <f>_xlfn.NORM.INV($AC210,$C$7,$D$7)</f>
        <v/>
      </c>
      <c r="P210" s="14">
        <f>$C$8+($D$8-$C$8)*$AD210</f>
        <v/>
      </c>
      <c r="Q210" s="14">
        <f>$C$9</f>
        <v/>
      </c>
      <c r="R210" s="14">
        <f>_xlfn.LOGNORM.INV($AF210,LN($C$10)-0.5*LN(1+($D$10/$C$10)^2),SQRT(LN(1+($D$10/$C$10)^2)))</f>
        <v/>
      </c>
      <c r="S210" s="14">
        <f>SUM(M210:R210)</f>
        <v/>
      </c>
      <c r="AA210">
        <f>RAND()</f>
        <v/>
      </c>
      <c r="AB210">
        <f>RAND()</f>
        <v/>
      </c>
      <c r="AC210">
        <f>RAND()</f>
        <v/>
      </c>
      <c r="AD210">
        <f>RAND()</f>
        <v/>
      </c>
      <c r="AE210">
        <f>RAND()</f>
        <v/>
      </c>
      <c r="AF210">
        <f>RAND()</f>
        <v/>
      </c>
    </row>
    <row r="211">
      <c r="M211" s="14">
        <f>_xlfn.BETA.INV($AA211,1+4*($D$5-$C$5)/($E$5-$C$5),1+4*($E$5-$D$5)/($E$5-$C$5),$C$5,$E$5)</f>
        <v/>
      </c>
      <c r="N211" s="14">
        <f>IF($AB211&lt;($D$6-$C$6)/($E$6-$C$6),$C$6+SQRT($AB211*($E$6-$C$6)*($D$6-$C$6)),$E$6-SQRT((1-$AB211)*($E$6-$C$6)*($E$6-$D$6)))</f>
        <v/>
      </c>
      <c r="O211" s="14">
        <f>_xlfn.NORM.INV($AC211,$C$7,$D$7)</f>
        <v/>
      </c>
      <c r="P211" s="14">
        <f>$C$8+($D$8-$C$8)*$AD211</f>
        <v/>
      </c>
      <c r="Q211" s="14">
        <f>$C$9</f>
        <v/>
      </c>
      <c r="R211" s="14">
        <f>_xlfn.LOGNORM.INV($AF211,LN($C$10)-0.5*LN(1+($D$10/$C$10)^2),SQRT(LN(1+($D$10/$C$10)^2)))</f>
        <v/>
      </c>
      <c r="S211" s="14">
        <f>SUM(M211:R211)</f>
        <v/>
      </c>
      <c r="AA211">
        <f>RAND()</f>
        <v/>
      </c>
      <c r="AB211">
        <f>RAND()</f>
        <v/>
      </c>
      <c r="AC211">
        <f>RAND()</f>
        <v/>
      </c>
      <c r="AD211">
        <f>RAND()</f>
        <v/>
      </c>
      <c r="AE211">
        <f>RAND()</f>
        <v/>
      </c>
      <c r="AF211">
        <f>RAND()</f>
        <v/>
      </c>
    </row>
    <row r="212">
      <c r="M212" s="14">
        <f>_xlfn.BETA.INV($AA212,1+4*($D$5-$C$5)/($E$5-$C$5),1+4*($E$5-$D$5)/($E$5-$C$5),$C$5,$E$5)</f>
        <v/>
      </c>
      <c r="N212" s="14">
        <f>IF($AB212&lt;($D$6-$C$6)/($E$6-$C$6),$C$6+SQRT($AB212*($E$6-$C$6)*($D$6-$C$6)),$E$6-SQRT((1-$AB212)*($E$6-$C$6)*($E$6-$D$6)))</f>
        <v/>
      </c>
      <c r="O212" s="14">
        <f>_xlfn.NORM.INV($AC212,$C$7,$D$7)</f>
        <v/>
      </c>
      <c r="P212" s="14">
        <f>$C$8+($D$8-$C$8)*$AD212</f>
        <v/>
      </c>
      <c r="Q212" s="14">
        <f>$C$9</f>
        <v/>
      </c>
      <c r="R212" s="14">
        <f>_xlfn.LOGNORM.INV($AF212,LN($C$10)-0.5*LN(1+($D$10/$C$10)^2),SQRT(LN(1+($D$10/$C$10)^2)))</f>
        <v/>
      </c>
      <c r="S212" s="14">
        <f>SUM(M212:R212)</f>
        <v/>
      </c>
      <c r="AA212">
        <f>RAND()</f>
        <v/>
      </c>
      <c r="AB212">
        <f>RAND()</f>
        <v/>
      </c>
      <c r="AC212">
        <f>RAND()</f>
        <v/>
      </c>
      <c r="AD212">
        <f>RAND()</f>
        <v/>
      </c>
      <c r="AE212">
        <f>RAND()</f>
        <v/>
      </c>
      <c r="AF212">
        <f>RAND()</f>
        <v/>
      </c>
    </row>
    <row r="213">
      <c r="M213" s="14">
        <f>_xlfn.BETA.INV($AA213,1+4*($D$5-$C$5)/($E$5-$C$5),1+4*($E$5-$D$5)/($E$5-$C$5),$C$5,$E$5)</f>
        <v/>
      </c>
      <c r="N213" s="14">
        <f>IF($AB213&lt;($D$6-$C$6)/($E$6-$C$6),$C$6+SQRT($AB213*($E$6-$C$6)*($D$6-$C$6)),$E$6-SQRT((1-$AB213)*($E$6-$C$6)*($E$6-$D$6)))</f>
        <v/>
      </c>
      <c r="O213" s="14">
        <f>_xlfn.NORM.INV($AC213,$C$7,$D$7)</f>
        <v/>
      </c>
      <c r="P213" s="14">
        <f>$C$8+($D$8-$C$8)*$AD213</f>
        <v/>
      </c>
      <c r="Q213" s="14">
        <f>$C$9</f>
        <v/>
      </c>
      <c r="R213" s="14">
        <f>_xlfn.LOGNORM.INV($AF213,LN($C$10)-0.5*LN(1+($D$10/$C$10)^2),SQRT(LN(1+($D$10/$C$10)^2)))</f>
        <v/>
      </c>
      <c r="S213" s="14">
        <f>SUM(M213:R213)</f>
        <v/>
      </c>
      <c r="AA213">
        <f>RAND()</f>
        <v/>
      </c>
      <c r="AB213">
        <f>RAND()</f>
        <v/>
      </c>
      <c r="AC213">
        <f>RAND()</f>
        <v/>
      </c>
      <c r="AD213">
        <f>RAND()</f>
        <v/>
      </c>
      <c r="AE213">
        <f>RAND()</f>
        <v/>
      </c>
      <c r="AF213">
        <f>RAND()</f>
        <v/>
      </c>
    </row>
    <row r="214">
      <c r="M214" s="14">
        <f>_xlfn.BETA.INV($AA214,1+4*($D$5-$C$5)/($E$5-$C$5),1+4*($E$5-$D$5)/($E$5-$C$5),$C$5,$E$5)</f>
        <v/>
      </c>
      <c r="N214" s="14">
        <f>IF($AB214&lt;($D$6-$C$6)/($E$6-$C$6),$C$6+SQRT($AB214*($E$6-$C$6)*($D$6-$C$6)),$E$6-SQRT((1-$AB214)*($E$6-$C$6)*($E$6-$D$6)))</f>
        <v/>
      </c>
      <c r="O214" s="14">
        <f>_xlfn.NORM.INV($AC214,$C$7,$D$7)</f>
        <v/>
      </c>
      <c r="P214" s="14">
        <f>$C$8+($D$8-$C$8)*$AD214</f>
        <v/>
      </c>
      <c r="Q214" s="14">
        <f>$C$9</f>
        <v/>
      </c>
      <c r="R214" s="14">
        <f>_xlfn.LOGNORM.INV($AF214,LN($C$10)-0.5*LN(1+($D$10/$C$10)^2),SQRT(LN(1+($D$10/$C$10)^2)))</f>
        <v/>
      </c>
      <c r="S214" s="14">
        <f>SUM(M214:R214)</f>
        <v/>
      </c>
      <c r="AA214">
        <f>RAND()</f>
        <v/>
      </c>
      <c r="AB214">
        <f>RAND()</f>
        <v/>
      </c>
      <c r="AC214">
        <f>RAND()</f>
        <v/>
      </c>
      <c r="AD214">
        <f>RAND()</f>
        <v/>
      </c>
      <c r="AE214">
        <f>RAND()</f>
        <v/>
      </c>
      <c r="AF214">
        <f>RAND()</f>
        <v/>
      </c>
    </row>
    <row r="215">
      <c r="M215" s="14">
        <f>_xlfn.BETA.INV($AA215,1+4*($D$5-$C$5)/($E$5-$C$5),1+4*($E$5-$D$5)/($E$5-$C$5),$C$5,$E$5)</f>
        <v/>
      </c>
      <c r="N215" s="14">
        <f>IF($AB215&lt;($D$6-$C$6)/($E$6-$C$6),$C$6+SQRT($AB215*($E$6-$C$6)*($D$6-$C$6)),$E$6-SQRT((1-$AB215)*($E$6-$C$6)*($E$6-$D$6)))</f>
        <v/>
      </c>
      <c r="O215" s="14">
        <f>_xlfn.NORM.INV($AC215,$C$7,$D$7)</f>
        <v/>
      </c>
      <c r="P215" s="14">
        <f>$C$8+($D$8-$C$8)*$AD215</f>
        <v/>
      </c>
      <c r="Q215" s="14">
        <f>$C$9</f>
        <v/>
      </c>
      <c r="R215" s="14">
        <f>_xlfn.LOGNORM.INV($AF215,LN($C$10)-0.5*LN(1+($D$10/$C$10)^2),SQRT(LN(1+($D$10/$C$10)^2)))</f>
        <v/>
      </c>
      <c r="S215" s="14">
        <f>SUM(M215:R215)</f>
        <v/>
      </c>
      <c r="AA215">
        <f>RAND()</f>
        <v/>
      </c>
      <c r="AB215">
        <f>RAND()</f>
        <v/>
      </c>
      <c r="AC215">
        <f>RAND()</f>
        <v/>
      </c>
      <c r="AD215">
        <f>RAND()</f>
        <v/>
      </c>
      <c r="AE215">
        <f>RAND()</f>
        <v/>
      </c>
      <c r="AF215">
        <f>RAND()</f>
        <v/>
      </c>
    </row>
    <row r="216">
      <c r="M216" s="14">
        <f>_xlfn.BETA.INV($AA216,1+4*($D$5-$C$5)/($E$5-$C$5),1+4*($E$5-$D$5)/($E$5-$C$5),$C$5,$E$5)</f>
        <v/>
      </c>
      <c r="N216" s="14">
        <f>IF($AB216&lt;($D$6-$C$6)/($E$6-$C$6),$C$6+SQRT($AB216*($E$6-$C$6)*($D$6-$C$6)),$E$6-SQRT((1-$AB216)*($E$6-$C$6)*($E$6-$D$6)))</f>
        <v/>
      </c>
      <c r="O216" s="14">
        <f>_xlfn.NORM.INV($AC216,$C$7,$D$7)</f>
        <v/>
      </c>
      <c r="P216" s="14">
        <f>$C$8+($D$8-$C$8)*$AD216</f>
        <v/>
      </c>
      <c r="Q216" s="14">
        <f>$C$9</f>
        <v/>
      </c>
      <c r="R216" s="14">
        <f>_xlfn.LOGNORM.INV($AF216,LN($C$10)-0.5*LN(1+($D$10/$C$10)^2),SQRT(LN(1+($D$10/$C$10)^2)))</f>
        <v/>
      </c>
      <c r="S216" s="14">
        <f>SUM(M216:R216)</f>
        <v/>
      </c>
      <c r="AA216">
        <f>RAND()</f>
        <v/>
      </c>
      <c r="AB216">
        <f>RAND()</f>
        <v/>
      </c>
      <c r="AC216">
        <f>RAND()</f>
        <v/>
      </c>
      <c r="AD216">
        <f>RAND()</f>
        <v/>
      </c>
      <c r="AE216">
        <f>RAND()</f>
        <v/>
      </c>
      <c r="AF216">
        <f>RAND()</f>
        <v/>
      </c>
    </row>
    <row r="217">
      <c r="M217" s="14">
        <f>_xlfn.BETA.INV($AA217,1+4*($D$5-$C$5)/($E$5-$C$5),1+4*($E$5-$D$5)/($E$5-$C$5),$C$5,$E$5)</f>
        <v/>
      </c>
      <c r="N217" s="14">
        <f>IF($AB217&lt;($D$6-$C$6)/($E$6-$C$6),$C$6+SQRT($AB217*($E$6-$C$6)*($D$6-$C$6)),$E$6-SQRT((1-$AB217)*($E$6-$C$6)*($E$6-$D$6)))</f>
        <v/>
      </c>
      <c r="O217" s="14">
        <f>_xlfn.NORM.INV($AC217,$C$7,$D$7)</f>
        <v/>
      </c>
      <c r="P217" s="14">
        <f>$C$8+($D$8-$C$8)*$AD217</f>
        <v/>
      </c>
      <c r="Q217" s="14">
        <f>$C$9</f>
        <v/>
      </c>
      <c r="R217" s="14">
        <f>_xlfn.LOGNORM.INV($AF217,LN($C$10)-0.5*LN(1+($D$10/$C$10)^2),SQRT(LN(1+($D$10/$C$10)^2)))</f>
        <v/>
      </c>
      <c r="S217" s="14">
        <f>SUM(M217:R217)</f>
        <v/>
      </c>
      <c r="AA217">
        <f>RAND()</f>
        <v/>
      </c>
      <c r="AB217">
        <f>RAND()</f>
        <v/>
      </c>
      <c r="AC217">
        <f>RAND()</f>
        <v/>
      </c>
      <c r="AD217">
        <f>RAND()</f>
        <v/>
      </c>
      <c r="AE217">
        <f>RAND()</f>
        <v/>
      </c>
      <c r="AF217">
        <f>RAND()</f>
        <v/>
      </c>
    </row>
    <row r="218">
      <c r="M218" s="14">
        <f>_xlfn.BETA.INV($AA218,1+4*($D$5-$C$5)/($E$5-$C$5),1+4*($E$5-$D$5)/($E$5-$C$5),$C$5,$E$5)</f>
        <v/>
      </c>
      <c r="N218" s="14">
        <f>IF($AB218&lt;($D$6-$C$6)/($E$6-$C$6),$C$6+SQRT($AB218*($E$6-$C$6)*($D$6-$C$6)),$E$6-SQRT((1-$AB218)*($E$6-$C$6)*($E$6-$D$6)))</f>
        <v/>
      </c>
      <c r="O218" s="14">
        <f>_xlfn.NORM.INV($AC218,$C$7,$D$7)</f>
        <v/>
      </c>
      <c r="P218" s="14">
        <f>$C$8+($D$8-$C$8)*$AD218</f>
        <v/>
      </c>
      <c r="Q218" s="14">
        <f>$C$9</f>
        <v/>
      </c>
      <c r="R218" s="14">
        <f>_xlfn.LOGNORM.INV($AF218,LN($C$10)-0.5*LN(1+($D$10/$C$10)^2),SQRT(LN(1+($D$10/$C$10)^2)))</f>
        <v/>
      </c>
      <c r="S218" s="14">
        <f>SUM(M218:R218)</f>
        <v/>
      </c>
      <c r="AA218">
        <f>RAND()</f>
        <v/>
      </c>
      <c r="AB218">
        <f>RAND()</f>
        <v/>
      </c>
      <c r="AC218">
        <f>RAND()</f>
        <v/>
      </c>
      <c r="AD218">
        <f>RAND()</f>
        <v/>
      </c>
      <c r="AE218">
        <f>RAND()</f>
        <v/>
      </c>
      <c r="AF218">
        <f>RAND()</f>
        <v/>
      </c>
    </row>
    <row r="219">
      <c r="M219" s="14">
        <f>_xlfn.BETA.INV($AA219,1+4*($D$5-$C$5)/($E$5-$C$5),1+4*($E$5-$D$5)/($E$5-$C$5),$C$5,$E$5)</f>
        <v/>
      </c>
      <c r="N219" s="14">
        <f>IF($AB219&lt;($D$6-$C$6)/($E$6-$C$6),$C$6+SQRT($AB219*($E$6-$C$6)*($D$6-$C$6)),$E$6-SQRT((1-$AB219)*($E$6-$C$6)*($E$6-$D$6)))</f>
        <v/>
      </c>
      <c r="O219" s="14">
        <f>_xlfn.NORM.INV($AC219,$C$7,$D$7)</f>
        <v/>
      </c>
      <c r="P219" s="14">
        <f>$C$8+($D$8-$C$8)*$AD219</f>
        <v/>
      </c>
      <c r="Q219" s="14">
        <f>$C$9</f>
        <v/>
      </c>
      <c r="R219" s="14">
        <f>_xlfn.LOGNORM.INV($AF219,LN($C$10)-0.5*LN(1+($D$10/$C$10)^2),SQRT(LN(1+($D$10/$C$10)^2)))</f>
        <v/>
      </c>
      <c r="S219" s="14">
        <f>SUM(M219:R219)</f>
        <v/>
      </c>
      <c r="AA219">
        <f>RAND()</f>
        <v/>
      </c>
      <c r="AB219">
        <f>RAND()</f>
        <v/>
      </c>
      <c r="AC219">
        <f>RAND()</f>
        <v/>
      </c>
      <c r="AD219">
        <f>RAND()</f>
        <v/>
      </c>
      <c r="AE219">
        <f>RAND()</f>
        <v/>
      </c>
      <c r="AF219">
        <f>RAND()</f>
        <v/>
      </c>
    </row>
    <row r="220">
      <c r="M220" s="14">
        <f>_xlfn.BETA.INV($AA220,1+4*($D$5-$C$5)/($E$5-$C$5),1+4*($E$5-$D$5)/($E$5-$C$5),$C$5,$E$5)</f>
        <v/>
      </c>
      <c r="N220" s="14">
        <f>IF($AB220&lt;($D$6-$C$6)/($E$6-$C$6),$C$6+SQRT($AB220*($E$6-$C$6)*($D$6-$C$6)),$E$6-SQRT((1-$AB220)*($E$6-$C$6)*($E$6-$D$6)))</f>
        <v/>
      </c>
      <c r="O220" s="14">
        <f>_xlfn.NORM.INV($AC220,$C$7,$D$7)</f>
        <v/>
      </c>
      <c r="P220" s="14">
        <f>$C$8+($D$8-$C$8)*$AD220</f>
        <v/>
      </c>
      <c r="Q220" s="14">
        <f>$C$9</f>
        <v/>
      </c>
      <c r="R220" s="14">
        <f>_xlfn.LOGNORM.INV($AF220,LN($C$10)-0.5*LN(1+($D$10/$C$10)^2),SQRT(LN(1+($D$10/$C$10)^2)))</f>
        <v/>
      </c>
      <c r="S220" s="14">
        <f>SUM(M220:R220)</f>
        <v/>
      </c>
      <c r="AA220">
        <f>RAND()</f>
        <v/>
      </c>
      <c r="AB220">
        <f>RAND()</f>
        <v/>
      </c>
      <c r="AC220">
        <f>RAND()</f>
        <v/>
      </c>
      <c r="AD220">
        <f>RAND()</f>
        <v/>
      </c>
      <c r="AE220">
        <f>RAND()</f>
        <v/>
      </c>
      <c r="AF220">
        <f>RAND()</f>
        <v/>
      </c>
    </row>
    <row r="221">
      <c r="M221" s="14">
        <f>_xlfn.BETA.INV($AA221,1+4*($D$5-$C$5)/($E$5-$C$5),1+4*($E$5-$D$5)/($E$5-$C$5),$C$5,$E$5)</f>
        <v/>
      </c>
      <c r="N221" s="14">
        <f>IF($AB221&lt;($D$6-$C$6)/($E$6-$C$6),$C$6+SQRT($AB221*($E$6-$C$6)*($D$6-$C$6)),$E$6-SQRT((1-$AB221)*($E$6-$C$6)*($E$6-$D$6)))</f>
        <v/>
      </c>
      <c r="O221" s="14">
        <f>_xlfn.NORM.INV($AC221,$C$7,$D$7)</f>
        <v/>
      </c>
      <c r="P221" s="14">
        <f>$C$8+($D$8-$C$8)*$AD221</f>
        <v/>
      </c>
      <c r="Q221" s="14">
        <f>$C$9</f>
        <v/>
      </c>
      <c r="R221" s="14">
        <f>_xlfn.LOGNORM.INV($AF221,LN($C$10)-0.5*LN(1+($D$10/$C$10)^2),SQRT(LN(1+($D$10/$C$10)^2)))</f>
        <v/>
      </c>
      <c r="S221" s="14">
        <f>SUM(M221:R221)</f>
        <v/>
      </c>
      <c r="AA221">
        <f>RAND()</f>
        <v/>
      </c>
      <c r="AB221">
        <f>RAND()</f>
        <v/>
      </c>
      <c r="AC221">
        <f>RAND()</f>
        <v/>
      </c>
      <c r="AD221">
        <f>RAND()</f>
        <v/>
      </c>
      <c r="AE221">
        <f>RAND()</f>
        <v/>
      </c>
      <c r="AF221">
        <f>RAND()</f>
        <v/>
      </c>
    </row>
    <row r="222">
      <c r="M222" s="14">
        <f>_xlfn.BETA.INV($AA222,1+4*($D$5-$C$5)/($E$5-$C$5),1+4*($E$5-$D$5)/($E$5-$C$5),$C$5,$E$5)</f>
        <v/>
      </c>
      <c r="N222" s="14">
        <f>IF($AB222&lt;($D$6-$C$6)/($E$6-$C$6),$C$6+SQRT($AB222*($E$6-$C$6)*($D$6-$C$6)),$E$6-SQRT((1-$AB222)*($E$6-$C$6)*($E$6-$D$6)))</f>
        <v/>
      </c>
      <c r="O222" s="14">
        <f>_xlfn.NORM.INV($AC222,$C$7,$D$7)</f>
        <v/>
      </c>
      <c r="P222" s="14">
        <f>$C$8+($D$8-$C$8)*$AD222</f>
        <v/>
      </c>
      <c r="Q222" s="14">
        <f>$C$9</f>
        <v/>
      </c>
      <c r="R222" s="14">
        <f>_xlfn.LOGNORM.INV($AF222,LN($C$10)-0.5*LN(1+($D$10/$C$10)^2),SQRT(LN(1+($D$10/$C$10)^2)))</f>
        <v/>
      </c>
      <c r="S222" s="14">
        <f>SUM(M222:R222)</f>
        <v/>
      </c>
      <c r="AA222">
        <f>RAND()</f>
        <v/>
      </c>
      <c r="AB222">
        <f>RAND()</f>
        <v/>
      </c>
      <c r="AC222">
        <f>RAND()</f>
        <v/>
      </c>
      <c r="AD222">
        <f>RAND()</f>
        <v/>
      </c>
      <c r="AE222">
        <f>RAND()</f>
        <v/>
      </c>
      <c r="AF222">
        <f>RAND()</f>
        <v/>
      </c>
    </row>
    <row r="223">
      <c r="M223" s="14">
        <f>_xlfn.BETA.INV($AA223,1+4*($D$5-$C$5)/($E$5-$C$5),1+4*($E$5-$D$5)/($E$5-$C$5),$C$5,$E$5)</f>
        <v/>
      </c>
      <c r="N223" s="14">
        <f>IF($AB223&lt;($D$6-$C$6)/($E$6-$C$6),$C$6+SQRT($AB223*($E$6-$C$6)*($D$6-$C$6)),$E$6-SQRT((1-$AB223)*($E$6-$C$6)*($E$6-$D$6)))</f>
        <v/>
      </c>
      <c r="O223" s="14">
        <f>_xlfn.NORM.INV($AC223,$C$7,$D$7)</f>
        <v/>
      </c>
      <c r="P223" s="14">
        <f>$C$8+($D$8-$C$8)*$AD223</f>
        <v/>
      </c>
      <c r="Q223" s="14">
        <f>$C$9</f>
        <v/>
      </c>
      <c r="R223" s="14">
        <f>_xlfn.LOGNORM.INV($AF223,LN($C$10)-0.5*LN(1+($D$10/$C$10)^2),SQRT(LN(1+($D$10/$C$10)^2)))</f>
        <v/>
      </c>
      <c r="S223" s="14">
        <f>SUM(M223:R223)</f>
        <v/>
      </c>
      <c r="AA223">
        <f>RAND()</f>
        <v/>
      </c>
      <c r="AB223">
        <f>RAND()</f>
        <v/>
      </c>
      <c r="AC223">
        <f>RAND()</f>
        <v/>
      </c>
      <c r="AD223">
        <f>RAND()</f>
        <v/>
      </c>
      <c r="AE223">
        <f>RAND()</f>
        <v/>
      </c>
      <c r="AF223">
        <f>RAND()</f>
        <v/>
      </c>
    </row>
    <row r="224">
      <c r="M224" s="14">
        <f>_xlfn.BETA.INV($AA224,1+4*($D$5-$C$5)/($E$5-$C$5),1+4*($E$5-$D$5)/($E$5-$C$5),$C$5,$E$5)</f>
        <v/>
      </c>
      <c r="N224" s="14">
        <f>IF($AB224&lt;($D$6-$C$6)/($E$6-$C$6),$C$6+SQRT($AB224*($E$6-$C$6)*($D$6-$C$6)),$E$6-SQRT((1-$AB224)*($E$6-$C$6)*($E$6-$D$6)))</f>
        <v/>
      </c>
      <c r="O224" s="14">
        <f>_xlfn.NORM.INV($AC224,$C$7,$D$7)</f>
        <v/>
      </c>
      <c r="P224" s="14">
        <f>$C$8+($D$8-$C$8)*$AD224</f>
        <v/>
      </c>
      <c r="Q224" s="14">
        <f>$C$9</f>
        <v/>
      </c>
      <c r="R224" s="14">
        <f>_xlfn.LOGNORM.INV($AF224,LN($C$10)-0.5*LN(1+($D$10/$C$10)^2),SQRT(LN(1+($D$10/$C$10)^2)))</f>
        <v/>
      </c>
      <c r="S224" s="14">
        <f>SUM(M224:R224)</f>
        <v/>
      </c>
      <c r="AA224">
        <f>RAND()</f>
        <v/>
      </c>
      <c r="AB224">
        <f>RAND()</f>
        <v/>
      </c>
      <c r="AC224">
        <f>RAND()</f>
        <v/>
      </c>
      <c r="AD224">
        <f>RAND()</f>
        <v/>
      </c>
      <c r="AE224">
        <f>RAND()</f>
        <v/>
      </c>
      <c r="AF224">
        <f>RAND()</f>
        <v/>
      </c>
    </row>
    <row r="225">
      <c r="M225" s="14">
        <f>_xlfn.BETA.INV($AA225,1+4*($D$5-$C$5)/($E$5-$C$5),1+4*($E$5-$D$5)/($E$5-$C$5),$C$5,$E$5)</f>
        <v/>
      </c>
      <c r="N225" s="14">
        <f>IF($AB225&lt;($D$6-$C$6)/($E$6-$C$6),$C$6+SQRT($AB225*($E$6-$C$6)*($D$6-$C$6)),$E$6-SQRT((1-$AB225)*($E$6-$C$6)*($E$6-$D$6)))</f>
        <v/>
      </c>
      <c r="O225" s="14">
        <f>_xlfn.NORM.INV($AC225,$C$7,$D$7)</f>
        <v/>
      </c>
      <c r="P225" s="14">
        <f>$C$8+($D$8-$C$8)*$AD225</f>
        <v/>
      </c>
      <c r="Q225" s="14">
        <f>$C$9</f>
        <v/>
      </c>
      <c r="R225" s="14">
        <f>_xlfn.LOGNORM.INV($AF225,LN($C$10)-0.5*LN(1+($D$10/$C$10)^2),SQRT(LN(1+($D$10/$C$10)^2)))</f>
        <v/>
      </c>
      <c r="S225" s="14">
        <f>SUM(M225:R225)</f>
        <v/>
      </c>
      <c r="AA225">
        <f>RAND()</f>
        <v/>
      </c>
      <c r="AB225">
        <f>RAND()</f>
        <v/>
      </c>
      <c r="AC225">
        <f>RAND()</f>
        <v/>
      </c>
      <c r="AD225">
        <f>RAND()</f>
        <v/>
      </c>
      <c r="AE225">
        <f>RAND()</f>
        <v/>
      </c>
      <c r="AF225">
        <f>RAND()</f>
        <v/>
      </c>
    </row>
    <row r="226">
      <c r="M226" s="14">
        <f>_xlfn.BETA.INV($AA226,1+4*($D$5-$C$5)/($E$5-$C$5),1+4*($E$5-$D$5)/($E$5-$C$5),$C$5,$E$5)</f>
        <v/>
      </c>
      <c r="N226" s="14">
        <f>IF($AB226&lt;($D$6-$C$6)/($E$6-$C$6),$C$6+SQRT($AB226*($E$6-$C$6)*($D$6-$C$6)),$E$6-SQRT((1-$AB226)*($E$6-$C$6)*($E$6-$D$6)))</f>
        <v/>
      </c>
      <c r="O226" s="14">
        <f>_xlfn.NORM.INV($AC226,$C$7,$D$7)</f>
        <v/>
      </c>
      <c r="P226" s="14">
        <f>$C$8+($D$8-$C$8)*$AD226</f>
        <v/>
      </c>
      <c r="Q226" s="14">
        <f>$C$9</f>
        <v/>
      </c>
      <c r="R226" s="14">
        <f>_xlfn.LOGNORM.INV($AF226,LN($C$10)-0.5*LN(1+($D$10/$C$10)^2),SQRT(LN(1+($D$10/$C$10)^2)))</f>
        <v/>
      </c>
      <c r="S226" s="14">
        <f>SUM(M226:R226)</f>
        <v/>
      </c>
      <c r="AA226">
        <f>RAND()</f>
        <v/>
      </c>
      <c r="AB226">
        <f>RAND()</f>
        <v/>
      </c>
      <c r="AC226">
        <f>RAND()</f>
        <v/>
      </c>
      <c r="AD226">
        <f>RAND()</f>
        <v/>
      </c>
      <c r="AE226">
        <f>RAND()</f>
        <v/>
      </c>
      <c r="AF226">
        <f>RAND()</f>
        <v/>
      </c>
    </row>
    <row r="227">
      <c r="M227" s="14">
        <f>_xlfn.BETA.INV($AA227,1+4*($D$5-$C$5)/($E$5-$C$5),1+4*($E$5-$D$5)/($E$5-$C$5),$C$5,$E$5)</f>
        <v/>
      </c>
      <c r="N227" s="14">
        <f>IF($AB227&lt;($D$6-$C$6)/($E$6-$C$6),$C$6+SQRT($AB227*($E$6-$C$6)*($D$6-$C$6)),$E$6-SQRT((1-$AB227)*($E$6-$C$6)*($E$6-$D$6)))</f>
        <v/>
      </c>
      <c r="O227" s="14">
        <f>_xlfn.NORM.INV($AC227,$C$7,$D$7)</f>
        <v/>
      </c>
      <c r="P227" s="14">
        <f>$C$8+($D$8-$C$8)*$AD227</f>
        <v/>
      </c>
      <c r="Q227" s="14">
        <f>$C$9</f>
        <v/>
      </c>
      <c r="R227" s="14">
        <f>_xlfn.LOGNORM.INV($AF227,LN($C$10)-0.5*LN(1+($D$10/$C$10)^2),SQRT(LN(1+($D$10/$C$10)^2)))</f>
        <v/>
      </c>
      <c r="S227" s="14">
        <f>SUM(M227:R227)</f>
        <v/>
      </c>
      <c r="AA227">
        <f>RAND()</f>
        <v/>
      </c>
      <c r="AB227">
        <f>RAND()</f>
        <v/>
      </c>
      <c r="AC227">
        <f>RAND()</f>
        <v/>
      </c>
      <c r="AD227">
        <f>RAND()</f>
        <v/>
      </c>
      <c r="AE227">
        <f>RAND()</f>
        <v/>
      </c>
      <c r="AF227">
        <f>RAND()</f>
        <v/>
      </c>
    </row>
    <row r="228">
      <c r="M228" s="14">
        <f>_xlfn.BETA.INV($AA228,1+4*($D$5-$C$5)/($E$5-$C$5),1+4*($E$5-$D$5)/($E$5-$C$5),$C$5,$E$5)</f>
        <v/>
      </c>
      <c r="N228" s="14">
        <f>IF($AB228&lt;($D$6-$C$6)/($E$6-$C$6),$C$6+SQRT($AB228*($E$6-$C$6)*($D$6-$C$6)),$E$6-SQRT((1-$AB228)*($E$6-$C$6)*($E$6-$D$6)))</f>
        <v/>
      </c>
      <c r="O228" s="14">
        <f>_xlfn.NORM.INV($AC228,$C$7,$D$7)</f>
        <v/>
      </c>
      <c r="P228" s="14">
        <f>$C$8+($D$8-$C$8)*$AD228</f>
        <v/>
      </c>
      <c r="Q228" s="14">
        <f>$C$9</f>
        <v/>
      </c>
      <c r="R228" s="14">
        <f>_xlfn.LOGNORM.INV($AF228,LN($C$10)-0.5*LN(1+($D$10/$C$10)^2),SQRT(LN(1+($D$10/$C$10)^2)))</f>
        <v/>
      </c>
      <c r="S228" s="14">
        <f>SUM(M228:R228)</f>
        <v/>
      </c>
      <c r="AA228">
        <f>RAND()</f>
        <v/>
      </c>
      <c r="AB228">
        <f>RAND()</f>
        <v/>
      </c>
      <c r="AC228">
        <f>RAND()</f>
        <v/>
      </c>
      <c r="AD228">
        <f>RAND()</f>
        <v/>
      </c>
      <c r="AE228">
        <f>RAND()</f>
        <v/>
      </c>
      <c r="AF228">
        <f>RAND()</f>
        <v/>
      </c>
    </row>
    <row r="229">
      <c r="M229" s="14">
        <f>_xlfn.BETA.INV($AA229,1+4*($D$5-$C$5)/($E$5-$C$5),1+4*($E$5-$D$5)/($E$5-$C$5),$C$5,$E$5)</f>
        <v/>
      </c>
      <c r="N229" s="14">
        <f>IF($AB229&lt;($D$6-$C$6)/($E$6-$C$6),$C$6+SQRT($AB229*($E$6-$C$6)*($D$6-$C$6)),$E$6-SQRT((1-$AB229)*($E$6-$C$6)*($E$6-$D$6)))</f>
        <v/>
      </c>
      <c r="O229" s="14">
        <f>_xlfn.NORM.INV($AC229,$C$7,$D$7)</f>
        <v/>
      </c>
      <c r="P229" s="14">
        <f>$C$8+($D$8-$C$8)*$AD229</f>
        <v/>
      </c>
      <c r="Q229" s="14">
        <f>$C$9</f>
        <v/>
      </c>
      <c r="R229" s="14">
        <f>_xlfn.LOGNORM.INV($AF229,LN($C$10)-0.5*LN(1+($D$10/$C$10)^2),SQRT(LN(1+($D$10/$C$10)^2)))</f>
        <v/>
      </c>
      <c r="S229" s="14">
        <f>SUM(M229:R229)</f>
        <v/>
      </c>
      <c r="AA229">
        <f>RAND()</f>
        <v/>
      </c>
      <c r="AB229">
        <f>RAND()</f>
        <v/>
      </c>
      <c r="AC229">
        <f>RAND()</f>
        <v/>
      </c>
      <c r="AD229">
        <f>RAND()</f>
        <v/>
      </c>
      <c r="AE229">
        <f>RAND()</f>
        <v/>
      </c>
      <c r="AF229">
        <f>RAND()</f>
        <v/>
      </c>
    </row>
    <row r="230">
      <c r="M230" s="14">
        <f>_xlfn.BETA.INV($AA230,1+4*($D$5-$C$5)/($E$5-$C$5),1+4*($E$5-$D$5)/($E$5-$C$5),$C$5,$E$5)</f>
        <v/>
      </c>
      <c r="N230" s="14">
        <f>IF($AB230&lt;($D$6-$C$6)/($E$6-$C$6),$C$6+SQRT($AB230*($E$6-$C$6)*($D$6-$C$6)),$E$6-SQRT((1-$AB230)*($E$6-$C$6)*($E$6-$D$6)))</f>
        <v/>
      </c>
      <c r="O230" s="14">
        <f>_xlfn.NORM.INV($AC230,$C$7,$D$7)</f>
        <v/>
      </c>
      <c r="P230" s="14">
        <f>$C$8+($D$8-$C$8)*$AD230</f>
        <v/>
      </c>
      <c r="Q230" s="14">
        <f>$C$9</f>
        <v/>
      </c>
      <c r="R230" s="14">
        <f>_xlfn.LOGNORM.INV($AF230,LN($C$10)-0.5*LN(1+($D$10/$C$10)^2),SQRT(LN(1+($D$10/$C$10)^2)))</f>
        <v/>
      </c>
      <c r="S230" s="14">
        <f>SUM(M230:R230)</f>
        <v/>
      </c>
      <c r="AA230">
        <f>RAND()</f>
        <v/>
      </c>
      <c r="AB230">
        <f>RAND()</f>
        <v/>
      </c>
      <c r="AC230">
        <f>RAND()</f>
        <v/>
      </c>
      <c r="AD230">
        <f>RAND()</f>
        <v/>
      </c>
      <c r="AE230">
        <f>RAND()</f>
        <v/>
      </c>
      <c r="AF230">
        <f>RAND()</f>
        <v/>
      </c>
    </row>
    <row r="231">
      <c r="M231" s="14">
        <f>_xlfn.BETA.INV($AA231,1+4*($D$5-$C$5)/($E$5-$C$5),1+4*($E$5-$D$5)/($E$5-$C$5),$C$5,$E$5)</f>
        <v/>
      </c>
      <c r="N231" s="14">
        <f>IF($AB231&lt;($D$6-$C$6)/($E$6-$C$6),$C$6+SQRT($AB231*($E$6-$C$6)*($D$6-$C$6)),$E$6-SQRT((1-$AB231)*($E$6-$C$6)*($E$6-$D$6)))</f>
        <v/>
      </c>
      <c r="O231" s="14">
        <f>_xlfn.NORM.INV($AC231,$C$7,$D$7)</f>
        <v/>
      </c>
      <c r="P231" s="14">
        <f>$C$8+($D$8-$C$8)*$AD231</f>
        <v/>
      </c>
      <c r="Q231" s="14">
        <f>$C$9</f>
        <v/>
      </c>
      <c r="R231" s="14">
        <f>_xlfn.LOGNORM.INV($AF231,LN($C$10)-0.5*LN(1+($D$10/$C$10)^2),SQRT(LN(1+($D$10/$C$10)^2)))</f>
        <v/>
      </c>
      <c r="S231" s="14">
        <f>SUM(M231:R231)</f>
        <v/>
      </c>
      <c r="AA231">
        <f>RAND()</f>
        <v/>
      </c>
      <c r="AB231">
        <f>RAND()</f>
        <v/>
      </c>
      <c r="AC231">
        <f>RAND()</f>
        <v/>
      </c>
      <c r="AD231">
        <f>RAND()</f>
        <v/>
      </c>
      <c r="AE231">
        <f>RAND()</f>
        <v/>
      </c>
      <c r="AF231">
        <f>RAND()</f>
        <v/>
      </c>
    </row>
    <row r="232">
      <c r="M232" s="14">
        <f>_xlfn.BETA.INV($AA232,1+4*($D$5-$C$5)/($E$5-$C$5),1+4*($E$5-$D$5)/($E$5-$C$5),$C$5,$E$5)</f>
        <v/>
      </c>
      <c r="N232" s="14">
        <f>IF($AB232&lt;($D$6-$C$6)/($E$6-$C$6),$C$6+SQRT($AB232*($E$6-$C$6)*($D$6-$C$6)),$E$6-SQRT((1-$AB232)*($E$6-$C$6)*($E$6-$D$6)))</f>
        <v/>
      </c>
      <c r="O232" s="14">
        <f>_xlfn.NORM.INV($AC232,$C$7,$D$7)</f>
        <v/>
      </c>
      <c r="P232" s="14">
        <f>$C$8+($D$8-$C$8)*$AD232</f>
        <v/>
      </c>
      <c r="Q232" s="14">
        <f>$C$9</f>
        <v/>
      </c>
      <c r="R232" s="14">
        <f>_xlfn.LOGNORM.INV($AF232,LN($C$10)-0.5*LN(1+($D$10/$C$10)^2),SQRT(LN(1+($D$10/$C$10)^2)))</f>
        <v/>
      </c>
      <c r="S232" s="14">
        <f>SUM(M232:R232)</f>
        <v/>
      </c>
      <c r="AA232">
        <f>RAND()</f>
        <v/>
      </c>
      <c r="AB232">
        <f>RAND()</f>
        <v/>
      </c>
      <c r="AC232">
        <f>RAND()</f>
        <v/>
      </c>
      <c r="AD232">
        <f>RAND()</f>
        <v/>
      </c>
      <c r="AE232">
        <f>RAND()</f>
        <v/>
      </c>
      <c r="AF232">
        <f>RAND()</f>
        <v/>
      </c>
    </row>
    <row r="233">
      <c r="M233" s="14">
        <f>_xlfn.BETA.INV($AA233,1+4*($D$5-$C$5)/($E$5-$C$5),1+4*($E$5-$D$5)/($E$5-$C$5),$C$5,$E$5)</f>
        <v/>
      </c>
      <c r="N233" s="14">
        <f>IF($AB233&lt;($D$6-$C$6)/($E$6-$C$6),$C$6+SQRT($AB233*($E$6-$C$6)*($D$6-$C$6)),$E$6-SQRT((1-$AB233)*($E$6-$C$6)*($E$6-$D$6)))</f>
        <v/>
      </c>
      <c r="O233" s="14">
        <f>_xlfn.NORM.INV($AC233,$C$7,$D$7)</f>
        <v/>
      </c>
      <c r="P233" s="14">
        <f>$C$8+($D$8-$C$8)*$AD233</f>
        <v/>
      </c>
      <c r="Q233" s="14">
        <f>$C$9</f>
        <v/>
      </c>
      <c r="R233" s="14">
        <f>_xlfn.LOGNORM.INV($AF233,LN($C$10)-0.5*LN(1+($D$10/$C$10)^2),SQRT(LN(1+($D$10/$C$10)^2)))</f>
        <v/>
      </c>
      <c r="S233" s="14">
        <f>SUM(M233:R233)</f>
        <v/>
      </c>
      <c r="AA233">
        <f>RAND()</f>
        <v/>
      </c>
      <c r="AB233">
        <f>RAND()</f>
        <v/>
      </c>
      <c r="AC233">
        <f>RAND()</f>
        <v/>
      </c>
      <c r="AD233">
        <f>RAND()</f>
        <v/>
      </c>
      <c r="AE233">
        <f>RAND()</f>
        <v/>
      </c>
      <c r="AF233">
        <f>RAND()</f>
        <v/>
      </c>
    </row>
    <row r="234">
      <c r="M234" s="14">
        <f>_xlfn.BETA.INV($AA234,1+4*($D$5-$C$5)/($E$5-$C$5),1+4*($E$5-$D$5)/($E$5-$C$5),$C$5,$E$5)</f>
        <v/>
      </c>
      <c r="N234" s="14">
        <f>IF($AB234&lt;($D$6-$C$6)/($E$6-$C$6),$C$6+SQRT($AB234*($E$6-$C$6)*($D$6-$C$6)),$E$6-SQRT((1-$AB234)*($E$6-$C$6)*($E$6-$D$6)))</f>
        <v/>
      </c>
      <c r="O234" s="14">
        <f>_xlfn.NORM.INV($AC234,$C$7,$D$7)</f>
        <v/>
      </c>
      <c r="P234" s="14">
        <f>$C$8+($D$8-$C$8)*$AD234</f>
        <v/>
      </c>
      <c r="Q234" s="14">
        <f>$C$9</f>
        <v/>
      </c>
      <c r="R234" s="14">
        <f>_xlfn.LOGNORM.INV($AF234,LN($C$10)-0.5*LN(1+($D$10/$C$10)^2),SQRT(LN(1+($D$10/$C$10)^2)))</f>
        <v/>
      </c>
      <c r="S234" s="14">
        <f>SUM(M234:R234)</f>
        <v/>
      </c>
      <c r="AA234">
        <f>RAND()</f>
        <v/>
      </c>
      <c r="AB234">
        <f>RAND()</f>
        <v/>
      </c>
      <c r="AC234">
        <f>RAND()</f>
        <v/>
      </c>
      <c r="AD234">
        <f>RAND()</f>
        <v/>
      </c>
      <c r="AE234">
        <f>RAND()</f>
        <v/>
      </c>
      <c r="AF234">
        <f>RAND()</f>
        <v/>
      </c>
    </row>
    <row r="235">
      <c r="M235" s="14">
        <f>_xlfn.BETA.INV($AA235,1+4*($D$5-$C$5)/($E$5-$C$5),1+4*($E$5-$D$5)/($E$5-$C$5),$C$5,$E$5)</f>
        <v/>
      </c>
      <c r="N235" s="14">
        <f>IF($AB235&lt;($D$6-$C$6)/($E$6-$C$6),$C$6+SQRT($AB235*($E$6-$C$6)*($D$6-$C$6)),$E$6-SQRT((1-$AB235)*($E$6-$C$6)*($E$6-$D$6)))</f>
        <v/>
      </c>
      <c r="O235" s="14">
        <f>_xlfn.NORM.INV($AC235,$C$7,$D$7)</f>
        <v/>
      </c>
      <c r="P235" s="14">
        <f>$C$8+($D$8-$C$8)*$AD235</f>
        <v/>
      </c>
      <c r="Q235" s="14">
        <f>$C$9</f>
        <v/>
      </c>
      <c r="R235" s="14">
        <f>_xlfn.LOGNORM.INV($AF235,LN($C$10)-0.5*LN(1+($D$10/$C$10)^2),SQRT(LN(1+($D$10/$C$10)^2)))</f>
        <v/>
      </c>
      <c r="S235" s="14">
        <f>SUM(M235:R235)</f>
        <v/>
      </c>
      <c r="AA235">
        <f>RAND()</f>
        <v/>
      </c>
      <c r="AB235">
        <f>RAND()</f>
        <v/>
      </c>
      <c r="AC235">
        <f>RAND()</f>
        <v/>
      </c>
      <c r="AD235">
        <f>RAND()</f>
        <v/>
      </c>
      <c r="AE235">
        <f>RAND()</f>
        <v/>
      </c>
      <c r="AF235">
        <f>RAND()</f>
        <v/>
      </c>
    </row>
    <row r="236">
      <c r="M236" s="14">
        <f>_xlfn.BETA.INV($AA236,1+4*($D$5-$C$5)/($E$5-$C$5),1+4*($E$5-$D$5)/($E$5-$C$5),$C$5,$E$5)</f>
        <v/>
      </c>
      <c r="N236" s="14">
        <f>IF($AB236&lt;($D$6-$C$6)/($E$6-$C$6),$C$6+SQRT($AB236*($E$6-$C$6)*($D$6-$C$6)),$E$6-SQRT((1-$AB236)*($E$6-$C$6)*($E$6-$D$6)))</f>
        <v/>
      </c>
      <c r="O236" s="14">
        <f>_xlfn.NORM.INV($AC236,$C$7,$D$7)</f>
        <v/>
      </c>
      <c r="P236" s="14">
        <f>$C$8+($D$8-$C$8)*$AD236</f>
        <v/>
      </c>
      <c r="Q236" s="14">
        <f>$C$9</f>
        <v/>
      </c>
      <c r="R236" s="14">
        <f>_xlfn.LOGNORM.INV($AF236,LN($C$10)-0.5*LN(1+($D$10/$C$10)^2),SQRT(LN(1+($D$10/$C$10)^2)))</f>
        <v/>
      </c>
      <c r="S236" s="14">
        <f>SUM(M236:R236)</f>
        <v/>
      </c>
      <c r="AA236">
        <f>RAND()</f>
        <v/>
      </c>
      <c r="AB236">
        <f>RAND()</f>
        <v/>
      </c>
      <c r="AC236">
        <f>RAND()</f>
        <v/>
      </c>
      <c r="AD236">
        <f>RAND()</f>
        <v/>
      </c>
      <c r="AE236">
        <f>RAND()</f>
        <v/>
      </c>
      <c r="AF236">
        <f>RAND()</f>
        <v/>
      </c>
    </row>
    <row r="237">
      <c r="M237" s="14">
        <f>_xlfn.BETA.INV($AA237,1+4*($D$5-$C$5)/($E$5-$C$5),1+4*($E$5-$D$5)/($E$5-$C$5),$C$5,$E$5)</f>
        <v/>
      </c>
      <c r="N237" s="14">
        <f>IF($AB237&lt;($D$6-$C$6)/($E$6-$C$6),$C$6+SQRT($AB237*($E$6-$C$6)*($D$6-$C$6)),$E$6-SQRT((1-$AB237)*($E$6-$C$6)*($E$6-$D$6)))</f>
        <v/>
      </c>
      <c r="O237" s="14">
        <f>_xlfn.NORM.INV($AC237,$C$7,$D$7)</f>
        <v/>
      </c>
      <c r="P237" s="14">
        <f>$C$8+($D$8-$C$8)*$AD237</f>
        <v/>
      </c>
      <c r="Q237" s="14">
        <f>$C$9</f>
        <v/>
      </c>
      <c r="R237" s="14">
        <f>_xlfn.LOGNORM.INV($AF237,LN($C$10)-0.5*LN(1+($D$10/$C$10)^2),SQRT(LN(1+($D$10/$C$10)^2)))</f>
        <v/>
      </c>
      <c r="S237" s="14">
        <f>SUM(M237:R237)</f>
        <v/>
      </c>
      <c r="AA237">
        <f>RAND()</f>
        <v/>
      </c>
      <c r="AB237">
        <f>RAND()</f>
        <v/>
      </c>
      <c r="AC237">
        <f>RAND()</f>
        <v/>
      </c>
      <c r="AD237">
        <f>RAND()</f>
        <v/>
      </c>
      <c r="AE237">
        <f>RAND()</f>
        <v/>
      </c>
      <c r="AF237">
        <f>RAND()</f>
        <v/>
      </c>
    </row>
    <row r="238">
      <c r="M238" s="14">
        <f>_xlfn.BETA.INV($AA238,1+4*($D$5-$C$5)/($E$5-$C$5),1+4*($E$5-$D$5)/($E$5-$C$5),$C$5,$E$5)</f>
        <v/>
      </c>
      <c r="N238" s="14">
        <f>IF($AB238&lt;($D$6-$C$6)/($E$6-$C$6),$C$6+SQRT($AB238*($E$6-$C$6)*($D$6-$C$6)),$E$6-SQRT((1-$AB238)*($E$6-$C$6)*($E$6-$D$6)))</f>
        <v/>
      </c>
      <c r="O238" s="14">
        <f>_xlfn.NORM.INV($AC238,$C$7,$D$7)</f>
        <v/>
      </c>
      <c r="P238" s="14">
        <f>$C$8+($D$8-$C$8)*$AD238</f>
        <v/>
      </c>
      <c r="Q238" s="14">
        <f>$C$9</f>
        <v/>
      </c>
      <c r="R238" s="14">
        <f>_xlfn.LOGNORM.INV($AF238,LN($C$10)-0.5*LN(1+($D$10/$C$10)^2),SQRT(LN(1+($D$10/$C$10)^2)))</f>
        <v/>
      </c>
      <c r="S238" s="14">
        <f>SUM(M238:R238)</f>
        <v/>
      </c>
      <c r="AA238">
        <f>RAND()</f>
        <v/>
      </c>
      <c r="AB238">
        <f>RAND()</f>
        <v/>
      </c>
      <c r="AC238">
        <f>RAND()</f>
        <v/>
      </c>
      <c r="AD238">
        <f>RAND()</f>
        <v/>
      </c>
      <c r="AE238">
        <f>RAND()</f>
        <v/>
      </c>
      <c r="AF238">
        <f>RAND()</f>
        <v/>
      </c>
    </row>
    <row r="239">
      <c r="M239" s="14">
        <f>_xlfn.BETA.INV($AA239,1+4*($D$5-$C$5)/($E$5-$C$5),1+4*($E$5-$D$5)/($E$5-$C$5),$C$5,$E$5)</f>
        <v/>
      </c>
      <c r="N239" s="14">
        <f>IF($AB239&lt;($D$6-$C$6)/($E$6-$C$6),$C$6+SQRT($AB239*($E$6-$C$6)*($D$6-$C$6)),$E$6-SQRT((1-$AB239)*($E$6-$C$6)*($E$6-$D$6)))</f>
        <v/>
      </c>
      <c r="O239" s="14">
        <f>_xlfn.NORM.INV($AC239,$C$7,$D$7)</f>
        <v/>
      </c>
      <c r="P239" s="14">
        <f>$C$8+($D$8-$C$8)*$AD239</f>
        <v/>
      </c>
      <c r="Q239" s="14">
        <f>$C$9</f>
        <v/>
      </c>
      <c r="R239" s="14">
        <f>_xlfn.LOGNORM.INV($AF239,LN($C$10)-0.5*LN(1+($D$10/$C$10)^2),SQRT(LN(1+($D$10/$C$10)^2)))</f>
        <v/>
      </c>
      <c r="S239" s="14">
        <f>SUM(M239:R239)</f>
        <v/>
      </c>
      <c r="AA239">
        <f>RAND()</f>
        <v/>
      </c>
      <c r="AB239">
        <f>RAND()</f>
        <v/>
      </c>
      <c r="AC239">
        <f>RAND()</f>
        <v/>
      </c>
      <c r="AD239">
        <f>RAND()</f>
        <v/>
      </c>
      <c r="AE239">
        <f>RAND()</f>
        <v/>
      </c>
      <c r="AF239">
        <f>RAND()</f>
        <v/>
      </c>
    </row>
    <row r="240">
      <c r="M240" s="14">
        <f>_xlfn.BETA.INV($AA240,1+4*($D$5-$C$5)/($E$5-$C$5),1+4*($E$5-$D$5)/($E$5-$C$5),$C$5,$E$5)</f>
        <v/>
      </c>
      <c r="N240" s="14">
        <f>IF($AB240&lt;($D$6-$C$6)/($E$6-$C$6),$C$6+SQRT($AB240*($E$6-$C$6)*($D$6-$C$6)),$E$6-SQRT((1-$AB240)*($E$6-$C$6)*($E$6-$D$6)))</f>
        <v/>
      </c>
      <c r="O240" s="14">
        <f>_xlfn.NORM.INV($AC240,$C$7,$D$7)</f>
        <v/>
      </c>
      <c r="P240" s="14">
        <f>$C$8+($D$8-$C$8)*$AD240</f>
        <v/>
      </c>
      <c r="Q240" s="14">
        <f>$C$9</f>
        <v/>
      </c>
      <c r="R240" s="14">
        <f>_xlfn.LOGNORM.INV($AF240,LN($C$10)-0.5*LN(1+($D$10/$C$10)^2),SQRT(LN(1+($D$10/$C$10)^2)))</f>
        <v/>
      </c>
      <c r="S240" s="14">
        <f>SUM(M240:R240)</f>
        <v/>
      </c>
      <c r="AA240">
        <f>RAND()</f>
        <v/>
      </c>
      <c r="AB240">
        <f>RAND()</f>
        <v/>
      </c>
      <c r="AC240">
        <f>RAND()</f>
        <v/>
      </c>
      <c r="AD240">
        <f>RAND()</f>
        <v/>
      </c>
      <c r="AE240">
        <f>RAND()</f>
        <v/>
      </c>
      <c r="AF240">
        <f>RAND()</f>
        <v/>
      </c>
    </row>
    <row r="241">
      <c r="M241" s="14">
        <f>_xlfn.BETA.INV($AA241,1+4*($D$5-$C$5)/($E$5-$C$5),1+4*($E$5-$D$5)/($E$5-$C$5),$C$5,$E$5)</f>
        <v/>
      </c>
      <c r="N241" s="14">
        <f>IF($AB241&lt;($D$6-$C$6)/($E$6-$C$6),$C$6+SQRT($AB241*($E$6-$C$6)*($D$6-$C$6)),$E$6-SQRT((1-$AB241)*($E$6-$C$6)*($E$6-$D$6)))</f>
        <v/>
      </c>
      <c r="O241" s="14">
        <f>_xlfn.NORM.INV($AC241,$C$7,$D$7)</f>
        <v/>
      </c>
      <c r="P241" s="14">
        <f>$C$8+($D$8-$C$8)*$AD241</f>
        <v/>
      </c>
      <c r="Q241" s="14">
        <f>$C$9</f>
        <v/>
      </c>
      <c r="R241" s="14">
        <f>_xlfn.LOGNORM.INV($AF241,LN($C$10)-0.5*LN(1+($D$10/$C$10)^2),SQRT(LN(1+($D$10/$C$10)^2)))</f>
        <v/>
      </c>
      <c r="S241" s="14">
        <f>SUM(M241:R241)</f>
        <v/>
      </c>
      <c r="AA241">
        <f>RAND()</f>
        <v/>
      </c>
      <c r="AB241">
        <f>RAND()</f>
        <v/>
      </c>
      <c r="AC241">
        <f>RAND()</f>
        <v/>
      </c>
      <c r="AD241">
        <f>RAND()</f>
        <v/>
      </c>
      <c r="AE241">
        <f>RAND()</f>
        <v/>
      </c>
      <c r="AF241">
        <f>RAND()</f>
        <v/>
      </c>
    </row>
    <row r="242">
      <c r="M242" s="14">
        <f>_xlfn.BETA.INV($AA242,1+4*($D$5-$C$5)/($E$5-$C$5),1+4*($E$5-$D$5)/($E$5-$C$5),$C$5,$E$5)</f>
        <v/>
      </c>
      <c r="N242" s="14">
        <f>IF($AB242&lt;($D$6-$C$6)/($E$6-$C$6),$C$6+SQRT($AB242*($E$6-$C$6)*($D$6-$C$6)),$E$6-SQRT((1-$AB242)*($E$6-$C$6)*($E$6-$D$6)))</f>
        <v/>
      </c>
      <c r="O242" s="14">
        <f>_xlfn.NORM.INV($AC242,$C$7,$D$7)</f>
        <v/>
      </c>
      <c r="P242" s="14">
        <f>$C$8+($D$8-$C$8)*$AD242</f>
        <v/>
      </c>
      <c r="Q242" s="14">
        <f>$C$9</f>
        <v/>
      </c>
      <c r="R242" s="14">
        <f>_xlfn.LOGNORM.INV($AF242,LN($C$10)-0.5*LN(1+($D$10/$C$10)^2),SQRT(LN(1+($D$10/$C$10)^2)))</f>
        <v/>
      </c>
      <c r="S242" s="14">
        <f>SUM(M242:R242)</f>
        <v/>
      </c>
      <c r="AA242">
        <f>RAND()</f>
        <v/>
      </c>
      <c r="AB242">
        <f>RAND()</f>
        <v/>
      </c>
      <c r="AC242">
        <f>RAND()</f>
        <v/>
      </c>
      <c r="AD242">
        <f>RAND()</f>
        <v/>
      </c>
      <c r="AE242">
        <f>RAND()</f>
        <v/>
      </c>
      <c r="AF242">
        <f>RAND()</f>
        <v/>
      </c>
    </row>
    <row r="243">
      <c r="M243" s="14">
        <f>_xlfn.BETA.INV($AA243,1+4*($D$5-$C$5)/($E$5-$C$5),1+4*($E$5-$D$5)/($E$5-$C$5),$C$5,$E$5)</f>
        <v/>
      </c>
      <c r="N243" s="14">
        <f>IF($AB243&lt;($D$6-$C$6)/($E$6-$C$6),$C$6+SQRT($AB243*($E$6-$C$6)*($D$6-$C$6)),$E$6-SQRT((1-$AB243)*($E$6-$C$6)*($E$6-$D$6)))</f>
        <v/>
      </c>
      <c r="O243" s="14">
        <f>_xlfn.NORM.INV($AC243,$C$7,$D$7)</f>
        <v/>
      </c>
      <c r="P243" s="14">
        <f>$C$8+($D$8-$C$8)*$AD243</f>
        <v/>
      </c>
      <c r="Q243" s="14">
        <f>$C$9</f>
        <v/>
      </c>
      <c r="R243" s="14">
        <f>_xlfn.LOGNORM.INV($AF243,LN($C$10)-0.5*LN(1+($D$10/$C$10)^2),SQRT(LN(1+($D$10/$C$10)^2)))</f>
        <v/>
      </c>
      <c r="S243" s="14">
        <f>SUM(M243:R243)</f>
        <v/>
      </c>
      <c r="AA243">
        <f>RAND()</f>
        <v/>
      </c>
      <c r="AB243">
        <f>RAND()</f>
        <v/>
      </c>
      <c r="AC243">
        <f>RAND()</f>
        <v/>
      </c>
      <c r="AD243">
        <f>RAND()</f>
        <v/>
      </c>
      <c r="AE243">
        <f>RAND()</f>
        <v/>
      </c>
      <c r="AF243">
        <f>RAND()</f>
        <v/>
      </c>
    </row>
    <row r="244">
      <c r="M244" s="14">
        <f>_xlfn.BETA.INV($AA244,1+4*($D$5-$C$5)/($E$5-$C$5),1+4*($E$5-$D$5)/($E$5-$C$5),$C$5,$E$5)</f>
        <v/>
      </c>
      <c r="N244" s="14">
        <f>IF($AB244&lt;($D$6-$C$6)/($E$6-$C$6),$C$6+SQRT($AB244*($E$6-$C$6)*($D$6-$C$6)),$E$6-SQRT((1-$AB244)*($E$6-$C$6)*($E$6-$D$6)))</f>
        <v/>
      </c>
      <c r="O244" s="14">
        <f>_xlfn.NORM.INV($AC244,$C$7,$D$7)</f>
        <v/>
      </c>
      <c r="P244" s="14">
        <f>$C$8+($D$8-$C$8)*$AD244</f>
        <v/>
      </c>
      <c r="Q244" s="14">
        <f>$C$9</f>
        <v/>
      </c>
      <c r="R244" s="14">
        <f>_xlfn.LOGNORM.INV($AF244,LN($C$10)-0.5*LN(1+($D$10/$C$10)^2),SQRT(LN(1+($D$10/$C$10)^2)))</f>
        <v/>
      </c>
      <c r="S244" s="14">
        <f>SUM(M244:R244)</f>
        <v/>
      </c>
      <c r="AA244">
        <f>RAND()</f>
        <v/>
      </c>
      <c r="AB244">
        <f>RAND()</f>
        <v/>
      </c>
      <c r="AC244">
        <f>RAND()</f>
        <v/>
      </c>
      <c r="AD244">
        <f>RAND()</f>
        <v/>
      </c>
      <c r="AE244">
        <f>RAND()</f>
        <v/>
      </c>
      <c r="AF244">
        <f>RAND()</f>
        <v/>
      </c>
    </row>
    <row r="245">
      <c r="M245" s="14">
        <f>_xlfn.BETA.INV($AA245,1+4*($D$5-$C$5)/($E$5-$C$5),1+4*($E$5-$D$5)/($E$5-$C$5),$C$5,$E$5)</f>
        <v/>
      </c>
      <c r="N245" s="14">
        <f>IF($AB245&lt;($D$6-$C$6)/($E$6-$C$6),$C$6+SQRT($AB245*($E$6-$C$6)*($D$6-$C$6)),$E$6-SQRT((1-$AB245)*($E$6-$C$6)*($E$6-$D$6)))</f>
        <v/>
      </c>
      <c r="O245" s="14">
        <f>_xlfn.NORM.INV($AC245,$C$7,$D$7)</f>
        <v/>
      </c>
      <c r="P245" s="14">
        <f>$C$8+($D$8-$C$8)*$AD245</f>
        <v/>
      </c>
      <c r="Q245" s="14">
        <f>$C$9</f>
        <v/>
      </c>
      <c r="R245" s="14">
        <f>_xlfn.LOGNORM.INV($AF245,LN($C$10)-0.5*LN(1+($D$10/$C$10)^2),SQRT(LN(1+($D$10/$C$10)^2)))</f>
        <v/>
      </c>
      <c r="S245" s="14">
        <f>SUM(M245:R245)</f>
        <v/>
      </c>
      <c r="AA245">
        <f>RAND()</f>
        <v/>
      </c>
      <c r="AB245">
        <f>RAND()</f>
        <v/>
      </c>
      <c r="AC245">
        <f>RAND()</f>
        <v/>
      </c>
      <c r="AD245">
        <f>RAND()</f>
        <v/>
      </c>
      <c r="AE245">
        <f>RAND()</f>
        <v/>
      </c>
      <c r="AF245">
        <f>RAND()</f>
        <v/>
      </c>
    </row>
    <row r="246">
      <c r="M246" s="14">
        <f>_xlfn.BETA.INV($AA246,1+4*($D$5-$C$5)/($E$5-$C$5),1+4*($E$5-$D$5)/($E$5-$C$5),$C$5,$E$5)</f>
        <v/>
      </c>
      <c r="N246" s="14">
        <f>IF($AB246&lt;($D$6-$C$6)/($E$6-$C$6),$C$6+SQRT($AB246*($E$6-$C$6)*($D$6-$C$6)),$E$6-SQRT((1-$AB246)*($E$6-$C$6)*($E$6-$D$6)))</f>
        <v/>
      </c>
      <c r="O246" s="14">
        <f>_xlfn.NORM.INV($AC246,$C$7,$D$7)</f>
        <v/>
      </c>
      <c r="P246" s="14">
        <f>$C$8+($D$8-$C$8)*$AD246</f>
        <v/>
      </c>
      <c r="Q246" s="14">
        <f>$C$9</f>
        <v/>
      </c>
      <c r="R246" s="14">
        <f>_xlfn.LOGNORM.INV($AF246,LN($C$10)-0.5*LN(1+($D$10/$C$10)^2),SQRT(LN(1+($D$10/$C$10)^2)))</f>
        <v/>
      </c>
      <c r="S246" s="14">
        <f>SUM(M246:R246)</f>
        <v/>
      </c>
      <c r="AA246">
        <f>RAND()</f>
        <v/>
      </c>
      <c r="AB246">
        <f>RAND()</f>
        <v/>
      </c>
      <c r="AC246">
        <f>RAND()</f>
        <v/>
      </c>
      <c r="AD246">
        <f>RAND()</f>
        <v/>
      </c>
      <c r="AE246">
        <f>RAND()</f>
        <v/>
      </c>
      <c r="AF246">
        <f>RAND()</f>
        <v/>
      </c>
    </row>
    <row r="247">
      <c r="M247" s="14">
        <f>_xlfn.BETA.INV($AA247,1+4*($D$5-$C$5)/($E$5-$C$5),1+4*($E$5-$D$5)/($E$5-$C$5),$C$5,$E$5)</f>
        <v/>
      </c>
      <c r="N247" s="14">
        <f>IF($AB247&lt;($D$6-$C$6)/($E$6-$C$6),$C$6+SQRT($AB247*($E$6-$C$6)*($D$6-$C$6)),$E$6-SQRT((1-$AB247)*($E$6-$C$6)*($E$6-$D$6)))</f>
        <v/>
      </c>
      <c r="O247" s="14">
        <f>_xlfn.NORM.INV($AC247,$C$7,$D$7)</f>
        <v/>
      </c>
      <c r="P247" s="14">
        <f>$C$8+($D$8-$C$8)*$AD247</f>
        <v/>
      </c>
      <c r="Q247" s="14">
        <f>$C$9</f>
        <v/>
      </c>
      <c r="R247" s="14">
        <f>_xlfn.LOGNORM.INV($AF247,LN($C$10)-0.5*LN(1+($D$10/$C$10)^2),SQRT(LN(1+($D$10/$C$10)^2)))</f>
        <v/>
      </c>
      <c r="S247" s="14">
        <f>SUM(M247:R247)</f>
        <v/>
      </c>
      <c r="AA247">
        <f>RAND()</f>
        <v/>
      </c>
      <c r="AB247">
        <f>RAND()</f>
        <v/>
      </c>
      <c r="AC247">
        <f>RAND()</f>
        <v/>
      </c>
      <c r="AD247">
        <f>RAND()</f>
        <v/>
      </c>
      <c r="AE247">
        <f>RAND()</f>
        <v/>
      </c>
      <c r="AF247">
        <f>RAND()</f>
        <v/>
      </c>
    </row>
    <row r="248">
      <c r="M248" s="14">
        <f>_xlfn.BETA.INV($AA248,1+4*($D$5-$C$5)/($E$5-$C$5),1+4*($E$5-$D$5)/($E$5-$C$5),$C$5,$E$5)</f>
        <v/>
      </c>
      <c r="N248" s="14">
        <f>IF($AB248&lt;($D$6-$C$6)/($E$6-$C$6),$C$6+SQRT($AB248*($E$6-$C$6)*($D$6-$C$6)),$E$6-SQRT((1-$AB248)*($E$6-$C$6)*($E$6-$D$6)))</f>
        <v/>
      </c>
      <c r="O248" s="14">
        <f>_xlfn.NORM.INV($AC248,$C$7,$D$7)</f>
        <v/>
      </c>
      <c r="P248" s="14">
        <f>$C$8+($D$8-$C$8)*$AD248</f>
        <v/>
      </c>
      <c r="Q248" s="14">
        <f>$C$9</f>
        <v/>
      </c>
      <c r="R248" s="14">
        <f>_xlfn.LOGNORM.INV($AF248,LN($C$10)-0.5*LN(1+($D$10/$C$10)^2),SQRT(LN(1+($D$10/$C$10)^2)))</f>
        <v/>
      </c>
      <c r="S248" s="14">
        <f>SUM(M248:R248)</f>
        <v/>
      </c>
      <c r="AA248">
        <f>RAND()</f>
        <v/>
      </c>
      <c r="AB248">
        <f>RAND()</f>
        <v/>
      </c>
      <c r="AC248">
        <f>RAND()</f>
        <v/>
      </c>
      <c r="AD248">
        <f>RAND()</f>
        <v/>
      </c>
      <c r="AE248">
        <f>RAND()</f>
        <v/>
      </c>
      <c r="AF248">
        <f>RAND()</f>
        <v/>
      </c>
    </row>
    <row r="249">
      <c r="M249" s="14">
        <f>_xlfn.BETA.INV($AA249,1+4*($D$5-$C$5)/($E$5-$C$5),1+4*($E$5-$D$5)/($E$5-$C$5),$C$5,$E$5)</f>
        <v/>
      </c>
      <c r="N249" s="14">
        <f>IF($AB249&lt;($D$6-$C$6)/($E$6-$C$6),$C$6+SQRT($AB249*($E$6-$C$6)*($D$6-$C$6)),$E$6-SQRT((1-$AB249)*($E$6-$C$6)*($E$6-$D$6)))</f>
        <v/>
      </c>
      <c r="O249" s="14">
        <f>_xlfn.NORM.INV($AC249,$C$7,$D$7)</f>
        <v/>
      </c>
      <c r="P249" s="14">
        <f>$C$8+($D$8-$C$8)*$AD249</f>
        <v/>
      </c>
      <c r="Q249" s="14">
        <f>$C$9</f>
        <v/>
      </c>
      <c r="R249" s="14">
        <f>_xlfn.LOGNORM.INV($AF249,LN($C$10)-0.5*LN(1+($D$10/$C$10)^2),SQRT(LN(1+($D$10/$C$10)^2)))</f>
        <v/>
      </c>
      <c r="S249" s="14">
        <f>SUM(M249:R249)</f>
        <v/>
      </c>
      <c r="AA249">
        <f>RAND()</f>
        <v/>
      </c>
      <c r="AB249">
        <f>RAND()</f>
        <v/>
      </c>
      <c r="AC249">
        <f>RAND()</f>
        <v/>
      </c>
      <c r="AD249">
        <f>RAND()</f>
        <v/>
      </c>
      <c r="AE249">
        <f>RAND()</f>
        <v/>
      </c>
      <c r="AF249">
        <f>RAND()</f>
        <v/>
      </c>
    </row>
    <row r="250">
      <c r="M250" s="14">
        <f>_xlfn.BETA.INV($AA250,1+4*($D$5-$C$5)/($E$5-$C$5),1+4*($E$5-$D$5)/($E$5-$C$5),$C$5,$E$5)</f>
        <v/>
      </c>
      <c r="N250" s="14">
        <f>IF($AB250&lt;($D$6-$C$6)/($E$6-$C$6),$C$6+SQRT($AB250*($E$6-$C$6)*($D$6-$C$6)),$E$6-SQRT((1-$AB250)*($E$6-$C$6)*($E$6-$D$6)))</f>
        <v/>
      </c>
      <c r="O250" s="14">
        <f>_xlfn.NORM.INV($AC250,$C$7,$D$7)</f>
        <v/>
      </c>
      <c r="P250" s="14">
        <f>$C$8+($D$8-$C$8)*$AD250</f>
        <v/>
      </c>
      <c r="Q250" s="14">
        <f>$C$9</f>
        <v/>
      </c>
      <c r="R250" s="14">
        <f>_xlfn.LOGNORM.INV($AF250,LN($C$10)-0.5*LN(1+($D$10/$C$10)^2),SQRT(LN(1+($D$10/$C$10)^2)))</f>
        <v/>
      </c>
      <c r="S250" s="14">
        <f>SUM(M250:R250)</f>
        <v/>
      </c>
      <c r="AA250">
        <f>RAND()</f>
        <v/>
      </c>
      <c r="AB250">
        <f>RAND()</f>
        <v/>
      </c>
      <c r="AC250">
        <f>RAND()</f>
        <v/>
      </c>
      <c r="AD250">
        <f>RAND()</f>
        <v/>
      </c>
      <c r="AE250">
        <f>RAND()</f>
        <v/>
      </c>
      <c r="AF250">
        <f>RAND()</f>
        <v/>
      </c>
    </row>
    <row r="251">
      <c r="M251" s="14">
        <f>_xlfn.BETA.INV($AA251,1+4*($D$5-$C$5)/($E$5-$C$5),1+4*($E$5-$D$5)/($E$5-$C$5),$C$5,$E$5)</f>
        <v/>
      </c>
      <c r="N251" s="14">
        <f>IF($AB251&lt;($D$6-$C$6)/($E$6-$C$6),$C$6+SQRT($AB251*($E$6-$C$6)*($D$6-$C$6)),$E$6-SQRT((1-$AB251)*($E$6-$C$6)*($E$6-$D$6)))</f>
        <v/>
      </c>
      <c r="O251" s="14">
        <f>_xlfn.NORM.INV($AC251,$C$7,$D$7)</f>
        <v/>
      </c>
      <c r="P251" s="14">
        <f>$C$8+($D$8-$C$8)*$AD251</f>
        <v/>
      </c>
      <c r="Q251" s="14">
        <f>$C$9</f>
        <v/>
      </c>
      <c r="R251" s="14">
        <f>_xlfn.LOGNORM.INV($AF251,LN($C$10)-0.5*LN(1+($D$10/$C$10)^2),SQRT(LN(1+($D$10/$C$10)^2)))</f>
        <v/>
      </c>
      <c r="S251" s="14">
        <f>SUM(M251:R251)</f>
        <v/>
      </c>
      <c r="AA251">
        <f>RAND()</f>
        <v/>
      </c>
      <c r="AB251">
        <f>RAND()</f>
        <v/>
      </c>
      <c r="AC251">
        <f>RAND()</f>
        <v/>
      </c>
      <c r="AD251">
        <f>RAND()</f>
        <v/>
      </c>
      <c r="AE251">
        <f>RAND()</f>
        <v/>
      </c>
      <c r="AF251">
        <f>RAND()</f>
        <v/>
      </c>
    </row>
    <row r="252">
      <c r="M252" s="14">
        <f>_xlfn.BETA.INV($AA252,1+4*($D$5-$C$5)/($E$5-$C$5),1+4*($E$5-$D$5)/($E$5-$C$5),$C$5,$E$5)</f>
        <v/>
      </c>
      <c r="N252" s="14">
        <f>IF($AB252&lt;($D$6-$C$6)/($E$6-$C$6),$C$6+SQRT($AB252*($E$6-$C$6)*($D$6-$C$6)),$E$6-SQRT((1-$AB252)*($E$6-$C$6)*($E$6-$D$6)))</f>
        <v/>
      </c>
      <c r="O252" s="14">
        <f>_xlfn.NORM.INV($AC252,$C$7,$D$7)</f>
        <v/>
      </c>
      <c r="P252" s="14">
        <f>$C$8+($D$8-$C$8)*$AD252</f>
        <v/>
      </c>
      <c r="Q252" s="14">
        <f>$C$9</f>
        <v/>
      </c>
      <c r="R252" s="14">
        <f>_xlfn.LOGNORM.INV($AF252,LN($C$10)-0.5*LN(1+($D$10/$C$10)^2),SQRT(LN(1+($D$10/$C$10)^2)))</f>
        <v/>
      </c>
      <c r="S252" s="14">
        <f>SUM(M252:R252)</f>
        <v/>
      </c>
      <c r="AA252">
        <f>RAND()</f>
        <v/>
      </c>
      <c r="AB252">
        <f>RAND()</f>
        <v/>
      </c>
      <c r="AC252">
        <f>RAND()</f>
        <v/>
      </c>
      <c r="AD252">
        <f>RAND()</f>
        <v/>
      </c>
      <c r="AE252">
        <f>RAND()</f>
        <v/>
      </c>
      <c r="AF252">
        <f>RAND()</f>
        <v/>
      </c>
    </row>
    <row r="253">
      <c r="M253" s="14">
        <f>_xlfn.BETA.INV($AA253,1+4*($D$5-$C$5)/($E$5-$C$5),1+4*($E$5-$D$5)/($E$5-$C$5),$C$5,$E$5)</f>
        <v/>
      </c>
      <c r="N253" s="14">
        <f>IF($AB253&lt;($D$6-$C$6)/($E$6-$C$6),$C$6+SQRT($AB253*($E$6-$C$6)*($D$6-$C$6)),$E$6-SQRT((1-$AB253)*($E$6-$C$6)*($E$6-$D$6)))</f>
        <v/>
      </c>
      <c r="O253" s="14">
        <f>_xlfn.NORM.INV($AC253,$C$7,$D$7)</f>
        <v/>
      </c>
      <c r="P253" s="14">
        <f>$C$8+($D$8-$C$8)*$AD253</f>
        <v/>
      </c>
      <c r="Q253" s="14">
        <f>$C$9</f>
        <v/>
      </c>
      <c r="R253" s="14">
        <f>_xlfn.LOGNORM.INV($AF253,LN($C$10)-0.5*LN(1+($D$10/$C$10)^2),SQRT(LN(1+($D$10/$C$10)^2)))</f>
        <v/>
      </c>
      <c r="S253" s="14">
        <f>SUM(M253:R253)</f>
        <v/>
      </c>
      <c r="AA253">
        <f>RAND()</f>
        <v/>
      </c>
      <c r="AB253">
        <f>RAND()</f>
        <v/>
      </c>
      <c r="AC253">
        <f>RAND()</f>
        <v/>
      </c>
      <c r="AD253">
        <f>RAND()</f>
        <v/>
      </c>
      <c r="AE253">
        <f>RAND()</f>
        <v/>
      </c>
      <c r="AF253">
        <f>RAND()</f>
        <v/>
      </c>
    </row>
    <row r="254">
      <c r="M254" s="14">
        <f>_xlfn.BETA.INV($AA254,1+4*($D$5-$C$5)/($E$5-$C$5),1+4*($E$5-$D$5)/($E$5-$C$5),$C$5,$E$5)</f>
        <v/>
      </c>
      <c r="N254" s="14">
        <f>IF($AB254&lt;($D$6-$C$6)/($E$6-$C$6),$C$6+SQRT($AB254*($E$6-$C$6)*($D$6-$C$6)),$E$6-SQRT((1-$AB254)*($E$6-$C$6)*($E$6-$D$6)))</f>
        <v/>
      </c>
      <c r="O254" s="14">
        <f>_xlfn.NORM.INV($AC254,$C$7,$D$7)</f>
        <v/>
      </c>
      <c r="P254" s="14">
        <f>$C$8+($D$8-$C$8)*$AD254</f>
        <v/>
      </c>
      <c r="Q254" s="14">
        <f>$C$9</f>
        <v/>
      </c>
      <c r="R254" s="14">
        <f>_xlfn.LOGNORM.INV($AF254,LN($C$10)-0.5*LN(1+($D$10/$C$10)^2),SQRT(LN(1+($D$10/$C$10)^2)))</f>
        <v/>
      </c>
      <c r="S254" s="14">
        <f>SUM(M254:R254)</f>
        <v/>
      </c>
      <c r="AA254">
        <f>RAND()</f>
        <v/>
      </c>
      <c r="AB254">
        <f>RAND()</f>
        <v/>
      </c>
      <c r="AC254">
        <f>RAND()</f>
        <v/>
      </c>
      <c r="AD254">
        <f>RAND()</f>
        <v/>
      </c>
      <c r="AE254">
        <f>RAND()</f>
        <v/>
      </c>
      <c r="AF254">
        <f>RAND()</f>
        <v/>
      </c>
    </row>
    <row r="255">
      <c r="M255" s="14">
        <f>_xlfn.BETA.INV($AA255,1+4*($D$5-$C$5)/($E$5-$C$5),1+4*($E$5-$D$5)/($E$5-$C$5),$C$5,$E$5)</f>
        <v/>
      </c>
      <c r="N255" s="14">
        <f>IF($AB255&lt;($D$6-$C$6)/($E$6-$C$6),$C$6+SQRT($AB255*($E$6-$C$6)*($D$6-$C$6)),$E$6-SQRT((1-$AB255)*($E$6-$C$6)*($E$6-$D$6)))</f>
        <v/>
      </c>
      <c r="O255" s="14">
        <f>_xlfn.NORM.INV($AC255,$C$7,$D$7)</f>
        <v/>
      </c>
      <c r="P255" s="14">
        <f>$C$8+($D$8-$C$8)*$AD255</f>
        <v/>
      </c>
      <c r="Q255" s="14">
        <f>$C$9</f>
        <v/>
      </c>
      <c r="R255" s="14">
        <f>_xlfn.LOGNORM.INV($AF255,LN($C$10)-0.5*LN(1+($D$10/$C$10)^2),SQRT(LN(1+($D$10/$C$10)^2)))</f>
        <v/>
      </c>
      <c r="S255" s="14">
        <f>SUM(M255:R255)</f>
        <v/>
      </c>
      <c r="AA255">
        <f>RAND()</f>
        <v/>
      </c>
      <c r="AB255">
        <f>RAND()</f>
        <v/>
      </c>
      <c r="AC255">
        <f>RAND()</f>
        <v/>
      </c>
      <c r="AD255">
        <f>RAND()</f>
        <v/>
      </c>
      <c r="AE255">
        <f>RAND()</f>
        <v/>
      </c>
      <c r="AF255">
        <f>RAND()</f>
        <v/>
      </c>
    </row>
    <row r="256">
      <c r="M256" s="14">
        <f>_xlfn.BETA.INV($AA256,1+4*($D$5-$C$5)/($E$5-$C$5),1+4*($E$5-$D$5)/($E$5-$C$5),$C$5,$E$5)</f>
        <v/>
      </c>
      <c r="N256" s="14">
        <f>IF($AB256&lt;($D$6-$C$6)/($E$6-$C$6),$C$6+SQRT($AB256*($E$6-$C$6)*($D$6-$C$6)),$E$6-SQRT((1-$AB256)*($E$6-$C$6)*($E$6-$D$6)))</f>
        <v/>
      </c>
      <c r="O256" s="14">
        <f>_xlfn.NORM.INV($AC256,$C$7,$D$7)</f>
        <v/>
      </c>
      <c r="P256" s="14">
        <f>$C$8+($D$8-$C$8)*$AD256</f>
        <v/>
      </c>
      <c r="Q256" s="14">
        <f>$C$9</f>
        <v/>
      </c>
      <c r="R256" s="14">
        <f>_xlfn.LOGNORM.INV($AF256,LN($C$10)-0.5*LN(1+($D$10/$C$10)^2),SQRT(LN(1+($D$10/$C$10)^2)))</f>
        <v/>
      </c>
      <c r="S256" s="14">
        <f>SUM(M256:R256)</f>
        <v/>
      </c>
      <c r="AA256">
        <f>RAND()</f>
        <v/>
      </c>
      <c r="AB256">
        <f>RAND()</f>
        <v/>
      </c>
      <c r="AC256">
        <f>RAND()</f>
        <v/>
      </c>
      <c r="AD256">
        <f>RAND()</f>
        <v/>
      </c>
      <c r="AE256">
        <f>RAND()</f>
        <v/>
      </c>
      <c r="AF256">
        <f>RAND()</f>
        <v/>
      </c>
    </row>
    <row r="257">
      <c r="M257" s="14">
        <f>_xlfn.BETA.INV($AA257,1+4*($D$5-$C$5)/($E$5-$C$5),1+4*($E$5-$D$5)/($E$5-$C$5),$C$5,$E$5)</f>
        <v/>
      </c>
      <c r="N257" s="14">
        <f>IF($AB257&lt;($D$6-$C$6)/($E$6-$C$6),$C$6+SQRT($AB257*($E$6-$C$6)*($D$6-$C$6)),$E$6-SQRT((1-$AB257)*($E$6-$C$6)*($E$6-$D$6)))</f>
        <v/>
      </c>
      <c r="O257" s="14">
        <f>_xlfn.NORM.INV($AC257,$C$7,$D$7)</f>
        <v/>
      </c>
      <c r="P257" s="14">
        <f>$C$8+($D$8-$C$8)*$AD257</f>
        <v/>
      </c>
      <c r="Q257" s="14">
        <f>$C$9</f>
        <v/>
      </c>
      <c r="R257" s="14">
        <f>_xlfn.LOGNORM.INV($AF257,LN($C$10)-0.5*LN(1+($D$10/$C$10)^2),SQRT(LN(1+($D$10/$C$10)^2)))</f>
        <v/>
      </c>
      <c r="S257" s="14">
        <f>SUM(M257:R257)</f>
        <v/>
      </c>
      <c r="AA257">
        <f>RAND()</f>
        <v/>
      </c>
      <c r="AB257">
        <f>RAND()</f>
        <v/>
      </c>
      <c r="AC257">
        <f>RAND()</f>
        <v/>
      </c>
      <c r="AD257">
        <f>RAND()</f>
        <v/>
      </c>
      <c r="AE257">
        <f>RAND()</f>
        <v/>
      </c>
      <c r="AF257">
        <f>RAND()</f>
        <v/>
      </c>
    </row>
    <row r="258">
      <c r="M258" s="14">
        <f>_xlfn.BETA.INV($AA258,1+4*($D$5-$C$5)/($E$5-$C$5),1+4*($E$5-$D$5)/($E$5-$C$5),$C$5,$E$5)</f>
        <v/>
      </c>
      <c r="N258" s="14">
        <f>IF($AB258&lt;($D$6-$C$6)/($E$6-$C$6),$C$6+SQRT($AB258*($E$6-$C$6)*($D$6-$C$6)),$E$6-SQRT((1-$AB258)*($E$6-$C$6)*($E$6-$D$6)))</f>
        <v/>
      </c>
      <c r="O258" s="14">
        <f>_xlfn.NORM.INV($AC258,$C$7,$D$7)</f>
        <v/>
      </c>
      <c r="P258" s="14">
        <f>$C$8+($D$8-$C$8)*$AD258</f>
        <v/>
      </c>
      <c r="Q258" s="14">
        <f>$C$9</f>
        <v/>
      </c>
      <c r="R258" s="14">
        <f>_xlfn.LOGNORM.INV($AF258,LN($C$10)-0.5*LN(1+($D$10/$C$10)^2),SQRT(LN(1+($D$10/$C$10)^2)))</f>
        <v/>
      </c>
      <c r="S258" s="14">
        <f>SUM(M258:R258)</f>
        <v/>
      </c>
      <c r="AA258">
        <f>RAND()</f>
        <v/>
      </c>
      <c r="AB258">
        <f>RAND()</f>
        <v/>
      </c>
      <c r="AC258">
        <f>RAND()</f>
        <v/>
      </c>
      <c r="AD258">
        <f>RAND()</f>
        <v/>
      </c>
      <c r="AE258">
        <f>RAND()</f>
        <v/>
      </c>
      <c r="AF258">
        <f>RAND()</f>
        <v/>
      </c>
    </row>
    <row r="259">
      <c r="M259" s="14">
        <f>_xlfn.BETA.INV($AA259,1+4*($D$5-$C$5)/($E$5-$C$5),1+4*($E$5-$D$5)/($E$5-$C$5),$C$5,$E$5)</f>
        <v/>
      </c>
      <c r="N259" s="14">
        <f>IF($AB259&lt;($D$6-$C$6)/($E$6-$C$6),$C$6+SQRT($AB259*($E$6-$C$6)*($D$6-$C$6)),$E$6-SQRT((1-$AB259)*($E$6-$C$6)*($E$6-$D$6)))</f>
        <v/>
      </c>
      <c r="O259" s="14">
        <f>_xlfn.NORM.INV($AC259,$C$7,$D$7)</f>
        <v/>
      </c>
      <c r="P259" s="14">
        <f>$C$8+($D$8-$C$8)*$AD259</f>
        <v/>
      </c>
      <c r="Q259" s="14">
        <f>$C$9</f>
        <v/>
      </c>
      <c r="R259" s="14">
        <f>_xlfn.LOGNORM.INV($AF259,LN($C$10)-0.5*LN(1+($D$10/$C$10)^2),SQRT(LN(1+($D$10/$C$10)^2)))</f>
        <v/>
      </c>
      <c r="S259" s="14">
        <f>SUM(M259:R259)</f>
        <v/>
      </c>
      <c r="AA259">
        <f>RAND()</f>
        <v/>
      </c>
      <c r="AB259">
        <f>RAND()</f>
        <v/>
      </c>
      <c r="AC259">
        <f>RAND()</f>
        <v/>
      </c>
      <c r="AD259">
        <f>RAND()</f>
        <v/>
      </c>
      <c r="AE259">
        <f>RAND()</f>
        <v/>
      </c>
      <c r="AF259">
        <f>RAND()</f>
        <v/>
      </c>
    </row>
    <row r="260">
      <c r="M260" s="14">
        <f>_xlfn.BETA.INV($AA260,1+4*($D$5-$C$5)/($E$5-$C$5),1+4*($E$5-$D$5)/($E$5-$C$5),$C$5,$E$5)</f>
        <v/>
      </c>
      <c r="N260" s="14">
        <f>IF($AB260&lt;($D$6-$C$6)/($E$6-$C$6),$C$6+SQRT($AB260*($E$6-$C$6)*($D$6-$C$6)),$E$6-SQRT((1-$AB260)*($E$6-$C$6)*($E$6-$D$6)))</f>
        <v/>
      </c>
      <c r="O260" s="14">
        <f>_xlfn.NORM.INV($AC260,$C$7,$D$7)</f>
        <v/>
      </c>
      <c r="P260" s="14">
        <f>$C$8+($D$8-$C$8)*$AD260</f>
        <v/>
      </c>
      <c r="Q260" s="14">
        <f>$C$9</f>
        <v/>
      </c>
      <c r="R260" s="14">
        <f>_xlfn.LOGNORM.INV($AF260,LN($C$10)-0.5*LN(1+($D$10/$C$10)^2),SQRT(LN(1+($D$10/$C$10)^2)))</f>
        <v/>
      </c>
      <c r="S260" s="14">
        <f>SUM(M260:R260)</f>
        <v/>
      </c>
      <c r="AA260">
        <f>RAND()</f>
        <v/>
      </c>
      <c r="AB260">
        <f>RAND()</f>
        <v/>
      </c>
      <c r="AC260">
        <f>RAND()</f>
        <v/>
      </c>
      <c r="AD260">
        <f>RAND()</f>
        <v/>
      </c>
      <c r="AE260">
        <f>RAND()</f>
        <v/>
      </c>
      <c r="AF260">
        <f>RAND()</f>
        <v/>
      </c>
    </row>
    <row r="261">
      <c r="M261" s="14">
        <f>_xlfn.BETA.INV($AA261,1+4*($D$5-$C$5)/($E$5-$C$5),1+4*($E$5-$D$5)/($E$5-$C$5),$C$5,$E$5)</f>
        <v/>
      </c>
      <c r="N261" s="14">
        <f>IF($AB261&lt;($D$6-$C$6)/($E$6-$C$6),$C$6+SQRT($AB261*($E$6-$C$6)*($D$6-$C$6)),$E$6-SQRT((1-$AB261)*($E$6-$C$6)*($E$6-$D$6)))</f>
        <v/>
      </c>
      <c r="O261" s="14">
        <f>_xlfn.NORM.INV($AC261,$C$7,$D$7)</f>
        <v/>
      </c>
      <c r="P261" s="14">
        <f>$C$8+($D$8-$C$8)*$AD261</f>
        <v/>
      </c>
      <c r="Q261" s="14">
        <f>$C$9</f>
        <v/>
      </c>
      <c r="R261" s="14">
        <f>_xlfn.LOGNORM.INV($AF261,LN($C$10)-0.5*LN(1+($D$10/$C$10)^2),SQRT(LN(1+($D$10/$C$10)^2)))</f>
        <v/>
      </c>
      <c r="S261" s="14">
        <f>SUM(M261:R261)</f>
        <v/>
      </c>
      <c r="AA261">
        <f>RAND()</f>
        <v/>
      </c>
      <c r="AB261">
        <f>RAND()</f>
        <v/>
      </c>
      <c r="AC261">
        <f>RAND()</f>
        <v/>
      </c>
      <c r="AD261">
        <f>RAND()</f>
        <v/>
      </c>
      <c r="AE261">
        <f>RAND()</f>
        <v/>
      </c>
      <c r="AF261">
        <f>RAND()</f>
        <v/>
      </c>
    </row>
    <row r="262">
      <c r="M262" s="14">
        <f>_xlfn.BETA.INV($AA262,1+4*($D$5-$C$5)/($E$5-$C$5),1+4*($E$5-$D$5)/($E$5-$C$5),$C$5,$E$5)</f>
        <v/>
      </c>
      <c r="N262" s="14">
        <f>IF($AB262&lt;($D$6-$C$6)/($E$6-$C$6),$C$6+SQRT($AB262*($E$6-$C$6)*($D$6-$C$6)),$E$6-SQRT((1-$AB262)*($E$6-$C$6)*($E$6-$D$6)))</f>
        <v/>
      </c>
      <c r="O262" s="14">
        <f>_xlfn.NORM.INV($AC262,$C$7,$D$7)</f>
        <v/>
      </c>
      <c r="P262" s="14">
        <f>$C$8+($D$8-$C$8)*$AD262</f>
        <v/>
      </c>
      <c r="Q262" s="14">
        <f>$C$9</f>
        <v/>
      </c>
      <c r="R262" s="14">
        <f>_xlfn.LOGNORM.INV($AF262,LN($C$10)-0.5*LN(1+($D$10/$C$10)^2),SQRT(LN(1+($D$10/$C$10)^2)))</f>
        <v/>
      </c>
      <c r="S262" s="14">
        <f>SUM(M262:R262)</f>
        <v/>
      </c>
      <c r="AA262">
        <f>RAND()</f>
        <v/>
      </c>
      <c r="AB262">
        <f>RAND()</f>
        <v/>
      </c>
      <c r="AC262">
        <f>RAND()</f>
        <v/>
      </c>
      <c r="AD262">
        <f>RAND()</f>
        <v/>
      </c>
      <c r="AE262">
        <f>RAND()</f>
        <v/>
      </c>
      <c r="AF262">
        <f>RAND()</f>
        <v/>
      </c>
    </row>
    <row r="263">
      <c r="M263" s="14">
        <f>_xlfn.BETA.INV($AA263,1+4*($D$5-$C$5)/($E$5-$C$5),1+4*($E$5-$D$5)/($E$5-$C$5),$C$5,$E$5)</f>
        <v/>
      </c>
      <c r="N263" s="14">
        <f>IF($AB263&lt;($D$6-$C$6)/($E$6-$C$6),$C$6+SQRT($AB263*($E$6-$C$6)*($D$6-$C$6)),$E$6-SQRT((1-$AB263)*($E$6-$C$6)*($E$6-$D$6)))</f>
        <v/>
      </c>
      <c r="O263" s="14">
        <f>_xlfn.NORM.INV($AC263,$C$7,$D$7)</f>
        <v/>
      </c>
      <c r="P263" s="14">
        <f>$C$8+($D$8-$C$8)*$AD263</f>
        <v/>
      </c>
      <c r="Q263" s="14">
        <f>$C$9</f>
        <v/>
      </c>
      <c r="R263" s="14">
        <f>_xlfn.LOGNORM.INV($AF263,LN($C$10)-0.5*LN(1+($D$10/$C$10)^2),SQRT(LN(1+($D$10/$C$10)^2)))</f>
        <v/>
      </c>
      <c r="S263" s="14">
        <f>SUM(M263:R263)</f>
        <v/>
      </c>
      <c r="AA263">
        <f>RAND()</f>
        <v/>
      </c>
      <c r="AB263">
        <f>RAND()</f>
        <v/>
      </c>
      <c r="AC263">
        <f>RAND()</f>
        <v/>
      </c>
      <c r="AD263">
        <f>RAND()</f>
        <v/>
      </c>
      <c r="AE263">
        <f>RAND()</f>
        <v/>
      </c>
      <c r="AF263">
        <f>RAND()</f>
        <v/>
      </c>
    </row>
    <row r="264">
      <c r="M264" s="14">
        <f>_xlfn.BETA.INV($AA264,1+4*($D$5-$C$5)/($E$5-$C$5),1+4*($E$5-$D$5)/($E$5-$C$5),$C$5,$E$5)</f>
        <v/>
      </c>
      <c r="N264" s="14">
        <f>IF($AB264&lt;($D$6-$C$6)/($E$6-$C$6),$C$6+SQRT($AB264*($E$6-$C$6)*($D$6-$C$6)),$E$6-SQRT((1-$AB264)*($E$6-$C$6)*($E$6-$D$6)))</f>
        <v/>
      </c>
      <c r="O264" s="14">
        <f>_xlfn.NORM.INV($AC264,$C$7,$D$7)</f>
        <v/>
      </c>
      <c r="P264" s="14">
        <f>$C$8+($D$8-$C$8)*$AD264</f>
        <v/>
      </c>
      <c r="Q264" s="14">
        <f>$C$9</f>
        <v/>
      </c>
      <c r="R264" s="14">
        <f>_xlfn.LOGNORM.INV($AF264,LN($C$10)-0.5*LN(1+($D$10/$C$10)^2),SQRT(LN(1+($D$10/$C$10)^2)))</f>
        <v/>
      </c>
      <c r="S264" s="14">
        <f>SUM(M264:R264)</f>
        <v/>
      </c>
      <c r="AA264">
        <f>RAND()</f>
        <v/>
      </c>
      <c r="AB264">
        <f>RAND()</f>
        <v/>
      </c>
      <c r="AC264">
        <f>RAND()</f>
        <v/>
      </c>
      <c r="AD264">
        <f>RAND()</f>
        <v/>
      </c>
      <c r="AE264">
        <f>RAND()</f>
        <v/>
      </c>
      <c r="AF264">
        <f>RAND()</f>
        <v/>
      </c>
    </row>
    <row r="265">
      <c r="M265" s="14">
        <f>_xlfn.BETA.INV($AA265,1+4*($D$5-$C$5)/($E$5-$C$5),1+4*($E$5-$D$5)/($E$5-$C$5),$C$5,$E$5)</f>
        <v/>
      </c>
      <c r="N265" s="14">
        <f>IF($AB265&lt;($D$6-$C$6)/($E$6-$C$6),$C$6+SQRT($AB265*($E$6-$C$6)*($D$6-$C$6)),$E$6-SQRT((1-$AB265)*($E$6-$C$6)*($E$6-$D$6)))</f>
        <v/>
      </c>
      <c r="O265" s="14">
        <f>_xlfn.NORM.INV($AC265,$C$7,$D$7)</f>
        <v/>
      </c>
      <c r="P265" s="14">
        <f>$C$8+($D$8-$C$8)*$AD265</f>
        <v/>
      </c>
      <c r="Q265" s="14">
        <f>$C$9</f>
        <v/>
      </c>
      <c r="R265" s="14">
        <f>_xlfn.LOGNORM.INV($AF265,LN($C$10)-0.5*LN(1+($D$10/$C$10)^2),SQRT(LN(1+($D$10/$C$10)^2)))</f>
        <v/>
      </c>
      <c r="S265" s="14">
        <f>SUM(M265:R265)</f>
        <v/>
      </c>
      <c r="AA265">
        <f>RAND()</f>
        <v/>
      </c>
      <c r="AB265">
        <f>RAND()</f>
        <v/>
      </c>
      <c r="AC265">
        <f>RAND()</f>
        <v/>
      </c>
      <c r="AD265">
        <f>RAND()</f>
        <v/>
      </c>
      <c r="AE265">
        <f>RAND()</f>
        <v/>
      </c>
      <c r="AF265">
        <f>RAND()</f>
        <v/>
      </c>
    </row>
    <row r="266">
      <c r="M266" s="14">
        <f>_xlfn.BETA.INV($AA266,1+4*($D$5-$C$5)/($E$5-$C$5),1+4*($E$5-$D$5)/($E$5-$C$5),$C$5,$E$5)</f>
        <v/>
      </c>
      <c r="N266" s="14">
        <f>IF($AB266&lt;($D$6-$C$6)/($E$6-$C$6),$C$6+SQRT($AB266*($E$6-$C$6)*($D$6-$C$6)),$E$6-SQRT((1-$AB266)*($E$6-$C$6)*($E$6-$D$6)))</f>
        <v/>
      </c>
      <c r="O266" s="14">
        <f>_xlfn.NORM.INV($AC266,$C$7,$D$7)</f>
        <v/>
      </c>
      <c r="P266" s="14">
        <f>$C$8+($D$8-$C$8)*$AD266</f>
        <v/>
      </c>
      <c r="Q266" s="14">
        <f>$C$9</f>
        <v/>
      </c>
      <c r="R266" s="14">
        <f>_xlfn.LOGNORM.INV($AF266,LN($C$10)-0.5*LN(1+($D$10/$C$10)^2),SQRT(LN(1+($D$10/$C$10)^2)))</f>
        <v/>
      </c>
      <c r="S266" s="14">
        <f>SUM(M266:R266)</f>
        <v/>
      </c>
      <c r="AA266">
        <f>RAND()</f>
        <v/>
      </c>
      <c r="AB266">
        <f>RAND()</f>
        <v/>
      </c>
      <c r="AC266">
        <f>RAND()</f>
        <v/>
      </c>
      <c r="AD266">
        <f>RAND()</f>
        <v/>
      </c>
      <c r="AE266">
        <f>RAND()</f>
        <v/>
      </c>
      <c r="AF266">
        <f>RAND()</f>
        <v/>
      </c>
    </row>
    <row r="267">
      <c r="M267" s="14">
        <f>_xlfn.BETA.INV($AA267,1+4*($D$5-$C$5)/($E$5-$C$5),1+4*($E$5-$D$5)/($E$5-$C$5),$C$5,$E$5)</f>
        <v/>
      </c>
      <c r="N267" s="14">
        <f>IF($AB267&lt;($D$6-$C$6)/($E$6-$C$6),$C$6+SQRT($AB267*($E$6-$C$6)*($D$6-$C$6)),$E$6-SQRT((1-$AB267)*($E$6-$C$6)*($E$6-$D$6)))</f>
        <v/>
      </c>
      <c r="O267" s="14">
        <f>_xlfn.NORM.INV($AC267,$C$7,$D$7)</f>
        <v/>
      </c>
      <c r="P267" s="14">
        <f>$C$8+($D$8-$C$8)*$AD267</f>
        <v/>
      </c>
      <c r="Q267" s="14">
        <f>$C$9</f>
        <v/>
      </c>
      <c r="R267" s="14">
        <f>_xlfn.LOGNORM.INV($AF267,LN($C$10)-0.5*LN(1+($D$10/$C$10)^2),SQRT(LN(1+($D$10/$C$10)^2)))</f>
        <v/>
      </c>
      <c r="S267" s="14">
        <f>SUM(M267:R267)</f>
        <v/>
      </c>
      <c r="AA267">
        <f>RAND()</f>
        <v/>
      </c>
      <c r="AB267">
        <f>RAND()</f>
        <v/>
      </c>
      <c r="AC267">
        <f>RAND()</f>
        <v/>
      </c>
      <c r="AD267">
        <f>RAND()</f>
        <v/>
      </c>
      <c r="AE267">
        <f>RAND()</f>
        <v/>
      </c>
      <c r="AF267">
        <f>RAND()</f>
        <v/>
      </c>
    </row>
    <row r="268">
      <c r="M268" s="14">
        <f>_xlfn.BETA.INV($AA268,1+4*($D$5-$C$5)/($E$5-$C$5),1+4*($E$5-$D$5)/($E$5-$C$5),$C$5,$E$5)</f>
        <v/>
      </c>
      <c r="N268" s="14">
        <f>IF($AB268&lt;($D$6-$C$6)/($E$6-$C$6),$C$6+SQRT($AB268*($E$6-$C$6)*($D$6-$C$6)),$E$6-SQRT((1-$AB268)*($E$6-$C$6)*($E$6-$D$6)))</f>
        <v/>
      </c>
      <c r="O268" s="14">
        <f>_xlfn.NORM.INV($AC268,$C$7,$D$7)</f>
        <v/>
      </c>
      <c r="P268" s="14">
        <f>$C$8+($D$8-$C$8)*$AD268</f>
        <v/>
      </c>
      <c r="Q268" s="14">
        <f>$C$9</f>
        <v/>
      </c>
      <c r="R268" s="14">
        <f>_xlfn.LOGNORM.INV($AF268,LN($C$10)-0.5*LN(1+($D$10/$C$10)^2),SQRT(LN(1+($D$10/$C$10)^2)))</f>
        <v/>
      </c>
      <c r="S268" s="14">
        <f>SUM(M268:R268)</f>
        <v/>
      </c>
      <c r="AA268">
        <f>RAND()</f>
        <v/>
      </c>
      <c r="AB268">
        <f>RAND()</f>
        <v/>
      </c>
      <c r="AC268">
        <f>RAND()</f>
        <v/>
      </c>
      <c r="AD268">
        <f>RAND()</f>
        <v/>
      </c>
      <c r="AE268">
        <f>RAND()</f>
        <v/>
      </c>
      <c r="AF268">
        <f>RAND()</f>
        <v/>
      </c>
    </row>
    <row r="269">
      <c r="M269" s="14">
        <f>_xlfn.BETA.INV($AA269,1+4*($D$5-$C$5)/($E$5-$C$5),1+4*($E$5-$D$5)/($E$5-$C$5),$C$5,$E$5)</f>
        <v/>
      </c>
      <c r="N269" s="14">
        <f>IF($AB269&lt;($D$6-$C$6)/($E$6-$C$6),$C$6+SQRT($AB269*($E$6-$C$6)*($D$6-$C$6)),$E$6-SQRT((1-$AB269)*($E$6-$C$6)*($E$6-$D$6)))</f>
        <v/>
      </c>
      <c r="O269" s="14">
        <f>_xlfn.NORM.INV($AC269,$C$7,$D$7)</f>
        <v/>
      </c>
      <c r="P269" s="14">
        <f>$C$8+($D$8-$C$8)*$AD269</f>
        <v/>
      </c>
      <c r="Q269" s="14">
        <f>$C$9</f>
        <v/>
      </c>
      <c r="R269" s="14">
        <f>_xlfn.LOGNORM.INV($AF269,LN($C$10)-0.5*LN(1+($D$10/$C$10)^2),SQRT(LN(1+($D$10/$C$10)^2)))</f>
        <v/>
      </c>
      <c r="S269" s="14">
        <f>SUM(M269:R269)</f>
        <v/>
      </c>
      <c r="AA269">
        <f>RAND()</f>
        <v/>
      </c>
      <c r="AB269">
        <f>RAND()</f>
        <v/>
      </c>
      <c r="AC269">
        <f>RAND()</f>
        <v/>
      </c>
      <c r="AD269">
        <f>RAND()</f>
        <v/>
      </c>
      <c r="AE269">
        <f>RAND()</f>
        <v/>
      </c>
      <c r="AF269">
        <f>RAND()</f>
        <v/>
      </c>
    </row>
    <row r="270">
      <c r="M270" s="14">
        <f>_xlfn.BETA.INV($AA270,1+4*($D$5-$C$5)/($E$5-$C$5),1+4*($E$5-$D$5)/($E$5-$C$5),$C$5,$E$5)</f>
        <v/>
      </c>
      <c r="N270" s="14">
        <f>IF($AB270&lt;($D$6-$C$6)/($E$6-$C$6),$C$6+SQRT($AB270*($E$6-$C$6)*($D$6-$C$6)),$E$6-SQRT((1-$AB270)*($E$6-$C$6)*($E$6-$D$6)))</f>
        <v/>
      </c>
      <c r="O270" s="14">
        <f>_xlfn.NORM.INV($AC270,$C$7,$D$7)</f>
        <v/>
      </c>
      <c r="P270" s="14">
        <f>$C$8+($D$8-$C$8)*$AD270</f>
        <v/>
      </c>
      <c r="Q270" s="14">
        <f>$C$9</f>
        <v/>
      </c>
      <c r="R270" s="14">
        <f>_xlfn.LOGNORM.INV($AF270,LN($C$10)-0.5*LN(1+($D$10/$C$10)^2),SQRT(LN(1+($D$10/$C$10)^2)))</f>
        <v/>
      </c>
      <c r="S270" s="14">
        <f>SUM(M270:R270)</f>
        <v/>
      </c>
      <c r="AA270">
        <f>RAND()</f>
        <v/>
      </c>
      <c r="AB270">
        <f>RAND()</f>
        <v/>
      </c>
      <c r="AC270">
        <f>RAND()</f>
        <v/>
      </c>
      <c r="AD270">
        <f>RAND()</f>
        <v/>
      </c>
      <c r="AE270">
        <f>RAND()</f>
        <v/>
      </c>
      <c r="AF270">
        <f>RAND()</f>
        <v/>
      </c>
    </row>
    <row r="271">
      <c r="M271" s="14">
        <f>_xlfn.BETA.INV($AA271,1+4*($D$5-$C$5)/($E$5-$C$5),1+4*($E$5-$D$5)/($E$5-$C$5),$C$5,$E$5)</f>
        <v/>
      </c>
      <c r="N271" s="14">
        <f>IF($AB271&lt;($D$6-$C$6)/($E$6-$C$6),$C$6+SQRT($AB271*($E$6-$C$6)*($D$6-$C$6)),$E$6-SQRT((1-$AB271)*($E$6-$C$6)*($E$6-$D$6)))</f>
        <v/>
      </c>
      <c r="O271" s="14">
        <f>_xlfn.NORM.INV($AC271,$C$7,$D$7)</f>
        <v/>
      </c>
      <c r="P271" s="14">
        <f>$C$8+($D$8-$C$8)*$AD271</f>
        <v/>
      </c>
      <c r="Q271" s="14">
        <f>$C$9</f>
        <v/>
      </c>
      <c r="R271" s="14">
        <f>_xlfn.LOGNORM.INV($AF271,LN($C$10)-0.5*LN(1+($D$10/$C$10)^2),SQRT(LN(1+($D$10/$C$10)^2)))</f>
        <v/>
      </c>
      <c r="S271" s="14">
        <f>SUM(M271:R271)</f>
        <v/>
      </c>
      <c r="AA271">
        <f>RAND()</f>
        <v/>
      </c>
      <c r="AB271">
        <f>RAND()</f>
        <v/>
      </c>
      <c r="AC271">
        <f>RAND()</f>
        <v/>
      </c>
      <c r="AD271">
        <f>RAND()</f>
        <v/>
      </c>
      <c r="AE271">
        <f>RAND()</f>
        <v/>
      </c>
      <c r="AF271">
        <f>RAND()</f>
        <v/>
      </c>
    </row>
    <row r="272">
      <c r="M272" s="14">
        <f>_xlfn.BETA.INV($AA272,1+4*($D$5-$C$5)/($E$5-$C$5),1+4*($E$5-$D$5)/($E$5-$C$5),$C$5,$E$5)</f>
        <v/>
      </c>
      <c r="N272" s="14">
        <f>IF($AB272&lt;($D$6-$C$6)/($E$6-$C$6),$C$6+SQRT($AB272*($E$6-$C$6)*($D$6-$C$6)),$E$6-SQRT((1-$AB272)*($E$6-$C$6)*($E$6-$D$6)))</f>
        <v/>
      </c>
      <c r="O272" s="14">
        <f>_xlfn.NORM.INV($AC272,$C$7,$D$7)</f>
        <v/>
      </c>
      <c r="P272" s="14">
        <f>$C$8+($D$8-$C$8)*$AD272</f>
        <v/>
      </c>
      <c r="Q272" s="14">
        <f>$C$9</f>
        <v/>
      </c>
      <c r="R272" s="14">
        <f>_xlfn.LOGNORM.INV($AF272,LN($C$10)-0.5*LN(1+($D$10/$C$10)^2),SQRT(LN(1+($D$10/$C$10)^2)))</f>
        <v/>
      </c>
      <c r="S272" s="14">
        <f>SUM(M272:R272)</f>
        <v/>
      </c>
      <c r="AA272">
        <f>RAND()</f>
        <v/>
      </c>
      <c r="AB272">
        <f>RAND()</f>
        <v/>
      </c>
      <c r="AC272">
        <f>RAND()</f>
        <v/>
      </c>
      <c r="AD272">
        <f>RAND()</f>
        <v/>
      </c>
      <c r="AE272">
        <f>RAND()</f>
        <v/>
      </c>
      <c r="AF272">
        <f>RAND()</f>
        <v/>
      </c>
    </row>
    <row r="273">
      <c r="M273" s="14">
        <f>_xlfn.BETA.INV($AA273,1+4*($D$5-$C$5)/($E$5-$C$5),1+4*($E$5-$D$5)/($E$5-$C$5),$C$5,$E$5)</f>
        <v/>
      </c>
      <c r="N273" s="14">
        <f>IF($AB273&lt;($D$6-$C$6)/($E$6-$C$6),$C$6+SQRT($AB273*($E$6-$C$6)*($D$6-$C$6)),$E$6-SQRT((1-$AB273)*($E$6-$C$6)*($E$6-$D$6)))</f>
        <v/>
      </c>
      <c r="O273" s="14">
        <f>_xlfn.NORM.INV($AC273,$C$7,$D$7)</f>
        <v/>
      </c>
      <c r="P273" s="14">
        <f>$C$8+($D$8-$C$8)*$AD273</f>
        <v/>
      </c>
      <c r="Q273" s="14">
        <f>$C$9</f>
        <v/>
      </c>
      <c r="R273" s="14">
        <f>_xlfn.LOGNORM.INV($AF273,LN($C$10)-0.5*LN(1+($D$10/$C$10)^2),SQRT(LN(1+($D$10/$C$10)^2)))</f>
        <v/>
      </c>
      <c r="S273" s="14">
        <f>SUM(M273:R273)</f>
        <v/>
      </c>
      <c r="AA273">
        <f>RAND()</f>
        <v/>
      </c>
      <c r="AB273">
        <f>RAND()</f>
        <v/>
      </c>
      <c r="AC273">
        <f>RAND()</f>
        <v/>
      </c>
      <c r="AD273">
        <f>RAND()</f>
        <v/>
      </c>
      <c r="AE273">
        <f>RAND()</f>
        <v/>
      </c>
      <c r="AF273">
        <f>RAND()</f>
        <v/>
      </c>
    </row>
    <row r="274">
      <c r="M274" s="14">
        <f>_xlfn.BETA.INV($AA274,1+4*($D$5-$C$5)/($E$5-$C$5),1+4*($E$5-$D$5)/($E$5-$C$5),$C$5,$E$5)</f>
        <v/>
      </c>
      <c r="N274" s="14">
        <f>IF($AB274&lt;($D$6-$C$6)/($E$6-$C$6),$C$6+SQRT($AB274*($E$6-$C$6)*($D$6-$C$6)),$E$6-SQRT((1-$AB274)*($E$6-$C$6)*($E$6-$D$6)))</f>
        <v/>
      </c>
      <c r="O274" s="14">
        <f>_xlfn.NORM.INV($AC274,$C$7,$D$7)</f>
        <v/>
      </c>
      <c r="P274" s="14">
        <f>$C$8+($D$8-$C$8)*$AD274</f>
        <v/>
      </c>
      <c r="Q274" s="14">
        <f>$C$9</f>
        <v/>
      </c>
      <c r="R274" s="14">
        <f>_xlfn.LOGNORM.INV($AF274,LN($C$10)-0.5*LN(1+($D$10/$C$10)^2),SQRT(LN(1+($D$10/$C$10)^2)))</f>
        <v/>
      </c>
      <c r="S274" s="14">
        <f>SUM(M274:R274)</f>
        <v/>
      </c>
      <c r="AA274">
        <f>RAND()</f>
        <v/>
      </c>
      <c r="AB274">
        <f>RAND()</f>
        <v/>
      </c>
      <c r="AC274">
        <f>RAND()</f>
        <v/>
      </c>
      <c r="AD274">
        <f>RAND()</f>
        <v/>
      </c>
      <c r="AE274">
        <f>RAND()</f>
        <v/>
      </c>
      <c r="AF274">
        <f>RAND()</f>
        <v/>
      </c>
    </row>
    <row r="275">
      <c r="M275" s="14">
        <f>_xlfn.BETA.INV($AA275,1+4*($D$5-$C$5)/($E$5-$C$5),1+4*($E$5-$D$5)/($E$5-$C$5),$C$5,$E$5)</f>
        <v/>
      </c>
      <c r="N275" s="14">
        <f>IF($AB275&lt;($D$6-$C$6)/($E$6-$C$6),$C$6+SQRT($AB275*($E$6-$C$6)*($D$6-$C$6)),$E$6-SQRT((1-$AB275)*($E$6-$C$6)*($E$6-$D$6)))</f>
        <v/>
      </c>
      <c r="O275" s="14">
        <f>_xlfn.NORM.INV($AC275,$C$7,$D$7)</f>
        <v/>
      </c>
      <c r="P275" s="14">
        <f>$C$8+($D$8-$C$8)*$AD275</f>
        <v/>
      </c>
      <c r="Q275" s="14">
        <f>$C$9</f>
        <v/>
      </c>
      <c r="R275" s="14">
        <f>_xlfn.LOGNORM.INV($AF275,LN($C$10)-0.5*LN(1+($D$10/$C$10)^2),SQRT(LN(1+($D$10/$C$10)^2)))</f>
        <v/>
      </c>
      <c r="S275" s="14">
        <f>SUM(M275:R275)</f>
        <v/>
      </c>
      <c r="AA275">
        <f>RAND()</f>
        <v/>
      </c>
      <c r="AB275">
        <f>RAND()</f>
        <v/>
      </c>
      <c r="AC275">
        <f>RAND()</f>
        <v/>
      </c>
      <c r="AD275">
        <f>RAND()</f>
        <v/>
      </c>
      <c r="AE275">
        <f>RAND()</f>
        <v/>
      </c>
      <c r="AF275">
        <f>RAND()</f>
        <v/>
      </c>
    </row>
    <row r="276">
      <c r="M276" s="14">
        <f>_xlfn.BETA.INV($AA276,1+4*($D$5-$C$5)/($E$5-$C$5),1+4*($E$5-$D$5)/($E$5-$C$5),$C$5,$E$5)</f>
        <v/>
      </c>
      <c r="N276" s="14">
        <f>IF($AB276&lt;($D$6-$C$6)/($E$6-$C$6),$C$6+SQRT($AB276*($E$6-$C$6)*($D$6-$C$6)),$E$6-SQRT((1-$AB276)*($E$6-$C$6)*($E$6-$D$6)))</f>
        <v/>
      </c>
      <c r="O276" s="14">
        <f>_xlfn.NORM.INV($AC276,$C$7,$D$7)</f>
        <v/>
      </c>
      <c r="P276" s="14">
        <f>$C$8+($D$8-$C$8)*$AD276</f>
        <v/>
      </c>
      <c r="Q276" s="14">
        <f>$C$9</f>
        <v/>
      </c>
      <c r="R276" s="14">
        <f>_xlfn.LOGNORM.INV($AF276,LN($C$10)-0.5*LN(1+($D$10/$C$10)^2),SQRT(LN(1+($D$10/$C$10)^2)))</f>
        <v/>
      </c>
      <c r="S276" s="14">
        <f>SUM(M276:R276)</f>
        <v/>
      </c>
      <c r="AA276">
        <f>RAND()</f>
        <v/>
      </c>
      <c r="AB276">
        <f>RAND()</f>
        <v/>
      </c>
      <c r="AC276">
        <f>RAND()</f>
        <v/>
      </c>
      <c r="AD276">
        <f>RAND()</f>
        <v/>
      </c>
      <c r="AE276">
        <f>RAND()</f>
        <v/>
      </c>
      <c r="AF276">
        <f>RAND()</f>
        <v/>
      </c>
    </row>
    <row r="277">
      <c r="M277" s="14">
        <f>_xlfn.BETA.INV($AA277,1+4*($D$5-$C$5)/($E$5-$C$5),1+4*($E$5-$D$5)/($E$5-$C$5),$C$5,$E$5)</f>
        <v/>
      </c>
      <c r="N277" s="14">
        <f>IF($AB277&lt;($D$6-$C$6)/($E$6-$C$6),$C$6+SQRT($AB277*($E$6-$C$6)*($D$6-$C$6)),$E$6-SQRT((1-$AB277)*($E$6-$C$6)*($E$6-$D$6)))</f>
        <v/>
      </c>
      <c r="O277" s="14">
        <f>_xlfn.NORM.INV($AC277,$C$7,$D$7)</f>
        <v/>
      </c>
      <c r="P277" s="14">
        <f>$C$8+($D$8-$C$8)*$AD277</f>
        <v/>
      </c>
      <c r="Q277" s="14">
        <f>$C$9</f>
        <v/>
      </c>
      <c r="R277" s="14">
        <f>_xlfn.LOGNORM.INV($AF277,LN($C$10)-0.5*LN(1+($D$10/$C$10)^2),SQRT(LN(1+($D$10/$C$10)^2)))</f>
        <v/>
      </c>
      <c r="S277" s="14">
        <f>SUM(M277:R277)</f>
        <v/>
      </c>
      <c r="AA277">
        <f>RAND()</f>
        <v/>
      </c>
      <c r="AB277">
        <f>RAND()</f>
        <v/>
      </c>
      <c r="AC277">
        <f>RAND()</f>
        <v/>
      </c>
      <c r="AD277">
        <f>RAND()</f>
        <v/>
      </c>
      <c r="AE277">
        <f>RAND()</f>
        <v/>
      </c>
      <c r="AF277">
        <f>RAND()</f>
        <v/>
      </c>
    </row>
    <row r="278">
      <c r="M278" s="14">
        <f>_xlfn.BETA.INV($AA278,1+4*($D$5-$C$5)/($E$5-$C$5),1+4*($E$5-$D$5)/($E$5-$C$5),$C$5,$E$5)</f>
        <v/>
      </c>
      <c r="N278" s="14">
        <f>IF($AB278&lt;($D$6-$C$6)/($E$6-$C$6),$C$6+SQRT($AB278*($E$6-$C$6)*($D$6-$C$6)),$E$6-SQRT((1-$AB278)*($E$6-$C$6)*($E$6-$D$6)))</f>
        <v/>
      </c>
      <c r="O278" s="14">
        <f>_xlfn.NORM.INV($AC278,$C$7,$D$7)</f>
        <v/>
      </c>
      <c r="P278" s="14">
        <f>$C$8+($D$8-$C$8)*$AD278</f>
        <v/>
      </c>
      <c r="Q278" s="14">
        <f>$C$9</f>
        <v/>
      </c>
      <c r="R278" s="14">
        <f>_xlfn.LOGNORM.INV($AF278,LN($C$10)-0.5*LN(1+($D$10/$C$10)^2),SQRT(LN(1+($D$10/$C$10)^2)))</f>
        <v/>
      </c>
      <c r="S278" s="14">
        <f>SUM(M278:R278)</f>
        <v/>
      </c>
      <c r="AA278">
        <f>RAND()</f>
        <v/>
      </c>
      <c r="AB278">
        <f>RAND()</f>
        <v/>
      </c>
      <c r="AC278">
        <f>RAND()</f>
        <v/>
      </c>
      <c r="AD278">
        <f>RAND()</f>
        <v/>
      </c>
      <c r="AE278">
        <f>RAND()</f>
        <v/>
      </c>
      <c r="AF278">
        <f>RAND()</f>
        <v/>
      </c>
    </row>
    <row r="279">
      <c r="M279" s="14">
        <f>_xlfn.BETA.INV($AA279,1+4*($D$5-$C$5)/($E$5-$C$5),1+4*($E$5-$D$5)/($E$5-$C$5),$C$5,$E$5)</f>
        <v/>
      </c>
      <c r="N279" s="14">
        <f>IF($AB279&lt;($D$6-$C$6)/($E$6-$C$6),$C$6+SQRT($AB279*($E$6-$C$6)*($D$6-$C$6)),$E$6-SQRT((1-$AB279)*($E$6-$C$6)*($E$6-$D$6)))</f>
        <v/>
      </c>
      <c r="O279" s="14">
        <f>_xlfn.NORM.INV($AC279,$C$7,$D$7)</f>
        <v/>
      </c>
      <c r="P279" s="14">
        <f>$C$8+($D$8-$C$8)*$AD279</f>
        <v/>
      </c>
      <c r="Q279" s="14">
        <f>$C$9</f>
        <v/>
      </c>
      <c r="R279" s="14">
        <f>_xlfn.LOGNORM.INV($AF279,LN($C$10)-0.5*LN(1+($D$10/$C$10)^2),SQRT(LN(1+($D$10/$C$10)^2)))</f>
        <v/>
      </c>
      <c r="S279" s="14">
        <f>SUM(M279:R279)</f>
        <v/>
      </c>
      <c r="AA279">
        <f>RAND()</f>
        <v/>
      </c>
      <c r="AB279">
        <f>RAND()</f>
        <v/>
      </c>
      <c r="AC279">
        <f>RAND()</f>
        <v/>
      </c>
      <c r="AD279">
        <f>RAND()</f>
        <v/>
      </c>
      <c r="AE279">
        <f>RAND()</f>
        <v/>
      </c>
      <c r="AF279">
        <f>RAND()</f>
        <v/>
      </c>
    </row>
    <row r="280">
      <c r="M280" s="14">
        <f>_xlfn.BETA.INV($AA280,1+4*($D$5-$C$5)/($E$5-$C$5),1+4*($E$5-$D$5)/($E$5-$C$5),$C$5,$E$5)</f>
        <v/>
      </c>
      <c r="N280" s="14">
        <f>IF($AB280&lt;($D$6-$C$6)/($E$6-$C$6),$C$6+SQRT($AB280*($E$6-$C$6)*($D$6-$C$6)),$E$6-SQRT((1-$AB280)*($E$6-$C$6)*($E$6-$D$6)))</f>
        <v/>
      </c>
      <c r="O280" s="14">
        <f>_xlfn.NORM.INV($AC280,$C$7,$D$7)</f>
        <v/>
      </c>
      <c r="P280" s="14">
        <f>$C$8+($D$8-$C$8)*$AD280</f>
        <v/>
      </c>
      <c r="Q280" s="14">
        <f>$C$9</f>
        <v/>
      </c>
      <c r="R280" s="14">
        <f>_xlfn.LOGNORM.INV($AF280,LN($C$10)-0.5*LN(1+($D$10/$C$10)^2),SQRT(LN(1+($D$10/$C$10)^2)))</f>
        <v/>
      </c>
      <c r="S280" s="14">
        <f>SUM(M280:R280)</f>
        <v/>
      </c>
      <c r="AA280">
        <f>RAND()</f>
        <v/>
      </c>
      <c r="AB280">
        <f>RAND()</f>
        <v/>
      </c>
      <c r="AC280">
        <f>RAND()</f>
        <v/>
      </c>
      <c r="AD280">
        <f>RAND()</f>
        <v/>
      </c>
      <c r="AE280">
        <f>RAND()</f>
        <v/>
      </c>
      <c r="AF280">
        <f>RAND()</f>
        <v/>
      </c>
    </row>
    <row r="281">
      <c r="M281" s="14">
        <f>_xlfn.BETA.INV($AA281,1+4*($D$5-$C$5)/($E$5-$C$5),1+4*($E$5-$D$5)/($E$5-$C$5),$C$5,$E$5)</f>
        <v/>
      </c>
      <c r="N281" s="14">
        <f>IF($AB281&lt;($D$6-$C$6)/($E$6-$C$6),$C$6+SQRT($AB281*($E$6-$C$6)*($D$6-$C$6)),$E$6-SQRT((1-$AB281)*($E$6-$C$6)*($E$6-$D$6)))</f>
        <v/>
      </c>
      <c r="O281" s="14">
        <f>_xlfn.NORM.INV($AC281,$C$7,$D$7)</f>
        <v/>
      </c>
      <c r="P281" s="14">
        <f>$C$8+($D$8-$C$8)*$AD281</f>
        <v/>
      </c>
      <c r="Q281" s="14">
        <f>$C$9</f>
        <v/>
      </c>
      <c r="R281" s="14">
        <f>_xlfn.LOGNORM.INV($AF281,LN($C$10)-0.5*LN(1+($D$10/$C$10)^2),SQRT(LN(1+($D$10/$C$10)^2)))</f>
        <v/>
      </c>
      <c r="S281" s="14">
        <f>SUM(M281:R281)</f>
        <v/>
      </c>
      <c r="AA281">
        <f>RAND()</f>
        <v/>
      </c>
      <c r="AB281">
        <f>RAND()</f>
        <v/>
      </c>
      <c r="AC281">
        <f>RAND()</f>
        <v/>
      </c>
      <c r="AD281">
        <f>RAND()</f>
        <v/>
      </c>
      <c r="AE281">
        <f>RAND()</f>
        <v/>
      </c>
      <c r="AF281">
        <f>RAND()</f>
        <v/>
      </c>
    </row>
    <row r="282">
      <c r="M282" s="14">
        <f>_xlfn.BETA.INV($AA282,1+4*($D$5-$C$5)/($E$5-$C$5),1+4*($E$5-$D$5)/($E$5-$C$5),$C$5,$E$5)</f>
        <v/>
      </c>
      <c r="N282" s="14">
        <f>IF($AB282&lt;($D$6-$C$6)/($E$6-$C$6),$C$6+SQRT($AB282*($E$6-$C$6)*($D$6-$C$6)),$E$6-SQRT((1-$AB282)*($E$6-$C$6)*($E$6-$D$6)))</f>
        <v/>
      </c>
      <c r="O282" s="14">
        <f>_xlfn.NORM.INV($AC282,$C$7,$D$7)</f>
        <v/>
      </c>
      <c r="P282" s="14">
        <f>$C$8+($D$8-$C$8)*$AD282</f>
        <v/>
      </c>
      <c r="Q282" s="14">
        <f>$C$9</f>
        <v/>
      </c>
      <c r="R282" s="14">
        <f>_xlfn.LOGNORM.INV($AF282,LN($C$10)-0.5*LN(1+($D$10/$C$10)^2),SQRT(LN(1+($D$10/$C$10)^2)))</f>
        <v/>
      </c>
      <c r="S282" s="14">
        <f>SUM(M282:R282)</f>
        <v/>
      </c>
      <c r="AA282">
        <f>RAND()</f>
        <v/>
      </c>
      <c r="AB282">
        <f>RAND()</f>
        <v/>
      </c>
      <c r="AC282">
        <f>RAND()</f>
        <v/>
      </c>
      <c r="AD282">
        <f>RAND()</f>
        <v/>
      </c>
      <c r="AE282">
        <f>RAND()</f>
        <v/>
      </c>
      <c r="AF282">
        <f>RAND()</f>
        <v/>
      </c>
    </row>
    <row r="283">
      <c r="M283" s="14">
        <f>_xlfn.BETA.INV($AA283,1+4*($D$5-$C$5)/($E$5-$C$5),1+4*($E$5-$D$5)/($E$5-$C$5),$C$5,$E$5)</f>
        <v/>
      </c>
      <c r="N283" s="14">
        <f>IF($AB283&lt;($D$6-$C$6)/($E$6-$C$6),$C$6+SQRT($AB283*($E$6-$C$6)*($D$6-$C$6)),$E$6-SQRT((1-$AB283)*($E$6-$C$6)*($E$6-$D$6)))</f>
        <v/>
      </c>
      <c r="O283" s="14">
        <f>_xlfn.NORM.INV($AC283,$C$7,$D$7)</f>
        <v/>
      </c>
      <c r="P283" s="14">
        <f>$C$8+($D$8-$C$8)*$AD283</f>
        <v/>
      </c>
      <c r="Q283" s="14">
        <f>$C$9</f>
        <v/>
      </c>
      <c r="R283" s="14">
        <f>_xlfn.LOGNORM.INV($AF283,LN($C$10)-0.5*LN(1+($D$10/$C$10)^2),SQRT(LN(1+($D$10/$C$10)^2)))</f>
        <v/>
      </c>
      <c r="S283" s="14">
        <f>SUM(M283:R283)</f>
        <v/>
      </c>
      <c r="AA283">
        <f>RAND()</f>
        <v/>
      </c>
      <c r="AB283">
        <f>RAND()</f>
        <v/>
      </c>
      <c r="AC283">
        <f>RAND()</f>
        <v/>
      </c>
      <c r="AD283">
        <f>RAND()</f>
        <v/>
      </c>
      <c r="AE283">
        <f>RAND()</f>
        <v/>
      </c>
      <c r="AF283">
        <f>RAND()</f>
        <v/>
      </c>
    </row>
    <row r="284">
      <c r="M284" s="14">
        <f>_xlfn.BETA.INV($AA284,1+4*($D$5-$C$5)/($E$5-$C$5),1+4*($E$5-$D$5)/($E$5-$C$5),$C$5,$E$5)</f>
        <v/>
      </c>
      <c r="N284" s="14">
        <f>IF($AB284&lt;($D$6-$C$6)/($E$6-$C$6),$C$6+SQRT($AB284*($E$6-$C$6)*($D$6-$C$6)),$E$6-SQRT((1-$AB284)*($E$6-$C$6)*($E$6-$D$6)))</f>
        <v/>
      </c>
      <c r="O284" s="14">
        <f>_xlfn.NORM.INV($AC284,$C$7,$D$7)</f>
        <v/>
      </c>
      <c r="P284" s="14">
        <f>$C$8+($D$8-$C$8)*$AD284</f>
        <v/>
      </c>
      <c r="Q284" s="14">
        <f>$C$9</f>
        <v/>
      </c>
      <c r="R284" s="14">
        <f>_xlfn.LOGNORM.INV($AF284,LN($C$10)-0.5*LN(1+($D$10/$C$10)^2),SQRT(LN(1+($D$10/$C$10)^2)))</f>
        <v/>
      </c>
      <c r="S284" s="14">
        <f>SUM(M284:R284)</f>
        <v/>
      </c>
      <c r="AA284">
        <f>RAND()</f>
        <v/>
      </c>
      <c r="AB284">
        <f>RAND()</f>
        <v/>
      </c>
      <c r="AC284">
        <f>RAND()</f>
        <v/>
      </c>
      <c r="AD284">
        <f>RAND()</f>
        <v/>
      </c>
      <c r="AE284">
        <f>RAND()</f>
        <v/>
      </c>
      <c r="AF284">
        <f>RAND()</f>
        <v/>
      </c>
    </row>
    <row r="285">
      <c r="M285" s="14">
        <f>_xlfn.BETA.INV($AA285,1+4*($D$5-$C$5)/($E$5-$C$5),1+4*($E$5-$D$5)/($E$5-$C$5),$C$5,$E$5)</f>
        <v/>
      </c>
      <c r="N285" s="14">
        <f>IF($AB285&lt;($D$6-$C$6)/($E$6-$C$6),$C$6+SQRT($AB285*($E$6-$C$6)*($D$6-$C$6)),$E$6-SQRT((1-$AB285)*($E$6-$C$6)*($E$6-$D$6)))</f>
        <v/>
      </c>
      <c r="O285" s="14">
        <f>_xlfn.NORM.INV($AC285,$C$7,$D$7)</f>
        <v/>
      </c>
      <c r="P285" s="14">
        <f>$C$8+($D$8-$C$8)*$AD285</f>
        <v/>
      </c>
      <c r="Q285" s="14">
        <f>$C$9</f>
        <v/>
      </c>
      <c r="R285" s="14">
        <f>_xlfn.LOGNORM.INV($AF285,LN($C$10)-0.5*LN(1+($D$10/$C$10)^2),SQRT(LN(1+($D$10/$C$10)^2)))</f>
        <v/>
      </c>
      <c r="S285" s="14">
        <f>SUM(M285:R285)</f>
        <v/>
      </c>
      <c r="AA285">
        <f>RAND()</f>
        <v/>
      </c>
      <c r="AB285">
        <f>RAND()</f>
        <v/>
      </c>
      <c r="AC285">
        <f>RAND()</f>
        <v/>
      </c>
      <c r="AD285">
        <f>RAND()</f>
        <v/>
      </c>
      <c r="AE285">
        <f>RAND()</f>
        <v/>
      </c>
      <c r="AF285">
        <f>RAND()</f>
        <v/>
      </c>
    </row>
    <row r="286">
      <c r="M286" s="14">
        <f>_xlfn.BETA.INV($AA286,1+4*($D$5-$C$5)/($E$5-$C$5),1+4*($E$5-$D$5)/($E$5-$C$5),$C$5,$E$5)</f>
        <v/>
      </c>
      <c r="N286" s="14">
        <f>IF($AB286&lt;($D$6-$C$6)/($E$6-$C$6),$C$6+SQRT($AB286*($E$6-$C$6)*($D$6-$C$6)),$E$6-SQRT((1-$AB286)*($E$6-$C$6)*($E$6-$D$6)))</f>
        <v/>
      </c>
      <c r="O286" s="14">
        <f>_xlfn.NORM.INV($AC286,$C$7,$D$7)</f>
        <v/>
      </c>
      <c r="P286" s="14">
        <f>$C$8+($D$8-$C$8)*$AD286</f>
        <v/>
      </c>
      <c r="Q286" s="14">
        <f>$C$9</f>
        <v/>
      </c>
      <c r="R286" s="14">
        <f>_xlfn.LOGNORM.INV($AF286,LN($C$10)-0.5*LN(1+($D$10/$C$10)^2),SQRT(LN(1+($D$10/$C$10)^2)))</f>
        <v/>
      </c>
      <c r="S286" s="14">
        <f>SUM(M286:R286)</f>
        <v/>
      </c>
      <c r="AA286">
        <f>RAND()</f>
        <v/>
      </c>
      <c r="AB286">
        <f>RAND()</f>
        <v/>
      </c>
      <c r="AC286">
        <f>RAND()</f>
        <v/>
      </c>
      <c r="AD286">
        <f>RAND()</f>
        <v/>
      </c>
      <c r="AE286">
        <f>RAND()</f>
        <v/>
      </c>
      <c r="AF286">
        <f>RAND()</f>
        <v/>
      </c>
    </row>
    <row r="287">
      <c r="M287" s="14">
        <f>_xlfn.BETA.INV($AA287,1+4*($D$5-$C$5)/($E$5-$C$5),1+4*($E$5-$D$5)/($E$5-$C$5),$C$5,$E$5)</f>
        <v/>
      </c>
      <c r="N287" s="14">
        <f>IF($AB287&lt;($D$6-$C$6)/($E$6-$C$6),$C$6+SQRT($AB287*($E$6-$C$6)*($D$6-$C$6)),$E$6-SQRT((1-$AB287)*($E$6-$C$6)*($E$6-$D$6)))</f>
        <v/>
      </c>
      <c r="O287" s="14">
        <f>_xlfn.NORM.INV($AC287,$C$7,$D$7)</f>
        <v/>
      </c>
      <c r="P287" s="14">
        <f>$C$8+($D$8-$C$8)*$AD287</f>
        <v/>
      </c>
      <c r="Q287" s="14">
        <f>$C$9</f>
        <v/>
      </c>
      <c r="R287" s="14">
        <f>_xlfn.LOGNORM.INV($AF287,LN($C$10)-0.5*LN(1+($D$10/$C$10)^2),SQRT(LN(1+($D$10/$C$10)^2)))</f>
        <v/>
      </c>
      <c r="S287" s="14">
        <f>SUM(M287:R287)</f>
        <v/>
      </c>
      <c r="AA287">
        <f>RAND()</f>
        <v/>
      </c>
      <c r="AB287">
        <f>RAND()</f>
        <v/>
      </c>
      <c r="AC287">
        <f>RAND()</f>
        <v/>
      </c>
      <c r="AD287">
        <f>RAND()</f>
        <v/>
      </c>
      <c r="AE287">
        <f>RAND()</f>
        <v/>
      </c>
      <c r="AF287">
        <f>RAND()</f>
        <v/>
      </c>
    </row>
    <row r="288">
      <c r="M288" s="14">
        <f>_xlfn.BETA.INV($AA288,1+4*($D$5-$C$5)/($E$5-$C$5),1+4*($E$5-$D$5)/($E$5-$C$5),$C$5,$E$5)</f>
        <v/>
      </c>
      <c r="N288" s="14">
        <f>IF($AB288&lt;($D$6-$C$6)/($E$6-$C$6),$C$6+SQRT($AB288*($E$6-$C$6)*($D$6-$C$6)),$E$6-SQRT((1-$AB288)*($E$6-$C$6)*($E$6-$D$6)))</f>
        <v/>
      </c>
      <c r="O288" s="14">
        <f>_xlfn.NORM.INV($AC288,$C$7,$D$7)</f>
        <v/>
      </c>
      <c r="P288" s="14">
        <f>$C$8+($D$8-$C$8)*$AD288</f>
        <v/>
      </c>
      <c r="Q288" s="14">
        <f>$C$9</f>
        <v/>
      </c>
      <c r="R288" s="14">
        <f>_xlfn.LOGNORM.INV($AF288,LN($C$10)-0.5*LN(1+($D$10/$C$10)^2),SQRT(LN(1+($D$10/$C$10)^2)))</f>
        <v/>
      </c>
      <c r="S288" s="14">
        <f>SUM(M288:R288)</f>
        <v/>
      </c>
      <c r="AA288">
        <f>RAND()</f>
        <v/>
      </c>
      <c r="AB288">
        <f>RAND()</f>
        <v/>
      </c>
      <c r="AC288">
        <f>RAND()</f>
        <v/>
      </c>
      <c r="AD288">
        <f>RAND()</f>
        <v/>
      </c>
      <c r="AE288">
        <f>RAND()</f>
        <v/>
      </c>
      <c r="AF288">
        <f>RAND()</f>
        <v/>
      </c>
    </row>
    <row r="289">
      <c r="M289" s="14">
        <f>_xlfn.BETA.INV($AA289,1+4*($D$5-$C$5)/($E$5-$C$5),1+4*($E$5-$D$5)/($E$5-$C$5),$C$5,$E$5)</f>
        <v/>
      </c>
      <c r="N289" s="14">
        <f>IF($AB289&lt;($D$6-$C$6)/($E$6-$C$6),$C$6+SQRT($AB289*($E$6-$C$6)*($D$6-$C$6)),$E$6-SQRT((1-$AB289)*($E$6-$C$6)*($E$6-$D$6)))</f>
        <v/>
      </c>
      <c r="O289" s="14">
        <f>_xlfn.NORM.INV($AC289,$C$7,$D$7)</f>
        <v/>
      </c>
      <c r="P289" s="14">
        <f>$C$8+($D$8-$C$8)*$AD289</f>
        <v/>
      </c>
      <c r="Q289" s="14">
        <f>$C$9</f>
        <v/>
      </c>
      <c r="R289" s="14">
        <f>_xlfn.LOGNORM.INV($AF289,LN($C$10)-0.5*LN(1+($D$10/$C$10)^2),SQRT(LN(1+($D$10/$C$10)^2)))</f>
        <v/>
      </c>
      <c r="S289" s="14">
        <f>SUM(M289:R289)</f>
        <v/>
      </c>
      <c r="AA289">
        <f>RAND()</f>
        <v/>
      </c>
      <c r="AB289">
        <f>RAND()</f>
        <v/>
      </c>
      <c r="AC289">
        <f>RAND()</f>
        <v/>
      </c>
      <c r="AD289">
        <f>RAND()</f>
        <v/>
      </c>
      <c r="AE289">
        <f>RAND()</f>
        <v/>
      </c>
      <c r="AF289">
        <f>RAND()</f>
        <v/>
      </c>
    </row>
    <row r="290">
      <c r="M290" s="14">
        <f>_xlfn.BETA.INV($AA290,1+4*($D$5-$C$5)/($E$5-$C$5),1+4*($E$5-$D$5)/($E$5-$C$5),$C$5,$E$5)</f>
        <v/>
      </c>
      <c r="N290" s="14">
        <f>IF($AB290&lt;($D$6-$C$6)/($E$6-$C$6),$C$6+SQRT($AB290*($E$6-$C$6)*($D$6-$C$6)),$E$6-SQRT((1-$AB290)*($E$6-$C$6)*($E$6-$D$6)))</f>
        <v/>
      </c>
      <c r="O290" s="14">
        <f>_xlfn.NORM.INV($AC290,$C$7,$D$7)</f>
        <v/>
      </c>
      <c r="P290" s="14">
        <f>$C$8+($D$8-$C$8)*$AD290</f>
        <v/>
      </c>
      <c r="Q290" s="14">
        <f>$C$9</f>
        <v/>
      </c>
      <c r="R290" s="14">
        <f>_xlfn.LOGNORM.INV($AF290,LN($C$10)-0.5*LN(1+($D$10/$C$10)^2),SQRT(LN(1+($D$10/$C$10)^2)))</f>
        <v/>
      </c>
      <c r="S290" s="14">
        <f>SUM(M290:R290)</f>
        <v/>
      </c>
      <c r="AA290">
        <f>RAND()</f>
        <v/>
      </c>
      <c r="AB290">
        <f>RAND()</f>
        <v/>
      </c>
      <c r="AC290">
        <f>RAND()</f>
        <v/>
      </c>
      <c r="AD290">
        <f>RAND()</f>
        <v/>
      </c>
      <c r="AE290">
        <f>RAND()</f>
        <v/>
      </c>
      <c r="AF290">
        <f>RAND()</f>
        <v/>
      </c>
    </row>
    <row r="291">
      <c r="M291" s="14">
        <f>_xlfn.BETA.INV($AA291,1+4*($D$5-$C$5)/($E$5-$C$5),1+4*($E$5-$D$5)/($E$5-$C$5),$C$5,$E$5)</f>
        <v/>
      </c>
      <c r="N291" s="14">
        <f>IF($AB291&lt;($D$6-$C$6)/($E$6-$C$6),$C$6+SQRT($AB291*($E$6-$C$6)*($D$6-$C$6)),$E$6-SQRT((1-$AB291)*($E$6-$C$6)*($E$6-$D$6)))</f>
        <v/>
      </c>
      <c r="O291" s="14">
        <f>_xlfn.NORM.INV($AC291,$C$7,$D$7)</f>
        <v/>
      </c>
      <c r="P291" s="14">
        <f>$C$8+($D$8-$C$8)*$AD291</f>
        <v/>
      </c>
      <c r="Q291" s="14">
        <f>$C$9</f>
        <v/>
      </c>
      <c r="R291" s="14">
        <f>_xlfn.LOGNORM.INV($AF291,LN($C$10)-0.5*LN(1+($D$10/$C$10)^2),SQRT(LN(1+($D$10/$C$10)^2)))</f>
        <v/>
      </c>
      <c r="S291" s="14">
        <f>SUM(M291:R291)</f>
        <v/>
      </c>
      <c r="AA291">
        <f>RAND()</f>
        <v/>
      </c>
      <c r="AB291">
        <f>RAND()</f>
        <v/>
      </c>
      <c r="AC291">
        <f>RAND()</f>
        <v/>
      </c>
      <c r="AD291">
        <f>RAND()</f>
        <v/>
      </c>
      <c r="AE291">
        <f>RAND()</f>
        <v/>
      </c>
      <c r="AF291">
        <f>RAND()</f>
        <v/>
      </c>
    </row>
    <row r="292">
      <c r="M292" s="14">
        <f>_xlfn.BETA.INV($AA292,1+4*($D$5-$C$5)/($E$5-$C$5),1+4*($E$5-$D$5)/($E$5-$C$5),$C$5,$E$5)</f>
        <v/>
      </c>
      <c r="N292" s="14">
        <f>IF($AB292&lt;($D$6-$C$6)/($E$6-$C$6),$C$6+SQRT($AB292*($E$6-$C$6)*($D$6-$C$6)),$E$6-SQRT((1-$AB292)*($E$6-$C$6)*($E$6-$D$6)))</f>
        <v/>
      </c>
      <c r="O292" s="14">
        <f>_xlfn.NORM.INV($AC292,$C$7,$D$7)</f>
        <v/>
      </c>
      <c r="P292" s="14">
        <f>$C$8+($D$8-$C$8)*$AD292</f>
        <v/>
      </c>
      <c r="Q292" s="14">
        <f>$C$9</f>
        <v/>
      </c>
      <c r="R292" s="14">
        <f>_xlfn.LOGNORM.INV($AF292,LN($C$10)-0.5*LN(1+($D$10/$C$10)^2),SQRT(LN(1+($D$10/$C$10)^2)))</f>
        <v/>
      </c>
      <c r="S292" s="14">
        <f>SUM(M292:R292)</f>
        <v/>
      </c>
      <c r="AA292">
        <f>RAND()</f>
        <v/>
      </c>
      <c r="AB292">
        <f>RAND()</f>
        <v/>
      </c>
      <c r="AC292">
        <f>RAND()</f>
        <v/>
      </c>
      <c r="AD292">
        <f>RAND()</f>
        <v/>
      </c>
      <c r="AE292">
        <f>RAND()</f>
        <v/>
      </c>
      <c r="AF292">
        <f>RAND()</f>
        <v/>
      </c>
    </row>
    <row r="293">
      <c r="M293" s="14">
        <f>_xlfn.BETA.INV($AA293,1+4*($D$5-$C$5)/($E$5-$C$5),1+4*($E$5-$D$5)/($E$5-$C$5),$C$5,$E$5)</f>
        <v/>
      </c>
      <c r="N293" s="14">
        <f>IF($AB293&lt;($D$6-$C$6)/($E$6-$C$6),$C$6+SQRT($AB293*($E$6-$C$6)*($D$6-$C$6)),$E$6-SQRT((1-$AB293)*($E$6-$C$6)*($E$6-$D$6)))</f>
        <v/>
      </c>
      <c r="O293" s="14">
        <f>_xlfn.NORM.INV($AC293,$C$7,$D$7)</f>
        <v/>
      </c>
      <c r="P293" s="14">
        <f>$C$8+($D$8-$C$8)*$AD293</f>
        <v/>
      </c>
      <c r="Q293" s="14">
        <f>$C$9</f>
        <v/>
      </c>
      <c r="R293" s="14">
        <f>_xlfn.LOGNORM.INV($AF293,LN($C$10)-0.5*LN(1+($D$10/$C$10)^2),SQRT(LN(1+($D$10/$C$10)^2)))</f>
        <v/>
      </c>
      <c r="S293" s="14">
        <f>SUM(M293:R293)</f>
        <v/>
      </c>
      <c r="AA293">
        <f>RAND()</f>
        <v/>
      </c>
      <c r="AB293">
        <f>RAND()</f>
        <v/>
      </c>
      <c r="AC293">
        <f>RAND()</f>
        <v/>
      </c>
      <c r="AD293">
        <f>RAND()</f>
        <v/>
      </c>
      <c r="AE293">
        <f>RAND()</f>
        <v/>
      </c>
      <c r="AF293">
        <f>RAND()</f>
        <v/>
      </c>
    </row>
    <row r="294">
      <c r="M294" s="14">
        <f>_xlfn.BETA.INV($AA294,1+4*($D$5-$C$5)/($E$5-$C$5),1+4*($E$5-$D$5)/($E$5-$C$5),$C$5,$E$5)</f>
        <v/>
      </c>
      <c r="N294" s="14">
        <f>IF($AB294&lt;($D$6-$C$6)/($E$6-$C$6),$C$6+SQRT($AB294*($E$6-$C$6)*($D$6-$C$6)),$E$6-SQRT((1-$AB294)*($E$6-$C$6)*($E$6-$D$6)))</f>
        <v/>
      </c>
      <c r="O294" s="14">
        <f>_xlfn.NORM.INV($AC294,$C$7,$D$7)</f>
        <v/>
      </c>
      <c r="P294" s="14">
        <f>$C$8+($D$8-$C$8)*$AD294</f>
        <v/>
      </c>
      <c r="Q294" s="14">
        <f>$C$9</f>
        <v/>
      </c>
      <c r="R294" s="14">
        <f>_xlfn.LOGNORM.INV($AF294,LN($C$10)-0.5*LN(1+($D$10/$C$10)^2),SQRT(LN(1+($D$10/$C$10)^2)))</f>
        <v/>
      </c>
      <c r="S294" s="14">
        <f>SUM(M294:R294)</f>
        <v/>
      </c>
      <c r="AA294">
        <f>RAND()</f>
        <v/>
      </c>
      <c r="AB294">
        <f>RAND()</f>
        <v/>
      </c>
      <c r="AC294">
        <f>RAND()</f>
        <v/>
      </c>
      <c r="AD294">
        <f>RAND()</f>
        <v/>
      </c>
      <c r="AE294">
        <f>RAND()</f>
        <v/>
      </c>
      <c r="AF294">
        <f>RAND()</f>
        <v/>
      </c>
    </row>
    <row r="295">
      <c r="M295" s="14">
        <f>_xlfn.BETA.INV($AA295,1+4*($D$5-$C$5)/($E$5-$C$5),1+4*($E$5-$D$5)/($E$5-$C$5),$C$5,$E$5)</f>
        <v/>
      </c>
      <c r="N295" s="14">
        <f>IF($AB295&lt;($D$6-$C$6)/($E$6-$C$6),$C$6+SQRT($AB295*($E$6-$C$6)*($D$6-$C$6)),$E$6-SQRT((1-$AB295)*($E$6-$C$6)*($E$6-$D$6)))</f>
        <v/>
      </c>
      <c r="O295" s="14">
        <f>_xlfn.NORM.INV($AC295,$C$7,$D$7)</f>
        <v/>
      </c>
      <c r="P295" s="14">
        <f>$C$8+($D$8-$C$8)*$AD295</f>
        <v/>
      </c>
      <c r="Q295" s="14">
        <f>$C$9</f>
        <v/>
      </c>
      <c r="R295" s="14">
        <f>_xlfn.LOGNORM.INV($AF295,LN($C$10)-0.5*LN(1+($D$10/$C$10)^2),SQRT(LN(1+($D$10/$C$10)^2)))</f>
        <v/>
      </c>
      <c r="S295" s="14">
        <f>SUM(M295:R295)</f>
        <v/>
      </c>
      <c r="AA295">
        <f>RAND()</f>
        <v/>
      </c>
      <c r="AB295">
        <f>RAND()</f>
        <v/>
      </c>
      <c r="AC295">
        <f>RAND()</f>
        <v/>
      </c>
      <c r="AD295">
        <f>RAND()</f>
        <v/>
      </c>
      <c r="AE295">
        <f>RAND()</f>
        <v/>
      </c>
      <c r="AF295">
        <f>RAND()</f>
        <v/>
      </c>
    </row>
    <row r="296">
      <c r="M296" s="14">
        <f>_xlfn.BETA.INV($AA296,1+4*($D$5-$C$5)/($E$5-$C$5),1+4*($E$5-$D$5)/($E$5-$C$5),$C$5,$E$5)</f>
        <v/>
      </c>
      <c r="N296" s="14">
        <f>IF($AB296&lt;($D$6-$C$6)/($E$6-$C$6),$C$6+SQRT($AB296*($E$6-$C$6)*($D$6-$C$6)),$E$6-SQRT((1-$AB296)*($E$6-$C$6)*($E$6-$D$6)))</f>
        <v/>
      </c>
      <c r="O296" s="14">
        <f>_xlfn.NORM.INV($AC296,$C$7,$D$7)</f>
        <v/>
      </c>
      <c r="P296" s="14">
        <f>$C$8+($D$8-$C$8)*$AD296</f>
        <v/>
      </c>
      <c r="Q296" s="14">
        <f>$C$9</f>
        <v/>
      </c>
      <c r="R296" s="14">
        <f>_xlfn.LOGNORM.INV($AF296,LN($C$10)-0.5*LN(1+($D$10/$C$10)^2),SQRT(LN(1+($D$10/$C$10)^2)))</f>
        <v/>
      </c>
      <c r="S296" s="14">
        <f>SUM(M296:R296)</f>
        <v/>
      </c>
      <c r="AA296">
        <f>RAND()</f>
        <v/>
      </c>
      <c r="AB296">
        <f>RAND()</f>
        <v/>
      </c>
      <c r="AC296">
        <f>RAND()</f>
        <v/>
      </c>
      <c r="AD296">
        <f>RAND()</f>
        <v/>
      </c>
      <c r="AE296">
        <f>RAND()</f>
        <v/>
      </c>
      <c r="AF296">
        <f>RAND()</f>
        <v/>
      </c>
    </row>
    <row r="297">
      <c r="M297" s="14">
        <f>_xlfn.BETA.INV($AA297,1+4*($D$5-$C$5)/($E$5-$C$5),1+4*($E$5-$D$5)/($E$5-$C$5),$C$5,$E$5)</f>
        <v/>
      </c>
      <c r="N297" s="14">
        <f>IF($AB297&lt;($D$6-$C$6)/($E$6-$C$6),$C$6+SQRT($AB297*($E$6-$C$6)*($D$6-$C$6)),$E$6-SQRT((1-$AB297)*($E$6-$C$6)*($E$6-$D$6)))</f>
        <v/>
      </c>
      <c r="O297" s="14">
        <f>_xlfn.NORM.INV($AC297,$C$7,$D$7)</f>
        <v/>
      </c>
      <c r="P297" s="14">
        <f>$C$8+($D$8-$C$8)*$AD297</f>
        <v/>
      </c>
      <c r="Q297" s="14">
        <f>$C$9</f>
        <v/>
      </c>
      <c r="R297" s="14">
        <f>_xlfn.LOGNORM.INV($AF297,LN($C$10)-0.5*LN(1+($D$10/$C$10)^2),SQRT(LN(1+($D$10/$C$10)^2)))</f>
        <v/>
      </c>
      <c r="S297" s="14">
        <f>SUM(M297:R297)</f>
        <v/>
      </c>
      <c r="AA297">
        <f>RAND()</f>
        <v/>
      </c>
      <c r="AB297">
        <f>RAND()</f>
        <v/>
      </c>
      <c r="AC297">
        <f>RAND()</f>
        <v/>
      </c>
      <c r="AD297">
        <f>RAND()</f>
        <v/>
      </c>
      <c r="AE297">
        <f>RAND()</f>
        <v/>
      </c>
      <c r="AF297">
        <f>RAND()</f>
        <v/>
      </c>
    </row>
    <row r="298">
      <c r="M298" s="14">
        <f>_xlfn.BETA.INV($AA298,1+4*($D$5-$C$5)/($E$5-$C$5),1+4*($E$5-$D$5)/($E$5-$C$5),$C$5,$E$5)</f>
        <v/>
      </c>
      <c r="N298" s="14">
        <f>IF($AB298&lt;($D$6-$C$6)/($E$6-$C$6),$C$6+SQRT($AB298*($E$6-$C$6)*($D$6-$C$6)),$E$6-SQRT((1-$AB298)*($E$6-$C$6)*($E$6-$D$6)))</f>
        <v/>
      </c>
      <c r="O298" s="14">
        <f>_xlfn.NORM.INV($AC298,$C$7,$D$7)</f>
        <v/>
      </c>
      <c r="P298" s="14">
        <f>$C$8+($D$8-$C$8)*$AD298</f>
        <v/>
      </c>
      <c r="Q298" s="14">
        <f>$C$9</f>
        <v/>
      </c>
      <c r="R298" s="14">
        <f>_xlfn.LOGNORM.INV($AF298,LN($C$10)-0.5*LN(1+($D$10/$C$10)^2),SQRT(LN(1+($D$10/$C$10)^2)))</f>
        <v/>
      </c>
      <c r="S298" s="14">
        <f>SUM(M298:R298)</f>
        <v/>
      </c>
      <c r="AA298">
        <f>RAND()</f>
        <v/>
      </c>
      <c r="AB298">
        <f>RAND()</f>
        <v/>
      </c>
      <c r="AC298">
        <f>RAND()</f>
        <v/>
      </c>
      <c r="AD298">
        <f>RAND()</f>
        <v/>
      </c>
      <c r="AE298">
        <f>RAND()</f>
        <v/>
      </c>
      <c r="AF298">
        <f>RAND()</f>
        <v/>
      </c>
    </row>
    <row r="299">
      <c r="M299" s="14">
        <f>_xlfn.BETA.INV($AA299,1+4*($D$5-$C$5)/($E$5-$C$5),1+4*($E$5-$D$5)/($E$5-$C$5),$C$5,$E$5)</f>
        <v/>
      </c>
      <c r="N299" s="14">
        <f>IF($AB299&lt;($D$6-$C$6)/($E$6-$C$6),$C$6+SQRT($AB299*($E$6-$C$6)*($D$6-$C$6)),$E$6-SQRT((1-$AB299)*($E$6-$C$6)*($E$6-$D$6)))</f>
        <v/>
      </c>
      <c r="O299" s="14">
        <f>_xlfn.NORM.INV($AC299,$C$7,$D$7)</f>
        <v/>
      </c>
      <c r="P299" s="14">
        <f>$C$8+($D$8-$C$8)*$AD299</f>
        <v/>
      </c>
      <c r="Q299" s="14">
        <f>$C$9</f>
        <v/>
      </c>
      <c r="R299" s="14">
        <f>_xlfn.LOGNORM.INV($AF299,LN($C$10)-0.5*LN(1+($D$10/$C$10)^2),SQRT(LN(1+($D$10/$C$10)^2)))</f>
        <v/>
      </c>
      <c r="S299" s="14">
        <f>SUM(M299:R299)</f>
        <v/>
      </c>
      <c r="AA299">
        <f>RAND()</f>
        <v/>
      </c>
      <c r="AB299">
        <f>RAND()</f>
        <v/>
      </c>
      <c r="AC299">
        <f>RAND()</f>
        <v/>
      </c>
      <c r="AD299">
        <f>RAND()</f>
        <v/>
      </c>
      <c r="AE299">
        <f>RAND()</f>
        <v/>
      </c>
      <c r="AF299">
        <f>RAND()</f>
        <v/>
      </c>
    </row>
    <row r="300">
      <c r="M300" s="14">
        <f>_xlfn.BETA.INV($AA300,1+4*($D$5-$C$5)/($E$5-$C$5),1+4*($E$5-$D$5)/($E$5-$C$5),$C$5,$E$5)</f>
        <v/>
      </c>
      <c r="N300" s="14">
        <f>IF($AB300&lt;($D$6-$C$6)/($E$6-$C$6),$C$6+SQRT($AB300*($E$6-$C$6)*($D$6-$C$6)),$E$6-SQRT((1-$AB300)*($E$6-$C$6)*($E$6-$D$6)))</f>
        <v/>
      </c>
      <c r="O300" s="14">
        <f>_xlfn.NORM.INV($AC300,$C$7,$D$7)</f>
        <v/>
      </c>
      <c r="P300" s="14">
        <f>$C$8+($D$8-$C$8)*$AD300</f>
        <v/>
      </c>
      <c r="Q300" s="14">
        <f>$C$9</f>
        <v/>
      </c>
      <c r="R300" s="14">
        <f>_xlfn.LOGNORM.INV($AF300,LN($C$10)-0.5*LN(1+($D$10/$C$10)^2),SQRT(LN(1+($D$10/$C$10)^2)))</f>
        <v/>
      </c>
      <c r="S300" s="14">
        <f>SUM(M300:R300)</f>
        <v/>
      </c>
      <c r="AA300">
        <f>RAND()</f>
        <v/>
      </c>
      <c r="AB300">
        <f>RAND()</f>
        <v/>
      </c>
      <c r="AC300">
        <f>RAND()</f>
        <v/>
      </c>
      <c r="AD300">
        <f>RAND()</f>
        <v/>
      </c>
      <c r="AE300">
        <f>RAND()</f>
        <v/>
      </c>
      <c r="AF300">
        <f>RAND()</f>
        <v/>
      </c>
    </row>
    <row r="301">
      <c r="M301" s="14">
        <f>_xlfn.BETA.INV($AA301,1+4*($D$5-$C$5)/($E$5-$C$5),1+4*($E$5-$D$5)/($E$5-$C$5),$C$5,$E$5)</f>
        <v/>
      </c>
      <c r="N301" s="14">
        <f>IF($AB301&lt;($D$6-$C$6)/($E$6-$C$6),$C$6+SQRT($AB301*($E$6-$C$6)*($D$6-$C$6)),$E$6-SQRT((1-$AB301)*($E$6-$C$6)*($E$6-$D$6)))</f>
        <v/>
      </c>
      <c r="O301" s="14">
        <f>_xlfn.NORM.INV($AC301,$C$7,$D$7)</f>
        <v/>
      </c>
      <c r="P301" s="14">
        <f>$C$8+($D$8-$C$8)*$AD301</f>
        <v/>
      </c>
      <c r="Q301" s="14">
        <f>$C$9</f>
        <v/>
      </c>
      <c r="R301" s="14">
        <f>_xlfn.LOGNORM.INV($AF301,LN($C$10)-0.5*LN(1+($D$10/$C$10)^2),SQRT(LN(1+($D$10/$C$10)^2)))</f>
        <v/>
      </c>
      <c r="S301" s="14">
        <f>SUM(M301:R301)</f>
        <v/>
      </c>
      <c r="AA301">
        <f>RAND()</f>
        <v/>
      </c>
      <c r="AB301">
        <f>RAND()</f>
        <v/>
      </c>
      <c r="AC301">
        <f>RAND()</f>
        <v/>
      </c>
      <c r="AD301">
        <f>RAND()</f>
        <v/>
      </c>
      <c r="AE301">
        <f>RAND()</f>
        <v/>
      </c>
      <c r="AF301">
        <f>RAND()</f>
        <v/>
      </c>
    </row>
    <row r="302">
      <c r="M302" s="14">
        <f>_xlfn.BETA.INV($AA302,1+4*($D$5-$C$5)/($E$5-$C$5),1+4*($E$5-$D$5)/($E$5-$C$5),$C$5,$E$5)</f>
        <v/>
      </c>
      <c r="N302" s="14">
        <f>IF($AB302&lt;($D$6-$C$6)/($E$6-$C$6),$C$6+SQRT($AB302*($E$6-$C$6)*($D$6-$C$6)),$E$6-SQRT((1-$AB302)*($E$6-$C$6)*($E$6-$D$6)))</f>
        <v/>
      </c>
      <c r="O302" s="14">
        <f>_xlfn.NORM.INV($AC302,$C$7,$D$7)</f>
        <v/>
      </c>
      <c r="P302" s="14">
        <f>$C$8+($D$8-$C$8)*$AD302</f>
        <v/>
      </c>
      <c r="Q302" s="14">
        <f>$C$9</f>
        <v/>
      </c>
      <c r="R302" s="14">
        <f>_xlfn.LOGNORM.INV($AF302,LN($C$10)-0.5*LN(1+($D$10/$C$10)^2),SQRT(LN(1+($D$10/$C$10)^2)))</f>
        <v/>
      </c>
      <c r="S302" s="14">
        <f>SUM(M302:R302)</f>
        <v/>
      </c>
      <c r="AA302">
        <f>RAND()</f>
        <v/>
      </c>
      <c r="AB302">
        <f>RAND()</f>
        <v/>
      </c>
      <c r="AC302">
        <f>RAND()</f>
        <v/>
      </c>
      <c r="AD302">
        <f>RAND()</f>
        <v/>
      </c>
      <c r="AE302">
        <f>RAND()</f>
        <v/>
      </c>
      <c r="AF302">
        <f>RAND()</f>
        <v/>
      </c>
    </row>
    <row r="303">
      <c r="M303" s="14">
        <f>_xlfn.BETA.INV($AA303,1+4*($D$5-$C$5)/($E$5-$C$5),1+4*($E$5-$D$5)/($E$5-$C$5),$C$5,$E$5)</f>
        <v/>
      </c>
      <c r="N303" s="14">
        <f>IF($AB303&lt;($D$6-$C$6)/($E$6-$C$6),$C$6+SQRT($AB303*($E$6-$C$6)*($D$6-$C$6)),$E$6-SQRT((1-$AB303)*($E$6-$C$6)*($E$6-$D$6)))</f>
        <v/>
      </c>
      <c r="O303" s="14">
        <f>_xlfn.NORM.INV($AC303,$C$7,$D$7)</f>
        <v/>
      </c>
      <c r="P303" s="14">
        <f>$C$8+($D$8-$C$8)*$AD303</f>
        <v/>
      </c>
      <c r="Q303" s="14">
        <f>$C$9</f>
        <v/>
      </c>
      <c r="R303" s="14">
        <f>_xlfn.LOGNORM.INV($AF303,LN($C$10)-0.5*LN(1+($D$10/$C$10)^2),SQRT(LN(1+($D$10/$C$10)^2)))</f>
        <v/>
      </c>
      <c r="S303" s="14">
        <f>SUM(M303:R303)</f>
        <v/>
      </c>
      <c r="AA303">
        <f>RAND()</f>
        <v/>
      </c>
      <c r="AB303">
        <f>RAND()</f>
        <v/>
      </c>
      <c r="AC303">
        <f>RAND()</f>
        <v/>
      </c>
      <c r="AD303">
        <f>RAND()</f>
        <v/>
      </c>
      <c r="AE303">
        <f>RAND()</f>
        <v/>
      </c>
      <c r="AF303">
        <f>RAND()</f>
        <v/>
      </c>
    </row>
    <row r="304">
      <c r="M304" s="14">
        <f>_xlfn.BETA.INV($AA304,1+4*($D$5-$C$5)/($E$5-$C$5),1+4*($E$5-$D$5)/($E$5-$C$5),$C$5,$E$5)</f>
        <v/>
      </c>
      <c r="N304" s="14">
        <f>IF($AB304&lt;($D$6-$C$6)/($E$6-$C$6),$C$6+SQRT($AB304*($E$6-$C$6)*($D$6-$C$6)),$E$6-SQRT((1-$AB304)*($E$6-$C$6)*($E$6-$D$6)))</f>
        <v/>
      </c>
      <c r="O304" s="14">
        <f>_xlfn.NORM.INV($AC304,$C$7,$D$7)</f>
        <v/>
      </c>
      <c r="P304" s="14">
        <f>$C$8+($D$8-$C$8)*$AD304</f>
        <v/>
      </c>
      <c r="Q304" s="14">
        <f>$C$9</f>
        <v/>
      </c>
      <c r="R304" s="14">
        <f>_xlfn.LOGNORM.INV($AF304,LN($C$10)-0.5*LN(1+($D$10/$C$10)^2),SQRT(LN(1+($D$10/$C$10)^2)))</f>
        <v/>
      </c>
      <c r="S304" s="14">
        <f>SUM(M304:R304)</f>
        <v/>
      </c>
      <c r="AA304">
        <f>RAND()</f>
        <v/>
      </c>
      <c r="AB304">
        <f>RAND()</f>
        <v/>
      </c>
      <c r="AC304">
        <f>RAND()</f>
        <v/>
      </c>
      <c r="AD304">
        <f>RAND()</f>
        <v/>
      </c>
      <c r="AE304">
        <f>RAND()</f>
        <v/>
      </c>
      <c r="AF304">
        <f>RAND()</f>
        <v/>
      </c>
    </row>
    <row r="305">
      <c r="M305" s="14">
        <f>_xlfn.BETA.INV($AA305,1+4*($D$5-$C$5)/($E$5-$C$5),1+4*($E$5-$D$5)/($E$5-$C$5),$C$5,$E$5)</f>
        <v/>
      </c>
      <c r="N305" s="14">
        <f>IF($AB305&lt;($D$6-$C$6)/($E$6-$C$6),$C$6+SQRT($AB305*($E$6-$C$6)*($D$6-$C$6)),$E$6-SQRT((1-$AB305)*($E$6-$C$6)*($E$6-$D$6)))</f>
        <v/>
      </c>
      <c r="O305" s="14">
        <f>_xlfn.NORM.INV($AC305,$C$7,$D$7)</f>
        <v/>
      </c>
      <c r="P305" s="14">
        <f>$C$8+($D$8-$C$8)*$AD305</f>
        <v/>
      </c>
      <c r="Q305" s="14">
        <f>$C$9</f>
        <v/>
      </c>
      <c r="R305" s="14">
        <f>_xlfn.LOGNORM.INV($AF305,LN($C$10)-0.5*LN(1+($D$10/$C$10)^2),SQRT(LN(1+($D$10/$C$10)^2)))</f>
        <v/>
      </c>
      <c r="S305" s="14">
        <f>SUM(M305:R305)</f>
        <v/>
      </c>
      <c r="AA305">
        <f>RAND()</f>
        <v/>
      </c>
      <c r="AB305">
        <f>RAND()</f>
        <v/>
      </c>
      <c r="AC305">
        <f>RAND()</f>
        <v/>
      </c>
      <c r="AD305">
        <f>RAND()</f>
        <v/>
      </c>
      <c r="AE305">
        <f>RAND()</f>
        <v/>
      </c>
      <c r="AF305">
        <f>RAND()</f>
        <v/>
      </c>
    </row>
    <row r="306">
      <c r="M306" s="14">
        <f>_xlfn.BETA.INV($AA306,1+4*($D$5-$C$5)/($E$5-$C$5),1+4*($E$5-$D$5)/($E$5-$C$5),$C$5,$E$5)</f>
        <v/>
      </c>
      <c r="N306" s="14">
        <f>IF($AB306&lt;($D$6-$C$6)/($E$6-$C$6),$C$6+SQRT($AB306*($E$6-$C$6)*($D$6-$C$6)),$E$6-SQRT((1-$AB306)*($E$6-$C$6)*($E$6-$D$6)))</f>
        <v/>
      </c>
      <c r="O306" s="14">
        <f>_xlfn.NORM.INV($AC306,$C$7,$D$7)</f>
        <v/>
      </c>
      <c r="P306" s="14">
        <f>$C$8+($D$8-$C$8)*$AD306</f>
        <v/>
      </c>
      <c r="Q306" s="14">
        <f>$C$9</f>
        <v/>
      </c>
      <c r="R306" s="14">
        <f>_xlfn.LOGNORM.INV($AF306,LN($C$10)-0.5*LN(1+($D$10/$C$10)^2),SQRT(LN(1+($D$10/$C$10)^2)))</f>
        <v/>
      </c>
      <c r="S306" s="14">
        <f>SUM(M306:R306)</f>
        <v/>
      </c>
      <c r="AA306">
        <f>RAND()</f>
        <v/>
      </c>
      <c r="AB306">
        <f>RAND()</f>
        <v/>
      </c>
      <c r="AC306">
        <f>RAND()</f>
        <v/>
      </c>
      <c r="AD306">
        <f>RAND()</f>
        <v/>
      </c>
      <c r="AE306">
        <f>RAND()</f>
        <v/>
      </c>
      <c r="AF306">
        <f>RAND()</f>
        <v/>
      </c>
    </row>
    <row r="307">
      <c r="M307" s="14">
        <f>_xlfn.BETA.INV($AA307,1+4*($D$5-$C$5)/($E$5-$C$5),1+4*($E$5-$D$5)/($E$5-$C$5),$C$5,$E$5)</f>
        <v/>
      </c>
      <c r="N307" s="14">
        <f>IF($AB307&lt;($D$6-$C$6)/($E$6-$C$6),$C$6+SQRT($AB307*($E$6-$C$6)*($D$6-$C$6)),$E$6-SQRT((1-$AB307)*($E$6-$C$6)*($E$6-$D$6)))</f>
        <v/>
      </c>
      <c r="O307" s="14">
        <f>_xlfn.NORM.INV($AC307,$C$7,$D$7)</f>
        <v/>
      </c>
      <c r="P307" s="14">
        <f>$C$8+($D$8-$C$8)*$AD307</f>
        <v/>
      </c>
      <c r="Q307" s="14">
        <f>$C$9</f>
        <v/>
      </c>
      <c r="R307" s="14">
        <f>_xlfn.LOGNORM.INV($AF307,LN($C$10)-0.5*LN(1+($D$10/$C$10)^2),SQRT(LN(1+($D$10/$C$10)^2)))</f>
        <v/>
      </c>
      <c r="S307" s="14">
        <f>SUM(M307:R307)</f>
        <v/>
      </c>
      <c r="AA307">
        <f>RAND()</f>
        <v/>
      </c>
      <c r="AB307">
        <f>RAND()</f>
        <v/>
      </c>
      <c r="AC307">
        <f>RAND()</f>
        <v/>
      </c>
      <c r="AD307">
        <f>RAND()</f>
        <v/>
      </c>
      <c r="AE307">
        <f>RAND()</f>
        <v/>
      </c>
      <c r="AF307">
        <f>RAND()</f>
        <v/>
      </c>
    </row>
    <row r="308">
      <c r="M308" s="14">
        <f>_xlfn.BETA.INV($AA308,1+4*($D$5-$C$5)/($E$5-$C$5),1+4*($E$5-$D$5)/($E$5-$C$5),$C$5,$E$5)</f>
        <v/>
      </c>
      <c r="N308" s="14">
        <f>IF($AB308&lt;($D$6-$C$6)/($E$6-$C$6),$C$6+SQRT($AB308*($E$6-$C$6)*($D$6-$C$6)),$E$6-SQRT((1-$AB308)*($E$6-$C$6)*($E$6-$D$6)))</f>
        <v/>
      </c>
      <c r="O308" s="14">
        <f>_xlfn.NORM.INV($AC308,$C$7,$D$7)</f>
        <v/>
      </c>
      <c r="P308" s="14">
        <f>$C$8+($D$8-$C$8)*$AD308</f>
        <v/>
      </c>
      <c r="Q308" s="14">
        <f>$C$9</f>
        <v/>
      </c>
      <c r="R308" s="14">
        <f>_xlfn.LOGNORM.INV($AF308,LN($C$10)-0.5*LN(1+($D$10/$C$10)^2),SQRT(LN(1+($D$10/$C$10)^2)))</f>
        <v/>
      </c>
      <c r="S308" s="14">
        <f>SUM(M308:R308)</f>
        <v/>
      </c>
      <c r="AA308">
        <f>RAND()</f>
        <v/>
      </c>
      <c r="AB308">
        <f>RAND()</f>
        <v/>
      </c>
      <c r="AC308">
        <f>RAND()</f>
        <v/>
      </c>
      <c r="AD308">
        <f>RAND()</f>
        <v/>
      </c>
      <c r="AE308">
        <f>RAND()</f>
        <v/>
      </c>
      <c r="AF308">
        <f>RAND()</f>
        <v/>
      </c>
    </row>
    <row r="309">
      <c r="M309" s="14">
        <f>_xlfn.BETA.INV($AA309,1+4*($D$5-$C$5)/($E$5-$C$5),1+4*($E$5-$D$5)/($E$5-$C$5),$C$5,$E$5)</f>
        <v/>
      </c>
      <c r="N309" s="14">
        <f>IF($AB309&lt;($D$6-$C$6)/($E$6-$C$6),$C$6+SQRT($AB309*($E$6-$C$6)*($D$6-$C$6)),$E$6-SQRT((1-$AB309)*($E$6-$C$6)*($E$6-$D$6)))</f>
        <v/>
      </c>
      <c r="O309" s="14">
        <f>_xlfn.NORM.INV($AC309,$C$7,$D$7)</f>
        <v/>
      </c>
      <c r="P309" s="14">
        <f>$C$8+($D$8-$C$8)*$AD309</f>
        <v/>
      </c>
      <c r="Q309" s="14">
        <f>$C$9</f>
        <v/>
      </c>
      <c r="R309" s="14">
        <f>_xlfn.LOGNORM.INV($AF309,LN($C$10)-0.5*LN(1+($D$10/$C$10)^2),SQRT(LN(1+($D$10/$C$10)^2)))</f>
        <v/>
      </c>
      <c r="S309" s="14">
        <f>SUM(M309:R309)</f>
        <v/>
      </c>
      <c r="AA309">
        <f>RAND()</f>
        <v/>
      </c>
      <c r="AB309">
        <f>RAND()</f>
        <v/>
      </c>
      <c r="AC309">
        <f>RAND()</f>
        <v/>
      </c>
      <c r="AD309">
        <f>RAND()</f>
        <v/>
      </c>
      <c r="AE309">
        <f>RAND()</f>
        <v/>
      </c>
      <c r="AF309">
        <f>RAND()</f>
        <v/>
      </c>
    </row>
    <row r="310">
      <c r="M310" s="14">
        <f>_xlfn.BETA.INV($AA310,1+4*($D$5-$C$5)/($E$5-$C$5),1+4*($E$5-$D$5)/($E$5-$C$5),$C$5,$E$5)</f>
        <v/>
      </c>
      <c r="N310" s="14">
        <f>IF($AB310&lt;($D$6-$C$6)/($E$6-$C$6),$C$6+SQRT($AB310*($E$6-$C$6)*($D$6-$C$6)),$E$6-SQRT((1-$AB310)*($E$6-$C$6)*($E$6-$D$6)))</f>
        <v/>
      </c>
      <c r="O310" s="14">
        <f>_xlfn.NORM.INV($AC310,$C$7,$D$7)</f>
        <v/>
      </c>
      <c r="P310" s="14">
        <f>$C$8+($D$8-$C$8)*$AD310</f>
        <v/>
      </c>
      <c r="Q310" s="14">
        <f>$C$9</f>
        <v/>
      </c>
      <c r="R310" s="14">
        <f>_xlfn.LOGNORM.INV($AF310,LN($C$10)-0.5*LN(1+($D$10/$C$10)^2),SQRT(LN(1+($D$10/$C$10)^2)))</f>
        <v/>
      </c>
      <c r="S310" s="14">
        <f>SUM(M310:R310)</f>
        <v/>
      </c>
      <c r="AA310">
        <f>RAND()</f>
        <v/>
      </c>
      <c r="AB310">
        <f>RAND()</f>
        <v/>
      </c>
      <c r="AC310">
        <f>RAND()</f>
        <v/>
      </c>
      <c r="AD310">
        <f>RAND()</f>
        <v/>
      </c>
      <c r="AE310">
        <f>RAND()</f>
        <v/>
      </c>
      <c r="AF310">
        <f>RAND()</f>
        <v/>
      </c>
    </row>
    <row r="311">
      <c r="M311" s="14">
        <f>_xlfn.BETA.INV($AA311,1+4*($D$5-$C$5)/($E$5-$C$5),1+4*($E$5-$D$5)/($E$5-$C$5),$C$5,$E$5)</f>
        <v/>
      </c>
      <c r="N311" s="14">
        <f>IF($AB311&lt;($D$6-$C$6)/($E$6-$C$6),$C$6+SQRT($AB311*($E$6-$C$6)*($D$6-$C$6)),$E$6-SQRT((1-$AB311)*($E$6-$C$6)*($E$6-$D$6)))</f>
        <v/>
      </c>
      <c r="O311" s="14">
        <f>_xlfn.NORM.INV($AC311,$C$7,$D$7)</f>
        <v/>
      </c>
      <c r="P311" s="14">
        <f>$C$8+($D$8-$C$8)*$AD311</f>
        <v/>
      </c>
      <c r="Q311" s="14">
        <f>$C$9</f>
        <v/>
      </c>
      <c r="R311" s="14">
        <f>_xlfn.LOGNORM.INV($AF311,LN($C$10)-0.5*LN(1+($D$10/$C$10)^2),SQRT(LN(1+($D$10/$C$10)^2)))</f>
        <v/>
      </c>
      <c r="S311" s="14">
        <f>SUM(M311:R311)</f>
        <v/>
      </c>
      <c r="AA311">
        <f>RAND()</f>
        <v/>
      </c>
      <c r="AB311">
        <f>RAND()</f>
        <v/>
      </c>
      <c r="AC311">
        <f>RAND()</f>
        <v/>
      </c>
      <c r="AD311">
        <f>RAND()</f>
        <v/>
      </c>
      <c r="AE311">
        <f>RAND()</f>
        <v/>
      </c>
      <c r="AF311">
        <f>RAND()</f>
        <v/>
      </c>
    </row>
    <row r="312">
      <c r="M312" s="14">
        <f>_xlfn.BETA.INV($AA312,1+4*($D$5-$C$5)/($E$5-$C$5),1+4*($E$5-$D$5)/($E$5-$C$5),$C$5,$E$5)</f>
        <v/>
      </c>
      <c r="N312" s="14">
        <f>IF($AB312&lt;($D$6-$C$6)/($E$6-$C$6),$C$6+SQRT($AB312*($E$6-$C$6)*($D$6-$C$6)),$E$6-SQRT((1-$AB312)*($E$6-$C$6)*($E$6-$D$6)))</f>
        <v/>
      </c>
      <c r="O312" s="14">
        <f>_xlfn.NORM.INV($AC312,$C$7,$D$7)</f>
        <v/>
      </c>
      <c r="P312" s="14">
        <f>$C$8+($D$8-$C$8)*$AD312</f>
        <v/>
      </c>
      <c r="Q312" s="14">
        <f>$C$9</f>
        <v/>
      </c>
      <c r="R312" s="14">
        <f>_xlfn.LOGNORM.INV($AF312,LN($C$10)-0.5*LN(1+($D$10/$C$10)^2),SQRT(LN(1+($D$10/$C$10)^2)))</f>
        <v/>
      </c>
      <c r="S312" s="14">
        <f>SUM(M312:R312)</f>
        <v/>
      </c>
      <c r="AA312">
        <f>RAND()</f>
        <v/>
      </c>
      <c r="AB312">
        <f>RAND()</f>
        <v/>
      </c>
      <c r="AC312">
        <f>RAND()</f>
        <v/>
      </c>
      <c r="AD312">
        <f>RAND()</f>
        <v/>
      </c>
      <c r="AE312">
        <f>RAND()</f>
        <v/>
      </c>
      <c r="AF312">
        <f>RAND()</f>
        <v/>
      </c>
    </row>
    <row r="313">
      <c r="M313" s="14">
        <f>_xlfn.BETA.INV($AA313,1+4*($D$5-$C$5)/($E$5-$C$5),1+4*($E$5-$D$5)/($E$5-$C$5),$C$5,$E$5)</f>
        <v/>
      </c>
      <c r="N313" s="14">
        <f>IF($AB313&lt;($D$6-$C$6)/($E$6-$C$6),$C$6+SQRT($AB313*($E$6-$C$6)*($D$6-$C$6)),$E$6-SQRT((1-$AB313)*($E$6-$C$6)*($E$6-$D$6)))</f>
        <v/>
      </c>
      <c r="O313" s="14">
        <f>_xlfn.NORM.INV($AC313,$C$7,$D$7)</f>
        <v/>
      </c>
      <c r="P313" s="14">
        <f>$C$8+($D$8-$C$8)*$AD313</f>
        <v/>
      </c>
      <c r="Q313" s="14">
        <f>$C$9</f>
        <v/>
      </c>
      <c r="R313" s="14">
        <f>_xlfn.LOGNORM.INV($AF313,LN($C$10)-0.5*LN(1+($D$10/$C$10)^2),SQRT(LN(1+($D$10/$C$10)^2)))</f>
        <v/>
      </c>
      <c r="S313" s="14">
        <f>SUM(M313:R313)</f>
        <v/>
      </c>
      <c r="AA313">
        <f>RAND()</f>
        <v/>
      </c>
      <c r="AB313">
        <f>RAND()</f>
        <v/>
      </c>
      <c r="AC313">
        <f>RAND()</f>
        <v/>
      </c>
      <c r="AD313">
        <f>RAND()</f>
        <v/>
      </c>
      <c r="AE313">
        <f>RAND()</f>
        <v/>
      </c>
      <c r="AF313">
        <f>RAND()</f>
        <v/>
      </c>
    </row>
    <row r="314">
      <c r="M314" s="14">
        <f>_xlfn.BETA.INV($AA314,1+4*($D$5-$C$5)/($E$5-$C$5),1+4*($E$5-$D$5)/($E$5-$C$5),$C$5,$E$5)</f>
        <v/>
      </c>
      <c r="N314" s="14">
        <f>IF($AB314&lt;($D$6-$C$6)/($E$6-$C$6),$C$6+SQRT($AB314*($E$6-$C$6)*($D$6-$C$6)),$E$6-SQRT((1-$AB314)*($E$6-$C$6)*($E$6-$D$6)))</f>
        <v/>
      </c>
      <c r="O314" s="14">
        <f>_xlfn.NORM.INV($AC314,$C$7,$D$7)</f>
        <v/>
      </c>
      <c r="P314" s="14">
        <f>$C$8+($D$8-$C$8)*$AD314</f>
        <v/>
      </c>
      <c r="Q314" s="14">
        <f>$C$9</f>
        <v/>
      </c>
      <c r="R314" s="14">
        <f>_xlfn.LOGNORM.INV($AF314,LN($C$10)-0.5*LN(1+($D$10/$C$10)^2),SQRT(LN(1+($D$10/$C$10)^2)))</f>
        <v/>
      </c>
      <c r="S314" s="14">
        <f>SUM(M314:R314)</f>
        <v/>
      </c>
      <c r="AA314">
        <f>RAND()</f>
        <v/>
      </c>
      <c r="AB314">
        <f>RAND()</f>
        <v/>
      </c>
      <c r="AC314">
        <f>RAND()</f>
        <v/>
      </c>
      <c r="AD314">
        <f>RAND()</f>
        <v/>
      </c>
      <c r="AE314">
        <f>RAND()</f>
        <v/>
      </c>
      <c r="AF314">
        <f>RAND()</f>
        <v/>
      </c>
    </row>
    <row r="315">
      <c r="M315" s="14">
        <f>_xlfn.BETA.INV($AA315,1+4*($D$5-$C$5)/($E$5-$C$5),1+4*($E$5-$D$5)/($E$5-$C$5),$C$5,$E$5)</f>
        <v/>
      </c>
      <c r="N315" s="14">
        <f>IF($AB315&lt;($D$6-$C$6)/($E$6-$C$6),$C$6+SQRT($AB315*($E$6-$C$6)*($D$6-$C$6)),$E$6-SQRT((1-$AB315)*($E$6-$C$6)*($E$6-$D$6)))</f>
        <v/>
      </c>
      <c r="O315" s="14">
        <f>_xlfn.NORM.INV($AC315,$C$7,$D$7)</f>
        <v/>
      </c>
      <c r="P315" s="14">
        <f>$C$8+($D$8-$C$8)*$AD315</f>
        <v/>
      </c>
      <c r="Q315" s="14">
        <f>$C$9</f>
        <v/>
      </c>
      <c r="R315" s="14">
        <f>_xlfn.LOGNORM.INV($AF315,LN($C$10)-0.5*LN(1+($D$10/$C$10)^2),SQRT(LN(1+($D$10/$C$10)^2)))</f>
        <v/>
      </c>
      <c r="S315" s="14">
        <f>SUM(M315:R315)</f>
        <v/>
      </c>
      <c r="AA315">
        <f>RAND()</f>
        <v/>
      </c>
      <c r="AB315">
        <f>RAND()</f>
        <v/>
      </c>
      <c r="AC315">
        <f>RAND()</f>
        <v/>
      </c>
      <c r="AD315">
        <f>RAND()</f>
        <v/>
      </c>
      <c r="AE315">
        <f>RAND()</f>
        <v/>
      </c>
      <c r="AF315">
        <f>RAND()</f>
        <v/>
      </c>
    </row>
    <row r="316">
      <c r="M316" s="14">
        <f>_xlfn.BETA.INV($AA316,1+4*($D$5-$C$5)/($E$5-$C$5),1+4*($E$5-$D$5)/($E$5-$C$5),$C$5,$E$5)</f>
        <v/>
      </c>
      <c r="N316" s="14">
        <f>IF($AB316&lt;($D$6-$C$6)/($E$6-$C$6),$C$6+SQRT($AB316*($E$6-$C$6)*($D$6-$C$6)),$E$6-SQRT((1-$AB316)*($E$6-$C$6)*($E$6-$D$6)))</f>
        <v/>
      </c>
      <c r="O316" s="14">
        <f>_xlfn.NORM.INV($AC316,$C$7,$D$7)</f>
        <v/>
      </c>
      <c r="P316" s="14">
        <f>$C$8+($D$8-$C$8)*$AD316</f>
        <v/>
      </c>
      <c r="Q316" s="14">
        <f>$C$9</f>
        <v/>
      </c>
      <c r="R316" s="14">
        <f>_xlfn.LOGNORM.INV($AF316,LN($C$10)-0.5*LN(1+($D$10/$C$10)^2),SQRT(LN(1+($D$10/$C$10)^2)))</f>
        <v/>
      </c>
      <c r="S316" s="14">
        <f>SUM(M316:R316)</f>
        <v/>
      </c>
      <c r="AA316">
        <f>RAND()</f>
        <v/>
      </c>
      <c r="AB316">
        <f>RAND()</f>
        <v/>
      </c>
      <c r="AC316">
        <f>RAND()</f>
        <v/>
      </c>
      <c r="AD316">
        <f>RAND()</f>
        <v/>
      </c>
      <c r="AE316">
        <f>RAND()</f>
        <v/>
      </c>
      <c r="AF316">
        <f>RAND()</f>
        <v/>
      </c>
    </row>
    <row r="317">
      <c r="M317" s="14">
        <f>_xlfn.BETA.INV($AA317,1+4*($D$5-$C$5)/($E$5-$C$5),1+4*($E$5-$D$5)/($E$5-$C$5),$C$5,$E$5)</f>
        <v/>
      </c>
      <c r="N317" s="14">
        <f>IF($AB317&lt;($D$6-$C$6)/($E$6-$C$6),$C$6+SQRT($AB317*($E$6-$C$6)*($D$6-$C$6)),$E$6-SQRT((1-$AB317)*($E$6-$C$6)*($E$6-$D$6)))</f>
        <v/>
      </c>
      <c r="O317" s="14">
        <f>_xlfn.NORM.INV($AC317,$C$7,$D$7)</f>
        <v/>
      </c>
      <c r="P317" s="14">
        <f>$C$8+($D$8-$C$8)*$AD317</f>
        <v/>
      </c>
      <c r="Q317" s="14">
        <f>$C$9</f>
        <v/>
      </c>
      <c r="R317" s="14">
        <f>_xlfn.LOGNORM.INV($AF317,LN($C$10)-0.5*LN(1+($D$10/$C$10)^2),SQRT(LN(1+($D$10/$C$10)^2)))</f>
        <v/>
      </c>
      <c r="S317" s="14">
        <f>SUM(M317:R317)</f>
        <v/>
      </c>
      <c r="AA317">
        <f>RAND()</f>
        <v/>
      </c>
      <c r="AB317">
        <f>RAND()</f>
        <v/>
      </c>
      <c r="AC317">
        <f>RAND()</f>
        <v/>
      </c>
      <c r="AD317">
        <f>RAND()</f>
        <v/>
      </c>
      <c r="AE317">
        <f>RAND()</f>
        <v/>
      </c>
      <c r="AF317">
        <f>RAND()</f>
        <v/>
      </c>
    </row>
    <row r="318">
      <c r="M318" s="14">
        <f>_xlfn.BETA.INV($AA318,1+4*($D$5-$C$5)/($E$5-$C$5),1+4*($E$5-$D$5)/($E$5-$C$5),$C$5,$E$5)</f>
        <v/>
      </c>
      <c r="N318" s="14">
        <f>IF($AB318&lt;($D$6-$C$6)/($E$6-$C$6),$C$6+SQRT($AB318*($E$6-$C$6)*($D$6-$C$6)),$E$6-SQRT((1-$AB318)*($E$6-$C$6)*($E$6-$D$6)))</f>
        <v/>
      </c>
      <c r="O318" s="14">
        <f>_xlfn.NORM.INV($AC318,$C$7,$D$7)</f>
        <v/>
      </c>
      <c r="P318" s="14">
        <f>$C$8+($D$8-$C$8)*$AD318</f>
        <v/>
      </c>
      <c r="Q318" s="14">
        <f>$C$9</f>
        <v/>
      </c>
      <c r="R318" s="14">
        <f>_xlfn.LOGNORM.INV($AF318,LN($C$10)-0.5*LN(1+($D$10/$C$10)^2),SQRT(LN(1+($D$10/$C$10)^2)))</f>
        <v/>
      </c>
      <c r="S318" s="14">
        <f>SUM(M318:R318)</f>
        <v/>
      </c>
      <c r="AA318">
        <f>RAND()</f>
        <v/>
      </c>
      <c r="AB318">
        <f>RAND()</f>
        <v/>
      </c>
      <c r="AC318">
        <f>RAND()</f>
        <v/>
      </c>
      <c r="AD318">
        <f>RAND()</f>
        <v/>
      </c>
      <c r="AE318">
        <f>RAND()</f>
        <v/>
      </c>
      <c r="AF318">
        <f>RAND()</f>
        <v/>
      </c>
    </row>
    <row r="319">
      <c r="M319" s="14">
        <f>_xlfn.BETA.INV($AA319,1+4*($D$5-$C$5)/($E$5-$C$5),1+4*($E$5-$D$5)/($E$5-$C$5),$C$5,$E$5)</f>
        <v/>
      </c>
      <c r="N319" s="14">
        <f>IF($AB319&lt;($D$6-$C$6)/($E$6-$C$6),$C$6+SQRT($AB319*($E$6-$C$6)*($D$6-$C$6)),$E$6-SQRT((1-$AB319)*($E$6-$C$6)*($E$6-$D$6)))</f>
        <v/>
      </c>
      <c r="O319" s="14">
        <f>_xlfn.NORM.INV($AC319,$C$7,$D$7)</f>
        <v/>
      </c>
      <c r="P319" s="14">
        <f>$C$8+($D$8-$C$8)*$AD319</f>
        <v/>
      </c>
      <c r="Q319" s="14">
        <f>$C$9</f>
        <v/>
      </c>
      <c r="R319" s="14">
        <f>_xlfn.LOGNORM.INV($AF319,LN($C$10)-0.5*LN(1+($D$10/$C$10)^2),SQRT(LN(1+($D$10/$C$10)^2)))</f>
        <v/>
      </c>
      <c r="S319" s="14">
        <f>SUM(M319:R319)</f>
        <v/>
      </c>
      <c r="AA319">
        <f>RAND()</f>
        <v/>
      </c>
      <c r="AB319">
        <f>RAND()</f>
        <v/>
      </c>
      <c r="AC319">
        <f>RAND()</f>
        <v/>
      </c>
      <c r="AD319">
        <f>RAND()</f>
        <v/>
      </c>
      <c r="AE319">
        <f>RAND()</f>
        <v/>
      </c>
      <c r="AF319">
        <f>RAND()</f>
        <v/>
      </c>
    </row>
    <row r="320">
      <c r="M320" s="14">
        <f>_xlfn.BETA.INV($AA320,1+4*($D$5-$C$5)/($E$5-$C$5),1+4*($E$5-$D$5)/($E$5-$C$5),$C$5,$E$5)</f>
        <v/>
      </c>
      <c r="N320" s="14">
        <f>IF($AB320&lt;($D$6-$C$6)/($E$6-$C$6),$C$6+SQRT($AB320*($E$6-$C$6)*($D$6-$C$6)),$E$6-SQRT((1-$AB320)*($E$6-$C$6)*($E$6-$D$6)))</f>
        <v/>
      </c>
      <c r="O320" s="14">
        <f>_xlfn.NORM.INV($AC320,$C$7,$D$7)</f>
        <v/>
      </c>
      <c r="P320" s="14">
        <f>$C$8+($D$8-$C$8)*$AD320</f>
        <v/>
      </c>
      <c r="Q320" s="14">
        <f>$C$9</f>
        <v/>
      </c>
      <c r="R320" s="14">
        <f>_xlfn.LOGNORM.INV($AF320,LN($C$10)-0.5*LN(1+($D$10/$C$10)^2),SQRT(LN(1+($D$10/$C$10)^2)))</f>
        <v/>
      </c>
      <c r="S320" s="14">
        <f>SUM(M320:R320)</f>
        <v/>
      </c>
      <c r="AA320">
        <f>RAND()</f>
        <v/>
      </c>
      <c r="AB320">
        <f>RAND()</f>
        <v/>
      </c>
      <c r="AC320">
        <f>RAND()</f>
        <v/>
      </c>
      <c r="AD320">
        <f>RAND()</f>
        <v/>
      </c>
      <c r="AE320">
        <f>RAND()</f>
        <v/>
      </c>
      <c r="AF320">
        <f>RAND()</f>
        <v/>
      </c>
    </row>
    <row r="321">
      <c r="M321" s="14">
        <f>_xlfn.BETA.INV($AA321,1+4*($D$5-$C$5)/($E$5-$C$5),1+4*($E$5-$D$5)/($E$5-$C$5),$C$5,$E$5)</f>
        <v/>
      </c>
      <c r="N321" s="14">
        <f>IF($AB321&lt;($D$6-$C$6)/($E$6-$C$6),$C$6+SQRT($AB321*($E$6-$C$6)*($D$6-$C$6)),$E$6-SQRT((1-$AB321)*($E$6-$C$6)*($E$6-$D$6)))</f>
        <v/>
      </c>
      <c r="O321" s="14">
        <f>_xlfn.NORM.INV($AC321,$C$7,$D$7)</f>
        <v/>
      </c>
      <c r="P321" s="14">
        <f>$C$8+($D$8-$C$8)*$AD321</f>
        <v/>
      </c>
      <c r="Q321" s="14">
        <f>$C$9</f>
        <v/>
      </c>
      <c r="R321" s="14">
        <f>_xlfn.LOGNORM.INV($AF321,LN($C$10)-0.5*LN(1+($D$10/$C$10)^2),SQRT(LN(1+($D$10/$C$10)^2)))</f>
        <v/>
      </c>
      <c r="S321" s="14">
        <f>SUM(M321:R321)</f>
        <v/>
      </c>
      <c r="AA321">
        <f>RAND()</f>
        <v/>
      </c>
      <c r="AB321">
        <f>RAND()</f>
        <v/>
      </c>
      <c r="AC321">
        <f>RAND()</f>
        <v/>
      </c>
      <c r="AD321">
        <f>RAND()</f>
        <v/>
      </c>
      <c r="AE321">
        <f>RAND()</f>
        <v/>
      </c>
      <c r="AF321">
        <f>RAND()</f>
        <v/>
      </c>
    </row>
    <row r="322">
      <c r="M322" s="14">
        <f>_xlfn.BETA.INV($AA322,1+4*($D$5-$C$5)/($E$5-$C$5),1+4*($E$5-$D$5)/($E$5-$C$5),$C$5,$E$5)</f>
        <v/>
      </c>
      <c r="N322" s="14">
        <f>IF($AB322&lt;($D$6-$C$6)/($E$6-$C$6),$C$6+SQRT($AB322*($E$6-$C$6)*($D$6-$C$6)),$E$6-SQRT((1-$AB322)*($E$6-$C$6)*($E$6-$D$6)))</f>
        <v/>
      </c>
      <c r="O322" s="14">
        <f>_xlfn.NORM.INV($AC322,$C$7,$D$7)</f>
        <v/>
      </c>
      <c r="P322" s="14">
        <f>$C$8+($D$8-$C$8)*$AD322</f>
        <v/>
      </c>
      <c r="Q322" s="14">
        <f>$C$9</f>
        <v/>
      </c>
      <c r="R322" s="14">
        <f>_xlfn.LOGNORM.INV($AF322,LN($C$10)-0.5*LN(1+($D$10/$C$10)^2),SQRT(LN(1+($D$10/$C$10)^2)))</f>
        <v/>
      </c>
      <c r="S322" s="14">
        <f>SUM(M322:R322)</f>
        <v/>
      </c>
      <c r="AA322">
        <f>RAND()</f>
        <v/>
      </c>
      <c r="AB322">
        <f>RAND()</f>
        <v/>
      </c>
      <c r="AC322">
        <f>RAND()</f>
        <v/>
      </c>
      <c r="AD322">
        <f>RAND()</f>
        <v/>
      </c>
      <c r="AE322">
        <f>RAND()</f>
        <v/>
      </c>
      <c r="AF322">
        <f>RAND()</f>
        <v/>
      </c>
    </row>
    <row r="323">
      <c r="M323" s="14">
        <f>_xlfn.BETA.INV($AA323,1+4*($D$5-$C$5)/($E$5-$C$5),1+4*($E$5-$D$5)/($E$5-$C$5),$C$5,$E$5)</f>
        <v/>
      </c>
      <c r="N323" s="14">
        <f>IF($AB323&lt;($D$6-$C$6)/($E$6-$C$6),$C$6+SQRT($AB323*($E$6-$C$6)*($D$6-$C$6)),$E$6-SQRT((1-$AB323)*($E$6-$C$6)*($E$6-$D$6)))</f>
        <v/>
      </c>
      <c r="O323" s="14">
        <f>_xlfn.NORM.INV($AC323,$C$7,$D$7)</f>
        <v/>
      </c>
      <c r="P323" s="14">
        <f>$C$8+($D$8-$C$8)*$AD323</f>
        <v/>
      </c>
      <c r="Q323" s="14">
        <f>$C$9</f>
        <v/>
      </c>
      <c r="R323" s="14">
        <f>_xlfn.LOGNORM.INV($AF323,LN($C$10)-0.5*LN(1+($D$10/$C$10)^2),SQRT(LN(1+($D$10/$C$10)^2)))</f>
        <v/>
      </c>
      <c r="S323" s="14">
        <f>SUM(M323:R323)</f>
        <v/>
      </c>
      <c r="AA323">
        <f>RAND()</f>
        <v/>
      </c>
      <c r="AB323">
        <f>RAND()</f>
        <v/>
      </c>
      <c r="AC323">
        <f>RAND()</f>
        <v/>
      </c>
      <c r="AD323">
        <f>RAND()</f>
        <v/>
      </c>
      <c r="AE323">
        <f>RAND()</f>
        <v/>
      </c>
      <c r="AF323">
        <f>RAND()</f>
        <v/>
      </c>
    </row>
    <row r="324">
      <c r="M324" s="14">
        <f>_xlfn.BETA.INV($AA324,1+4*($D$5-$C$5)/($E$5-$C$5),1+4*($E$5-$D$5)/($E$5-$C$5),$C$5,$E$5)</f>
        <v/>
      </c>
      <c r="N324" s="14">
        <f>IF($AB324&lt;($D$6-$C$6)/($E$6-$C$6),$C$6+SQRT($AB324*($E$6-$C$6)*($D$6-$C$6)),$E$6-SQRT((1-$AB324)*($E$6-$C$6)*($E$6-$D$6)))</f>
        <v/>
      </c>
      <c r="O324" s="14">
        <f>_xlfn.NORM.INV($AC324,$C$7,$D$7)</f>
        <v/>
      </c>
      <c r="P324" s="14">
        <f>$C$8+($D$8-$C$8)*$AD324</f>
        <v/>
      </c>
      <c r="Q324" s="14">
        <f>$C$9</f>
        <v/>
      </c>
      <c r="R324" s="14">
        <f>_xlfn.LOGNORM.INV($AF324,LN($C$10)-0.5*LN(1+($D$10/$C$10)^2),SQRT(LN(1+($D$10/$C$10)^2)))</f>
        <v/>
      </c>
      <c r="S324" s="14">
        <f>SUM(M324:R324)</f>
        <v/>
      </c>
      <c r="AA324">
        <f>RAND()</f>
        <v/>
      </c>
      <c r="AB324">
        <f>RAND()</f>
        <v/>
      </c>
      <c r="AC324">
        <f>RAND()</f>
        <v/>
      </c>
      <c r="AD324">
        <f>RAND()</f>
        <v/>
      </c>
      <c r="AE324">
        <f>RAND()</f>
        <v/>
      </c>
      <c r="AF324">
        <f>RAND()</f>
        <v/>
      </c>
    </row>
    <row r="325">
      <c r="M325" s="14">
        <f>_xlfn.BETA.INV($AA325,1+4*($D$5-$C$5)/($E$5-$C$5),1+4*($E$5-$D$5)/($E$5-$C$5),$C$5,$E$5)</f>
        <v/>
      </c>
      <c r="N325" s="14">
        <f>IF($AB325&lt;($D$6-$C$6)/($E$6-$C$6),$C$6+SQRT($AB325*($E$6-$C$6)*($D$6-$C$6)),$E$6-SQRT((1-$AB325)*($E$6-$C$6)*($E$6-$D$6)))</f>
        <v/>
      </c>
      <c r="O325" s="14">
        <f>_xlfn.NORM.INV($AC325,$C$7,$D$7)</f>
        <v/>
      </c>
      <c r="P325" s="14">
        <f>$C$8+($D$8-$C$8)*$AD325</f>
        <v/>
      </c>
      <c r="Q325" s="14">
        <f>$C$9</f>
        <v/>
      </c>
      <c r="R325" s="14">
        <f>_xlfn.LOGNORM.INV($AF325,LN($C$10)-0.5*LN(1+($D$10/$C$10)^2),SQRT(LN(1+($D$10/$C$10)^2)))</f>
        <v/>
      </c>
      <c r="S325" s="14">
        <f>SUM(M325:R325)</f>
        <v/>
      </c>
      <c r="AA325">
        <f>RAND()</f>
        <v/>
      </c>
      <c r="AB325">
        <f>RAND()</f>
        <v/>
      </c>
      <c r="AC325">
        <f>RAND()</f>
        <v/>
      </c>
      <c r="AD325">
        <f>RAND()</f>
        <v/>
      </c>
      <c r="AE325">
        <f>RAND()</f>
        <v/>
      </c>
      <c r="AF325">
        <f>RAND()</f>
        <v/>
      </c>
    </row>
    <row r="326">
      <c r="M326" s="14">
        <f>_xlfn.BETA.INV($AA326,1+4*($D$5-$C$5)/($E$5-$C$5),1+4*($E$5-$D$5)/($E$5-$C$5),$C$5,$E$5)</f>
        <v/>
      </c>
      <c r="N326" s="14">
        <f>IF($AB326&lt;($D$6-$C$6)/($E$6-$C$6),$C$6+SQRT($AB326*($E$6-$C$6)*($D$6-$C$6)),$E$6-SQRT((1-$AB326)*($E$6-$C$6)*($E$6-$D$6)))</f>
        <v/>
      </c>
      <c r="O326" s="14">
        <f>_xlfn.NORM.INV($AC326,$C$7,$D$7)</f>
        <v/>
      </c>
      <c r="P326" s="14">
        <f>$C$8+($D$8-$C$8)*$AD326</f>
        <v/>
      </c>
      <c r="Q326" s="14">
        <f>$C$9</f>
        <v/>
      </c>
      <c r="R326" s="14">
        <f>_xlfn.LOGNORM.INV($AF326,LN($C$10)-0.5*LN(1+($D$10/$C$10)^2),SQRT(LN(1+($D$10/$C$10)^2)))</f>
        <v/>
      </c>
      <c r="S326" s="14">
        <f>SUM(M326:R326)</f>
        <v/>
      </c>
      <c r="AA326">
        <f>RAND()</f>
        <v/>
      </c>
      <c r="AB326">
        <f>RAND()</f>
        <v/>
      </c>
      <c r="AC326">
        <f>RAND()</f>
        <v/>
      </c>
      <c r="AD326">
        <f>RAND()</f>
        <v/>
      </c>
      <c r="AE326">
        <f>RAND()</f>
        <v/>
      </c>
      <c r="AF326">
        <f>RAND()</f>
        <v/>
      </c>
    </row>
    <row r="327">
      <c r="M327" s="14">
        <f>_xlfn.BETA.INV($AA327,1+4*($D$5-$C$5)/($E$5-$C$5),1+4*($E$5-$D$5)/($E$5-$C$5),$C$5,$E$5)</f>
        <v/>
      </c>
      <c r="N327" s="14">
        <f>IF($AB327&lt;($D$6-$C$6)/($E$6-$C$6),$C$6+SQRT($AB327*($E$6-$C$6)*($D$6-$C$6)),$E$6-SQRT((1-$AB327)*($E$6-$C$6)*($E$6-$D$6)))</f>
        <v/>
      </c>
      <c r="O327" s="14">
        <f>_xlfn.NORM.INV($AC327,$C$7,$D$7)</f>
        <v/>
      </c>
      <c r="P327" s="14">
        <f>$C$8+($D$8-$C$8)*$AD327</f>
        <v/>
      </c>
      <c r="Q327" s="14">
        <f>$C$9</f>
        <v/>
      </c>
      <c r="R327" s="14">
        <f>_xlfn.LOGNORM.INV($AF327,LN($C$10)-0.5*LN(1+($D$10/$C$10)^2),SQRT(LN(1+($D$10/$C$10)^2)))</f>
        <v/>
      </c>
      <c r="S327" s="14">
        <f>SUM(M327:R327)</f>
        <v/>
      </c>
      <c r="AA327">
        <f>RAND()</f>
        <v/>
      </c>
      <c r="AB327">
        <f>RAND()</f>
        <v/>
      </c>
      <c r="AC327">
        <f>RAND()</f>
        <v/>
      </c>
      <c r="AD327">
        <f>RAND()</f>
        <v/>
      </c>
      <c r="AE327">
        <f>RAND()</f>
        <v/>
      </c>
      <c r="AF327">
        <f>RAND()</f>
        <v/>
      </c>
    </row>
    <row r="328">
      <c r="M328" s="14">
        <f>_xlfn.BETA.INV($AA328,1+4*($D$5-$C$5)/($E$5-$C$5),1+4*($E$5-$D$5)/($E$5-$C$5),$C$5,$E$5)</f>
        <v/>
      </c>
      <c r="N328" s="14">
        <f>IF($AB328&lt;($D$6-$C$6)/($E$6-$C$6),$C$6+SQRT($AB328*($E$6-$C$6)*($D$6-$C$6)),$E$6-SQRT((1-$AB328)*($E$6-$C$6)*($E$6-$D$6)))</f>
        <v/>
      </c>
      <c r="O328" s="14">
        <f>_xlfn.NORM.INV($AC328,$C$7,$D$7)</f>
        <v/>
      </c>
      <c r="P328" s="14">
        <f>$C$8+($D$8-$C$8)*$AD328</f>
        <v/>
      </c>
      <c r="Q328" s="14">
        <f>$C$9</f>
        <v/>
      </c>
      <c r="R328" s="14">
        <f>_xlfn.LOGNORM.INV($AF328,LN($C$10)-0.5*LN(1+($D$10/$C$10)^2),SQRT(LN(1+($D$10/$C$10)^2)))</f>
        <v/>
      </c>
      <c r="S328" s="14">
        <f>SUM(M328:R328)</f>
        <v/>
      </c>
      <c r="AA328">
        <f>RAND()</f>
        <v/>
      </c>
      <c r="AB328">
        <f>RAND()</f>
        <v/>
      </c>
      <c r="AC328">
        <f>RAND()</f>
        <v/>
      </c>
      <c r="AD328">
        <f>RAND()</f>
        <v/>
      </c>
      <c r="AE328">
        <f>RAND()</f>
        <v/>
      </c>
      <c r="AF328">
        <f>RAND()</f>
        <v/>
      </c>
    </row>
    <row r="329">
      <c r="M329" s="14">
        <f>_xlfn.BETA.INV($AA329,1+4*($D$5-$C$5)/($E$5-$C$5),1+4*($E$5-$D$5)/($E$5-$C$5),$C$5,$E$5)</f>
        <v/>
      </c>
      <c r="N329" s="14">
        <f>IF($AB329&lt;($D$6-$C$6)/($E$6-$C$6),$C$6+SQRT($AB329*($E$6-$C$6)*($D$6-$C$6)),$E$6-SQRT((1-$AB329)*($E$6-$C$6)*($E$6-$D$6)))</f>
        <v/>
      </c>
      <c r="O329" s="14">
        <f>_xlfn.NORM.INV($AC329,$C$7,$D$7)</f>
        <v/>
      </c>
      <c r="P329" s="14">
        <f>$C$8+($D$8-$C$8)*$AD329</f>
        <v/>
      </c>
      <c r="Q329" s="14">
        <f>$C$9</f>
        <v/>
      </c>
      <c r="R329" s="14">
        <f>_xlfn.LOGNORM.INV($AF329,LN($C$10)-0.5*LN(1+($D$10/$C$10)^2),SQRT(LN(1+($D$10/$C$10)^2)))</f>
        <v/>
      </c>
      <c r="S329" s="14">
        <f>SUM(M329:R329)</f>
        <v/>
      </c>
      <c r="AA329">
        <f>RAND()</f>
        <v/>
      </c>
      <c r="AB329">
        <f>RAND()</f>
        <v/>
      </c>
      <c r="AC329">
        <f>RAND()</f>
        <v/>
      </c>
      <c r="AD329">
        <f>RAND()</f>
        <v/>
      </c>
      <c r="AE329">
        <f>RAND()</f>
        <v/>
      </c>
      <c r="AF329">
        <f>RAND()</f>
        <v/>
      </c>
    </row>
    <row r="330">
      <c r="M330" s="14">
        <f>_xlfn.BETA.INV($AA330,1+4*($D$5-$C$5)/($E$5-$C$5),1+4*($E$5-$D$5)/($E$5-$C$5),$C$5,$E$5)</f>
        <v/>
      </c>
      <c r="N330" s="14">
        <f>IF($AB330&lt;($D$6-$C$6)/($E$6-$C$6),$C$6+SQRT($AB330*($E$6-$C$6)*($D$6-$C$6)),$E$6-SQRT((1-$AB330)*($E$6-$C$6)*($E$6-$D$6)))</f>
        <v/>
      </c>
      <c r="O330" s="14">
        <f>_xlfn.NORM.INV($AC330,$C$7,$D$7)</f>
        <v/>
      </c>
      <c r="P330" s="14">
        <f>$C$8+($D$8-$C$8)*$AD330</f>
        <v/>
      </c>
      <c r="Q330" s="14">
        <f>$C$9</f>
        <v/>
      </c>
      <c r="R330" s="14">
        <f>_xlfn.LOGNORM.INV($AF330,LN($C$10)-0.5*LN(1+($D$10/$C$10)^2),SQRT(LN(1+($D$10/$C$10)^2)))</f>
        <v/>
      </c>
      <c r="S330" s="14">
        <f>SUM(M330:R330)</f>
        <v/>
      </c>
      <c r="AA330">
        <f>RAND()</f>
        <v/>
      </c>
      <c r="AB330">
        <f>RAND()</f>
        <v/>
      </c>
      <c r="AC330">
        <f>RAND()</f>
        <v/>
      </c>
      <c r="AD330">
        <f>RAND()</f>
        <v/>
      </c>
      <c r="AE330">
        <f>RAND()</f>
        <v/>
      </c>
      <c r="AF330">
        <f>RAND()</f>
        <v/>
      </c>
    </row>
    <row r="331">
      <c r="M331" s="14">
        <f>_xlfn.BETA.INV($AA331,1+4*($D$5-$C$5)/($E$5-$C$5),1+4*($E$5-$D$5)/($E$5-$C$5),$C$5,$E$5)</f>
        <v/>
      </c>
      <c r="N331" s="14">
        <f>IF($AB331&lt;($D$6-$C$6)/($E$6-$C$6),$C$6+SQRT($AB331*($E$6-$C$6)*($D$6-$C$6)),$E$6-SQRT((1-$AB331)*($E$6-$C$6)*($E$6-$D$6)))</f>
        <v/>
      </c>
      <c r="O331" s="14">
        <f>_xlfn.NORM.INV($AC331,$C$7,$D$7)</f>
        <v/>
      </c>
      <c r="P331" s="14">
        <f>$C$8+($D$8-$C$8)*$AD331</f>
        <v/>
      </c>
      <c r="Q331" s="14">
        <f>$C$9</f>
        <v/>
      </c>
      <c r="R331" s="14">
        <f>_xlfn.LOGNORM.INV($AF331,LN($C$10)-0.5*LN(1+($D$10/$C$10)^2),SQRT(LN(1+($D$10/$C$10)^2)))</f>
        <v/>
      </c>
      <c r="S331" s="14">
        <f>SUM(M331:R331)</f>
        <v/>
      </c>
      <c r="AA331">
        <f>RAND()</f>
        <v/>
      </c>
      <c r="AB331">
        <f>RAND()</f>
        <v/>
      </c>
      <c r="AC331">
        <f>RAND()</f>
        <v/>
      </c>
      <c r="AD331">
        <f>RAND()</f>
        <v/>
      </c>
      <c r="AE331">
        <f>RAND()</f>
        <v/>
      </c>
      <c r="AF331">
        <f>RAND()</f>
        <v/>
      </c>
    </row>
    <row r="332">
      <c r="M332" s="14">
        <f>_xlfn.BETA.INV($AA332,1+4*($D$5-$C$5)/($E$5-$C$5),1+4*($E$5-$D$5)/($E$5-$C$5),$C$5,$E$5)</f>
        <v/>
      </c>
      <c r="N332" s="14">
        <f>IF($AB332&lt;($D$6-$C$6)/($E$6-$C$6),$C$6+SQRT($AB332*($E$6-$C$6)*($D$6-$C$6)),$E$6-SQRT((1-$AB332)*($E$6-$C$6)*($E$6-$D$6)))</f>
        <v/>
      </c>
      <c r="O332" s="14">
        <f>_xlfn.NORM.INV($AC332,$C$7,$D$7)</f>
        <v/>
      </c>
      <c r="P332" s="14">
        <f>$C$8+($D$8-$C$8)*$AD332</f>
        <v/>
      </c>
      <c r="Q332" s="14">
        <f>$C$9</f>
        <v/>
      </c>
      <c r="R332" s="14">
        <f>_xlfn.LOGNORM.INV($AF332,LN($C$10)-0.5*LN(1+($D$10/$C$10)^2),SQRT(LN(1+($D$10/$C$10)^2)))</f>
        <v/>
      </c>
      <c r="S332" s="14">
        <f>SUM(M332:R332)</f>
        <v/>
      </c>
      <c r="AA332">
        <f>RAND()</f>
        <v/>
      </c>
      <c r="AB332">
        <f>RAND()</f>
        <v/>
      </c>
      <c r="AC332">
        <f>RAND()</f>
        <v/>
      </c>
      <c r="AD332">
        <f>RAND()</f>
        <v/>
      </c>
      <c r="AE332">
        <f>RAND()</f>
        <v/>
      </c>
      <c r="AF332">
        <f>RAND()</f>
        <v/>
      </c>
    </row>
    <row r="333">
      <c r="M333" s="14">
        <f>_xlfn.BETA.INV($AA333,1+4*($D$5-$C$5)/($E$5-$C$5),1+4*($E$5-$D$5)/($E$5-$C$5),$C$5,$E$5)</f>
        <v/>
      </c>
      <c r="N333" s="14">
        <f>IF($AB333&lt;($D$6-$C$6)/($E$6-$C$6),$C$6+SQRT($AB333*($E$6-$C$6)*($D$6-$C$6)),$E$6-SQRT((1-$AB333)*($E$6-$C$6)*($E$6-$D$6)))</f>
        <v/>
      </c>
      <c r="O333" s="14">
        <f>_xlfn.NORM.INV($AC333,$C$7,$D$7)</f>
        <v/>
      </c>
      <c r="P333" s="14">
        <f>$C$8+($D$8-$C$8)*$AD333</f>
        <v/>
      </c>
      <c r="Q333" s="14">
        <f>$C$9</f>
        <v/>
      </c>
      <c r="R333" s="14">
        <f>_xlfn.LOGNORM.INV($AF333,LN($C$10)-0.5*LN(1+($D$10/$C$10)^2),SQRT(LN(1+($D$10/$C$10)^2)))</f>
        <v/>
      </c>
      <c r="S333" s="14">
        <f>SUM(M333:R333)</f>
        <v/>
      </c>
      <c r="AA333">
        <f>RAND()</f>
        <v/>
      </c>
      <c r="AB333">
        <f>RAND()</f>
        <v/>
      </c>
      <c r="AC333">
        <f>RAND()</f>
        <v/>
      </c>
      <c r="AD333">
        <f>RAND()</f>
        <v/>
      </c>
      <c r="AE333">
        <f>RAND()</f>
        <v/>
      </c>
      <c r="AF333">
        <f>RAND()</f>
        <v/>
      </c>
    </row>
    <row r="334">
      <c r="M334" s="14">
        <f>_xlfn.BETA.INV($AA334,1+4*($D$5-$C$5)/($E$5-$C$5),1+4*($E$5-$D$5)/($E$5-$C$5),$C$5,$E$5)</f>
        <v/>
      </c>
      <c r="N334" s="14">
        <f>IF($AB334&lt;($D$6-$C$6)/($E$6-$C$6),$C$6+SQRT($AB334*($E$6-$C$6)*($D$6-$C$6)),$E$6-SQRT((1-$AB334)*($E$6-$C$6)*($E$6-$D$6)))</f>
        <v/>
      </c>
      <c r="O334" s="14">
        <f>_xlfn.NORM.INV($AC334,$C$7,$D$7)</f>
        <v/>
      </c>
      <c r="P334" s="14">
        <f>$C$8+($D$8-$C$8)*$AD334</f>
        <v/>
      </c>
      <c r="Q334" s="14">
        <f>$C$9</f>
        <v/>
      </c>
      <c r="R334" s="14">
        <f>_xlfn.LOGNORM.INV($AF334,LN($C$10)-0.5*LN(1+($D$10/$C$10)^2),SQRT(LN(1+($D$10/$C$10)^2)))</f>
        <v/>
      </c>
      <c r="S334" s="14">
        <f>SUM(M334:R334)</f>
        <v/>
      </c>
      <c r="AA334">
        <f>RAND()</f>
        <v/>
      </c>
      <c r="AB334">
        <f>RAND()</f>
        <v/>
      </c>
      <c r="AC334">
        <f>RAND()</f>
        <v/>
      </c>
      <c r="AD334">
        <f>RAND()</f>
        <v/>
      </c>
      <c r="AE334">
        <f>RAND()</f>
        <v/>
      </c>
      <c r="AF334">
        <f>RAND()</f>
        <v/>
      </c>
    </row>
    <row r="335">
      <c r="M335" s="14">
        <f>_xlfn.BETA.INV($AA335,1+4*($D$5-$C$5)/($E$5-$C$5),1+4*($E$5-$D$5)/($E$5-$C$5),$C$5,$E$5)</f>
        <v/>
      </c>
      <c r="N335" s="14">
        <f>IF($AB335&lt;($D$6-$C$6)/($E$6-$C$6),$C$6+SQRT($AB335*($E$6-$C$6)*($D$6-$C$6)),$E$6-SQRT((1-$AB335)*($E$6-$C$6)*($E$6-$D$6)))</f>
        <v/>
      </c>
      <c r="O335" s="14">
        <f>_xlfn.NORM.INV($AC335,$C$7,$D$7)</f>
        <v/>
      </c>
      <c r="P335" s="14">
        <f>$C$8+($D$8-$C$8)*$AD335</f>
        <v/>
      </c>
      <c r="Q335" s="14">
        <f>$C$9</f>
        <v/>
      </c>
      <c r="R335" s="14">
        <f>_xlfn.LOGNORM.INV($AF335,LN($C$10)-0.5*LN(1+($D$10/$C$10)^2),SQRT(LN(1+($D$10/$C$10)^2)))</f>
        <v/>
      </c>
      <c r="S335" s="14">
        <f>SUM(M335:R335)</f>
        <v/>
      </c>
      <c r="AA335">
        <f>RAND()</f>
        <v/>
      </c>
      <c r="AB335">
        <f>RAND()</f>
        <v/>
      </c>
      <c r="AC335">
        <f>RAND()</f>
        <v/>
      </c>
      <c r="AD335">
        <f>RAND()</f>
        <v/>
      </c>
      <c r="AE335">
        <f>RAND()</f>
        <v/>
      </c>
      <c r="AF335">
        <f>RAND()</f>
        <v/>
      </c>
    </row>
    <row r="336">
      <c r="M336" s="14">
        <f>_xlfn.BETA.INV($AA336,1+4*($D$5-$C$5)/($E$5-$C$5),1+4*($E$5-$D$5)/($E$5-$C$5),$C$5,$E$5)</f>
        <v/>
      </c>
      <c r="N336" s="14">
        <f>IF($AB336&lt;($D$6-$C$6)/($E$6-$C$6),$C$6+SQRT($AB336*($E$6-$C$6)*($D$6-$C$6)),$E$6-SQRT((1-$AB336)*($E$6-$C$6)*($E$6-$D$6)))</f>
        <v/>
      </c>
      <c r="O336" s="14">
        <f>_xlfn.NORM.INV($AC336,$C$7,$D$7)</f>
        <v/>
      </c>
      <c r="P336" s="14">
        <f>$C$8+($D$8-$C$8)*$AD336</f>
        <v/>
      </c>
      <c r="Q336" s="14">
        <f>$C$9</f>
        <v/>
      </c>
      <c r="R336" s="14">
        <f>_xlfn.LOGNORM.INV($AF336,LN($C$10)-0.5*LN(1+($D$10/$C$10)^2),SQRT(LN(1+($D$10/$C$10)^2)))</f>
        <v/>
      </c>
      <c r="S336" s="14">
        <f>SUM(M336:R336)</f>
        <v/>
      </c>
      <c r="AA336">
        <f>RAND()</f>
        <v/>
      </c>
      <c r="AB336">
        <f>RAND()</f>
        <v/>
      </c>
      <c r="AC336">
        <f>RAND()</f>
        <v/>
      </c>
      <c r="AD336">
        <f>RAND()</f>
        <v/>
      </c>
      <c r="AE336">
        <f>RAND()</f>
        <v/>
      </c>
      <c r="AF336">
        <f>RAND()</f>
        <v/>
      </c>
    </row>
    <row r="337">
      <c r="M337" s="14">
        <f>_xlfn.BETA.INV($AA337,1+4*($D$5-$C$5)/($E$5-$C$5),1+4*($E$5-$D$5)/($E$5-$C$5),$C$5,$E$5)</f>
        <v/>
      </c>
      <c r="N337" s="14">
        <f>IF($AB337&lt;($D$6-$C$6)/($E$6-$C$6),$C$6+SQRT($AB337*($E$6-$C$6)*($D$6-$C$6)),$E$6-SQRT((1-$AB337)*($E$6-$C$6)*($E$6-$D$6)))</f>
        <v/>
      </c>
      <c r="O337" s="14">
        <f>_xlfn.NORM.INV($AC337,$C$7,$D$7)</f>
        <v/>
      </c>
      <c r="P337" s="14">
        <f>$C$8+($D$8-$C$8)*$AD337</f>
        <v/>
      </c>
      <c r="Q337" s="14">
        <f>$C$9</f>
        <v/>
      </c>
      <c r="R337" s="14">
        <f>_xlfn.LOGNORM.INV($AF337,LN($C$10)-0.5*LN(1+($D$10/$C$10)^2),SQRT(LN(1+($D$10/$C$10)^2)))</f>
        <v/>
      </c>
      <c r="S337" s="14">
        <f>SUM(M337:R337)</f>
        <v/>
      </c>
      <c r="AA337">
        <f>RAND()</f>
        <v/>
      </c>
      <c r="AB337">
        <f>RAND()</f>
        <v/>
      </c>
      <c r="AC337">
        <f>RAND()</f>
        <v/>
      </c>
      <c r="AD337">
        <f>RAND()</f>
        <v/>
      </c>
      <c r="AE337">
        <f>RAND()</f>
        <v/>
      </c>
      <c r="AF337">
        <f>RAND()</f>
        <v/>
      </c>
    </row>
    <row r="338">
      <c r="M338" s="14">
        <f>_xlfn.BETA.INV($AA338,1+4*($D$5-$C$5)/($E$5-$C$5),1+4*($E$5-$D$5)/($E$5-$C$5),$C$5,$E$5)</f>
        <v/>
      </c>
      <c r="N338" s="14">
        <f>IF($AB338&lt;($D$6-$C$6)/($E$6-$C$6),$C$6+SQRT($AB338*($E$6-$C$6)*($D$6-$C$6)),$E$6-SQRT((1-$AB338)*($E$6-$C$6)*($E$6-$D$6)))</f>
        <v/>
      </c>
      <c r="O338" s="14">
        <f>_xlfn.NORM.INV($AC338,$C$7,$D$7)</f>
        <v/>
      </c>
      <c r="P338" s="14">
        <f>$C$8+($D$8-$C$8)*$AD338</f>
        <v/>
      </c>
      <c r="Q338" s="14">
        <f>$C$9</f>
        <v/>
      </c>
      <c r="R338" s="14">
        <f>_xlfn.LOGNORM.INV($AF338,LN($C$10)-0.5*LN(1+($D$10/$C$10)^2),SQRT(LN(1+($D$10/$C$10)^2)))</f>
        <v/>
      </c>
      <c r="S338" s="14">
        <f>SUM(M338:R338)</f>
        <v/>
      </c>
      <c r="AA338">
        <f>RAND()</f>
        <v/>
      </c>
      <c r="AB338">
        <f>RAND()</f>
        <v/>
      </c>
      <c r="AC338">
        <f>RAND()</f>
        <v/>
      </c>
      <c r="AD338">
        <f>RAND()</f>
        <v/>
      </c>
      <c r="AE338">
        <f>RAND()</f>
        <v/>
      </c>
      <c r="AF338">
        <f>RAND()</f>
        <v/>
      </c>
    </row>
    <row r="339">
      <c r="M339" s="14">
        <f>_xlfn.BETA.INV($AA339,1+4*($D$5-$C$5)/($E$5-$C$5),1+4*($E$5-$D$5)/($E$5-$C$5),$C$5,$E$5)</f>
        <v/>
      </c>
      <c r="N339" s="14">
        <f>IF($AB339&lt;($D$6-$C$6)/($E$6-$C$6),$C$6+SQRT($AB339*($E$6-$C$6)*($D$6-$C$6)),$E$6-SQRT((1-$AB339)*($E$6-$C$6)*($E$6-$D$6)))</f>
        <v/>
      </c>
      <c r="O339" s="14">
        <f>_xlfn.NORM.INV($AC339,$C$7,$D$7)</f>
        <v/>
      </c>
      <c r="P339" s="14">
        <f>$C$8+($D$8-$C$8)*$AD339</f>
        <v/>
      </c>
      <c r="Q339" s="14">
        <f>$C$9</f>
        <v/>
      </c>
      <c r="R339" s="14">
        <f>_xlfn.LOGNORM.INV($AF339,LN($C$10)-0.5*LN(1+($D$10/$C$10)^2),SQRT(LN(1+($D$10/$C$10)^2)))</f>
        <v/>
      </c>
      <c r="S339" s="14">
        <f>SUM(M339:R339)</f>
        <v/>
      </c>
      <c r="AA339">
        <f>RAND()</f>
        <v/>
      </c>
      <c r="AB339">
        <f>RAND()</f>
        <v/>
      </c>
      <c r="AC339">
        <f>RAND()</f>
        <v/>
      </c>
      <c r="AD339">
        <f>RAND()</f>
        <v/>
      </c>
      <c r="AE339">
        <f>RAND()</f>
        <v/>
      </c>
      <c r="AF339">
        <f>RAND()</f>
        <v/>
      </c>
    </row>
    <row r="340">
      <c r="M340" s="14">
        <f>_xlfn.BETA.INV($AA340,1+4*($D$5-$C$5)/($E$5-$C$5),1+4*($E$5-$D$5)/($E$5-$C$5),$C$5,$E$5)</f>
        <v/>
      </c>
      <c r="N340" s="14">
        <f>IF($AB340&lt;($D$6-$C$6)/($E$6-$C$6),$C$6+SQRT($AB340*($E$6-$C$6)*($D$6-$C$6)),$E$6-SQRT((1-$AB340)*($E$6-$C$6)*($E$6-$D$6)))</f>
        <v/>
      </c>
      <c r="O340" s="14">
        <f>_xlfn.NORM.INV($AC340,$C$7,$D$7)</f>
        <v/>
      </c>
      <c r="P340" s="14">
        <f>$C$8+($D$8-$C$8)*$AD340</f>
        <v/>
      </c>
      <c r="Q340" s="14">
        <f>$C$9</f>
        <v/>
      </c>
      <c r="R340" s="14">
        <f>_xlfn.LOGNORM.INV($AF340,LN($C$10)-0.5*LN(1+($D$10/$C$10)^2),SQRT(LN(1+($D$10/$C$10)^2)))</f>
        <v/>
      </c>
      <c r="S340" s="14">
        <f>SUM(M340:R340)</f>
        <v/>
      </c>
      <c r="AA340">
        <f>RAND()</f>
        <v/>
      </c>
      <c r="AB340">
        <f>RAND()</f>
        <v/>
      </c>
      <c r="AC340">
        <f>RAND()</f>
        <v/>
      </c>
      <c r="AD340">
        <f>RAND()</f>
        <v/>
      </c>
      <c r="AE340">
        <f>RAND()</f>
        <v/>
      </c>
      <c r="AF340">
        <f>RAND()</f>
        <v/>
      </c>
    </row>
    <row r="341">
      <c r="M341" s="14">
        <f>_xlfn.BETA.INV($AA341,1+4*($D$5-$C$5)/($E$5-$C$5),1+4*($E$5-$D$5)/($E$5-$C$5),$C$5,$E$5)</f>
        <v/>
      </c>
      <c r="N341" s="14">
        <f>IF($AB341&lt;($D$6-$C$6)/($E$6-$C$6),$C$6+SQRT($AB341*($E$6-$C$6)*($D$6-$C$6)),$E$6-SQRT((1-$AB341)*($E$6-$C$6)*($E$6-$D$6)))</f>
        <v/>
      </c>
      <c r="O341" s="14">
        <f>_xlfn.NORM.INV($AC341,$C$7,$D$7)</f>
        <v/>
      </c>
      <c r="P341" s="14">
        <f>$C$8+($D$8-$C$8)*$AD341</f>
        <v/>
      </c>
      <c r="Q341" s="14">
        <f>$C$9</f>
        <v/>
      </c>
      <c r="R341" s="14">
        <f>_xlfn.LOGNORM.INV($AF341,LN($C$10)-0.5*LN(1+($D$10/$C$10)^2),SQRT(LN(1+($D$10/$C$10)^2)))</f>
        <v/>
      </c>
      <c r="S341" s="14">
        <f>SUM(M341:R341)</f>
        <v/>
      </c>
      <c r="AA341">
        <f>RAND()</f>
        <v/>
      </c>
      <c r="AB341">
        <f>RAND()</f>
        <v/>
      </c>
      <c r="AC341">
        <f>RAND()</f>
        <v/>
      </c>
      <c r="AD341">
        <f>RAND()</f>
        <v/>
      </c>
      <c r="AE341">
        <f>RAND()</f>
        <v/>
      </c>
      <c r="AF341">
        <f>RAND()</f>
        <v/>
      </c>
    </row>
    <row r="342">
      <c r="M342" s="14">
        <f>_xlfn.BETA.INV($AA342,1+4*($D$5-$C$5)/($E$5-$C$5),1+4*($E$5-$D$5)/($E$5-$C$5),$C$5,$E$5)</f>
        <v/>
      </c>
      <c r="N342" s="14">
        <f>IF($AB342&lt;($D$6-$C$6)/($E$6-$C$6),$C$6+SQRT($AB342*($E$6-$C$6)*($D$6-$C$6)),$E$6-SQRT((1-$AB342)*($E$6-$C$6)*($E$6-$D$6)))</f>
        <v/>
      </c>
      <c r="O342" s="14">
        <f>_xlfn.NORM.INV($AC342,$C$7,$D$7)</f>
        <v/>
      </c>
      <c r="P342" s="14">
        <f>$C$8+($D$8-$C$8)*$AD342</f>
        <v/>
      </c>
      <c r="Q342" s="14">
        <f>$C$9</f>
        <v/>
      </c>
      <c r="R342" s="14">
        <f>_xlfn.LOGNORM.INV($AF342,LN($C$10)-0.5*LN(1+($D$10/$C$10)^2),SQRT(LN(1+($D$10/$C$10)^2)))</f>
        <v/>
      </c>
      <c r="S342" s="14">
        <f>SUM(M342:R342)</f>
        <v/>
      </c>
      <c r="AA342">
        <f>RAND()</f>
        <v/>
      </c>
      <c r="AB342">
        <f>RAND()</f>
        <v/>
      </c>
      <c r="AC342">
        <f>RAND()</f>
        <v/>
      </c>
      <c r="AD342">
        <f>RAND()</f>
        <v/>
      </c>
      <c r="AE342">
        <f>RAND()</f>
        <v/>
      </c>
      <c r="AF342">
        <f>RAND()</f>
        <v/>
      </c>
    </row>
    <row r="343">
      <c r="M343" s="14">
        <f>_xlfn.BETA.INV($AA343,1+4*($D$5-$C$5)/($E$5-$C$5),1+4*($E$5-$D$5)/($E$5-$C$5),$C$5,$E$5)</f>
        <v/>
      </c>
      <c r="N343" s="14">
        <f>IF($AB343&lt;($D$6-$C$6)/($E$6-$C$6),$C$6+SQRT($AB343*($E$6-$C$6)*($D$6-$C$6)),$E$6-SQRT((1-$AB343)*($E$6-$C$6)*($E$6-$D$6)))</f>
        <v/>
      </c>
      <c r="O343" s="14">
        <f>_xlfn.NORM.INV($AC343,$C$7,$D$7)</f>
        <v/>
      </c>
      <c r="P343" s="14">
        <f>$C$8+($D$8-$C$8)*$AD343</f>
        <v/>
      </c>
      <c r="Q343" s="14">
        <f>$C$9</f>
        <v/>
      </c>
      <c r="R343" s="14">
        <f>_xlfn.LOGNORM.INV($AF343,LN($C$10)-0.5*LN(1+($D$10/$C$10)^2),SQRT(LN(1+($D$10/$C$10)^2)))</f>
        <v/>
      </c>
      <c r="S343" s="14">
        <f>SUM(M343:R343)</f>
        <v/>
      </c>
      <c r="AA343">
        <f>RAND()</f>
        <v/>
      </c>
      <c r="AB343">
        <f>RAND()</f>
        <v/>
      </c>
      <c r="AC343">
        <f>RAND()</f>
        <v/>
      </c>
      <c r="AD343">
        <f>RAND()</f>
        <v/>
      </c>
      <c r="AE343">
        <f>RAND()</f>
        <v/>
      </c>
      <c r="AF343">
        <f>RAND()</f>
        <v/>
      </c>
    </row>
    <row r="344">
      <c r="M344" s="14">
        <f>_xlfn.BETA.INV($AA344,1+4*($D$5-$C$5)/($E$5-$C$5),1+4*($E$5-$D$5)/($E$5-$C$5),$C$5,$E$5)</f>
        <v/>
      </c>
      <c r="N344" s="14">
        <f>IF($AB344&lt;($D$6-$C$6)/($E$6-$C$6),$C$6+SQRT($AB344*($E$6-$C$6)*($D$6-$C$6)),$E$6-SQRT((1-$AB344)*($E$6-$C$6)*($E$6-$D$6)))</f>
        <v/>
      </c>
      <c r="O344" s="14">
        <f>_xlfn.NORM.INV($AC344,$C$7,$D$7)</f>
        <v/>
      </c>
      <c r="P344" s="14">
        <f>$C$8+($D$8-$C$8)*$AD344</f>
        <v/>
      </c>
      <c r="Q344" s="14">
        <f>$C$9</f>
        <v/>
      </c>
      <c r="R344" s="14">
        <f>_xlfn.LOGNORM.INV($AF344,LN($C$10)-0.5*LN(1+($D$10/$C$10)^2),SQRT(LN(1+($D$10/$C$10)^2)))</f>
        <v/>
      </c>
      <c r="S344" s="14">
        <f>SUM(M344:R344)</f>
        <v/>
      </c>
      <c r="AA344">
        <f>RAND()</f>
        <v/>
      </c>
      <c r="AB344">
        <f>RAND()</f>
        <v/>
      </c>
      <c r="AC344">
        <f>RAND()</f>
        <v/>
      </c>
      <c r="AD344">
        <f>RAND()</f>
        <v/>
      </c>
      <c r="AE344">
        <f>RAND()</f>
        <v/>
      </c>
      <c r="AF344">
        <f>RAND()</f>
        <v/>
      </c>
    </row>
    <row r="345">
      <c r="M345" s="14">
        <f>_xlfn.BETA.INV($AA345,1+4*($D$5-$C$5)/($E$5-$C$5),1+4*($E$5-$D$5)/($E$5-$C$5),$C$5,$E$5)</f>
        <v/>
      </c>
      <c r="N345" s="14">
        <f>IF($AB345&lt;($D$6-$C$6)/($E$6-$C$6),$C$6+SQRT($AB345*($E$6-$C$6)*($D$6-$C$6)),$E$6-SQRT((1-$AB345)*($E$6-$C$6)*($E$6-$D$6)))</f>
        <v/>
      </c>
      <c r="O345" s="14">
        <f>_xlfn.NORM.INV($AC345,$C$7,$D$7)</f>
        <v/>
      </c>
      <c r="P345" s="14">
        <f>$C$8+($D$8-$C$8)*$AD345</f>
        <v/>
      </c>
      <c r="Q345" s="14">
        <f>$C$9</f>
        <v/>
      </c>
      <c r="R345" s="14">
        <f>_xlfn.LOGNORM.INV($AF345,LN($C$10)-0.5*LN(1+($D$10/$C$10)^2),SQRT(LN(1+($D$10/$C$10)^2)))</f>
        <v/>
      </c>
      <c r="S345" s="14">
        <f>SUM(M345:R345)</f>
        <v/>
      </c>
      <c r="AA345">
        <f>RAND()</f>
        <v/>
      </c>
      <c r="AB345">
        <f>RAND()</f>
        <v/>
      </c>
      <c r="AC345">
        <f>RAND()</f>
        <v/>
      </c>
      <c r="AD345">
        <f>RAND()</f>
        <v/>
      </c>
      <c r="AE345">
        <f>RAND()</f>
        <v/>
      </c>
      <c r="AF345">
        <f>RAND()</f>
        <v/>
      </c>
    </row>
    <row r="346">
      <c r="M346" s="14">
        <f>_xlfn.BETA.INV($AA346,1+4*($D$5-$C$5)/($E$5-$C$5),1+4*($E$5-$D$5)/($E$5-$C$5),$C$5,$E$5)</f>
        <v/>
      </c>
      <c r="N346" s="14">
        <f>IF($AB346&lt;($D$6-$C$6)/($E$6-$C$6),$C$6+SQRT($AB346*($E$6-$C$6)*($D$6-$C$6)),$E$6-SQRT((1-$AB346)*($E$6-$C$6)*($E$6-$D$6)))</f>
        <v/>
      </c>
      <c r="O346" s="14">
        <f>_xlfn.NORM.INV($AC346,$C$7,$D$7)</f>
        <v/>
      </c>
      <c r="P346" s="14">
        <f>$C$8+($D$8-$C$8)*$AD346</f>
        <v/>
      </c>
      <c r="Q346" s="14">
        <f>$C$9</f>
        <v/>
      </c>
      <c r="R346" s="14">
        <f>_xlfn.LOGNORM.INV($AF346,LN($C$10)-0.5*LN(1+($D$10/$C$10)^2),SQRT(LN(1+($D$10/$C$10)^2)))</f>
        <v/>
      </c>
      <c r="S346" s="14">
        <f>SUM(M346:R346)</f>
        <v/>
      </c>
      <c r="AA346">
        <f>RAND()</f>
        <v/>
      </c>
      <c r="AB346">
        <f>RAND()</f>
        <v/>
      </c>
      <c r="AC346">
        <f>RAND()</f>
        <v/>
      </c>
      <c r="AD346">
        <f>RAND()</f>
        <v/>
      </c>
      <c r="AE346">
        <f>RAND()</f>
        <v/>
      </c>
      <c r="AF346">
        <f>RAND()</f>
        <v/>
      </c>
    </row>
    <row r="347">
      <c r="M347" s="14">
        <f>_xlfn.BETA.INV($AA347,1+4*($D$5-$C$5)/($E$5-$C$5),1+4*($E$5-$D$5)/($E$5-$C$5),$C$5,$E$5)</f>
        <v/>
      </c>
      <c r="N347" s="14">
        <f>IF($AB347&lt;($D$6-$C$6)/($E$6-$C$6),$C$6+SQRT($AB347*($E$6-$C$6)*($D$6-$C$6)),$E$6-SQRT((1-$AB347)*($E$6-$C$6)*($E$6-$D$6)))</f>
        <v/>
      </c>
      <c r="O347" s="14">
        <f>_xlfn.NORM.INV($AC347,$C$7,$D$7)</f>
        <v/>
      </c>
      <c r="P347" s="14">
        <f>$C$8+($D$8-$C$8)*$AD347</f>
        <v/>
      </c>
      <c r="Q347" s="14">
        <f>$C$9</f>
        <v/>
      </c>
      <c r="R347" s="14">
        <f>_xlfn.LOGNORM.INV($AF347,LN($C$10)-0.5*LN(1+($D$10/$C$10)^2),SQRT(LN(1+($D$10/$C$10)^2)))</f>
        <v/>
      </c>
      <c r="S347" s="14">
        <f>SUM(M347:R347)</f>
        <v/>
      </c>
      <c r="AA347">
        <f>RAND()</f>
        <v/>
      </c>
      <c r="AB347">
        <f>RAND()</f>
        <v/>
      </c>
      <c r="AC347">
        <f>RAND()</f>
        <v/>
      </c>
      <c r="AD347">
        <f>RAND()</f>
        <v/>
      </c>
      <c r="AE347">
        <f>RAND()</f>
        <v/>
      </c>
      <c r="AF347">
        <f>RAND()</f>
        <v/>
      </c>
    </row>
    <row r="348">
      <c r="M348" s="14">
        <f>_xlfn.BETA.INV($AA348,1+4*($D$5-$C$5)/($E$5-$C$5),1+4*($E$5-$D$5)/($E$5-$C$5),$C$5,$E$5)</f>
        <v/>
      </c>
      <c r="N348" s="14">
        <f>IF($AB348&lt;($D$6-$C$6)/($E$6-$C$6),$C$6+SQRT($AB348*($E$6-$C$6)*($D$6-$C$6)),$E$6-SQRT((1-$AB348)*($E$6-$C$6)*($E$6-$D$6)))</f>
        <v/>
      </c>
      <c r="O348" s="14">
        <f>_xlfn.NORM.INV($AC348,$C$7,$D$7)</f>
        <v/>
      </c>
      <c r="P348" s="14">
        <f>$C$8+($D$8-$C$8)*$AD348</f>
        <v/>
      </c>
      <c r="Q348" s="14">
        <f>$C$9</f>
        <v/>
      </c>
      <c r="R348" s="14">
        <f>_xlfn.LOGNORM.INV($AF348,LN($C$10)-0.5*LN(1+($D$10/$C$10)^2),SQRT(LN(1+($D$10/$C$10)^2)))</f>
        <v/>
      </c>
      <c r="S348" s="14">
        <f>SUM(M348:R348)</f>
        <v/>
      </c>
      <c r="AA348">
        <f>RAND()</f>
        <v/>
      </c>
      <c r="AB348">
        <f>RAND()</f>
        <v/>
      </c>
      <c r="AC348">
        <f>RAND()</f>
        <v/>
      </c>
      <c r="AD348">
        <f>RAND()</f>
        <v/>
      </c>
      <c r="AE348">
        <f>RAND()</f>
        <v/>
      </c>
      <c r="AF348">
        <f>RAND()</f>
        <v/>
      </c>
    </row>
    <row r="349">
      <c r="M349" s="14">
        <f>_xlfn.BETA.INV($AA349,1+4*($D$5-$C$5)/($E$5-$C$5),1+4*($E$5-$D$5)/($E$5-$C$5),$C$5,$E$5)</f>
        <v/>
      </c>
      <c r="N349" s="14">
        <f>IF($AB349&lt;($D$6-$C$6)/($E$6-$C$6),$C$6+SQRT($AB349*($E$6-$C$6)*($D$6-$C$6)),$E$6-SQRT((1-$AB349)*($E$6-$C$6)*($E$6-$D$6)))</f>
        <v/>
      </c>
      <c r="O349" s="14">
        <f>_xlfn.NORM.INV($AC349,$C$7,$D$7)</f>
        <v/>
      </c>
      <c r="P349" s="14">
        <f>$C$8+($D$8-$C$8)*$AD349</f>
        <v/>
      </c>
      <c r="Q349" s="14">
        <f>$C$9</f>
        <v/>
      </c>
      <c r="R349" s="14">
        <f>_xlfn.LOGNORM.INV($AF349,LN($C$10)-0.5*LN(1+($D$10/$C$10)^2),SQRT(LN(1+($D$10/$C$10)^2)))</f>
        <v/>
      </c>
      <c r="S349" s="14">
        <f>SUM(M349:R349)</f>
        <v/>
      </c>
      <c r="AA349">
        <f>RAND()</f>
        <v/>
      </c>
      <c r="AB349">
        <f>RAND()</f>
        <v/>
      </c>
      <c r="AC349">
        <f>RAND()</f>
        <v/>
      </c>
      <c r="AD349">
        <f>RAND()</f>
        <v/>
      </c>
      <c r="AE349">
        <f>RAND()</f>
        <v/>
      </c>
      <c r="AF349">
        <f>RAND()</f>
        <v/>
      </c>
    </row>
    <row r="350">
      <c r="M350" s="14">
        <f>_xlfn.BETA.INV($AA350,1+4*($D$5-$C$5)/($E$5-$C$5),1+4*($E$5-$D$5)/($E$5-$C$5),$C$5,$E$5)</f>
        <v/>
      </c>
      <c r="N350" s="14">
        <f>IF($AB350&lt;($D$6-$C$6)/($E$6-$C$6),$C$6+SQRT($AB350*($E$6-$C$6)*($D$6-$C$6)),$E$6-SQRT((1-$AB350)*($E$6-$C$6)*($E$6-$D$6)))</f>
        <v/>
      </c>
      <c r="O350" s="14">
        <f>_xlfn.NORM.INV($AC350,$C$7,$D$7)</f>
        <v/>
      </c>
      <c r="P350" s="14">
        <f>$C$8+($D$8-$C$8)*$AD350</f>
        <v/>
      </c>
      <c r="Q350" s="14">
        <f>$C$9</f>
        <v/>
      </c>
      <c r="R350" s="14">
        <f>_xlfn.LOGNORM.INV($AF350,LN($C$10)-0.5*LN(1+($D$10/$C$10)^2),SQRT(LN(1+($D$10/$C$10)^2)))</f>
        <v/>
      </c>
      <c r="S350" s="14">
        <f>SUM(M350:R350)</f>
        <v/>
      </c>
      <c r="AA350">
        <f>RAND()</f>
        <v/>
      </c>
      <c r="AB350">
        <f>RAND()</f>
        <v/>
      </c>
      <c r="AC350">
        <f>RAND()</f>
        <v/>
      </c>
      <c r="AD350">
        <f>RAND()</f>
        <v/>
      </c>
      <c r="AE350">
        <f>RAND()</f>
        <v/>
      </c>
      <c r="AF350">
        <f>RAND()</f>
        <v/>
      </c>
    </row>
    <row r="351">
      <c r="M351" s="14">
        <f>_xlfn.BETA.INV($AA351,1+4*($D$5-$C$5)/($E$5-$C$5),1+4*($E$5-$D$5)/($E$5-$C$5),$C$5,$E$5)</f>
        <v/>
      </c>
      <c r="N351" s="14">
        <f>IF($AB351&lt;($D$6-$C$6)/($E$6-$C$6),$C$6+SQRT($AB351*($E$6-$C$6)*($D$6-$C$6)),$E$6-SQRT((1-$AB351)*($E$6-$C$6)*($E$6-$D$6)))</f>
        <v/>
      </c>
      <c r="O351" s="14">
        <f>_xlfn.NORM.INV($AC351,$C$7,$D$7)</f>
        <v/>
      </c>
      <c r="P351" s="14">
        <f>$C$8+($D$8-$C$8)*$AD351</f>
        <v/>
      </c>
      <c r="Q351" s="14">
        <f>$C$9</f>
        <v/>
      </c>
      <c r="R351" s="14">
        <f>_xlfn.LOGNORM.INV($AF351,LN($C$10)-0.5*LN(1+($D$10/$C$10)^2),SQRT(LN(1+($D$10/$C$10)^2)))</f>
        <v/>
      </c>
      <c r="S351" s="14">
        <f>SUM(M351:R351)</f>
        <v/>
      </c>
      <c r="AA351">
        <f>RAND()</f>
        <v/>
      </c>
      <c r="AB351">
        <f>RAND()</f>
        <v/>
      </c>
      <c r="AC351">
        <f>RAND()</f>
        <v/>
      </c>
      <c r="AD351">
        <f>RAND()</f>
        <v/>
      </c>
      <c r="AE351">
        <f>RAND()</f>
        <v/>
      </c>
      <c r="AF351">
        <f>RAND()</f>
        <v/>
      </c>
    </row>
    <row r="352">
      <c r="M352" s="14">
        <f>_xlfn.BETA.INV($AA352,1+4*($D$5-$C$5)/($E$5-$C$5),1+4*($E$5-$D$5)/($E$5-$C$5),$C$5,$E$5)</f>
        <v/>
      </c>
      <c r="N352" s="14">
        <f>IF($AB352&lt;($D$6-$C$6)/($E$6-$C$6),$C$6+SQRT($AB352*($E$6-$C$6)*($D$6-$C$6)),$E$6-SQRT((1-$AB352)*($E$6-$C$6)*($E$6-$D$6)))</f>
        <v/>
      </c>
      <c r="O352" s="14">
        <f>_xlfn.NORM.INV($AC352,$C$7,$D$7)</f>
        <v/>
      </c>
      <c r="P352" s="14">
        <f>$C$8+($D$8-$C$8)*$AD352</f>
        <v/>
      </c>
      <c r="Q352" s="14">
        <f>$C$9</f>
        <v/>
      </c>
      <c r="R352" s="14">
        <f>_xlfn.LOGNORM.INV($AF352,LN($C$10)-0.5*LN(1+($D$10/$C$10)^2),SQRT(LN(1+($D$10/$C$10)^2)))</f>
        <v/>
      </c>
      <c r="S352" s="14">
        <f>SUM(M352:R352)</f>
        <v/>
      </c>
      <c r="AA352">
        <f>RAND()</f>
        <v/>
      </c>
      <c r="AB352">
        <f>RAND()</f>
        <v/>
      </c>
      <c r="AC352">
        <f>RAND()</f>
        <v/>
      </c>
      <c r="AD352">
        <f>RAND()</f>
        <v/>
      </c>
      <c r="AE352">
        <f>RAND()</f>
        <v/>
      </c>
      <c r="AF352">
        <f>RAND()</f>
        <v/>
      </c>
    </row>
    <row r="353">
      <c r="M353" s="14">
        <f>_xlfn.BETA.INV($AA353,1+4*($D$5-$C$5)/($E$5-$C$5),1+4*($E$5-$D$5)/($E$5-$C$5),$C$5,$E$5)</f>
        <v/>
      </c>
      <c r="N353" s="14">
        <f>IF($AB353&lt;($D$6-$C$6)/($E$6-$C$6),$C$6+SQRT($AB353*($E$6-$C$6)*($D$6-$C$6)),$E$6-SQRT((1-$AB353)*($E$6-$C$6)*($E$6-$D$6)))</f>
        <v/>
      </c>
      <c r="O353" s="14">
        <f>_xlfn.NORM.INV($AC353,$C$7,$D$7)</f>
        <v/>
      </c>
      <c r="P353" s="14">
        <f>$C$8+($D$8-$C$8)*$AD353</f>
        <v/>
      </c>
      <c r="Q353" s="14">
        <f>$C$9</f>
        <v/>
      </c>
      <c r="R353" s="14">
        <f>_xlfn.LOGNORM.INV($AF353,LN($C$10)-0.5*LN(1+($D$10/$C$10)^2),SQRT(LN(1+($D$10/$C$10)^2)))</f>
        <v/>
      </c>
      <c r="S353" s="14">
        <f>SUM(M353:R353)</f>
        <v/>
      </c>
      <c r="AA353">
        <f>RAND()</f>
        <v/>
      </c>
      <c r="AB353">
        <f>RAND()</f>
        <v/>
      </c>
      <c r="AC353">
        <f>RAND()</f>
        <v/>
      </c>
      <c r="AD353">
        <f>RAND()</f>
        <v/>
      </c>
      <c r="AE353">
        <f>RAND()</f>
        <v/>
      </c>
      <c r="AF353">
        <f>RAND()</f>
        <v/>
      </c>
    </row>
    <row r="354">
      <c r="M354" s="14">
        <f>_xlfn.BETA.INV($AA354,1+4*($D$5-$C$5)/($E$5-$C$5),1+4*($E$5-$D$5)/($E$5-$C$5),$C$5,$E$5)</f>
        <v/>
      </c>
      <c r="N354" s="14">
        <f>IF($AB354&lt;($D$6-$C$6)/($E$6-$C$6),$C$6+SQRT($AB354*($E$6-$C$6)*($D$6-$C$6)),$E$6-SQRT((1-$AB354)*($E$6-$C$6)*($E$6-$D$6)))</f>
        <v/>
      </c>
      <c r="O354" s="14">
        <f>_xlfn.NORM.INV($AC354,$C$7,$D$7)</f>
        <v/>
      </c>
      <c r="P354" s="14">
        <f>$C$8+($D$8-$C$8)*$AD354</f>
        <v/>
      </c>
      <c r="Q354" s="14">
        <f>$C$9</f>
        <v/>
      </c>
      <c r="R354" s="14">
        <f>_xlfn.LOGNORM.INV($AF354,LN($C$10)-0.5*LN(1+($D$10/$C$10)^2),SQRT(LN(1+($D$10/$C$10)^2)))</f>
        <v/>
      </c>
      <c r="S354" s="14">
        <f>SUM(M354:R354)</f>
        <v/>
      </c>
      <c r="AA354">
        <f>RAND()</f>
        <v/>
      </c>
      <c r="AB354">
        <f>RAND()</f>
        <v/>
      </c>
      <c r="AC354">
        <f>RAND()</f>
        <v/>
      </c>
      <c r="AD354">
        <f>RAND()</f>
        <v/>
      </c>
      <c r="AE354">
        <f>RAND()</f>
        <v/>
      </c>
      <c r="AF354">
        <f>RAND()</f>
        <v/>
      </c>
    </row>
    <row r="355">
      <c r="M355" s="14">
        <f>_xlfn.BETA.INV($AA355,1+4*($D$5-$C$5)/($E$5-$C$5),1+4*($E$5-$D$5)/($E$5-$C$5),$C$5,$E$5)</f>
        <v/>
      </c>
      <c r="N355" s="14">
        <f>IF($AB355&lt;($D$6-$C$6)/($E$6-$C$6),$C$6+SQRT($AB355*($E$6-$C$6)*($D$6-$C$6)),$E$6-SQRT((1-$AB355)*($E$6-$C$6)*($E$6-$D$6)))</f>
        <v/>
      </c>
      <c r="O355" s="14">
        <f>_xlfn.NORM.INV($AC355,$C$7,$D$7)</f>
        <v/>
      </c>
      <c r="P355" s="14">
        <f>$C$8+($D$8-$C$8)*$AD355</f>
        <v/>
      </c>
      <c r="Q355" s="14">
        <f>$C$9</f>
        <v/>
      </c>
      <c r="R355" s="14">
        <f>_xlfn.LOGNORM.INV($AF355,LN($C$10)-0.5*LN(1+($D$10/$C$10)^2),SQRT(LN(1+($D$10/$C$10)^2)))</f>
        <v/>
      </c>
      <c r="S355" s="14">
        <f>SUM(M355:R355)</f>
        <v/>
      </c>
      <c r="AA355">
        <f>RAND()</f>
        <v/>
      </c>
      <c r="AB355">
        <f>RAND()</f>
        <v/>
      </c>
      <c r="AC355">
        <f>RAND()</f>
        <v/>
      </c>
      <c r="AD355">
        <f>RAND()</f>
        <v/>
      </c>
      <c r="AE355">
        <f>RAND()</f>
        <v/>
      </c>
      <c r="AF355">
        <f>RAND()</f>
        <v/>
      </c>
    </row>
    <row r="356">
      <c r="M356" s="14">
        <f>_xlfn.BETA.INV($AA356,1+4*($D$5-$C$5)/($E$5-$C$5),1+4*($E$5-$D$5)/($E$5-$C$5),$C$5,$E$5)</f>
        <v/>
      </c>
      <c r="N356" s="14">
        <f>IF($AB356&lt;($D$6-$C$6)/($E$6-$C$6),$C$6+SQRT($AB356*($E$6-$C$6)*($D$6-$C$6)),$E$6-SQRT((1-$AB356)*($E$6-$C$6)*($E$6-$D$6)))</f>
        <v/>
      </c>
      <c r="O356" s="14">
        <f>_xlfn.NORM.INV($AC356,$C$7,$D$7)</f>
        <v/>
      </c>
      <c r="P356" s="14">
        <f>$C$8+($D$8-$C$8)*$AD356</f>
        <v/>
      </c>
      <c r="Q356" s="14">
        <f>$C$9</f>
        <v/>
      </c>
      <c r="R356" s="14">
        <f>_xlfn.LOGNORM.INV($AF356,LN($C$10)-0.5*LN(1+($D$10/$C$10)^2),SQRT(LN(1+($D$10/$C$10)^2)))</f>
        <v/>
      </c>
      <c r="S356" s="14">
        <f>SUM(M356:R356)</f>
        <v/>
      </c>
      <c r="AA356">
        <f>RAND()</f>
        <v/>
      </c>
      <c r="AB356">
        <f>RAND()</f>
        <v/>
      </c>
      <c r="AC356">
        <f>RAND()</f>
        <v/>
      </c>
      <c r="AD356">
        <f>RAND()</f>
        <v/>
      </c>
      <c r="AE356">
        <f>RAND()</f>
        <v/>
      </c>
      <c r="AF356">
        <f>RAND()</f>
        <v/>
      </c>
    </row>
    <row r="357">
      <c r="M357" s="14">
        <f>_xlfn.BETA.INV($AA357,1+4*($D$5-$C$5)/($E$5-$C$5),1+4*($E$5-$D$5)/($E$5-$C$5),$C$5,$E$5)</f>
        <v/>
      </c>
      <c r="N357" s="14">
        <f>IF($AB357&lt;($D$6-$C$6)/($E$6-$C$6),$C$6+SQRT($AB357*($E$6-$C$6)*($D$6-$C$6)),$E$6-SQRT((1-$AB357)*($E$6-$C$6)*($E$6-$D$6)))</f>
        <v/>
      </c>
      <c r="O357" s="14">
        <f>_xlfn.NORM.INV($AC357,$C$7,$D$7)</f>
        <v/>
      </c>
      <c r="P357" s="14">
        <f>$C$8+($D$8-$C$8)*$AD357</f>
        <v/>
      </c>
      <c r="Q357" s="14">
        <f>$C$9</f>
        <v/>
      </c>
      <c r="R357" s="14">
        <f>_xlfn.LOGNORM.INV($AF357,LN($C$10)-0.5*LN(1+($D$10/$C$10)^2),SQRT(LN(1+($D$10/$C$10)^2)))</f>
        <v/>
      </c>
      <c r="S357" s="14">
        <f>SUM(M357:R357)</f>
        <v/>
      </c>
      <c r="AA357">
        <f>RAND()</f>
        <v/>
      </c>
      <c r="AB357">
        <f>RAND()</f>
        <v/>
      </c>
      <c r="AC357">
        <f>RAND()</f>
        <v/>
      </c>
      <c r="AD357">
        <f>RAND()</f>
        <v/>
      </c>
      <c r="AE357">
        <f>RAND()</f>
        <v/>
      </c>
      <c r="AF357">
        <f>RAND()</f>
        <v/>
      </c>
    </row>
    <row r="358">
      <c r="M358" s="14">
        <f>_xlfn.BETA.INV($AA358,1+4*($D$5-$C$5)/($E$5-$C$5),1+4*($E$5-$D$5)/($E$5-$C$5),$C$5,$E$5)</f>
        <v/>
      </c>
      <c r="N358" s="14">
        <f>IF($AB358&lt;($D$6-$C$6)/($E$6-$C$6),$C$6+SQRT($AB358*($E$6-$C$6)*($D$6-$C$6)),$E$6-SQRT((1-$AB358)*($E$6-$C$6)*($E$6-$D$6)))</f>
        <v/>
      </c>
      <c r="O358" s="14">
        <f>_xlfn.NORM.INV($AC358,$C$7,$D$7)</f>
        <v/>
      </c>
      <c r="P358" s="14">
        <f>$C$8+($D$8-$C$8)*$AD358</f>
        <v/>
      </c>
      <c r="Q358" s="14">
        <f>$C$9</f>
        <v/>
      </c>
      <c r="R358" s="14">
        <f>_xlfn.LOGNORM.INV($AF358,LN($C$10)-0.5*LN(1+($D$10/$C$10)^2),SQRT(LN(1+($D$10/$C$10)^2)))</f>
        <v/>
      </c>
      <c r="S358" s="14">
        <f>SUM(M358:R358)</f>
        <v/>
      </c>
      <c r="AA358">
        <f>RAND()</f>
        <v/>
      </c>
      <c r="AB358">
        <f>RAND()</f>
        <v/>
      </c>
      <c r="AC358">
        <f>RAND()</f>
        <v/>
      </c>
      <c r="AD358">
        <f>RAND()</f>
        <v/>
      </c>
      <c r="AE358">
        <f>RAND()</f>
        <v/>
      </c>
      <c r="AF358">
        <f>RAND()</f>
        <v/>
      </c>
    </row>
    <row r="359">
      <c r="M359" s="14">
        <f>_xlfn.BETA.INV($AA359,1+4*($D$5-$C$5)/($E$5-$C$5),1+4*($E$5-$D$5)/($E$5-$C$5),$C$5,$E$5)</f>
        <v/>
      </c>
      <c r="N359" s="14">
        <f>IF($AB359&lt;($D$6-$C$6)/($E$6-$C$6),$C$6+SQRT($AB359*($E$6-$C$6)*($D$6-$C$6)),$E$6-SQRT((1-$AB359)*($E$6-$C$6)*($E$6-$D$6)))</f>
        <v/>
      </c>
      <c r="O359" s="14">
        <f>_xlfn.NORM.INV($AC359,$C$7,$D$7)</f>
        <v/>
      </c>
      <c r="P359" s="14">
        <f>$C$8+($D$8-$C$8)*$AD359</f>
        <v/>
      </c>
      <c r="Q359" s="14">
        <f>$C$9</f>
        <v/>
      </c>
      <c r="R359" s="14">
        <f>_xlfn.LOGNORM.INV($AF359,LN($C$10)-0.5*LN(1+($D$10/$C$10)^2),SQRT(LN(1+($D$10/$C$10)^2)))</f>
        <v/>
      </c>
      <c r="S359" s="14">
        <f>SUM(M359:R359)</f>
        <v/>
      </c>
      <c r="AA359">
        <f>RAND()</f>
        <v/>
      </c>
      <c r="AB359">
        <f>RAND()</f>
        <v/>
      </c>
      <c r="AC359">
        <f>RAND()</f>
        <v/>
      </c>
      <c r="AD359">
        <f>RAND()</f>
        <v/>
      </c>
      <c r="AE359">
        <f>RAND()</f>
        <v/>
      </c>
      <c r="AF359">
        <f>RAND()</f>
        <v/>
      </c>
    </row>
    <row r="360">
      <c r="M360" s="14">
        <f>_xlfn.BETA.INV($AA360,1+4*($D$5-$C$5)/($E$5-$C$5),1+4*($E$5-$D$5)/($E$5-$C$5),$C$5,$E$5)</f>
        <v/>
      </c>
      <c r="N360" s="14">
        <f>IF($AB360&lt;($D$6-$C$6)/($E$6-$C$6),$C$6+SQRT($AB360*($E$6-$C$6)*($D$6-$C$6)),$E$6-SQRT((1-$AB360)*($E$6-$C$6)*($E$6-$D$6)))</f>
        <v/>
      </c>
      <c r="O360" s="14">
        <f>_xlfn.NORM.INV($AC360,$C$7,$D$7)</f>
        <v/>
      </c>
      <c r="P360" s="14">
        <f>$C$8+($D$8-$C$8)*$AD360</f>
        <v/>
      </c>
      <c r="Q360" s="14">
        <f>$C$9</f>
        <v/>
      </c>
      <c r="R360" s="14">
        <f>_xlfn.LOGNORM.INV($AF360,LN($C$10)-0.5*LN(1+($D$10/$C$10)^2),SQRT(LN(1+($D$10/$C$10)^2)))</f>
        <v/>
      </c>
      <c r="S360" s="14">
        <f>SUM(M360:R360)</f>
        <v/>
      </c>
      <c r="AA360">
        <f>RAND()</f>
        <v/>
      </c>
      <c r="AB360">
        <f>RAND()</f>
        <v/>
      </c>
      <c r="AC360">
        <f>RAND()</f>
        <v/>
      </c>
      <c r="AD360">
        <f>RAND()</f>
        <v/>
      </c>
      <c r="AE360">
        <f>RAND()</f>
        <v/>
      </c>
      <c r="AF360">
        <f>RAND()</f>
        <v/>
      </c>
    </row>
    <row r="361">
      <c r="M361" s="14">
        <f>_xlfn.BETA.INV($AA361,1+4*($D$5-$C$5)/($E$5-$C$5),1+4*($E$5-$D$5)/($E$5-$C$5),$C$5,$E$5)</f>
        <v/>
      </c>
      <c r="N361" s="14">
        <f>IF($AB361&lt;($D$6-$C$6)/($E$6-$C$6),$C$6+SQRT($AB361*($E$6-$C$6)*($D$6-$C$6)),$E$6-SQRT((1-$AB361)*($E$6-$C$6)*($E$6-$D$6)))</f>
        <v/>
      </c>
      <c r="O361" s="14">
        <f>_xlfn.NORM.INV($AC361,$C$7,$D$7)</f>
        <v/>
      </c>
      <c r="P361" s="14">
        <f>$C$8+($D$8-$C$8)*$AD361</f>
        <v/>
      </c>
      <c r="Q361" s="14">
        <f>$C$9</f>
        <v/>
      </c>
      <c r="R361" s="14">
        <f>_xlfn.LOGNORM.INV($AF361,LN($C$10)-0.5*LN(1+($D$10/$C$10)^2),SQRT(LN(1+($D$10/$C$10)^2)))</f>
        <v/>
      </c>
      <c r="S361" s="14">
        <f>SUM(M361:R361)</f>
        <v/>
      </c>
      <c r="AA361">
        <f>RAND()</f>
        <v/>
      </c>
      <c r="AB361">
        <f>RAND()</f>
        <v/>
      </c>
      <c r="AC361">
        <f>RAND()</f>
        <v/>
      </c>
      <c r="AD361">
        <f>RAND()</f>
        <v/>
      </c>
      <c r="AE361">
        <f>RAND()</f>
        <v/>
      </c>
      <c r="AF361">
        <f>RAND()</f>
        <v/>
      </c>
    </row>
    <row r="362">
      <c r="M362" s="14">
        <f>_xlfn.BETA.INV($AA362,1+4*($D$5-$C$5)/($E$5-$C$5),1+4*($E$5-$D$5)/($E$5-$C$5),$C$5,$E$5)</f>
        <v/>
      </c>
      <c r="N362" s="14">
        <f>IF($AB362&lt;($D$6-$C$6)/($E$6-$C$6),$C$6+SQRT($AB362*($E$6-$C$6)*($D$6-$C$6)),$E$6-SQRT((1-$AB362)*($E$6-$C$6)*($E$6-$D$6)))</f>
        <v/>
      </c>
      <c r="O362" s="14">
        <f>_xlfn.NORM.INV($AC362,$C$7,$D$7)</f>
        <v/>
      </c>
      <c r="P362" s="14">
        <f>$C$8+($D$8-$C$8)*$AD362</f>
        <v/>
      </c>
      <c r="Q362" s="14">
        <f>$C$9</f>
        <v/>
      </c>
      <c r="R362" s="14">
        <f>_xlfn.LOGNORM.INV($AF362,LN($C$10)-0.5*LN(1+($D$10/$C$10)^2),SQRT(LN(1+($D$10/$C$10)^2)))</f>
        <v/>
      </c>
      <c r="S362" s="14">
        <f>SUM(M362:R362)</f>
        <v/>
      </c>
      <c r="AA362">
        <f>RAND()</f>
        <v/>
      </c>
      <c r="AB362">
        <f>RAND()</f>
        <v/>
      </c>
      <c r="AC362">
        <f>RAND()</f>
        <v/>
      </c>
      <c r="AD362">
        <f>RAND()</f>
        <v/>
      </c>
      <c r="AE362">
        <f>RAND()</f>
        <v/>
      </c>
      <c r="AF362">
        <f>RAND()</f>
        <v/>
      </c>
    </row>
    <row r="363">
      <c r="M363" s="14">
        <f>_xlfn.BETA.INV($AA363,1+4*($D$5-$C$5)/($E$5-$C$5),1+4*($E$5-$D$5)/($E$5-$C$5),$C$5,$E$5)</f>
        <v/>
      </c>
      <c r="N363" s="14">
        <f>IF($AB363&lt;($D$6-$C$6)/($E$6-$C$6),$C$6+SQRT($AB363*($E$6-$C$6)*($D$6-$C$6)),$E$6-SQRT((1-$AB363)*($E$6-$C$6)*($E$6-$D$6)))</f>
        <v/>
      </c>
      <c r="O363" s="14">
        <f>_xlfn.NORM.INV($AC363,$C$7,$D$7)</f>
        <v/>
      </c>
      <c r="P363" s="14">
        <f>$C$8+($D$8-$C$8)*$AD363</f>
        <v/>
      </c>
      <c r="Q363" s="14">
        <f>$C$9</f>
        <v/>
      </c>
      <c r="R363" s="14">
        <f>_xlfn.LOGNORM.INV($AF363,LN($C$10)-0.5*LN(1+($D$10/$C$10)^2),SQRT(LN(1+($D$10/$C$10)^2)))</f>
        <v/>
      </c>
      <c r="S363" s="14">
        <f>SUM(M363:R363)</f>
        <v/>
      </c>
      <c r="AA363">
        <f>RAND()</f>
        <v/>
      </c>
      <c r="AB363">
        <f>RAND()</f>
        <v/>
      </c>
      <c r="AC363">
        <f>RAND()</f>
        <v/>
      </c>
      <c r="AD363">
        <f>RAND()</f>
        <v/>
      </c>
      <c r="AE363">
        <f>RAND()</f>
        <v/>
      </c>
      <c r="AF363">
        <f>RAND()</f>
        <v/>
      </c>
    </row>
    <row r="364">
      <c r="M364" s="14">
        <f>_xlfn.BETA.INV($AA364,1+4*($D$5-$C$5)/($E$5-$C$5),1+4*($E$5-$D$5)/($E$5-$C$5),$C$5,$E$5)</f>
        <v/>
      </c>
      <c r="N364" s="14">
        <f>IF($AB364&lt;($D$6-$C$6)/($E$6-$C$6),$C$6+SQRT($AB364*($E$6-$C$6)*($D$6-$C$6)),$E$6-SQRT((1-$AB364)*($E$6-$C$6)*($E$6-$D$6)))</f>
        <v/>
      </c>
      <c r="O364" s="14">
        <f>_xlfn.NORM.INV($AC364,$C$7,$D$7)</f>
        <v/>
      </c>
      <c r="P364" s="14">
        <f>$C$8+($D$8-$C$8)*$AD364</f>
        <v/>
      </c>
      <c r="Q364" s="14">
        <f>$C$9</f>
        <v/>
      </c>
      <c r="R364" s="14">
        <f>_xlfn.LOGNORM.INV($AF364,LN($C$10)-0.5*LN(1+($D$10/$C$10)^2),SQRT(LN(1+($D$10/$C$10)^2)))</f>
        <v/>
      </c>
      <c r="S364" s="14">
        <f>SUM(M364:R364)</f>
        <v/>
      </c>
      <c r="AA364">
        <f>RAND()</f>
        <v/>
      </c>
      <c r="AB364">
        <f>RAND()</f>
        <v/>
      </c>
      <c r="AC364">
        <f>RAND()</f>
        <v/>
      </c>
      <c r="AD364">
        <f>RAND()</f>
        <v/>
      </c>
      <c r="AE364">
        <f>RAND()</f>
        <v/>
      </c>
      <c r="AF364">
        <f>RAND()</f>
        <v/>
      </c>
    </row>
    <row r="365">
      <c r="M365" s="14">
        <f>_xlfn.BETA.INV($AA365,1+4*($D$5-$C$5)/($E$5-$C$5),1+4*($E$5-$D$5)/($E$5-$C$5),$C$5,$E$5)</f>
        <v/>
      </c>
      <c r="N365" s="14">
        <f>IF($AB365&lt;($D$6-$C$6)/($E$6-$C$6),$C$6+SQRT($AB365*($E$6-$C$6)*($D$6-$C$6)),$E$6-SQRT((1-$AB365)*($E$6-$C$6)*($E$6-$D$6)))</f>
        <v/>
      </c>
      <c r="O365" s="14">
        <f>_xlfn.NORM.INV($AC365,$C$7,$D$7)</f>
        <v/>
      </c>
      <c r="P365" s="14">
        <f>$C$8+($D$8-$C$8)*$AD365</f>
        <v/>
      </c>
      <c r="Q365" s="14">
        <f>$C$9</f>
        <v/>
      </c>
      <c r="R365" s="14">
        <f>_xlfn.LOGNORM.INV($AF365,LN($C$10)-0.5*LN(1+($D$10/$C$10)^2),SQRT(LN(1+($D$10/$C$10)^2)))</f>
        <v/>
      </c>
      <c r="S365" s="14">
        <f>SUM(M365:R365)</f>
        <v/>
      </c>
      <c r="AA365">
        <f>RAND()</f>
        <v/>
      </c>
      <c r="AB365">
        <f>RAND()</f>
        <v/>
      </c>
      <c r="AC365">
        <f>RAND()</f>
        <v/>
      </c>
      <c r="AD365">
        <f>RAND()</f>
        <v/>
      </c>
      <c r="AE365">
        <f>RAND()</f>
        <v/>
      </c>
      <c r="AF365">
        <f>RAND()</f>
        <v/>
      </c>
    </row>
    <row r="366">
      <c r="M366" s="14">
        <f>_xlfn.BETA.INV($AA366,1+4*($D$5-$C$5)/($E$5-$C$5),1+4*($E$5-$D$5)/($E$5-$C$5),$C$5,$E$5)</f>
        <v/>
      </c>
      <c r="N366" s="14">
        <f>IF($AB366&lt;($D$6-$C$6)/($E$6-$C$6),$C$6+SQRT($AB366*($E$6-$C$6)*($D$6-$C$6)),$E$6-SQRT((1-$AB366)*($E$6-$C$6)*($E$6-$D$6)))</f>
        <v/>
      </c>
      <c r="O366" s="14">
        <f>_xlfn.NORM.INV($AC366,$C$7,$D$7)</f>
        <v/>
      </c>
      <c r="P366" s="14">
        <f>$C$8+($D$8-$C$8)*$AD366</f>
        <v/>
      </c>
      <c r="Q366" s="14">
        <f>$C$9</f>
        <v/>
      </c>
      <c r="R366" s="14">
        <f>_xlfn.LOGNORM.INV($AF366,LN($C$10)-0.5*LN(1+($D$10/$C$10)^2),SQRT(LN(1+($D$10/$C$10)^2)))</f>
        <v/>
      </c>
      <c r="S366" s="14">
        <f>SUM(M366:R366)</f>
        <v/>
      </c>
      <c r="AA366">
        <f>RAND()</f>
        <v/>
      </c>
      <c r="AB366">
        <f>RAND()</f>
        <v/>
      </c>
      <c r="AC366">
        <f>RAND()</f>
        <v/>
      </c>
      <c r="AD366">
        <f>RAND()</f>
        <v/>
      </c>
      <c r="AE366">
        <f>RAND()</f>
        <v/>
      </c>
      <c r="AF366">
        <f>RAND()</f>
        <v/>
      </c>
    </row>
    <row r="367">
      <c r="M367" s="14">
        <f>_xlfn.BETA.INV($AA367,1+4*($D$5-$C$5)/($E$5-$C$5),1+4*($E$5-$D$5)/($E$5-$C$5),$C$5,$E$5)</f>
        <v/>
      </c>
      <c r="N367" s="14">
        <f>IF($AB367&lt;($D$6-$C$6)/($E$6-$C$6),$C$6+SQRT($AB367*($E$6-$C$6)*($D$6-$C$6)),$E$6-SQRT((1-$AB367)*($E$6-$C$6)*($E$6-$D$6)))</f>
        <v/>
      </c>
      <c r="O367" s="14">
        <f>_xlfn.NORM.INV($AC367,$C$7,$D$7)</f>
        <v/>
      </c>
      <c r="P367" s="14">
        <f>$C$8+($D$8-$C$8)*$AD367</f>
        <v/>
      </c>
      <c r="Q367" s="14">
        <f>$C$9</f>
        <v/>
      </c>
      <c r="R367" s="14">
        <f>_xlfn.LOGNORM.INV($AF367,LN($C$10)-0.5*LN(1+($D$10/$C$10)^2),SQRT(LN(1+($D$10/$C$10)^2)))</f>
        <v/>
      </c>
      <c r="S367" s="14">
        <f>SUM(M367:R367)</f>
        <v/>
      </c>
      <c r="AA367">
        <f>RAND()</f>
        <v/>
      </c>
      <c r="AB367">
        <f>RAND()</f>
        <v/>
      </c>
      <c r="AC367">
        <f>RAND()</f>
        <v/>
      </c>
      <c r="AD367">
        <f>RAND()</f>
        <v/>
      </c>
      <c r="AE367">
        <f>RAND()</f>
        <v/>
      </c>
      <c r="AF367">
        <f>RAND()</f>
        <v/>
      </c>
    </row>
    <row r="368">
      <c r="M368" s="14">
        <f>_xlfn.BETA.INV($AA368,1+4*($D$5-$C$5)/($E$5-$C$5),1+4*($E$5-$D$5)/($E$5-$C$5),$C$5,$E$5)</f>
        <v/>
      </c>
      <c r="N368" s="14">
        <f>IF($AB368&lt;($D$6-$C$6)/($E$6-$C$6),$C$6+SQRT($AB368*($E$6-$C$6)*($D$6-$C$6)),$E$6-SQRT((1-$AB368)*($E$6-$C$6)*($E$6-$D$6)))</f>
        <v/>
      </c>
      <c r="O368" s="14">
        <f>_xlfn.NORM.INV($AC368,$C$7,$D$7)</f>
        <v/>
      </c>
      <c r="P368" s="14">
        <f>$C$8+($D$8-$C$8)*$AD368</f>
        <v/>
      </c>
      <c r="Q368" s="14">
        <f>$C$9</f>
        <v/>
      </c>
      <c r="R368" s="14">
        <f>_xlfn.LOGNORM.INV($AF368,LN($C$10)-0.5*LN(1+($D$10/$C$10)^2),SQRT(LN(1+($D$10/$C$10)^2)))</f>
        <v/>
      </c>
      <c r="S368" s="14">
        <f>SUM(M368:R368)</f>
        <v/>
      </c>
      <c r="AA368">
        <f>RAND()</f>
        <v/>
      </c>
      <c r="AB368">
        <f>RAND()</f>
        <v/>
      </c>
      <c r="AC368">
        <f>RAND()</f>
        <v/>
      </c>
      <c r="AD368">
        <f>RAND()</f>
        <v/>
      </c>
      <c r="AE368">
        <f>RAND()</f>
        <v/>
      </c>
      <c r="AF368">
        <f>RAND()</f>
        <v/>
      </c>
    </row>
    <row r="369">
      <c r="M369" s="14">
        <f>_xlfn.BETA.INV($AA369,1+4*($D$5-$C$5)/($E$5-$C$5),1+4*($E$5-$D$5)/($E$5-$C$5),$C$5,$E$5)</f>
        <v/>
      </c>
      <c r="N369" s="14">
        <f>IF($AB369&lt;($D$6-$C$6)/($E$6-$C$6),$C$6+SQRT($AB369*($E$6-$C$6)*($D$6-$C$6)),$E$6-SQRT((1-$AB369)*($E$6-$C$6)*($E$6-$D$6)))</f>
        <v/>
      </c>
      <c r="O369" s="14">
        <f>_xlfn.NORM.INV($AC369,$C$7,$D$7)</f>
        <v/>
      </c>
      <c r="P369" s="14">
        <f>$C$8+($D$8-$C$8)*$AD369</f>
        <v/>
      </c>
      <c r="Q369" s="14">
        <f>$C$9</f>
        <v/>
      </c>
      <c r="R369" s="14">
        <f>_xlfn.LOGNORM.INV($AF369,LN($C$10)-0.5*LN(1+($D$10/$C$10)^2),SQRT(LN(1+($D$10/$C$10)^2)))</f>
        <v/>
      </c>
      <c r="S369" s="14">
        <f>SUM(M369:R369)</f>
        <v/>
      </c>
      <c r="AA369">
        <f>RAND()</f>
        <v/>
      </c>
      <c r="AB369">
        <f>RAND()</f>
        <v/>
      </c>
      <c r="AC369">
        <f>RAND()</f>
        <v/>
      </c>
      <c r="AD369">
        <f>RAND()</f>
        <v/>
      </c>
      <c r="AE369">
        <f>RAND()</f>
        <v/>
      </c>
      <c r="AF369">
        <f>RAND()</f>
        <v/>
      </c>
    </row>
    <row r="370">
      <c r="M370" s="14">
        <f>_xlfn.BETA.INV($AA370,1+4*($D$5-$C$5)/($E$5-$C$5),1+4*($E$5-$D$5)/($E$5-$C$5),$C$5,$E$5)</f>
        <v/>
      </c>
      <c r="N370" s="14">
        <f>IF($AB370&lt;($D$6-$C$6)/($E$6-$C$6),$C$6+SQRT($AB370*($E$6-$C$6)*($D$6-$C$6)),$E$6-SQRT((1-$AB370)*($E$6-$C$6)*($E$6-$D$6)))</f>
        <v/>
      </c>
      <c r="O370" s="14">
        <f>_xlfn.NORM.INV($AC370,$C$7,$D$7)</f>
        <v/>
      </c>
      <c r="P370" s="14">
        <f>$C$8+($D$8-$C$8)*$AD370</f>
        <v/>
      </c>
      <c r="Q370" s="14">
        <f>$C$9</f>
        <v/>
      </c>
      <c r="R370" s="14">
        <f>_xlfn.LOGNORM.INV($AF370,LN($C$10)-0.5*LN(1+($D$10/$C$10)^2),SQRT(LN(1+($D$10/$C$10)^2)))</f>
        <v/>
      </c>
      <c r="S370" s="14">
        <f>SUM(M370:R370)</f>
        <v/>
      </c>
      <c r="AA370">
        <f>RAND()</f>
        <v/>
      </c>
      <c r="AB370">
        <f>RAND()</f>
        <v/>
      </c>
      <c r="AC370">
        <f>RAND()</f>
        <v/>
      </c>
      <c r="AD370">
        <f>RAND()</f>
        <v/>
      </c>
      <c r="AE370">
        <f>RAND()</f>
        <v/>
      </c>
      <c r="AF370">
        <f>RAND()</f>
        <v/>
      </c>
    </row>
    <row r="371">
      <c r="M371" s="14">
        <f>_xlfn.BETA.INV($AA371,1+4*($D$5-$C$5)/($E$5-$C$5),1+4*($E$5-$D$5)/($E$5-$C$5),$C$5,$E$5)</f>
        <v/>
      </c>
      <c r="N371" s="14">
        <f>IF($AB371&lt;($D$6-$C$6)/($E$6-$C$6),$C$6+SQRT($AB371*($E$6-$C$6)*($D$6-$C$6)),$E$6-SQRT((1-$AB371)*($E$6-$C$6)*($E$6-$D$6)))</f>
        <v/>
      </c>
      <c r="O371" s="14">
        <f>_xlfn.NORM.INV($AC371,$C$7,$D$7)</f>
        <v/>
      </c>
      <c r="P371" s="14">
        <f>$C$8+($D$8-$C$8)*$AD371</f>
        <v/>
      </c>
      <c r="Q371" s="14">
        <f>$C$9</f>
        <v/>
      </c>
      <c r="R371" s="14">
        <f>_xlfn.LOGNORM.INV($AF371,LN($C$10)-0.5*LN(1+($D$10/$C$10)^2),SQRT(LN(1+($D$10/$C$10)^2)))</f>
        <v/>
      </c>
      <c r="S371" s="14">
        <f>SUM(M371:R371)</f>
        <v/>
      </c>
      <c r="AA371">
        <f>RAND()</f>
        <v/>
      </c>
      <c r="AB371">
        <f>RAND()</f>
        <v/>
      </c>
      <c r="AC371">
        <f>RAND()</f>
        <v/>
      </c>
      <c r="AD371">
        <f>RAND()</f>
        <v/>
      </c>
      <c r="AE371">
        <f>RAND()</f>
        <v/>
      </c>
      <c r="AF371">
        <f>RAND()</f>
        <v/>
      </c>
    </row>
    <row r="372">
      <c r="M372" s="14">
        <f>_xlfn.BETA.INV($AA372,1+4*($D$5-$C$5)/($E$5-$C$5),1+4*($E$5-$D$5)/($E$5-$C$5),$C$5,$E$5)</f>
        <v/>
      </c>
      <c r="N372" s="14">
        <f>IF($AB372&lt;($D$6-$C$6)/($E$6-$C$6),$C$6+SQRT($AB372*($E$6-$C$6)*($D$6-$C$6)),$E$6-SQRT((1-$AB372)*($E$6-$C$6)*($E$6-$D$6)))</f>
        <v/>
      </c>
      <c r="O372" s="14">
        <f>_xlfn.NORM.INV($AC372,$C$7,$D$7)</f>
        <v/>
      </c>
      <c r="P372" s="14">
        <f>$C$8+($D$8-$C$8)*$AD372</f>
        <v/>
      </c>
      <c r="Q372" s="14">
        <f>$C$9</f>
        <v/>
      </c>
      <c r="R372" s="14">
        <f>_xlfn.LOGNORM.INV($AF372,LN($C$10)-0.5*LN(1+($D$10/$C$10)^2),SQRT(LN(1+($D$10/$C$10)^2)))</f>
        <v/>
      </c>
      <c r="S372" s="14">
        <f>SUM(M372:R372)</f>
        <v/>
      </c>
      <c r="AA372">
        <f>RAND()</f>
        <v/>
      </c>
      <c r="AB372">
        <f>RAND()</f>
        <v/>
      </c>
      <c r="AC372">
        <f>RAND()</f>
        <v/>
      </c>
      <c r="AD372">
        <f>RAND()</f>
        <v/>
      </c>
      <c r="AE372">
        <f>RAND()</f>
        <v/>
      </c>
      <c r="AF372">
        <f>RAND()</f>
        <v/>
      </c>
    </row>
    <row r="373">
      <c r="M373" s="14">
        <f>_xlfn.BETA.INV($AA373,1+4*($D$5-$C$5)/($E$5-$C$5),1+4*($E$5-$D$5)/($E$5-$C$5),$C$5,$E$5)</f>
        <v/>
      </c>
      <c r="N373" s="14">
        <f>IF($AB373&lt;($D$6-$C$6)/($E$6-$C$6),$C$6+SQRT($AB373*($E$6-$C$6)*($D$6-$C$6)),$E$6-SQRT((1-$AB373)*($E$6-$C$6)*($E$6-$D$6)))</f>
        <v/>
      </c>
      <c r="O373" s="14">
        <f>_xlfn.NORM.INV($AC373,$C$7,$D$7)</f>
        <v/>
      </c>
      <c r="P373" s="14">
        <f>$C$8+($D$8-$C$8)*$AD373</f>
        <v/>
      </c>
      <c r="Q373" s="14">
        <f>$C$9</f>
        <v/>
      </c>
      <c r="R373" s="14">
        <f>_xlfn.LOGNORM.INV($AF373,LN($C$10)-0.5*LN(1+($D$10/$C$10)^2),SQRT(LN(1+($D$10/$C$10)^2)))</f>
        <v/>
      </c>
      <c r="S373" s="14">
        <f>SUM(M373:R373)</f>
        <v/>
      </c>
      <c r="AA373">
        <f>RAND()</f>
        <v/>
      </c>
      <c r="AB373">
        <f>RAND()</f>
        <v/>
      </c>
      <c r="AC373">
        <f>RAND()</f>
        <v/>
      </c>
      <c r="AD373">
        <f>RAND()</f>
        <v/>
      </c>
      <c r="AE373">
        <f>RAND()</f>
        <v/>
      </c>
      <c r="AF373">
        <f>RAND()</f>
        <v/>
      </c>
    </row>
    <row r="374">
      <c r="M374" s="14">
        <f>_xlfn.BETA.INV($AA374,1+4*($D$5-$C$5)/($E$5-$C$5),1+4*($E$5-$D$5)/($E$5-$C$5),$C$5,$E$5)</f>
        <v/>
      </c>
      <c r="N374" s="14">
        <f>IF($AB374&lt;($D$6-$C$6)/($E$6-$C$6),$C$6+SQRT($AB374*($E$6-$C$6)*($D$6-$C$6)),$E$6-SQRT((1-$AB374)*($E$6-$C$6)*($E$6-$D$6)))</f>
        <v/>
      </c>
      <c r="O374" s="14">
        <f>_xlfn.NORM.INV($AC374,$C$7,$D$7)</f>
        <v/>
      </c>
      <c r="P374" s="14">
        <f>$C$8+($D$8-$C$8)*$AD374</f>
        <v/>
      </c>
      <c r="Q374" s="14">
        <f>$C$9</f>
        <v/>
      </c>
      <c r="R374" s="14">
        <f>_xlfn.LOGNORM.INV($AF374,LN($C$10)-0.5*LN(1+($D$10/$C$10)^2),SQRT(LN(1+($D$10/$C$10)^2)))</f>
        <v/>
      </c>
      <c r="S374" s="14">
        <f>SUM(M374:R374)</f>
        <v/>
      </c>
      <c r="AA374">
        <f>RAND()</f>
        <v/>
      </c>
      <c r="AB374">
        <f>RAND()</f>
        <v/>
      </c>
      <c r="AC374">
        <f>RAND()</f>
        <v/>
      </c>
      <c r="AD374">
        <f>RAND()</f>
        <v/>
      </c>
      <c r="AE374">
        <f>RAND()</f>
        <v/>
      </c>
      <c r="AF374">
        <f>RAND()</f>
        <v/>
      </c>
    </row>
    <row r="375">
      <c r="M375" s="14">
        <f>_xlfn.BETA.INV($AA375,1+4*($D$5-$C$5)/($E$5-$C$5),1+4*($E$5-$D$5)/($E$5-$C$5),$C$5,$E$5)</f>
        <v/>
      </c>
      <c r="N375" s="14">
        <f>IF($AB375&lt;($D$6-$C$6)/($E$6-$C$6),$C$6+SQRT($AB375*($E$6-$C$6)*($D$6-$C$6)),$E$6-SQRT((1-$AB375)*($E$6-$C$6)*($E$6-$D$6)))</f>
        <v/>
      </c>
      <c r="O375" s="14">
        <f>_xlfn.NORM.INV($AC375,$C$7,$D$7)</f>
        <v/>
      </c>
      <c r="P375" s="14">
        <f>$C$8+($D$8-$C$8)*$AD375</f>
        <v/>
      </c>
      <c r="Q375" s="14">
        <f>$C$9</f>
        <v/>
      </c>
      <c r="R375" s="14">
        <f>_xlfn.LOGNORM.INV($AF375,LN($C$10)-0.5*LN(1+($D$10/$C$10)^2),SQRT(LN(1+($D$10/$C$10)^2)))</f>
        <v/>
      </c>
      <c r="S375" s="14">
        <f>SUM(M375:R375)</f>
        <v/>
      </c>
      <c r="AA375">
        <f>RAND()</f>
        <v/>
      </c>
      <c r="AB375">
        <f>RAND()</f>
        <v/>
      </c>
      <c r="AC375">
        <f>RAND()</f>
        <v/>
      </c>
      <c r="AD375">
        <f>RAND()</f>
        <v/>
      </c>
      <c r="AE375">
        <f>RAND()</f>
        <v/>
      </c>
      <c r="AF375">
        <f>RAND()</f>
        <v/>
      </c>
    </row>
    <row r="376">
      <c r="M376" s="14">
        <f>_xlfn.BETA.INV($AA376,1+4*($D$5-$C$5)/($E$5-$C$5),1+4*($E$5-$D$5)/($E$5-$C$5),$C$5,$E$5)</f>
        <v/>
      </c>
      <c r="N376" s="14">
        <f>IF($AB376&lt;($D$6-$C$6)/($E$6-$C$6),$C$6+SQRT($AB376*($E$6-$C$6)*($D$6-$C$6)),$E$6-SQRT((1-$AB376)*($E$6-$C$6)*($E$6-$D$6)))</f>
        <v/>
      </c>
      <c r="O376" s="14">
        <f>_xlfn.NORM.INV($AC376,$C$7,$D$7)</f>
        <v/>
      </c>
      <c r="P376" s="14">
        <f>$C$8+($D$8-$C$8)*$AD376</f>
        <v/>
      </c>
      <c r="Q376" s="14">
        <f>$C$9</f>
        <v/>
      </c>
      <c r="R376" s="14">
        <f>_xlfn.LOGNORM.INV($AF376,LN($C$10)-0.5*LN(1+($D$10/$C$10)^2),SQRT(LN(1+($D$10/$C$10)^2)))</f>
        <v/>
      </c>
      <c r="S376" s="14">
        <f>SUM(M376:R376)</f>
        <v/>
      </c>
      <c r="AA376">
        <f>RAND()</f>
        <v/>
      </c>
      <c r="AB376">
        <f>RAND()</f>
        <v/>
      </c>
      <c r="AC376">
        <f>RAND()</f>
        <v/>
      </c>
      <c r="AD376">
        <f>RAND()</f>
        <v/>
      </c>
      <c r="AE376">
        <f>RAND()</f>
        <v/>
      </c>
      <c r="AF376">
        <f>RAND()</f>
        <v/>
      </c>
    </row>
    <row r="377">
      <c r="M377" s="14">
        <f>_xlfn.BETA.INV($AA377,1+4*($D$5-$C$5)/($E$5-$C$5),1+4*($E$5-$D$5)/($E$5-$C$5),$C$5,$E$5)</f>
        <v/>
      </c>
      <c r="N377" s="14">
        <f>IF($AB377&lt;($D$6-$C$6)/($E$6-$C$6),$C$6+SQRT($AB377*($E$6-$C$6)*($D$6-$C$6)),$E$6-SQRT((1-$AB377)*($E$6-$C$6)*($E$6-$D$6)))</f>
        <v/>
      </c>
      <c r="O377" s="14">
        <f>_xlfn.NORM.INV($AC377,$C$7,$D$7)</f>
        <v/>
      </c>
      <c r="P377" s="14">
        <f>$C$8+($D$8-$C$8)*$AD377</f>
        <v/>
      </c>
      <c r="Q377" s="14">
        <f>$C$9</f>
        <v/>
      </c>
      <c r="R377" s="14">
        <f>_xlfn.LOGNORM.INV($AF377,LN($C$10)-0.5*LN(1+($D$10/$C$10)^2),SQRT(LN(1+($D$10/$C$10)^2)))</f>
        <v/>
      </c>
      <c r="S377" s="14">
        <f>SUM(M377:R377)</f>
        <v/>
      </c>
      <c r="AA377">
        <f>RAND()</f>
        <v/>
      </c>
      <c r="AB377">
        <f>RAND()</f>
        <v/>
      </c>
      <c r="AC377">
        <f>RAND()</f>
        <v/>
      </c>
      <c r="AD377">
        <f>RAND()</f>
        <v/>
      </c>
      <c r="AE377">
        <f>RAND()</f>
        <v/>
      </c>
      <c r="AF377">
        <f>RAND()</f>
        <v/>
      </c>
    </row>
    <row r="378">
      <c r="M378" s="14">
        <f>_xlfn.BETA.INV($AA378,1+4*($D$5-$C$5)/($E$5-$C$5),1+4*($E$5-$D$5)/($E$5-$C$5),$C$5,$E$5)</f>
        <v/>
      </c>
      <c r="N378" s="14">
        <f>IF($AB378&lt;($D$6-$C$6)/($E$6-$C$6),$C$6+SQRT($AB378*($E$6-$C$6)*($D$6-$C$6)),$E$6-SQRT((1-$AB378)*($E$6-$C$6)*($E$6-$D$6)))</f>
        <v/>
      </c>
      <c r="O378" s="14">
        <f>_xlfn.NORM.INV($AC378,$C$7,$D$7)</f>
        <v/>
      </c>
      <c r="P378" s="14">
        <f>$C$8+($D$8-$C$8)*$AD378</f>
        <v/>
      </c>
      <c r="Q378" s="14">
        <f>$C$9</f>
        <v/>
      </c>
      <c r="R378" s="14">
        <f>_xlfn.LOGNORM.INV($AF378,LN($C$10)-0.5*LN(1+($D$10/$C$10)^2),SQRT(LN(1+($D$10/$C$10)^2)))</f>
        <v/>
      </c>
      <c r="S378" s="14">
        <f>SUM(M378:R378)</f>
        <v/>
      </c>
      <c r="AA378">
        <f>RAND()</f>
        <v/>
      </c>
      <c r="AB378">
        <f>RAND()</f>
        <v/>
      </c>
      <c r="AC378">
        <f>RAND()</f>
        <v/>
      </c>
      <c r="AD378">
        <f>RAND()</f>
        <v/>
      </c>
      <c r="AE378">
        <f>RAND()</f>
        <v/>
      </c>
      <c r="AF378">
        <f>RAND()</f>
        <v/>
      </c>
    </row>
    <row r="379">
      <c r="M379" s="14">
        <f>_xlfn.BETA.INV($AA379,1+4*($D$5-$C$5)/($E$5-$C$5),1+4*($E$5-$D$5)/($E$5-$C$5),$C$5,$E$5)</f>
        <v/>
      </c>
      <c r="N379" s="14">
        <f>IF($AB379&lt;($D$6-$C$6)/($E$6-$C$6),$C$6+SQRT($AB379*($E$6-$C$6)*($D$6-$C$6)),$E$6-SQRT((1-$AB379)*($E$6-$C$6)*($E$6-$D$6)))</f>
        <v/>
      </c>
      <c r="O379" s="14">
        <f>_xlfn.NORM.INV($AC379,$C$7,$D$7)</f>
        <v/>
      </c>
      <c r="P379" s="14">
        <f>$C$8+($D$8-$C$8)*$AD379</f>
        <v/>
      </c>
      <c r="Q379" s="14">
        <f>$C$9</f>
        <v/>
      </c>
      <c r="R379" s="14">
        <f>_xlfn.LOGNORM.INV($AF379,LN($C$10)-0.5*LN(1+($D$10/$C$10)^2),SQRT(LN(1+($D$10/$C$10)^2)))</f>
        <v/>
      </c>
      <c r="S379" s="14">
        <f>SUM(M379:R379)</f>
        <v/>
      </c>
      <c r="AA379">
        <f>RAND()</f>
        <v/>
      </c>
      <c r="AB379">
        <f>RAND()</f>
        <v/>
      </c>
      <c r="AC379">
        <f>RAND()</f>
        <v/>
      </c>
      <c r="AD379">
        <f>RAND()</f>
        <v/>
      </c>
      <c r="AE379">
        <f>RAND()</f>
        <v/>
      </c>
      <c r="AF379">
        <f>RAND()</f>
        <v/>
      </c>
    </row>
    <row r="380">
      <c r="M380" s="14">
        <f>_xlfn.BETA.INV($AA380,1+4*($D$5-$C$5)/($E$5-$C$5),1+4*($E$5-$D$5)/($E$5-$C$5),$C$5,$E$5)</f>
        <v/>
      </c>
      <c r="N380" s="14">
        <f>IF($AB380&lt;($D$6-$C$6)/($E$6-$C$6),$C$6+SQRT($AB380*($E$6-$C$6)*($D$6-$C$6)),$E$6-SQRT((1-$AB380)*($E$6-$C$6)*($E$6-$D$6)))</f>
        <v/>
      </c>
      <c r="O380" s="14">
        <f>_xlfn.NORM.INV($AC380,$C$7,$D$7)</f>
        <v/>
      </c>
      <c r="P380" s="14">
        <f>$C$8+($D$8-$C$8)*$AD380</f>
        <v/>
      </c>
      <c r="Q380" s="14">
        <f>$C$9</f>
        <v/>
      </c>
      <c r="R380" s="14">
        <f>_xlfn.LOGNORM.INV($AF380,LN($C$10)-0.5*LN(1+($D$10/$C$10)^2),SQRT(LN(1+($D$10/$C$10)^2)))</f>
        <v/>
      </c>
      <c r="S380" s="14">
        <f>SUM(M380:R380)</f>
        <v/>
      </c>
      <c r="AA380">
        <f>RAND()</f>
        <v/>
      </c>
      <c r="AB380">
        <f>RAND()</f>
        <v/>
      </c>
      <c r="AC380">
        <f>RAND()</f>
        <v/>
      </c>
      <c r="AD380">
        <f>RAND()</f>
        <v/>
      </c>
      <c r="AE380">
        <f>RAND()</f>
        <v/>
      </c>
      <c r="AF380">
        <f>RAND()</f>
        <v/>
      </c>
    </row>
    <row r="381">
      <c r="M381" s="14">
        <f>_xlfn.BETA.INV($AA381,1+4*($D$5-$C$5)/($E$5-$C$5),1+4*($E$5-$D$5)/($E$5-$C$5),$C$5,$E$5)</f>
        <v/>
      </c>
      <c r="N381" s="14">
        <f>IF($AB381&lt;($D$6-$C$6)/($E$6-$C$6),$C$6+SQRT($AB381*($E$6-$C$6)*($D$6-$C$6)),$E$6-SQRT((1-$AB381)*($E$6-$C$6)*($E$6-$D$6)))</f>
        <v/>
      </c>
      <c r="O381" s="14">
        <f>_xlfn.NORM.INV($AC381,$C$7,$D$7)</f>
        <v/>
      </c>
      <c r="P381" s="14">
        <f>$C$8+($D$8-$C$8)*$AD381</f>
        <v/>
      </c>
      <c r="Q381" s="14">
        <f>$C$9</f>
        <v/>
      </c>
      <c r="R381" s="14">
        <f>_xlfn.LOGNORM.INV($AF381,LN($C$10)-0.5*LN(1+($D$10/$C$10)^2),SQRT(LN(1+($D$10/$C$10)^2)))</f>
        <v/>
      </c>
      <c r="S381" s="14">
        <f>SUM(M381:R381)</f>
        <v/>
      </c>
      <c r="AA381">
        <f>RAND()</f>
        <v/>
      </c>
      <c r="AB381">
        <f>RAND()</f>
        <v/>
      </c>
      <c r="AC381">
        <f>RAND()</f>
        <v/>
      </c>
      <c r="AD381">
        <f>RAND()</f>
        <v/>
      </c>
      <c r="AE381">
        <f>RAND()</f>
        <v/>
      </c>
      <c r="AF381">
        <f>RAND()</f>
        <v/>
      </c>
    </row>
    <row r="382">
      <c r="M382" s="14">
        <f>_xlfn.BETA.INV($AA382,1+4*($D$5-$C$5)/($E$5-$C$5),1+4*($E$5-$D$5)/($E$5-$C$5),$C$5,$E$5)</f>
        <v/>
      </c>
      <c r="N382" s="14">
        <f>IF($AB382&lt;($D$6-$C$6)/($E$6-$C$6),$C$6+SQRT($AB382*($E$6-$C$6)*($D$6-$C$6)),$E$6-SQRT((1-$AB382)*($E$6-$C$6)*($E$6-$D$6)))</f>
        <v/>
      </c>
      <c r="O382" s="14">
        <f>_xlfn.NORM.INV($AC382,$C$7,$D$7)</f>
        <v/>
      </c>
      <c r="P382" s="14">
        <f>$C$8+($D$8-$C$8)*$AD382</f>
        <v/>
      </c>
      <c r="Q382" s="14">
        <f>$C$9</f>
        <v/>
      </c>
      <c r="R382" s="14">
        <f>_xlfn.LOGNORM.INV($AF382,LN($C$10)-0.5*LN(1+($D$10/$C$10)^2),SQRT(LN(1+($D$10/$C$10)^2)))</f>
        <v/>
      </c>
      <c r="S382" s="14">
        <f>SUM(M382:R382)</f>
        <v/>
      </c>
      <c r="AA382">
        <f>RAND()</f>
        <v/>
      </c>
      <c r="AB382">
        <f>RAND()</f>
        <v/>
      </c>
      <c r="AC382">
        <f>RAND()</f>
        <v/>
      </c>
      <c r="AD382">
        <f>RAND()</f>
        <v/>
      </c>
      <c r="AE382">
        <f>RAND()</f>
        <v/>
      </c>
      <c r="AF382">
        <f>RAND()</f>
        <v/>
      </c>
    </row>
    <row r="383">
      <c r="M383" s="14">
        <f>_xlfn.BETA.INV($AA383,1+4*($D$5-$C$5)/($E$5-$C$5),1+4*($E$5-$D$5)/($E$5-$C$5),$C$5,$E$5)</f>
        <v/>
      </c>
      <c r="N383" s="14">
        <f>IF($AB383&lt;($D$6-$C$6)/($E$6-$C$6),$C$6+SQRT($AB383*($E$6-$C$6)*($D$6-$C$6)),$E$6-SQRT((1-$AB383)*($E$6-$C$6)*($E$6-$D$6)))</f>
        <v/>
      </c>
      <c r="O383" s="14">
        <f>_xlfn.NORM.INV($AC383,$C$7,$D$7)</f>
        <v/>
      </c>
      <c r="P383" s="14">
        <f>$C$8+($D$8-$C$8)*$AD383</f>
        <v/>
      </c>
      <c r="Q383" s="14">
        <f>$C$9</f>
        <v/>
      </c>
      <c r="R383" s="14">
        <f>_xlfn.LOGNORM.INV($AF383,LN($C$10)-0.5*LN(1+($D$10/$C$10)^2),SQRT(LN(1+($D$10/$C$10)^2)))</f>
        <v/>
      </c>
      <c r="S383" s="14">
        <f>SUM(M383:R383)</f>
        <v/>
      </c>
      <c r="AA383">
        <f>RAND()</f>
        <v/>
      </c>
      <c r="AB383">
        <f>RAND()</f>
        <v/>
      </c>
      <c r="AC383">
        <f>RAND()</f>
        <v/>
      </c>
      <c r="AD383">
        <f>RAND()</f>
        <v/>
      </c>
      <c r="AE383">
        <f>RAND()</f>
        <v/>
      </c>
      <c r="AF383">
        <f>RAND()</f>
        <v/>
      </c>
    </row>
    <row r="384">
      <c r="M384" s="14">
        <f>_xlfn.BETA.INV($AA384,1+4*($D$5-$C$5)/($E$5-$C$5),1+4*($E$5-$D$5)/($E$5-$C$5),$C$5,$E$5)</f>
        <v/>
      </c>
      <c r="N384" s="14">
        <f>IF($AB384&lt;($D$6-$C$6)/($E$6-$C$6),$C$6+SQRT($AB384*($E$6-$C$6)*($D$6-$C$6)),$E$6-SQRT((1-$AB384)*($E$6-$C$6)*($E$6-$D$6)))</f>
        <v/>
      </c>
      <c r="O384" s="14">
        <f>_xlfn.NORM.INV($AC384,$C$7,$D$7)</f>
        <v/>
      </c>
      <c r="P384" s="14">
        <f>$C$8+($D$8-$C$8)*$AD384</f>
        <v/>
      </c>
      <c r="Q384" s="14">
        <f>$C$9</f>
        <v/>
      </c>
      <c r="R384" s="14">
        <f>_xlfn.LOGNORM.INV($AF384,LN($C$10)-0.5*LN(1+($D$10/$C$10)^2),SQRT(LN(1+($D$10/$C$10)^2)))</f>
        <v/>
      </c>
      <c r="S384" s="14">
        <f>SUM(M384:R384)</f>
        <v/>
      </c>
      <c r="AA384">
        <f>RAND()</f>
        <v/>
      </c>
      <c r="AB384">
        <f>RAND()</f>
        <v/>
      </c>
      <c r="AC384">
        <f>RAND()</f>
        <v/>
      </c>
      <c r="AD384">
        <f>RAND()</f>
        <v/>
      </c>
      <c r="AE384">
        <f>RAND()</f>
        <v/>
      </c>
      <c r="AF384">
        <f>RAND()</f>
        <v/>
      </c>
    </row>
    <row r="385">
      <c r="M385" s="14">
        <f>_xlfn.BETA.INV($AA385,1+4*($D$5-$C$5)/($E$5-$C$5),1+4*($E$5-$D$5)/($E$5-$C$5),$C$5,$E$5)</f>
        <v/>
      </c>
      <c r="N385" s="14">
        <f>IF($AB385&lt;($D$6-$C$6)/($E$6-$C$6),$C$6+SQRT($AB385*($E$6-$C$6)*($D$6-$C$6)),$E$6-SQRT((1-$AB385)*($E$6-$C$6)*($E$6-$D$6)))</f>
        <v/>
      </c>
      <c r="O385" s="14">
        <f>_xlfn.NORM.INV($AC385,$C$7,$D$7)</f>
        <v/>
      </c>
      <c r="P385" s="14">
        <f>$C$8+($D$8-$C$8)*$AD385</f>
        <v/>
      </c>
      <c r="Q385" s="14">
        <f>$C$9</f>
        <v/>
      </c>
      <c r="R385" s="14">
        <f>_xlfn.LOGNORM.INV($AF385,LN($C$10)-0.5*LN(1+($D$10/$C$10)^2),SQRT(LN(1+($D$10/$C$10)^2)))</f>
        <v/>
      </c>
      <c r="S385" s="14">
        <f>SUM(M385:R385)</f>
        <v/>
      </c>
      <c r="AA385">
        <f>RAND()</f>
        <v/>
      </c>
      <c r="AB385">
        <f>RAND()</f>
        <v/>
      </c>
      <c r="AC385">
        <f>RAND()</f>
        <v/>
      </c>
      <c r="AD385">
        <f>RAND()</f>
        <v/>
      </c>
      <c r="AE385">
        <f>RAND()</f>
        <v/>
      </c>
      <c r="AF385">
        <f>RAND()</f>
        <v/>
      </c>
    </row>
    <row r="386">
      <c r="M386" s="14">
        <f>_xlfn.BETA.INV($AA386,1+4*($D$5-$C$5)/($E$5-$C$5),1+4*($E$5-$D$5)/($E$5-$C$5),$C$5,$E$5)</f>
        <v/>
      </c>
      <c r="N386" s="14">
        <f>IF($AB386&lt;($D$6-$C$6)/($E$6-$C$6),$C$6+SQRT($AB386*($E$6-$C$6)*($D$6-$C$6)),$E$6-SQRT((1-$AB386)*($E$6-$C$6)*($E$6-$D$6)))</f>
        <v/>
      </c>
      <c r="O386" s="14">
        <f>_xlfn.NORM.INV($AC386,$C$7,$D$7)</f>
        <v/>
      </c>
      <c r="P386" s="14">
        <f>$C$8+($D$8-$C$8)*$AD386</f>
        <v/>
      </c>
      <c r="Q386" s="14">
        <f>$C$9</f>
        <v/>
      </c>
      <c r="R386" s="14">
        <f>_xlfn.LOGNORM.INV($AF386,LN($C$10)-0.5*LN(1+($D$10/$C$10)^2),SQRT(LN(1+($D$10/$C$10)^2)))</f>
        <v/>
      </c>
      <c r="S386" s="14">
        <f>SUM(M386:R386)</f>
        <v/>
      </c>
      <c r="AA386">
        <f>RAND()</f>
        <v/>
      </c>
      <c r="AB386">
        <f>RAND()</f>
        <v/>
      </c>
      <c r="AC386">
        <f>RAND()</f>
        <v/>
      </c>
      <c r="AD386">
        <f>RAND()</f>
        <v/>
      </c>
      <c r="AE386">
        <f>RAND()</f>
        <v/>
      </c>
      <c r="AF386">
        <f>RAND()</f>
        <v/>
      </c>
    </row>
    <row r="387">
      <c r="M387" s="14">
        <f>_xlfn.BETA.INV($AA387,1+4*($D$5-$C$5)/($E$5-$C$5),1+4*($E$5-$D$5)/($E$5-$C$5),$C$5,$E$5)</f>
        <v/>
      </c>
      <c r="N387" s="14">
        <f>IF($AB387&lt;($D$6-$C$6)/($E$6-$C$6),$C$6+SQRT($AB387*($E$6-$C$6)*($D$6-$C$6)),$E$6-SQRT((1-$AB387)*($E$6-$C$6)*($E$6-$D$6)))</f>
        <v/>
      </c>
      <c r="O387" s="14">
        <f>_xlfn.NORM.INV($AC387,$C$7,$D$7)</f>
        <v/>
      </c>
      <c r="P387" s="14">
        <f>$C$8+($D$8-$C$8)*$AD387</f>
        <v/>
      </c>
      <c r="Q387" s="14">
        <f>$C$9</f>
        <v/>
      </c>
      <c r="R387" s="14">
        <f>_xlfn.LOGNORM.INV($AF387,LN($C$10)-0.5*LN(1+($D$10/$C$10)^2),SQRT(LN(1+($D$10/$C$10)^2)))</f>
        <v/>
      </c>
      <c r="S387" s="14">
        <f>SUM(M387:R387)</f>
        <v/>
      </c>
      <c r="AA387">
        <f>RAND()</f>
        <v/>
      </c>
      <c r="AB387">
        <f>RAND()</f>
        <v/>
      </c>
      <c r="AC387">
        <f>RAND()</f>
        <v/>
      </c>
      <c r="AD387">
        <f>RAND()</f>
        <v/>
      </c>
      <c r="AE387">
        <f>RAND()</f>
        <v/>
      </c>
      <c r="AF387">
        <f>RAND()</f>
        <v/>
      </c>
    </row>
    <row r="388">
      <c r="M388" s="14">
        <f>_xlfn.BETA.INV($AA388,1+4*($D$5-$C$5)/($E$5-$C$5),1+4*($E$5-$D$5)/($E$5-$C$5),$C$5,$E$5)</f>
        <v/>
      </c>
      <c r="N388" s="14">
        <f>IF($AB388&lt;($D$6-$C$6)/($E$6-$C$6),$C$6+SQRT($AB388*($E$6-$C$6)*($D$6-$C$6)),$E$6-SQRT((1-$AB388)*($E$6-$C$6)*($E$6-$D$6)))</f>
        <v/>
      </c>
      <c r="O388" s="14">
        <f>_xlfn.NORM.INV($AC388,$C$7,$D$7)</f>
        <v/>
      </c>
      <c r="P388" s="14">
        <f>$C$8+($D$8-$C$8)*$AD388</f>
        <v/>
      </c>
      <c r="Q388" s="14">
        <f>$C$9</f>
        <v/>
      </c>
      <c r="R388" s="14">
        <f>_xlfn.LOGNORM.INV($AF388,LN($C$10)-0.5*LN(1+($D$10/$C$10)^2),SQRT(LN(1+($D$10/$C$10)^2)))</f>
        <v/>
      </c>
      <c r="S388" s="14">
        <f>SUM(M388:R388)</f>
        <v/>
      </c>
      <c r="AA388">
        <f>RAND()</f>
        <v/>
      </c>
      <c r="AB388">
        <f>RAND()</f>
        <v/>
      </c>
      <c r="AC388">
        <f>RAND()</f>
        <v/>
      </c>
      <c r="AD388">
        <f>RAND()</f>
        <v/>
      </c>
      <c r="AE388">
        <f>RAND()</f>
        <v/>
      </c>
      <c r="AF388">
        <f>RAND()</f>
        <v/>
      </c>
    </row>
    <row r="389">
      <c r="M389" s="14">
        <f>_xlfn.BETA.INV($AA389,1+4*($D$5-$C$5)/($E$5-$C$5),1+4*($E$5-$D$5)/($E$5-$C$5),$C$5,$E$5)</f>
        <v/>
      </c>
      <c r="N389" s="14">
        <f>IF($AB389&lt;($D$6-$C$6)/($E$6-$C$6),$C$6+SQRT($AB389*($E$6-$C$6)*($D$6-$C$6)),$E$6-SQRT((1-$AB389)*($E$6-$C$6)*($E$6-$D$6)))</f>
        <v/>
      </c>
      <c r="O389" s="14">
        <f>_xlfn.NORM.INV($AC389,$C$7,$D$7)</f>
        <v/>
      </c>
      <c r="P389" s="14">
        <f>$C$8+($D$8-$C$8)*$AD389</f>
        <v/>
      </c>
      <c r="Q389" s="14">
        <f>$C$9</f>
        <v/>
      </c>
      <c r="R389" s="14">
        <f>_xlfn.LOGNORM.INV($AF389,LN($C$10)-0.5*LN(1+($D$10/$C$10)^2),SQRT(LN(1+($D$10/$C$10)^2)))</f>
        <v/>
      </c>
      <c r="S389" s="14">
        <f>SUM(M389:R389)</f>
        <v/>
      </c>
      <c r="AA389">
        <f>RAND()</f>
        <v/>
      </c>
      <c r="AB389">
        <f>RAND()</f>
        <v/>
      </c>
      <c r="AC389">
        <f>RAND()</f>
        <v/>
      </c>
      <c r="AD389">
        <f>RAND()</f>
        <v/>
      </c>
      <c r="AE389">
        <f>RAND()</f>
        <v/>
      </c>
      <c r="AF389">
        <f>RAND()</f>
        <v/>
      </c>
    </row>
    <row r="390">
      <c r="M390" s="14">
        <f>_xlfn.BETA.INV($AA390,1+4*($D$5-$C$5)/($E$5-$C$5),1+4*($E$5-$D$5)/($E$5-$C$5),$C$5,$E$5)</f>
        <v/>
      </c>
      <c r="N390" s="14">
        <f>IF($AB390&lt;($D$6-$C$6)/($E$6-$C$6),$C$6+SQRT($AB390*($E$6-$C$6)*($D$6-$C$6)),$E$6-SQRT((1-$AB390)*($E$6-$C$6)*($E$6-$D$6)))</f>
        <v/>
      </c>
      <c r="O390" s="14">
        <f>_xlfn.NORM.INV($AC390,$C$7,$D$7)</f>
        <v/>
      </c>
      <c r="P390" s="14">
        <f>$C$8+($D$8-$C$8)*$AD390</f>
        <v/>
      </c>
      <c r="Q390" s="14">
        <f>$C$9</f>
        <v/>
      </c>
      <c r="R390" s="14">
        <f>_xlfn.LOGNORM.INV($AF390,LN($C$10)-0.5*LN(1+($D$10/$C$10)^2),SQRT(LN(1+($D$10/$C$10)^2)))</f>
        <v/>
      </c>
      <c r="S390" s="14">
        <f>SUM(M390:R390)</f>
        <v/>
      </c>
      <c r="AA390">
        <f>RAND()</f>
        <v/>
      </c>
      <c r="AB390">
        <f>RAND()</f>
        <v/>
      </c>
      <c r="AC390">
        <f>RAND()</f>
        <v/>
      </c>
      <c r="AD390">
        <f>RAND()</f>
        <v/>
      </c>
      <c r="AE390">
        <f>RAND()</f>
        <v/>
      </c>
      <c r="AF390">
        <f>RAND()</f>
        <v/>
      </c>
    </row>
    <row r="391">
      <c r="M391" s="14">
        <f>_xlfn.BETA.INV($AA391,1+4*($D$5-$C$5)/($E$5-$C$5),1+4*($E$5-$D$5)/($E$5-$C$5),$C$5,$E$5)</f>
        <v/>
      </c>
      <c r="N391" s="14">
        <f>IF($AB391&lt;($D$6-$C$6)/($E$6-$C$6),$C$6+SQRT($AB391*($E$6-$C$6)*($D$6-$C$6)),$E$6-SQRT((1-$AB391)*($E$6-$C$6)*($E$6-$D$6)))</f>
        <v/>
      </c>
      <c r="O391" s="14">
        <f>_xlfn.NORM.INV($AC391,$C$7,$D$7)</f>
        <v/>
      </c>
      <c r="P391" s="14">
        <f>$C$8+($D$8-$C$8)*$AD391</f>
        <v/>
      </c>
      <c r="Q391" s="14">
        <f>$C$9</f>
        <v/>
      </c>
      <c r="R391" s="14">
        <f>_xlfn.LOGNORM.INV($AF391,LN($C$10)-0.5*LN(1+($D$10/$C$10)^2),SQRT(LN(1+($D$10/$C$10)^2)))</f>
        <v/>
      </c>
      <c r="S391" s="14">
        <f>SUM(M391:R391)</f>
        <v/>
      </c>
      <c r="AA391">
        <f>RAND()</f>
        <v/>
      </c>
      <c r="AB391">
        <f>RAND()</f>
        <v/>
      </c>
      <c r="AC391">
        <f>RAND()</f>
        <v/>
      </c>
      <c r="AD391">
        <f>RAND()</f>
        <v/>
      </c>
      <c r="AE391">
        <f>RAND()</f>
        <v/>
      </c>
      <c r="AF391">
        <f>RAND()</f>
        <v/>
      </c>
    </row>
    <row r="392">
      <c r="M392" s="14">
        <f>_xlfn.BETA.INV($AA392,1+4*($D$5-$C$5)/($E$5-$C$5),1+4*($E$5-$D$5)/($E$5-$C$5),$C$5,$E$5)</f>
        <v/>
      </c>
      <c r="N392" s="14">
        <f>IF($AB392&lt;($D$6-$C$6)/($E$6-$C$6),$C$6+SQRT($AB392*($E$6-$C$6)*($D$6-$C$6)),$E$6-SQRT((1-$AB392)*($E$6-$C$6)*($E$6-$D$6)))</f>
        <v/>
      </c>
      <c r="O392" s="14">
        <f>_xlfn.NORM.INV($AC392,$C$7,$D$7)</f>
        <v/>
      </c>
      <c r="P392" s="14">
        <f>$C$8+($D$8-$C$8)*$AD392</f>
        <v/>
      </c>
      <c r="Q392" s="14">
        <f>$C$9</f>
        <v/>
      </c>
      <c r="R392" s="14">
        <f>_xlfn.LOGNORM.INV($AF392,LN($C$10)-0.5*LN(1+($D$10/$C$10)^2),SQRT(LN(1+($D$10/$C$10)^2)))</f>
        <v/>
      </c>
      <c r="S392" s="14">
        <f>SUM(M392:R392)</f>
        <v/>
      </c>
      <c r="AA392">
        <f>RAND()</f>
        <v/>
      </c>
      <c r="AB392">
        <f>RAND()</f>
        <v/>
      </c>
      <c r="AC392">
        <f>RAND()</f>
        <v/>
      </c>
      <c r="AD392">
        <f>RAND()</f>
        <v/>
      </c>
      <c r="AE392">
        <f>RAND()</f>
        <v/>
      </c>
      <c r="AF392">
        <f>RAND()</f>
        <v/>
      </c>
    </row>
    <row r="393">
      <c r="M393" s="14">
        <f>_xlfn.BETA.INV($AA393,1+4*($D$5-$C$5)/($E$5-$C$5),1+4*($E$5-$D$5)/($E$5-$C$5),$C$5,$E$5)</f>
        <v/>
      </c>
      <c r="N393" s="14">
        <f>IF($AB393&lt;($D$6-$C$6)/($E$6-$C$6),$C$6+SQRT($AB393*($E$6-$C$6)*($D$6-$C$6)),$E$6-SQRT((1-$AB393)*($E$6-$C$6)*($E$6-$D$6)))</f>
        <v/>
      </c>
      <c r="O393" s="14">
        <f>_xlfn.NORM.INV($AC393,$C$7,$D$7)</f>
        <v/>
      </c>
      <c r="P393" s="14">
        <f>$C$8+($D$8-$C$8)*$AD393</f>
        <v/>
      </c>
      <c r="Q393" s="14">
        <f>$C$9</f>
        <v/>
      </c>
      <c r="R393" s="14">
        <f>_xlfn.LOGNORM.INV($AF393,LN($C$10)-0.5*LN(1+($D$10/$C$10)^2),SQRT(LN(1+($D$10/$C$10)^2)))</f>
        <v/>
      </c>
      <c r="S393" s="14">
        <f>SUM(M393:R393)</f>
        <v/>
      </c>
      <c r="AA393">
        <f>RAND()</f>
        <v/>
      </c>
      <c r="AB393">
        <f>RAND()</f>
        <v/>
      </c>
      <c r="AC393">
        <f>RAND()</f>
        <v/>
      </c>
      <c r="AD393">
        <f>RAND()</f>
        <v/>
      </c>
      <c r="AE393">
        <f>RAND()</f>
        <v/>
      </c>
      <c r="AF393">
        <f>RAND()</f>
        <v/>
      </c>
    </row>
    <row r="394">
      <c r="M394" s="14">
        <f>_xlfn.BETA.INV($AA394,1+4*($D$5-$C$5)/($E$5-$C$5),1+4*($E$5-$D$5)/($E$5-$C$5),$C$5,$E$5)</f>
        <v/>
      </c>
      <c r="N394" s="14">
        <f>IF($AB394&lt;($D$6-$C$6)/($E$6-$C$6),$C$6+SQRT($AB394*($E$6-$C$6)*($D$6-$C$6)),$E$6-SQRT((1-$AB394)*($E$6-$C$6)*($E$6-$D$6)))</f>
        <v/>
      </c>
      <c r="O394" s="14">
        <f>_xlfn.NORM.INV($AC394,$C$7,$D$7)</f>
        <v/>
      </c>
      <c r="P394" s="14">
        <f>$C$8+($D$8-$C$8)*$AD394</f>
        <v/>
      </c>
      <c r="Q394" s="14">
        <f>$C$9</f>
        <v/>
      </c>
      <c r="R394" s="14">
        <f>_xlfn.LOGNORM.INV($AF394,LN($C$10)-0.5*LN(1+($D$10/$C$10)^2),SQRT(LN(1+($D$10/$C$10)^2)))</f>
        <v/>
      </c>
      <c r="S394" s="14">
        <f>SUM(M394:R394)</f>
        <v/>
      </c>
      <c r="AA394">
        <f>RAND()</f>
        <v/>
      </c>
      <c r="AB394">
        <f>RAND()</f>
        <v/>
      </c>
      <c r="AC394">
        <f>RAND()</f>
        <v/>
      </c>
      <c r="AD394">
        <f>RAND()</f>
        <v/>
      </c>
      <c r="AE394">
        <f>RAND()</f>
        <v/>
      </c>
      <c r="AF394">
        <f>RAND()</f>
        <v/>
      </c>
    </row>
    <row r="395">
      <c r="M395" s="14">
        <f>_xlfn.BETA.INV($AA395,1+4*($D$5-$C$5)/($E$5-$C$5),1+4*($E$5-$D$5)/($E$5-$C$5),$C$5,$E$5)</f>
        <v/>
      </c>
      <c r="N395" s="14">
        <f>IF($AB395&lt;($D$6-$C$6)/($E$6-$C$6),$C$6+SQRT($AB395*($E$6-$C$6)*($D$6-$C$6)),$E$6-SQRT((1-$AB395)*($E$6-$C$6)*($E$6-$D$6)))</f>
        <v/>
      </c>
      <c r="O395" s="14">
        <f>_xlfn.NORM.INV($AC395,$C$7,$D$7)</f>
        <v/>
      </c>
      <c r="P395" s="14">
        <f>$C$8+($D$8-$C$8)*$AD395</f>
        <v/>
      </c>
      <c r="Q395" s="14">
        <f>$C$9</f>
        <v/>
      </c>
      <c r="R395" s="14">
        <f>_xlfn.LOGNORM.INV($AF395,LN($C$10)-0.5*LN(1+($D$10/$C$10)^2),SQRT(LN(1+($D$10/$C$10)^2)))</f>
        <v/>
      </c>
      <c r="S395" s="14">
        <f>SUM(M395:R395)</f>
        <v/>
      </c>
      <c r="AA395">
        <f>RAND()</f>
        <v/>
      </c>
      <c r="AB395">
        <f>RAND()</f>
        <v/>
      </c>
      <c r="AC395">
        <f>RAND()</f>
        <v/>
      </c>
      <c r="AD395">
        <f>RAND()</f>
        <v/>
      </c>
      <c r="AE395">
        <f>RAND()</f>
        <v/>
      </c>
      <c r="AF395">
        <f>RAND()</f>
        <v/>
      </c>
    </row>
    <row r="396">
      <c r="M396" s="14">
        <f>_xlfn.BETA.INV($AA396,1+4*($D$5-$C$5)/($E$5-$C$5),1+4*($E$5-$D$5)/($E$5-$C$5),$C$5,$E$5)</f>
        <v/>
      </c>
      <c r="N396" s="14">
        <f>IF($AB396&lt;($D$6-$C$6)/($E$6-$C$6),$C$6+SQRT($AB396*($E$6-$C$6)*($D$6-$C$6)),$E$6-SQRT((1-$AB396)*($E$6-$C$6)*($E$6-$D$6)))</f>
        <v/>
      </c>
      <c r="O396" s="14">
        <f>_xlfn.NORM.INV($AC396,$C$7,$D$7)</f>
        <v/>
      </c>
      <c r="P396" s="14">
        <f>$C$8+($D$8-$C$8)*$AD396</f>
        <v/>
      </c>
      <c r="Q396" s="14">
        <f>$C$9</f>
        <v/>
      </c>
      <c r="R396" s="14">
        <f>_xlfn.LOGNORM.INV($AF396,LN($C$10)-0.5*LN(1+($D$10/$C$10)^2),SQRT(LN(1+($D$10/$C$10)^2)))</f>
        <v/>
      </c>
      <c r="S396" s="14">
        <f>SUM(M396:R396)</f>
        <v/>
      </c>
      <c r="AA396">
        <f>RAND()</f>
        <v/>
      </c>
      <c r="AB396">
        <f>RAND()</f>
        <v/>
      </c>
      <c r="AC396">
        <f>RAND()</f>
        <v/>
      </c>
      <c r="AD396">
        <f>RAND()</f>
        <v/>
      </c>
      <c r="AE396">
        <f>RAND()</f>
        <v/>
      </c>
      <c r="AF396">
        <f>RAND()</f>
        <v/>
      </c>
    </row>
    <row r="397">
      <c r="M397" s="14">
        <f>_xlfn.BETA.INV($AA397,1+4*($D$5-$C$5)/($E$5-$C$5),1+4*($E$5-$D$5)/($E$5-$C$5),$C$5,$E$5)</f>
        <v/>
      </c>
      <c r="N397" s="14">
        <f>IF($AB397&lt;($D$6-$C$6)/($E$6-$C$6),$C$6+SQRT($AB397*($E$6-$C$6)*($D$6-$C$6)),$E$6-SQRT((1-$AB397)*($E$6-$C$6)*($E$6-$D$6)))</f>
        <v/>
      </c>
      <c r="O397" s="14">
        <f>_xlfn.NORM.INV($AC397,$C$7,$D$7)</f>
        <v/>
      </c>
      <c r="P397" s="14">
        <f>$C$8+($D$8-$C$8)*$AD397</f>
        <v/>
      </c>
      <c r="Q397" s="14">
        <f>$C$9</f>
        <v/>
      </c>
      <c r="R397" s="14">
        <f>_xlfn.LOGNORM.INV($AF397,LN($C$10)-0.5*LN(1+($D$10/$C$10)^2),SQRT(LN(1+($D$10/$C$10)^2)))</f>
        <v/>
      </c>
      <c r="S397" s="14">
        <f>SUM(M397:R397)</f>
        <v/>
      </c>
      <c r="AA397">
        <f>RAND()</f>
        <v/>
      </c>
      <c r="AB397">
        <f>RAND()</f>
        <v/>
      </c>
      <c r="AC397">
        <f>RAND()</f>
        <v/>
      </c>
      <c r="AD397">
        <f>RAND()</f>
        <v/>
      </c>
      <c r="AE397">
        <f>RAND()</f>
        <v/>
      </c>
      <c r="AF397">
        <f>RAND()</f>
        <v/>
      </c>
    </row>
    <row r="398">
      <c r="M398" s="14">
        <f>_xlfn.BETA.INV($AA398,1+4*($D$5-$C$5)/($E$5-$C$5),1+4*($E$5-$D$5)/($E$5-$C$5),$C$5,$E$5)</f>
        <v/>
      </c>
      <c r="N398" s="14">
        <f>IF($AB398&lt;($D$6-$C$6)/($E$6-$C$6),$C$6+SQRT($AB398*($E$6-$C$6)*($D$6-$C$6)),$E$6-SQRT((1-$AB398)*($E$6-$C$6)*($E$6-$D$6)))</f>
        <v/>
      </c>
      <c r="O398" s="14">
        <f>_xlfn.NORM.INV($AC398,$C$7,$D$7)</f>
        <v/>
      </c>
      <c r="P398" s="14">
        <f>$C$8+($D$8-$C$8)*$AD398</f>
        <v/>
      </c>
      <c r="Q398" s="14">
        <f>$C$9</f>
        <v/>
      </c>
      <c r="R398" s="14">
        <f>_xlfn.LOGNORM.INV($AF398,LN($C$10)-0.5*LN(1+($D$10/$C$10)^2),SQRT(LN(1+($D$10/$C$10)^2)))</f>
        <v/>
      </c>
      <c r="S398" s="14">
        <f>SUM(M398:R398)</f>
        <v/>
      </c>
      <c r="AA398">
        <f>RAND()</f>
        <v/>
      </c>
      <c r="AB398">
        <f>RAND()</f>
        <v/>
      </c>
      <c r="AC398">
        <f>RAND()</f>
        <v/>
      </c>
      <c r="AD398">
        <f>RAND()</f>
        <v/>
      </c>
      <c r="AE398">
        <f>RAND()</f>
        <v/>
      </c>
      <c r="AF398">
        <f>RAND()</f>
        <v/>
      </c>
    </row>
    <row r="399">
      <c r="M399" s="14">
        <f>_xlfn.BETA.INV($AA399,1+4*($D$5-$C$5)/($E$5-$C$5),1+4*($E$5-$D$5)/($E$5-$C$5),$C$5,$E$5)</f>
        <v/>
      </c>
      <c r="N399" s="14">
        <f>IF($AB399&lt;($D$6-$C$6)/($E$6-$C$6),$C$6+SQRT($AB399*($E$6-$C$6)*($D$6-$C$6)),$E$6-SQRT((1-$AB399)*($E$6-$C$6)*($E$6-$D$6)))</f>
        <v/>
      </c>
      <c r="O399" s="14">
        <f>_xlfn.NORM.INV($AC399,$C$7,$D$7)</f>
        <v/>
      </c>
      <c r="P399" s="14">
        <f>$C$8+($D$8-$C$8)*$AD399</f>
        <v/>
      </c>
      <c r="Q399" s="14">
        <f>$C$9</f>
        <v/>
      </c>
      <c r="R399" s="14">
        <f>_xlfn.LOGNORM.INV($AF399,LN($C$10)-0.5*LN(1+($D$10/$C$10)^2),SQRT(LN(1+($D$10/$C$10)^2)))</f>
        <v/>
      </c>
      <c r="S399" s="14">
        <f>SUM(M399:R399)</f>
        <v/>
      </c>
      <c r="AA399">
        <f>RAND()</f>
        <v/>
      </c>
      <c r="AB399">
        <f>RAND()</f>
        <v/>
      </c>
      <c r="AC399">
        <f>RAND()</f>
        <v/>
      </c>
      <c r="AD399">
        <f>RAND()</f>
        <v/>
      </c>
      <c r="AE399">
        <f>RAND()</f>
        <v/>
      </c>
      <c r="AF399">
        <f>RAND()</f>
        <v/>
      </c>
    </row>
    <row r="400">
      <c r="M400" s="14">
        <f>_xlfn.BETA.INV($AA400,1+4*($D$5-$C$5)/($E$5-$C$5),1+4*($E$5-$D$5)/($E$5-$C$5),$C$5,$E$5)</f>
        <v/>
      </c>
      <c r="N400" s="14">
        <f>IF($AB400&lt;($D$6-$C$6)/($E$6-$C$6),$C$6+SQRT($AB400*($E$6-$C$6)*($D$6-$C$6)),$E$6-SQRT((1-$AB400)*($E$6-$C$6)*($E$6-$D$6)))</f>
        <v/>
      </c>
      <c r="O400" s="14">
        <f>_xlfn.NORM.INV($AC400,$C$7,$D$7)</f>
        <v/>
      </c>
      <c r="P400" s="14">
        <f>$C$8+($D$8-$C$8)*$AD400</f>
        <v/>
      </c>
      <c r="Q400" s="14">
        <f>$C$9</f>
        <v/>
      </c>
      <c r="R400" s="14">
        <f>_xlfn.LOGNORM.INV($AF400,LN($C$10)-0.5*LN(1+($D$10/$C$10)^2),SQRT(LN(1+($D$10/$C$10)^2)))</f>
        <v/>
      </c>
      <c r="S400" s="14">
        <f>SUM(M400:R400)</f>
        <v/>
      </c>
      <c r="AA400">
        <f>RAND()</f>
        <v/>
      </c>
      <c r="AB400">
        <f>RAND()</f>
        <v/>
      </c>
      <c r="AC400">
        <f>RAND()</f>
        <v/>
      </c>
      <c r="AD400">
        <f>RAND()</f>
        <v/>
      </c>
      <c r="AE400">
        <f>RAND()</f>
        <v/>
      </c>
      <c r="AF400">
        <f>RAND()</f>
        <v/>
      </c>
    </row>
    <row r="401">
      <c r="M401" s="14">
        <f>_xlfn.BETA.INV($AA401,1+4*($D$5-$C$5)/($E$5-$C$5),1+4*($E$5-$D$5)/($E$5-$C$5),$C$5,$E$5)</f>
        <v/>
      </c>
      <c r="N401" s="14">
        <f>IF($AB401&lt;($D$6-$C$6)/($E$6-$C$6),$C$6+SQRT($AB401*($E$6-$C$6)*($D$6-$C$6)),$E$6-SQRT((1-$AB401)*($E$6-$C$6)*($E$6-$D$6)))</f>
        <v/>
      </c>
      <c r="O401" s="14">
        <f>_xlfn.NORM.INV($AC401,$C$7,$D$7)</f>
        <v/>
      </c>
      <c r="P401" s="14">
        <f>$C$8+($D$8-$C$8)*$AD401</f>
        <v/>
      </c>
      <c r="Q401" s="14">
        <f>$C$9</f>
        <v/>
      </c>
      <c r="R401" s="14">
        <f>_xlfn.LOGNORM.INV($AF401,LN($C$10)-0.5*LN(1+($D$10/$C$10)^2),SQRT(LN(1+($D$10/$C$10)^2)))</f>
        <v/>
      </c>
      <c r="S401" s="14">
        <f>SUM(M401:R401)</f>
        <v/>
      </c>
      <c r="AA401">
        <f>RAND()</f>
        <v/>
      </c>
      <c r="AB401">
        <f>RAND()</f>
        <v/>
      </c>
      <c r="AC401">
        <f>RAND()</f>
        <v/>
      </c>
      <c r="AD401">
        <f>RAND()</f>
        <v/>
      </c>
      <c r="AE401">
        <f>RAND()</f>
        <v/>
      </c>
      <c r="AF401">
        <f>RAND()</f>
        <v/>
      </c>
    </row>
    <row r="402">
      <c r="M402" s="14">
        <f>_xlfn.BETA.INV($AA402,1+4*($D$5-$C$5)/($E$5-$C$5),1+4*($E$5-$D$5)/($E$5-$C$5),$C$5,$E$5)</f>
        <v/>
      </c>
      <c r="N402" s="14">
        <f>IF($AB402&lt;($D$6-$C$6)/($E$6-$C$6),$C$6+SQRT($AB402*($E$6-$C$6)*($D$6-$C$6)),$E$6-SQRT((1-$AB402)*($E$6-$C$6)*($E$6-$D$6)))</f>
        <v/>
      </c>
      <c r="O402" s="14">
        <f>_xlfn.NORM.INV($AC402,$C$7,$D$7)</f>
        <v/>
      </c>
      <c r="P402" s="14">
        <f>$C$8+($D$8-$C$8)*$AD402</f>
        <v/>
      </c>
      <c r="Q402" s="14">
        <f>$C$9</f>
        <v/>
      </c>
      <c r="R402" s="14">
        <f>_xlfn.LOGNORM.INV($AF402,LN($C$10)-0.5*LN(1+($D$10/$C$10)^2),SQRT(LN(1+($D$10/$C$10)^2)))</f>
        <v/>
      </c>
      <c r="S402" s="14">
        <f>SUM(M402:R402)</f>
        <v/>
      </c>
      <c r="AA402">
        <f>RAND()</f>
        <v/>
      </c>
      <c r="AB402">
        <f>RAND()</f>
        <v/>
      </c>
      <c r="AC402">
        <f>RAND()</f>
        <v/>
      </c>
      <c r="AD402">
        <f>RAND()</f>
        <v/>
      </c>
      <c r="AE402">
        <f>RAND()</f>
        <v/>
      </c>
      <c r="AF402">
        <f>RAND()</f>
        <v/>
      </c>
    </row>
    <row r="403">
      <c r="M403" s="14">
        <f>_xlfn.BETA.INV($AA403,1+4*($D$5-$C$5)/($E$5-$C$5),1+4*($E$5-$D$5)/($E$5-$C$5),$C$5,$E$5)</f>
        <v/>
      </c>
      <c r="N403" s="14">
        <f>IF($AB403&lt;($D$6-$C$6)/($E$6-$C$6),$C$6+SQRT($AB403*($E$6-$C$6)*($D$6-$C$6)),$E$6-SQRT((1-$AB403)*($E$6-$C$6)*($E$6-$D$6)))</f>
        <v/>
      </c>
      <c r="O403" s="14">
        <f>_xlfn.NORM.INV($AC403,$C$7,$D$7)</f>
        <v/>
      </c>
      <c r="P403" s="14">
        <f>$C$8+($D$8-$C$8)*$AD403</f>
        <v/>
      </c>
      <c r="Q403" s="14">
        <f>$C$9</f>
        <v/>
      </c>
      <c r="R403" s="14">
        <f>_xlfn.LOGNORM.INV($AF403,LN($C$10)-0.5*LN(1+($D$10/$C$10)^2),SQRT(LN(1+($D$10/$C$10)^2)))</f>
        <v/>
      </c>
      <c r="S403" s="14">
        <f>SUM(M403:R403)</f>
        <v/>
      </c>
      <c r="AA403">
        <f>RAND()</f>
        <v/>
      </c>
      <c r="AB403">
        <f>RAND()</f>
        <v/>
      </c>
      <c r="AC403">
        <f>RAND()</f>
        <v/>
      </c>
      <c r="AD403">
        <f>RAND()</f>
        <v/>
      </c>
      <c r="AE403">
        <f>RAND()</f>
        <v/>
      </c>
      <c r="AF403">
        <f>RAND()</f>
        <v/>
      </c>
    </row>
    <row r="404">
      <c r="M404" s="14">
        <f>_xlfn.BETA.INV($AA404,1+4*($D$5-$C$5)/($E$5-$C$5),1+4*($E$5-$D$5)/($E$5-$C$5),$C$5,$E$5)</f>
        <v/>
      </c>
      <c r="N404" s="14">
        <f>IF($AB404&lt;($D$6-$C$6)/($E$6-$C$6),$C$6+SQRT($AB404*($E$6-$C$6)*($D$6-$C$6)),$E$6-SQRT((1-$AB404)*($E$6-$C$6)*($E$6-$D$6)))</f>
        <v/>
      </c>
      <c r="O404" s="14">
        <f>_xlfn.NORM.INV($AC404,$C$7,$D$7)</f>
        <v/>
      </c>
      <c r="P404" s="14">
        <f>$C$8+($D$8-$C$8)*$AD404</f>
        <v/>
      </c>
      <c r="Q404" s="14">
        <f>$C$9</f>
        <v/>
      </c>
      <c r="R404" s="14">
        <f>_xlfn.LOGNORM.INV($AF404,LN($C$10)-0.5*LN(1+($D$10/$C$10)^2),SQRT(LN(1+($D$10/$C$10)^2)))</f>
        <v/>
      </c>
      <c r="S404" s="14">
        <f>SUM(M404:R404)</f>
        <v/>
      </c>
      <c r="AA404">
        <f>RAND()</f>
        <v/>
      </c>
      <c r="AB404">
        <f>RAND()</f>
        <v/>
      </c>
      <c r="AC404">
        <f>RAND()</f>
        <v/>
      </c>
      <c r="AD404">
        <f>RAND()</f>
        <v/>
      </c>
      <c r="AE404">
        <f>RAND()</f>
        <v/>
      </c>
      <c r="AF404">
        <f>RAND()</f>
        <v/>
      </c>
    </row>
    <row r="405">
      <c r="M405" s="14">
        <f>_xlfn.BETA.INV($AA405,1+4*($D$5-$C$5)/($E$5-$C$5),1+4*($E$5-$D$5)/($E$5-$C$5),$C$5,$E$5)</f>
        <v/>
      </c>
      <c r="N405" s="14">
        <f>IF($AB405&lt;($D$6-$C$6)/($E$6-$C$6),$C$6+SQRT($AB405*($E$6-$C$6)*($D$6-$C$6)),$E$6-SQRT((1-$AB405)*($E$6-$C$6)*($E$6-$D$6)))</f>
        <v/>
      </c>
      <c r="O405" s="14">
        <f>_xlfn.NORM.INV($AC405,$C$7,$D$7)</f>
        <v/>
      </c>
      <c r="P405" s="14">
        <f>$C$8+($D$8-$C$8)*$AD405</f>
        <v/>
      </c>
      <c r="Q405" s="14">
        <f>$C$9</f>
        <v/>
      </c>
      <c r="R405" s="14">
        <f>_xlfn.LOGNORM.INV($AF405,LN($C$10)-0.5*LN(1+($D$10/$C$10)^2),SQRT(LN(1+($D$10/$C$10)^2)))</f>
        <v/>
      </c>
      <c r="S405" s="14">
        <f>SUM(M405:R405)</f>
        <v/>
      </c>
      <c r="AA405">
        <f>RAND()</f>
        <v/>
      </c>
      <c r="AB405">
        <f>RAND()</f>
        <v/>
      </c>
      <c r="AC405">
        <f>RAND()</f>
        <v/>
      </c>
      <c r="AD405">
        <f>RAND()</f>
        <v/>
      </c>
      <c r="AE405">
        <f>RAND()</f>
        <v/>
      </c>
      <c r="AF405">
        <f>RAND()</f>
        <v/>
      </c>
    </row>
    <row r="406">
      <c r="M406" s="14">
        <f>_xlfn.BETA.INV($AA406,1+4*($D$5-$C$5)/($E$5-$C$5),1+4*($E$5-$D$5)/($E$5-$C$5),$C$5,$E$5)</f>
        <v/>
      </c>
      <c r="N406" s="14">
        <f>IF($AB406&lt;($D$6-$C$6)/($E$6-$C$6),$C$6+SQRT($AB406*($E$6-$C$6)*($D$6-$C$6)),$E$6-SQRT((1-$AB406)*($E$6-$C$6)*($E$6-$D$6)))</f>
        <v/>
      </c>
      <c r="O406" s="14">
        <f>_xlfn.NORM.INV($AC406,$C$7,$D$7)</f>
        <v/>
      </c>
      <c r="P406" s="14">
        <f>$C$8+($D$8-$C$8)*$AD406</f>
        <v/>
      </c>
      <c r="Q406" s="14">
        <f>$C$9</f>
        <v/>
      </c>
      <c r="R406" s="14">
        <f>_xlfn.LOGNORM.INV($AF406,LN($C$10)-0.5*LN(1+($D$10/$C$10)^2),SQRT(LN(1+($D$10/$C$10)^2)))</f>
        <v/>
      </c>
      <c r="S406" s="14">
        <f>SUM(M406:R406)</f>
        <v/>
      </c>
      <c r="AA406">
        <f>RAND()</f>
        <v/>
      </c>
      <c r="AB406">
        <f>RAND()</f>
        <v/>
      </c>
      <c r="AC406">
        <f>RAND()</f>
        <v/>
      </c>
      <c r="AD406">
        <f>RAND()</f>
        <v/>
      </c>
      <c r="AE406">
        <f>RAND()</f>
        <v/>
      </c>
      <c r="AF406">
        <f>RAND()</f>
        <v/>
      </c>
    </row>
    <row r="407">
      <c r="M407" s="14">
        <f>_xlfn.BETA.INV($AA407,1+4*($D$5-$C$5)/($E$5-$C$5),1+4*($E$5-$D$5)/($E$5-$C$5),$C$5,$E$5)</f>
        <v/>
      </c>
      <c r="N407" s="14">
        <f>IF($AB407&lt;($D$6-$C$6)/($E$6-$C$6),$C$6+SQRT($AB407*($E$6-$C$6)*($D$6-$C$6)),$E$6-SQRT((1-$AB407)*($E$6-$C$6)*($E$6-$D$6)))</f>
        <v/>
      </c>
      <c r="O407" s="14">
        <f>_xlfn.NORM.INV($AC407,$C$7,$D$7)</f>
        <v/>
      </c>
      <c r="P407" s="14">
        <f>$C$8+($D$8-$C$8)*$AD407</f>
        <v/>
      </c>
      <c r="Q407" s="14">
        <f>$C$9</f>
        <v/>
      </c>
      <c r="R407" s="14">
        <f>_xlfn.LOGNORM.INV($AF407,LN($C$10)-0.5*LN(1+($D$10/$C$10)^2),SQRT(LN(1+($D$10/$C$10)^2)))</f>
        <v/>
      </c>
      <c r="S407" s="14">
        <f>SUM(M407:R407)</f>
        <v/>
      </c>
      <c r="AA407">
        <f>RAND()</f>
        <v/>
      </c>
      <c r="AB407">
        <f>RAND()</f>
        <v/>
      </c>
      <c r="AC407">
        <f>RAND()</f>
        <v/>
      </c>
      <c r="AD407">
        <f>RAND()</f>
        <v/>
      </c>
      <c r="AE407">
        <f>RAND()</f>
        <v/>
      </c>
      <c r="AF407">
        <f>RAND()</f>
        <v/>
      </c>
    </row>
    <row r="408">
      <c r="M408" s="14">
        <f>_xlfn.BETA.INV($AA408,1+4*($D$5-$C$5)/($E$5-$C$5),1+4*($E$5-$D$5)/($E$5-$C$5),$C$5,$E$5)</f>
        <v/>
      </c>
      <c r="N408" s="14">
        <f>IF($AB408&lt;($D$6-$C$6)/($E$6-$C$6),$C$6+SQRT($AB408*($E$6-$C$6)*($D$6-$C$6)),$E$6-SQRT((1-$AB408)*($E$6-$C$6)*($E$6-$D$6)))</f>
        <v/>
      </c>
      <c r="O408" s="14">
        <f>_xlfn.NORM.INV($AC408,$C$7,$D$7)</f>
        <v/>
      </c>
      <c r="P408" s="14">
        <f>$C$8+($D$8-$C$8)*$AD408</f>
        <v/>
      </c>
      <c r="Q408" s="14">
        <f>$C$9</f>
        <v/>
      </c>
      <c r="R408" s="14">
        <f>_xlfn.LOGNORM.INV($AF408,LN($C$10)-0.5*LN(1+($D$10/$C$10)^2),SQRT(LN(1+($D$10/$C$10)^2)))</f>
        <v/>
      </c>
      <c r="S408" s="14">
        <f>SUM(M408:R408)</f>
        <v/>
      </c>
      <c r="AA408">
        <f>RAND()</f>
        <v/>
      </c>
      <c r="AB408">
        <f>RAND()</f>
        <v/>
      </c>
      <c r="AC408">
        <f>RAND()</f>
        <v/>
      </c>
      <c r="AD408">
        <f>RAND()</f>
        <v/>
      </c>
      <c r="AE408">
        <f>RAND()</f>
        <v/>
      </c>
      <c r="AF408">
        <f>RAND()</f>
        <v/>
      </c>
    </row>
    <row r="409">
      <c r="M409" s="14">
        <f>_xlfn.BETA.INV($AA409,1+4*($D$5-$C$5)/($E$5-$C$5),1+4*($E$5-$D$5)/($E$5-$C$5),$C$5,$E$5)</f>
        <v/>
      </c>
      <c r="N409" s="14">
        <f>IF($AB409&lt;($D$6-$C$6)/($E$6-$C$6),$C$6+SQRT($AB409*($E$6-$C$6)*($D$6-$C$6)),$E$6-SQRT((1-$AB409)*($E$6-$C$6)*($E$6-$D$6)))</f>
        <v/>
      </c>
      <c r="O409" s="14">
        <f>_xlfn.NORM.INV($AC409,$C$7,$D$7)</f>
        <v/>
      </c>
      <c r="P409" s="14">
        <f>$C$8+($D$8-$C$8)*$AD409</f>
        <v/>
      </c>
      <c r="Q409" s="14">
        <f>$C$9</f>
        <v/>
      </c>
      <c r="R409" s="14">
        <f>_xlfn.LOGNORM.INV($AF409,LN($C$10)-0.5*LN(1+($D$10/$C$10)^2),SQRT(LN(1+($D$10/$C$10)^2)))</f>
        <v/>
      </c>
      <c r="S409" s="14">
        <f>SUM(M409:R409)</f>
        <v/>
      </c>
      <c r="AA409">
        <f>RAND()</f>
        <v/>
      </c>
      <c r="AB409">
        <f>RAND()</f>
        <v/>
      </c>
      <c r="AC409">
        <f>RAND()</f>
        <v/>
      </c>
      <c r="AD409">
        <f>RAND()</f>
        <v/>
      </c>
      <c r="AE409">
        <f>RAND()</f>
        <v/>
      </c>
      <c r="AF409">
        <f>RAND()</f>
        <v/>
      </c>
    </row>
    <row r="410">
      <c r="M410" s="14">
        <f>_xlfn.BETA.INV($AA410,1+4*($D$5-$C$5)/($E$5-$C$5),1+4*($E$5-$D$5)/($E$5-$C$5),$C$5,$E$5)</f>
        <v/>
      </c>
      <c r="N410" s="14">
        <f>IF($AB410&lt;($D$6-$C$6)/($E$6-$C$6),$C$6+SQRT($AB410*($E$6-$C$6)*($D$6-$C$6)),$E$6-SQRT((1-$AB410)*($E$6-$C$6)*($E$6-$D$6)))</f>
        <v/>
      </c>
      <c r="O410" s="14">
        <f>_xlfn.NORM.INV($AC410,$C$7,$D$7)</f>
        <v/>
      </c>
      <c r="P410" s="14">
        <f>$C$8+($D$8-$C$8)*$AD410</f>
        <v/>
      </c>
      <c r="Q410" s="14">
        <f>$C$9</f>
        <v/>
      </c>
      <c r="R410" s="14">
        <f>_xlfn.LOGNORM.INV($AF410,LN($C$10)-0.5*LN(1+($D$10/$C$10)^2),SQRT(LN(1+($D$10/$C$10)^2)))</f>
        <v/>
      </c>
      <c r="S410" s="14">
        <f>SUM(M410:R410)</f>
        <v/>
      </c>
      <c r="AA410">
        <f>RAND()</f>
        <v/>
      </c>
      <c r="AB410">
        <f>RAND()</f>
        <v/>
      </c>
      <c r="AC410">
        <f>RAND()</f>
        <v/>
      </c>
      <c r="AD410">
        <f>RAND()</f>
        <v/>
      </c>
      <c r="AE410">
        <f>RAND()</f>
        <v/>
      </c>
      <c r="AF410">
        <f>RAND()</f>
        <v/>
      </c>
    </row>
    <row r="411">
      <c r="M411" s="14">
        <f>_xlfn.BETA.INV($AA411,1+4*($D$5-$C$5)/($E$5-$C$5),1+4*($E$5-$D$5)/($E$5-$C$5),$C$5,$E$5)</f>
        <v/>
      </c>
      <c r="N411" s="14">
        <f>IF($AB411&lt;($D$6-$C$6)/($E$6-$C$6),$C$6+SQRT($AB411*($E$6-$C$6)*($D$6-$C$6)),$E$6-SQRT((1-$AB411)*($E$6-$C$6)*($E$6-$D$6)))</f>
        <v/>
      </c>
      <c r="O411" s="14">
        <f>_xlfn.NORM.INV($AC411,$C$7,$D$7)</f>
        <v/>
      </c>
      <c r="P411" s="14">
        <f>$C$8+($D$8-$C$8)*$AD411</f>
        <v/>
      </c>
      <c r="Q411" s="14">
        <f>$C$9</f>
        <v/>
      </c>
      <c r="R411" s="14">
        <f>_xlfn.LOGNORM.INV($AF411,LN($C$10)-0.5*LN(1+($D$10/$C$10)^2),SQRT(LN(1+($D$10/$C$10)^2)))</f>
        <v/>
      </c>
      <c r="S411" s="14">
        <f>SUM(M411:R411)</f>
        <v/>
      </c>
      <c r="AA411">
        <f>RAND()</f>
        <v/>
      </c>
      <c r="AB411">
        <f>RAND()</f>
        <v/>
      </c>
      <c r="AC411">
        <f>RAND()</f>
        <v/>
      </c>
      <c r="AD411">
        <f>RAND()</f>
        <v/>
      </c>
      <c r="AE411">
        <f>RAND()</f>
        <v/>
      </c>
      <c r="AF411">
        <f>RAND()</f>
        <v/>
      </c>
    </row>
    <row r="412">
      <c r="M412" s="14">
        <f>_xlfn.BETA.INV($AA412,1+4*($D$5-$C$5)/($E$5-$C$5),1+4*($E$5-$D$5)/($E$5-$C$5),$C$5,$E$5)</f>
        <v/>
      </c>
      <c r="N412" s="14">
        <f>IF($AB412&lt;($D$6-$C$6)/($E$6-$C$6),$C$6+SQRT($AB412*($E$6-$C$6)*($D$6-$C$6)),$E$6-SQRT((1-$AB412)*($E$6-$C$6)*($E$6-$D$6)))</f>
        <v/>
      </c>
      <c r="O412" s="14">
        <f>_xlfn.NORM.INV($AC412,$C$7,$D$7)</f>
        <v/>
      </c>
      <c r="P412" s="14">
        <f>$C$8+($D$8-$C$8)*$AD412</f>
        <v/>
      </c>
      <c r="Q412" s="14">
        <f>$C$9</f>
        <v/>
      </c>
      <c r="R412" s="14">
        <f>_xlfn.LOGNORM.INV($AF412,LN($C$10)-0.5*LN(1+($D$10/$C$10)^2),SQRT(LN(1+($D$10/$C$10)^2)))</f>
        <v/>
      </c>
      <c r="S412" s="14">
        <f>SUM(M412:R412)</f>
        <v/>
      </c>
      <c r="AA412">
        <f>RAND()</f>
        <v/>
      </c>
      <c r="AB412">
        <f>RAND()</f>
        <v/>
      </c>
      <c r="AC412">
        <f>RAND()</f>
        <v/>
      </c>
      <c r="AD412">
        <f>RAND()</f>
        <v/>
      </c>
      <c r="AE412">
        <f>RAND()</f>
        <v/>
      </c>
      <c r="AF412">
        <f>RAND()</f>
        <v/>
      </c>
    </row>
    <row r="413">
      <c r="M413" s="14">
        <f>_xlfn.BETA.INV($AA413,1+4*($D$5-$C$5)/($E$5-$C$5),1+4*($E$5-$D$5)/($E$5-$C$5),$C$5,$E$5)</f>
        <v/>
      </c>
      <c r="N413" s="14">
        <f>IF($AB413&lt;($D$6-$C$6)/($E$6-$C$6),$C$6+SQRT($AB413*($E$6-$C$6)*($D$6-$C$6)),$E$6-SQRT((1-$AB413)*($E$6-$C$6)*($E$6-$D$6)))</f>
        <v/>
      </c>
      <c r="O413" s="14">
        <f>_xlfn.NORM.INV($AC413,$C$7,$D$7)</f>
        <v/>
      </c>
      <c r="P413" s="14">
        <f>$C$8+($D$8-$C$8)*$AD413</f>
        <v/>
      </c>
      <c r="Q413" s="14">
        <f>$C$9</f>
        <v/>
      </c>
      <c r="R413" s="14">
        <f>_xlfn.LOGNORM.INV($AF413,LN($C$10)-0.5*LN(1+($D$10/$C$10)^2),SQRT(LN(1+($D$10/$C$10)^2)))</f>
        <v/>
      </c>
      <c r="S413" s="14">
        <f>SUM(M413:R413)</f>
        <v/>
      </c>
      <c r="AA413">
        <f>RAND()</f>
        <v/>
      </c>
      <c r="AB413">
        <f>RAND()</f>
        <v/>
      </c>
      <c r="AC413">
        <f>RAND()</f>
        <v/>
      </c>
      <c r="AD413">
        <f>RAND()</f>
        <v/>
      </c>
      <c r="AE413">
        <f>RAND()</f>
        <v/>
      </c>
      <c r="AF413">
        <f>RAND()</f>
        <v/>
      </c>
    </row>
    <row r="414">
      <c r="M414" s="14">
        <f>_xlfn.BETA.INV($AA414,1+4*($D$5-$C$5)/($E$5-$C$5),1+4*($E$5-$D$5)/($E$5-$C$5),$C$5,$E$5)</f>
        <v/>
      </c>
      <c r="N414" s="14">
        <f>IF($AB414&lt;($D$6-$C$6)/($E$6-$C$6),$C$6+SQRT($AB414*($E$6-$C$6)*($D$6-$C$6)),$E$6-SQRT((1-$AB414)*($E$6-$C$6)*($E$6-$D$6)))</f>
        <v/>
      </c>
      <c r="O414" s="14">
        <f>_xlfn.NORM.INV($AC414,$C$7,$D$7)</f>
        <v/>
      </c>
      <c r="P414" s="14">
        <f>$C$8+($D$8-$C$8)*$AD414</f>
        <v/>
      </c>
      <c r="Q414" s="14">
        <f>$C$9</f>
        <v/>
      </c>
      <c r="R414" s="14">
        <f>_xlfn.LOGNORM.INV($AF414,LN($C$10)-0.5*LN(1+($D$10/$C$10)^2),SQRT(LN(1+($D$10/$C$10)^2)))</f>
        <v/>
      </c>
      <c r="S414" s="14">
        <f>SUM(M414:R414)</f>
        <v/>
      </c>
      <c r="AA414">
        <f>RAND()</f>
        <v/>
      </c>
      <c r="AB414">
        <f>RAND()</f>
        <v/>
      </c>
      <c r="AC414">
        <f>RAND()</f>
        <v/>
      </c>
      <c r="AD414">
        <f>RAND()</f>
        <v/>
      </c>
      <c r="AE414">
        <f>RAND()</f>
        <v/>
      </c>
      <c r="AF414">
        <f>RAND()</f>
        <v/>
      </c>
    </row>
    <row r="415">
      <c r="M415" s="14">
        <f>_xlfn.BETA.INV($AA415,1+4*($D$5-$C$5)/($E$5-$C$5),1+4*($E$5-$D$5)/($E$5-$C$5),$C$5,$E$5)</f>
        <v/>
      </c>
      <c r="N415" s="14">
        <f>IF($AB415&lt;($D$6-$C$6)/($E$6-$C$6),$C$6+SQRT($AB415*($E$6-$C$6)*($D$6-$C$6)),$E$6-SQRT((1-$AB415)*($E$6-$C$6)*($E$6-$D$6)))</f>
        <v/>
      </c>
      <c r="O415" s="14">
        <f>_xlfn.NORM.INV($AC415,$C$7,$D$7)</f>
        <v/>
      </c>
      <c r="P415" s="14">
        <f>$C$8+($D$8-$C$8)*$AD415</f>
        <v/>
      </c>
      <c r="Q415" s="14">
        <f>$C$9</f>
        <v/>
      </c>
      <c r="R415" s="14">
        <f>_xlfn.LOGNORM.INV($AF415,LN($C$10)-0.5*LN(1+($D$10/$C$10)^2),SQRT(LN(1+($D$10/$C$10)^2)))</f>
        <v/>
      </c>
      <c r="S415" s="14">
        <f>SUM(M415:R415)</f>
        <v/>
      </c>
      <c r="AA415">
        <f>RAND()</f>
        <v/>
      </c>
      <c r="AB415">
        <f>RAND()</f>
        <v/>
      </c>
      <c r="AC415">
        <f>RAND()</f>
        <v/>
      </c>
      <c r="AD415">
        <f>RAND()</f>
        <v/>
      </c>
      <c r="AE415">
        <f>RAND()</f>
        <v/>
      </c>
      <c r="AF415">
        <f>RAND()</f>
        <v/>
      </c>
    </row>
    <row r="416">
      <c r="M416" s="14">
        <f>_xlfn.BETA.INV($AA416,1+4*($D$5-$C$5)/($E$5-$C$5),1+4*($E$5-$D$5)/($E$5-$C$5),$C$5,$E$5)</f>
        <v/>
      </c>
      <c r="N416" s="14">
        <f>IF($AB416&lt;($D$6-$C$6)/($E$6-$C$6),$C$6+SQRT($AB416*($E$6-$C$6)*($D$6-$C$6)),$E$6-SQRT((1-$AB416)*($E$6-$C$6)*($E$6-$D$6)))</f>
        <v/>
      </c>
      <c r="O416" s="14">
        <f>_xlfn.NORM.INV($AC416,$C$7,$D$7)</f>
        <v/>
      </c>
      <c r="P416" s="14">
        <f>$C$8+($D$8-$C$8)*$AD416</f>
        <v/>
      </c>
      <c r="Q416" s="14">
        <f>$C$9</f>
        <v/>
      </c>
      <c r="R416" s="14">
        <f>_xlfn.LOGNORM.INV($AF416,LN($C$10)-0.5*LN(1+($D$10/$C$10)^2),SQRT(LN(1+($D$10/$C$10)^2)))</f>
        <v/>
      </c>
      <c r="S416" s="14">
        <f>SUM(M416:R416)</f>
        <v/>
      </c>
      <c r="AA416">
        <f>RAND()</f>
        <v/>
      </c>
      <c r="AB416">
        <f>RAND()</f>
        <v/>
      </c>
      <c r="AC416">
        <f>RAND()</f>
        <v/>
      </c>
      <c r="AD416">
        <f>RAND()</f>
        <v/>
      </c>
      <c r="AE416">
        <f>RAND()</f>
        <v/>
      </c>
      <c r="AF416">
        <f>RAND()</f>
        <v/>
      </c>
    </row>
    <row r="417">
      <c r="M417" s="14">
        <f>_xlfn.BETA.INV($AA417,1+4*($D$5-$C$5)/($E$5-$C$5),1+4*($E$5-$D$5)/($E$5-$C$5),$C$5,$E$5)</f>
        <v/>
      </c>
      <c r="N417" s="14">
        <f>IF($AB417&lt;($D$6-$C$6)/($E$6-$C$6),$C$6+SQRT($AB417*($E$6-$C$6)*($D$6-$C$6)),$E$6-SQRT((1-$AB417)*($E$6-$C$6)*($E$6-$D$6)))</f>
        <v/>
      </c>
      <c r="O417" s="14">
        <f>_xlfn.NORM.INV($AC417,$C$7,$D$7)</f>
        <v/>
      </c>
      <c r="P417" s="14">
        <f>$C$8+($D$8-$C$8)*$AD417</f>
        <v/>
      </c>
      <c r="Q417" s="14">
        <f>$C$9</f>
        <v/>
      </c>
      <c r="R417" s="14">
        <f>_xlfn.LOGNORM.INV($AF417,LN($C$10)-0.5*LN(1+($D$10/$C$10)^2),SQRT(LN(1+($D$10/$C$10)^2)))</f>
        <v/>
      </c>
      <c r="S417" s="14">
        <f>SUM(M417:R417)</f>
        <v/>
      </c>
      <c r="AA417">
        <f>RAND()</f>
        <v/>
      </c>
      <c r="AB417">
        <f>RAND()</f>
        <v/>
      </c>
      <c r="AC417">
        <f>RAND()</f>
        <v/>
      </c>
      <c r="AD417">
        <f>RAND()</f>
        <v/>
      </c>
      <c r="AE417">
        <f>RAND()</f>
        <v/>
      </c>
      <c r="AF417">
        <f>RAND()</f>
        <v/>
      </c>
    </row>
    <row r="418">
      <c r="M418" s="14">
        <f>_xlfn.BETA.INV($AA418,1+4*($D$5-$C$5)/($E$5-$C$5),1+4*($E$5-$D$5)/($E$5-$C$5),$C$5,$E$5)</f>
        <v/>
      </c>
      <c r="N418" s="14">
        <f>IF($AB418&lt;($D$6-$C$6)/($E$6-$C$6),$C$6+SQRT($AB418*($E$6-$C$6)*($D$6-$C$6)),$E$6-SQRT((1-$AB418)*($E$6-$C$6)*($E$6-$D$6)))</f>
        <v/>
      </c>
      <c r="O418" s="14">
        <f>_xlfn.NORM.INV($AC418,$C$7,$D$7)</f>
        <v/>
      </c>
      <c r="P418" s="14">
        <f>$C$8+($D$8-$C$8)*$AD418</f>
        <v/>
      </c>
      <c r="Q418" s="14">
        <f>$C$9</f>
        <v/>
      </c>
      <c r="R418" s="14">
        <f>_xlfn.LOGNORM.INV($AF418,LN($C$10)-0.5*LN(1+($D$10/$C$10)^2),SQRT(LN(1+($D$10/$C$10)^2)))</f>
        <v/>
      </c>
      <c r="S418" s="14">
        <f>SUM(M418:R418)</f>
        <v/>
      </c>
      <c r="AA418">
        <f>RAND()</f>
        <v/>
      </c>
      <c r="AB418">
        <f>RAND()</f>
        <v/>
      </c>
      <c r="AC418">
        <f>RAND()</f>
        <v/>
      </c>
      <c r="AD418">
        <f>RAND()</f>
        <v/>
      </c>
      <c r="AE418">
        <f>RAND()</f>
        <v/>
      </c>
      <c r="AF418">
        <f>RAND()</f>
        <v/>
      </c>
    </row>
    <row r="419">
      <c r="M419" s="14">
        <f>_xlfn.BETA.INV($AA419,1+4*($D$5-$C$5)/($E$5-$C$5),1+4*($E$5-$D$5)/($E$5-$C$5),$C$5,$E$5)</f>
        <v/>
      </c>
      <c r="N419" s="14">
        <f>IF($AB419&lt;($D$6-$C$6)/($E$6-$C$6),$C$6+SQRT($AB419*($E$6-$C$6)*($D$6-$C$6)),$E$6-SQRT((1-$AB419)*($E$6-$C$6)*($E$6-$D$6)))</f>
        <v/>
      </c>
      <c r="O419" s="14">
        <f>_xlfn.NORM.INV($AC419,$C$7,$D$7)</f>
        <v/>
      </c>
      <c r="P419" s="14">
        <f>$C$8+($D$8-$C$8)*$AD419</f>
        <v/>
      </c>
      <c r="Q419" s="14">
        <f>$C$9</f>
        <v/>
      </c>
      <c r="R419" s="14">
        <f>_xlfn.LOGNORM.INV($AF419,LN($C$10)-0.5*LN(1+($D$10/$C$10)^2),SQRT(LN(1+($D$10/$C$10)^2)))</f>
        <v/>
      </c>
      <c r="S419" s="14">
        <f>SUM(M419:R419)</f>
        <v/>
      </c>
      <c r="AA419">
        <f>RAND()</f>
        <v/>
      </c>
      <c r="AB419">
        <f>RAND()</f>
        <v/>
      </c>
      <c r="AC419">
        <f>RAND()</f>
        <v/>
      </c>
      <c r="AD419">
        <f>RAND()</f>
        <v/>
      </c>
      <c r="AE419">
        <f>RAND()</f>
        <v/>
      </c>
      <c r="AF419">
        <f>RAND()</f>
        <v/>
      </c>
    </row>
    <row r="420">
      <c r="M420" s="14">
        <f>_xlfn.BETA.INV($AA420,1+4*($D$5-$C$5)/($E$5-$C$5),1+4*($E$5-$D$5)/($E$5-$C$5),$C$5,$E$5)</f>
        <v/>
      </c>
      <c r="N420" s="14">
        <f>IF($AB420&lt;($D$6-$C$6)/($E$6-$C$6),$C$6+SQRT($AB420*($E$6-$C$6)*($D$6-$C$6)),$E$6-SQRT((1-$AB420)*($E$6-$C$6)*($E$6-$D$6)))</f>
        <v/>
      </c>
      <c r="O420" s="14">
        <f>_xlfn.NORM.INV($AC420,$C$7,$D$7)</f>
        <v/>
      </c>
      <c r="P420" s="14">
        <f>$C$8+($D$8-$C$8)*$AD420</f>
        <v/>
      </c>
      <c r="Q420" s="14">
        <f>$C$9</f>
        <v/>
      </c>
      <c r="R420" s="14">
        <f>_xlfn.LOGNORM.INV($AF420,LN($C$10)-0.5*LN(1+($D$10/$C$10)^2),SQRT(LN(1+($D$10/$C$10)^2)))</f>
        <v/>
      </c>
      <c r="S420" s="14">
        <f>SUM(M420:R420)</f>
        <v/>
      </c>
      <c r="AA420">
        <f>RAND()</f>
        <v/>
      </c>
      <c r="AB420">
        <f>RAND()</f>
        <v/>
      </c>
      <c r="AC420">
        <f>RAND()</f>
        <v/>
      </c>
      <c r="AD420">
        <f>RAND()</f>
        <v/>
      </c>
      <c r="AE420">
        <f>RAND()</f>
        <v/>
      </c>
      <c r="AF420">
        <f>RAND()</f>
        <v/>
      </c>
    </row>
    <row r="421">
      <c r="M421" s="14">
        <f>_xlfn.BETA.INV($AA421,1+4*($D$5-$C$5)/($E$5-$C$5),1+4*($E$5-$D$5)/($E$5-$C$5),$C$5,$E$5)</f>
        <v/>
      </c>
      <c r="N421" s="14">
        <f>IF($AB421&lt;($D$6-$C$6)/($E$6-$C$6),$C$6+SQRT($AB421*($E$6-$C$6)*($D$6-$C$6)),$E$6-SQRT((1-$AB421)*($E$6-$C$6)*($E$6-$D$6)))</f>
        <v/>
      </c>
      <c r="O421" s="14">
        <f>_xlfn.NORM.INV($AC421,$C$7,$D$7)</f>
        <v/>
      </c>
      <c r="P421" s="14">
        <f>$C$8+($D$8-$C$8)*$AD421</f>
        <v/>
      </c>
      <c r="Q421" s="14">
        <f>$C$9</f>
        <v/>
      </c>
      <c r="R421" s="14">
        <f>_xlfn.LOGNORM.INV($AF421,LN($C$10)-0.5*LN(1+($D$10/$C$10)^2),SQRT(LN(1+($D$10/$C$10)^2)))</f>
        <v/>
      </c>
      <c r="S421" s="14">
        <f>SUM(M421:R421)</f>
        <v/>
      </c>
      <c r="AA421">
        <f>RAND()</f>
        <v/>
      </c>
      <c r="AB421">
        <f>RAND()</f>
        <v/>
      </c>
      <c r="AC421">
        <f>RAND()</f>
        <v/>
      </c>
      <c r="AD421">
        <f>RAND()</f>
        <v/>
      </c>
      <c r="AE421">
        <f>RAND()</f>
        <v/>
      </c>
      <c r="AF421">
        <f>RAND()</f>
        <v/>
      </c>
    </row>
    <row r="422">
      <c r="M422" s="14">
        <f>_xlfn.BETA.INV($AA422,1+4*($D$5-$C$5)/($E$5-$C$5),1+4*($E$5-$D$5)/($E$5-$C$5),$C$5,$E$5)</f>
        <v/>
      </c>
      <c r="N422" s="14">
        <f>IF($AB422&lt;($D$6-$C$6)/($E$6-$C$6),$C$6+SQRT($AB422*($E$6-$C$6)*($D$6-$C$6)),$E$6-SQRT((1-$AB422)*($E$6-$C$6)*($E$6-$D$6)))</f>
        <v/>
      </c>
      <c r="O422" s="14">
        <f>_xlfn.NORM.INV($AC422,$C$7,$D$7)</f>
        <v/>
      </c>
      <c r="P422" s="14">
        <f>$C$8+($D$8-$C$8)*$AD422</f>
        <v/>
      </c>
      <c r="Q422" s="14">
        <f>$C$9</f>
        <v/>
      </c>
      <c r="R422" s="14">
        <f>_xlfn.LOGNORM.INV($AF422,LN($C$10)-0.5*LN(1+($D$10/$C$10)^2),SQRT(LN(1+($D$10/$C$10)^2)))</f>
        <v/>
      </c>
      <c r="S422" s="14">
        <f>SUM(M422:R422)</f>
        <v/>
      </c>
      <c r="AA422">
        <f>RAND()</f>
        <v/>
      </c>
      <c r="AB422">
        <f>RAND()</f>
        <v/>
      </c>
      <c r="AC422">
        <f>RAND()</f>
        <v/>
      </c>
      <c r="AD422">
        <f>RAND()</f>
        <v/>
      </c>
      <c r="AE422">
        <f>RAND()</f>
        <v/>
      </c>
      <c r="AF422">
        <f>RAND()</f>
        <v/>
      </c>
    </row>
    <row r="423">
      <c r="M423" s="14">
        <f>_xlfn.BETA.INV($AA423,1+4*($D$5-$C$5)/($E$5-$C$5),1+4*($E$5-$D$5)/($E$5-$C$5),$C$5,$E$5)</f>
        <v/>
      </c>
      <c r="N423" s="14">
        <f>IF($AB423&lt;($D$6-$C$6)/($E$6-$C$6),$C$6+SQRT($AB423*($E$6-$C$6)*($D$6-$C$6)),$E$6-SQRT((1-$AB423)*($E$6-$C$6)*($E$6-$D$6)))</f>
        <v/>
      </c>
      <c r="O423" s="14">
        <f>_xlfn.NORM.INV($AC423,$C$7,$D$7)</f>
        <v/>
      </c>
      <c r="P423" s="14">
        <f>$C$8+($D$8-$C$8)*$AD423</f>
        <v/>
      </c>
      <c r="Q423" s="14">
        <f>$C$9</f>
        <v/>
      </c>
      <c r="R423" s="14">
        <f>_xlfn.LOGNORM.INV($AF423,LN($C$10)-0.5*LN(1+($D$10/$C$10)^2),SQRT(LN(1+($D$10/$C$10)^2)))</f>
        <v/>
      </c>
      <c r="S423" s="14">
        <f>SUM(M423:R423)</f>
        <v/>
      </c>
      <c r="AA423">
        <f>RAND()</f>
        <v/>
      </c>
      <c r="AB423">
        <f>RAND()</f>
        <v/>
      </c>
      <c r="AC423">
        <f>RAND()</f>
        <v/>
      </c>
      <c r="AD423">
        <f>RAND()</f>
        <v/>
      </c>
      <c r="AE423">
        <f>RAND()</f>
        <v/>
      </c>
      <c r="AF423">
        <f>RAND()</f>
        <v/>
      </c>
    </row>
    <row r="424">
      <c r="M424" s="14">
        <f>_xlfn.BETA.INV($AA424,1+4*($D$5-$C$5)/($E$5-$C$5),1+4*($E$5-$D$5)/($E$5-$C$5),$C$5,$E$5)</f>
        <v/>
      </c>
      <c r="N424" s="14">
        <f>IF($AB424&lt;($D$6-$C$6)/($E$6-$C$6),$C$6+SQRT($AB424*($E$6-$C$6)*($D$6-$C$6)),$E$6-SQRT((1-$AB424)*($E$6-$C$6)*($E$6-$D$6)))</f>
        <v/>
      </c>
      <c r="O424" s="14">
        <f>_xlfn.NORM.INV($AC424,$C$7,$D$7)</f>
        <v/>
      </c>
      <c r="P424" s="14">
        <f>$C$8+($D$8-$C$8)*$AD424</f>
        <v/>
      </c>
      <c r="Q424" s="14">
        <f>$C$9</f>
        <v/>
      </c>
      <c r="R424" s="14">
        <f>_xlfn.LOGNORM.INV($AF424,LN($C$10)-0.5*LN(1+($D$10/$C$10)^2),SQRT(LN(1+($D$10/$C$10)^2)))</f>
        <v/>
      </c>
      <c r="S424" s="14">
        <f>SUM(M424:R424)</f>
        <v/>
      </c>
      <c r="AA424">
        <f>RAND()</f>
        <v/>
      </c>
      <c r="AB424">
        <f>RAND()</f>
        <v/>
      </c>
      <c r="AC424">
        <f>RAND()</f>
        <v/>
      </c>
      <c r="AD424">
        <f>RAND()</f>
        <v/>
      </c>
      <c r="AE424">
        <f>RAND()</f>
        <v/>
      </c>
      <c r="AF424">
        <f>RAND()</f>
        <v/>
      </c>
    </row>
    <row r="425">
      <c r="M425" s="14">
        <f>_xlfn.BETA.INV($AA425,1+4*($D$5-$C$5)/($E$5-$C$5),1+4*($E$5-$D$5)/($E$5-$C$5),$C$5,$E$5)</f>
        <v/>
      </c>
      <c r="N425" s="14">
        <f>IF($AB425&lt;($D$6-$C$6)/($E$6-$C$6),$C$6+SQRT($AB425*($E$6-$C$6)*($D$6-$C$6)),$E$6-SQRT((1-$AB425)*($E$6-$C$6)*($E$6-$D$6)))</f>
        <v/>
      </c>
      <c r="O425" s="14">
        <f>_xlfn.NORM.INV($AC425,$C$7,$D$7)</f>
        <v/>
      </c>
      <c r="P425" s="14">
        <f>$C$8+($D$8-$C$8)*$AD425</f>
        <v/>
      </c>
      <c r="Q425" s="14">
        <f>$C$9</f>
        <v/>
      </c>
      <c r="R425" s="14">
        <f>_xlfn.LOGNORM.INV($AF425,LN($C$10)-0.5*LN(1+($D$10/$C$10)^2),SQRT(LN(1+($D$10/$C$10)^2)))</f>
        <v/>
      </c>
      <c r="S425" s="14">
        <f>SUM(M425:R425)</f>
        <v/>
      </c>
      <c r="AA425">
        <f>RAND()</f>
        <v/>
      </c>
      <c r="AB425">
        <f>RAND()</f>
        <v/>
      </c>
      <c r="AC425">
        <f>RAND()</f>
        <v/>
      </c>
      <c r="AD425">
        <f>RAND()</f>
        <v/>
      </c>
      <c r="AE425">
        <f>RAND()</f>
        <v/>
      </c>
      <c r="AF425">
        <f>RAND()</f>
        <v/>
      </c>
    </row>
    <row r="426">
      <c r="M426" s="14">
        <f>_xlfn.BETA.INV($AA426,1+4*($D$5-$C$5)/($E$5-$C$5),1+4*($E$5-$D$5)/($E$5-$C$5),$C$5,$E$5)</f>
        <v/>
      </c>
      <c r="N426" s="14">
        <f>IF($AB426&lt;($D$6-$C$6)/($E$6-$C$6),$C$6+SQRT($AB426*($E$6-$C$6)*($D$6-$C$6)),$E$6-SQRT((1-$AB426)*($E$6-$C$6)*($E$6-$D$6)))</f>
        <v/>
      </c>
      <c r="O426" s="14">
        <f>_xlfn.NORM.INV($AC426,$C$7,$D$7)</f>
        <v/>
      </c>
      <c r="P426" s="14">
        <f>$C$8+($D$8-$C$8)*$AD426</f>
        <v/>
      </c>
      <c r="Q426" s="14">
        <f>$C$9</f>
        <v/>
      </c>
      <c r="R426" s="14">
        <f>_xlfn.LOGNORM.INV($AF426,LN($C$10)-0.5*LN(1+($D$10/$C$10)^2),SQRT(LN(1+($D$10/$C$10)^2)))</f>
        <v/>
      </c>
      <c r="S426" s="14">
        <f>SUM(M426:R426)</f>
        <v/>
      </c>
      <c r="AA426">
        <f>RAND()</f>
        <v/>
      </c>
      <c r="AB426">
        <f>RAND()</f>
        <v/>
      </c>
      <c r="AC426">
        <f>RAND()</f>
        <v/>
      </c>
      <c r="AD426">
        <f>RAND()</f>
        <v/>
      </c>
      <c r="AE426">
        <f>RAND()</f>
        <v/>
      </c>
      <c r="AF426">
        <f>RAND()</f>
        <v/>
      </c>
    </row>
    <row r="427">
      <c r="M427" s="14">
        <f>_xlfn.BETA.INV($AA427,1+4*($D$5-$C$5)/($E$5-$C$5),1+4*($E$5-$D$5)/($E$5-$C$5),$C$5,$E$5)</f>
        <v/>
      </c>
      <c r="N427" s="14">
        <f>IF($AB427&lt;($D$6-$C$6)/($E$6-$C$6),$C$6+SQRT($AB427*($E$6-$C$6)*($D$6-$C$6)),$E$6-SQRT((1-$AB427)*($E$6-$C$6)*($E$6-$D$6)))</f>
        <v/>
      </c>
      <c r="O427" s="14">
        <f>_xlfn.NORM.INV($AC427,$C$7,$D$7)</f>
        <v/>
      </c>
      <c r="P427" s="14">
        <f>$C$8+($D$8-$C$8)*$AD427</f>
        <v/>
      </c>
      <c r="Q427" s="14">
        <f>$C$9</f>
        <v/>
      </c>
      <c r="R427" s="14">
        <f>_xlfn.LOGNORM.INV($AF427,LN($C$10)-0.5*LN(1+($D$10/$C$10)^2),SQRT(LN(1+($D$10/$C$10)^2)))</f>
        <v/>
      </c>
      <c r="S427" s="14">
        <f>SUM(M427:R427)</f>
        <v/>
      </c>
      <c r="AA427">
        <f>RAND()</f>
        <v/>
      </c>
      <c r="AB427">
        <f>RAND()</f>
        <v/>
      </c>
      <c r="AC427">
        <f>RAND()</f>
        <v/>
      </c>
      <c r="AD427">
        <f>RAND()</f>
        <v/>
      </c>
      <c r="AE427">
        <f>RAND()</f>
        <v/>
      </c>
      <c r="AF427">
        <f>RAND()</f>
        <v/>
      </c>
    </row>
    <row r="428">
      <c r="M428" s="14">
        <f>_xlfn.BETA.INV($AA428,1+4*($D$5-$C$5)/($E$5-$C$5),1+4*($E$5-$D$5)/($E$5-$C$5),$C$5,$E$5)</f>
        <v/>
      </c>
      <c r="N428" s="14">
        <f>IF($AB428&lt;($D$6-$C$6)/($E$6-$C$6),$C$6+SQRT($AB428*($E$6-$C$6)*($D$6-$C$6)),$E$6-SQRT((1-$AB428)*($E$6-$C$6)*($E$6-$D$6)))</f>
        <v/>
      </c>
      <c r="O428" s="14">
        <f>_xlfn.NORM.INV($AC428,$C$7,$D$7)</f>
        <v/>
      </c>
      <c r="P428" s="14">
        <f>$C$8+($D$8-$C$8)*$AD428</f>
        <v/>
      </c>
      <c r="Q428" s="14">
        <f>$C$9</f>
        <v/>
      </c>
      <c r="R428" s="14">
        <f>_xlfn.LOGNORM.INV($AF428,LN($C$10)-0.5*LN(1+($D$10/$C$10)^2),SQRT(LN(1+($D$10/$C$10)^2)))</f>
        <v/>
      </c>
      <c r="S428" s="14">
        <f>SUM(M428:R428)</f>
        <v/>
      </c>
      <c r="AA428">
        <f>RAND()</f>
        <v/>
      </c>
      <c r="AB428">
        <f>RAND()</f>
        <v/>
      </c>
      <c r="AC428">
        <f>RAND()</f>
        <v/>
      </c>
      <c r="AD428">
        <f>RAND()</f>
        <v/>
      </c>
      <c r="AE428">
        <f>RAND()</f>
        <v/>
      </c>
      <c r="AF428">
        <f>RAND()</f>
        <v/>
      </c>
    </row>
    <row r="429">
      <c r="M429" s="14">
        <f>_xlfn.BETA.INV($AA429,1+4*($D$5-$C$5)/($E$5-$C$5),1+4*($E$5-$D$5)/($E$5-$C$5),$C$5,$E$5)</f>
        <v/>
      </c>
      <c r="N429" s="14">
        <f>IF($AB429&lt;($D$6-$C$6)/($E$6-$C$6),$C$6+SQRT($AB429*($E$6-$C$6)*($D$6-$C$6)),$E$6-SQRT((1-$AB429)*($E$6-$C$6)*($E$6-$D$6)))</f>
        <v/>
      </c>
      <c r="O429" s="14">
        <f>_xlfn.NORM.INV($AC429,$C$7,$D$7)</f>
        <v/>
      </c>
      <c r="P429" s="14">
        <f>$C$8+($D$8-$C$8)*$AD429</f>
        <v/>
      </c>
      <c r="Q429" s="14">
        <f>$C$9</f>
        <v/>
      </c>
      <c r="R429" s="14">
        <f>_xlfn.LOGNORM.INV($AF429,LN($C$10)-0.5*LN(1+($D$10/$C$10)^2),SQRT(LN(1+($D$10/$C$10)^2)))</f>
        <v/>
      </c>
      <c r="S429" s="14">
        <f>SUM(M429:R429)</f>
        <v/>
      </c>
      <c r="AA429">
        <f>RAND()</f>
        <v/>
      </c>
      <c r="AB429">
        <f>RAND()</f>
        <v/>
      </c>
      <c r="AC429">
        <f>RAND()</f>
        <v/>
      </c>
      <c r="AD429">
        <f>RAND()</f>
        <v/>
      </c>
      <c r="AE429">
        <f>RAND()</f>
        <v/>
      </c>
      <c r="AF429">
        <f>RAND()</f>
        <v/>
      </c>
    </row>
    <row r="430">
      <c r="M430" s="14">
        <f>_xlfn.BETA.INV($AA430,1+4*($D$5-$C$5)/($E$5-$C$5),1+4*($E$5-$D$5)/($E$5-$C$5),$C$5,$E$5)</f>
        <v/>
      </c>
      <c r="N430" s="14">
        <f>IF($AB430&lt;($D$6-$C$6)/($E$6-$C$6),$C$6+SQRT($AB430*($E$6-$C$6)*($D$6-$C$6)),$E$6-SQRT((1-$AB430)*($E$6-$C$6)*($E$6-$D$6)))</f>
        <v/>
      </c>
      <c r="O430" s="14">
        <f>_xlfn.NORM.INV($AC430,$C$7,$D$7)</f>
        <v/>
      </c>
      <c r="P430" s="14">
        <f>$C$8+($D$8-$C$8)*$AD430</f>
        <v/>
      </c>
      <c r="Q430" s="14">
        <f>$C$9</f>
        <v/>
      </c>
      <c r="R430" s="14">
        <f>_xlfn.LOGNORM.INV($AF430,LN($C$10)-0.5*LN(1+($D$10/$C$10)^2),SQRT(LN(1+($D$10/$C$10)^2)))</f>
        <v/>
      </c>
      <c r="S430" s="14">
        <f>SUM(M430:R430)</f>
        <v/>
      </c>
      <c r="AA430">
        <f>RAND()</f>
        <v/>
      </c>
      <c r="AB430">
        <f>RAND()</f>
        <v/>
      </c>
      <c r="AC430">
        <f>RAND()</f>
        <v/>
      </c>
      <c r="AD430">
        <f>RAND()</f>
        <v/>
      </c>
      <c r="AE430">
        <f>RAND()</f>
        <v/>
      </c>
      <c r="AF430">
        <f>RAND()</f>
        <v/>
      </c>
    </row>
    <row r="431">
      <c r="M431" s="14">
        <f>_xlfn.BETA.INV($AA431,1+4*($D$5-$C$5)/($E$5-$C$5),1+4*($E$5-$D$5)/($E$5-$C$5),$C$5,$E$5)</f>
        <v/>
      </c>
      <c r="N431" s="14">
        <f>IF($AB431&lt;($D$6-$C$6)/($E$6-$C$6),$C$6+SQRT($AB431*($E$6-$C$6)*($D$6-$C$6)),$E$6-SQRT((1-$AB431)*($E$6-$C$6)*($E$6-$D$6)))</f>
        <v/>
      </c>
      <c r="O431" s="14">
        <f>_xlfn.NORM.INV($AC431,$C$7,$D$7)</f>
        <v/>
      </c>
      <c r="P431" s="14">
        <f>$C$8+($D$8-$C$8)*$AD431</f>
        <v/>
      </c>
      <c r="Q431" s="14">
        <f>$C$9</f>
        <v/>
      </c>
      <c r="R431" s="14">
        <f>_xlfn.LOGNORM.INV($AF431,LN($C$10)-0.5*LN(1+($D$10/$C$10)^2),SQRT(LN(1+($D$10/$C$10)^2)))</f>
        <v/>
      </c>
      <c r="S431" s="14">
        <f>SUM(M431:R431)</f>
        <v/>
      </c>
      <c r="AA431">
        <f>RAND()</f>
        <v/>
      </c>
      <c r="AB431">
        <f>RAND()</f>
        <v/>
      </c>
      <c r="AC431">
        <f>RAND()</f>
        <v/>
      </c>
      <c r="AD431">
        <f>RAND()</f>
        <v/>
      </c>
      <c r="AE431">
        <f>RAND()</f>
        <v/>
      </c>
      <c r="AF431">
        <f>RAND()</f>
        <v/>
      </c>
    </row>
    <row r="432">
      <c r="M432" s="14">
        <f>_xlfn.BETA.INV($AA432,1+4*($D$5-$C$5)/($E$5-$C$5),1+4*($E$5-$D$5)/($E$5-$C$5),$C$5,$E$5)</f>
        <v/>
      </c>
      <c r="N432" s="14">
        <f>IF($AB432&lt;($D$6-$C$6)/($E$6-$C$6),$C$6+SQRT($AB432*($E$6-$C$6)*($D$6-$C$6)),$E$6-SQRT((1-$AB432)*($E$6-$C$6)*($E$6-$D$6)))</f>
        <v/>
      </c>
      <c r="O432" s="14">
        <f>_xlfn.NORM.INV($AC432,$C$7,$D$7)</f>
        <v/>
      </c>
      <c r="P432" s="14">
        <f>$C$8+($D$8-$C$8)*$AD432</f>
        <v/>
      </c>
      <c r="Q432" s="14">
        <f>$C$9</f>
        <v/>
      </c>
      <c r="R432" s="14">
        <f>_xlfn.LOGNORM.INV($AF432,LN($C$10)-0.5*LN(1+($D$10/$C$10)^2),SQRT(LN(1+($D$10/$C$10)^2)))</f>
        <v/>
      </c>
      <c r="S432" s="14">
        <f>SUM(M432:R432)</f>
        <v/>
      </c>
      <c r="AA432">
        <f>RAND()</f>
        <v/>
      </c>
      <c r="AB432">
        <f>RAND()</f>
        <v/>
      </c>
      <c r="AC432">
        <f>RAND()</f>
        <v/>
      </c>
      <c r="AD432">
        <f>RAND()</f>
        <v/>
      </c>
      <c r="AE432">
        <f>RAND()</f>
        <v/>
      </c>
      <c r="AF432">
        <f>RAND()</f>
        <v/>
      </c>
    </row>
    <row r="433">
      <c r="M433" s="14">
        <f>_xlfn.BETA.INV($AA433,1+4*($D$5-$C$5)/($E$5-$C$5),1+4*($E$5-$D$5)/($E$5-$C$5),$C$5,$E$5)</f>
        <v/>
      </c>
      <c r="N433" s="14">
        <f>IF($AB433&lt;($D$6-$C$6)/($E$6-$C$6),$C$6+SQRT($AB433*($E$6-$C$6)*($D$6-$C$6)),$E$6-SQRT((1-$AB433)*($E$6-$C$6)*($E$6-$D$6)))</f>
        <v/>
      </c>
      <c r="O433" s="14">
        <f>_xlfn.NORM.INV($AC433,$C$7,$D$7)</f>
        <v/>
      </c>
      <c r="P433" s="14">
        <f>$C$8+($D$8-$C$8)*$AD433</f>
        <v/>
      </c>
      <c r="Q433" s="14">
        <f>$C$9</f>
        <v/>
      </c>
      <c r="R433" s="14">
        <f>_xlfn.LOGNORM.INV($AF433,LN($C$10)-0.5*LN(1+($D$10/$C$10)^2),SQRT(LN(1+($D$10/$C$10)^2)))</f>
        <v/>
      </c>
      <c r="S433" s="14">
        <f>SUM(M433:R433)</f>
        <v/>
      </c>
      <c r="AA433">
        <f>RAND()</f>
        <v/>
      </c>
      <c r="AB433">
        <f>RAND()</f>
        <v/>
      </c>
      <c r="AC433">
        <f>RAND()</f>
        <v/>
      </c>
      <c r="AD433">
        <f>RAND()</f>
        <v/>
      </c>
      <c r="AE433">
        <f>RAND()</f>
        <v/>
      </c>
      <c r="AF433">
        <f>RAND()</f>
        <v/>
      </c>
    </row>
    <row r="434">
      <c r="M434" s="14">
        <f>_xlfn.BETA.INV($AA434,1+4*($D$5-$C$5)/($E$5-$C$5),1+4*($E$5-$D$5)/($E$5-$C$5),$C$5,$E$5)</f>
        <v/>
      </c>
      <c r="N434" s="14">
        <f>IF($AB434&lt;($D$6-$C$6)/($E$6-$C$6),$C$6+SQRT($AB434*($E$6-$C$6)*($D$6-$C$6)),$E$6-SQRT((1-$AB434)*($E$6-$C$6)*($E$6-$D$6)))</f>
        <v/>
      </c>
      <c r="O434" s="14">
        <f>_xlfn.NORM.INV($AC434,$C$7,$D$7)</f>
        <v/>
      </c>
      <c r="P434" s="14">
        <f>$C$8+($D$8-$C$8)*$AD434</f>
        <v/>
      </c>
      <c r="Q434" s="14">
        <f>$C$9</f>
        <v/>
      </c>
      <c r="R434" s="14">
        <f>_xlfn.LOGNORM.INV($AF434,LN($C$10)-0.5*LN(1+($D$10/$C$10)^2),SQRT(LN(1+($D$10/$C$10)^2)))</f>
        <v/>
      </c>
      <c r="S434" s="14">
        <f>SUM(M434:R434)</f>
        <v/>
      </c>
      <c r="AA434">
        <f>RAND()</f>
        <v/>
      </c>
      <c r="AB434">
        <f>RAND()</f>
        <v/>
      </c>
      <c r="AC434">
        <f>RAND()</f>
        <v/>
      </c>
      <c r="AD434">
        <f>RAND()</f>
        <v/>
      </c>
      <c r="AE434">
        <f>RAND()</f>
        <v/>
      </c>
      <c r="AF434">
        <f>RAND()</f>
        <v/>
      </c>
    </row>
    <row r="435">
      <c r="M435" s="14">
        <f>_xlfn.BETA.INV($AA435,1+4*($D$5-$C$5)/($E$5-$C$5),1+4*($E$5-$D$5)/($E$5-$C$5),$C$5,$E$5)</f>
        <v/>
      </c>
      <c r="N435" s="14">
        <f>IF($AB435&lt;($D$6-$C$6)/($E$6-$C$6),$C$6+SQRT($AB435*($E$6-$C$6)*($D$6-$C$6)),$E$6-SQRT((1-$AB435)*($E$6-$C$6)*($E$6-$D$6)))</f>
        <v/>
      </c>
      <c r="O435" s="14">
        <f>_xlfn.NORM.INV($AC435,$C$7,$D$7)</f>
        <v/>
      </c>
      <c r="P435" s="14">
        <f>$C$8+($D$8-$C$8)*$AD435</f>
        <v/>
      </c>
      <c r="Q435" s="14">
        <f>$C$9</f>
        <v/>
      </c>
      <c r="R435" s="14">
        <f>_xlfn.LOGNORM.INV($AF435,LN($C$10)-0.5*LN(1+($D$10/$C$10)^2),SQRT(LN(1+($D$10/$C$10)^2)))</f>
        <v/>
      </c>
      <c r="S435" s="14">
        <f>SUM(M435:R435)</f>
        <v/>
      </c>
      <c r="AA435">
        <f>RAND()</f>
        <v/>
      </c>
      <c r="AB435">
        <f>RAND()</f>
        <v/>
      </c>
      <c r="AC435">
        <f>RAND()</f>
        <v/>
      </c>
      <c r="AD435">
        <f>RAND()</f>
        <v/>
      </c>
      <c r="AE435">
        <f>RAND()</f>
        <v/>
      </c>
      <c r="AF435">
        <f>RAND()</f>
        <v/>
      </c>
    </row>
    <row r="436">
      <c r="M436" s="14">
        <f>_xlfn.BETA.INV($AA436,1+4*($D$5-$C$5)/($E$5-$C$5),1+4*($E$5-$D$5)/($E$5-$C$5),$C$5,$E$5)</f>
        <v/>
      </c>
      <c r="N436" s="14">
        <f>IF($AB436&lt;($D$6-$C$6)/($E$6-$C$6),$C$6+SQRT($AB436*($E$6-$C$6)*($D$6-$C$6)),$E$6-SQRT((1-$AB436)*($E$6-$C$6)*($E$6-$D$6)))</f>
        <v/>
      </c>
      <c r="O436" s="14">
        <f>_xlfn.NORM.INV($AC436,$C$7,$D$7)</f>
        <v/>
      </c>
      <c r="P436" s="14">
        <f>$C$8+($D$8-$C$8)*$AD436</f>
        <v/>
      </c>
      <c r="Q436" s="14">
        <f>$C$9</f>
        <v/>
      </c>
      <c r="R436" s="14">
        <f>_xlfn.LOGNORM.INV($AF436,LN($C$10)-0.5*LN(1+($D$10/$C$10)^2),SQRT(LN(1+($D$10/$C$10)^2)))</f>
        <v/>
      </c>
      <c r="S436" s="14">
        <f>SUM(M436:R436)</f>
        <v/>
      </c>
      <c r="AA436">
        <f>RAND()</f>
        <v/>
      </c>
      <c r="AB436">
        <f>RAND()</f>
        <v/>
      </c>
      <c r="AC436">
        <f>RAND()</f>
        <v/>
      </c>
      <c r="AD436">
        <f>RAND()</f>
        <v/>
      </c>
      <c r="AE436">
        <f>RAND()</f>
        <v/>
      </c>
      <c r="AF436">
        <f>RAND()</f>
        <v/>
      </c>
    </row>
    <row r="437">
      <c r="M437" s="14">
        <f>_xlfn.BETA.INV($AA437,1+4*($D$5-$C$5)/($E$5-$C$5),1+4*($E$5-$D$5)/($E$5-$C$5),$C$5,$E$5)</f>
        <v/>
      </c>
      <c r="N437" s="14">
        <f>IF($AB437&lt;($D$6-$C$6)/($E$6-$C$6),$C$6+SQRT($AB437*($E$6-$C$6)*($D$6-$C$6)),$E$6-SQRT((1-$AB437)*($E$6-$C$6)*($E$6-$D$6)))</f>
        <v/>
      </c>
      <c r="O437" s="14">
        <f>_xlfn.NORM.INV($AC437,$C$7,$D$7)</f>
        <v/>
      </c>
      <c r="P437" s="14">
        <f>$C$8+($D$8-$C$8)*$AD437</f>
        <v/>
      </c>
      <c r="Q437" s="14">
        <f>$C$9</f>
        <v/>
      </c>
      <c r="R437" s="14">
        <f>_xlfn.LOGNORM.INV($AF437,LN($C$10)-0.5*LN(1+($D$10/$C$10)^2),SQRT(LN(1+($D$10/$C$10)^2)))</f>
        <v/>
      </c>
      <c r="S437" s="14">
        <f>SUM(M437:R437)</f>
        <v/>
      </c>
      <c r="AA437">
        <f>RAND()</f>
        <v/>
      </c>
      <c r="AB437">
        <f>RAND()</f>
        <v/>
      </c>
      <c r="AC437">
        <f>RAND()</f>
        <v/>
      </c>
      <c r="AD437">
        <f>RAND()</f>
        <v/>
      </c>
      <c r="AE437">
        <f>RAND()</f>
        <v/>
      </c>
      <c r="AF437">
        <f>RAND()</f>
        <v/>
      </c>
    </row>
    <row r="438">
      <c r="M438" s="14">
        <f>_xlfn.BETA.INV($AA438,1+4*($D$5-$C$5)/($E$5-$C$5),1+4*($E$5-$D$5)/($E$5-$C$5),$C$5,$E$5)</f>
        <v/>
      </c>
      <c r="N438" s="14">
        <f>IF($AB438&lt;($D$6-$C$6)/($E$6-$C$6),$C$6+SQRT($AB438*($E$6-$C$6)*($D$6-$C$6)),$E$6-SQRT((1-$AB438)*($E$6-$C$6)*($E$6-$D$6)))</f>
        <v/>
      </c>
      <c r="O438" s="14">
        <f>_xlfn.NORM.INV($AC438,$C$7,$D$7)</f>
        <v/>
      </c>
      <c r="P438" s="14">
        <f>$C$8+($D$8-$C$8)*$AD438</f>
        <v/>
      </c>
      <c r="Q438" s="14">
        <f>$C$9</f>
        <v/>
      </c>
      <c r="R438" s="14">
        <f>_xlfn.LOGNORM.INV($AF438,LN($C$10)-0.5*LN(1+($D$10/$C$10)^2),SQRT(LN(1+($D$10/$C$10)^2)))</f>
        <v/>
      </c>
      <c r="S438" s="14">
        <f>SUM(M438:R438)</f>
        <v/>
      </c>
      <c r="AA438">
        <f>RAND()</f>
        <v/>
      </c>
      <c r="AB438">
        <f>RAND()</f>
        <v/>
      </c>
      <c r="AC438">
        <f>RAND()</f>
        <v/>
      </c>
      <c r="AD438">
        <f>RAND()</f>
        <v/>
      </c>
      <c r="AE438">
        <f>RAND()</f>
        <v/>
      </c>
      <c r="AF438">
        <f>RAND()</f>
        <v/>
      </c>
    </row>
    <row r="439">
      <c r="M439" s="14">
        <f>_xlfn.BETA.INV($AA439,1+4*($D$5-$C$5)/($E$5-$C$5),1+4*($E$5-$D$5)/($E$5-$C$5),$C$5,$E$5)</f>
        <v/>
      </c>
      <c r="N439" s="14">
        <f>IF($AB439&lt;($D$6-$C$6)/($E$6-$C$6),$C$6+SQRT($AB439*($E$6-$C$6)*($D$6-$C$6)),$E$6-SQRT((1-$AB439)*($E$6-$C$6)*($E$6-$D$6)))</f>
        <v/>
      </c>
      <c r="O439" s="14">
        <f>_xlfn.NORM.INV($AC439,$C$7,$D$7)</f>
        <v/>
      </c>
      <c r="P439" s="14">
        <f>$C$8+($D$8-$C$8)*$AD439</f>
        <v/>
      </c>
      <c r="Q439" s="14">
        <f>$C$9</f>
        <v/>
      </c>
      <c r="R439" s="14">
        <f>_xlfn.LOGNORM.INV($AF439,LN($C$10)-0.5*LN(1+($D$10/$C$10)^2),SQRT(LN(1+($D$10/$C$10)^2)))</f>
        <v/>
      </c>
      <c r="S439" s="14">
        <f>SUM(M439:R439)</f>
        <v/>
      </c>
      <c r="AA439">
        <f>RAND()</f>
        <v/>
      </c>
      <c r="AB439">
        <f>RAND()</f>
        <v/>
      </c>
      <c r="AC439">
        <f>RAND()</f>
        <v/>
      </c>
      <c r="AD439">
        <f>RAND()</f>
        <v/>
      </c>
      <c r="AE439">
        <f>RAND()</f>
        <v/>
      </c>
      <c r="AF439">
        <f>RAND()</f>
        <v/>
      </c>
    </row>
    <row r="440">
      <c r="M440" s="14">
        <f>_xlfn.BETA.INV($AA440,1+4*($D$5-$C$5)/($E$5-$C$5),1+4*($E$5-$D$5)/($E$5-$C$5),$C$5,$E$5)</f>
        <v/>
      </c>
      <c r="N440" s="14">
        <f>IF($AB440&lt;($D$6-$C$6)/($E$6-$C$6),$C$6+SQRT($AB440*($E$6-$C$6)*($D$6-$C$6)),$E$6-SQRT((1-$AB440)*($E$6-$C$6)*($E$6-$D$6)))</f>
        <v/>
      </c>
      <c r="O440" s="14">
        <f>_xlfn.NORM.INV($AC440,$C$7,$D$7)</f>
        <v/>
      </c>
      <c r="P440" s="14">
        <f>$C$8+($D$8-$C$8)*$AD440</f>
        <v/>
      </c>
      <c r="Q440" s="14">
        <f>$C$9</f>
        <v/>
      </c>
      <c r="R440" s="14">
        <f>_xlfn.LOGNORM.INV($AF440,LN($C$10)-0.5*LN(1+($D$10/$C$10)^2),SQRT(LN(1+($D$10/$C$10)^2)))</f>
        <v/>
      </c>
      <c r="S440" s="14">
        <f>SUM(M440:R440)</f>
        <v/>
      </c>
      <c r="AA440">
        <f>RAND()</f>
        <v/>
      </c>
      <c r="AB440">
        <f>RAND()</f>
        <v/>
      </c>
      <c r="AC440">
        <f>RAND()</f>
        <v/>
      </c>
      <c r="AD440">
        <f>RAND()</f>
        <v/>
      </c>
      <c r="AE440">
        <f>RAND()</f>
        <v/>
      </c>
      <c r="AF440">
        <f>RAND()</f>
        <v/>
      </c>
    </row>
    <row r="441">
      <c r="M441" s="14">
        <f>_xlfn.BETA.INV($AA441,1+4*($D$5-$C$5)/($E$5-$C$5),1+4*($E$5-$D$5)/($E$5-$C$5),$C$5,$E$5)</f>
        <v/>
      </c>
      <c r="N441" s="14">
        <f>IF($AB441&lt;($D$6-$C$6)/($E$6-$C$6),$C$6+SQRT($AB441*($E$6-$C$6)*($D$6-$C$6)),$E$6-SQRT((1-$AB441)*($E$6-$C$6)*($E$6-$D$6)))</f>
        <v/>
      </c>
      <c r="O441" s="14">
        <f>_xlfn.NORM.INV($AC441,$C$7,$D$7)</f>
        <v/>
      </c>
      <c r="P441" s="14">
        <f>$C$8+($D$8-$C$8)*$AD441</f>
        <v/>
      </c>
      <c r="Q441" s="14">
        <f>$C$9</f>
        <v/>
      </c>
      <c r="R441" s="14">
        <f>_xlfn.LOGNORM.INV($AF441,LN($C$10)-0.5*LN(1+($D$10/$C$10)^2),SQRT(LN(1+($D$10/$C$10)^2)))</f>
        <v/>
      </c>
      <c r="S441" s="14">
        <f>SUM(M441:R441)</f>
        <v/>
      </c>
      <c r="AA441">
        <f>RAND()</f>
        <v/>
      </c>
      <c r="AB441">
        <f>RAND()</f>
        <v/>
      </c>
      <c r="AC441">
        <f>RAND()</f>
        <v/>
      </c>
      <c r="AD441">
        <f>RAND()</f>
        <v/>
      </c>
      <c r="AE441">
        <f>RAND()</f>
        <v/>
      </c>
      <c r="AF441">
        <f>RAND()</f>
        <v/>
      </c>
    </row>
    <row r="442">
      <c r="M442" s="14">
        <f>_xlfn.BETA.INV($AA442,1+4*($D$5-$C$5)/($E$5-$C$5),1+4*($E$5-$D$5)/($E$5-$C$5),$C$5,$E$5)</f>
        <v/>
      </c>
      <c r="N442" s="14">
        <f>IF($AB442&lt;($D$6-$C$6)/($E$6-$C$6),$C$6+SQRT($AB442*($E$6-$C$6)*($D$6-$C$6)),$E$6-SQRT((1-$AB442)*($E$6-$C$6)*($E$6-$D$6)))</f>
        <v/>
      </c>
      <c r="O442" s="14">
        <f>_xlfn.NORM.INV($AC442,$C$7,$D$7)</f>
        <v/>
      </c>
      <c r="P442" s="14">
        <f>$C$8+($D$8-$C$8)*$AD442</f>
        <v/>
      </c>
      <c r="Q442" s="14">
        <f>$C$9</f>
        <v/>
      </c>
      <c r="R442" s="14">
        <f>_xlfn.LOGNORM.INV($AF442,LN($C$10)-0.5*LN(1+($D$10/$C$10)^2),SQRT(LN(1+($D$10/$C$10)^2)))</f>
        <v/>
      </c>
      <c r="S442" s="14">
        <f>SUM(M442:R442)</f>
        <v/>
      </c>
      <c r="AA442">
        <f>RAND()</f>
        <v/>
      </c>
      <c r="AB442">
        <f>RAND()</f>
        <v/>
      </c>
      <c r="AC442">
        <f>RAND()</f>
        <v/>
      </c>
      <c r="AD442">
        <f>RAND()</f>
        <v/>
      </c>
      <c r="AE442">
        <f>RAND()</f>
        <v/>
      </c>
      <c r="AF442">
        <f>RAND()</f>
        <v/>
      </c>
    </row>
    <row r="443">
      <c r="M443" s="14">
        <f>_xlfn.BETA.INV($AA443,1+4*($D$5-$C$5)/($E$5-$C$5),1+4*($E$5-$D$5)/($E$5-$C$5),$C$5,$E$5)</f>
        <v/>
      </c>
      <c r="N443" s="14">
        <f>IF($AB443&lt;($D$6-$C$6)/($E$6-$C$6),$C$6+SQRT($AB443*($E$6-$C$6)*($D$6-$C$6)),$E$6-SQRT((1-$AB443)*($E$6-$C$6)*($E$6-$D$6)))</f>
        <v/>
      </c>
      <c r="O443" s="14">
        <f>_xlfn.NORM.INV($AC443,$C$7,$D$7)</f>
        <v/>
      </c>
      <c r="P443" s="14">
        <f>$C$8+($D$8-$C$8)*$AD443</f>
        <v/>
      </c>
      <c r="Q443" s="14">
        <f>$C$9</f>
        <v/>
      </c>
      <c r="R443" s="14">
        <f>_xlfn.LOGNORM.INV($AF443,LN($C$10)-0.5*LN(1+($D$10/$C$10)^2),SQRT(LN(1+($D$10/$C$10)^2)))</f>
        <v/>
      </c>
      <c r="S443" s="14">
        <f>SUM(M443:R443)</f>
        <v/>
      </c>
      <c r="AA443">
        <f>RAND()</f>
        <v/>
      </c>
      <c r="AB443">
        <f>RAND()</f>
        <v/>
      </c>
      <c r="AC443">
        <f>RAND()</f>
        <v/>
      </c>
      <c r="AD443">
        <f>RAND()</f>
        <v/>
      </c>
      <c r="AE443">
        <f>RAND()</f>
        <v/>
      </c>
      <c r="AF443">
        <f>RAND()</f>
        <v/>
      </c>
    </row>
    <row r="444">
      <c r="M444" s="14">
        <f>_xlfn.BETA.INV($AA444,1+4*($D$5-$C$5)/($E$5-$C$5),1+4*($E$5-$D$5)/($E$5-$C$5),$C$5,$E$5)</f>
        <v/>
      </c>
      <c r="N444" s="14">
        <f>IF($AB444&lt;($D$6-$C$6)/($E$6-$C$6),$C$6+SQRT($AB444*($E$6-$C$6)*($D$6-$C$6)),$E$6-SQRT((1-$AB444)*($E$6-$C$6)*($E$6-$D$6)))</f>
        <v/>
      </c>
      <c r="O444" s="14">
        <f>_xlfn.NORM.INV($AC444,$C$7,$D$7)</f>
        <v/>
      </c>
      <c r="P444" s="14">
        <f>$C$8+($D$8-$C$8)*$AD444</f>
        <v/>
      </c>
      <c r="Q444" s="14">
        <f>$C$9</f>
        <v/>
      </c>
      <c r="R444" s="14">
        <f>_xlfn.LOGNORM.INV($AF444,LN($C$10)-0.5*LN(1+($D$10/$C$10)^2),SQRT(LN(1+($D$10/$C$10)^2)))</f>
        <v/>
      </c>
      <c r="S444" s="14">
        <f>SUM(M444:R444)</f>
        <v/>
      </c>
      <c r="AA444">
        <f>RAND()</f>
        <v/>
      </c>
      <c r="AB444">
        <f>RAND()</f>
        <v/>
      </c>
      <c r="AC444">
        <f>RAND()</f>
        <v/>
      </c>
      <c r="AD444">
        <f>RAND()</f>
        <v/>
      </c>
      <c r="AE444">
        <f>RAND()</f>
        <v/>
      </c>
      <c r="AF444">
        <f>RAND()</f>
        <v/>
      </c>
    </row>
    <row r="445">
      <c r="M445" s="14">
        <f>_xlfn.BETA.INV($AA445,1+4*($D$5-$C$5)/($E$5-$C$5),1+4*($E$5-$D$5)/($E$5-$C$5),$C$5,$E$5)</f>
        <v/>
      </c>
      <c r="N445" s="14">
        <f>IF($AB445&lt;($D$6-$C$6)/($E$6-$C$6),$C$6+SQRT($AB445*($E$6-$C$6)*($D$6-$C$6)),$E$6-SQRT((1-$AB445)*($E$6-$C$6)*($E$6-$D$6)))</f>
        <v/>
      </c>
      <c r="O445" s="14">
        <f>_xlfn.NORM.INV($AC445,$C$7,$D$7)</f>
        <v/>
      </c>
      <c r="P445" s="14">
        <f>$C$8+($D$8-$C$8)*$AD445</f>
        <v/>
      </c>
      <c r="Q445" s="14">
        <f>$C$9</f>
        <v/>
      </c>
      <c r="R445" s="14">
        <f>_xlfn.LOGNORM.INV($AF445,LN($C$10)-0.5*LN(1+($D$10/$C$10)^2),SQRT(LN(1+($D$10/$C$10)^2)))</f>
        <v/>
      </c>
      <c r="S445" s="14">
        <f>SUM(M445:R445)</f>
        <v/>
      </c>
      <c r="AA445">
        <f>RAND()</f>
        <v/>
      </c>
      <c r="AB445">
        <f>RAND()</f>
        <v/>
      </c>
      <c r="AC445">
        <f>RAND()</f>
        <v/>
      </c>
      <c r="AD445">
        <f>RAND()</f>
        <v/>
      </c>
      <c r="AE445">
        <f>RAND()</f>
        <v/>
      </c>
      <c r="AF445">
        <f>RAND()</f>
        <v/>
      </c>
    </row>
    <row r="446">
      <c r="M446" s="14">
        <f>_xlfn.BETA.INV($AA446,1+4*($D$5-$C$5)/($E$5-$C$5),1+4*($E$5-$D$5)/($E$5-$C$5),$C$5,$E$5)</f>
        <v/>
      </c>
      <c r="N446" s="14">
        <f>IF($AB446&lt;($D$6-$C$6)/($E$6-$C$6),$C$6+SQRT($AB446*($E$6-$C$6)*($D$6-$C$6)),$E$6-SQRT((1-$AB446)*($E$6-$C$6)*($E$6-$D$6)))</f>
        <v/>
      </c>
      <c r="O446" s="14">
        <f>_xlfn.NORM.INV($AC446,$C$7,$D$7)</f>
        <v/>
      </c>
      <c r="P446" s="14">
        <f>$C$8+($D$8-$C$8)*$AD446</f>
        <v/>
      </c>
      <c r="Q446" s="14">
        <f>$C$9</f>
        <v/>
      </c>
      <c r="R446" s="14">
        <f>_xlfn.LOGNORM.INV($AF446,LN($C$10)-0.5*LN(1+($D$10/$C$10)^2),SQRT(LN(1+($D$10/$C$10)^2)))</f>
        <v/>
      </c>
      <c r="S446" s="14">
        <f>SUM(M446:R446)</f>
        <v/>
      </c>
      <c r="AA446">
        <f>RAND()</f>
        <v/>
      </c>
      <c r="AB446">
        <f>RAND()</f>
        <v/>
      </c>
      <c r="AC446">
        <f>RAND()</f>
        <v/>
      </c>
      <c r="AD446">
        <f>RAND()</f>
        <v/>
      </c>
      <c r="AE446">
        <f>RAND()</f>
        <v/>
      </c>
      <c r="AF446">
        <f>RAND()</f>
        <v/>
      </c>
    </row>
    <row r="447">
      <c r="M447" s="14">
        <f>_xlfn.BETA.INV($AA447,1+4*($D$5-$C$5)/($E$5-$C$5),1+4*($E$5-$D$5)/($E$5-$C$5),$C$5,$E$5)</f>
        <v/>
      </c>
      <c r="N447" s="14">
        <f>IF($AB447&lt;($D$6-$C$6)/($E$6-$C$6),$C$6+SQRT($AB447*($E$6-$C$6)*($D$6-$C$6)),$E$6-SQRT((1-$AB447)*($E$6-$C$6)*($E$6-$D$6)))</f>
        <v/>
      </c>
      <c r="O447" s="14">
        <f>_xlfn.NORM.INV($AC447,$C$7,$D$7)</f>
        <v/>
      </c>
      <c r="P447" s="14">
        <f>$C$8+($D$8-$C$8)*$AD447</f>
        <v/>
      </c>
      <c r="Q447" s="14">
        <f>$C$9</f>
        <v/>
      </c>
      <c r="R447" s="14">
        <f>_xlfn.LOGNORM.INV($AF447,LN($C$10)-0.5*LN(1+($D$10/$C$10)^2),SQRT(LN(1+($D$10/$C$10)^2)))</f>
        <v/>
      </c>
      <c r="S447" s="14">
        <f>SUM(M447:R447)</f>
        <v/>
      </c>
      <c r="AA447">
        <f>RAND()</f>
        <v/>
      </c>
      <c r="AB447">
        <f>RAND()</f>
        <v/>
      </c>
      <c r="AC447">
        <f>RAND()</f>
        <v/>
      </c>
      <c r="AD447">
        <f>RAND()</f>
        <v/>
      </c>
      <c r="AE447">
        <f>RAND()</f>
        <v/>
      </c>
      <c r="AF447">
        <f>RAND()</f>
        <v/>
      </c>
    </row>
    <row r="448">
      <c r="M448" s="14">
        <f>_xlfn.BETA.INV($AA448,1+4*($D$5-$C$5)/($E$5-$C$5),1+4*($E$5-$D$5)/($E$5-$C$5),$C$5,$E$5)</f>
        <v/>
      </c>
      <c r="N448" s="14">
        <f>IF($AB448&lt;($D$6-$C$6)/($E$6-$C$6),$C$6+SQRT($AB448*($E$6-$C$6)*($D$6-$C$6)),$E$6-SQRT((1-$AB448)*($E$6-$C$6)*($E$6-$D$6)))</f>
        <v/>
      </c>
      <c r="O448" s="14">
        <f>_xlfn.NORM.INV($AC448,$C$7,$D$7)</f>
        <v/>
      </c>
      <c r="P448" s="14">
        <f>$C$8+($D$8-$C$8)*$AD448</f>
        <v/>
      </c>
      <c r="Q448" s="14">
        <f>$C$9</f>
        <v/>
      </c>
      <c r="R448" s="14">
        <f>_xlfn.LOGNORM.INV($AF448,LN($C$10)-0.5*LN(1+($D$10/$C$10)^2),SQRT(LN(1+($D$10/$C$10)^2)))</f>
        <v/>
      </c>
      <c r="S448" s="14">
        <f>SUM(M448:R448)</f>
        <v/>
      </c>
      <c r="AA448">
        <f>RAND()</f>
        <v/>
      </c>
      <c r="AB448">
        <f>RAND()</f>
        <v/>
      </c>
      <c r="AC448">
        <f>RAND()</f>
        <v/>
      </c>
      <c r="AD448">
        <f>RAND()</f>
        <v/>
      </c>
      <c r="AE448">
        <f>RAND()</f>
        <v/>
      </c>
      <c r="AF448">
        <f>RAND()</f>
        <v/>
      </c>
    </row>
    <row r="449">
      <c r="M449" s="14">
        <f>_xlfn.BETA.INV($AA449,1+4*($D$5-$C$5)/($E$5-$C$5),1+4*($E$5-$D$5)/($E$5-$C$5),$C$5,$E$5)</f>
        <v/>
      </c>
      <c r="N449" s="14">
        <f>IF($AB449&lt;($D$6-$C$6)/($E$6-$C$6),$C$6+SQRT($AB449*($E$6-$C$6)*($D$6-$C$6)),$E$6-SQRT((1-$AB449)*($E$6-$C$6)*($E$6-$D$6)))</f>
        <v/>
      </c>
      <c r="O449" s="14">
        <f>_xlfn.NORM.INV($AC449,$C$7,$D$7)</f>
        <v/>
      </c>
      <c r="P449" s="14">
        <f>$C$8+($D$8-$C$8)*$AD449</f>
        <v/>
      </c>
      <c r="Q449" s="14">
        <f>$C$9</f>
        <v/>
      </c>
      <c r="R449" s="14">
        <f>_xlfn.LOGNORM.INV($AF449,LN($C$10)-0.5*LN(1+($D$10/$C$10)^2),SQRT(LN(1+($D$10/$C$10)^2)))</f>
        <v/>
      </c>
      <c r="S449" s="14">
        <f>SUM(M449:R449)</f>
        <v/>
      </c>
      <c r="AA449">
        <f>RAND()</f>
        <v/>
      </c>
      <c r="AB449">
        <f>RAND()</f>
        <v/>
      </c>
      <c r="AC449">
        <f>RAND()</f>
        <v/>
      </c>
      <c r="AD449">
        <f>RAND()</f>
        <v/>
      </c>
      <c r="AE449">
        <f>RAND()</f>
        <v/>
      </c>
      <c r="AF449">
        <f>RAND()</f>
        <v/>
      </c>
    </row>
    <row r="450">
      <c r="M450" s="14">
        <f>_xlfn.BETA.INV($AA450,1+4*($D$5-$C$5)/($E$5-$C$5),1+4*($E$5-$D$5)/($E$5-$C$5),$C$5,$E$5)</f>
        <v/>
      </c>
      <c r="N450" s="14">
        <f>IF($AB450&lt;($D$6-$C$6)/($E$6-$C$6),$C$6+SQRT($AB450*($E$6-$C$6)*($D$6-$C$6)),$E$6-SQRT((1-$AB450)*($E$6-$C$6)*($E$6-$D$6)))</f>
        <v/>
      </c>
      <c r="O450" s="14">
        <f>_xlfn.NORM.INV($AC450,$C$7,$D$7)</f>
        <v/>
      </c>
      <c r="P450" s="14">
        <f>$C$8+($D$8-$C$8)*$AD450</f>
        <v/>
      </c>
      <c r="Q450" s="14">
        <f>$C$9</f>
        <v/>
      </c>
      <c r="R450" s="14">
        <f>_xlfn.LOGNORM.INV($AF450,LN($C$10)-0.5*LN(1+($D$10/$C$10)^2),SQRT(LN(1+($D$10/$C$10)^2)))</f>
        <v/>
      </c>
      <c r="S450" s="14">
        <f>SUM(M450:R450)</f>
        <v/>
      </c>
      <c r="AA450">
        <f>RAND()</f>
        <v/>
      </c>
      <c r="AB450">
        <f>RAND()</f>
        <v/>
      </c>
      <c r="AC450">
        <f>RAND()</f>
        <v/>
      </c>
      <c r="AD450">
        <f>RAND()</f>
        <v/>
      </c>
      <c r="AE450">
        <f>RAND()</f>
        <v/>
      </c>
      <c r="AF450">
        <f>RAND()</f>
        <v/>
      </c>
    </row>
    <row r="451">
      <c r="M451" s="14">
        <f>_xlfn.BETA.INV($AA451,1+4*($D$5-$C$5)/($E$5-$C$5),1+4*($E$5-$D$5)/($E$5-$C$5),$C$5,$E$5)</f>
        <v/>
      </c>
      <c r="N451" s="14">
        <f>IF($AB451&lt;($D$6-$C$6)/($E$6-$C$6),$C$6+SQRT($AB451*($E$6-$C$6)*($D$6-$C$6)),$E$6-SQRT((1-$AB451)*($E$6-$C$6)*($E$6-$D$6)))</f>
        <v/>
      </c>
      <c r="O451" s="14">
        <f>_xlfn.NORM.INV($AC451,$C$7,$D$7)</f>
        <v/>
      </c>
      <c r="P451" s="14">
        <f>$C$8+($D$8-$C$8)*$AD451</f>
        <v/>
      </c>
      <c r="Q451" s="14">
        <f>$C$9</f>
        <v/>
      </c>
      <c r="R451" s="14">
        <f>_xlfn.LOGNORM.INV($AF451,LN($C$10)-0.5*LN(1+($D$10/$C$10)^2),SQRT(LN(1+($D$10/$C$10)^2)))</f>
        <v/>
      </c>
      <c r="S451" s="14">
        <f>SUM(M451:R451)</f>
        <v/>
      </c>
      <c r="AA451">
        <f>RAND()</f>
        <v/>
      </c>
      <c r="AB451">
        <f>RAND()</f>
        <v/>
      </c>
      <c r="AC451">
        <f>RAND()</f>
        <v/>
      </c>
      <c r="AD451">
        <f>RAND()</f>
        <v/>
      </c>
      <c r="AE451">
        <f>RAND()</f>
        <v/>
      </c>
      <c r="AF451">
        <f>RAND()</f>
        <v/>
      </c>
    </row>
    <row r="452">
      <c r="M452" s="14">
        <f>_xlfn.BETA.INV($AA452,1+4*($D$5-$C$5)/($E$5-$C$5),1+4*($E$5-$D$5)/($E$5-$C$5),$C$5,$E$5)</f>
        <v/>
      </c>
      <c r="N452" s="14">
        <f>IF($AB452&lt;($D$6-$C$6)/($E$6-$C$6),$C$6+SQRT($AB452*($E$6-$C$6)*($D$6-$C$6)),$E$6-SQRT((1-$AB452)*($E$6-$C$6)*($E$6-$D$6)))</f>
        <v/>
      </c>
      <c r="O452" s="14">
        <f>_xlfn.NORM.INV($AC452,$C$7,$D$7)</f>
        <v/>
      </c>
      <c r="P452" s="14">
        <f>$C$8+($D$8-$C$8)*$AD452</f>
        <v/>
      </c>
      <c r="Q452" s="14">
        <f>$C$9</f>
        <v/>
      </c>
      <c r="R452" s="14">
        <f>_xlfn.LOGNORM.INV($AF452,LN($C$10)-0.5*LN(1+($D$10/$C$10)^2),SQRT(LN(1+($D$10/$C$10)^2)))</f>
        <v/>
      </c>
      <c r="S452" s="14">
        <f>SUM(M452:R452)</f>
        <v/>
      </c>
      <c r="AA452">
        <f>RAND()</f>
        <v/>
      </c>
      <c r="AB452">
        <f>RAND()</f>
        <v/>
      </c>
      <c r="AC452">
        <f>RAND()</f>
        <v/>
      </c>
      <c r="AD452">
        <f>RAND()</f>
        <v/>
      </c>
      <c r="AE452">
        <f>RAND()</f>
        <v/>
      </c>
      <c r="AF452">
        <f>RAND()</f>
        <v/>
      </c>
    </row>
    <row r="453">
      <c r="M453" s="14">
        <f>_xlfn.BETA.INV($AA453,1+4*($D$5-$C$5)/($E$5-$C$5),1+4*($E$5-$D$5)/($E$5-$C$5),$C$5,$E$5)</f>
        <v/>
      </c>
      <c r="N453" s="14">
        <f>IF($AB453&lt;($D$6-$C$6)/($E$6-$C$6),$C$6+SQRT($AB453*($E$6-$C$6)*($D$6-$C$6)),$E$6-SQRT((1-$AB453)*($E$6-$C$6)*($E$6-$D$6)))</f>
        <v/>
      </c>
      <c r="O453" s="14">
        <f>_xlfn.NORM.INV($AC453,$C$7,$D$7)</f>
        <v/>
      </c>
      <c r="P453" s="14">
        <f>$C$8+($D$8-$C$8)*$AD453</f>
        <v/>
      </c>
      <c r="Q453" s="14">
        <f>$C$9</f>
        <v/>
      </c>
      <c r="R453" s="14">
        <f>_xlfn.LOGNORM.INV($AF453,LN($C$10)-0.5*LN(1+($D$10/$C$10)^2),SQRT(LN(1+($D$10/$C$10)^2)))</f>
        <v/>
      </c>
      <c r="S453" s="14">
        <f>SUM(M453:R453)</f>
        <v/>
      </c>
      <c r="AA453">
        <f>RAND()</f>
        <v/>
      </c>
      <c r="AB453">
        <f>RAND()</f>
        <v/>
      </c>
      <c r="AC453">
        <f>RAND()</f>
        <v/>
      </c>
      <c r="AD453">
        <f>RAND()</f>
        <v/>
      </c>
      <c r="AE453">
        <f>RAND()</f>
        <v/>
      </c>
      <c r="AF453">
        <f>RAND()</f>
        <v/>
      </c>
    </row>
    <row r="454">
      <c r="M454" s="14">
        <f>_xlfn.BETA.INV($AA454,1+4*($D$5-$C$5)/($E$5-$C$5),1+4*($E$5-$D$5)/($E$5-$C$5),$C$5,$E$5)</f>
        <v/>
      </c>
      <c r="N454" s="14">
        <f>IF($AB454&lt;($D$6-$C$6)/($E$6-$C$6),$C$6+SQRT($AB454*($E$6-$C$6)*($D$6-$C$6)),$E$6-SQRT((1-$AB454)*($E$6-$C$6)*($E$6-$D$6)))</f>
        <v/>
      </c>
      <c r="O454" s="14">
        <f>_xlfn.NORM.INV($AC454,$C$7,$D$7)</f>
        <v/>
      </c>
      <c r="P454" s="14">
        <f>$C$8+($D$8-$C$8)*$AD454</f>
        <v/>
      </c>
      <c r="Q454" s="14">
        <f>$C$9</f>
        <v/>
      </c>
      <c r="R454" s="14">
        <f>_xlfn.LOGNORM.INV($AF454,LN($C$10)-0.5*LN(1+($D$10/$C$10)^2),SQRT(LN(1+($D$10/$C$10)^2)))</f>
        <v/>
      </c>
      <c r="S454" s="14">
        <f>SUM(M454:R454)</f>
        <v/>
      </c>
      <c r="AA454">
        <f>RAND()</f>
        <v/>
      </c>
      <c r="AB454">
        <f>RAND()</f>
        <v/>
      </c>
      <c r="AC454">
        <f>RAND()</f>
        <v/>
      </c>
      <c r="AD454">
        <f>RAND()</f>
        <v/>
      </c>
      <c r="AE454">
        <f>RAND()</f>
        <v/>
      </c>
      <c r="AF454">
        <f>RAND()</f>
        <v/>
      </c>
    </row>
    <row r="455">
      <c r="M455" s="14">
        <f>_xlfn.BETA.INV($AA455,1+4*($D$5-$C$5)/($E$5-$C$5),1+4*($E$5-$D$5)/($E$5-$C$5),$C$5,$E$5)</f>
        <v/>
      </c>
      <c r="N455" s="14">
        <f>IF($AB455&lt;($D$6-$C$6)/($E$6-$C$6),$C$6+SQRT($AB455*($E$6-$C$6)*($D$6-$C$6)),$E$6-SQRT((1-$AB455)*($E$6-$C$6)*($E$6-$D$6)))</f>
        <v/>
      </c>
      <c r="O455" s="14">
        <f>_xlfn.NORM.INV($AC455,$C$7,$D$7)</f>
        <v/>
      </c>
      <c r="P455" s="14">
        <f>$C$8+($D$8-$C$8)*$AD455</f>
        <v/>
      </c>
      <c r="Q455" s="14">
        <f>$C$9</f>
        <v/>
      </c>
      <c r="R455" s="14">
        <f>_xlfn.LOGNORM.INV($AF455,LN($C$10)-0.5*LN(1+($D$10/$C$10)^2),SQRT(LN(1+($D$10/$C$10)^2)))</f>
        <v/>
      </c>
      <c r="S455" s="14">
        <f>SUM(M455:R455)</f>
        <v/>
      </c>
      <c r="AA455">
        <f>RAND()</f>
        <v/>
      </c>
      <c r="AB455">
        <f>RAND()</f>
        <v/>
      </c>
      <c r="AC455">
        <f>RAND()</f>
        <v/>
      </c>
      <c r="AD455">
        <f>RAND()</f>
        <v/>
      </c>
      <c r="AE455">
        <f>RAND()</f>
        <v/>
      </c>
      <c r="AF455">
        <f>RAND()</f>
        <v/>
      </c>
    </row>
    <row r="456">
      <c r="M456" s="14">
        <f>_xlfn.BETA.INV($AA456,1+4*($D$5-$C$5)/($E$5-$C$5),1+4*($E$5-$D$5)/($E$5-$C$5),$C$5,$E$5)</f>
        <v/>
      </c>
      <c r="N456" s="14">
        <f>IF($AB456&lt;($D$6-$C$6)/($E$6-$C$6),$C$6+SQRT($AB456*($E$6-$C$6)*($D$6-$C$6)),$E$6-SQRT((1-$AB456)*($E$6-$C$6)*($E$6-$D$6)))</f>
        <v/>
      </c>
      <c r="O456" s="14">
        <f>_xlfn.NORM.INV($AC456,$C$7,$D$7)</f>
        <v/>
      </c>
      <c r="P456" s="14">
        <f>$C$8+($D$8-$C$8)*$AD456</f>
        <v/>
      </c>
      <c r="Q456" s="14">
        <f>$C$9</f>
        <v/>
      </c>
      <c r="R456" s="14">
        <f>_xlfn.LOGNORM.INV($AF456,LN($C$10)-0.5*LN(1+($D$10/$C$10)^2),SQRT(LN(1+($D$10/$C$10)^2)))</f>
        <v/>
      </c>
      <c r="S456" s="14">
        <f>SUM(M456:R456)</f>
        <v/>
      </c>
      <c r="AA456">
        <f>RAND()</f>
        <v/>
      </c>
      <c r="AB456">
        <f>RAND()</f>
        <v/>
      </c>
      <c r="AC456">
        <f>RAND()</f>
        <v/>
      </c>
      <c r="AD456">
        <f>RAND()</f>
        <v/>
      </c>
      <c r="AE456">
        <f>RAND()</f>
        <v/>
      </c>
      <c r="AF456">
        <f>RAND()</f>
        <v/>
      </c>
    </row>
    <row r="457">
      <c r="M457" s="14">
        <f>_xlfn.BETA.INV($AA457,1+4*($D$5-$C$5)/($E$5-$C$5),1+4*($E$5-$D$5)/($E$5-$C$5),$C$5,$E$5)</f>
        <v/>
      </c>
      <c r="N457" s="14">
        <f>IF($AB457&lt;($D$6-$C$6)/($E$6-$C$6),$C$6+SQRT($AB457*($E$6-$C$6)*($D$6-$C$6)),$E$6-SQRT((1-$AB457)*($E$6-$C$6)*($E$6-$D$6)))</f>
        <v/>
      </c>
      <c r="O457" s="14">
        <f>_xlfn.NORM.INV($AC457,$C$7,$D$7)</f>
        <v/>
      </c>
      <c r="P457" s="14">
        <f>$C$8+($D$8-$C$8)*$AD457</f>
        <v/>
      </c>
      <c r="Q457" s="14">
        <f>$C$9</f>
        <v/>
      </c>
      <c r="R457" s="14">
        <f>_xlfn.LOGNORM.INV($AF457,LN($C$10)-0.5*LN(1+($D$10/$C$10)^2),SQRT(LN(1+($D$10/$C$10)^2)))</f>
        <v/>
      </c>
      <c r="S457" s="14">
        <f>SUM(M457:R457)</f>
        <v/>
      </c>
      <c r="AA457">
        <f>RAND()</f>
        <v/>
      </c>
      <c r="AB457">
        <f>RAND()</f>
        <v/>
      </c>
      <c r="AC457">
        <f>RAND()</f>
        <v/>
      </c>
      <c r="AD457">
        <f>RAND()</f>
        <v/>
      </c>
      <c r="AE457">
        <f>RAND()</f>
        <v/>
      </c>
      <c r="AF457">
        <f>RAND()</f>
        <v/>
      </c>
    </row>
    <row r="458">
      <c r="M458" s="14">
        <f>_xlfn.BETA.INV($AA458,1+4*($D$5-$C$5)/($E$5-$C$5),1+4*($E$5-$D$5)/($E$5-$C$5),$C$5,$E$5)</f>
        <v/>
      </c>
      <c r="N458" s="14">
        <f>IF($AB458&lt;($D$6-$C$6)/($E$6-$C$6),$C$6+SQRT($AB458*($E$6-$C$6)*($D$6-$C$6)),$E$6-SQRT((1-$AB458)*($E$6-$C$6)*($E$6-$D$6)))</f>
        <v/>
      </c>
      <c r="O458" s="14">
        <f>_xlfn.NORM.INV($AC458,$C$7,$D$7)</f>
        <v/>
      </c>
      <c r="P458" s="14">
        <f>$C$8+($D$8-$C$8)*$AD458</f>
        <v/>
      </c>
      <c r="Q458" s="14">
        <f>$C$9</f>
        <v/>
      </c>
      <c r="R458" s="14">
        <f>_xlfn.LOGNORM.INV($AF458,LN($C$10)-0.5*LN(1+($D$10/$C$10)^2),SQRT(LN(1+($D$10/$C$10)^2)))</f>
        <v/>
      </c>
      <c r="S458" s="14">
        <f>SUM(M458:R458)</f>
        <v/>
      </c>
      <c r="AA458">
        <f>RAND()</f>
        <v/>
      </c>
      <c r="AB458">
        <f>RAND()</f>
        <v/>
      </c>
      <c r="AC458">
        <f>RAND()</f>
        <v/>
      </c>
      <c r="AD458">
        <f>RAND()</f>
        <v/>
      </c>
      <c r="AE458">
        <f>RAND()</f>
        <v/>
      </c>
      <c r="AF458">
        <f>RAND()</f>
        <v/>
      </c>
    </row>
    <row r="459">
      <c r="M459" s="14">
        <f>_xlfn.BETA.INV($AA459,1+4*($D$5-$C$5)/($E$5-$C$5),1+4*($E$5-$D$5)/($E$5-$C$5),$C$5,$E$5)</f>
        <v/>
      </c>
      <c r="N459" s="14">
        <f>IF($AB459&lt;($D$6-$C$6)/($E$6-$C$6),$C$6+SQRT($AB459*($E$6-$C$6)*($D$6-$C$6)),$E$6-SQRT((1-$AB459)*($E$6-$C$6)*($E$6-$D$6)))</f>
        <v/>
      </c>
      <c r="O459" s="14">
        <f>_xlfn.NORM.INV($AC459,$C$7,$D$7)</f>
        <v/>
      </c>
      <c r="P459" s="14">
        <f>$C$8+($D$8-$C$8)*$AD459</f>
        <v/>
      </c>
      <c r="Q459" s="14">
        <f>$C$9</f>
        <v/>
      </c>
      <c r="R459" s="14">
        <f>_xlfn.LOGNORM.INV($AF459,LN($C$10)-0.5*LN(1+($D$10/$C$10)^2),SQRT(LN(1+($D$10/$C$10)^2)))</f>
        <v/>
      </c>
      <c r="S459" s="14">
        <f>SUM(M459:R459)</f>
        <v/>
      </c>
      <c r="AA459">
        <f>RAND()</f>
        <v/>
      </c>
      <c r="AB459">
        <f>RAND()</f>
        <v/>
      </c>
      <c r="AC459">
        <f>RAND()</f>
        <v/>
      </c>
      <c r="AD459">
        <f>RAND()</f>
        <v/>
      </c>
      <c r="AE459">
        <f>RAND()</f>
        <v/>
      </c>
      <c r="AF459">
        <f>RAND()</f>
        <v/>
      </c>
    </row>
    <row r="460">
      <c r="M460" s="14">
        <f>_xlfn.BETA.INV($AA460,1+4*($D$5-$C$5)/($E$5-$C$5),1+4*($E$5-$D$5)/($E$5-$C$5),$C$5,$E$5)</f>
        <v/>
      </c>
      <c r="N460" s="14">
        <f>IF($AB460&lt;($D$6-$C$6)/($E$6-$C$6),$C$6+SQRT($AB460*($E$6-$C$6)*($D$6-$C$6)),$E$6-SQRT((1-$AB460)*($E$6-$C$6)*($E$6-$D$6)))</f>
        <v/>
      </c>
      <c r="O460" s="14">
        <f>_xlfn.NORM.INV($AC460,$C$7,$D$7)</f>
        <v/>
      </c>
      <c r="P460" s="14">
        <f>$C$8+($D$8-$C$8)*$AD460</f>
        <v/>
      </c>
      <c r="Q460" s="14">
        <f>$C$9</f>
        <v/>
      </c>
      <c r="R460" s="14">
        <f>_xlfn.LOGNORM.INV($AF460,LN($C$10)-0.5*LN(1+($D$10/$C$10)^2),SQRT(LN(1+($D$10/$C$10)^2)))</f>
        <v/>
      </c>
      <c r="S460" s="14">
        <f>SUM(M460:R460)</f>
        <v/>
      </c>
      <c r="AA460">
        <f>RAND()</f>
        <v/>
      </c>
      <c r="AB460">
        <f>RAND()</f>
        <v/>
      </c>
      <c r="AC460">
        <f>RAND()</f>
        <v/>
      </c>
      <c r="AD460">
        <f>RAND()</f>
        <v/>
      </c>
      <c r="AE460">
        <f>RAND()</f>
        <v/>
      </c>
      <c r="AF460">
        <f>RAND()</f>
        <v/>
      </c>
    </row>
    <row r="461">
      <c r="M461" s="14">
        <f>_xlfn.BETA.INV($AA461,1+4*($D$5-$C$5)/($E$5-$C$5),1+4*($E$5-$D$5)/($E$5-$C$5),$C$5,$E$5)</f>
        <v/>
      </c>
      <c r="N461" s="14">
        <f>IF($AB461&lt;($D$6-$C$6)/($E$6-$C$6),$C$6+SQRT($AB461*($E$6-$C$6)*($D$6-$C$6)),$E$6-SQRT((1-$AB461)*($E$6-$C$6)*($E$6-$D$6)))</f>
        <v/>
      </c>
      <c r="O461" s="14">
        <f>_xlfn.NORM.INV($AC461,$C$7,$D$7)</f>
        <v/>
      </c>
      <c r="P461" s="14">
        <f>$C$8+($D$8-$C$8)*$AD461</f>
        <v/>
      </c>
      <c r="Q461" s="14">
        <f>$C$9</f>
        <v/>
      </c>
      <c r="R461" s="14">
        <f>_xlfn.LOGNORM.INV($AF461,LN($C$10)-0.5*LN(1+($D$10/$C$10)^2),SQRT(LN(1+($D$10/$C$10)^2)))</f>
        <v/>
      </c>
      <c r="S461" s="14">
        <f>SUM(M461:R461)</f>
        <v/>
      </c>
      <c r="AA461">
        <f>RAND()</f>
        <v/>
      </c>
      <c r="AB461">
        <f>RAND()</f>
        <v/>
      </c>
      <c r="AC461">
        <f>RAND()</f>
        <v/>
      </c>
      <c r="AD461">
        <f>RAND()</f>
        <v/>
      </c>
      <c r="AE461">
        <f>RAND()</f>
        <v/>
      </c>
      <c r="AF461">
        <f>RAND()</f>
        <v/>
      </c>
    </row>
    <row r="462">
      <c r="M462" s="14">
        <f>_xlfn.BETA.INV($AA462,1+4*($D$5-$C$5)/($E$5-$C$5),1+4*($E$5-$D$5)/($E$5-$C$5),$C$5,$E$5)</f>
        <v/>
      </c>
      <c r="N462" s="14">
        <f>IF($AB462&lt;($D$6-$C$6)/($E$6-$C$6),$C$6+SQRT($AB462*($E$6-$C$6)*($D$6-$C$6)),$E$6-SQRT((1-$AB462)*($E$6-$C$6)*($E$6-$D$6)))</f>
        <v/>
      </c>
      <c r="O462" s="14">
        <f>_xlfn.NORM.INV($AC462,$C$7,$D$7)</f>
        <v/>
      </c>
      <c r="P462" s="14">
        <f>$C$8+($D$8-$C$8)*$AD462</f>
        <v/>
      </c>
      <c r="Q462" s="14">
        <f>$C$9</f>
        <v/>
      </c>
      <c r="R462" s="14">
        <f>_xlfn.LOGNORM.INV($AF462,LN($C$10)-0.5*LN(1+($D$10/$C$10)^2),SQRT(LN(1+($D$10/$C$10)^2)))</f>
        <v/>
      </c>
      <c r="S462" s="14">
        <f>SUM(M462:R462)</f>
        <v/>
      </c>
      <c r="AA462">
        <f>RAND()</f>
        <v/>
      </c>
      <c r="AB462">
        <f>RAND()</f>
        <v/>
      </c>
      <c r="AC462">
        <f>RAND()</f>
        <v/>
      </c>
      <c r="AD462">
        <f>RAND()</f>
        <v/>
      </c>
      <c r="AE462">
        <f>RAND()</f>
        <v/>
      </c>
      <c r="AF462">
        <f>RAND()</f>
        <v/>
      </c>
    </row>
    <row r="463">
      <c r="M463" s="14">
        <f>_xlfn.BETA.INV($AA463,1+4*($D$5-$C$5)/($E$5-$C$5),1+4*($E$5-$D$5)/($E$5-$C$5),$C$5,$E$5)</f>
        <v/>
      </c>
      <c r="N463" s="14">
        <f>IF($AB463&lt;($D$6-$C$6)/($E$6-$C$6),$C$6+SQRT($AB463*($E$6-$C$6)*($D$6-$C$6)),$E$6-SQRT((1-$AB463)*($E$6-$C$6)*($E$6-$D$6)))</f>
        <v/>
      </c>
      <c r="O463" s="14">
        <f>_xlfn.NORM.INV($AC463,$C$7,$D$7)</f>
        <v/>
      </c>
      <c r="P463" s="14">
        <f>$C$8+($D$8-$C$8)*$AD463</f>
        <v/>
      </c>
      <c r="Q463" s="14">
        <f>$C$9</f>
        <v/>
      </c>
      <c r="R463" s="14">
        <f>_xlfn.LOGNORM.INV($AF463,LN($C$10)-0.5*LN(1+($D$10/$C$10)^2),SQRT(LN(1+($D$10/$C$10)^2)))</f>
        <v/>
      </c>
      <c r="S463" s="14">
        <f>SUM(M463:R463)</f>
        <v/>
      </c>
      <c r="AA463">
        <f>RAND()</f>
        <v/>
      </c>
      <c r="AB463">
        <f>RAND()</f>
        <v/>
      </c>
      <c r="AC463">
        <f>RAND()</f>
        <v/>
      </c>
      <c r="AD463">
        <f>RAND()</f>
        <v/>
      </c>
      <c r="AE463">
        <f>RAND()</f>
        <v/>
      </c>
      <c r="AF463">
        <f>RAND()</f>
        <v/>
      </c>
    </row>
    <row r="464">
      <c r="M464" s="14">
        <f>_xlfn.BETA.INV($AA464,1+4*($D$5-$C$5)/($E$5-$C$5),1+4*($E$5-$D$5)/($E$5-$C$5),$C$5,$E$5)</f>
        <v/>
      </c>
      <c r="N464" s="14">
        <f>IF($AB464&lt;($D$6-$C$6)/($E$6-$C$6),$C$6+SQRT($AB464*($E$6-$C$6)*($D$6-$C$6)),$E$6-SQRT((1-$AB464)*($E$6-$C$6)*($E$6-$D$6)))</f>
        <v/>
      </c>
      <c r="O464" s="14">
        <f>_xlfn.NORM.INV($AC464,$C$7,$D$7)</f>
        <v/>
      </c>
      <c r="P464" s="14">
        <f>$C$8+($D$8-$C$8)*$AD464</f>
        <v/>
      </c>
      <c r="Q464" s="14">
        <f>$C$9</f>
        <v/>
      </c>
      <c r="R464" s="14">
        <f>_xlfn.LOGNORM.INV($AF464,LN($C$10)-0.5*LN(1+($D$10/$C$10)^2),SQRT(LN(1+($D$10/$C$10)^2)))</f>
        <v/>
      </c>
      <c r="S464" s="14">
        <f>SUM(M464:R464)</f>
        <v/>
      </c>
      <c r="AA464">
        <f>RAND()</f>
        <v/>
      </c>
      <c r="AB464">
        <f>RAND()</f>
        <v/>
      </c>
      <c r="AC464">
        <f>RAND()</f>
        <v/>
      </c>
      <c r="AD464">
        <f>RAND()</f>
        <v/>
      </c>
      <c r="AE464">
        <f>RAND()</f>
        <v/>
      </c>
      <c r="AF464">
        <f>RAND()</f>
        <v/>
      </c>
    </row>
    <row r="465">
      <c r="M465" s="14">
        <f>_xlfn.BETA.INV($AA465,1+4*($D$5-$C$5)/($E$5-$C$5),1+4*($E$5-$D$5)/($E$5-$C$5),$C$5,$E$5)</f>
        <v/>
      </c>
      <c r="N465" s="14">
        <f>IF($AB465&lt;($D$6-$C$6)/($E$6-$C$6),$C$6+SQRT($AB465*($E$6-$C$6)*($D$6-$C$6)),$E$6-SQRT((1-$AB465)*($E$6-$C$6)*($E$6-$D$6)))</f>
        <v/>
      </c>
      <c r="O465" s="14">
        <f>_xlfn.NORM.INV($AC465,$C$7,$D$7)</f>
        <v/>
      </c>
      <c r="P465" s="14">
        <f>$C$8+($D$8-$C$8)*$AD465</f>
        <v/>
      </c>
      <c r="Q465" s="14">
        <f>$C$9</f>
        <v/>
      </c>
      <c r="R465" s="14">
        <f>_xlfn.LOGNORM.INV($AF465,LN($C$10)-0.5*LN(1+($D$10/$C$10)^2),SQRT(LN(1+($D$10/$C$10)^2)))</f>
        <v/>
      </c>
      <c r="S465" s="14">
        <f>SUM(M465:R465)</f>
        <v/>
      </c>
      <c r="AA465">
        <f>RAND()</f>
        <v/>
      </c>
      <c r="AB465">
        <f>RAND()</f>
        <v/>
      </c>
      <c r="AC465">
        <f>RAND()</f>
        <v/>
      </c>
      <c r="AD465">
        <f>RAND()</f>
        <v/>
      </c>
      <c r="AE465">
        <f>RAND()</f>
        <v/>
      </c>
      <c r="AF465">
        <f>RAND()</f>
        <v/>
      </c>
    </row>
    <row r="466">
      <c r="M466" s="14">
        <f>_xlfn.BETA.INV($AA466,1+4*($D$5-$C$5)/($E$5-$C$5),1+4*($E$5-$D$5)/($E$5-$C$5),$C$5,$E$5)</f>
        <v/>
      </c>
      <c r="N466" s="14">
        <f>IF($AB466&lt;($D$6-$C$6)/($E$6-$C$6),$C$6+SQRT($AB466*($E$6-$C$6)*($D$6-$C$6)),$E$6-SQRT((1-$AB466)*($E$6-$C$6)*($E$6-$D$6)))</f>
        <v/>
      </c>
      <c r="O466" s="14">
        <f>_xlfn.NORM.INV($AC466,$C$7,$D$7)</f>
        <v/>
      </c>
      <c r="P466" s="14">
        <f>$C$8+($D$8-$C$8)*$AD466</f>
        <v/>
      </c>
      <c r="Q466" s="14">
        <f>$C$9</f>
        <v/>
      </c>
      <c r="R466" s="14">
        <f>_xlfn.LOGNORM.INV($AF466,LN($C$10)-0.5*LN(1+($D$10/$C$10)^2),SQRT(LN(1+($D$10/$C$10)^2)))</f>
        <v/>
      </c>
      <c r="S466" s="14">
        <f>SUM(M466:R466)</f>
        <v/>
      </c>
      <c r="AA466">
        <f>RAND()</f>
        <v/>
      </c>
      <c r="AB466">
        <f>RAND()</f>
        <v/>
      </c>
      <c r="AC466">
        <f>RAND()</f>
        <v/>
      </c>
      <c r="AD466">
        <f>RAND()</f>
        <v/>
      </c>
      <c r="AE466">
        <f>RAND()</f>
        <v/>
      </c>
      <c r="AF466">
        <f>RAND()</f>
        <v/>
      </c>
    </row>
    <row r="467">
      <c r="M467" s="14">
        <f>_xlfn.BETA.INV($AA467,1+4*($D$5-$C$5)/($E$5-$C$5),1+4*($E$5-$D$5)/($E$5-$C$5),$C$5,$E$5)</f>
        <v/>
      </c>
      <c r="N467" s="14">
        <f>IF($AB467&lt;($D$6-$C$6)/($E$6-$C$6),$C$6+SQRT($AB467*($E$6-$C$6)*($D$6-$C$6)),$E$6-SQRT((1-$AB467)*($E$6-$C$6)*($E$6-$D$6)))</f>
        <v/>
      </c>
      <c r="O467" s="14">
        <f>_xlfn.NORM.INV($AC467,$C$7,$D$7)</f>
        <v/>
      </c>
      <c r="P467" s="14">
        <f>$C$8+($D$8-$C$8)*$AD467</f>
        <v/>
      </c>
      <c r="Q467" s="14">
        <f>$C$9</f>
        <v/>
      </c>
      <c r="R467" s="14">
        <f>_xlfn.LOGNORM.INV($AF467,LN($C$10)-0.5*LN(1+($D$10/$C$10)^2),SQRT(LN(1+($D$10/$C$10)^2)))</f>
        <v/>
      </c>
      <c r="S467" s="14">
        <f>SUM(M467:R467)</f>
        <v/>
      </c>
      <c r="AA467">
        <f>RAND()</f>
        <v/>
      </c>
      <c r="AB467">
        <f>RAND()</f>
        <v/>
      </c>
      <c r="AC467">
        <f>RAND()</f>
        <v/>
      </c>
      <c r="AD467">
        <f>RAND()</f>
        <v/>
      </c>
      <c r="AE467">
        <f>RAND()</f>
        <v/>
      </c>
      <c r="AF467">
        <f>RAND()</f>
        <v/>
      </c>
    </row>
    <row r="468">
      <c r="M468" s="14">
        <f>_xlfn.BETA.INV($AA468,1+4*($D$5-$C$5)/($E$5-$C$5),1+4*($E$5-$D$5)/($E$5-$C$5),$C$5,$E$5)</f>
        <v/>
      </c>
      <c r="N468" s="14">
        <f>IF($AB468&lt;($D$6-$C$6)/($E$6-$C$6),$C$6+SQRT($AB468*($E$6-$C$6)*($D$6-$C$6)),$E$6-SQRT((1-$AB468)*($E$6-$C$6)*($E$6-$D$6)))</f>
        <v/>
      </c>
      <c r="O468" s="14">
        <f>_xlfn.NORM.INV($AC468,$C$7,$D$7)</f>
        <v/>
      </c>
      <c r="P468" s="14">
        <f>$C$8+($D$8-$C$8)*$AD468</f>
        <v/>
      </c>
      <c r="Q468" s="14">
        <f>$C$9</f>
        <v/>
      </c>
      <c r="R468" s="14">
        <f>_xlfn.LOGNORM.INV($AF468,LN($C$10)-0.5*LN(1+($D$10/$C$10)^2),SQRT(LN(1+($D$10/$C$10)^2)))</f>
        <v/>
      </c>
      <c r="S468" s="14">
        <f>SUM(M468:R468)</f>
        <v/>
      </c>
      <c r="AA468">
        <f>RAND()</f>
        <v/>
      </c>
      <c r="AB468">
        <f>RAND()</f>
        <v/>
      </c>
      <c r="AC468">
        <f>RAND()</f>
        <v/>
      </c>
      <c r="AD468">
        <f>RAND()</f>
        <v/>
      </c>
      <c r="AE468">
        <f>RAND()</f>
        <v/>
      </c>
      <c r="AF468">
        <f>RAND()</f>
        <v/>
      </c>
    </row>
    <row r="469">
      <c r="M469" s="14">
        <f>_xlfn.BETA.INV($AA469,1+4*($D$5-$C$5)/($E$5-$C$5),1+4*($E$5-$D$5)/($E$5-$C$5),$C$5,$E$5)</f>
        <v/>
      </c>
      <c r="N469" s="14">
        <f>IF($AB469&lt;($D$6-$C$6)/($E$6-$C$6),$C$6+SQRT($AB469*($E$6-$C$6)*($D$6-$C$6)),$E$6-SQRT((1-$AB469)*($E$6-$C$6)*($E$6-$D$6)))</f>
        <v/>
      </c>
      <c r="O469" s="14">
        <f>_xlfn.NORM.INV($AC469,$C$7,$D$7)</f>
        <v/>
      </c>
      <c r="P469" s="14">
        <f>$C$8+($D$8-$C$8)*$AD469</f>
        <v/>
      </c>
      <c r="Q469" s="14">
        <f>$C$9</f>
        <v/>
      </c>
      <c r="R469" s="14">
        <f>_xlfn.LOGNORM.INV($AF469,LN($C$10)-0.5*LN(1+($D$10/$C$10)^2),SQRT(LN(1+($D$10/$C$10)^2)))</f>
        <v/>
      </c>
      <c r="S469" s="14">
        <f>SUM(M469:R469)</f>
        <v/>
      </c>
      <c r="AA469">
        <f>RAND()</f>
        <v/>
      </c>
      <c r="AB469">
        <f>RAND()</f>
        <v/>
      </c>
      <c r="AC469">
        <f>RAND()</f>
        <v/>
      </c>
      <c r="AD469">
        <f>RAND()</f>
        <v/>
      </c>
      <c r="AE469">
        <f>RAND()</f>
        <v/>
      </c>
      <c r="AF469">
        <f>RAND()</f>
        <v/>
      </c>
    </row>
    <row r="470">
      <c r="M470" s="14">
        <f>_xlfn.BETA.INV($AA470,1+4*($D$5-$C$5)/($E$5-$C$5),1+4*($E$5-$D$5)/($E$5-$C$5),$C$5,$E$5)</f>
        <v/>
      </c>
      <c r="N470" s="14">
        <f>IF($AB470&lt;($D$6-$C$6)/($E$6-$C$6),$C$6+SQRT($AB470*($E$6-$C$6)*($D$6-$C$6)),$E$6-SQRT((1-$AB470)*($E$6-$C$6)*($E$6-$D$6)))</f>
        <v/>
      </c>
      <c r="O470" s="14">
        <f>_xlfn.NORM.INV($AC470,$C$7,$D$7)</f>
        <v/>
      </c>
      <c r="P470" s="14">
        <f>$C$8+($D$8-$C$8)*$AD470</f>
        <v/>
      </c>
      <c r="Q470" s="14">
        <f>$C$9</f>
        <v/>
      </c>
      <c r="R470" s="14">
        <f>_xlfn.LOGNORM.INV($AF470,LN($C$10)-0.5*LN(1+($D$10/$C$10)^2),SQRT(LN(1+($D$10/$C$10)^2)))</f>
        <v/>
      </c>
      <c r="S470" s="14">
        <f>SUM(M470:R470)</f>
        <v/>
      </c>
      <c r="AA470">
        <f>RAND()</f>
        <v/>
      </c>
      <c r="AB470">
        <f>RAND()</f>
        <v/>
      </c>
      <c r="AC470">
        <f>RAND()</f>
        <v/>
      </c>
      <c r="AD470">
        <f>RAND()</f>
        <v/>
      </c>
      <c r="AE470">
        <f>RAND()</f>
        <v/>
      </c>
      <c r="AF470">
        <f>RAND()</f>
        <v/>
      </c>
    </row>
    <row r="471">
      <c r="M471" s="14">
        <f>_xlfn.BETA.INV($AA471,1+4*($D$5-$C$5)/($E$5-$C$5),1+4*($E$5-$D$5)/($E$5-$C$5),$C$5,$E$5)</f>
        <v/>
      </c>
      <c r="N471" s="14">
        <f>IF($AB471&lt;($D$6-$C$6)/($E$6-$C$6),$C$6+SQRT($AB471*($E$6-$C$6)*($D$6-$C$6)),$E$6-SQRT((1-$AB471)*($E$6-$C$6)*($E$6-$D$6)))</f>
        <v/>
      </c>
      <c r="O471" s="14">
        <f>_xlfn.NORM.INV($AC471,$C$7,$D$7)</f>
        <v/>
      </c>
      <c r="P471" s="14">
        <f>$C$8+($D$8-$C$8)*$AD471</f>
        <v/>
      </c>
      <c r="Q471" s="14">
        <f>$C$9</f>
        <v/>
      </c>
      <c r="R471" s="14">
        <f>_xlfn.LOGNORM.INV($AF471,LN($C$10)-0.5*LN(1+($D$10/$C$10)^2),SQRT(LN(1+($D$10/$C$10)^2)))</f>
        <v/>
      </c>
      <c r="S471" s="14">
        <f>SUM(M471:R471)</f>
        <v/>
      </c>
      <c r="AA471">
        <f>RAND()</f>
        <v/>
      </c>
      <c r="AB471">
        <f>RAND()</f>
        <v/>
      </c>
      <c r="AC471">
        <f>RAND()</f>
        <v/>
      </c>
      <c r="AD471">
        <f>RAND()</f>
        <v/>
      </c>
      <c r="AE471">
        <f>RAND()</f>
        <v/>
      </c>
      <c r="AF471">
        <f>RAND()</f>
        <v/>
      </c>
    </row>
    <row r="472">
      <c r="M472" s="14">
        <f>_xlfn.BETA.INV($AA472,1+4*($D$5-$C$5)/($E$5-$C$5),1+4*($E$5-$D$5)/($E$5-$C$5),$C$5,$E$5)</f>
        <v/>
      </c>
      <c r="N472" s="14">
        <f>IF($AB472&lt;($D$6-$C$6)/($E$6-$C$6),$C$6+SQRT($AB472*($E$6-$C$6)*($D$6-$C$6)),$E$6-SQRT((1-$AB472)*($E$6-$C$6)*($E$6-$D$6)))</f>
        <v/>
      </c>
      <c r="O472" s="14">
        <f>_xlfn.NORM.INV($AC472,$C$7,$D$7)</f>
        <v/>
      </c>
      <c r="P472" s="14">
        <f>$C$8+($D$8-$C$8)*$AD472</f>
        <v/>
      </c>
      <c r="Q472" s="14">
        <f>$C$9</f>
        <v/>
      </c>
      <c r="R472" s="14">
        <f>_xlfn.LOGNORM.INV($AF472,LN($C$10)-0.5*LN(1+($D$10/$C$10)^2),SQRT(LN(1+($D$10/$C$10)^2)))</f>
        <v/>
      </c>
      <c r="S472" s="14">
        <f>SUM(M472:R472)</f>
        <v/>
      </c>
      <c r="AA472">
        <f>RAND()</f>
        <v/>
      </c>
      <c r="AB472">
        <f>RAND()</f>
        <v/>
      </c>
      <c r="AC472">
        <f>RAND()</f>
        <v/>
      </c>
      <c r="AD472">
        <f>RAND()</f>
        <v/>
      </c>
      <c r="AE472">
        <f>RAND()</f>
        <v/>
      </c>
      <c r="AF472">
        <f>RAND()</f>
        <v/>
      </c>
    </row>
    <row r="473">
      <c r="M473" s="14">
        <f>_xlfn.BETA.INV($AA473,1+4*($D$5-$C$5)/($E$5-$C$5),1+4*($E$5-$D$5)/($E$5-$C$5),$C$5,$E$5)</f>
        <v/>
      </c>
      <c r="N473" s="14">
        <f>IF($AB473&lt;($D$6-$C$6)/($E$6-$C$6),$C$6+SQRT($AB473*($E$6-$C$6)*($D$6-$C$6)),$E$6-SQRT((1-$AB473)*($E$6-$C$6)*($E$6-$D$6)))</f>
        <v/>
      </c>
      <c r="O473" s="14">
        <f>_xlfn.NORM.INV($AC473,$C$7,$D$7)</f>
        <v/>
      </c>
      <c r="P473" s="14">
        <f>$C$8+($D$8-$C$8)*$AD473</f>
        <v/>
      </c>
      <c r="Q473" s="14">
        <f>$C$9</f>
        <v/>
      </c>
      <c r="R473" s="14">
        <f>_xlfn.LOGNORM.INV($AF473,LN($C$10)-0.5*LN(1+($D$10/$C$10)^2),SQRT(LN(1+($D$10/$C$10)^2)))</f>
        <v/>
      </c>
      <c r="S473" s="14">
        <f>SUM(M473:R473)</f>
        <v/>
      </c>
      <c r="AA473">
        <f>RAND()</f>
        <v/>
      </c>
      <c r="AB473">
        <f>RAND()</f>
        <v/>
      </c>
      <c r="AC473">
        <f>RAND()</f>
        <v/>
      </c>
      <c r="AD473">
        <f>RAND()</f>
        <v/>
      </c>
      <c r="AE473">
        <f>RAND()</f>
        <v/>
      </c>
      <c r="AF473">
        <f>RAND()</f>
        <v/>
      </c>
    </row>
    <row r="474">
      <c r="M474" s="14">
        <f>_xlfn.BETA.INV($AA474,1+4*($D$5-$C$5)/($E$5-$C$5),1+4*($E$5-$D$5)/($E$5-$C$5),$C$5,$E$5)</f>
        <v/>
      </c>
      <c r="N474" s="14">
        <f>IF($AB474&lt;($D$6-$C$6)/($E$6-$C$6),$C$6+SQRT($AB474*($E$6-$C$6)*($D$6-$C$6)),$E$6-SQRT((1-$AB474)*($E$6-$C$6)*($E$6-$D$6)))</f>
        <v/>
      </c>
      <c r="O474" s="14">
        <f>_xlfn.NORM.INV($AC474,$C$7,$D$7)</f>
        <v/>
      </c>
      <c r="P474" s="14">
        <f>$C$8+($D$8-$C$8)*$AD474</f>
        <v/>
      </c>
      <c r="Q474" s="14">
        <f>$C$9</f>
        <v/>
      </c>
      <c r="R474" s="14">
        <f>_xlfn.LOGNORM.INV($AF474,LN($C$10)-0.5*LN(1+($D$10/$C$10)^2),SQRT(LN(1+($D$10/$C$10)^2)))</f>
        <v/>
      </c>
      <c r="S474" s="14">
        <f>SUM(M474:R474)</f>
        <v/>
      </c>
      <c r="AA474">
        <f>RAND()</f>
        <v/>
      </c>
      <c r="AB474">
        <f>RAND()</f>
        <v/>
      </c>
      <c r="AC474">
        <f>RAND()</f>
        <v/>
      </c>
      <c r="AD474">
        <f>RAND()</f>
        <v/>
      </c>
      <c r="AE474">
        <f>RAND()</f>
        <v/>
      </c>
      <c r="AF474">
        <f>RAND()</f>
        <v/>
      </c>
    </row>
    <row r="475">
      <c r="M475" s="14">
        <f>_xlfn.BETA.INV($AA475,1+4*($D$5-$C$5)/($E$5-$C$5),1+4*($E$5-$D$5)/($E$5-$C$5),$C$5,$E$5)</f>
        <v/>
      </c>
      <c r="N475" s="14">
        <f>IF($AB475&lt;($D$6-$C$6)/($E$6-$C$6),$C$6+SQRT($AB475*($E$6-$C$6)*($D$6-$C$6)),$E$6-SQRT((1-$AB475)*($E$6-$C$6)*($E$6-$D$6)))</f>
        <v/>
      </c>
      <c r="O475" s="14">
        <f>_xlfn.NORM.INV($AC475,$C$7,$D$7)</f>
        <v/>
      </c>
      <c r="P475" s="14">
        <f>$C$8+($D$8-$C$8)*$AD475</f>
        <v/>
      </c>
      <c r="Q475" s="14">
        <f>$C$9</f>
        <v/>
      </c>
      <c r="R475" s="14">
        <f>_xlfn.LOGNORM.INV($AF475,LN($C$10)-0.5*LN(1+($D$10/$C$10)^2),SQRT(LN(1+($D$10/$C$10)^2)))</f>
        <v/>
      </c>
      <c r="S475" s="14">
        <f>SUM(M475:R475)</f>
        <v/>
      </c>
      <c r="AA475">
        <f>RAND()</f>
        <v/>
      </c>
      <c r="AB475">
        <f>RAND()</f>
        <v/>
      </c>
      <c r="AC475">
        <f>RAND()</f>
        <v/>
      </c>
      <c r="AD475">
        <f>RAND()</f>
        <v/>
      </c>
      <c r="AE475">
        <f>RAND()</f>
        <v/>
      </c>
      <c r="AF475">
        <f>RAND()</f>
        <v/>
      </c>
    </row>
    <row r="476">
      <c r="M476" s="14">
        <f>_xlfn.BETA.INV($AA476,1+4*($D$5-$C$5)/($E$5-$C$5),1+4*($E$5-$D$5)/($E$5-$C$5),$C$5,$E$5)</f>
        <v/>
      </c>
      <c r="N476" s="14">
        <f>IF($AB476&lt;($D$6-$C$6)/($E$6-$C$6),$C$6+SQRT($AB476*($E$6-$C$6)*($D$6-$C$6)),$E$6-SQRT((1-$AB476)*($E$6-$C$6)*($E$6-$D$6)))</f>
        <v/>
      </c>
      <c r="O476" s="14">
        <f>_xlfn.NORM.INV($AC476,$C$7,$D$7)</f>
        <v/>
      </c>
      <c r="P476" s="14">
        <f>$C$8+($D$8-$C$8)*$AD476</f>
        <v/>
      </c>
      <c r="Q476" s="14">
        <f>$C$9</f>
        <v/>
      </c>
      <c r="R476" s="14">
        <f>_xlfn.LOGNORM.INV($AF476,LN($C$10)-0.5*LN(1+($D$10/$C$10)^2),SQRT(LN(1+($D$10/$C$10)^2)))</f>
        <v/>
      </c>
      <c r="S476" s="14">
        <f>SUM(M476:R476)</f>
        <v/>
      </c>
      <c r="AA476">
        <f>RAND()</f>
        <v/>
      </c>
      <c r="AB476">
        <f>RAND()</f>
        <v/>
      </c>
      <c r="AC476">
        <f>RAND()</f>
        <v/>
      </c>
      <c r="AD476">
        <f>RAND()</f>
        <v/>
      </c>
      <c r="AE476">
        <f>RAND()</f>
        <v/>
      </c>
      <c r="AF476">
        <f>RAND()</f>
        <v/>
      </c>
    </row>
    <row r="477">
      <c r="M477" s="14">
        <f>_xlfn.BETA.INV($AA477,1+4*($D$5-$C$5)/($E$5-$C$5),1+4*($E$5-$D$5)/($E$5-$C$5),$C$5,$E$5)</f>
        <v/>
      </c>
      <c r="N477" s="14">
        <f>IF($AB477&lt;($D$6-$C$6)/($E$6-$C$6),$C$6+SQRT($AB477*($E$6-$C$6)*($D$6-$C$6)),$E$6-SQRT((1-$AB477)*($E$6-$C$6)*($E$6-$D$6)))</f>
        <v/>
      </c>
      <c r="O477" s="14">
        <f>_xlfn.NORM.INV($AC477,$C$7,$D$7)</f>
        <v/>
      </c>
      <c r="P477" s="14">
        <f>$C$8+($D$8-$C$8)*$AD477</f>
        <v/>
      </c>
      <c r="Q477" s="14">
        <f>$C$9</f>
        <v/>
      </c>
      <c r="R477" s="14">
        <f>_xlfn.LOGNORM.INV($AF477,LN($C$10)-0.5*LN(1+($D$10/$C$10)^2),SQRT(LN(1+($D$10/$C$10)^2)))</f>
        <v/>
      </c>
      <c r="S477" s="14">
        <f>SUM(M477:R477)</f>
        <v/>
      </c>
      <c r="AA477">
        <f>RAND()</f>
        <v/>
      </c>
      <c r="AB477">
        <f>RAND()</f>
        <v/>
      </c>
      <c r="AC477">
        <f>RAND()</f>
        <v/>
      </c>
      <c r="AD477">
        <f>RAND()</f>
        <v/>
      </c>
      <c r="AE477">
        <f>RAND()</f>
        <v/>
      </c>
      <c r="AF477">
        <f>RAND()</f>
        <v/>
      </c>
    </row>
    <row r="478">
      <c r="M478" s="14">
        <f>_xlfn.BETA.INV($AA478,1+4*($D$5-$C$5)/($E$5-$C$5),1+4*($E$5-$D$5)/($E$5-$C$5),$C$5,$E$5)</f>
        <v/>
      </c>
      <c r="N478" s="14">
        <f>IF($AB478&lt;($D$6-$C$6)/($E$6-$C$6),$C$6+SQRT($AB478*($E$6-$C$6)*($D$6-$C$6)),$E$6-SQRT((1-$AB478)*($E$6-$C$6)*($E$6-$D$6)))</f>
        <v/>
      </c>
      <c r="O478" s="14">
        <f>_xlfn.NORM.INV($AC478,$C$7,$D$7)</f>
        <v/>
      </c>
      <c r="P478" s="14">
        <f>$C$8+($D$8-$C$8)*$AD478</f>
        <v/>
      </c>
      <c r="Q478" s="14">
        <f>$C$9</f>
        <v/>
      </c>
      <c r="R478" s="14">
        <f>_xlfn.LOGNORM.INV($AF478,LN($C$10)-0.5*LN(1+($D$10/$C$10)^2),SQRT(LN(1+($D$10/$C$10)^2)))</f>
        <v/>
      </c>
      <c r="S478" s="14">
        <f>SUM(M478:R478)</f>
        <v/>
      </c>
      <c r="AA478">
        <f>RAND()</f>
        <v/>
      </c>
      <c r="AB478">
        <f>RAND()</f>
        <v/>
      </c>
      <c r="AC478">
        <f>RAND()</f>
        <v/>
      </c>
      <c r="AD478">
        <f>RAND()</f>
        <v/>
      </c>
      <c r="AE478">
        <f>RAND()</f>
        <v/>
      </c>
      <c r="AF478">
        <f>RAND()</f>
        <v/>
      </c>
    </row>
    <row r="479">
      <c r="M479" s="14">
        <f>_xlfn.BETA.INV($AA479,1+4*($D$5-$C$5)/($E$5-$C$5),1+4*($E$5-$D$5)/($E$5-$C$5),$C$5,$E$5)</f>
        <v/>
      </c>
      <c r="N479" s="14">
        <f>IF($AB479&lt;($D$6-$C$6)/($E$6-$C$6),$C$6+SQRT($AB479*($E$6-$C$6)*($D$6-$C$6)),$E$6-SQRT((1-$AB479)*($E$6-$C$6)*($E$6-$D$6)))</f>
        <v/>
      </c>
      <c r="O479" s="14">
        <f>_xlfn.NORM.INV($AC479,$C$7,$D$7)</f>
        <v/>
      </c>
      <c r="P479" s="14">
        <f>$C$8+($D$8-$C$8)*$AD479</f>
        <v/>
      </c>
      <c r="Q479" s="14">
        <f>$C$9</f>
        <v/>
      </c>
      <c r="R479" s="14">
        <f>_xlfn.LOGNORM.INV($AF479,LN($C$10)-0.5*LN(1+($D$10/$C$10)^2),SQRT(LN(1+($D$10/$C$10)^2)))</f>
        <v/>
      </c>
      <c r="S479" s="14">
        <f>SUM(M479:R479)</f>
        <v/>
      </c>
      <c r="AA479">
        <f>RAND()</f>
        <v/>
      </c>
      <c r="AB479">
        <f>RAND()</f>
        <v/>
      </c>
      <c r="AC479">
        <f>RAND()</f>
        <v/>
      </c>
      <c r="AD479">
        <f>RAND()</f>
        <v/>
      </c>
      <c r="AE479">
        <f>RAND()</f>
        <v/>
      </c>
      <c r="AF479">
        <f>RAND()</f>
        <v/>
      </c>
    </row>
    <row r="480">
      <c r="M480" s="14">
        <f>_xlfn.BETA.INV($AA480,1+4*($D$5-$C$5)/($E$5-$C$5),1+4*($E$5-$D$5)/($E$5-$C$5),$C$5,$E$5)</f>
        <v/>
      </c>
      <c r="N480" s="14">
        <f>IF($AB480&lt;($D$6-$C$6)/($E$6-$C$6),$C$6+SQRT($AB480*($E$6-$C$6)*($D$6-$C$6)),$E$6-SQRT((1-$AB480)*($E$6-$C$6)*($E$6-$D$6)))</f>
        <v/>
      </c>
      <c r="O480" s="14">
        <f>_xlfn.NORM.INV($AC480,$C$7,$D$7)</f>
        <v/>
      </c>
      <c r="P480" s="14">
        <f>$C$8+($D$8-$C$8)*$AD480</f>
        <v/>
      </c>
      <c r="Q480" s="14">
        <f>$C$9</f>
        <v/>
      </c>
      <c r="R480" s="14">
        <f>_xlfn.LOGNORM.INV($AF480,LN($C$10)-0.5*LN(1+($D$10/$C$10)^2),SQRT(LN(1+($D$10/$C$10)^2)))</f>
        <v/>
      </c>
      <c r="S480" s="14">
        <f>SUM(M480:R480)</f>
        <v/>
      </c>
      <c r="AA480">
        <f>RAND()</f>
        <v/>
      </c>
      <c r="AB480">
        <f>RAND()</f>
        <v/>
      </c>
      <c r="AC480">
        <f>RAND()</f>
        <v/>
      </c>
      <c r="AD480">
        <f>RAND()</f>
        <v/>
      </c>
      <c r="AE480">
        <f>RAND()</f>
        <v/>
      </c>
      <c r="AF480">
        <f>RAND()</f>
        <v/>
      </c>
    </row>
    <row r="481">
      <c r="M481" s="14">
        <f>_xlfn.BETA.INV($AA481,1+4*($D$5-$C$5)/($E$5-$C$5),1+4*($E$5-$D$5)/($E$5-$C$5),$C$5,$E$5)</f>
        <v/>
      </c>
      <c r="N481" s="14">
        <f>IF($AB481&lt;($D$6-$C$6)/($E$6-$C$6),$C$6+SQRT($AB481*($E$6-$C$6)*($D$6-$C$6)),$E$6-SQRT((1-$AB481)*($E$6-$C$6)*($E$6-$D$6)))</f>
        <v/>
      </c>
      <c r="O481" s="14">
        <f>_xlfn.NORM.INV($AC481,$C$7,$D$7)</f>
        <v/>
      </c>
      <c r="P481" s="14">
        <f>$C$8+($D$8-$C$8)*$AD481</f>
        <v/>
      </c>
      <c r="Q481" s="14">
        <f>$C$9</f>
        <v/>
      </c>
      <c r="R481" s="14">
        <f>_xlfn.LOGNORM.INV($AF481,LN($C$10)-0.5*LN(1+($D$10/$C$10)^2),SQRT(LN(1+($D$10/$C$10)^2)))</f>
        <v/>
      </c>
      <c r="S481" s="14">
        <f>SUM(M481:R481)</f>
        <v/>
      </c>
      <c r="AA481">
        <f>RAND()</f>
        <v/>
      </c>
      <c r="AB481">
        <f>RAND()</f>
        <v/>
      </c>
      <c r="AC481">
        <f>RAND()</f>
        <v/>
      </c>
      <c r="AD481">
        <f>RAND()</f>
        <v/>
      </c>
      <c r="AE481">
        <f>RAND()</f>
        <v/>
      </c>
      <c r="AF481">
        <f>RAND()</f>
        <v/>
      </c>
    </row>
    <row r="482">
      <c r="M482" s="14">
        <f>_xlfn.BETA.INV($AA482,1+4*($D$5-$C$5)/($E$5-$C$5),1+4*($E$5-$D$5)/($E$5-$C$5),$C$5,$E$5)</f>
        <v/>
      </c>
      <c r="N482" s="14">
        <f>IF($AB482&lt;($D$6-$C$6)/($E$6-$C$6),$C$6+SQRT($AB482*($E$6-$C$6)*($D$6-$C$6)),$E$6-SQRT((1-$AB482)*($E$6-$C$6)*($E$6-$D$6)))</f>
        <v/>
      </c>
      <c r="O482" s="14">
        <f>_xlfn.NORM.INV($AC482,$C$7,$D$7)</f>
        <v/>
      </c>
      <c r="P482" s="14">
        <f>$C$8+($D$8-$C$8)*$AD482</f>
        <v/>
      </c>
      <c r="Q482" s="14">
        <f>$C$9</f>
        <v/>
      </c>
      <c r="R482" s="14">
        <f>_xlfn.LOGNORM.INV($AF482,LN($C$10)-0.5*LN(1+($D$10/$C$10)^2),SQRT(LN(1+($D$10/$C$10)^2)))</f>
        <v/>
      </c>
      <c r="S482" s="14">
        <f>SUM(M482:R482)</f>
        <v/>
      </c>
      <c r="AA482">
        <f>RAND()</f>
        <v/>
      </c>
      <c r="AB482">
        <f>RAND()</f>
        <v/>
      </c>
      <c r="AC482">
        <f>RAND()</f>
        <v/>
      </c>
      <c r="AD482">
        <f>RAND()</f>
        <v/>
      </c>
      <c r="AE482">
        <f>RAND()</f>
        <v/>
      </c>
      <c r="AF482">
        <f>RAND()</f>
        <v/>
      </c>
    </row>
    <row r="483">
      <c r="M483" s="14">
        <f>_xlfn.BETA.INV($AA483,1+4*($D$5-$C$5)/($E$5-$C$5),1+4*($E$5-$D$5)/($E$5-$C$5),$C$5,$E$5)</f>
        <v/>
      </c>
      <c r="N483" s="14">
        <f>IF($AB483&lt;($D$6-$C$6)/($E$6-$C$6),$C$6+SQRT($AB483*($E$6-$C$6)*($D$6-$C$6)),$E$6-SQRT((1-$AB483)*($E$6-$C$6)*($E$6-$D$6)))</f>
        <v/>
      </c>
      <c r="O483" s="14">
        <f>_xlfn.NORM.INV($AC483,$C$7,$D$7)</f>
        <v/>
      </c>
      <c r="P483" s="14">
        <f>$C$8+($D$8-$C$8)*$AD483</f>
        <v/>
      </c>
      <c r="Q483" s="14">
        <f>$C$9</f>
        <v/>
      </c>
      <c r="R483" s="14">
        <f>_xlfn.LOGNORM.INV($AF483,LN($C$10)-0.5*LN(1+($D$10/$C$10)^2),SQRT(LN(1+($D$10/$C$10)^2)))</f>
        <v/>
      </c>
      <c r="S483" s="14">
        <f>SUM(M483:R483)</f>
        <v/>
      </c>
      <c r="AA483">
        <f>RAND()</f>
        <v/>
      </c>
      <c r="AB483">
        <f>RAND()</f>
        <v/>
      </c>
      <c r="AC483">
        <f>RAND()</f>
        <v/>
      </c>
      <c r="AD483">
        <f>RAND()</f>
        <v/>
      </c>
      <c r="AE483">
        <f>RAND()</f>
        <v/>
      </c>
      <c r="AF483">
        <f>RAND()</f>
        <v/>
      </c>
    </row>
    <row r="484">
      <c r="M484" s="14">
        <f>_xlfn.BETA.INV($AA484,1+4*($D$5-$C$5)/($E$5-$C$5),1+4*($E$5-$D$5)/($E$5-$C$5),$C$5,$E$5)</f>
        <v/>
      </c>
      <c r="N484" s="14">
        <f>IF($AB484&lt;($D$6-$C$6)/($E$6-$C$6),$C$6+SQRT($AB484*($E$6-$C$6)*($D$6-$C$6)),$E$6-SQRT((1-$AB484)*($E$6-$C$6)*($E$6-$D$6)))</f>
        <v/>
      </c>
      <c r="O484" s="14">
        <f>_xlfn.NORM.INV($AC484,$C$7,$D$7)</f>
        <v/>
      </c>
      <c r="P484" s="14">
        <f>$C$8+($D$8-$C$8)*$AD484</f>
        <v/>
      </c>
      <c r="Q484" s="14">
        <f>$C$9</f>
        <v/>
      </c>
      <c r="R484" s="14">
        <f>_xlfn.LOGNORM.INV($AF484,LN($C$10)-0.5*LN(1+($D$10/$C$10)^2),SQRT(LN(1+($D$10/$C$10)^2)))</f>
        <v/>
      </c>
      <c r="S484" s="14">
        <f>SUM(M484:R484)</f>
        <v/>
      </c>
      <c r="AA484">
        <f>RAND()</f>
        <v/>
      </c>
      <c r="AB484">
        <f>RAND()</f>
        <v/>
      </c>
      <c r="AC484">
        <f>RAND()</f>
        <v/>
      </c>
      <c r="AD484">
        <f>RAND()</f>
        <v/>
      </c>
      <c r="AE484">
        <f>RAND()</f>
        <v/>
      </c>
      <c r="AF484">
        <f>RAND()</f>
        <v/>
      </c>
    </row>
    <row r="485">
      <c r="M485" s="14">
        <f>_xlfn.BETA.INV($AA485,1+4*($D$5-$C$5)/($E$5-$C$5),1+4*($E$5-$D$5)/($E$5-$C$5),$C$5,$E$5)</f>
        <v/>
      </c>
      <c r="N485" s="14">
        <f>IF($AB485&lt;($D$6-$C$6)/($E$6-$C$6),$C$6+SQRT($AB485*($E$6-$C$6)*($D$6-$C$6)),$E$6-SQRT((1-$AB485)*($E$6-$C$6)*($E$6-$D$6)))</f>
        <v/>
      </c>
      <c r="O485" s="14">
        <f>_xlfn.NORM.INV($AC485,$C$7,$D$7)</f>
        <v/>
      </c>
      <c r="P485" s="14">
        <f>$C$8+($D$8-$C$8)*$AD485</f>
        <v/>
      </c>
      <c r="Q485" s="14">
        <f>$C$9</f>
        <v/>
      </c>
      <c r="R485" s="14">
        <f>_xlfn.LOGNORM.INV($AF485,LN($C$10)-0.5*LN(1+($D$10/$C$10)^2),SQRT(LN(1+($D$10/$C$10)^2)))</f>
        <v/>
      </c>
      <c r="S485" s="14">
        <f>SUM(M485:R485)</f>
        <v/>
      </c>
      <c r="AA485">
        <f>RAND()</f>
        <v/>
      </c>
      <c r="AB485">
        <f>RAND()</f>
        <v/>
      </c>
      <c r="AC485">
        <f>RAND()</f>
        <v/>
      </c>
      <c r="AD485">
        <f>RAND()</f>
        <v/>
      </c>
      <c r="AE485">
        <f>RAND()</f>
        <v/>
      </c>
      <c r="AF485">
        <f>RAND()</f>
        <v/>
      </c>
    </row>
    <row r="486">
      <c r="M486" s="14">
        <f>_xlfn.BETA.INV($AA486,1+4*($D$5-$C$5)/($E$5-$C$5),1+4*($E$5-$D$5)/($E$5-$C$5),$C$5,$E$5)</f>
        <v/>
      </c>
      <c r="N486" s="14">
        <f>IF($AB486&lt;($D$6-$C$6)/($E$6-$C$6),$C$6+SQRT($AB486*($E$6-$C$6)*($D$6-$C$6)),$E$6-SQRT((1-$AB486)*($E$6-$C$6)*($E$6-$D$6)))</f>
        <v/>
      </c>
      <c r="O486" s="14">
        <f>_xlfn.NORM.INV($AC486,$C$7,$D$7)</f>
        <v/>
      </c>
      <c r="P486" s="14">
        <f>$C$8+($D$8-$C$8)*$AD486</f>
        <v/>
      </c>
      <c r="Q486" s="14">
        <f>$C$9</f>
        <v/>
      </c>
      <c r="R486" s="14">
        <f>_xlfn.LOGNORM.INV($AF486,LN($C$10)-0.5*LN(1+($D$10/$C$10)^2),SQRT(LN(1+($D$10/$C$10)^2)))</f>
        <v/>
      </c>
      <c r="S486" s="14">
        <f>SUM(M486:R486)</f>
        <v/>
      </c>
      <c r="AA486">
        <f>RAND()</f>
        <v/>
      </c>
      <c r="AB486">
        <f>RAND()</f>
        <v/>
      </c>
      <c r="AC486">
        <f>RAND()</f>
        <v/>
      </c>
      <c r="AD486">
        <f>RAND()</f>
        <v/>
      </c>
      <c r="AE486">
        <f>RAND()</f>
        <v/>
      </c>
      <c r="AF486">
        <f>RAND()</f>
        <v/>
      </c>
    </row>
    <row r="487">
      <c r="M487" s="14">
        <f>_xlfn.BETA.INV($AA487,1+4*($D$5-$C$5)/($E$5-$C$5),1+4*($E$5-$D$5)/($E$5-$C$5),$C$5,$E$5)</f>
        <v/>
      </c>
      <c r="N487" s="14">
        <f>IF($AB487&lt;($D$6-$C$6)/($E$6-$C$6),$C$6+SQRT($AB487*($E$6-$C$6)*($D$6-$C$6)),$E$6-SQRT((1-$AB487)*($E$6-$C$6)*($E$6-$D$6)))</f>
        <v/>
      </c>
      <c r="O487" s="14">
        <f>_xlfn.NORM.INV($AC487,$C$7,$D$7)</f>
        <v/>
      </c>
      <c r="P487" s="14">
        <f>$C$8+($D$8-$C$8)*$AD487</f>
        <v/>
      </c>
      <c r="Q487" s="14">
        <f>$C$9</f>
        <v/>
      </c>
      <c r="R487" s="14">
        <f>_xlfn.LOGNORM.INV($AF487,LN($C$10)-0.5*LN(1+($D$10/$C$10)^2),SQRT(LN(1+($D$10/$C$10)^2)))</f>
        <v/>
      </c>
      <c r="S487" s="14">
        <f>SUM(M487:R487)</f>
        <v/>
      </c>
      <c r="AA487">
        <f>RAND()</f>
        <v/>
      </c>
      <c r="AB487">
        <f>RAND()</f>
        <v/>
      </c>
      <c r="AC487">
        <f>RAND()</f>
        <v/>
      </c>
      <c r="AD487">
        <f>RAND()</f>
        <v/>
      </c>
      <c r="AE487">
        <f>RAND()</f>
        <v/>
      </c>
      <c r="AF487">
        <f>RAND()</f>
        <v/>
      </c>
    </row>
    <row r="488">
      <c r="M488" s="14">
        <f>_xlfn.BETA.INV($AA488,1+4*($D$5-$C$5)/($E$5-$C$5),1+4*($E$5-$D$5)/($E$5-$C$5),$C$5,$E$5)</f>
        <v/>
      </c>
      <c r="N488" s="14">
        <f>IF($AB488&lt;($D$6-$C$6)/($E$6-$C$6),$C$6+SQRT($AB488*($E$6-$C$6)*($D$6-$C$6)),$E$6-SQRT((1-$AB488)*($E$6-$C$6)*($E$6-$D$6)))</f>
        <v/>
      </c>
      <c r="O488" s="14">
        <f>_xlfn.NORM.INV($AC488,$C$7,$D$7)</f>
        <v/>
      </c>
      <c r="P488" s="14">
        <f>$C$8+($D$8-$C$8)*$AD488</f>
        <v/>
      </c>
      <c r="Q488" s="14">
        <f>$C$9</f>
        <v/>
      </c>
      <c r="R488" s="14">
        <f>_xlfn.LOGNORM.INV($AF488,LN($C$10)-0.5*LN(1+($D$10/$C$10)^2),SQRT(LN(1+($D$10/$C$10)^2)))</f>
        <v/>
      </c>
      <c r="S488" s="14">
        <f>SUM(M488:R488)</f>
        <v/>
      </c>
      <c r="AA488">
        <f>RAND()</f>
        <v/>
      </c>
      <c r="AB488">
        <f>RAND()</f>
        <v/>
      </c>
      <c r="AC488">
        <f>RAND()</f>
        <v/>
      </c>
      <c r="AD488">
        <f>RAND()</f>
        <v/>
      </c>
      <c r="AE488">
        <f>RAND()</f>
        <v/>
      </c>
      <c r="AF488">
        <f>RAND()</f>
        <v/>
      </c>
    </row>
    <row r="489">
      <c r="M489" s="14">
        <f>_xlfn.BETA.INV($AA489,1+4*($D$5-$C$5)/($E$5-$C$5),1+4*($E$5-$D$5)/($E$5-$C$5),$C$5,$E$5)</f>
        <v/>
      </c>
      <c r="N489" s="14">
        <f>IF($AB489&lt;($D$6-$C$6)/($E$6-$C$6),$C$6+SQRT($AB489*($E$6-$C$6)*($D$6-$C$6)),$E$6-SQRT((1-$AB489)*($E$6-$C$6)*($E$6-$D$6)))</f>
        <v/>
      </c>
      <c r="O489" s="14">
        <f>_xlfn.NORM.INV($AC489,$C$7,$D$7)</f>
        <v/>
      </c>
      <c r="P489" s="14">
        <f>$C$8+($D$8-$C$8)*$AD489</f>
        <v/>
      </c>
      <c r="Q489" s="14">
        <f>$C$9</f>
        <v/>
      </c>
      <c r="R489" s="14">
        <f>_xlfn.LOGNORM.INV($AF489,LN($C$10)-0.5*LN(1+($D$10/$C$10)^2),SQRT(LN(1+($D$10/$C$10)^2)))</f>
        <v/>
      </c>
      <c r="S489" s="14">
        <f>SUM(M489:R489)</f>
        <v/>
      </c>
      <c r="AA489">
        <f>RAND()</f>
        <v/>
      </c>
      <c r="AB489">
        <f>RAND()</f>
        <v/>
      </c>
      <c r="AC489">
        <f>RAND()</f>
        <v/>
      </c>
      <c r="AD489">
        <f>RAND()</f>
        <v/>
      </c>
      <c r="AE489">
        <f>RAND()</f>
        <v/>
      </c>
      <c r="AF489">
        <f>RAND()</f>
        <v/>
      </c>
    </row>
    <row r="490">
      <c r="M490" s="14">
        <f>_xlfn.BETA.INV($AA490,1+4*($D$5-$C$5)/($E$5-$C$5),1+4*($E$5-$D$5)/($E$5-$C$5),$C$5,$E$5)</f>
        <v/>
      </c>
      <c r="N490" s="14">
        <f>IF($AB490&lt;($D$6-$C$6)/($E$6-$C$6),$C$6+SQRT($AB490*($E$6-$C$6)*($D$6-$C$6)),$E$6-SQRT((1-$AB490)*($E$6-$C$6)*($E$6-$D$6)))</f>
        <v/>
      </c>
      <c r="O490" s="14">
        <f>_xlfn.NORM.INV($AC490,$C$7,$D$7)</f>
        <v/>
      </c>
      <c r="P490" s="14">
        <f>$C$8+($D$8-$C$8)*$AD490</f>
        <v/>
      </c>
      <c r="Q490" s="14">
        <f>$C$9</f>
        <v/>
      </c>
      <c r="R490" s="14">
        <f>_xlfn.LOGNORM.INV($AF490,LN($C$10)-0.5*LN(1+($D$10/$C$10)^2),SQRT(LN(1+($D$10/$C$10)^2)))</f>
        <v/>
      </c>
      <c r="S490" s="14">
        <f>SUM(M490:R490)</f>
        <v/>
      </c>
      <c r="AA490">
        <f>RAND()</f>
        <v/>
      </c>
      <c r="AB490">
        <f>RAND()</f>
        <v/>
      </c>
      <c r="AC490">
        <f>RAND()</f>
        <v/>
      </c>
      <c r="AD490">
        <f>RAND()</f>
        <v/>
      </c>
      <c r="AE490">
        <f>RAND()</f>
        <v/>
      </c>
      <c r="AF490">
        <f>RAND()</f>
        <v/>
      </c>
    </row>
    <row r="491">
      <c r="M491" s="14">
        <f>_xlfn.BETA.INV($AA491,1+4*($D$5-$C$5)/($E$5-$C$5),1+4*($E$5-$D$5)/($E$5-$C$5),$C$5,$E$5)</f>
        <v/>
      </c>
      <c r="N491" s="14">
        <f>IF($AB491&lt;($D$6-$C$6)/($E$6-$C$6),$C$6+SQRT($AB491*($E$6-$C$6)*($D$6-$C$6)),$E$6-SQRT((1-$AB491)*($E$6-$C$6)*($E$6-$D$6)))</f>
        <v/>
      </c>
      <c r="O491" s="14">
        <f>_xlfn.NORM.INV($AC491,$C$7,$D$7)</f>
        <v/>
      </c>
      <c r="P491" s="14">
        <f>$C$8+($D$8-$C$8)*$AD491</f>
        <v/>
      </c>
      <c r="Q491" s="14">
        <f>$C$9</f>
        <v/>
      </c>
      <c r="R491" s="14">
        <f>_xlfn.LOGNORM.INV($AF491,LN($C$10)-0.5*LN(1+($D$10/$C$10)^2),SQRT(LN(1+($D$10/$C$10)^2)))</f>
        <v/>
      </c>
      <c r="S491" s="14">
        <f>SUM(M491:R491)</f>
        <v/>
      </c>
      <c r="AA491">
        <f>RAND()</f>
        <v/>
      </c>
      <c r="AB491">
        <f>RAND()</f>
        <v/>
      </c>
      <c r="AC491">
        <f>RAND()</f>
        <v/>
      </c>
      <c r="AD491">
        <f>RAND()</f>
        <v/>
      </c>
      <c r="AE491">
        <f>RAND()</f>
        <v/>
      </c>
      <c r="AF491">
        <f>RAND()</f>
        <v/>
      </c>
    </row>
    <row r="492">
      <c r="M492" s="14">
        <f>_xlfn.BETA.INV($AA492,1+4*($D$5-$C$5)/($E$5-$C$5),1+4*($E$5-$D$5)/($E$5-$C$5),$C$5,$E$5)</f>
        <v/>
      </c>
      <c r="N492" s="14">
        <f>IF($AB492&lt;($D$6-$C$6)/($E$6-$C$6),$C$6+SQRT($AB492*($E$6-$C$6)*($D$6-$C$6)),$E$6-SQRT((1-$AB492)*($E$6-$C$6)*($E$6-$D$6)))</f>
        <v/>
      </c>
      <c r="O492" s="14">
        <f>_xlfn.NORM.INV($AC492,$C$7,$D$7)</f>
        <v/>
      </c>
      <c r="P492" s="14">
        <f>$C$8+($D$8-$C$8)*$AD492</f>
        <v/>
      </c>
      <c r="Q492" s="14">
        <f>$C$9</f>
        <v/>
      </c>
      <c r="R492" s="14">
        <f>_xlfn.LOGNORM.INV($AF492,LN($C$10)-0.5*LN(1+($D$10/$C$10)^2),SQRT(LN(1+($D$10/$C$10)^2)))</f>
        <v/>
      </c>
      <c r="S492" s="14">
        <f>SUM(M492:R492)</f>
        <v/>
      </c>
      <c r="AA492">
        <f>RAND()</f>
        <v/>
      </c>
      <c r="AB492">
        <f>RAND()</f>
        <v/>
      </c>
      <c r="AC492">
        <f>RAND()</f>
        <v/>
      </c>
      <c r="AD492">
        <f>RAND()</f>
        <v/>
      </c>
      <c r="AE492">
        <f>RAND()</f>
        <v/>
      </c>
      <c r="AF492">
        <f>RAND()</f>
        <v/>
      </c>
    </row>
    <row r="493">
      <c r="M493" s="14">
        <f>_xlfn.BETA.INV($AA493,1+4*($D$5-$C$5)/($E$5-$C$5),1+4*($E$5-$D$5)/($E$5-$C$5),$C$5,$E$5)</f>
        <v/>
      </c>
      <c r="N493" s="14">
        <f>IF($AB493&lt;($D$6-$C$6)/($E$6-$C$6),$C$6+SQRT($AB493*($E$6-$C$6)*($D$6-$C$6)),$E$6-SQRT((1-$AB493)*($E$6-$C$6)*($E$6-$D$6)))</f>
        <v/>
      </c>
      <c r="O493" s="14">
        <f>_xlfn.NORM.INV($AC493,$C$7,$D$7)</f>
        <v/>
      </c>
      <c r="P493" s="14">
        <f>$C$8+($D$8-$C$8)*$AD493</f>
        <v/>
      </c>
      <c r="Q493" s="14">
        <f>$C$9</f>
        <v/>
      </c>
      <c r="R493" s="14">
        <f>_xlfn.LOGNORM.INV($AF493,LN($C$10)-0.5*LN(1+($D$10/$C$10)^2),SQRT(LN(1+($D$10/$C$10)^2)))</f>
        <v/>
      </c>
      <c r="S493" s="14">
        <f>SUM(M493:R493)</f>
        <v/>
      </c>
      <c r="AA493">
        <f>RAND()</f>
        <v/>
      </c>
      <c r="AB493">
        <f>RAND()</f>
        <v/>
      </c>
      <c r="AC493">
        <f>RAND()</f>
        <v/>
      </c>
      <c r="AD493">
        <f>RAND()</f>
        <v/>
      </c>
      <c r="AE493">
        <f>RAND()</f>
        <v/>
      </c>
      <c r="AF493">
        <f>RAND()</f>
        <v/>
      </c>
    </row>
    <row r="494">
      <c r="M494" s="14">
        <f>_xlfn.BETA.INV($AA494,1+4*($D$5-$C$5)/($E$5-$C$5),1+4*($E$5-$D$5)/($E$5-$C$5),$C$5,$E$5)</f>
        <v/>
      </c>
      <c r="N494" s="14">
        <f>IF($AB494&lt;($D$6-$C$6)/($E$6-$C$6),$C$6+SQRT($AB494*($E$6-$C$6)*($D$6-$C$6)),$E$6-SQRT((1-$AB494)*($E$6-$C$6)*($E$6-$D$6)))</f>
        <v/>
      </c>
      <c r="O494" s="14">
        <f>_xlfn.NORM.INV($AC494,$C$7,$D$7)</f>
        <v/>
      </c>
      <c r="P494" s="14">
        <f>$C$8+($D$8-$C$8)*$AD494</f>
        <v/>
      </c>
      <c r="Q494" s="14">
        <f>$C$9</f>
        <v/>
      </c>
      <c r="R494" s="14">
        <f>_xlfn.LOGNORM.INV($AF494,LN($C$10)-0.5*LN(1+($D$10/$C$10)^2),SQRT(LN(1+($D$10/$C$10)^2)))</f>
        <v/>
      </c>
      <c r="S494" s="14">
        <f>SUM(M494:R494)</f>
        <v/>
      </c>
      <c r="AA494">
        <f>RAND()</f>
        <v/>
      </c>
      <c r="AB494">
        <f>RAND()</f>
        <v/>
      </c>
      <c r="AC494">
        <f>RAND()</f>
        <v/>
      </c>
      <c r="AD494">
        <f>RAND()</f>
        <v/>
      </c>
      <c r="AE494">
        <f>RAND()</f>
        <v/>
      </c>
      <c r="AF494">
        <f>RAND()</f>
        <v/>
      </c>
    </row>
    <row r="495">
      <c r="M495" s="14">
        <f>_xlfn.BETA.INV($AA495,1+4*($D$5-$C$5)/($E$5-$C$5),1+4*($E$5-$D$5)/($E$5-$C$5),$C$5,$E$5)</f>
        <v/>
      </c>
      <c r="N495" s="14">
        <f>IF($AB495&lt;($D$6-$C$6)/($E$6-$C$6),$C$6+SQRT($AB495*($E$6-$C$6)*($D$6-$C$6)),$E$6-SQRT((1-$AB495)*($E$6-$C$6)*($E$6-$D$6)))</f>
        <v/>
      </c>
      <c r="O495" s="14">
        <f>_xlfn.NORM.INV($AC495,$C$7,$D$7)</f>
        <v/>
      </c>
      <c r="P495" s="14">
        <f>$C$8+($D$8-$C$8)*$AD495</f>
        <v/>
      </c>
      <c r="Q495" s="14">
        <f>$C$9</f>
        <v/>
      </c>
      <c r="R495" s="14">
        <f>_xlfn.LOGNORM.INV($AF495,LN($C$10)-0.5*LN(1+($D$10/$C$10)^2),SQRT(LN(1+($D$10/$C$10)^2)))</f>
        <v/>
      </c>
      <c r="S495" s="14">
        <f>SUM(M495:R495)</f>
        <v/>
      </c>
      <c r="AA495">
        <f>RAND()</f>
        <v/>
      </c>
      <c r="AB495">
        <f>RAND()</f>
        <v/>
      </c>
      <c r="AC495">
        <f>RAND()</f>
        <v/>
      </c>
      <c r="AD495">
        <f>RAND()</f>
        <v/>
      </c>
      <c r="AE495">
        <f>RAND()</f>
        <v/>
      </c>
      <c r="AF495">
        <f>RAND()</f>
        <v/>
      </c>
    </row>
    <row r="496">
      <c r="M496" s="14">
        <f>_xlfn.BETA.INV($AA496,1+4*($D$5-$C$5)/($E$5-$C$5),1+4*($E$5-$D$5)/($E$5-$C$5),$C$5,$E$5)</f>
        <v/>
      </c>
      <c r="N496" s="14">
        <f>IF($AB496&lt;($D$6-$C$6)/($E$6-$C$6),$C$6+SQRT($AB496*($E$6-$C$6)*($D$6-$C$6)),$E$6-SQRT((1-$AB496)*($E$6-$C$6)*($E$6-$D$6)))</f>
        <v/>
      </c>
      <c r="O496" s="14">
        <f>_xlfn.NORM.INV($AC496,$C$7,$D$7)</f>
        <v/>
      </c>
      <c r="P496" s="14">
        <f>$C$8+($D$8-$C$8)*$AD496</f>
        <v/>
      </c>
      <c r="Q496" s="14">
        <f>$C$9</f>
        <v/>
      </c>
      <c r="R496" s="14">
        <f>_xlfn.LOGNORM.INV($AF496,LN($C$10)-0.5*LN(1+($D$10/$C$10)^2),SQRT(LN(1+($D$10/$C$10)^2)))</f>
        <v/>
      </c>
      <c r="S496" s="14">
        <f>SUM(M496:R496)</f>
        <v/>
      </c>
      <c r="AA496">
        <f>RAND()</f>
        <v/>
      </c>
      <c r="AB496">
        <f>RAND()</f>
        <v/>
      </c>
      <c r="AC496">
        <f>RAND()</f>
        <v/>
      </c>
      <c r="AD496">
        <f>RAND()</f>
        <v/>
      </c>
      <c r="AE496">
        <f>RAND()</f>
        <v/>
      </c>
      <c r="AF496">
        <f>RAND()</f>
        <v/>
      </c>
    </row>
    <row r="497">
      <c r="M497" s="14">
        <f>_xlfn.BETA.INV($AA497,1+4*($D$5-$C$5)/($E$5-$C$5),1+4*($E$5-$D$5)/($E$5-$C$5),$C$5,$E$5)</f>
        <v/>
      </c>
      <c r="N497" s="14">
        <f>IF($AB497&lt;($D$6-$C$6)/($E$6-$C$6),$C$6+SQRT($AB497*($E$6-$C$6)*($D$6-$C$6)),$E$6-SQRT((1-$AB497)*($E$6-$C$6)*($E$6-$D$6)))</f>
        <v/>
      </c>
      <c r="O497" s="14">
        <f>_xlfn.NORM.INV($AC497,$C$7,$D$7)</f>
        <v/>
      </c>
      <c r="P497" s="14">
        <f>$C$8+($D$8-$C$8)*$AD497</f>
        <v/>
      </c>
      <c r="Q497" s="14">
        <f>$C$9</f>
        <v/>
      </c>
      <c r="R497" s="14">
        <f>_xlfn.LOGNORM.INV($AF497,LN($C$10)-0.5*LN(1+($D$10/$C$10)^2),SQRT(LN(1+($D$10/$C$10)^2)))</f>
        <v/>
      </c>
      <c r="S497" s="14">
        <f>SUM(M497:R497)</f>
        <v/>
      </c>
      <c r="AA497">
        <f>RAND()</f>
        <v/>
      </c>
      <c r="AB497">
        <f>RAND()</f>
        <v/>
      </c>
      <c r="AC497">
        <f>RAND()</f>
        <v/>
      </c>
      <c r="AD497">
        <f>RAND()</f>
        <v/>
      </c>
      <c r="AE497">
        <f>RAND()</f>
        <v/>
      </c>
      <c r="AF497">
        <f>RAND()</f>
        <v/>
      </c>
    </row>
    <row r="498">
      <c r="M498" s="14">
        <f>_xlfn.BETA.INV($AA498,1+4*($D$5-$C$5)/($E$5-$C$5),1+4*($E$5-$D$5)/($E$5-$C$5),$C$5,$E$5)</f>
        <v/>
      </c>
      <c r="N498" s="14">
        <f>IF($AB498&lt;($D$6-$C$6)/($E$6-$C$6),$C$6+SQRT($AB498*($E$6-$C$6)*($D$6-$C$6)),$E$6-SQRT((1-$AB498)*($E$6-$C$6)*($E$6-$D$6)))</f>
        <v/>
      </c>
      <c r="O498" s="14">
        <f>_xlfn.NORM.INV($AC498,$C$7,$D$7)</f>
        <v/>
      </c>
      <c r="P498" s="14">
        <f>$C$8+($D$8-$C$8)*$AD498</f>
        <v/>
      </c>
      <c r="Q498" s="14">
        <f>$C$9</f>
        <v/>
      </c>
      <c r="R498" s="14">
        <f>_xlfn.LOGNORM.INV($AF498,LN($C$10)-0.5*LN(1+($D$10/$C$10)^2),SQRT(LN(1+($D$10/$C$10)^2)))</f>
        <v/>
      </c>
      <c r="S498" s="14">
        <f>SUM(M498:R498)</f>
        <v/>
      </c>
      <c r="AA498">
        <f>RAND()</f>
        <v/>
      </c>
      <c r="AB498">
        <f>RAND()</f>
        <v/>
      </c>
      <c r="AC498">
        <f>RAND()</f>
        <v/>
      </c>
      <c r="AD498">
        <f>RAND()</f>
        <v/>
      </c>
      <c r="AE498">
        <f>RAND()</f>
        <v/>
      </c>
      <c r="AF498">
        <f>RAND()</f>
        <v/>
      </c>
    </row>
    <row r="499">
      <c r="M499" s="14">
        <f>_xlfn.BETA.INV($AA499,1+4*($D$5-$C$5)/($E$5-$C$5),1+4*($E$5-$D$5)/($E$5-$C$5),$C$5,$E$5)</f>
        <v/>
      </c>
      <c r="N499" s="14">
        <f>IF($AB499&lt;($D$6-$C$6)/($E$6-$C$6),$C$6+SQRT($AB499*($E$6-$C$6)*($D$6-$C$6)),$E$6-SQRT((1-$AB499)*($E$6-$C$6)*($E$6-$D$6)))</f>
        <v/>
      </c>
      <c r="O499" s="14">
        <f>_xlfn.NORM.INV($AC499,$C$7,$D$7)</f>
        <v/>
      </c>
      <c r="P499" s="14">
        <f>$C$8+($D$8-$C$8)*$AD499</f>
        <v/>
      </c>
      <c r="Q499" s="14">
        <f>$C$9</f>
        <v/>
      </c>
      <c r="R499" s="14">
        <f>_xlfn.LOGNORM.INV($AF499,LN($C$10)-0.5*LN(1+($D$10/$C$10)^2),SQRT(LN(1+($D$10/$C$10)^2)))</f>
        <v/>
      </c>
      <c r="S499" s="14">
        <f>SUM(M499:R499)</f>
        <v/>
      </c>
      <c r="AA499">
        <f>RAND()</f>
        <v/>
      </c>
      <c r="AB499">
        <f>RAND()</f>
        <v/>
      </c>
      <c r="AC499">
        <f>RAND()</f>
        <v/>
      </c>
      <c r="AD499">
        <f>RAND()</f>
        <v/>
      </c>
      <c r="AE499">
        <f>RAND()</f>
        <v/>
      </c>
      <c r="AF499">
        <f>RAND()</f>
        <v/>
      </c>
    </row>
    <row r="500">
      <c r="M500" s="14">
        <f>_xlfn.BETA.INV($AA500,1+4*($D$5-$C$5)/($E$5-$C$5),1+4*($E$5-$D$5)/($E$5-$C$5),$C$5,$E$5)</f>
        <v/>
      </c>
      <c r="N500" s="14">
        <f>IF($AB500&lt;($D$6-$C$6)/($E$6-$C$6),$C$6+SQRT($AB500*($E$6-$C$6)*($D$6-$C$6)),$E$6-SQRT((1-$AB500)*($E$6-$C$6)*($E$6-$D$6)))</f>
        <v/>
      </c>
      <c r="O500" s="14">
        <f>_xlfn.NORM.INV($AC500,$C$7,$D$7)</f>
        <v/>
      </c>
      <c r="P500" s="14">
        <f>$C$8+($D$8-$C$8)*$AD500</f>
        <v/>
      </c>
      <c r="Q500" s="14">
        <f>$C$9</f>
        <v/>
      </c>
      <c r="R500" s="14">
        <f>_xlfn.LOGNORM.INV($AF500,LN($C$10)-0.5*LN(1+($D$10/$C$10)^2),SQRT(LN(1+($D$10/$C$10)^2)))</f>
        <v/>
      </c>
      <c r="S500" s="14">
        <f>SUM(M500:R500)</f>
        <v/>
      </c>
      <c r="AA500">
        <f>RAND()</f>
        <v/>
      </c>
      <c r="AB500">
        <f>RAND()</f>
        <v/>
      </c>
      <c r="AC500">
        <f>RAND()</f>
        <v/>
      </c>
      <c r="AD500">
        <f>RAND()</f>
        <v/>
      </c>
      <c r="AE500">
        <f>RAND()</f>
        <v/>
      </c>
      <c r="AF500">
        <f>RAND()</f>
        <v/>
      </c>
    </row>
    <row r="501">
      <c r="M501" s="14">
        <f>_xlfn.BETA.INV($AA501,1+4*($D$5-$C$5)/($E$5-$C$5),1+4*($E$5-$D$5)/($E$5-$C$5),$C$5,$E$5)</f>
        <v/>
      </c>
      <c r="N501" s="14">
        <f>IF($AB501&lt;($D$6-$C$6)/($E$6-$C$6),$C$6+SQRT($AB501*($E$6-$C$6)*($D$6-$C$6)),$E$6-SQRT((1-$AB501)*($E$6-$C$6)*($E$6-$D$6)))</f>
        <v/>
      </c>
      <c r="O501" s="14">
        <f>_xlfn.NORM.INV($AC501,$C$7,$D$7)</f>
        <v/>
      </c>
      <c r="P501" s="14">
        <f>$C$8+($D$8-$C$8)*$AD501</f>
        <v/>
      </c>
      <c r="Q501" s="14">
        <f>$C$9</f>
        <v/>
      </c>
      <c r="R501" s="14">
        <f>_xlfn.LOGNORM.INV($AF501,LN($C$10)-0.5*LN(1+($D$10/$C$10)^2),SQRT(LN(1+($D$10/$C$10)^2)))</f>
        <v/>
      </c>
      <c r="S501" s="14">
        <f>SUM(M501:R501)</f>
        <v/>
      </c>
      <c r="AA501">
        <f>RAND()</f>
        <v/>
      </c>
      <c r="AB501">
        <f>RAND()</f>
        <v/>
      </c>
      <c r="AC501">
        <f>RAND()</f>
        <v/>
      </c>
      <c r="AD501">
        <f>RAND()</f>
        <v/>
      </c>
      <c r="AE501">
        <f>RAND()</f>
        <v/>
      </c>
      <c r="AF501">
        <f>RAND()</f>
        <v/>
      </c>
    </row>
    <row r="502">
      <c r="M502" s="14">
        <f>_xlfn.BETA.INV($AA502,1+4*($D$5-$C$5)/($E$5-$C$5),1+4*($E$5-$D$5)/($E$5-$C$5),$C$5,$E$5)</f>
        <v/>
      </c>
      <c r="N502" s="14">
        <f>IF($AB502&lt;($D$6-$C$6)/($E$6-$C$6),$C$6+SQRT($AB502*($E$6-$C$6)*($D$6-$C$6)),$E$6-SQRT((1-$AB502)*($E$6-$C$6)*($E$6-$D$6)))</f>
        <v/>
      </c>
      <c r="O502" s="14">
        <f>_xlfn.NORM.INV($AC502,$C$7,$D$7)</f>
        <v/>
      </c>
      <c r="P502" s="14">
        <f>$C$8+($D$8-$C$8)*$AD502</f>
        <v/>
      </c>
      <c r="Q502" s="14">
        <f>$C$9</f>
        <v/>
      </c>
      <c r="R502" s="14">
        <f>_xlfn.LOGNORM.INV($AF502,LN($C$10)-0.5*LN(1+($D$10/$C$10)^2),SQRT(LN(1+($D$10/$C$10)^2)))</f>
        <v/>
      </c>
      <c r="S502" s="14">
        <f>SUM(M502:R502)</f>
        <v/>
      </c>
      <c r="AA502">
        <f>RAND()</f>
        <v/>
      </c>
      <c r="AB502">
        <f>RAND()</f>
        <v/>
      </c>
      <c r="AC502">
        <f>RAND()</f>
        <v/>
      </c>
      <c r="AD502">
        <f>RAND()</f>
        <v/>
      </c>
      <c r="AE502">
        <f>RAND()</f>
        <v/>
      </c>
      <c r="AF502">
        <f>RAND()</f>
        <v/>
      </c>
    </row>
    <row r="503">
      <c r="M503" s="14">
        <f>_xlfn.BETA.INV($AA503,1+4*($D$5-$C$5)/($E$5-$C$5),1+4*($E$5-$D$5)/($E$5-$C$5),$C$5,$E$5)</f>
        <v/>
      </c>
      <c r="N503" s="14">
        <f>IF($AB503&lt;($D$6-$C$6)/($E$6-$C$6),$C$6+SQRT($AB503*($E$6-$C$6)*($D$6-$C$6)),$E$6-SQRT((1-$AB503)*($E$6-$C$6)*($E$6-$D$6)))</f>
        <v/>
      </c>
      <c r="O503" s="14">
        <f>_xlfn.NORM.INV($AC503,$C$7,$D$7)</f>
        <v/>
      </c>
      <c r="P503" s="14">
        <f>$C$8+($D$8-$C$8)*$AD503</f>
        <v/>
      </c>
      <c r="Q503" s="14">
        <f>$C$9</f>
        <v/>
      </c>
      <c r="R503" s="14">
        <f>_xlfn.LOGNORM.INV($AF503,LN($C$10)-0.5*LN(1+($D$10/$C$10)^2),SQRT(LN(1+($D$10/$C$10)^2)))</f>
        <v/>
      </c>
      <c r="S503" s="14">
        <f>SUM(M503:R503)</f>
        <v/>
      </c>
      <c r="AA503">
        <f>RAND()</f>
        <v/>
      </c>
      <c r="AB503">
        <f>RAND()</f>
        <v/>
      </c>
      <c r="AC503">
        <f>RAND()</f>
        <v/>
      </c>
      <c r="AD503">
        <f>RAND()</f>
        <v/>
      </c>
      <c r="AE503">
        <f>RAND()</f>
        <v/>
      </c>
      <c r="AF503">
        <f>RAND()</f>
        <v/>
      </c>
    </row>
    <row r="504">
      <c r="M504" s="14">
        <f>_xlfn.BETA.INV($AA504,1+4*($D$5-$C$5)/($E$5-$C$5),1+4*($E$5-$D$5)/($E$5-$C$5),$C$5,$E$5)</f>
        <v/>
      </c>
      <c r="N504" s="14">
        <f>IF($AB504&lt;($D$6-$C$6)/($E$6-$C$6),$C$6+SQRT($AB504*($E$6-$C$6)*($D$6-$C$6)),$E$6-SQRT((1-$AB504)*($E$6-$C$6)*($E$6-$D$6)))</f>
        <v/>
      </c>
      <c r="O504" s="14">
        <f>_xlfn.NORM.INV($AC504,$C$7,$D$7)</f>
        <v/>
      </c>
      <c r="P504" s="14">
        <f>$C$8+($D$8-$C$8)*$AD504</f>
        <v/>
      </c>
      <c r="Q504" s="14">
        <f>$C$9</f>
        <v/>
      </c>
      <c r="R504" s="14">
        <f>_xlfn.LOGNORM.INV($AF504,LN($C$10)-0.5*LN(1+($D$10/$C$10)^2),SQRT(LN(1+($D$10/$C$10)^2)))</f>
        <v/>
      </c>
      <c r="S504" s="14">
        <f>SUM(M504:R504)</f>
        <v/>
      </c>
      <c r="AA504">
        <f>RAND()</f>
        <v/>
      </c>
      <c r="AB504">
        <f>RAND()</f>
        <v/>
      </c>
      <c r="AC504">
        <f>RAND()</f>
        <v/>
      </c>
      <c r="AD504">
        <f>RAND()</f>
        <v/>
      </c>
      <c r="AE504">
        <f>RAND()</f>
        <v/>
      </c>
      <c r="AF504">
        <f>RAND()</f>
        <v/>
      </c>
    </row>
    <row r="505">
      <c r="M505" s="14">
        <f>_xlfn.BETA.INV($AA505,1+4*($D$5-$C$5)/($E$5-$C$5),1+4*($E$5-$D$5)/($E$5-$C$5),$C$5,$E$5)</f>
        <v/>
      </c>
      <c r="N505" s="14">
        <f>IF($AB505&lt;($D$6-$C$6)/($E$6-$C$6),$C$6+SQRT($AB505*($E$6-$C$6)*($D$6-$C$6)),$E$6-SQRT((1-$AB505)*($E$6-$C$6)*($E$6-$D$6)))</f>
        <v/>
      </c>
      <c r="O505" s="14">
        <f>_xlfn.NORM.INV($AC505,$C$7,$D$7)</f>
        <v/>
      </c>
      <c r="P505" s="14">
        <f>$C$8+($D$8-$C$8)*$AD505</f>
        <v/>
      </c>
      <c r="Q505" s="14">
        <f>$C$9</f>
        <v/>
      </c>
      <c r="R505" s="14">
        <f>_xlfn.LOGNORM.INV($AF505,LN($C$10)-0.5*LN(1+($D$10/$C$10)^2),SQRT(LN(1+($D$10/$C$10)^2)))</f>
        <v/>
      </c>
      <c r="S505" s="14">
        <f>SUM(M505:R505)</f>
        <v/>
      </c>
      <c r="AA505">
        <f>RAND()</f>
        <v/>
      </c>
      <c r="AB505">
        <f>RAND()</f>
        <v/>
      </c>
      <c r="AC505">
        <f>RAND()</f>
        <v/>
      </c>
      <c r="AD505">
        <f>RAND()</f>
        <v/>
      </c>
      <c r="AE505">
        <f>RAND()</f>
        <v/>
      </c>
      <c r="AF505">
        <f>RAND()</f>
        <v/>
      </c>
    </row>
    <row r="506">
      <c r="M506" s="14">
        <f>_xlfn.BETA.INV($AA506,1+4*($D$5-$C$5)/($E$5-$C$5),1+4*($E$5-$D$5)/($E$5-$C$5),$C$5,$E$5)</f>
        <v/>
      </c>
      <c r="N506" s="14">
        <f>IF($AB506&lt;($D$6-$C$6)/($E$6-$C$6),$C$6+SQRT($AB506*($E$6-$C$6)*($D$6-$C$6)),$E$6-SQRT((1-$AB506)*($E$6-$C$6)*($E$6-$D$6)))</f>
        <v/>
      </c>
      <c r="O506" s="14">
        <f>_xlfn.NORM.INV($AC506,$C$7,$D$7)</f>
        <v/>
      </c>
      <c r="P506" s="14">
        <f>$C$8+($D$8-$C$8)*$AD506</f>
        <v/>
      </c>
      <c r="Q506" s="14">
        <f>$C$9</f>
        <v/>
      </c>
      <c r="R506" s="14">
        <f>_xlfn.LOGNORM.INV($AF506,LN($C$10)-0.5*LN(1+($D$10/$C$10)^2),SQRT(LN(1+($D$10/$C$10)^2)))</f>
        <v/>
      </c>
      <c r="S506" s="14">
        <f>SUM(M506:R506)</f>
        <v/>
      </c>
      <c r="AA506">
        <f>RAND()</f>
        <v/>
      </c>
      <c r="AB506">
        <f>RAND()</f>
        <v/>
      </c>
      <c r="AC506">
        <f>RAND()</f>
        <v/>
      </c>
      <c r="AD506">
        <f>RAND()</f>
        <v/>
      </c>
      <c r="AE506">
        <f>RAND()</f>
        <v/>
      </c>
      <c r="AF506">
        <f>RAND()</f>
        <v/>
      </c>
    </row>
    <row r="507">
      <c r="M507" s="14">
        <f>_xlfn.BETA.INV($AA507,1+4*($D$5-$C$5)/($E$5-$C$5),1+4*($E$5-$D$5)/($E$5-$C$5),$C$5,$E$5)</f>
        <v/>
      </c>
      <c r="N507" s="14">
        <f>IF($AB507&lt;($D$6-$C$6)/($E$6-$C$6),$C$6+SQRT($AB507*($E$6-$C$6)*($D$6-$C$6)),$E$6-SQRT((1-$AB507)*($E$6-$C$6)*($E$6-$D$6)))</f>
        <v/>
      </c>
      <c r="O507" s="14">
        <f>_xlfn.NORM.INV($AC507,$C$7,$D$7)</f>
        <v/>
      </c>
      <c r="P507" s="14">
        <f>$C$8+($D$8-$C$8)*$AD507</f>
        <v/>
      </c>
      <c r="Q507" s="14">
        <f>$C$9</f>
        <v/>
      </c>
      <c r="R507" s="14">
        <f>_xlfn.LOGNORM.INV($AF507,LN($C$10)-0.5*LN(1+($D$10/$C$10)^2),SQRT(LN(1+($D$10/$C$10)^2)))</f>
        <v/>
      </c>
      <c r="S507" s="14">
        <f>SUM(M507:R507)</f>
        <v/>
      </c>
      <c r="AA507">
        <f>RAND()</f>
        <v/>
      </c>
      <c r="AB507">
        <f>RAND()</f>
        <v/>
      </c>
      <c r="AC507">
        <f>RAND()</f>
        <v/>
      </c>
      <c r="AD507">
        <f>RAND()</f>
        <v/>
      </c>
      <c r="AE507">
        <f>RAND()</f>
        <v/>
      </c>
      <c r="AF507">
        <f>RAND()</f>
        <v/>
      </c>
    </row>
    <row r="508">
      <c r="M508" s="14">
        <f>_xlfn.BETA.INV($AA508,1+4*($D$5-$C$5)/($E$5-$C$5),1+4*($E$5-$D$5)/($E$5-$C$5),$C$5,$E$5)</f>
        <v/>
      </c>
      <c r="N508" s="14">
        <f>IF($AB508&lt;($D$6-$C$6)/($E$6-$C$6),$C$6+SQRT($AB508*($E$6-$C$6)*($D$6-$C$6)),$E$6-SQRT((1-$AB508)*($E$6-$C$6)*($E$6-$D$6)))</f>
        <v/>
      </c>
      <c r="O508" s="14">
        <f>_xlfn.NORM.INV($AC508,$C$7,$D$7)</f>
        <v/>
      </c>
      <c r="P508" s="14">
        <f>$C$8+($D$8-$C$8)*$AD508</f>
        <v/>
      </c>
      <c r="Q508" s="14">
        <f>$C$9</f>
        <v/>
      </c>
      <c r="R508" s="14">
        <f>_xlfn.LOGNORM.INV($AF508,LN($C$10)-0.5*LN(1+($D$10/$C$10)^2),SQRT(LN(1+($D$10/$C$10)^2)))</f>
        <v/>
      </c>
      <c r="S508" s="14">
        <f>SUM(M508:R508)</f>
        <v/>
      </c>
      <c r="AA508">
        <f>RAND()</f>
        <v/>
      </c>
      <c r="AB508">
        <f>RAND()</f>
        <v/>
      </c>
      <c r="AC508">
        <f>RAND()</f>
        <v/>
      </c>
      <c r="AD508">
        <f>RAND()</f>
        <v/>
      </c>
      <c r="AE508">
        <f>RAND()</f>
        <v/>
      </c>
      <c r="AF508">
        <f>RAND()</f>
        <v/>
      </c>
    </row>
    <row r="509">
      <c r="M509" s="14">
        <f>_xlfn.BETA.INV($AA509,1+4*($D$5-$C$5)/($E$5-$C$5),1+4*($E$5-$D$5)/($E$5-$C$5),$C$5,$E$5)</f>
        <v/>
      </c>
      <c r="N509" s="14">
        <f>IF($AB509&lt;($D$6-$C$6)/($E$6-$C$6),$C$6+SQRT($AB509*($E$6-$C$6)*($D$6-$C$6)),$E$6-SQRT((1-$AB509)*($E$6-$C$6)*($E$6-$D$6)))</f>
        <v/>
      </c>
      <c r="O509" s="14">
        <f>_xlfn.NORM.INV($AC509,$C$7,$D$7)</f>
        <v/>
      </c>
      <c r="P509" s="14">
        <f>$C$8+($D$8-$C$8)*$AD509</f>
        <v/>
      </c>
      <c r="Q509" s="14">
        <f>$C$9</f>
        <v/>
      </c>
      <c r="R509" s="14">
        <f>_xlfn.LOGNORM.INV($AF509,LN($C$10)-0.5*LN(1+($D$10/$C$10)^2),SQRT(LN(1+($D$10/$C$10)^2)))</f>
        <v/>
      </c>
      <c r="S509" s="14">
        <f>SUM(M509:R509)</f>
        <v/>
      </c>
      <c r="AA509">
        <f>RAND()</f>
        <v/>
      </c>
      <c r="AB509">
        <f>RAND()</f>
        <v/>
      </c>
      <c r="AC509">
        <f>RAND()</f>
        <v/>
      </c>
      <c r="AD509">
        <f>RAND()</f>
        <v/>
      </c>
      <c r="AE509">
        <f>RAND()</f>
        <v/>
      </c>
      <c r="AF509">
        <f>RAND()</f>
        <v/>
      </c>
    </row>
    <row r="510">
      <c r="M510" s="14">
        <f>_xlfn.BETA.INV($AA510,1+4*($D$5-$C$5)/($E$5-$C$5),1+4*($E$5-$D$5)/($E$5-$C$5),$C$5,$E$5)</f>
        <v/>
      </c>
      <c r="N510" s="14">
        <f>IF($AB510&lt;($D$6-$C$6)/($E$6-$C$6),$C$6+SQRT($AB510*($E$6-$C$6)*($D$6-$C$6)),$E$6-SQRT((1-$AB510)*($E$6-$C$6)*($E$6-$D$6)))</f>
        <v/>
      </c>
      <c r="O510" s="14">
        <f>_xlfn.NORM.INV($AC510,$C$7,$D$7)</f>
        <v/>
      </c>
      <c r="P510" s="14">
        <f>$C$8+($D$8-$C$8)*$AD510</f>
        <v/>
      </c>
      <c r="Q510" s="14">
        <f>$C$9</f>
        <v/>
      </c>
      <c r="R510" s="14">
        <f>_xlfn.LOGNORM.INV($AF510,LN($C$10)-0.5*LN(1+($D$10/$C$10)^2),SQRT(LN(1+($D$10/$C$10)^2)))</f>
        <v/>
      </c>
      <c r="S510" s="14">
        <f>SUM(M510:R510)</f>
        <v/>
      </c>
      <c r="AA510">
        <f>RAND()</f>
        <v/>
      </c>
      <c r="AB510">
        <f>RAND()</f>
        <v/>
      </c>
      <c r="AC510">
        <f>RAND()</f>
        <v/>
      </c>
      <c r="AD510">
        <f>RAND()</f>
        <v/>
      </c>
      <c r="AE510">
        <f>RAND()</f>
        <v/>
      </c>
      <c r="AF510">
        <f>RAND()</f>
        <v/>
      </c>
    </row>
    <row r="511">
      <c r="M511" s="14">
        <f>_xlfn.BETA.INV($AA511,1+4*($D$5-$C$5)/($E$5-$C$5),1+4*($E$5-$D$5)/($E$5-$C$5),$C$5,$E$5)</f>
        <v/>
      </c>
      <c r="N511" s="14">
        <f>IF($AB511&lt;($D$6-$C$6)/($E$6-$C$6),$C$6+SQRT($AB511*($E$6-$C$6)*($D$6-$C$6)),$E$6-SQRT((1-$AB511)*($E$6-$C$6)*($E$6-$D$6)))</f>
        <v/>
      </c>
      <c r="O511" s="14">
        <f>_xlfn.NORM.INV($AC511,$C$7,$D$7)</f>
        <v/>
      </c>
      <c r="P511" s="14">
        <f>$C$8+($D$8-$C$8)*$AD511</f>
        <v/>
      </c>
      <c r="Q511" s="14">
        <f>$C$9</f>
        <v/>
      </c>
      <c r="R511" s="14">
        <f>_xlfn.LOGNORM.INV($AF511,LN($C$10)-0.5*LN(1+($D$10/$C$10)^2),SQRT(LN(1+($D$10/$C$10)^2)))</f>
        <v/>
      </c>
      <c r="S511" s="14">
        <f>SUM(M511:R511)</f>
        <v/>
      </c>
      <c r="AA511">
        <f>RAND()</f>
        <v/>
      </c>
      <c r="AB511">
        <f>RAND()</f>
        <v/>
      </c>
      <c r="AC511">
        <f>RAND()</f>
        <v/>
      </c>
      <c r="AD511">
        <f>RAND()</f>
        <v/>
      </c>
      <c r="AE511">
        <f>RAND()</f>
        <v/>
      </c>
      <c r="AF511">
        <f>RAND()</f>
        <v/>
      </c>
    </row>
    <row r="512">
      <c r="M512" s="14">
        <f>_xlfn.BETA.INV($AA512,1+4*($D$5-$C$5)/($E$5-$C$5),1+4*($E$5-$D$5)/($E$5-$C$5),$C$5,$E$5)</f>
        <v/>
      </c>
      <c r="N512" s="14">
        <f>IF($AB512&lt;($D$6-$C$6)/($E$6-$C$6),$C$6+SQRT($AB512*($E$6-$C$6)*($D$6-$C$6)),$E$6-SQRT((1-$AB512)*($E$6-$C$6)*($E$6-$D$6)))</f>
        <v/>
      </c>
      <c r="O512" s="14">
        <f>_xlfn.NORM.INV($AC512,$C$7,$D$7)</f>
        <v/>
      </c>
      <c r="P512" s="14">
        <f>$C$8+($D$8-$C$8)*$AD512</f>
        <v/>
      </c>
      <c r="Q512" s="14">
        <f>$C$9</f>
        <v/>
      </c>
      <c r="R512" s="14">
        <f>_xlfn.LOGNORM.INV($AF512,LN($C$10)-0.5*LN(1+($D$10/$C$10)^2),SQRT(LN(1+($D$10/$C$10)^2)))</f>
        <v/>
      </c>
      <c r="S512" s="14">
        <f>SUM(M512:R512)</f>
        <v/>
      </c>
      <c r="AA512">
        <f>RAND()</f>
        <v/>
      </c>
      <c r="AB512">
        <f>RAND()</f>
        <v/>
      </c>
      <c r="AC512">
        <f>RAND()</f>
        <v/>
      </c>
      <c r="AD512">
        <f>RAND()</f>
        <v/>
      </c>
      <c r="AE512">
        <f>RAND()</f>
        <v/>
      </c>
      <c r="AF512">
        <f>RAND()</f>
        <v/>
      </c>
    </row>
    <row r="513">
      <c r="M513" s="14">
        <f>_xlfn.BETA.INV($AA513,1+4*($D$5-$C$5)/($E$5-$C$5),1+4*($E$5-$D$5)/($E$5-$C$5),$C$5,$E$5)</f>
        <v/>
      </c>
      <c r="N513" s="14">
        <f>IF($AB513&lt;($D$6-$C$6)/($E$6-$C$6),$C$6+SQRT($AB513*($E$6-$C$6)*($D$6-$C$6)),$E$6-SQRT((1-$AB513)*($E$6-$C$6)*($E$6-$D$6)))</f>
        <v/>
      </c>
      <c r="O513" s="14">
        <f>_xlfn.NORM.INV($AC513,$C$7,$D$7)</f>
        <v/>
      </c>
      <c r="P513" s="14">
        <f>$C$8+($D$8-$C$8)*$AD513</f>
        <v/>
      </c>
      <c r="Q513" s="14">
        <f>$C$9</f>
        <v/>
      </c>
      <c r="R513" s="14">
        <f>_xlfn.LOGNORM.INV($AF513,LN($C$10)-0.5*LN(1+($D$10/$C$10)^2),SQRT(LN(1+($D$10/$C$10)^2)))</f>
        <v/>
      </c>
      <c r="S513" s="14">
        <f>SUM(M513:R513)</f>
        <v/>
      </c>
      <c r="AA513">
        <f>RAND()</f>
        <v/>
      </c>
      <c r="AB513">
        <f>RAND()</f>
        <v/>
      </c>
      <c r="AC513">
        <f>RAND()</f>
        <v/>
      </c>
      <c r="AD513">
        <f>RAND()</f>
        <v/>
      </c>
      <c r="AE513">
        <f>RAND()</f>
        <v/>
      </c>
      <c r="AF513">
        <f>RAND()</f>
        <v/>
      </c>
    </row>
    <row r="514">
      <c r="M514" s="14">
        <f>_xlfn.BETA.INV($AA514,1+4*($D$5-$C$5)/($E$5-$C$5),1+4*($E$5-$D$5)/($E$5-$C$5),$C$5,$E$5)</f>
        <v/>
      </c>
      <c r="N514" s="14">
        <f>IF($AB514&lt;($D$6-$C$6)/($E$6-$C$6),$C$6+SQRT($AB514*($E$6-$C$6)*($D$6-$C$6)),$E$6-SQRT((1-$AB514)*($E$6-$C$6)*($E$6-$D$6)))</f>
        <v/>
      </c>
      <c r="O514" s="14">
        <f>_xlfn.NORM.INV($AC514,$C$7,$D$7)</f>
        <v/>
      </c>
      <c r="P514" s="14">
        <f>$C$8+($D$8-$C$8)*$AD514</f>
        <v/>
      </c>
      <c r="Q514" s="14">
        <f>$C$9</f>
        <v/>
      </c>
      <c r="R514" s="14">
        <f>_xlfn.LOGNORM.INV($AF514,LN($C$10)-0.5*LN(1+($D$10/$C$10)^2),SQRT(LN(1+($D$10/$C$10)^2)))</f>
        <v/>
      </c>
      <c r="S514" s="14">
        <f>SUM(M514:R514)</f>
        <v/>
      </c>
      <c r="AA514">
        <f>RAND()</f>
        <v/>
      </c>
      <c r="AB514">
        <f>RAND()</f>
        <v/>
      </c>
      <c r="AC514">
        <f>RAND()</f>
        <v/>
      </c>
      <c r="AD514">
        <f>RAND()</f>
        <v/>
      </c>
      <c r="AE514">
        <f>RAND()</f>
        <v/>
      </c>
      <c r="AF514">
        <f>RAND()</f>
        <v/>
      </c>
    </row>
    <row r="515">
      <c r="M515" s="14">
        <f>_xlfn.BETA.INV($AA515,1+4*($D$5-$C$5)/($E$5-$C$5),1+4*($E$5-$D$5)/($E$5-$C$5),$C$5,$E$5)</f>
        <v/>
      </c>
      <c r="N515" s="14">
        <f>IF($AB515&lt;($D$6-$C$6)/($E$6-$C$6),$C$6+SQRT($AB515*($E$6-$C$6)*($D$6-$C$6)),$E$6-SQRT((1-$AB515)*($E$6-$C$6)*($E$6-$D$6)))</f>
        <v/>
      </c>
      <c r="O515" s="14">
        <f>_xlfn.NORM.INV($AC515,$C$7,$D$7)</f>
        <v/>
      </c>
      <c r="P515" s="14">
        <f>$C$8+($D$8-$C$8)*$AD515</f>
        <v/>
      </c>
      <c r="Q515" s="14">
        <f>$C$9</f>
        <v/>
      </c>
      <c r="R515" s="14">
        <f>_xlfn.LOGNORM.INV($AF515,LN($C$10)-0.5*LN(1+($D$10/$C$10)^2),SQRT(LN(1+($D$10/$C$10)^2)))</f>
        <v/>
      </c>
      <c r="S515" s="14">
        <f>SUM(M515:R515)</f>
        <v/>
      </c>
      <c r="AA515">
        <f>RAND()</f>
        <v/>
      </c>
      <c r="AB515">
        <f>RAND()</f>
        <v/>
      </c>
      <c r="AC515">
        <f>RAND()</f>
        <v/>
      </c>
      <c r="AD515">
        <f>RAND()</f>
        <v/>
      </c>
      <c r="AE515">
        <f>RAND()</f>
        <v/>
      </c>
      <c r="AF515">
        <f>RAND()</f>
        <v/>
      </c>
    </row>
    <row r="516">
      <c r="M516" s="14">
        <f>_xlfn.BETA.INV($AA516,1+4*($D$5-$C$5)/($E$5-$C$5),1+4*($E$5-$D$5)/($E$5-$C$5),$C$5,$E$5)</f>
        <v/>
      </c>
      <c r="N516" s="14">
        <f>IF($AB516&lt;($D$6-$C$6)/($E$6-$C$6),$C$6+SQRT($AB516*($E$6-$C$6)*($D$6-$C$6)),$E$6-SQRT((1-$AB516)*($E$6-$C$6)*($E$6-$D$6)))</f>
        <v/>
      </c>
      <c r="O516" s="14">
        <f>_xlfn.NORM.INV($AC516,$C$7,$D$7)</f>
        <v/>
      </c>
      <c r="P516" s="14">
        <f>$C$8+($D$8-$C$8)*$AD516</f>
        <v/>
      </c>
      <c r="Q516" s="14">
        <f>$C$9</f>
        <v/>
      </c>
      <c r="R516" s="14">
        <f>_xlfn.LOGNORM.INV($AF516,LN($C$10)-0.5*LN(1+($D$10/$C$10)^2),SQRT(LN(1+($D$10/$C$10)^2)))</f>
        <v/>
      </c>
      <c r="S516" s="14">
        <f>SUM(M516:R516)</f>
        <v/>
      </c>
      <c r="AA516">
        <f>RAND()</f>
        <v/>
      </c>
      <c r="AB516">
        <f>RAND()</f>
        <v/>
      </c>
      <c r="AC516">
        <f>RAND()</f>
        <v/>
      </c>
      <c r="AD516">
        <f>RAND()</f>
        <v/>
      </c>
      <c r="AE516">
        <f>RAND()</f>
        <v/>
      </c>
      <c r="AF516">
        <f>RAND()</f>
        <v/>
      </c>
    </row>
    <row r="517">
      <c r="M517" s="14">
        <f>_xlfn.BETA.INV($AA517,1+4*($D$5-$C$5)/($E$5-$C$5),1+4*($E$5-$D$5)/($E$5-$C$5),$C$5,$E$5)</f>
        <v/>
      </c>
      <c r="N517" s="14">
        <f>IF($AB517&lt;($D$6-$C$6)/($E$6-$C$6),$C$6+SQRT($AB517*($E$6-$C$6)*($D$6-$C$6)),$E$6-SQRT((1-$AB517)*($E$6-$C$6)*($E$6-$D$6)))</f>
        <v/>
      </c>
      <c r="O517" s="14">
        <f>_xlfn.NORM.INV($AC517,$C$7,$D$7)</f>
        <v/>
      </c>
      <c r="P517" s="14">
        <f>$C$8+($D$8-$C$8)*$AD517</f>
        <v/>
      </c>
      <c r="Q517" s="14">
        <f>$C$9</f>
        <v/>
      </c>
      <c r="R517" s="14">
        <f>_xlfn.LOGNORM.INV($AF517,LN($C$10)-0.5*LN(1+($D$10/$C$10)^2),SQRT(LN(1+($D$10/$C$10)^2)))</f>
        <v/>
      </c>
      <c r="S517" s="14">
        <f>SUM(M517:R517)</f>
        <v/>
      </c>
      <c r="AA517">
        <f>RAND()</f>
        <v/>
      </c>
      <c r="AB517">
        <f>RAND()</f>
        <v/>
      </c>
      <c r="AC517">
        <f>RAND()</f>
        <v/>
      </c>
      <c r="AD517">
        <f>RAND()</f>
        <v/>
      </c>
      <c r="AE517">
        <f>RAND()</f>
        <v/>
      </c>
      <c r="AF517">
        <f>RAND()</f>
        <v/>
      </c>
    </row>
    <row r="518">
      <c r="M518" s="14">
        <f>_xlfn.BETA.INV($AA518,1+4*($D$5-$C$5)/($E$5-$C$5),1+4*($E$5-$D$5)/($E$5-$C$5),$C$5,$E$5)</f>
        <v/>
      </c>
      <c r="N518" s="14">
        <f>IF($AB518&lt;($D$6-$C$6)/($E$6-$C$6),$C$6+SQRT($AB518*($E$6-$C$6)*($D$6-$C$6)),$E$6-SQRT((1-$AB518)*($E$6-$C$6)*($E$6-$D$6)))</f>
        <v/>
      </c>
      <c r="O518" s="14">
        <f>_xlfn.NORM.INV($AC518,$C$7,$D$7)</f>
        <v/>
      </c>
      <c r="P518" s="14">
        <f>$C$8+($D$8-$C$8)*$AD518</f>
        <v/>
      </c>
      <c r="Q518" s="14">
        <f>$C$9</f>
        <v/>
      </c>
      <c r="R518" s="14">
        <f>_xlfn.LOGNORM.INV($AF518,LN($C$10)-0.5*LN(1+($D$10/$C$10)^2),SQRT(LN(1+($D$10/$C$10)^2)))</f>
        <v/>
      </c>
      <c r="S518" s="14">
        <f>SUM(M518:R518)</f>
        <v/>
      </c>
      <c r="AA518">
        <f>RAND()</f>
        <v/>
      </c>
      <c r="AB518">
        <f>RAND()</f>
        <v/>
      </c>
      <c r="AC518">
        <f>RAND()</f>
        <v/>
      </c>
      <c r="AD518">
        <f>RAND()</f>
        <v/>
      </c>
      <c r="AE518">
        <f>RAND()</f>
        <v/>
      </c>
      <c r="AF518">
        <f>RAND()</f>
        <v/>
      </c>
    </row>
    <row r="519">
      <c r="M519" s="14">
        <f>_xlfn.BETA.INV($AA519,1+4*($D$5-$C$5)/($E$5-$C$5),1+4*($E$5-$D$5)/($E$5-$C$5),$C$5,$E$5)</f>
        <v/>
      </c>
      <c r="N519" s="14">
        <f>IF($AB519&lt;($D$6-$C$6)/($E$6-$C$6),$C$6+SQRT($AB519*($E$6-$C$6)*($D$6-$C$6)),$E$6-SQRT((1-$AB519)*($E$6-$C$6)*($E$6-$D$6)))</f>
        <v/>
      </c>
      <c r="O519" s="14">
        <f>_xlfn.NORM.INV($AC519,$C$7,$D$7)</f>
        <v/>
      </c>
      <c r="P519" s="14">
        <f>$C$8+($D$8-$C$8)*$AD519</f>
        <v/>
      </c>
      <c r="Q519" s="14">
        <f>$C$9</f>
        <v/>
      </c>
      <c r="R519" s="14">
        <f>_xlfn.LOGNORM.INV($AF519,LN($C$10)-0.5*LN(1+($D$10/$C$10)^2),SQRT(LN(1+($D$10/$C$10)^2)))</f>
        <v/>
      </c>
      <c r="S519" s="14">
        <f>SUM(M519:R519)</f>
        <v/>
      </c>
      <c r="AA519">
        <f>RAND()</f>
        <v/>
      </c>
      <c r="AB519">
        <f>RAND()</f>
        <v/>
      </c>
      <c r="AC519">
        <f>RAND()</f>
        <v/>
      </c>
      <c r="AD519">
        <f>RAND()</f>
        <v/>
      </c>
      <c r="AE519">
        <f>RAND()</f>
        <v/>
      </c>
      <c r="AF519">
        <f>RAND()</f>
        <v/>
      </c>
    </row>
    <row r="520">
      <c r="M520" s="14">
        <f>_xlfn.BETA.INV($AA520,1+4*($D$5-$C$5)/($E$5-$C$5),1+4*($E$5-$D$5)/($E$5-$C$5),$C$5,$E$5)</f>
        <v/>
      </c>
      <c r="N520" s="14">
        <f>IF($AB520&lt;($D$6-$C$6)/($E$6-$C$6),$C$6+SQRT($AB520*($E$6-$C$6)*($D$6-$C$6)),$E$6-SQRT((1-$AB520)*($E$6-$C$6)*($E$6-$D$6)))</f>
        <v/>
      </c>
      <c r="O520" s="14">
        <f>_xlfn.NORM.INV($AC520,$C$7,$D$7)</f>
        <v/>
      </c>
      <c r="P520" s="14">
        <f>$C$8+($D$8-$C$8)*$AD520</f>
        <v/>
      </c>
      <c r="Q520" s="14">
        <f>$C$9</f>
        <v/>
      </c>
      <c r="R520" s="14">
        <f>_xlfn.LOGNORM.INV($AF520,LN($C$10)-0.5*LN(1+($D$10/$C$10)^2),SQRT(LN(1+($D$10/$C$10)^2)))</f>
        <v/>
      </c>
      <c r="S520" s="14">
        <f>SUM(M520:R520)</f>
        <v/>
      </c>
      <c r="AA520">
        <f>RAND()</f>
        <v/>
      </c>
      <c r="AB520">
        <f>RAND()</f>
        <v/>
      </c>
      <c r="AC520">
        <f>RAND()</f>
        <v/>
      </c>
      <c r="AD520">
        <f>RAND()</f>
        <v/>
      </c>
      <c r="AE520">
        <f>RAND()</f>
        <v/>
      </c>
      <c r="AF520">
        <f>RAND()</f>
        <v/>
      </c>
    </row>
    <row r="521">
      <c r="M521" s="14">
        <f>_xlfn.BETA.INV($AA521,1+4*($D$5-$C$5)/($E$5-$C$5),1+4*($E$5-$D$5)/($E$5-$C$5),$C$5,$E$5)</f>
        <v/>
      </c>
      <c r="N521" s="14">
        <f>IF($AB521&lt;($D$6-$C$6)/($E$6-$C$6),$C$6+SQRT($AB521*($E$6-$C$6)*($D$6-$C$6)),$E$6-SQRT((1-$AB521)*($E$6-$C$6)*($E$6-$D$6)))</f>
        <v/>
      </c>
      <c r="O521" s="14">
        <f>_xlfn.NORM.INV($AC521,$C$7,$D$7)</f>
        <v/>
      </c>
      <c r="P521" s="14">
        <f>$C$8+($D$8-$C$8)*$AD521</f>
        <v/>
      </c>
      <c r="Q521" s="14">
        <f>$C$9</f>
        <v/>
      </c>
      <c r="R521" s="14">
        <f>_xlfn.LOGNORM.INV($AF521,LN($C$10)-0.5*LN(1+($D$10/$C$10)^2),SQRT(LN(1+($D$10/$C$10)^2)))</f>
        <v/>
      </c>
      <c r="S521" s="14">
        <f>SUM(M521:R521)</f>
        <v/>
      </c>
      <c r="AA521">
        <f>RAND()</f>
        <v/>
      </c>
      <c r="AB521">
        <f>RAND()</f>
        <v/>
      </c>
      <c r="AC521">
        <f>RAND()</f>
        <v/>
      </c>
      <c r="AD521">
        <f>RAND()</f>
        <v/>
      </c>
      <c r="AE521">
        <f>RAND()</f>
        <v/>
      </c>
      <c r="AF521">
        <f>RAND()</f>
        <v/>
      </c>
    </row>
    <row r="522">
      <c r="M522" s="14">
        <f>_xlfn.BETA.INV($AA522,1+4*($D$5-$C$5)/($E$5-$C$5),1+4*($E$5-$D$5)/($E$5-$C$5),$C$5,$E$5)</f>
        <v/>
      </c>
      <c r="N522" s="14">
        <f>IF($AB522&lt;($D$6-$C$6)/($E$6-$C$6),$C$6+SQRT($AB522*($E$6-$C$6)*($D$6-$C$6)),$E$6-SQRT((1-$AB522)*($E$6-$C$6)*($E$6-$D$6)))</f>
        <v/>
      </c>
      <c r="O522" s="14">
        <f>_xlfn.NORM.INV($AC522,$C$7,$D$7)</f>
        <v/>
      </c>
      <c r="P522" s="14">
        <f>$C$8+($D$8-$C$8)*$AD522</f>
        <v/>
      </c>
      <c r="Q522" s="14">
        <f>$C$9</f>
        <v/>
      </c>
      <c r="R522" s="14">
        <f>_xlfn.LOGNORM.INV($AF522,LN($C$10)-0.5*LN(1+($D$10/$C$10)^2),SQRT(LN(1+($D$10/$C$10)^2)))</f>
        <v/>
      </c>
      <c r="S522" s="14">
        <f>SUM(M522:R522)</f>
        <v/>
      </c>
      <c r="AA522">
        <f>RAND()</f>
        <v/>
      </c>
      <c r="AB522">
        <f>RAND()</f>
        <v/>
      </c>
      <c r="AC522">
        <f>RAND()</f>
        <v/>
      </c>
      <c r="AD522">
        <f>RAND()</f>
        <v/>
      </c>
      <c r="AE522">
        <f>RAND()</f>
        <v/>
      </c>
      <c r="AF522">
        <f>RAND()</f>
        <v/>
      </c>
    </row>
    <row r="523">
      <c r="M523" s="14">
        <f>_xlfn.BETA.INV($AA523,1+4*($D$5-$C$5)/($E$5-$C$5),1+4*($E$5-$D$5)/($E$5-$C$5),$C$5,$E$5)</f>
        <v/>
      </c>
      <c r="N523" s="14">
        <f>IF($AB523&lt;($D$6-$C$6)/($E$6-$C$6),$C$6+SQRT($AB523*($E$6-$C$6)*($D$6-$C$6)),$E$6-SQRT((1-$AB523)*($E$6-$C$6)*($E$6-$D$6)))</f>
        <v/>
      </c>
      <c r="O523" s="14">
        <f>_xlfn.NORM.INV($AC523,$C$7,$D$7)</f>
        <v/>
      </c>
      <c r="P523" s="14">
        <f>$C$8+($D$8-$C$8)*$AD523</f>
        <v/>
      </c>
      <c r="Q523" s="14">
        <f>$C$9</f>
        <v/>
      </c>
      <c r="R523" s="14">
        <f>_xlfn.LOGNORM.INV($AF523,LN($C$10)-0.5*LN(1+($D$10/$C$10)^2),SQRT(LN(1+($D$10/$C$10)^2)))</f>
        <v/>
      </c>
      <c r="S523" s="14">
        <f>SUM(M523:R523)</f>
        <v/>
      </c>
      <c r="AA523">
        <f>RAND()</f>
        <v/>
      </c>
      <c r="AB523">
        <f>RAND()</f>
        <v/>
      </c>
      <c r="AC523">
        <f>RAND()</f>
        <v/>
      </c>
      <c r="AD523">
        <f>RAND()</f>
        <v/>
      </c>
      <c r="AE523">
        <f>RAND()</f>
        <v/>
      </c>
      <c r="AF523">
        <f>RAND()</f>
        <v/>
      </c>
    </row>
    <row r="524">
      <c r="M524" s="14">
        <f>_xlfn.BETA.INV($AA524,1+4*($D$5-$C$5)/($E$5-$C$5),1+4*($E$5-$D$5)/($E$5-$C$5),$C$5,$E$5)</f>
        <v/>
      </c>
      <c r="N524" s="14">
        <f>IF($AB524&lt;($D$6-$C$6)/($E$6-$C$6),$C$6+SQRT($AB524*($E$6-$C$6)*($D$6-$C$6)),$E$6-SQRT((1-$AB524)*($E$6-$C$6)*($E$6-$D$6)))</f>
        <v/>
      </c>
      <c r="O524" s="14">
        <f>_xlfn.NORM.INV($AC524,$C$7,$D$7)</f>
        <v/>
      </c>
      <c r="P524" s="14">
        <f>$C$8+($D$8-$C$8)*$AD524</f>
        <v/>
      </c>
      <c r="Q524" s="14">
        <f>$C$9</f>
        <v/>
      </c>
      <c r="R524" s="14">
        <f>_xlfn.LOGNORM.INV($AF524,LN($C$10)-0.5*LN(1+($D$10/$C$10)^2),SQRT(LN(1+($D$10/$C$10)^2)))</f>
        <v/>
      </c>
      <c r="S524" s="14">
        <f>SUM(M524:R524)</f>
        <v/>
      </c>
      <c r="AA524">
        <f>RAND()</f>
        <v/>
      </c>
      <c r="AB524">
        <f>RAND()</f>
        <v/>
      </c>
      <c r="AC524">
        <f>RAND()</f>
        <v/>
      </c>
      <c r="AD524">
        <f>RAND()</f>
        <v/>
      </c>
      <c r="AE524">
        <f>RAND()</f>
        <v/>
      </c>
      <c r="AF524">
        <f>RAND()</f>
        <v/>
      </c>
    </row>
    <row r="525">
      <c r="M525" s="14">
        <f>_xlfn.BETA.INV($AA525,1+4*($D$5-$C$5)/($E$5-$C$5),1+4*($E$5-$D$5)/($E$5-$C$5),$C$5,$E$5)</f>
        <v/>
      </c>
      <c r="N525" s="14">
        <f>IF($AB525&lt;($D$6-$C$6)/($E$6-$C$6),$C$6+SQRT($AB525*($E$6-$C$6)*($D$6-$C$6)),$E$6-SQRT((1-$AB525)*($E$6-$C$6)*($E$6-$D$6)))</f>
        <v/>
      </c>
      <c r="O525" s="14">
        <f>_xlfn.NORM.INV($AC525,$C$7,$D$7)</f>
        <v/>
      </c>
      <c r="P525" s="14">
        <f>$C$8+($D$8-$C$8)*$AD525</f>
        <v/>
      </c>
      <c r="Q525" s="14">
        <f>$C$9</f>
        <v/>
      </c>
      <c r="R525" s="14">
        <f>_xlfn.LOGNORM.INV($AF525,LN($C$10)-0.5*LN(1+($D$10/$C$10)^2),SQRT(LN(1+($D$10/$C$10)^2)))</f>
        <v/>
      </c>
      <c r="S525" s="14">
        <f>SUM(M525:R525)</f>
        <v/>
      </c>
      <c r="AA525">
        <f>RAND()</f>
        <v/>
      </c>
      <c r="AB525">
        <f>RAND()</f>
        <v/>
      </c>
      <c r="AC525">
        <f>RAND()</f>
        <v/>
      </c>
      <c r="AD525">
        <f>RAND()</f>
        <v/>
      </c>
      <c r="AE525">
        <f>RAND()</f>
        <v/>
      </c>
      <c r="AF525">
        <f>RAND()</f>
        <v/>
      </c>
    </row>
    <row r="526">
      <c r="M526" s="14">
        <f>_xlfn.BETA.INV($AA526,1+4*($D$5-$C$5)/($E$5-$C$5),1+4*($E$5-$D$5)/($E$5-$C$5),$C$5,$E$5)</f>
        <v/>
      </c>
      <c r="N526" s="14">
        <f>IF($AB526&lt;($D$6-$C$6)/($E$6-$C$6),$C$6+SQRT($AB526*($E$6-$C$6)*($D$6-$C$6)),$E$6-SQRT((1-$AB526)*($E$6-$C$6)*($E$6-$D$6)))</f>
        <v/>
      </c>
      <c r="O526" s="14">
        <f>_xlfn.NORM.INV($AC526,$C$7,$D$7)</f>
        <v/>
      </c>
      <c r="P526" s="14">
        <f>$C$8+($D$8-$C$8)*$AD526</f>
        <v/>
      </c>
      <c r="Q526" s="14">
        <f>$C$9</f>
        <v/>
      </c>
      <c r="R526" s="14">
        <f>_xlfn.LOGNORM.INV($AF526,LN($C$10)-0.5*LN(1+($D$10/$C$10)^2),SQRT(LN(1+($D$10/$C$10)^2)))</f>
        <v/>
      </c>
      <c r="S526" s="14">
        <f>SUM(M526:R526)</f>
        <v/>
      </c>
      <c r="AA526">
        <f>RAND()</f>
        <v/>
      </c>
      <c r="AB526">
        <f>RAND()</f>
        <v/>
      </c>
      <c r="AC526">
        <f>RAND()</f>
        <v/>
      </c>
      <c r="AD526">
        <f>RAND()</f>
        <v/>
      </c>
      <c r="AE526">
        <f>RAND()</f>
        <v/>
      </c>
      <c r="AF526">
        <f>RAND()</f>
        <v/>
      </c>
    </row>
    <row r="527">
      <c r="M527" s="14">
        <f>_xlfn.BETA.INV($AA527,1+4*($D$5-$C$5)/($E$5-$C$5),1+4*($E$5-$D$5)/($E$5-$C$5),$C$5,$E$5)</f>
        <v/>
      </c>
      <c r="N527" s="14">
        <f>IF($AB527&lt;($D$6-$C$6)/($E$6-$C$6),$C$6+SQRT($AB527*($E$6-$C$6)*($D$6-$C$6)),$E$6-SQRT((1-$AB527)*($E$6-$C$6)*($E$6-$D$6)))</f>
        <v/>
      </c>
      <c r="O527" s="14">
        <f>_xlfn.NORM.INV($AC527,$C$7,$D$7)</f>
        <v/>
      </c>
      <c r="P527" s="14">
        <f>$C$8+($D$8-$C$8)*$AD527</f>
        <v/>
      </c>
      <c r="Q527" s="14">
        <f>$C$9</f>
        <v/>
      </c>
      <c r="R527" s="14">
        <f>_xlfn.LOGNORM.INV($AF527,LN($C$10)-0.5*LN(1+($D$10/$C$10)^2),SQRT(LN(1+($D$10/$C$10)^2)))</f>
        <v/>
      </c>
      <c r="S527" s="14">
        <f>SUM(M527:R527)</f>
        <v/>
      </c>
      <c r="AA527">
        <f>RAND()</f>
        <v/>
      </c>
      <c r="AB527">
        <f>RAND()</f>
        <v/>
      </c>
      <c r="AC527">
        <f>RAND()</f>
        <v/>
      </c>
      <c r="AD527">
        <f>RAND()</f>
        <v/>
      </c>
      <c r="AE527">
        <f>RAND()</f>
        <v/>
      </c>
      <c r="AF527">
        <f>RAND()</f>
        <v/>
      </c>
    </row>
    <row r="528">
      <c r="M528" s="14">
        <f>_xlfn.BETA.INV($AA528,1+4*($D$5-$C$5)/($E$5-$C$5),1+4*($E$5-$D$5)/($E$5-$C$5),$C$5,$E$5)</f>
        <v/>
      </c>
      <c r="N528" s="14">
        <f>IF($AB528&lt;($D$6-$C$6)/($E$6-$C$6),$C$6+SQRT($AB528*($E$6-$C$6)*($D$6-$C$6)),$E$6-SQRT((1-$AB528)*($E$6-$C$6)*($E$6-$D$6)))</f>
        <v/>
      </c>
      <c r="O528" s="14">
        <f>_xlfn.NORM.INV($AC528,$C$7,$D$7)</f>
        <v/>
      </c>
      <c r="P528" s="14">
        <f>$C$8+($D$8-$C$8)*$AD528</f>
        <v/>
      </c>
      <c r="Q528" s="14">
        <f>$C$9</f>
        <v/>
      </c>
      <c r="R528" s="14">
        <f>_xlfn.LOGNORM.INV($AF528,LN($C$10)-0.5*LN(1+($D$10/$C$10)^2),SQRT(LN(1+($D$10/$C$10)^2)))</f>
        <v/>
      </c>
      <c r="S528" s="14">
        <f>SUM(M528:R528)</f>
        <v/>
      </c>
      <c r="AA528">
        <f>RAND()</f>
        <v/>
      </c>
      <c r="AB528">
        <f>RAND()</f>
        <v/>
      </c>
      <c r="AC528">
        <f>RAND()</f>
        <v/>
      </c>
      <c r="AD528">
        <f>RAND()</f>
        <v/>
      </c>
      <c r="AE528">
        <f>RAND()</f>
        <v/>
      </c>
      <c r="AF528">
        <f>RAND()</f>
        <v/>
      </c>
    </row>
    <row r="529">
      <c r="M529" s="14">
        <f>_xlfn.BETA.INV($AA529,1+4*($D$5-$C$5)/($E$5-$C$5),1+4*($E$5-$D$5)/($E$5-$C$5),$C$5,$E$5)</f>
        <v/>
      </c>
      <c r="N529" s="14">
        <f>IF($AB529&lt;($D$6-$C$6)/($E$6-$C$6),$C$6+SQRT($AB529*($E$6-$C$6)*($D$6-$C$6)),$E$6-SQRT((1-$AB529)*($E$6-$C$6)*($E$6-$D$6)))</f>
        <v/>
      </c>
      <c r="O529" s="14">
        <f>_xlfn.NORM.INV($AC529,$C$7,$D$7)</f>
        <v/>
      </c>
      <c r="P529" s="14">
        <f>$C$8+($D$8-$C$8)*$AD529</f>
        <v/>
      </c>
      <c r="Q529" s="14">
        <f>$C$9</f>
        <v/>
      </c>
      <c r="R529" s="14">
        <f>_xlfn.LOGNORM.INV($AF529,LN($C$10)-0.5*LN(1+($D$10/$C$10)^2),SQRT(LN(1+($D$10/$C$10)^2)))</f>
        <v/>
      </c>
      <c r="S529" s="14">
        <f>SUM(M529:R529)</f>
        <v/>
      </c>
      <c r="AA529">
        <f>RAND()</f>
        <v/>
      </c>
      <c r="AB529">
        <f>RAND()</f>
        <v/>
      </c>
      <c r="AC529">
        <f>RAND()</f>
        <v/>
      </c>
      <c r="AD529">
        <f>RAND()</f>
        <v/>
      </c>
      <c r="AE529">
        <f>RAND()</f>
        <v/>
      </c>
      <c r="AF529">
        <f>RAND()</f>
        <v/>
      </c>
    </row>
    <row r="530">
      <c r="M530" s="14">
        <f>_xlfn.BETA.INV($AA530,1+4*($D$5-$C$5)/($E$5-$C$5),1+4*($E$5-$D$5)/($E$5-$C$5),$C$5,$E$5)</f>
        <v/>
      </c>
      <c r="N530" s="14">
        <f>IF($AB530&lt;($D$6-$C$6)/($E$6-$C$6),$C$6+SQRT($AB530*($E$6-$C$6)*($D$6-$C$6)),$E$6-SQRT((1-$AB530)*($E$6-$C$6)*($E$6-$D$6)))</f>
        <v/>
      </c>
      <c r="O530" s="14">
        <f>_xlfn.NORM.INV($AC530,$C$7,$D$7)</f>
        <v/>
      </c>
      <c r="P530" s="14">
        <f>$C$8+($D$8-$C$8)*$AD530</f>
        <v/>
      </c>
      <c r="Q530" s="14">
        <f>$C$9</f>
        <v/>
      </c>
      <c r="R530" s="14">
        <f>_xlfn.LOGNORM.INV($AF530,LN($C$10)-0.5*LN(1+($D$10/$C$10)^2),SQRT(LN(1+($D$10/$C$10)^2)))</f>
        <v/>
      </c>
      <c r="S530" s="14">
        <f>SUM(M530:R530)</f>
        <v/>
      </c>
      <c r="AA530">
        <f>RAND()</f>
        <v/>
      </c>
      <c r="AB530">
        <f>RAND()</f>
        <v/>
      </c>
      <c r="AC530">
        <f>RAND()</f>
        <v/>
      </c>
      <c r="AD530">
        <f>RAND()</f>
        <v/>
      </c>
      <c r="AE530">
        <f>RAND()</f>
        <v/>
      </c>
      <c r="AF530">
        <f>RAND()</f>
        <v/>
      </c>
    </row>
    <row r="531">
      <c r="M531" s="14">
        <f>_xlfn.BETA.INV($AA531,1+4*($D$5-$C$5)/($E$5-$C$5),1+4*($E$5-$D$5)/($E$5-$C$5),$C$5,$E$5)</f>
        <v/>
      </c>
      <c r="N531" s="14">
        <f>IF($AB531&lt;($D$6-$C$6)/($E$6-$C$6),$C$6+SQRT($AB531*($E$6-$C$6)*($D$6-$C$6)),$E$6-SQRT((1-$AB531)*($E$6-$C$6)*($E$6-$D$6)))</f>
        <v/>
      </c>
      <c r="O531" s="14">
        <f>_xlfn.NORM.INV($AC531,$C$7,$D$7)</f>
        <v/>
      </c>
      <c r="P531" s="14">
        <f>$C$8+($D$8-$C$8)*$AD531</f>
        <v/>
      </c>
      <c r="Q531" s="14">
        <f>$C$9</f>
        <v/>
      </c>
      <c r="R531" s="14">
        <f>_xlfn.LOGNORM.INV($AF531,LN($C$10)-0.5*LN(1+($D$10/$C$10)^2),SQRT(LN(1+($D$10/$C$10)^2)))</f>
        <v/>
      </c>
      <c r="S531" s="14">
        <f>SUM(M531:R531)</f>
        <v/>
      </c>
      <c r="AA531">
        <f>RAND()</f>
        <v/>
      </c>
      <c r="AB531">
        <f>RAND()</f>
        <v/>
      </c>
      <c r="AC531">
        <f>RAND()</f>
        <v/>
      </c>
      <c r="AD531">
        <f>RAND()</f>
        <v/>
      </c>
      <c r="AE531">
        <f>RAND()</f>
        <v/>
      </c>
      <c r="AF531">
        <f>RAND()</f>
        <v/>
      </c>
    </row>
    <row r="532">
      <c r="M532" s="14">
        <f>_xlfn.BETA.INV($AA532,1+4*($D$5-$C$5)/($E$5-$C$5),1+4*($E$5-$D$5)/($E$5-$C$5),$C$5,$E$5)</f>
        <v/>
      </c>
      <c r="N532" s="14">
        <f>IF($AB532&lt;($D$6-$C$6)/($E$6-$C$6),$C$6+SQRT($AB532*($E$6-$C$6)*($D$6-$C$6)),$E$6-SQRT((1-$AB532)*($E$6-$C$6)*($E$6-$D$6)))</f>
        <v/>
      </c>
      <c r="O532" s="14">
        <f>_xlfn.NORM.INV($AC532,$C$7,$D$7)</f>
        <v/>
      </c>
      <c r="P532" s="14">
        <f>$C$8+($D$8-$C$8)*$AD532</f>
        <v/>
      </c>
      <c r="Q532" s="14">
        <f>$C$9</f>
        <v/>
      </c>
      <c r="R532" s="14">
        <f>_xlfn.LOGNORM.INV($AF532,LN($C$10)-0.5*LN(1+($D$10/$C$10)^2),SQRT(LN(1+($D$10/$C$10)^2)))</f>
        <v/>
      </c>
      <c r="S532" s="14">
        <f>SUM(M532:R532)</f>
        <v/>
      </c>
      <c r="AA532">
        <f>RAND()</f>
        <v/>
      </c>
      <c r="AB532">
        <f>RAND()</f>
        <v/>
      </c>
      <c r="AC532">
        <f>RAND()</f>
        <v/>
      </c>
      <c r="AD532">
        <f>RAND()</f>
        <v/>
      </c>
      <c r="AE532">
        <f>RAND()</f>
        <v/>
      </c>
      <c r="AF532">
        <f>RAND()</f>
        <v/>
      </c>
    </row>
    <row r="533">
      <c r="M533" s="14">
        <f>_xlfn.BETA.INV($AA533,1+4*($D$5-$C$5)/($E$5-$C$5),1+4*($E$5-$D$5)/($E$5-$C$5),$C$5,$E$5)</f>
        <v/>
      </c>
      <c r="N533" s="14">
        <f>IF($AB533&lt;($D$6-$C$6)/($E$6-$C$6),$C$6+SQRT($AB533*($E$6-$C$6)*($D$6-$C$6)),$E$6-SQRT((1-$AB533)*($E$6-$C$6)*($E$6-$D$6)))</f>
        <v/>
      </c>
      <c r="O533" s="14">
        <f>_xlfn.NORM.INV($AC533,$C$7,$D$7)</f>
        <v/>
      </c>
      <c r="P533" s="14">
        <f>$C$8+($D$8-$C$8)*$AD533</f>
        <v/>
      </c>
      <c r="Q533" s="14">
        <f>$C$9</f>
        <v/>
      </c>
      <c r="R533" s="14">
        <f>_xlfn.LOGNORM.INV($AF533,LN($C$10)-0.5*LN(1+($D$10/$C$10)^2),SQRT(LN(1+($D$10/$C$10)^2)))</f>
        <v/>
      </c>
      <c r="S533" s="14">
        <f>SUM(M533:R533)</f>
        <v/>
      </c>
      <c r="AA533">
        <f>RAND()</f>
        <v/>
      </c>
      <c r="AB533">
        <f>RAND()</f>
        <v/>
      </c>
      <c r="AC533">
        <f>RAND()</f>
        <v/>
      </c>
      <c r="AD533">
        <f>RAND()</f>
        <v/>
      </c>
      <c r="AE533">
        <f>RAND()</f>
        <v/>
      </c>
      <c r="AF533">
        <f>RAND()</f>
        <v/>
      </c>
    </row>
    <row r="534">
      <c r="M534" s="14">
        <f>_xlfn.BETA.INV($AA534,1+4*($D$5-$C$5)/($E$5-$C$5),1+4*($E$5-$D$5)/($E$5-$C$5),$C$5,$E$5)</f>
        <v/>
      </c>
      <c r="N534" s="14">
        <f>IF($AB534&lt;($D$6-$C$6)/($E$6-$C$6),$C$6+SQRT($AB534*($E$6-$C$6)*($D$6-$C$6)),$E$6-SQRT((1-$AB534)*($E$6-$C$6)*($E$6-$D$6)))</f>
        <v/>
      </c>
      <c r="O534" s="14">
        <f>_xlfn.NORM.INV($AC534,$C$7,$D$7)</f>
        <v/>
      </c>
      <c r="P534" s="14">
        <f>$C$8+($D$8-$C$8)*$AD534</f>
        <v/>
      </c>
      <c r="Q534" s="14">
        <f>$C$9</f>
        <v/>
      </c>
      <c r="R534" s="14">
        <f>_xlfn.LOGNORM.INV($AF534,LN($C$10)-0.5*LN(1+($D$10/$C$10)^2),SQRT(LN(1+($D$10/$C$10)^2)))</f>
        <v/>
      </c>
      <c r="S534" s="14">
        <f>SUM(M534:R534)</f>
        <v/>
      </c>
      <c r="AA534">
        <f>RAND()</f>
        <v/>
      </c>
      <c r="AB534">
        <f>RAND()</f>
        <v/>
      </c>
      <c r="AC534">
        <f>RAND()</f>
        <v/>
      </c>
      <c r="AD534">
        <f>RAND()</f>
        <v/>
      </c>
      <c r="AE534">
        <f>RAND()</f>
        <v/>
      </c>
      <c r="AF534">
        <f>RAND()</f>
        <v/>
      </c>
    </row>
    <row r="535">
      <c r="M535" s="14">
        <f>_xlfn.BETA.INV($AA535,1+4*($D$5-$C$5)/($E$5-$C$5),1+4*($E$5-$D$5)/($E$5-$C$5),$C$5,$E$5)</f>
        <v/>
      </c>
      <c r="N535" s="14">
        <f>IF($AB535&lt;($D$6-$C$6)/($E$6-$C$6),$C$6+SQRT($AB535*($E$6-$C$6)*($D$6-$C$6)),$E$6-SQRT((1-$AB535)*($E$6-$C$6)*($E$6-$D$6)))</f>
        <v/>
      </c>
      <c r="O535" s="14">
        <f>_xlfn.NORM.INV($AC535,$C$7,$D$7)</f>
        <v/>
      </c>
      <c r="P535" s="14">
        <f>$C$8+($D$8-$C$8)*$AD535</f>
        <v/>
      </c>
      <c r="Q535" s="14">
        <f>$C$9</f>
        <v/>
      </c>
      <c r="R535" s="14">
        <f>_xlfn.LOGNORM.INV($AF535,LN($C$10)-0.5*LN(1+($D$10/$C$10)^2),SQRT(LN(1+($D$10/$C$10)^2)))</f>
        <v/>
      </c>
      <c r="S535" s="14">
        <f>SUM(M535:R535)</f>
        <v/>
      </c>
      <c r="AA535">
        <f>RAND()</f>
        <v/>
      </c>
      <c r="AB535">
        <f>RAND()</f>
        <v/>
      </c>
      <c r="AC535">
        <f>RAND()</f>
        <v/>
      </c>
      <c r="AD535">
        <f>RAND()</f>
        <v/>
      </c>
      <c r="AE535">
        <f>RAND()</f>
        <v/>
      </c>
      <c r="AF535">
        <f>RAND()</f>
        <v/>
      </c>
    </row>
    <row r="536">
      <c r="M536" s="14">
        <f>_xlfn.BETA.INV($AA536,1+4*($D$5-$C$5)/($E$5-$C$5),1+4*($E$5-$D$5)/($E$5-$C$5),$C$5,$E$5)</f>
        <v/>
      </c>
      <c r="N536" s="14">
        <f>IF($AB536&lt;($D$6-$C$6)/($E$6-$C$6),$C$6+SQRT($AB536*($E$6-$C$6)*($D$6-$C$6)),$E$6-SQRT((1-$AB536)*($E$6-$C$6)*($E$6-$D$6)))</f>
        <v/>
      </c>
      <c r="O536" s="14">
        <f>_xlfn.NORM.INV($AC536,$C$7,$D$7)</f>
        <v/>
      </c>
      <c r="P536" s="14">
        <f>$C$8+($D$8-$C$8)*$AD536</f>
        <v/>
      </c>
      <c r="Q536" s="14">
        <f>$C$9</f>
        <v/>
      </c>
      <c r="R536" s="14">
        <f>_xlfn.LOGNORM.INV($AF536,LN($C$10)-0.5*LN(1+($D$10/$C$10)^2),SQRT(LN(1+($D$10/$C$10)^2)))</f>
        <v/>
      </c>
      <c r="S536" s="14">
        <f>SUM(M536:R536)</f>
        <v/>
      </c>
      <c r="AA536">
        <f>RAND()</f>
        <v/>
      </c>
      <c r="AB536">
        <f>RAND()</f>
        <v/>
      </c>
      <c r="AC536">
        <f>RAND()</f>
        <v/>
      </c>
      <c r="AD536">
        <f>RAND()</f>
        <v/>
      </c>
      <c r="AE536">
        <f>RAND()</f>
        <v/>
      </c>
      <c r="AF536">
        <f>RAND()</f>
        <v/>
      </c>
    </row>
    <row r="537">
      <c r="M537" s="14">
        <f>_xlfn.BETA.INV($AA537,1+4*($D$5-$C$5)/($E$5-$C$5),1+4*($E$5-$D$5)/($E$5-$C$5),$C$5,$E$5)</f>
        <v/>
      </c>
      <c r="N537" s="14">
        <f>IF($AB537&lt;($D$6-$C$6)/($E$6-$C$6),$C$6+SQRT($AB537*($E$6-$C$6)*($D$6-$C$6)),$E$6-SQRT((1-$AB537)*($E$6-$C$6)*($E$6-$D$6)))</f>
        <v/>
      </c>
      <c r="O537" s="14">
        <f>_xlfn.NORM.INV($AC537,$C$7,$D$7)</f>
        <v/>
      </c>
      <c r="P537" s="14">
        <f>$C$8+($D$8-$C$8)*$AD537</f>
        <v/>
      </c>
      <c r="Q537" s="14">
        <f>$C$9</f>
        <v/>
      </c>
      <c r="R537" s="14">
        <f>_xlfn.LOGNORM.INV($AF537,LN($C$10)-0.5*LN(1+($D$10/$C$10)^2),SQRT(LN(1+($D$10/$C$10)^2)))</f>
        <v/>
      </c>
      <c r="S537" s="14">
        <f>SUM(M537:R537)</f>
        <v/>
      </c>
      <c r="AA537">
        <f>RAND()</f>
        <v/>
      </c>
      <c r="AB537">
        <f>RAND()</f>
        <v/>
      </c>
      <c r="AC537">
        <f>RAND()</f>
        <v/>
      </c>
      <c r="AD537">
        <f>RAND()</f>
        <v/>
      </c>
      <c r="AE537">
        <f>RAND()</f>
        <v/>
      </c>
      <c r="AF537">
        <f>RAND()</f>
        <v/>
      </c>
    </row>
    <row r="538">
      <c r="M538" s="14">
        <f>_xlfn.BETA.INV($AA538,1+4*($D$5-$C$5)/($E$5-$C$5),1+4*($E$5-$D$5)/($E$5-$C$5),$C$5,$E$5)</f>
        <v/>
      </c>
      <c r="N538" s="14">
        <f>IF($AB538&lt;($D$6-$C$6)/($E$6-$C$6),$C$6+SQRT($AB538*($E$6-$C$6)*($D$6-$C$6)),$E$6-SQRT((1-$AB538)*($E$6-$C$6)*($E$6-$D$6)))</f>
        <v/>
      </c>
      <c r="O538" s="14">
        <f>_xlfn.NORM.INV($AC538,$C$7,$D$7)</f>
        <v/>
      </c>
      <c r="P538" s="14">
        <f>$C$8+($D$8-$C$8)*$AD538</f>
        <v/>
      </c>
      <c r="Q538" s="14">
        <f>$C$9</f>
        <v/>
      </c>
      <c r="R538" s="14">
        <f>_xlfn.LOGNORM.INV($AF538,LN($C$10)-0.5*LN(1+($D$10/$C$10)^2),SQRT(LN(1+($D$10/$C$10)^2)))</f>
        <v/>
      </c>
      <c r="S538" s="14">
        <f>SUM(M538:R538)</f>
        <v/>
      </c>
      <c r="AA538">
        <f>RAND()</f>
        <v/>
      </c>
      <c r="AB538">
        <f>RAND()</f>
        <v/>
      </c>
      <c r="AC538">
        <f>RAND()</f>
        <v/>
      </c>
      <c r="AD538">
        <f>RAND()</f>
        <v/>
      </c>
      <c r="AE538">
        <f>RAND()</f>
        <v/>
      </c>
      <c r="AF538">
        <f>RAND()</f>
        <v/>
      </c>
    </row>
    <row r="539">
      <c r="M539" s="14">
        <f>_xlfn.BETA.INV($AA539,1+4*($D$5-$C$5)/($E$5-$C$5),1+4*($E$5-$D$5)/($E$5-$C$5),$C$5,$E$5)</f>
        <v/>
      </c>
      <c r="N539" s="14">
        <f>IF($AB539&lt;($D$6-$C$6)/($E$6-$C$6),$C$6+SQRT($AB539*($E$6-$C$6)*($D$6-$C$6)),$E$6-SQRT((1-$AB539)*($E$6-$C$6)*($E$6-$D$6)))</f>
        <v/>
      </c>
      <c r="O539" s="14">
        <f>_xlfn.NORM.INV($AC539,$C$7,$D$7)</f>
        <v/>
      </c>
      <c r="P539" s="14">
        <f>$C$8+($D$8-$C$8)*$AD539</f>
        <v/>
      </c>
      <c r="Q539" s="14">
        <f>$C$9</f>
        <v/>
      </c>
      <c r="R539" s="14">
        <f>_xlfn.LOGNORM.INV($AF539,LN($C$10)-0.5*LN(1+($D$10/$C$10)^2),SQRT(LN(1+($D$10/$C$10)^2)))</f>
        <v/>
      </c>
      <c r="S539" s="14">
        <f>SUM(M539:R539)</f>
        <v/>
      </c>
      <c r="AA539">
        <f>RAND()</f>
        <v/>
      </c>
      <c r="AB539">
        <f>RAND()</f>
        <v/>
      </c>
      <c r="AC539">
        <f>RAND()</f>
        <v/>
      </c>
      <c r="AD539">
        <f>RAND()</f>
        <v/>
      </c>
      <c r="AE539">
        <f>RAND()</f>
        <v/>
      </c>
      <c r="AF539">
        <f>RAND()</f>
        <v/>
      </c>
    </row>
    <row r="540">
      <c r="M540" s="14">
        <f>_xlfn.BETA.INV($AA540,1+4*($D$5-$C$5)/($E$5-$C$5),1+4*($E$5-$D$5)/($E$5-$C$5),$C$5,$E$5)</f>
        <v/>
      </c>
      <c r="N540" s="14">
        <f>IF($AB540&lt;($D$6-$C$6)/($E$6-$C$6),$C$6+SQRT($AB540*($E$6-$C$6)*($D$6-$C$6)),$E$6-SQRT((1-$AB540)*($E$6-$C$6)*($E$6-$D$6)))</f>
        <v/>
      </c>
      <c r="O540" s="14">
        <f>_xlfn.NORM.INV($AC540,$C$7,$D$7)</f>
        <v/>
      </c>
      <c r="P540" s="14">
        <f>$C$8+($D$8-$C$8)*$AD540</f>
        <v/>
      </c>
      <c r="Q540" s="14">
        <f>$C$9</f>
        <v/>
      </c>
      <c r="R540" s="14">
        <f>_xlfn.LOGNORM.INV($AF540,LN($C$10)-0.5*LN(1+($D$10/$C$10)^2),SQRT(LN(1+($D$10/$C$10)^2)))</f>
        <v/>
      </c>
      <c r="S540" s="14">
        <f>SUM(M540:R540)</f>
        <v/>
      </c>
      <c r="AA540">
        <f>RAND()</f>
        <v/>
      </c>
      <c r="AB540">
        <f>RAND()</f>
        <v/>
      </c>
      <c r="AC540">
        <f>RAND()</f>
        <v/>
      </c>
      <c r="AD540">
        <f>RAND()</f>
        <v/>
      </c>
      <c r="AE540">
        <f>RAND()</f>
        <v/>
      </c>
      <c r="AF540">
        <f>RAND()</f>
        <v/>
      </c>
    </row>
    <row r="541">
      <c r="M541" s="14">
        <f>_xlfn.BETA.INV($AA541,1+4*($D$5-$C$5)/($E$5-$C$5),1+4*($E$5-$D$5)/($E$5-$C$5),$C$5,$E$5)</f>
        <v/>
      </c>
      <c r="N541" s="14">
        <f>IF($AB541&lt;($D$6-$C$6)/($E$6-$C$6),$C$6+SQRT($AB541*($E$6-$C$6)*($D$6-$C$6)),$E$6-SQRT((1-$AB541)*($E$6-$C$6)*($E$6-$D$6)))</f>
        <v/>
      </c>
      <c r="O541" s="14">
        <f>_xlfn.NORM.INV($AC541,$C$7,$D$7)</f>
        <v/>
      </c>
      <c r="P541" s="14">
        <f>$C$8+($D$8-$C$8)*$AD541</f>
        <v/>
      </c>
      <c r="Q541" s="14">
        <f>$C$9</f>
        <v/>
      </c>
      <c r="R541" s="14">
        <f>_xlfn.LOGNORM.INV($AF541,LN($C$10)-0.5*LN(1+($D$10/$C$10)^2),SQRT(LN(1+($D$10/$C$10)^2)))</f>
        <v/>
      </c>
      <c r="S541" s="14">
        <f>SUM(M541:R541)</f>
        <v/>
      </c>
      <c r="AA541">
        <f>RAND()</f>
        <v/>
      </c>
      <c r="AB541">
        <f>RAND()</f>
        <v/>
      </c>
      <c r="AC541">
        <f>RAND()</f>
        <v/>
      </c>
      <c r="AD541">
        <f>RAND()</f>
        <v/>
      </c>
      <c r="AE541">
        <f>RAND()</f>
        <v/>
      </c>
      <c r="AF541">
        <f>RAND()</f>
        <v/>
      </c>
    </row>
    <row r="542">
      <c r="M542" s="14">
        <f>_xlfn.BETA.INV($AA542,1+4*($D$5-$C$5)/($E$5-$C$5),1+4*($E$5-$D$5)/($E$5-$C$5),$C$5,$E$5)</f>
        <v/>
      </c>
      <c r="N542" s="14">
        <f>IF($AB542&lt;($D$6-$C$6)/($E$6-$C$6),$C$6+SQRT($AB542*($E$6-$C$6)*($D$6-$C$6)),$E$6-SQRT((1-$AB542)*($E$6-$C$6)*($E$6-$D$6)))</f>
        <v/>
      </c>
      <c r="O542" s="14">
        <f>_xlfn.NORM.INV($AC542,$C$7,$D$7)</f>
        <v/>
      </c>
      <c r="P542" s="14">
        <f>$C$8+($D$8-$C$8)*$AD542</f>
        <v/>
      </c>
      <c r="Q542" s="14">
        <f>$C$9</f>
        <v/>
      </c>
      <c r="R542" s="14">
        <f>_xlfn.LOGNORM.INV($AF542,LN($C$10)-0.5*LN(1+($D$10/$C$10)^2),SQRT(LN(1+($D$10/$C$10)^2)))</f>
        <v/>
      </c>
      <c r="S542" s="14">
        <f>SUM(M542:R542)</f>
        <v/>
      </c>
      <c r="AA542">
        <f>RAND()</f>
        <v/>
      </c>
      <c r="AB542">
        <f>RAND()</f>
        <v/>
      </c>
      <c r="AC542">
        <f>RAND()</f>
        <v/>
      </c>
      <c r="AD542">
        <f>RAND()</f>
        <v/>
      </c>
      <c r="AE542">
        <f>RAND()</f>
        <v/>
      </c>
      <c r="AF542">
        <f>RAND()</f>
        <v/>
      </c>
    </row>
    <row r="543">
      <c r="M543" s="14">
        <f>_xlfn.BETA.INV($AA543,1+4*($D$5-$C$5)/($E$5-$C$5),1+4*($E$5-$D$5)/($E$5-$C$5),$C$5,$E$5)</f>
        <v/>
      </c>
      <c r="N543" s="14">
        <f>IF($AB543&lt;($D$6-$C$6)/($E$6-$C$6),$C$6+SQRT($AB543*($E$6-$C$6)*($D$6-$C$6)),$E$6-SQRT((1-$AB543)*($E$6-$C$6)*($E$6-$D$6)))</f>
        <v/>
      </c>
      <c r="O543" s="14">
        <f>_xlfn.NORM.INV($AC543,$C$7,$D$7)</f>
        <v/>
      </c>
      <c r="P543" s="14">
        <f>$C$8+($D$8-$C$8)*$AD543</f>
        <v/>
      </c>
      <c r="Q543" s="14">
        <f>$C$9</f>
        <v/>
      </c>
      <c r="R543" s="14">
        <f>_xlfn.LOGNORM.INV($AF543,LN($C$10)-0.5*LN(1+($D$10/$C$10)^2),SQRT(LN(1+($D$10/$C$10)^2)))</f>
        <v/>
      </c>
      <c r="S543" s="14">
        <f>SUM(M543:R543)</f>
        <v/>
      </c>
      <c r="AA543">
        <f>RAND()</f>
        <v/>
      </c>
      <c r="AB543">
        <f>RAND()</f>
        <v/>
      </c>
      <c r="AC543">
        <f>RAND()</f>
        <v/>
      </c>
      <c r="AD543">
        <f>RAND()</f>
        <v/>
      </c>
      <c r="AE543">
        <f>RAND()</f>
        <v/>
      </c>
      <c r="AF543">
        <f>RAND()</f>
        <v/>
      </c>
    </row>
    <row r="544">
      <c r="M544" s="14">
        <f>_xlfn.BETA.INV($AA544,1+4*($D$5-$C$5)/($E$5-$C$5),1+4*($E$5-$D$5)/($E$5-$C$5),$C$5,$E$5)</f>
        <v/>
      </c>
      <c r="N544" s="14">
        <f>IF($AB544&lt;($D$6-$C$6)/($E$6-$C$6),$C$6+SQRT($AB544*($E$6-$C$6)*($D$6-$C$6)),$E$6-SQRT((1-$AB544)*($E$6-$C$6)*($E$6-$D$6)))</f>
        <v/>
      </c>
      <c r="O544" s="14">
        <f>_xlfn.NORM.INV($AC544,$C$7,$D$7)</f>
        <v/>
      </c>
      <c r="P544" s="14">
        <f>$C$8+($D$8-$C$8)*$AD544</f>
        <v/>
      </c>
      <c r="Q544" s="14">
        <f>$C$9</f>
        <v/>
      </c>
      <c r="R544" s="14">
        <f>_xlfn.LOGNORM.INV($AF544,LN($C$10)-0.5*LN(1+($D$10/$C$10)^2),SQRT(LN(1+($D$10/$C$10)^2)))</f>
        <v/>
      </c>
      <c r="S544" s="14">
        <f>SUM(M544:R544)</f>
        <v/>
      </c>
      <c r="AA544">
        <f>RAND()</f>
        <v/>
      </c>
      <c r="AB544">
        <f>RAND()</f>
        <v/>
      </c>
      <c r="AC544">
        <f>RAND()</f>
        <v/>
      </c>
      <c r="AD544">
        <f>RAND()</f>
        <v/>
      </c>
      <c r="AE544">
        <f>RAND()</f>
        <v/>
      </c>
      <c r="AF544">
        <f>RAND()</f>
        <v/>
      </c>
    </row>
    <row r="545">
      <c r="M545" s="14">
        <f>_xlfn.BETA.INV($AA545,1+4*($D$5-$C$5)/($E$5-$C$5),1+4*($E$5-$D$5)/($E$5-$C$5),$C$5,$E$5)</f>
        <v/>
      </c>
      <c r="N545" s="14">
        <f>IF($AB545&lt;($D$6-$C$6)/($E$6-$C$6),$C$6+SQRT($AB545*($E$6-$C$6)*($D$6-$C$6)),$E$6-SQRT((1-$AB545)*($E$6-$C$6)*($E$6-$D$6)))</f>
        <v/>
      </c>
      <c r="O545" s="14">
        <f>_xlfn.NORM.INV($AC545,$C$7,$D$7)</f>
        <v/>
      </c>
      <c r="P545" s="14">
        <f>$C$8+($D$8-$C$8)*$AD545</f>
        <v/>
      </c>
      <c r="Q545" s="14">
        <f>$C$9</f>
        <v/>
      </c>
      <c r="R545" s="14">
        <f>_xlfn.LOGNORM.INV($AF545,LN($C$10)-0.5*LN(1+($D$10/$C$10)^2),SQRT(LN(1+($D$10/$C$10)^2)))</f>
        <v/>
      </c>
      <c r="S545" s="14">
        <f>SUM(M545:R545)</f>
        <v/>
      </c>
      <c r="AA545">
        <f>RAND()</f>
        <v/>
      </c>
      <c r="AB545">
        <f>RAND()</f>
        <v/>
      </c>
      <c r="AC545">
        <f>RAND()</f>
        <v/>
      </c>
      <c r="AD545">
        <f>RAND()</f>
        <v/>
      </c>
      <c r="AE545">
        <f>RAND()</f>
        <v/>
      </c>
      <c r="AF545">
        <f>RAND()</f>
        <v/>
      </c>
    </row>
    <row r="546">
      <c r="M546" s="14">
        <f>_xlfn.BETA.INV($AA546,1+4*($D$5-$C$5)/($E$5-$C$5),1+4*($E$5-$D$5)/($E$5-$C$5),$C$5,$E$5)</f>
        <v/>
      </c>
      <c r="N546" s="14">
        <f>IF($AB546&lt;($D$6-$C$6)/($E$6-$C$6),$C$6+SQRT($AB546*($E$6-$C$6)*($D$6-$C$6)),$E$6-SQRT((1-$AB546)*($E$6-$C$6)*($E$6-$D$6)))</f>
        <v/>
      </c>
      <c r="O546" s="14">
        <f>_xlfn.NORM.INV($AC546,$C$7,$D$7)</f>
        <v/>
      </c>
      <c r="P546" s="14">
        <f>$C$8+($D$8-$C$8)*$AD546</f>
        <v/>
      </c>
      <c r="Q546" s="14">
        <f>$C$9</f>
        <v/>
      </c>
      <c r="R546" s="14">
        <f>_xlfn.LOGNORM.INV($AF546,LN($C$10)-0.5*LN(1+($D$10/$C$10)^2),SQRT(LN(1+($D$10/$C$10)^2)))</f>
        <v/>
      </c>
      <c r="S546" s="14">
        <f>SUM(M546:R546)</f>
        <v/>
      </c>
      <c r="AA546">
        <f>RAND()</f>
        <v/>
      </c>
      <c r="AB546">
        <f>RAND()</f>
        <v/>
      </c>
      <c r="AC546">
        <f>RAND()</f>
        <v/>
      </c>
      <c r="AD546">
        <f>RAND()</f>
        <v/>
      </c>
      <c r="AE546">
        <f>RAND()</f>
        <v/>
      </c>
      <c r="AF546">
        <f>RAND()</f>
        <v/>
      </c>
    </row>
    <row r="547">
      <c r="M547" s="14">
        <f>_xlfn.BETA.INV($AA547,1+4*($D$5-$C$5)/($E$5-$C$5),1+4*($E$5-$D$5)/($E$5-$C$5),$C$5,$E$5)</f>
        <v/>
      </c>
      <c r="N547" s="14">
        <f>IF($AB547&lt;($D$6-$C$6)/($E$6-$C$6),$C$6+SQRT($AB547*($E$6-$C$6)*($D$6-$C$6)),$E$6-SQRT((1-$AB547)*($E$6-$C$6)*($E$6-$D$6)))</f>
        <v/>
      </c>
      <c r="O547" s="14">
        <f>_xlfn.NORM.INV($AC547,$C$7,$D$7)</f>
        <v/>
      </c>
      <c r="P547" s="14">
        <f>$C$8+($D$8-$C$8)*$AD547</f>
        <v/>
      </c>
      <c r="Q547" s="14">
        <f>$C$9</f>
        <v/>
      </c>
      <c r="R547" s="14">
        <f>_xlfn.LOGNORM.INV($AF547,LN($C$10)-0.5*LN(1+($D$10/$C$10)^2),SQRT(LN(1+($D$10/$C$10)^2)))</f>
        <v/>
      </c>
      <c r="S547" s="14">
        <f>SUM(M547:R547)</f>
        <v/>
      </c>
      <c r="AA547">
        <f>RAND()</f>
        <v/>
      </c>
      <c r="AB547">
        <f>RAND()</f>
        <v/>
      </c>
      <c r="AC547">
        <f>RAND()</f>
        <v/>
      </c>
      <c r="AD547">
        <f>RAND()</f>
        <v/>
      </c>
      <c r="AE547">
        <f>RAND()</f>
        <v/>
      </c>
      <c r="AF547">
        <f>RAND()</f>
        <v/>
      </c>
    </row>
    <row r="548">
      <c r="M548" s="14">
        <f>_xlfn.BETA.INV($AA548,1+4*($D$5-$C$5)/($E$5-$C$5),1+4*($E$5-$D$5)/($E$5-$C$5),$C$5,$E$5)</f>
        <v/>
      </c>
      <c r="N548" s="14">
        <f>IF($AB548&lt;($D$6-$C$6)/($E$6-$C$6),$C$6+SQRT($AB548*($E$6-$C$6)*($D$6-$C$6)),$E$6-SQRT((1-$AB548)*($E$6-$C$6)*($E$6-$D$6)))</f>
        <v/>
      </c>
      <c r="O548" s="14">
        <f>_xlfn.NORM.INV($AC548,$C$7,$D$7)</f>
        <v/>
      </c>
      <c r="P548" s="14">
        <f>$C$8+($D$8-$C$8)*$AD548</f>
        <v/>
      </c>
      <c r="Q548" s="14">
        <f>$C$9</f>
        <v/>
      </c>
      <c r="R548" s="14">
        <f>_xlfn.LOGNORM.INV($AF548,LN($C$10)-0.5*LN(1+($D$10/$C$10)^2),SQRT(LN(1+($D$10/$C$10)^2)))</f>
        <v/>
      </c>
      <c r="S548" s="14">
        <f>SUM(M548:R548)</f>
        <v/>
      </c>
      <c r="AA548">
        <f>RAND()</f>
        <v/>
      </c>
      <c r="AB548">
        <f>RAND()</f>
        <v/>
      </c>
      <c r="AC548">
        <f>RAND()</f>
        <v/>
      </c>
      <c r="AD548">
        <f>RAND()</f>
        <v/>
      </c>
      <c r="AE548">
        <f>RAND()</f>
        <v/>
      </c>
      <c r="AF548">
        <f>RAND()</f>
        <v/>
      </c>
    </row>
    <row r="549">
      <c r="M549" s="14">
        <f>_xlfn.BETA.INV($AA549,1+4*($D$5-$C$5)/($E$5-$C$5),1+4*($E$5-$D$5)/($E$5-$C$5),$C$5,$E$5)</f>
        <v/>
      </c>
      <c r="N549" s="14">
        <f>IF($AB549&lt;($D$6-$C$6)/($E$6-$C$6),$C$6+SQRT($AB549*($E$6-$C$6)*($D$6-$C$6)),$E$6-SQRT((1-$AB549)*($E$6-$C$6)*($E$6-$D$6)))</f>
        <v/>
      </c>
      <c r="O549" s="14">
        <f>_xlfn.NORM.INV($AC549,$C$7,$D$7)</f>
        <v/>
      </c>
      <c r="P549" s="14">
        <f>$C$8+($D$8-$C$8)*$AD549</f>
        <v/>
      </c>
      <c r="Q549" s="14">
        <f>$C$9</f>
        <v/>
      </c>
      <c r="R549" s="14">
        <f>_xlfn.LOGNORM.INV($AF549,LN($C$10)-0.5*LN(1+($D$10/$C$10)^2),SQRT(LN(1+($D$10/$C$10)^2)))</f>
        <v/>
      </c>
      <c r="S549" s="14">
        <f>SUM(M549:R549)</f>
        <v/>
      </c>
      <c r="AA549">
        <f>RAND()</f>
        <v/>
      </c>
      <c r="AB549">
        <f>RAND()</f>
        <v/>
      </c>
      <c r="AC549">
        <f>RAND()</f>
        <v/>
      </c>
      <c r="AD549">
        <f>RAND()</f>
        <v/>
      </c>
      <c r="AE549">
        <f>RAND()</f>
        <v/>
      </c>
      <c r="AF549">
        <f>RAND()</f>
        <v/>
      </c>
    </row>
    <row r="550">
      <c r="M550" s="14">
        <f>_xlfn.BETA.INV($AA550,1+4*($D$5-$C$5)/($E$5-$C$5),1+4*($E$5-$D$5)/($E$5-$C$5),$C$5,$E$5)</f>
        <v/>
      </c>
      <c r="N550" s="14">
        <f>IF($AB550&lt;($D$6-$C$6)/($E$6-$C$6),$C$6+SQRT($AB550*($E$6-$C$6)*($D$6-$C$6)),$E$6-SQRT((1-$AB550)*($E$6-$C$6)*($E$6-$D$6)))</f>
        <v/>
      </c>
      <c r="O550" s="14">
        <f>_xlfn.NORM.INV($AC550,$C$7,$D$7)</f>
        <v/>
      </c>
      <c r="P550" s="14">
        <f>$C$8+($D$8-$C$8)*$AD550</f>
        <v/>
      </c>
      <c r="Q550" s="14">
        <f>$C$9</f>
        <v/>
      </c>
      <c r="R550" s="14">
        <f>_xlfn.LOGNORM.INV($AF550,LN($C$10)-0.5*LN(1+($D$10/$C$10)^2),SQRT(LN(1+($D$10/$C$10)^2)))</f>
        <v/>
      </c>
      <c r="S550" s="14">
        <f>SUM(M550:R550)</f>
        <v/>
      </c>
      <c r="AA550">
        <f>RAND()</f>
        <v/>
      </c>
      <c r="AB550">
        <f>RAND()</f>
        <v/>
      </c>
      <c r="AC550">
        <f>RAND()</f>
        <v/>
      </c>
      <c r="AD550">
        <f>RAND()</f>
        <v/>
      </c>
      <c r="AE550">
        <f>RAND()</f>
        <v/>
      </c>
      <c r="AF550">
        <f>RAND()</f>
        <v/>
      </c>
    </row>
    <row r="551">
      <c r="M551" s="14">
        <f>_xlfn.BETA.INV($AA551,1+4*($D$5-$C$5)/($E$5-$C$5),1+4*($E$5-$D$5)/($E$5-$C$5),$C$5,$E$5)</f>
        <v/>
      </c>
      <c r="N551" s="14">
        <f>IF($AB551&lt;($D$6-$C$6)/($E$6-$C$6),$C$6+SQRT($AB551*($E$6-$C$6)*($D$6-$C$6)),$E$6-SQRT((1-$AB551)*($E$6-$C$6)*($E$6-$D$6)))</f>
        <v/>
      </c>
      <c r="O551" s="14">
        <f>_xlfn.NORM.INV($AC551,$C$7,$D$7)</f>
        <v/>
      </c>
      <c r="P551" s="14">
        <f>$C$8+($D$8-$C$8)*$AD551</f>
        <v/>
      </c>
      <c r="Q551" s="14">
        <f>$C$9</f>
        <v/>
      </c>
      <c r="R551" s="14">
        <f>_xlfn.LOGNORM.INV($AF551,LN($C$10)-0.5*LN(1+($D$10/$C$10)^2),SQRT(LN(1+($D$10/$C$10)^2)))</f>
        <v/>
      </c>
      <c r="S551" s="14">
        <f>SUM(M551:R551)</f>
        <v/>
      </c>
      <c r="AA551">
        <f>RAND()</f>
        <v/>
      </c>
      <c r="AB551">
        <f>RAND()</f>
        <v/>
      </c>
      <c r="AC551">
        <f>RAND()</f>
        <v/>
      </c>
      <c r="AD551">
        <f>RAND()</f>
        <v/>
      </c>
      <c r="AE551">
        <f>RAND()</f>
        <v/>
      </c>
      <c r="AF551">
        <f>RAND()</f>
        <v/>
      </c>
    </row>
    <row r="552">
      <c r="M552" s="14">
        <f>_xlfn.BETA.INV($AA552,1+4*($D$5-$C$5)/($E$5-$C$5),1+4*($E$5-$D$5)/($E$5-$C$5),$C$5,$E$5)</f>
        <v/>
      </c>
      <c r="N552" s="14">
        <f>IF($AB552&lt;($D$6-$C$6)/($E$6-$C$6),$C$6+SQRT($AB552*($E$6-$C$6)*($D$6-$C$6)),$E$6-SQRT((1-$AB552)*($E$6-$C$6)*($E$6-$D$6)))</f>
        <v/>
      </c>
      <c r="O552" s="14">
        <f>_xlfn.NORM.INV($AC552,$C$7,$D$7)</f>
        <v/>
      </c>
      <c r="P552" s="14">
        <f>$C$8+($D$8-$C$8)*$AD552</f>
        <v/>
      </c>
      <c r="Q552" s="14">
        <f>$C$9</f>
        <v/>
      </c>
      <c r="R552" s="14">
        <f>_xlfn.LOGNORM.INV($AF552,LN($C$10)-0.5*LN(1+($D$10/$C$10)^2),SQRT(LN(1+($D$10/$C$10)^2)))</f>
        <v/>
      </c>
      <c r="S552" s="14">
        <f>SUM(M552:R552)</f>
        <v/>
      </c>
      <c r="AA552">
        <f>RAND()</f>
        <v/>
      </c>
      <c r="AB552">
        <f>RAND()</f>
        <v/>
      </c>
      <c r="AC552">
        <f>RAND()</f>
        <v/>
      </c>
      <c r="AD552">
        <f>RAND()</f>
        <v/>
      </c>
      <c r="AE552">
        <f>RAND()</f>
        <v/>
      </c>
      <c r="AF552">
        <f>RAND()</f>
        <v/>
      </c>
    </row>
    <row r="553">
      <c r="M553" s="14">
        <f>_xlfn.BETA.INV($AA553,1+4*($D$5-$C$5)/($E$5-$C$5),1+4*($E$5-$D$5)/($E$5-$C$5),$C$5,$E$5)</f>
        <v/>
      </c>
      <c r="N553" s="14">
        <f>IF($AB553&lt;($D$6-$C$6)/($E$6-$C$6),$C$6+SQRT($AB553*($E$6-$C$6)*($D$6-$C$6)),$E$6-SQRT((1-$AB553)*($E$6-$C$6)*($E$6-$D$6)))</f>
        <v/>
      </c>
      <c r="O553" s="14">
        <f>_xlfn.NORM.INV($AC553,$C$7,$D$7)</f>
        <v/>
      </c>
      <c r="P553" s="14">
        <f>$C$8+($D$8-$C$8)*$AD553</f>
        <v/>
      </c>
      <c r="Q553" s="14">
        <f>$C$9</f>
        <v/>
      </c>
      <c r="R553" s="14">
        <f>_xlfn.LOGNORM.INV($AF553,LN($C$10)-0.5*LN(1+($D$10/$C$10)^2),SQRT(LN(1+($D$10/$C$10)^2)))</f>
        <v/>
      </c>
      <c r="S553" s="14">
        <f>SUM(M553:R553)</f>
        <v/>
      </c>
      <c r="AA553">
        <f>RAND()</f>
        <v/>
      </c>
      <c r="AB553">
        <f>RAND()</f>
        <v/>
      </c>
      <c r="AC553">
        <f>RAND()</f>
        <v/>
      </c>
      <c r="AD553">
        <f>RAND()</f>
        <v/>
      </c>
      <c r="AE553">
        <f>RAND()</f>
        <v/>
      </c>
      <c r="AF553">
        <f>RAND()</f>
        <v/>
      </c>
    </row>
    <row r="554">
      <c r="M554" s="14">
        <f>_xlfn.BETA.INV($AA554,1+4*($D$5-$C$5)/($E$5-$C$5),1+4*($E$5-$D$5)/($E$5-$C$5),$C$5,$E$5)</f>
        <v/>
      </c>
      <c r="N554" s="14">
        <f>IF($AB554&lt;($D$6-$C$6)/($E$6-$C$6),$C$6+SQRT($AB554*($E$6-$C$6)*($D$6-$C$6)),$E$6-SQRT((1-$AB554)*($E$6-$C$6)*($E$6-$D$6)))</f>
        <v/>
      </c>
      <c r="O554" s="14">
        <f>_xlfn.NORM.INV($AC554,$C$7,$D$7)</f>
        <v/>
      </c>
      <c r="P554" s="14">
        <f>$C$8+($D$8-$C$8)*$AD554</f>
        <v/>
      </c>
      <c r="Q554" s="14">
        <f>$C$9</f>
        <v/>
      </c>
      <c r="R554" s="14">
        <f>_xlfn.LOGNORM.INV($AF554,LN($C$10)-0.5*LN(1+($D$10/$C$10)^2),SQRT(LN(1+($D$10/$C$10)^2)))</f>
        <v/>
      </c>
      <c r="S554" s="14">
        <f>SUM(M554:R554)</f>
        <v/>
      </c>
      <c r="AA554">
        <f>RAND()</f>
        <v/>
      </c>
      <c r="AB554">
        <f>RAND()</f>
        <v/>
      </c>
      <c r="AC554">
        <f>RAND()</f>
        <v/>
      </c>
      <c r="AD554">
        <f>RAND()</f>
        <v/>
      </c>
      <c r="AE554">
        <f>RAND()</f>
        <v/>
      </c>
      <c r="AF554">
        <f>RAND()</f>
        <v/>
      </c>
    </row>
    <row r="555">
      <c r="M555" s="14">
        <f>_xlfn.BETA.INV($AA555,1+4*($D$5-$C$5)/($E$5-$C$5),1+4*($E$5-$D$5)/($E$5-$C$5),$C$5,$E$5)</f>
        <v/>
      </c>
      <c r="N555" s="14">
        <f>IF($AB555&lt;($D$6-$C$6)/($E$6-$C$6),$C$6+SQRT($AB555*($E$6-$C$6)*($D$6-$C$6)),$E$6-SQRT((1-$AB555)*($E$6-$C$6)*($E$6-$D$6)))</f>
        <v/>
      </c>
      <c r="O555" s="14">
        <f>_xlfn.NORM.INV($AC555,$C$7,$D$7)</f>
        <v/>
      </c>
      <c r="P555" s="14">
        <f>$C$8+($D$8-$C$8)*$AD555</f>
        <v/>
      </c>
      <c r="Q555" s="14">
        <f>$C$9</f>
        <v/>
      </c>
      <c r="R555" s="14">
        <f>_xlfn.LOGNORM.INV($AF555,LN($C$10)-0.5*LN(1+($D$10/$C$10)^2),SQRT(LN(1+($D$10/$C$10)^2)))</f>
        <v/>
      </c>
      <c r="S555" s="14">
        <f>SUM(M555:R555)</f>
        <v/>
      </c>
      <c r="AA555">
        <f>RAND()</f>
        <v/>
      </c>
      <c r="AB555">
        <f>RAND()</f>
        <v/>
      </c>
      <c r="AC555">
        <f>RAND()</f>
        <v/>
      </c>
      <c r="AD555">
        <f>RAND()</f>
        <v/>
      </c>
      <c r="AE555">
        <f>RAND()</f>
        <v/>
      </c>
      <c r="AF555">
        <f>RAND()</f>
        <v/>
      </c>
    </row>
    <row r="556">
      <c r="M556" s="14">
        <f>_xlfn.BETA.INV($AA556,1+4*($D$5-$C$5)/($E$5-$C$5),1+4*($E$5-$D$5)/($E$5-$C$5),$C$5,$E$5)</f>
        <v/>
      </c>
      <c r="N556" s="14">
        <f>IF($AB556&lt;($D$6-$C$6)/($E$6-$C$6),$C$6+SQRT($AB556*($E$6-$C$6)*($D$6-$C$6)),$E$6-SQRT((1-$AB556)*($E$6-$C$6)*($E$6-$D$6)))</f>
        <v/>
      </c>
      <c r="O556" s="14">
        <f>_xlfn.NORM.INV($AC556,$C$7,$D$7)</f>
        <v/>
      </c>
      <c r="P556" s="14">
        <f>$C$8+($D$8-$C$8)*$AD556</f>
        <v/>
      </c>
      <c r="Q556" s="14">
        <f>$C$9</f>
        <v/>
      </c>
      <c r="R556" s="14">
        <f>_xlfn.LOGNORM.INV($AF556,LN($C$10)-0.5*LN(1+($D$10/$C$10)^2),SQRT(LN(1+($D$10/$C$10)^2)))</f>
        <v/>
      </c>
      <c r="S556" s="14">
        <f>SUM(M556:R556)</f>
        <v/>
      </c>
      <c r="AA556">
        <f>RAND()</f>
        <v/>
      </c>
      <c r="AB556">
        <f>RAND()</f>
        <v/>
      </c>
      <c r="AC556">
        <f>RAND()</f>
        <v/>
      </c>
      <c r="AD556">
        <f>RAND()</f>
        <v/>
      </c>
      <c r="AE556">
        <f>RAND()</f>
        <v/>
      </c>
      <c r="AF556">
        <f>RAND()</f>
        <v/>
      </c>
    </row>
    <row r="557">
      <c r="M557" s="14">
        <f>_xlfn.BETA.INV($AA557,1+4*($D$5-$C$5)/($E$5-$C$5),1+4*($E$5-$D$5)/($E$5-$C$5),$C$5,$E$5)</f>
        <v/>
      </c>
      <c r="N557" s="14">
        <f>IF($AB557&lt;($D$6-$C$6)/($E$6-$C$6),$C$6+SQRT($AB557*($E$6-$C$6)*($D$6-$C$6)),$E$6-SQRT((1-$AB557)*($E$6-$C$6)*($E$6-$D$6)))</f>
        <v/>
      </c>
      <c r="O557" s="14">
        <f>_xlfn.NORM.INV($AC557,$C$7,$D$7)</f>
        <v/>
      </c>
      <c r="P557" s="14">
        <f>$C$8+($D$8-$C$8)*$AD557</f>
        <v/>
      </c>
      <c r="Q557" s="14">
        <f>$C$9</f>
        <v/>
      </c>
      <c r="R557" s="14">
        <f>_xlfn.LOGNORM.INV($AF557,LN($C$10)-0.5*LN(1+($D$10/$C$10)^2),SQRT(LN(1+($D$10/$C$10)^2)))</f>
        <v/>
      </c>
      <c r="S557" s="14">
        <f>SUM(M557:R557)</f>
        <v/>
      </c>
      <c r="AA557">
        <f>RAND()</f>
        <v/>
      </c>
      <c r="AB557">
        <f>RAND()</f>
        <v/>
      </c>
      <c r="AC557">
        <f>RAND()</f>
        <v/>
      </c>
      <c r="AD557">
        <f>RAND()</f>
        <v/>
      </c>
      <c r="AE557">
        <f>RAND()</f>
        <v/>
      </c>
      <c r="AF557">
        <f>RAND()</f>
        <v/>
      </c>
    </row>
    <row r="558">
      <c r="M558" s="14">
        <f>_xlfn.BETA.INV($AA558,1+4*($D$5-$C$5)/($E$5-$C$5),1+4*($E$5-$D$5)/($E$5-$C$5),$C$5,$E$5)</f>
        <v/>
      </c>
      <c r="N558" s="14">
        <f>IF($AB558&lt;($D$6-$C$6)/($E$6-$C$6),$C$6+SQRT($AB558*($E$6-$C$6)*($D$6-$C$6)),$E$6-SQRT((1-$AB558)*($E$6-$C$6)*($E$6-$D$6)))</f>
        <v/>
      </c>
      <c r="O558" s="14">
        <f>_xlfn.NORM.INV($AC558,$C$7,$D$7)</f>
        <v/>
      </c>
      <c r="P558" s="14">
        <f>$C$8+($D$8-$C$8)*$AD558</f>
        <v/>
      </c>
      <c r="Q558" s="14">
        <f>$C$9</f>
        <v/>
      </c>
      <c r="R558" s="14">
        <f>_xlfn.LOGNORM.INV($AF558,LN($C$10)-0.5*LN(1+($D$10/$C$10)^2),SQRT(LN(1+($D$10/$C$10)^2)))</f>
        <v/>
      </c>
      <c r="S558" s="14">
        <f>SUM(M558:R558)</f>
        <v/>
      </c>
      <c r="AA558">
        <f>RAND()</f>
        <v/>
      </c>
      <c r="AB558">
        <f>RAND()</f>
        <v/>
      </c>
      <c r="AC558">
        <f>RAND()</f>
        <v/>
      </c>
      <c r="AD558">
        <f>RAND()</f>
        <v/>
      </c>
      <c r="AE558">
        <f>RAND()</f>
        <v/>
      </c>
      <c r="AF558">
        <f>RAND()</f>
        <v/>
      </c>
    </row>
    <row r="559">
      <c r="M559" s="14">
        <f>_xlfn.BETA.INV($AA559,1+4*($D$5-$C$5)/($E$5-$C$5),1+4*($E$5-$D$5)/($E$5-$C$5),$C$5,$E$5)</f>
        <v/>
      </c>
      <c r="N559" s="14">
        <f>IF($AB559&lt;($D$6-$C$6)/($E$6-$C$6),$C$6+SQRT($AB559*($E$6-$C$6)*($D$6-$C$6)),$E$6-SQRT((1-$AB559)*($E$6-$C$6)*($E$6-$D$6)))</f>
        <v/>
      </c>
      <c r="O559" s="14">
        <f>_xlfn.NORM.INV($AC559,$C$7,$D$7)</f>
        <v/>
      </c>
      <c r="P559" s="14">
        <f>$C$8+($D$8-$C$8)*$AD559</f>
        <v/>
      </c>
      <c r="Q559" s="14">
        <f>$C$9</f>
        <v/>
      </c>
      <c r="R559" s="14">
        <f>_xlfn.LOGNORM.INV($AF559,LN($C$10)-0.5*LN(1+($D$10/$C$10)^2),SQRT(LN(1+($D$10/$C$10)^2)))</f>
        <v/>
      </c>
      <c r="S559" s="14">
        <f>SUM(M559:R559)</f>
        <v/>
      </c>
      <c r="AA559">
        <f>RAND()</f>
        <v/>
      </c>
      <c r="AB559">
        <f>RAND()</f>
        <v/>
      </c>
      <c r="AC559">
        <f>RAND()</f>
        <v/>
      </c>
      <c r="AD559">
        <f>RAND()</f>
        <v/>
      </c>
      <c r="AE559">
        <f>RAND()</f>
        <v/>
      </c>
      <c r="AF559">
        <f>RAND()</f>
        <v/>
      </c>
    </row>
    <row r="560">
      <c r="M560" s="14">
        <f>_xlfn.BETA.INV($AA560,1+4*($D$5-$C$5)/($E$5-$C$5),1+4*($E$5-$D$5)/($E$5-$C$5),$C$5,$E$5)</f>
        <v/>
      </c>
      <c r="N560" s="14">
        <f>IF($AB560&lt;($D$6-$C$6)/($E$6-$C$6),$C$6+SQRT($AB560*($E$6-$C$6)*($D$6-$C$6)),$E$6-SQRT((1-$AB560)*($E$6-$C$6)*($E$6-$D$6)))</f>
        <v/>
      </c>
      <c r="O560" s="14">
        <f>_xlfn.NORM.INV($AC560,$C$7,$D$7)</f>
        <v/>
      </c>
      <c r="P560" s="14">
        <f>$C$8+($D$8-$C$8)*$AD560</f>
        <v/>
      </c>
      <c r="Q560" s="14">
        <f>$C$9</f>
        <v/>
      </c>
      <c r="R560" s="14">
        <f>_xlfn.LOGNORM.INV($AF560,LN($C$10)-0.5*LN(1+($D$10/$C$10)^2),SQRT(LN(1+($D$10/$C$10)^2)))</f>
        <v/>
      </c>
      <c r="S560" s="14">
        <f>SUM(M560:R560)</f>
        <v/>
      </c>
      <c r="AA560">
        <f>RAND()</f>
        <v/>
      </c>
      <c r="AB560">
        <f>RAND()</f>
        <v/>
      </c>
      <c r="AC560">
        <f>RAND()</f>
        <v/>
      </c>
      <c r="AD560">
        <f>RAND()</f>
        <v/>
      </c>
      <c r="AE560">
        <f>RAND()</f>
        <v/>
      </c>
      <c r="AF560">
        <f>RAND()</f>
        <v/>
      </c>
    </row>
    <row r="561">
      <c r="M561" s="14">
        <f>_xlfn.BETA.INV($AA561,1+4*($D$5-$C$5)/($E$5-$C$5),1+4*($E$5-$D$5)/($E$5-$C$5),$C$5,$E$5)</f>
        <v/>
      </c>
      <c r="N561" s="14">
        <f>IF($AB561&lt;($D$6-$C$6)/($E$6-$C$6),$C$6+SQRT($AB561*($E$6-$C$6)*($D$6-$C$6)),$E$6-SQRT((1-$AB561)*($E$6-$C$6)*($E$6-$D$6)))</f>
        <v/>
      </c>
      <c r="O561" s="14">
        <f>_xlfn.NORM.INV($AC561,$C$7,$D$7)</f>
        <v/>
      </c>
      <c r="P561" s="14">
        <f>$C$8+($D$8-$C$8)*$AD561</f>
        <v/>
      </c>
      <c r="Q561" s="14">
        <f>$C$9</f>
        <v/>
      </c>
      <c r="R561" s="14">
        <f>_xlfn.LOGNORM.INV($AF561,LN($C$10)-0.5*LN(1+($D$10/$C$10)^2),SQRT(LN(1+($D$10/$C$10)^2)))</f>
        <v/>
      </c>
      <c r="S561" s="14">
        <f>SUM(M561:R561)</f>
        <v/>
      </c>
      <c r="AA561">
        <f>RAND()</f>
        <v/>
      </c>
      <c r="AB561">
        <f>RAND()</f>
        <v/>
      </c>
      <c r="AC561">
        <f>RAND()</f>
        <v/>
      </c>
      <c r="AD561">
        <f>RAND()</f>
        <v/>
      </c>
      <c r="AE561">
        <f>RAND()</f>
        <v/>
      </c>
      <c r="AF561">
        <f>RAND()</f>
        <v/>
      </c>
    </row>
    <row r="562">
      <c r="M562" s="14">
        <f>_xlfn.BETA.INV($AA562,1+4*($D$5-$C$5)/($E$5-$C$5),1+4*($E$5-$D$5)/($E$5-$C$5),$C$5,$E$5)</f>
        <v/>
      </c>
      <c r="N562" s="14">
        <f>IF($AB562&lt;($D$6-$C$6)/($E$6-$C$6),$C$6+SQRT($AB562*($E$6-$C$6)*($D$6-$C$6)),$E$6-SQRT((1-$AB562)*($E$6-$C$6)*($E$6-$D$6)))</f>
        <v/>
      </c>
      <c r="O562" s="14">
        <f>_xlfn.NORM.INV($AC562,$C$7,$D$7)</f>
        <v/>
      </c>
      <c r="P562" s="14">
        <f>$C$8+($D$8-$C$8)*$AD562</f>
        <v/>
      </c>
      <c r="Q562" s="14">
        <f>$C$9</f>
        <v/>
      </c>
      <c r="R562" s="14">
        <f>_xlfn.LOGNORM.INV($AF562,LN($C$10)-0.5*LN(1+($D$10/$C$10)^2),SQRT(LN(1+($D$10/$C$10)^2)))</f>
        <v/>
      </c>
      <c r="S562" s="14">
        <f>SUM(M562:R562)</f>
        <v/>
      </c>
      <c r="AA562">
        <f>RAND()</f>
        <v/>
      </c>
      <c r="AB562">
        <f>RAND()</f>
        <v/>
      </c>
      <c r="AC562">
        <f>RAND()</f>
        <v/>
      </c>
      <c r="AD562">
        <f>RAND()</f>
        <v/>
      </c>
      <c r="AE562">
        <f>RAND()</f>
        <v/>
      </c>
      <c r="AF562">
        <f>RAND()</f>
        <v/>
      </c>
    </row>
    <row r="563">
      <c r="M563" s="14">
        <f>_xlfn.BETA.INV($AA563,1+4*($D$5-$C$5)/($E$5-$C$5),1+4*($E$5-$D$5)/($E$5-$C$5),$C$5,$E$5)</f>
        <v/>
      </c>
      <c r="N563" s="14">
        <f>IF($AB563&lt;($D$6-$C$6)/($E$6-$C$6),$C$6+SQRT($AB563*($E$6-$C$6)*($D$6-$C$6)),$E$6-SQRT((1-$AB563)*($E$6-$C$6)*($E$6-$D$6)))</f>
        <v/>
      </c>
      <c r="O563" s="14">
        <f>_xlfn.NORM.INV($AC563,$C$7,$D$7)</f>
        <v/>
      </c>
      <c r="P563" s="14">
        <f>$C$8+($D$8-$C$8)*$AD563</f>
        <v/>
      </c>
      <c r="Q563" s="14">
        <f>$C$9</f>
        <v/>
      </c>
      <c r="R563" s="14">
        <f>_xlfn.LOGNORM.INV($AF563,LN($C$10)-0.5*LN(1+($D$10/$C$10)^2),SQRT(LN(1+($D$10/$C$10)^2)))</f>
        <v/>
      </c>
      <c r="S563" s="14">
        <f>SUM(M563:R563)</f>
        <v/>
      </c>
      <c r="AA563">
        <f>RAND()</f>
        <v/>
      </c>
      <c r="AB563">
        <f>RAND()</f>
        <v/>
      </c>
      <c r="AC563">
        <f>RAND()</f>
        <v/>
      </c>
      <c r="AD563">
        <f>RAND()</f>
        <v/>
      </c>
      <c r="AE563">
        <f>RAND()</f>
        <v/>
      </c>
      <c r="AF563">
        <f>RAND()</f>
        <v/>
      </c>
    </row>
    <row r="564">
      <c r="M564" s="14">
        <f>_xlfn.BETA.INV($AA564,1+4*($D$5-$C$5)/($E$5-$C$5),1+4*($E$5-$D$5)/($E$5-$C$5),$C$5,$E$5)</f>
        <v/>
      </c>
      <c r="N564" s="14">
        <f>IF($AB564&lt;($D$6-$C$6)/($E$6-$C$6),$C$6+SQRT($AB564*($E$6-$C$6)*($D$6-$C$6)),$E$6-SQRT((1-$AB564)*($E$6-$C$6)*($E$6-$D$6)))</f>
        <v/>
      </c>
      <c r="O564" s="14">
        <f>_xlfn.NORM.INV($AC564,$C$7,$D$7)</f>
        <v/>
      </c>
      <c r="P564" s="14">
        <f>$C$8+($D$8-$C$8)*$AD564</f>
        <v/>
      </c>
      <c r="Q564" s="14">
        <f>$C$9</f>
        <v/>
      </c>
      <c r="R564" s="14">
        <f>_xlfn.LOGNORM.INV($AF564,LN($C$10)-0.5*LN(1+($D$10/$C$10)^2),SQRT(LN(1+($D$10/$C$10)^2)))</f>
        <v/>
      </c>
      <c r="S564" s="14">
        <f>SUM(M564:R564)</f>
        <v/>
      </c>
      <c r="AA564">
        <f>RAND()</f>
        <v/>
      </c>
      <c r="AB564">
        <f>RAND()</f>
        <v/>
      </c>
      <c r="AC564">
        <f>RAND()</f>
        <v/>
      </c>
      <c r="AD564">
        <f>RAND()</f>
        <v/>
      </c>
      <c r="AE564">
        <f>RAND()</f>
        <v/>
      </c>
      <c r="AF564">
        <f>RAND()</f>
        <v/>
      </c>
    </row>
    <row r="565">
      <c r="M565" s="14">
        <f>_xlfn.BETA.INV($AA565,1+4*($D$5-$C$5)/($E$5-$C$5),1+4*($E$5-$D$5)/($E$5-$C$5),$C$5,$E$5)</f>
        <v/>
      </c>
      <c r="N565" s="14">
        <f>IF($AB565&lt;($D$6-$C$6)/($E$6-$C$6),$C$6+SQRT($AB565*($E$6-$C$6)*($D$6-$C$6)),$E$6-SQRT((1-$AB565)*($E$6-$C$6)*($E$6-$D$6)))</f>
        <v/>
      </c>
      <c r="O565" s="14">
        <f>_xlfn.NORM.INV($AC565,$C$7,$D$7)</f>
        <v/>
      </c>
      <c r="P565" s="14">
        <f>$C$8+($D$8-$C$8)*$AD565</f>
        <v/>
      </c>
      <c r="Q565" s="14">
        <f>$C$9</f>
        <v/>
      </c>
      <c r="R565" s="14">
        <f>_xlfn.LOGNORM.INV($AF565,LN($C$10)-0.5*LN(1+($D$10/$C$10)^2),SQRT(LN(1+($D$10/$C$10)^2)))</f>
        <v/>
      </c>
      <c r="S565" s="14">
        <f>SUM(M565:R565)</f>
        <v/>
      </c>
      <c r="AA565">
        <f>RAND()</f>
        <v/>
      </c>
      <c r="AB565">
        <f>RAND()</f>
        <v/>
      </c>
      <c r="AC565">
        <f>RAND()</f>
        <v/>
      </c>
      <c r="AD565">
        <f>RAND()</f>
        <v/>
      </c>
      <c r="AE565">
        <f>RAND()</f>
        <v/>
      </c>
      <c r="AF565">
        <f>RAND()</f>
        <v/>
      </c>
    </row>
    <row r="566">
      <c r="M566" s="14">
        <f>_xlfn.BETA.INV($AA566,1+4*($D$5-$C$5)/($E$5-$C$5),1+4*($E$5-$D$5)/($E$5-$C$5),$C$5,$E$5)</f>
        <v/>
      </c>
      <c r="N566" s="14">
        <f>IF($AB566&lt;($D$6-$C$6)/($E$6-$C$6),$C$6+SQRT($AB566*($E$6-$C$6)*($D$6-$C$6)),$E$6-SQRT((1-$AB566)*($E$6-$C$6)*($E$6-$D$6)))</f>
        <v/>
      </c>
      <c r="O566" s="14">
        <f>_xlfn.NORM.INV($AC566,$C$7,$D$7)</f>
        <v/>
      </c>
      <c r="P566" s="14">
        <f>$C$8+($D$8-$C$8)*$AD566</f>
        <v/>
      </c>
      <c r="Q566" s="14">
        <f>$C$9</f>
        <v/>
      </c>
      <c r="R566" s="14">
        <f>_xlfn.LOGNORM.INV($AF566,LN($C$10)-0.5*LN(1+($D$10/$C$10)^2),SQRT(LN(1+($D$10/$C$10)^2)))</f>
        <v/>
      </c>
      <c r="S566" s="14">
        <f>SUM(M566:R566)</f>
        <v/>
      </c>
      <c r="AA566">
        <f>RAND()</f>
        <v/>
      </c>
      <c r="AB566">
        <f>RAND()</f>
        <v/>
      </c>
      <c r="AC566">
        <f>RAND()</f>
        <v/>
      </c>
      <c r="AD566">
        <f>RAND()</f>
        <v/>
      </c>
      <c r="AE566">
        <f>RAND()</f>
        <v/>
      </c>
      <c r="AF566">
        <f>RAND()</f>
        <v/>
      </c>
    </row>
    <row r="567">
      <c r="M567" s="14">
        <f>_xlfn.BETA.INV($AA567,1+4*($D$5-$C$5)/($E$5-$C$5),1+4*($E$5-$D$5)/($E$5-$C$5),$C$5,$E$5)</f>
        <v/>
      </c>
      <c r="N567" s="14">
        <f>IF($AB567&lt;($D$6-$C$6)/($E$6-$C$6),$C$6+SQRT($AB567*($E$6-$C$6)*($D$6-$C$6)),$E$6-SQRT((1-$AB567)*($E$6-$C$6)*($E$6-$D$6)))</f>
        <v/>
      </c>
      <c r="O567" s="14">
        <f>_xlfn.NORM.INV($AC567,$C$7,$D$7)</f>
        <v/>
      </c>
      <c r="P567" s="14">
        <f>$C$8+($D$8-$C$8)*$AD567</f>
        <v/>
      </c>
      <c r="Q567" s="14">
        <f>$C$9</f>
        <v/>
      </c>
      <c r="R567" s="14">
        <f>_xlfn.LOGNORM.INV($AF567,LN($C$10)-0.5*LN(1+($D$10/$C$10)^2),SQRT(LN(1+($D$10/$C$10)^2)))</f>
        <v/>
      </c>
      <c r="S567" s="14">
        <f>SUM(M567:R567)</f>
        <v/>
      </c>
      <c r="AA567">
        <f>RAND()</f>
        <v/>
      </c>
      <c r="AB567">
        <f>RAND()</f>
        <v/>
      </c>
      <c r="AC567">
        <f>RAND()</f>
        <v/>
      </c>
      <c r="AD567">
        <f>RAND()</f>
        <v/>
      </c>
      <c r="AE567">
        <f>RAND()</f>
        <v/>
      </c>
      <c r="AF567">
        <f>RAND()</f>
        <v/>
      </c>
    </row>
    <row r="568">
      <c r="M568" s="14">
        <f>_xlfn.BETA.INV($AA568,1+4*($D$5-$C$5)/($E$5-$C$5),1+4*($E$5-$D$5)/($E$5-$C$5),$C$5,$E$5)</f>
        <v/>
      </c>
      <c r="N568" s="14">
        <f>IF($AB568&lt;($D$6-$C$6)/($E$6-$C$6),$C$6+SQRT($AB568*($E$6-$C$6)*($D$6-$C$6)),$E$6-SQRT((1-$AB568)*($E$6-$C$6)*($E$6-$D$6)))</f>
        <v/>
      </c>
      <c r="O568" s="14">
        <f>_xlfn.NORM.INV($AC568,$C$7,$D$7)</f>
        <v/>
      </c>
      <c r="P568" s="14">
        <f>$C$8+($D$8-$C$8)*$AD568</f>
        <v/>
      </c>
      <c r="Q568" s="14">
        <f>$C$9</f>
        <v/>
      </c>
      <c r="R568" s="14">
        <f>_xlfn.LOGNORM.INV($AF568,LN($C$10)-0.5*LN(1+($D$10/$C$10)^2),SQRT(LN(1+($D$10/$C$10)^2)))</f>
        <v/>
      </c>
      <c r="S568" s="14">
        <f>SUM(M568:R568)</f>
        <v/>
      </c>
      <c r="AA568">
        <f>RAND()</f>
        <v/>
      </c>
      <c r="AB568">
        <f>RAND()</f>
        <v/>
      </c>
      <c r="AC568">
        <f>RAND()</f>
        <v/>
      </c>
      <c r="AD568">
        <f>RAND()</f>
        <v/>
      </c>
      <c r="AE568">
        <f>RAND()</f>
        <v/>
      </c>
      <c r="AF568">
        <f>RAND()</f>
        <v/>
      </c>
    </row>
    <row r="569">
      <c r="M569" s="14">
        <f>_xlfn.BETA.INV($AA569,1+4*($D$5-$C$5)/($E$5-$C$5),1+4*($E$5-$D$5)/($E$5-$C$5),$C$5,$E$5)</f>
        <v/>
      </c>
      <c r="N569" s="14">
        <f>IF($AB569&lt;($D$6-$C$6)/($E$6-$C$6),$C$6+SQRT($AB569*($E$6-$C$6)*($D$6-$C$6)),$E$6-SQRT((1-$AB569)*($E$6-$C$6)*($E$6-$D$6)))</f>
        <v/>
      </c>
      <c r="O569" s="14">
        <f>_xlfn.NORM.INV($AC569,$C$7,$D$7)</f>
        <v/>
      </c>
      <c r="P569" s="14">
        <f>$C$8+($D$8-$C$8)*$AD569</f>
        <v/>
      </c>
      <c r="Q569" s="14">
        <f>$C$9</f>
        <v/>
      </c>
      <c r="R569" s="14">
        <f>_xlfn.LOGNORM.INV($AF569,LN($C$10)-0.5*LN(1+($D$10/$C$10)^2),SQRT(LN(1+($D$10/$C$10)^2)))</f>
        <v/>
      </c>
      <c r="S569" s="14">
        <f>SUM(M569:R569)</f>
        <v/>
      </c>
      <c r="AA569">
        <f>RAND()</f>
        <v/>
      </c>
      <c r="AB569">
        <f>RAND()</f>
        <v/>
      </c>
      <c r="AC569">
        <f>RAND()</f>
        <v/>
      </c>
      <c r="AD569">
        <f>RAND()</f>
        <v/>
      </c>
      <c r="AE569">
        <f>RAND()</f>
        <v/>
      </c>
      <c r="AF569">
        <f>RAND()</f>
        <v/>
      </c>
    </row>
    <row r="570">
      <c r="M570" s="14">
        <f>_xlfn.BETA.INV($AA570,1+4*($D$5-$C$5)/($E$5-$C$5),1+4*($E$5-$D$5)/($E$5-$C$5),$C$5,$E$5)</f>
        <v/>
      </c>
      <c r="N570" s="14">
        <f>IF($AB570&lt;($D$6-$C$6)/($E$6-$C$6),$C$6+SQRT($AB570*($E$6-$C$6)*($D$6-$C$6)),$E$6-SQRT((1-$AB570)*($E$6-$C$6)*($E$6-$D$6)))</f>
        <v/>
      </c>
      <c r="O570" s="14">
        <f>_xlfn.NORM.INV($AC570,$C$7,$D$7)</f>
        <v/>
      </c>
      <c r="P570" s="14">
        <f>$C$8+($D$8-$C$8)*$AD570</f>
        <v/>
      </c>
      <c r="Q570" s="14">
        <f>$C$9</f>
        <v/>
      </c>
      <c r="R570" s="14">
        <f>_xlfn.LOGNORM.INV($AF570,LN($C$10)-0.5*LN(1+($D$10/$C$10)^2),SQRT(LN(1+($D$10/$C$10)^2)))</f>
        <v/>
      </c>
      <c r="S570" s="14">
        <f>SUM(M570:R570)</f>
        <v/>
      </c>
      <c r="AA570">
        <f>RAND()</f>
        <v/>
      </c>
      <c r="AB570">
        <f>RAND()</f>
        <v/>
      </c>
      <c r="AC570">
        <f>RAND()</f>
        <v/>
      </c>
      <c r="AD570">
        <f>RAND()</f>
        <v/>
      </c>
      <c r="AE570">
        <f>RAND()</f>
        <v/>
      </c>
      <c r="AF570">
        <f>RAND()</f>
        <v/>
      </c>
    </row>
    <row r="571">
      <c r="M571" s="14">
        <f>_xlfn.BETA.INV($AA571,1+4*($D$5-$C$5)/($E$5-$C$5),1+4*($E$5-$D$5)/($E$5-$C$5),$C$5,$E$5)</f>
        <v/>
      </c>
      <c r="N571" s="14">
        <f>IF($AB571&lt;($D$6-$C$6)/($E$6-$C$6),$C$6+SQRT($AB571*($E$6-$C$6)*($D$6-$C$6)),$E$6-SQRT((1-$AB571)*($E$6-$C$6)*($E$6-$D$6)))</f>
        <v/>
      </c>
      <c r="O571" s="14">
        <f>_xlfn.NORM.INV($AC571,$C$7,$D$7)</f>
        <v/>
      </c>
      <c r="P571" s="14">
        <f>$C$8+($D$8-$C$8)*$AD571</f>
        <v/>
      </c>
      <c r="Q571" s="14">
        <f>$C$9</f>
        <v/>
      </c>
      <c r="R571" s="14">
        <f>_xlfn.LOGNORM.INV($AF571,LN($C$10)-0.5*LN(1+($D$10/$C$10)^2),SQRT(LN(1+($D$10/$C$10)^2)))</f>
        <v/>
      </c>
      <c r="S571" s="14">
        <f>SUM(M571:R571)</f>
        <v/>
      </c>
      <c r="AA571">
        <f>RAND()</f>
        <v/>
      </c>
      <c r="AB571">
        <f>RAND()</f>
        <v/>
      </c>
      <c r="AC571">
        <f>RAND()</f>
        <v/>
      </c>
      <c r="AD571">
        <f>RAND()</f>
        <v/>
      </c>
      <c r="AE571">
        <f>RAND()</f>
        <v/>
      </c>
      <c r="AF571">
        <f>RAND()</f>
        <v/>
      </c>
    </row>
    <row r="572">
      <c r="M572" s="14">
        <f>_xlfn.BETA.INV($AA572,1+4*($D$5-$C$5)/($E$5-$C$5),1+4*($E$5-$D$5)/($E$5-$C$5),$C$5,$E$5)</f>
        <v/>
      </c>
      <c r="N572" s="14">
        <f>IF($AB572&lt;($D$6-$C$6)/($E$6-$C$6),$C$6+SQRT($AB572*($E$6-$C$6)*($D$6-$C$6)),$E$6-SQRT((1-$AB572)*($E$6-$C$6)*($E$6-$D$6)))</f>
        <v/>
      </c>
      <c r="O572" s="14">
        <f>_xlfn.NORM.INV($AC572,$C$7,$D$7)</f>
        <v/>
      </c>
      <c r="P572" s="14">
        <f>$C$8+($D$8-$C$8)*$AD572</f>
        <v/>
      </c>
      <c r="Q572" s="14">
        <f>$C$9</f>
        <v/>
      </c>
      <c r="R572" s="14">
        <f>_xlfn.LOGNORM.INV($AF572,LN($C$10)-0.5*LN(1+($D$10/$C$10)^2),SQRT(LN(1+($D$10/$C$10)^2)))</f>
        <v/>
      </c>
      <c r="S572" s="14">
        <f>SUM(M572:R572)</f>
        <v/>
      </c>
      <c r="AA572">
        <f>RAND()</f>
        <v/>
      </c>
      <c r="AB572">
        <f>RAND()</f>
        <v/>
      </c>
      <c r="AC572">
        <f>RAND()</f>
        <v/>
      </c>
      <c r="AD572">
        <f>RAND()</f>
        <v/>
      </c>
      <c r="AE572">
        <f>RAND()</f>
        <v/>
      </c>
      <c r="AF572">
        <f>RAND()</f>
        <v/>
      </c>
    </row>
    <row r="573">
      <c r="M573" s="14">
        <f>_xlfn.BETA.INV($AA573,1+4*($D$5-$C$5)/($E$5-$C$5),1+4*($E$5-$D$5)/($E$5-$C$5),$C$5,$E$5)</f>
        <v/>
      </c>
      <c r="N573" s="14">
        <f>IF($AB573&lt;($D$6-$C$6)/($E$6-$C$6),$C$6+SQRT($AB573*($E$6-$C$6)*($D$6-$C$6)),$E$6-SQRT((1-$AB573)*($E$6-$C$6)*($E$6-$D$6)))</f>
        <v/>
      </c>
      <c r="O573" s="14">
        <f>_xlfn.NORM.INV($AC573,$C$7,$D$7)</f>
        <v/>
      </c>
      <c r="P573" s="14">
        <f>$C$8+($D$8-$C$8)*$AD573</f>
        <v/>
      </c>
      <c r="Q573" s="14">
        <f>$C$9</f>
        <v/>
      </c>
      <c r="R573" s="14">
        <f>_xlfn.LOGNORM.INV($AF573,LN($C$10)-0.5*LN(1+($D$10/$C$10)^2),SQRT(LN(1+($D$10/$C$10)^2)))</f>
        <v/>
      </c>
      <c r="S573" s="14">
        <f>SUM(M573:R573)</f>
        <v/>
      </c>
      <c r="AA573">
        <f>RAND()</f>
        <v/>
      </c>
      <c r="AB573">
        <f>RAND()</f>
        <v/>
      </c>
      <c r="AC573">
        <f>RAND()</f>
        <v/>
      </c>
      <c r="AD573">
        <f>RAND()</f>
        <v/>
      </c>
      <c r="AE573">
        <f>RAND()</f>
        <v/>
      </c>
      <c r="AF573">
        <f>RAND()</f>
        <v/>
      </c>
    </row>
    <row r="574">
      <c r="M574" s="14">
        <f>_xlfn.BETA.INV($AA574,1+4*($D$5-$C$5)/($E$5-$C$5),1+4*($E$5-$D$5)/($E$5-$C$5),$C$5,$E$5)</f>
        <v/>
      </c>
      <c r="N574" s="14">
        <f>IF($AB574&lt;($D$6-$C$6)/($E$6-$C$6),$C$6+SQRT($AB574*($E$6-$C$6)*($D$6-$C$6)),$E$6-SQRT((1-$AB574)*($E$6-$C$6)*($E$6-$D$6)))</f>
        <v/>
      </c>
      <c r="O574" s="14">
        <f>_xlfn.NORM.INV($AC574,$C$7,$D$7)</f>
        <v/>
      </c>
      <c r="P574" s="14">
        <f>$C$8+($D$8-$C$8)*$AD574</f>
        <v/>
      </c>
      <c r="Q574" s="14">
        <f>$C$9</f>
        <v/>
      </c>
      <c r="R574" s="14">
        <f>_xlfn.LOGNORM.INV($AF574,LN($C$10)-0.5*LN(1+($D$10/$C$10)^2),SQRT(LN(1+($D$10/$C$10)^2)))</f>
        <v/>
      </c>
      <c r="S574" s="14">
        <f>SUM(M574:R574)</f>
        <v/>
      </c>
      <c r="AA574">
        <f>RAND()</f>
        <v/>
      </c>
      <c r="AB574">
        <f>RAND()</f>
        <v/>
      </c>
      <c r="AC574">
        <f>RAND()</f>
        <v/>
      </c>
      <c r="AD574">
        <f>RAND()</f>
        <v/>
      </c>
      <c r="AE574">
        <f>RAND()</f>
        <v/>
      </c>
      <c r="AF574">
        <f>RAND()</f>
        <v/>
      </c>
    </row>
    <row r="575">
      <c r="M575" s="14">
        <f>_xlfn.BETA.INV($AA575,1+4*($D$5-$C$5)/($E$5-$C$5),1+4*($E$5-$D$5)/($E$5-$C$5),$C$5,$E$5)</f>
        <v/>
      </c>
      <c r="N575" s="14">
        <f>IF($AB575&lt;($D$6-$C$6)/($E$6-$C$6),$C$6+SQRT($AB575*($E$6-$C$6)*($D$6-$C$6)),$E$6-SQRT((1-$AB575)*($E$6-$C$6)*($E$6-$D$6)))</f>
        <v/>
      </c>
      <c r="O575" s="14">
        <f>_xlfn.NORM.INV($AC575,$C$7,$D$7)</f>
        <v/>
      </c>
      <c r="P575" s="14">
        <f>$C$8+($D$8-$C$8)*$AD575</f>
        <v/>
      </c>
      <c r="Q575" s="14">
        <f>$C$9</f>
        <v/>
      </c>
      <c r="R575" s="14">
        <f>_xlfn.LOGNORM.INV($AF575,LN($C$10)-0.5*LN(1+($D$10/$C$10)^2),SQRT(LN(1+($D$10/$C$10)^2)))</f>
        <v/>
      </c>
      <c r="S575" s="14">
        <f>SUM(M575:R575)</f>
        <v/>
      </c>
      <c r="AA575">
        <f>RAND()</f>
        <v/>
      </c>
      <c r="AB575">
        <f>RAND()</f>
        <v/>
      </c>
      <c r="AC575">
        <f>RAND()</f>
        <v/>
      </c>
      <c r="AD575">
        <f>RAND()</f>
        <v/>
      </c>
      <c r="AE575">
        <f>RAND()</f>
        <v/>
      </c>
      <c r="AF575">
        <f>RAND()</f>
        <v/>
      </c>
    </row>
    <row r="576">
      <c r="M576" s="14">
        <f>_xlfn.BETA.INV($AA576,1+4*($D$5-$C$5)/($E$5-$C$5),1+4*($E$5-$D$5)/($E$5-$C$5),$C$5,$E$5)</f>
        <v/>
      </c>
      <c r="N576" s="14">
        <f>IF($AB576&lt;($D$6-$C$6)/($E$6-$C$6),$C$6+SQRT($AB576*($E$6-$C$6)*($D$6-$C$6)),$E$6-SQRT((1-$AB576)*($E$6-$C$6)*($E$6-$D$6)))</f>
        <v/>
      </c>
      <c r="O576" s="14">
        <f>_xlfn.NORM.INV($AC576,$C$7,$D$7)</f>
        <v/>
      </c>
      <c r="P576" s="14">
        <f>$C$8+($D$8-$C$8)*$AD576</f>
        <v/>
      </c>
      <c r="Q576" s="14">
        <f>$C$9</f>
        <v/>
      </c>
      <c r="R576" s="14">
        <f>_xlfn.LOGNORM.INV($AF576,LN($C$10)-0.5*LN(1+($D$10/$C$10)^2),SQRT(LN(1+($D$10/$C$10)^2)))</f>
        <v/>
      </c>
      <c r="S576" s="14">
        <f>SUM(M576:R576)</f>
        <v/>
      </c>
      <c r="AA576">
        <f>RAND()</f>
        <v/>
      </c>
      <c r="AB576">
        <f>RAND()</f>
        <v/>
      </c>
      <c r="AC576">
        <f>RAND()</f>
        <v/>
      </c>
      <c r="AD576">
        <f>RAND()</f>
        <v/>
      </c>
      <c r="AE576">
        <f>RAND()</f>
        <v/>
      </c>
      <c r="AF576">
        <f>RAND()</f>
        <v/>
      </c>
    </row>
    <row r="577">
      <c r="M577" s="14">
        <f>_xlfn.BETA.INV($AA577,1+4*($D$5-$C$5)/($E$5-$C$5),1+4*($E$5-$D$5)/($E$5-$C$5),$C$5,$E$5)</f>
        <v/>
      </c>
      <c r="N577" s="14">
        <f>IF($AB577&lt;($D$6-$C$6)/($E$6-$C$6),$C$6+SQRT($AB577*($E$6-$C$6)*($D$6-$C$6)),$E$6-SQRT((1-$AB577)*($E$6-$C$6)*($E$6-$D$6)))</f>
        <v/>
      </c>
      <c r="O577" s="14">
        <f>_xlfn.NORM.INV($AC577,$C$7,$D$7)</f>
        <v/>
      </c>
      <c r="P577" s="14">
        <f>$C$8+($D$8-$C$8)*$AD577</f>
        <v/>
      </c>
      <c r="Q577" s="14">
        <f>$C$9</f>
        <v/>
      </c>
      <c r="R577" s="14">
        <f>_xlfn.LOGNORM.INV($AF577,LN($C$10)-0.5*LN(1+($D$10/$C$10)^2),SQRT(LN(1+($D$10/$C$10)^2)))</f>
        <v/>
      </c>
      <c r="S577" s="14">
        <f>SUM(M577:R577)</f>
        <v/>
      </c>
      <c r="AA577">
        <f>RAND()</f>
        <v/>
      </c>
      <c r="AB577">
        <f>RAND()</f>
        <v/>
      </c>
      <c r="AC577">
        <f>RAND()</f>
        <v/>
      </c>
      <c r="AD577">
        <f>RAND()</f>
        <v/>
      </c>
      <c r="AE577">
        <f>RAND()</f>
        <v/>
      </c>
      <c r="AF577">
        <f>RAND()</f>
        <v/>
      </c>
    </row>
    <row r="578">
      <c r="M578" s="14">
        <f>_xlfn.BETA.INV($AA578,1+4*($D$5-$C$5)/($E$5-$C$5),1+4*($E$5-$D$5)/($E$5-$C$5),$C$5,$E$5)</f>
        <v/>
      </c>
      <c r="N578" s="14">
        <f>IF($AB578&lt;($D$6-$C$6)/($E$6-$C$6),$C$6+SQRT($AB578*($E$6-$C$6)*($D$6-$C$6)),$E$6-SQRT((1-$AB578)*($E$6-$C$6)*($E$6-$D$6)))</f>
        <v/>
      </c>
      <c r="O578" s="14">
        <f>_xlfn.NORM.INV($AC578,$C$7,$D$7)</f>
        <v/>
      </c>
      <c r="P578" s="14">
        <f>$C$8+($D$8-$C$8)*$AD578</f>
        <v/>
      </c>
      <c r="Q578" s="14">
        <f>$C$9</f>
        <v/>
      </c>
      <c r="R578" s="14">
        <f>_xlfn.LOGNORM.INV($AF578,LN($C$10)-0.5*LN(1+($D$10/$C$10)^2),SQRT(LN(1+($D$10/$C$10)^2)))</f>
        <v/>
      </c>
      <c r="S578" s="14">
        <f>SUM(M578:R578)</f>
        <v/>
      </c>
      <c r="AA578">
        <f>RAND()</f>
        <v/>
      </c>
      <c r="AB578">
        <f>RAND()</f>
        <v/>
      </c>
      <c r="AC578">
        <f>RAND()</f>
        <v/>
      </c>
      <c r="AD578">
        <f>RAND()</f>
        <v/>
      </c>
      <c r="AE578">
        <f>RAND()</f>
        <v/>
      </c>
      <c r="AF578">
        <f>RAND()</f>
        <v/>
      </c>
    </row>
    <row r="579">
      <c r="M579" s="14">
        <f>_xlfn.BETA.INV($AA579,1+4*($D$5-$C$5)/($E$5-$C$5),1+4*($E$5-$D$5)/($E$5-$C$5),$C$5,$E$5)</f>
        <v/>
      </c>
      <c r="N579" s="14">
        <f>IF($AB579&lt;($D$6-$C$6)/($E$6-$C$6),$C$6+SQRT($AB579*($E$6-$C$6)*($D$6-$C$6)),$E$6-SQRT((1-$AB579)*($E$6-$C$6)*($E$6-$D$6)))</f>
        <v/>
      </c>
      <c r="O579" s="14">
        <f>_xlfn.NORM.INV($AC579,$C$7,$D$7)</f>
        <v/>
      </c>
      <c r="P579" s="14">
        <f>$C$8+($D$8-$C$8)*$AD579</f>
        <v/>
      </c>
      <c r="Q579" s="14">
        <f>$C$9</f>
        <v/>
      </c>
      <c r="R579" s="14">
        <f>_xlfn.LOGNORM.INV($AF579,LN($C$10)-0.5*LN(1+($D$10/$C$10)^2),SQRT(LN(1+($D$10/$C$10)^2)))</f>
        <v/>
      </c>
      <c r="S579" s="14">
        <f>SUM(M579:R579)</f>
        <v/>
      </c>
      <c r="AA579">
        <f>RAND()</f>
        <v/>
      </c>
      <c r="AB579">
        <f>RAND()</f>
        <v/>
      </c>
      <c r="AC579">
        <f>RAND()</f>
        <v/>
      </c>
      <c r="AD579">
        <f>RAND()</f>
        <v/>
      </c>
      <c r="AE579">
        <f>RAND()</f>
        <v/>
      </c>
      <c r="AF579">
        <f>RAND()</f>
        <v/>
      </c>
    </row>
    <row r="580">
      <c r="M580" s="14">
        <f>_xlfn.BETA.INV($AA580,1+4*($D$5-$C$5)/($E$5-$C$5),1+4*($E$5-$D$5)/($E$5-$C$5),$C$5,$E$5)</f>
        <v/>
      </c>
      <c r="N580" s="14">
        <f>IF($AB580&lt;($D$6-$C$6)/($E$6-$C$6),$C$6+SQRT($AB580*($E$6-$C$6)*($D$6-$C$6)),$E$6-SQRT((1-$AB580)*($E$6-$C$6)*($E$6-$D$6)))</f>
        <v/>
      </c>
      <c r="O580" s="14">
        <f>_xlfn.NORM.INV($AC580,$C$7,$D$7)</f>
        <v/>
      </c>
      <c r="P580" s="14">
        <f>$C$8+($D$8-$C$8)*$AD580</f>
        <v/>
      </c>
      <c r="Q580" s="14">
        <f>$C$9</f>
        <v/>
      </c>
      <c r="R580" s="14">
        <f>_xlfn.LOGNORM.INV($AF580,LN($C$10)-0.5*LN(1+($D$10/$C$10)^2),SQRT(LN(1+($D$10/$C$10)^2)))</f>
        <v/>
      </c>
      <c r="S580" s="14">
        <f>SUM(M580:R580)</f>
        <v/>
      </c>
      <c r="AA580">
        <f>RAND()</f>
        <v/>
      </c>
      <c r="AB580">
        <f>RAND()</f>
        <v/>
      </c>
      <c r="AC580">
        <f>RAND()</f>
        <v/>
      </c>
      <c r="AD580">
        <f>RAND()</f>
        <v/>
      </c>
      <c r="AE580">
        <f>RAND()</f>
        <v/>
      </c>
      <c r="AF580">
        <f>RAND()</f>
        <v/>
      </c>
    </row>
    <row r="581">
      <c r="M581" s="14">
        <f>_xlfn.BETA.INV($AA581,1+4*($D$5-$C$5)/($E$5-$C$5),1+4*($E$5-$D$5)/($E$5-$C$5),$C$5,$E$5)</f>
        <v/>
      </c>
      <c r="N581" s="14">
        <f>IF($AB581&lt;($D$6-$C$6)/($E$6-$C$6),$C$6+SQRT($AB581*($E$6-$C$6)*($D$6-$C$6)),$E$6-SQRT((1-$AB581)*($E$6-$C$6)*($E$6-$D$6)))</f>
        <v/>
      </c>
      <c r="O581" s="14">
        <f>_xlfn.NORM.INV($AC581,$C$7,$D$7)</f>
        <v/>
      </c>
      <c r="P581" s="14">
        <f>$C$8+($D$8-$C$8)*$AD581</f>
        <v/>
      </c>
      <c r="Q581" s="14">
        <f>$C$9</f>
        <v/>
      </c>
      <c r="R581" s="14">
        <f>_xlfn.LOGNORM.INV($AF581,LN($C$10)-0.5*LN(1+($D$10/$C$10)^2),SQRT(LN(1+($D$10/$C$10)^2)))</f>
        <v/>
      </c>
      <c r="S581" s="14">
        <f>SUM(M581:R581)</f>
        <v/>
      </c>
      <c r="AA581">
        <f>RAND()</f>
        <v/>
      </c>
      <c r="AB581">
        <f>RAND()</f>
        <v/>
      </c>
      <c r="AC581">
        <f>RAND()</f>
        <v/>
      </c>
      <c r="AD581">
        <f>RAND()</f>
        <v/>
      </c>
      <c r="AE581">
        <f>RAND()</f>
        <v/>
      </c>
      <c r="AF581">
        <f>RAND()</f>
        <v/>
      </c>
    </row>
    <row r="582">
      <c r="M582" s="14">
        <f>_xlfn.BETA.INV($AA582,1+4*($D$5-$C$5)/($E$5-$C$5),1+4*($E$5-$D$5)/($E$5-$C$5),$C$5,$E$5)</f>
        <v/>
      </c>
      <c r="N582" s="14">
        <f>IF($AB582&lt;($D$6-$C$6)/($E$6-$C$6),$C$6+SQRT($AB582*($E$6-$C$6)*($D$6-$C$6)),$E$6-SQRT((1-$AB582)*($E$6-$C$6)*($E$6-$D$6)))</f>
        <v/>
      </c>
      <c r="O582" s="14">
        <f>_xlfn.NORM.INV($AC582,$C$7,$D$7)</f>
        <v/>
      </c>
      <c r="P582" s="14">
        <f>$C$8+($D$8-$C$8)*$AD582</f>
        <v/>
      </c>
      <c r="Q582" s="14">
        <f>$C$9</f>
        <v/>
      </c>
      <c r="R582" s="14">
        <f>_xlfn.LOGNORM.INV($AF582,LN($C$10)-0.5*LN(1+($D$10/$C$10)^2),SQRT(LN(1+($D$10/$C$10)^2)))</f>
        <v/>
      </c>
      <c r="S582" s="14">
        <f>SUM(M582:R582)</f>
        <v/>
      </c>
      <c r="AA582">
        <f>RAND()</f>
        <v/>
      </c>
      <c r="AB582">
        <f>RAND()</f>
        <v/>
      </c>
      <c r="AC582">
        <f>RAND()</f>
        <v/>
      </c>
      <c r="AD582">
        <f>RAND()</f>
        <v/>
      </c>
      <c r="AE582">
        <f>RAND()</f>
        <v/>
      </c>
      <c r="AF582">
        <f>RAND()</f>
        <v/>
      </c>
    </row>
    <row r="583">
      <c r="M583" s="14">
        <f>_xlfn.BETA.INV($AA583,1+4*($D$5-$C$5)/($E$5-$C$5),1+4*($E$5-$D$5)/($E$5-$C$5),$C$5,$E$5)</f>
        <v/>
      </c>
      <c r="N583" s="14">
        <f>IF($AB583&lt;($D$6-$C$6)/($E$6-$C$6),$C$6+SQRT($AB583*($E$6-$C$6)*($D$6-$C$6)),$E$6-SQRT((1-$AB583)*($E$6-$C$6)*($E$6-$D$6)))</f>
        <v/>
      </c>
      <c r="O583" s="14">
        <f>_xlfn.NORM.INV($AC583,$C$7,$D$7)</f>
        <v/>
      </c>
      <c r="P583" s="14">
        <f>$C$8+($D$8-$C$8)*$AD583</f>
        <v/>
      </c>
      <c r="Q583" s="14">
        <f>$C$9</f>
        <v/>
      </c>
      <c r="R583" s="14">
        <f>_xlfn.LOGNORM.INV($AF583,LN($C$10)-0.5*LN(1+($D$10/$C$10)^2),SQRT(LN(1+($D$10/$C$10)^2)))</f>
        <v/>
      </c>
      <c r="S583" s="14">
        <f>SUM(M583:R583)</f>
        <v/>
      </c>
      <c r="AA583">
        <f>RAND()</f>
        <v/>
      </c>
      <c r="AB583">
        <f>RAND()</f>
        <v/>
      </c>
      <c r="AC583">
        <f>RAND()</f>
        <v/>
      </c>
      <c r="AD583">
        <f>RAND()</f>
        <v/>
      </c>
      <c r="AE583">
        <f>RAND()</f>
        <v/>
      </c>
      <c r="AF583">
        <f>RAND()</f>
        <v/>
      </c>
    </row>
    <row r="584">
      <c r="M584" s="14">
        <f>_xlfn.BETA.INV($AA584,1+4*($D$5-$C$5)/($E$5-$C$5),1+4*($E$5-$D$5)/($E$5-$C$5),$C$5,$E$5)</f>
        <v/>
      </c>
      <c r="N584" s="14">
        <f>IF($AB584&lt;($D$6-$C$6)/($E$6-$C$6),$C$6+SQRT($AB584*($E$6-$C$6)*($D$6-$C$6)),$E$6-SQRT((1-$AB584)*($E$6-$C$6)*($E$6-$D$6)))</f>
        <v/>
      </c>
      <c r="O584" s="14">
        <f>_xlfn.NORM.INV($AC584,$C$7,$D$7)</f>
        <v/>
      </c>
      <c r="P584" s="14">
        <f>$C$8+($D$8-$C$8)*$AD584</f>
        <v/>
      </c>
      <c r="Q584" s="14">
        <f>$C$9</f>
        <v/>
      </c>
      <c r="R584" s="14">
        <f>_xlfn.LOGNORM.INV($AF584,LN($C$10)-0.5*LN(1+($D$10/$C$10)^2),SQRT(LN(1+($D$10/$C$10)^2)))</f>
        <v/>
      </c>
      <c r="S584" s="14">
        <f>SUM(M584:R584)</f>
        <v/>
      </c>
      <c r="AA584">
        <f>RAND()</f>
        <v/>
      </c>
      <c r="AB584">
        <f>RAND()</f>
        <v/>
      </c>
      <c r="AC584">
        <f>RAND()</f>
        <v/>
      </c>
      <c r="AD584">
        <f>RAND()</f>
        <v/>
      </c>
      <c r="AE584">
        <f>RAND()</f>
        <v/>
      </c>
      <c r="AF584">
        <f>RAND()</f>
        <v/>
      </c>
    </row>
    <row r="585">
      <c r="M585" s="14">
        <f>_xlfn.BETA.INV($AA585,1+4*($D$5-$C$5)/($E$5-$C$5),1+4*($E$5-$D$5)/($E$5-$C$5),$C$5,$E$5)</f>
        <v/>
      </c>
      <c r="N585" s="14">
        <f>IF($AB585&lt;($D$6-$C$6)/($E$6-$C$6),$C$6+SQRT($AB585*($E$6-$C$6)*($D$6-$C$6)),$E$6-SQRT((1-$AB585)*($E$6-$C$6)*($E$6-$D$6)))</f>
        <v/>
      </c>
      <c r="O585" s="14">
        <f>_xlfn.NORM.INV($AC585,$C$7,$D$7)</f>
        <v/>
      </c>
      <c r="P585" s="14">
        <f>$C$8+($D$8-$C$8)*$AD585</f>
        <v/>
      </c>
      <c r="Q585" s="14">
        <f>$C$9</f>
        <v/>
      </c>
      <c r="R585" s="14">
        <f>_xlfn.LOGNORM.INV($AF585,LN($C$10)-0.5*LN(1+($D$10/$C$10)^2),SQRT(LN(1+($D$10/$C$10)^2)))</f>
        <v/>
      </c>
      <c r="S585" s="14">
        <f>SUM(M585:R585)</f>
        <v/>
      </c>
      <c r="AA585">
        <f>RAND()</f>
        <v/>
      </c>
      <c r="AB585">
        <f>RAND()</f>
        <v/>
      </c>
      <c r="AC585">
        <f>RAND()</f>
        <v/>
      </c>
      <c r="AD585">
        <f>RAND()</f>
        <v/>
      </c>
      <c r="AE585">
        <f>RAND()</f>
        <v/>
      </c>
      <c r="AF585">
        <f>RAND()</f>
        <v/>
      </c>
    </row>
    <row r="586">
      <c r="M586" s="14">
        <f>_xlfn.BETA.INV($AA586,1+4*($D$5-$C$5)/($E$5-$C$5),1+4*($E$5-$D$5)/($E$5-$C$5),$C$5,$E$5)</f>
        <v/>
      </c>
      <c r="N586" s="14">
        <f>IF($AB586&lt;($D$6-$C$6)/($E$6-$C$6),$C$6+SQRT($AB586*($E$6-$C$6)*($D$6-$C$6)),$E$6-SQRT((1-$AB586)*($E$6-$C$6)*($E$6-$D$6)))</f>
        <v/>
      </c>
      <c r="O586" s="14">
        <f>_xlfn.NORM.INV($AC586,$C$7,$D$7)</f>
        <v/>
      </c>
      <c r="P586" s="14">
        <f>$C$8+($D$8-$C$8)*$AD586</f>
        <v/>
      </c>
      <c r="Q586" s="14">
        <f>$C$9</f>
        <v/>
      </c>
      <c r="R586" s="14">
        <f>_xlfn.LOGNORM.INV($AF586,LN($C$10)-0.5*LN(1+($D$10/$C$10)^2),SQRT(LN(1+($D$10/$C$10)^2)))</f>
        <v/>
      </c>
      <c r="S586" s="14">
        <f>SUM(M586:R586)</f>
        <v/>
      </c>
      <c r="AA586">
        <f>RAND()</f>
        <v/>
      </c>
      <c r="AB586">
        <f>RAND()</f>
        <v/>
      </c>
      <c r="AC586">
        <f>RAND()</f>
        <v/>
      </c>
      <c r="AD586">
        <f>RAND()</f>
        <v/>
      </c>
      <c r="AE586">
        <f>RAND()</f>
        <v/>
      </c>
      <c r="AF586">
        <f>RAND()</f>
        <v/>
      </c>
    </row>
    <row r="587">
      <c r="M587" s="14">
        <f>_xlfn.BETA.INV($AA587,1+4*($D$5-$C$5)/($E$5-$C$5),1+4*($E$5-$D$5)/($E$5-$C$5),$C$5,$E$5)</f>
        <v/>
      </c>
      <c r="N587" s="14">
        <f>IF($AB587&lt;($D$6-$C$6)/($E$6-$C$6),$C$6+SQRT($AB587*($E$6-$C$6)*($D$6-$C$6)),$E$6-SQRT((1-$AB587)*($E$6-$C$6)*($E$6-$D$6)))</f>
        <v/>
      </c>
      <c r="O587" s="14">
        <f>_xlfn.NORM.INV($AC587,$C$7,$D$7)</f>
        <v/>
      </c>
      <c r="P587" s="14">
        <f>$C$8+($D$8-$C$8)*$AD587</f>
        <v/>
      </c>
      <c r="Q587" s="14">
        <f>$C$9</f>
        <v/>
      </c>
      <c r="R587" s="14">
        <f>_xlfn.LOGNORM.INV($AF587,LN($C$10)-0.5*LN(1+($D$10/$C$10)^2),SQRT(LN(1+($D$10/$C$10)^2)))</f>
        <v/>
      </c>
      <c r="S587" s="14">
        <f>SUM(M587:R587)</f>
        <v/>
      </c>
      <c r="AA587">
        <f>RAND()</f>
        <v/>
      </c>
      <c r="AB587">
        <f>RAND()</f>
        <v/>
      </c>
      <c r="AC587">
        <f>RAND()</f>
        <v/>
      </c>
      <c r="AD587">
        <f>RAND()</f>
        <v/>
      </c>
      <c r="AE587">
        <f>RAND()</f>
        <v/>
      </c>
      <c r="AF587">
        <f>RAND()</f>
        <v/>
      </c>
    </row>
    <row r="588">
      <c r="M588" s="14">
        <f>_xlfn.BETA.INV($AA588,1+4*($D$5-$C$5)/($E$5-$C$5),1+4*($E$5-$D$5)/($E$5-$C$5),$C$5,$E$5)</f>
        <v/>
      </c>
      <c r="N588" s="14">
        <f>IF($AB588&lt;($D$6-$C$6)/($E$6-$C$6),$C$6+SQRT($AB588*($E$6-$C$6)*($D$6-$C$6)),$E$6-SQRT((1-$AB588)*($E$6-$C$6)*($E$6-$D$6)))</f>
        <v/>
      </c>
      <c r="O588" s="14">
        <f>_xlfn.NORM.INV($AC588,$C$7,$D$7)</f>
        <v/>
      </c>
      <c r="P588" s="14">
        <f>$C$8+($D$8-$C$8)*$AD588</f>
        <v/>
      </c>
      <c r="Q588" s="14">
        <f>$C$9</f>
        <v/>
      </c>
      <c r="R588" s="14">
        <f>_xlfn.LOGNORM.INV($AF588,LN($C$10)-0.5*LN(1+($D$10/$C$10)^2),SQRT(LN(1+($D$10/$C$10)^2)))</f>
        <v/>
      </c>
      <c r="S588" s="14">
        <f>SUM(M588:R588)</f>
        <v/>
      </c>
      <c r="AA588">
        <f>RAND()</f>
        <v/>
      </c>
      <c r="AB588">
        <f>RAND()</f>
        <v/>
      </c>
      <c r="AC588">
        <f>RAND()</f>
        <v/>
      </c>
      <c r="AD588">
        <f>RAND()</f>
        <v/>
      </c>
      <c r="AE588">
        <f>RAND()</f>
        <v/>
      </c>
      <c r="AF588">
        <f>RAND()</f>
        <v/>
      </c>
    </row>
    <row r="589">
      <c r="M589" s="14">
        <f>_xlfn.BETA.INV($AA589,1+4*($D$5-$C$5)/($E$5-$C$5),1+4*($E$5-$D$5)/($E$5-$C$5),$C$5,$E$5)</f>
        <v/>
      </c>
      <c r="N589" s="14">
        <f>IF($AB589&lt;($D$6-$C$6)/($E$6-$C$6),$C$6+SQRT($AB589*($E$6-$C$6)*($D$6-$C$6)),$E$6-SQRT((1-$AB589)*($E$6-$C$6)*($E$6-$D$6)))</f>
        <v/>
      </c>
      <c r="O589" s="14">
        <f>_xlfn.NORM.INV($AC589,$C$7,$D$7)</f>
        <v/>
      </c>
      <c r="P589" s="14">
        <f>$C$8+($D$8-$C$8)*$AD589</f>
        <v/>
      </c>
      <c r="Q589" s="14">
        <f>$C$9</f>
        <v/>
      </c>
      <c r="R589" s="14">
        <f>_xlfn.LOGNORM.INV($AF589,LN($C$10)-0.5*LN(1+($D$10/$C$10)^2),SQRT(LN(1+($D$10/$C$10)^2)))</f>
        <v/>
      </c>
      <c r="S589" s="14">
        <f>SUM(M589:R589)</f>
        <v/>
      </c>
      <c r="AA589">
        <f>RAND()</f>
        <v/>
      </c>
      <c r="AB589">
        <f>RAND()</f>
        <v/>
      </c>
      <c r="AC589">
        <f>RAND()</f>
        <v/>
      </c>
      <c r="AD589">
        <f>RAND()</f>
        <v/>
      </c>
      <c r="AE589">
        <f>RAND()</f>
        <v/>
      </c>
      <c r="AF589">
        <f>RAND()</f>
        <v/>
      </c>
    </row>
    <row r="590">
      <c r="M590" s="14">
        <f>_xlfn.BETA.INV($AA590,1+4*($D$5-$C$5)/($E$5-$C$5),1+4*($E$5-$D$5)/($E$5-$C$5),$C$5,$E$5)</f>
        <v/>
      </c>
      <c r="N590" s="14">
        <f>IF($AB590&lt;($D$6-$C$6)/($E$6-$C$6),$C$6+SQRT($AB590*($E$6-$C$6)*($D$6-$C$6)),$E$6-SQRT((1-$AB590)*($E$6-$C$6)*($E$6-$D$6)))</f>
        <v/>
      </c>
      <c r="O590" s="14">
        <f>_xlfn.NORM.INV($AC590,$C$7,$D$7)</f>
        <v/>
      </c>
      <c r="P590" s="14">
        <f>$C$8+($D$8-$C$8)*$AD590</f>
        <v/>
      </c>
      <c r="Q590" s="14">
        <f>$C$9</f>
        <v/>
      </c>
      <c r="R590" s="14">
        <f>_xlfn.LOGNORM.INV($AF590,LN($C$10)-0.5*LN(1+($D$10/$C$10)^2),SQRT(LN(1+($D$10/$C$10)^2)))</f>
        <v/>
      </c>
      <c r="S590" s="14">
        <f>SUM(M590:R590)</f>
        <v/>
      </c>
      <c r="AA590">
        <f>RAND()</f>
        <v/>
      </c>
      <c r="AB590">
        <f>RAND()</f>
        <v/>
      </c>
      <c r="AC590">
        <f>RAND()</f>
        <v/>
      </c>
      <c r="AD590">
        <f>RAND()</f>
        <v/>
      </c>
      <c r="AE590">
        <f>RAND()</f>
        <v/>
      </c>
      <c r="AF590">
        <f>RAND()</f>
        <v/>
      </c>
    </row>
    <row r="591">
      <c r="M591" s="14">
        <f>_xlfn.BETA.INV($AA591,1+4*($D$5-$C$5)/($E$5-$C$5),1+4*($E$5-$D$5)/($E$5-$C$5),$C$5,$E$5)</f>
        <v/>
      </c>
      <c r="N591" s="14">
        <f>IF($AB591&lt;($D$6-$C$6)/($E$6-$C$6),$C$6+SQRT($AB591*($E$6-$C$6)*($D$6-$C$6)),$E$6-SQRT((1-$AB591)*($E$6-$C$6)*($E$6-$D$6)))</f>
        <v/>
      </c>
      <c r="O591" s="14">
        <f>_xlfn.NORM.INV($AC591,$C$7,$D$7)</f>
        <v/>
      </c>
      <c r="P591" s="14">
        <f>$C$8+($D$8-$C$8)*$AD591</f>
        <v/>
      </c>
      <c r="Q591" s="14">
        <f>$C$9</f>
        <v/>
      </c>
      <c r="R591" s="14">
        <f>_xlfn.LOGNORM.INV($AF591,LN($C$10)-0.5*LN(1+($D$10/$C$10)^2),SQRT(LN(1+($D$10/$C$10)^2)))</f>
        <v/>
      </c>
      <c r="S591" s="14">
        <f>SUM(M591:R591)</f>
        <v/>
      </c>
      <c r="AA591">
        <f>RAND()</f>
        <v/>
      </c>
      <c r="AB591">
        <f>RAND()</f>
        <v/>
      </c>
      <c r="AC591">
        <f>RAND()</f>
        <v/>
      </c>
      <c r="AD591">
        <f>RAND()</f>
        <v/>
      </c>
      <c r="AE591">
        <f>RAND()</f>
        <v/>
      </c>
      <c r="AF591">
        <f>RAND()</f>
        <v/>
      </c>
    </row>
    <row r="592">
      <c r="M592" s="14">
        <f>_xlfn.BETA.INV($AA592,1+4*($D$5-$C$5)/($E$5-$C$5),1+4*($E$5-$D$5)/($E$5-$C$5),$C$5,$E$5)</f>
        <v/>
      </c>
      <c r="N592" s="14">
        <f>IF($AB592&lt;($D$6-$C$6)/($E$6-$C$6),$C$6+SQRT($AB592*($E$6-$C$6)*($D$6-$C$6)),$E$6-SQRT((1-$AB592)*($E$6-$C$6)*($E$6-$D$6)))</f>
        <v/>
      </c>
      <c r="O592" s="14">
        <f>_xlfn.NORM.INV($AC592,$C$7,$D$7)</f>
        <v/>
      </c>
      <c r="P592" s="14">
        <f>$C$8+($D$8-$C$8)*$AD592</f>
        <v/>
      </c>
      <c r="Q592" s="14">
        <f>$C$9</f>
        <v/>
      </c>
      <c r="R592" s="14">
        <f>_xlfn.LOGNORM.INV($AF592,LN($C$10)-0.5*LN(1+($D$10/$C$10)^2),SQRT(LN(1+($D$10/$C$10)^2)))</f>
        <v/>
      </c>
      <c r="S592" s="14">
        <f>SUM(M592:R592)</f>
        <v/>
      </c>
      <c r="AA592">
        <f>RAND()</f>
        <v/>
      </c>
      <c r="AB592">
        <f>RAND()</f>
        <v/>
      </c>
      <c r="AC592">
        <f>RAND()</f>
        <v/>
      </c>
      <c r="AD592">
        <f>RAND()</f>
        <v/>
      </c>
      <c r="AE592">
        <f>RAND()</f>
        <v/>
      </c>
      <c r="AF592">
        <f>RAND()</f>
        <v/>
      </c>
    </row>
    <row r="593">
      <c r="M593" s="14">
        <f>_xlfn.BETA.INV($AA593,1+4*($D$5-$C$5)/($E$5-$C$5),1+4*($E$5-$D$5)/($E$5-$C$5),$C$5,$E$5)</f>
        <v/>
      </c>
      <c r="N593" s="14">
        <f>IF($AB593&lt;($D$6-$C$6)/($E$6-$C$6),$C$6+SQRT($AB593*($E$6-$C$6)*($D$6-$C$6)),$E$6-SQRT((1-$AB593)*($E$6-$C$6)*($E$6-$D$6)))</f>
        <v/>
      </c>
      <c r="O593" s="14">
        <f>_xlfn.NORM.INV($AC593,$C$7,$D$7)</f>
        <v/>
      </c>
      <c r="P593" s="14">
        <f>$C$8+($D$8-$C$8)*$AD593</f>
        <v/>
      </c>
      <c r="Q593" s="14">
        <f>$C$9</f>
        <v/>
      </c>
      <c r="R593" s="14">
        <f>_xlfn.LOGNORM.INV($AF593,LN($C$10)-0.5*LN(1+($D$10/$C$10)^2),SQRT(LN(1+($D$10/$C$10)^2)))</f>
        <v/>
      </c>
      <c r="S593" s="14">
        <f>SUM(M593:R593)</f>
        <v/>
      </c>
      <c r="AA593">
        <f>RAND()</f>
        <v/>
      </c>
      <c r="AB593">
        <f>RAND()</f>
        <v/>
      </c>
      <c r="AC593">
        <f>RAND()</f>
        <v/>
      </c>
      <c r="AD593">
        <f>RAND()</f>
        <v/>
      </c>
      <c r="AE593">
        <f>RAND()</f>
        <v/>
      </c>
      <c r="AF593">
        <f>RAND()</f>
        <v/>
      </c>
    </row>
    <row r="594">
      <c r="M594" s="14">
        <f>_xlfn.BETA.INV($AA594,1+4*($D$5-$C$5)/($E$5-$C$5),1+4*($E$5-$D$5)/($E$5-$C$5),$C$5,$E$5)</f>
        <v/>
      </c>
      <c r="N594" s="14">
        <f>IF($AB594&lt;($D$6-$C$6)/($E$6-$C$6),$C$6+SQRT($AB594*($E$6-$C$6)*($D$6-$C$6)),$E$6-SQRT((1-$AB594)*($E$6-$C$6)*($E$6-$D$6)))</f>
        <v/>
      </c>
      <c r="O594" s="14">
        <f>_xlfn.NORM.INV($AC594,$C$7,$D$7)</f>
        <v/>
      </c>
      <c r="P594" s="14">
        <f>$C$8+($D$8-$C$8)*$AD594</f>
        <v/>
      </c>
      <c r="Q594" s="14">
        <f>$C$9</f>
        <v/>
      </c>
      <c r="R594" s="14">
        <f>_xlfn.LOGNORM.INV($AF594,LN($C$10)-0.5*LN(1+($D$10/$C$10)^2),SQRT(LN(1+($D$10/$C$10)^2)))</f>
        <v/>
      </c>
      <c r="S594" s="14">
        <f>SUM(M594:R594)</f>
        <v/>
      </c>
      <c r="AA594">
        <f>RAND()</f>
        <v/>
      </c>
      <c r="AB594">
        <f>RAND()</f>
        <v/>
      </c>
      <c r="AC594">
        <f>RAND()</f>
        <v/>
      </c>
      <c r="AD594">
        <f>RAND()</f>
        <v/>
      </c>
      <c r="AE594">
        <f>RAND()</f>
        <v/>
      </c>
      <c r="AF594">
        <f>RAND()</f>
        <v/>
      </c>
    </row>
    <row r="595">
      <c r="M595" s="14">
        <f>_xlfn.BETA.INV($AA595,1+4*($D$5-$C$5)/($E$5-$C$5),1+4*($E$5-$D$5)/($E$5-$C$5),$C$5,$E$5)</f>
        <v/>
      </c>
      <c r="N595" s="14">
        <f>IF($AB595&lt;($D$6-$C$6)/($E$6-$C$6),$C$6+SQRT($AB595*($E$6-$C$6)*($D$6-$C$6)),$E$6-SQRT((1-$AB595)*($E$6-$C$6)*($E$6-$D$6)))</f>
        <v/>
      </c>
      <c r="O595" s="14">
        <f>_xlfn.NORM.INV($AC595,$C$7,$D$7)</f>
        <v/>
      </c>
      <c r="P595" s="14">
        <f>$C$8+($D$8-$C$8)*$AD595</f>
        <v/>
      </c>
      <c r="Q595" s="14">
        <f>$C$9</f>
        <v/>
      </c>
      <c r="R595" s="14">
        <f>_xlfn.LOGNORM.INV($AF595,LN($C$10)-0.5*LN(1+($D$10/$C$10)^2),SQRT(LN(1+($D$10/$C$10)^2)))</f>
        <v/>
      </c>
      <c r="S595" s="14">
        <f>SUM(M595:R595)</f>
        <v/>
      </c>
      <c r="AA595">
        <f>RAND()</f>
        <v/>
      </c>
      <c r="AB595">
        <f>RAND()</f>
        <v/>
      </c>
      <c r="AC595">
        <f>RAND()</f>
        <v/>
      </c>
      <c r="AD595">
        <f>RAND()</f>
        <v/>
      </c>
      <c r="AE595">
        <f>RAND()</f>
        <v/>
      </c>
      <c r="AF595">
        <f>RAND()</f>
        <v/>
      </c>
    </row>
    <row r="596">
      <c r="M596" s="14">
        <f>_xlfn.BETA.INV($AA596,1+4*($D$5-$C$5)/($E$5-$C$5),1+4*($E$5-$D$5)/($E$5-$C$5),$C$5,$E$5)</f>
        <v/>
      </c>
      <c r="N596" s="14">
        <f>IF($AB596&lt;($D$6-$C$6)/($E$6-$C$6),$C$6+SQRT($AB596*($E$6-$C$6)*($D$6-$C$6)),$E$6-SQRT((1-$AB596)*($E$6-$C$6)*($E$6-$D$6)))</f>
        <v/>
      </c>
      <c r="O596" s="14">
        <f>_xlfn.NORM.INV($AC596,$C$7,$D$7)</f>
        <v/>
      </c>
      <c r="P596" s="14">
        <f>$C$8+($D$8-$C$8)*$AD596</f>
        <v/>
      </c>
      <c r="Q596" s="14">
        <f>$C$9</f>
        <v/>
      </c>
      <c r="R596" s="14">
        <f>_xlfn.LOGNORM.INV($AF596,LN($C$10)-0.5*LN(1+($D$10/$C$10)^2),SQRT(LN(1+($D$10/$C$10)^2)))</f>
        <v/>
      </c>
      <c r="S596" s="14">
        <f>SUM(M596:R596)</f>
        <v/>
      </c>
      <c r="AA596">
        <f>RAND()</f>
        <v/>
      </c>
      <c r="AB596">
        <f>RAND()</f>
        <v/>
      </c>
      <c r="AC596">
        <f>RAND()</f>
        <v/>
      </c>
      <c r="AD596">
        <f>RAND()</f>
        <v/>
      </c>
      <c r="AE596">
        <f>RAND()</f>
        <v/>
      </c>
      <c r="AF596">
        <f>RAND()</f>
        <v/>
      </c>
    </row>
    <row r="597">
      <c r="M597" s="14">
        <f>_xlfn.BETA.INV($AA597,1+4*($D$5-$C$5)/($E$5-$C$5),1+4*($E$5-$D$5)/($E$5-$C$5),$C$5,$E$5)</f>
        <v/>
      </c>
      <c r="N597" s="14">
        <f>IF($AB597&lt;($D$6-$C$6)/($E$6-$C$6),$C$6+SQRT($AB597*($E$6-$C$6)*($D$6-$C$6)),$E$6-SQRT((1-$AB597)*($E$6-$C$6)*($E$6-$D$6)))</f>
        <v/>
      </c>
      <c r="O597" s="14">
        <f>_xlfn.NORM.INV($AC597,$C$7,$D$7)</f>
        <v/>
      </c>
      <c r="P597" s="14">
        <f>$C$8+($D$8-$C$8)*$AD597</f>
        <v/>
      </c>
      <c r="Q597" s="14">
        <f>$C$9</f>
        <v/>
      </c>
      <c r="R597" s="14">
        <f>_xlfn.LOGNORM.INV($AF597,LN($C$10)-0.5*LN(1+($D$10/$C$10)^2),SQRT(LN(1+($D$10/$C$10)^2)))</f>
        <v/>
      </c>
      <c r="S597" s="14">
        <f>SUM(M597:R597)</f>
        <v/>
      </c>
      <c r="AA597">
        <f>RAND()</f>
        <v/>
      </c>
      <c r="AB597">
        <f>RAND()</f>
        <v/>
      </c>
      <c r="AC597">
        <f>RAND()</f>
        <v/>
      </c>
      <c r="AD597">
        <f>RAND()</f>
        <v/>
      </c>
      <c r="AE597">
        <f>RAND()</f>
        <v/>
      </c>
      <c r="AF597">
        <f>RAND()</f>
        <v/>
      </c>
    </row>
    <row r="598">
      <c r="M598" s="14">
        <f>_xlfn.BETA.INV($AA598,1+4*($D$5-$C$5)/($E$5-$C$5),1+4*($E$5-$D$5)/($E$5-$C$5),$C$5,$E$5)</f>
        <v/>
      </c>
      <c r="N598" s="14">
        <f>IF($AB598&lt;($D$6-$C$6)/($E$6-$C$6),$C$6+SQRT($AB598*($E$6-$C$6)*($D$6-$C$6)),$E$6-SQRT((1-$AB598)*($E$6-$C$6)*($E$6-$D$6)))</f>
        <v/>
      </c>
      <c r="O598" s="14">
        <f>_xlfn.NORM.INV($AC598,$C$7,$D$7)</f>
        <v/>
      </c>
      <c r="P598" s="14">
        <f>$C$8+($D$8-$C$8)*$AD598</f>
        <v/>
      </c>
      <c r="Q598" s="14">
        <f>$C$9</f>
        <v/>
      </c>
      <c r="R598" s="14">
        <f>_xlfn.LOGNORM.INV($AF598,LN($C$10)-0.5*LN(1+($D$10/$C$10)^2),SQRT(LN(1+($D$10/$C$10)^2)))</f>
        <v/>
      </c>
      <c r="S598" s="14">
        <f>SUM(M598:R598)</f>
        <v/>
      </c>
      <c r="AA598">
        <f>RAND()</f>
        <v/>
      </c>
      <c r="AB598">
        <f>RAND()</f>
        <v/>
      </c>
      <c r="AC598">
        <f>RAND()</f>
        <v/>
      </c>
      <c r="AD598">
        <f>RAND()</f>
        <v/>
      </c>
      <c r="AE598">
        <f>RAND()</f>
        <v/>
      </c>
      <c r="AF598">
        <f>RAND()</f>
        <v/>
      </c>
    </row>
    <row r="599">
      <c r="M599" s="14">
        <f>_xlfn.BETA.INV($AA599,1+4*($D$5-$C$5)/($E$5-$C$5),1+4*($E$5-$D$5)/($E$5-$C$5),$C$5,$E$5)</f>
        <v/>
      </c>
      <c r="N599" s="14">
        <f>IF($AB599&lt;($D$6-$C$6)/($E$6-$C$6),$C$6+SQRT($AB599*($E$6-$C$6)*($D$6-$C$6)),$E$6-SQRT((1-$AB599)*($E$6-$C$6)*($E$6-$D$6)))</f>
        <v/>
      </c>
      <c r="O599" s="14">
        <f>_xlfn.NORM.INV($AC599,$C$7,$D$7)</f>
        <v/>
      </c>
      <c r="P599" s="14">
        <f>$C$8+($D$8-$C$8)*$AD599</f>
        <v/>
      </c>
      <c r="Q599" s="14">
        <f>$C$9</f>
        <v/>
      </c>
      <c r="R599" s="14">
        <f>_xlfn.LOGNORM.INV($AF599,LN($C$10)-0.5*LN(1+($D$10/$C$10)^2),SQRT(LN(1+($D$10/$C$10)^2)))</f>
        <v/>
      </c>
      <c r="S599" s="14">
        <f>SUM(M599:R599)</f>
        <v/>
      </c>
      <c r="AA599">
        <f>RAND()</f>
        <v/>
      </c>
      <c r="AB599">
        <f>RAND()</f>
        <v/>
      </c>
      <c r="AC599">
        <f>RAND()</f>
        <v/>
      </c>
      <c r="AD599">
        <f>RAND()</f>
        <v/>
      </c>
      <c r="AE599">
        <f>RAND()</f>
        <v/>
      </c>
      <c r="AF599">
        <f>RAND()</f>
        <v/>
      </c>
    </row>
    <row r="600">
      <c r="M600" s="14">
        <f>_xlfn.BETA.INV($AA600,1+4*($D$5-$C$5)/($E$5-$C$5),1+4*($E$5-$D$5)/($E$5-$C$5),$C$5,$E$5)</f>
        <v/>
      </c>
      <c r="N600" s="14">
        <f>IF($AB600&lt;($D$6-$C$6)/($E$6-$C$6),$C$6+SQRT($AB600*($E$6-$C$6)*($D$6-$C$6)),$E$6-SQRT((1-$AB600)*($E$6-$C$6)*($E$6-$D$6)))</f>
        <v/>
      </c>
      <c r="O600" s="14">
        <f>_xlfn.NORM.INV($AC600,$C$7,$D$7)</f>
        <v/>
      </c>
      <c r="P600" s="14">
        <f>$C$8+($D$8-$C$8)*$AD600</f>
        <v/>
      </c>
      <c r="Q600" s="14">
        <f>$C$9</f>
        <v/>
      </c>
      <c r="R600" s="14">
        <f>_xlfn.LOGNORM.INV($AF600,LN($C$10)-0.5*LN(1+($D$10/$C$10)^2),SQRT(LN(1+($D$10/$C$10)^2)))</f>
        <v/>
      </c>
      <c r="S600" s="14">
        <f>SUM(M600:R600)</f>
        <v/>
      </c>
      <c r="AA600">
        <f>RAND()</f>
        <v/>
      </c>
      <c r="AB600">
        <f>RAND()</f>
        <v/>
      </c>
      <c r="AC600">
        <f>RAND()</f>
        <v/>
      </c>
      <c r="AD600">
        <f>RAND()</f>
        <v/>
      </c>
      <c r="AE600">
        <f>RAND()</f>
        <v/>
      </c>
      <c r="AF600">
        <f>RAND()</f>
        <v/>
      </c>
    </row>
    <row r="601">
      <c r="M601" s="14">
        <f>_xlfn.BETA.INV($AA601,1+4*($D$5-$C$5)/($E$5-$C$5),1+4*($E$5-$D$5)/($E$5-$C$5),$C$5,$E$5)</f>
        <v/>
      </c>
      <c r="N601" s="14">
        <f>IF($AB601&lt;($D$6-$C$6)/($E$6-$C$6),$C$6+SQRT($AB601*($E$6-$C$6)*($D$6-$C$6)),$E$6-SQRT((1-$AB601)*($E$6-$C$6)*($E$6-$D$6)))</f>
        <v/>
      </c>
      <c r="O601" s="14">
        <f>_xlfn.NORM.INV($AC601,$C$7,$D$7)</f>
        <v/>
      </c>
      <c r="P601" s="14">
        <f>$C$8+($D$8-$C$8)*$AD601</f>
        <v/>
      </c>
      <c r="Q601" s="14">
        <f>$C$9</f>
        <v/>
      </c>
      <c r="R601" s="14">
        <f>_xlfn.LOGNORM.INV($AF601,LN($C$10)-0.5*LN(1+($D$10/$C$10)^2),SQRT(LN(1+($D$10/$C$10)^2)))</f>
        <v/>
      </c>
      <c r="S601" s="14">
        <f>SUM(M601:R601)</f>
        <v/>
      </c>
      <c r="AA601">
        <f>RAND()</f>
        <v/>
      </c>
      <c r="AB601">
        <f>RAND()</f>
        <v/>
      </c>
      <c r="AC601">
        <f>RAND()</f>
        <v/>
      </c>
      <c r="AD601">
        <f>RAND()</f>
        <v/>
      </c>
      <c r="AE601">
        <f>RAND()</f>
        <v/>
      </c>
      <c r="AF601">
        <f>RAND()</f>
        <v/>
      </c>
    </row>
    <row r="602">
      <c r="M602" s="14">
        <f>_xlfn.BETA.INV($AA602,1+4*($D$5-$C$5)/($E$5-$C$5),1+4*($E$5-$D$5)/($E$5-$C$5),$C$5,$E$5)</f>
        <v/>
      </c>
      <c r="N602" s="14">
        <f>IF($AB602&lt;($D$6-$C$6)/($E$6-$C$6),$C$6+SQRT($AB602*($E$6-$C$6)*($D$6-$C$6)),$E$6-SQRT((1-$AB602)*($E$6-$C$6)*($E$6-$D$6)))</f>
        <v/>
      </c>
      <c r="O602" s="14">
        <f>_xlfn.NORM.INV($AC602,$C$7,$D$7)</f>
        <v/>
      </c>
      <c r="P602" s="14">
        <f>$C$8+($D$8-$C$8)*$AD602</f>
        <v/>
      </c>
      <c r="Q602" s="14">
        <f>$C$9</f>
        <v/>
      </c>
      <c r="R602" s="14">
        <f>_xlfn.LOGNORM.INV($AF602,LN($C$10)-0.5*LN(1+($D$10/$C$10)^2),SQRT(LN(1+($D$10/$C$10)^2)))</f>
        <v/>
      </c>
      <c r="S602" s="14">
        <f>SUM(M602:R602)</f>
        <v/>
      </c>
      <c r="AA602">
        <f>RAND()</f>
        <v/>
      </c>
      <c r="AB602">
        <f>RAND()</f>
        <v/>
      </c>
      <c r="AC602">
        <f>RAND()</f>
        <v/>
      </c>
      <c r="AD602">
        <f>RAND()</f>
        <v/>
      </c>
      <c r="AE602">
        <f>RAND()</f>
        <v/>
      </c>
      <c r="AF602">
        <f>RAND()</f>
        <v/>
      </c>
    </row>
    <row r="603">
      <c r="M603" s="14">
        <f>_xlfn.BETA.INV($AA603,1+4*($D$5-$C$5)/($E$5-$C$5),1+4*($E$5-$D$5)/($E$5-$C$5),$C$5,$E$5)</f>
        <v/>
      </c>
      <c r="N603" s="14">
        <f>IF($AB603&lt;($D$6-$C$6)/($E$6-$C$6),$C$6+SQRT($AB603*($E$6-$C$6)*($D$6-$C$6)),$E$6-SQRT((1-$AB603)*($E$6-$C$6)*($E$6-$D$6)))</f>
        <v/>
      </c>
      <c r="O603" s="14">
        <f>_xlfn.NORM.INV($AC603,$C$7,$D$7)</f>
        <v/>
      </c>
      <c r="P603" s="14">
        <f>$C$8+($D$8-$C$8)*$AD603</f>
        <v/>
      </c>
      <c r="Q603" s="14">
        <f>$C$9</f>
        <v/>
      </c>
      <c r="R603" s="14">
        <f>_xlfn.LOGNORM.INV($AF603,LN($C$10)-0.5*LN(1+($D$10/$C$10)^2),SQRT(LN(1+($D$10/$C$10)^2)))</f>
        <v/>
      </c>
      <c r="S603" s="14">
        <f>SUM(M603:R603)</f>
        <v/>
      </c>
      <c r="AA603">
        <f>RAND()</f>
        <v/>
      </c>
      <c r="AB603">
        <f>RAND()</f>
        <v/>
      </c>
      <c r="AC603">
        <f>RAND()</f>
        <v/>
      </c>
      <c r="AD603">
        <f>RAND()</f>
        <v/>
      </c>
      <c r="AE603">
        <f>RAND()</f>
        <v/>
      </c>
      <c r="AF603">
        <f>RAND()</f>
        <v/>
      </c>
    </row>
    <row r="604">
      <c r="M604" s="14">
        <f>_xlfn.BETA.INV($AA604,1+4*($D$5-$C$5)/($E$5-$C$5),1+4*($E$5-$D$5)/($E$5-$C$5),$C$5,$E$5)</f>
        <v/>
      </c>
      <c r="N604" s="14">
        <f>IF($AB604&lt;($D$6-$C$6)/($E$6-$C$6),$C$6+SQRT($AB604*($E$6-$C$6)*($D$6-$C$6)),$E$6-SQRT((1-$AB604)*($E$6-$C$6)*($E$6-$D$6)))</f>
        <v/>
      </c>
      <c r="O604" s="14">
        <f>_xlfn.NORM.INV($AC604,$C$7,$D$7)</f>
        <v/>
      </c>
      <c r="P604" s="14">
        <f>$C$8+($D$8-$C$8)*$AD604</f>
        <v/>
      </c>
      <c r="Q604" s="14">
        <f>$C$9</f>
        <v/>
      </c>
      <c r="R604" s="14">
        <f>_xlfn.LOGNORM.INV($AF604,LN($C$10)-0.5*LN(1+($D$10/$C$10)^2),SQRT(LN(1+($D$10/$C$10)^2)))</f>
        <v/>
      </c>
      <c r="S604" s="14">
        <f>SUM(M604:R604)</f>
        <v/>
      </c>
      <c r="AA604">
        <f>RAND()</f>
        <v/>
      </c>
      <c r="AB604">
        <f>RAND()</f>
        <v/>
      </c>
      <c r="AC604">
        <f>RAND()</f>
        <v/>
      </c>
      <c r="AD604">
        <f>RAND()</f>
        <v/>
      </c>
      <c r="AE604">
        <f>RAND()</f>
        <v/>
      </c>
      <c r="AF604">
        <f>RAND()</f>
        <v/>
      </c>
    </row>
    <row r="605">
      <c r="M605" s="14">
        <f>_xlfn.BETA.INV($AA605,1+4*($D$5-$C$5)/($E$5-$C$5),1+4*($E$5-$D$5)/($E$5-$C$5),$C$5,$E$5)</f>
        <v/>
      </c>
      <c r="N605" s="14">
        <f>IF($AB605&lt;($D$6-$C$6)/($E$6-$C$6),$C$6+SQRT($AB605*($E$6-$C$6)*($D$6-$C$6)),$E$6-SQRT((1-$AB605)*($E$6-$C$6)*($E$6-$D$6)))</f>
        <v/>
      </c>
      <c r="O605" s="14">
        <f>_xlfn.NORM.INV($AC605,$C$7,$D$7)</f>
        <v/>
      </c>
      <c r="P605" s="14">
        <f>$C$8+($D$8-$C$8)*$AD605</f>
        <v/>
      </c>
      <c r="Q605" s="14">
        <f>$C$9</f>
        <v/>
      </c>
      <c r="R605" s="14">
        <f>_xlfn.LOGNORM.INV($AF605,LN($C$10)-0.5*LN(1+($D$10/$C$10)^2),SQRT(LN(1+($D$10/$C$10)^2)))</f>
        <v/>
      </c>
      <c r="S605" s="14">
        <f>SUM(M605:R605)</f>
        <v/>
      </c>
      <c r="AA605">
        <f>RAND()</f>
        <v/>
      </c>
      <c r="AB605">
        <f>RAND()</f>
        <v/>
      </c>
      <c r="AC605">
        <f>RAND()</f>
        <v/>
      </c>
      <c r="AD605">
        <f>RAND()</f>
        <v/>
      </c>
      <c r="AE605">
        <f>RAND()</f>
        <v/>
      </c>
      <c r="AF605">
        <f>RAND()</f>
        <v/>
      </c>
    </row>
    <row r="606">
      <c r="M606" s="14">
        <f>_xlfn.BETA.INV($AA606,1+4*($D$5-$C$5)/($E$5-$C$5),1+4*($E$5-$D$5)/($E$5-$C$5),$C$5,$E$5)</f>
        <v/>
      </c>
      <c r="N606" s="14">
        <f>IF($AB606&lt;($D$6-$C$6)/($E$6-$C$6),$C$6+SQRT($AB606*($E$6-$C$6)*($D$6-$C$6)),$E$6-SQRT((1-$AB606)*($E$6-$C$6)*($E$6-$D$6)))</f>
        <v/>
      </c>
      <c r="O606" s="14">
        <f>_xlfn.NORM.INV($AC606,$C$7,$D$7)</f>
        <v/>
      </c>
      <c r="P606" s="14">
        <f>$C$8+($D$8-$C$8)*$AD606</f>
        <v/>
      </c>
      <c r="Q606" s="14">
        <f>$C$9</f>
        <v/>
      </c>
      <c r="R606" s="14">
        <f>_xlfn.LOGNORM.INV($AF606,LN($C$10)-0.5*LN(1+($D$10/$C$10)^2),SQRT(LN(1+($D$10/$C$10)^2)))</f>
        <v/>
      </c>
      <c r="S606" s="14">
        <f>SUM(M606:R606)</f>
        <v/>
      </c>
      <c r="AA606">
        <f>RAND()</f>
        <v/>
      </c>
      <c r="AB606">
        <f>RAND()</f>
        <v/>
      </c>
      <c r="AC606">
        <f>RAND()</f>
        <v/>
      </c>
      <c r="AD606">
        <f>RAND()</f>
        <v/>
      </c>
      <c r="AE606">
        <f>RAND()</f>
        <v/>
      </c>
      <c r="AF606">
        <f>RAND()</f>
        <v/>
      </c>
    </row>
    <row r="607">
      <c r="M607" s="14">
        <f>_xlfn.BETA.INV($AA607,1+4*($D$5-$C$5)/($E$5-$C$5),1+4*($E$5-$D$5)/($E$5-$C$5),$C$5,$E$5)</f>
        <v/>
      </c>
      <c r="N607" s="14">
        <f>IF($AB607&lt;($D$6-$C$6)/($E$6-$C$6),$C$6+SQRT($AB607*($E$6-$C$6)*($D$6-$C$6)),$E$6-SQRT((1-$AB607)*($E$6-$C$6)*($E$6-$D$6)))</f>
        <v/>
      </c>
      <c r="O607" s="14">
        <f>_xlfn.NORM.INV($AC607,$C$7,$D$7)</f>
        <v/>
      </c>
      <c r="P607" s="14">
        <f>$C$8+($D$8-$C$8)*$AD607</f>
        <v/>
      </c>
      <c r="Q607" s="14">
        <f>$C$9</f>
        <v/>
      </c>
      <c r="R607" s="14">
        <f>_xlfn.LOGNORM.INV($AF607,LN($C$10)-0.5*LN(1+($D$10/$C$10)^2),SQRT(LN(1+($D$10/$C$10)^2)))</f>
        <v/>
      </c>
      <c r="S607" s="14">
        <f>SUM(M607:R607)</f>
        <v/>
      </c>
      <c r="AA607">
        <f>RAND()</f>
        <v/>
      </c>
      <c r="AB607">
        <f>RAND()</f>
        <v/>
      </c>
      <c r="AC607">
        <f>RAND()</f>
        <v/>
      </c>
      <c r="AD607">
        <f>RAND()</f>
        <v/>
      </c>
      <c r="AE607">
        <f>RAND()</f>
        <v/>
      </c>
      <c r="AF607">
        <f>RAND()</f>
        <v/>
      </c>
    </row>
    <row r="608">
      <c r="M608" s="14">
        <f>_xlfn.BETA.INV($AA608,1+4*($D$5-$C$5)/($E$5-$C$5),1+4*($E$5-$D$5)/($E$5-$C$5),$C$5,$E$5)</f>
        <v/>
      </c>
      <c r="N608" s="14">
        <f>IF($AB608&lt;($D$6-$C$6)/($E$6-$C$6),$C$6+SQRT($AB608*($E$6-$C$6)*($D$6-$C$6)),$E$6-SQRT((1-$AB608)*($E$6-$C$6)*($E$6-$D$6)))</f>
        <v/>
      </c>
      <c r="O608" s="14">
        <f>_xlfn.NORM.INV($AC608,$C$7,$D$7)</f>
        <v/>
      </c>
      <c r="P608" s="14">
        <f>$C$8+($D$8-$C$8)*$AD608</f>
        <v/>
      </c>
      <c r="Q608" s="14">
        <f>$C$9</f>
        <v/>
      </c>
      <c r="R608" s="14">
        <f>_xlfn.LOGNORM.INV($AF608,LN($C$10)-0.5*LN(1+($D$10/$C$10)^2),SQRT(LN(1+($D$10/$C$10)^2)))</f>
        <v/>
      </c>
      <c r="S608" s="14">
        <f>SUM(M608:R608)</f>
        <v/>
      </c>
      <c r="AA608">
        <f>RAND()</f>
        <v/>
      </c>
      <c r="AB608">
        <f>RAND()</f>
        <v/>
      </c>
      <c r="AC608">
        <f>RAND()</f>
        <v/>
      </c>
      <c r="AD608">
        <f>RAND()</f>
        <v/>
      </c>
      <c r="AE608">
        <f>RAND()</f>
        <v/>
      </c>
      <c r="AF608">
        <f>RAND()</f>
        <v/>
      </c>
    </row>
    <row r="609">
      <c r="M609" s="14">
        <f>_xlfn.BETA.INV($AA609,1+4*($D$5-$C$5)/($E$5-$C$5),1+4*($E$5-$D$5)/($E$5-$C$5),$C$5,$E$5)</f>
        <v/>
      </c>
      <c r="N609" s="14">
        <f>IF($AB609&lt;($D$6-$C$6)/($E$6-$C$6),$C$6+SQRT($AB609*($E$6-$C$6)*($D$6-$C$6)),$E$6-SQRT((1-$AB609)*($E$6-$C$6)*($E$6-$D$6)))</f>
        <v/>
      </c>
      <c r="O609" s="14">
        <f>_xlfn.NORM.INV($AC609,$C$7,$D$7)</f>
        <v/>
      </c>
      <c r="P609" s="14">
        <f>$C$8+($D$8-$C$8)*$AD609</f>
        <v/>
      </c>
      <c r="Q609" s="14">
        <f>$C$9</f>
        <v/>
      </c>
      <c r="R609" s="14">
        <f>_xlfn.LOGNORM.INV($AF609,LN($C$10)-0.5*LN(1+($D$10/$C$10)^2),SQRT(LN(1+($D$10/$C$10)^2)))</f>
        <v/>
      </c>
      <c r="S609" s="14">
        <f>SUM(M609:R609)</f>
        <v/>
      </c>
      <c r="AA609">
        <f>RAND()</f>
        <v/>
      </c>
      <c r="AB609">
        <f>RAND()</f>
        <v/>
      </c>
      <c r="AC609">
        <f>RAND()</f>
        <v/>
      </c>
      <c r="AD609">
        <f>RAND()</f>
        <v/>
      </c>
      <c r="AE609">
        <f>RAND()</f>
        <v/>
      </c>
      <c r="AF609">
        <f>RAND()</f>
        <v/>
      </c>
    </row>
    <row r="610">
      <c r="M610" s="14">
        <f>_xlfn.BETA.INV($AA610,1+4*($D$5-$C$5)/($E$5-$C$5),1+4*($E$5-$D$5)/($E$5-$C$5),$C$5,$E$5)</f>
        <v/>
      </c>
      <c r="N610" s="14">
        <f>IF($AB610&lt;($D$6-$C$6)/($E$6-$C$6),$C$6+SQRT($AB610*($E$6-$C$6)*($D$6-$C$6)),$E$6-SQRT((1-$AB610)*($E$6-$C$6)*($E$6-$D$6)))</f>
        <v/>
      </c>
      <c r="O610" s="14">
        <f>_xlfn.NORM.INV($AC610,$C$7,$D$7)</f>
        <v/>
      </c>
      <c r="P610" s="14">
        <f>$C$8+($D$8-$C$8)*$AD610</f>
        <v/>
      </c>
      <c r="Q610" s="14">
        <f>$C$9</f>
        <v/>
      </c>
      <c r="R610" s="14">
        <f>_xlfn.LOGNORM.INV($AF610,LN($C$10)-0.5*LN(1+($D$10/$C$10)^2),SQRT(LN(1+($D$10/$C$10)^2)))</f>
        <v/>
      </c>
      <c r="S610" s="14">
        <f>SUM(M610:R610)</f>
        <v/>
      </c>
      <c r="AA610">
        <f>RAND()</f>
        <v/>
      </c>
      <c r="AB610">
        <f>RAND()</f>
        <v/>
      </c>
      <c r="AC610">
        <f>RAND()</f>
        <v/>
      </c>
      <c r="AD610">
        <f>RAND()</f>
        <v/>
      </c>
      <c r="AE610">
        <f>RAND()</f>
        <v/>
      </c>
      <c r="AF610">
        <f>RAND()</f>
        <v/>
      </c>
    </row>
    <row r="611">
      <c r="M611" s="14">
        <f>_xlfn.BETA.INV($AA611,1+4*($D$5-$C$5)/($E$5-$C$5),1+4*($E$5-$D$5)/($E$5-$C$5),$C$5,$E$5)</f>
        <v/>
      </c>
      <c r="N611" s="14">
        <f>IF($AB611&lt;($D$6-$C$6)/($E$6-$C$6),$C$6+SQRT($AB611*($E$6-$C$6)*($D$6-$C$6)),$E$6-SQRT((1-$AB611)*($E$6-$C$6)*($E$6-$D$6)))</f>
        <v/>
      </c>
      <c r="O611" s="14">
        <f>_xlfn.NORM.INV($AC611,$C$7,$D$7)</f>
        <v/>
      </c>
      <c r="P611" s="14">
        <f>$C$8+($D$8-$C$8)*$AD611</f>
        <v/>
      </c>
      <c r="Q611" s="14">
        <f>$C$9</f>
        <v/>
      </c>
      <c r="R611" s="14">
        <f>_xlfn.LOGNORM.INV($AF611,LN($C$10)-0.5*LN(1+($D$10/$C$10)^2),SQRT(LN(1+($D$10/$C$10)^2)))</f>
        <v/>
      </c>
      <c r="S611" s="14">
        <f>SUM(M611:R611)</f>
        <v/>
      </c>
      <c r="AA611">
        <f>RAND()</f>
        <v/>
      </c>
      <c r="AB611">
        <f>RAND()</f>
        <v/>
      </c>
      <c r="AC611">
        <f>RAND()</f>
        <v/>
      </c>
      <c r="AD611">
        <f>RAND()</f>
        <v/>
      </c>
      <c r="AE611">
        <f>RAND()</f>
        <v/>
      </c>
      <c r="AF611">
        <f>RAND()</f>
        <v/>
      </c>
    </row>
    <row r="612">
      <c r="M612" s="14">
        <f>_xlfn.BETA.INV($AA612,1+4*($D$5-$C$5)/($E$5-$C$5),1+4*($E$5-$D$5)/($E$5-$C$5),$C$5,$E$5)</f>
        <v/>
      </c>
      <c r="N612" s="14">
        <f>IF($AB612&lt;($D$6-$C$6)/($E$6-$C$6),$C$6+SQRT($AB612*($E$6-$C$6)*($D$6-$C$6)),$E$6-SQRT((1-$AB612)*($E$6-$C$6)*($E$6-$D$6)))</f>
        <v/>
      </c>
      <c r="O612" s="14">
        <f>_xlfn.NORM.INV($AC612,$C$7,$D$7)</f>
        <v/>
      </c>
      <c r="P612" s="14">
        <f>$C$8+($D$8-$C$8)*$AD612</f>
        <v/>
      </c>
      <c r="Q612" s="14">
        <f>$C$9</f>
        <v/>
      </c>
      <c r="R612" s="14">
        <f>_xlfn.LOGNORM.INV($AF612,LN($C$10)-0.5*LN(1+($D$10/$C$10)^2),SQRT(LN(1+($D$10/$C$10)^2)))</f>
        <v/>
      </c>
      <c r="S612" s="14">
        <f>SUM(M612:R612)</f>
        <v/>
      </c>
      <c r="AA612">
        <f>RAND()</f>
        <v/>
      </c>
      <c r="AB612">
        <f>RAND()</f>
        <v/>
      </c>
      <c r="AC612">
        <f>RAND()</f>
        <v/>
      </c>
      <c r="AD612">
        <f>RAND()</f>
        <v/>
      </c>
      <c r="AE612">
        <f>RAND()</f>
        <v/>
      </c>
      <c r="AF612">
        <f>RAND()</f>
        <v/>
      </c>
    </row>
    <row r="613">
      <c r="M613" s="14">
        <f>_xlfn.BETA.INV($AA613,1+4*($D$5-$C$5)/($E$5-$C$5),1+4*($E$5-$D$5)/($E$5-$C$5),$C$5,$E$5)</f>
        <v/>
      </c>
      <c r="N613" s="14">
        <f>IF($AB613&lt;($D$6-$C$6)/($E$6-$C$6),$C$6+SQRT($AB613*($E$6-$C$6)*($D$6-$C$6)),$E$6-SQRT((1-$AB613)*($E$6-$C$6)*($E$6-$D$6)))</f>
        <v/>
      </c>
      <c r="O613" s="14">
        <f>_xlfn.NORM.INV($AC613,$C$7,$D$7)</f>
        <v/>
      </c>
      <c r="P613" s="14">
        <f>$C$8+($D$8-$C$8)*$AD613</f>
        <v/>
      </c>
      <c r="Q613" s="14">
        <f>$C$9</f>
        <v/>
      </c>
      <c r="R613" s="14">
        <f>_xlfn.LOGNORM.INV($AF613,LN($C$10)-0.5*LN(1+($D$10/$C$10)^2),SQRT(LN(1+($D$10/$C$10)^2)))</f>
        <v/>
      </c>
      <c r="S613" s="14">
        <f>SUM(M613:R613)</f>
        <v/>
      </c>
      <c r="AA613">
        <f>RAND()</f>
        <v/>
      </c>
      <c r="AB613">
        <f>RAND()</f>
        <v/>
      </c>
      <c r="AC613">
        <f>RAND()</f>
        <v/>
      </c>
      <c r="AD613">
        <f>RAND()</f>
        <v/>
      </c>
      <c r="AE613">
        <f>RAND()</f>
        <v/>
      </c>
      <c r="AF613">
        <f>RAND()</f>
        <v/>
      </c>
    </row>
    <row r="614">
      <c r="M614" s="14">
        <f>_xlfn.BETA.INV($AA614,1+4*($D$5-$C$5)/($E$5-$C$5),1+4*($E$5-$D$5)/($E$5-$C$5),$C$5,$E$5)</f>
        <v/>
      </c>
      <c r="N614" s="14">
        <f>IF($AB614&lt;($D$6-$C$6)/($E$6-$C$6),$C$6+SQRT($AB614*($E$6-$C$6)*($D$6-$C$6)),$E$6-SQRT((1-$AB614)*($E$6-$C$6)*($E$6-$D$6)))</f>
        <v/>
      </c>
      <c r="O614" s="14">
        <f>_xlfn.NORM.INV($AC614,$C$7,$D$7)</f>
        <v/>
      </c>
      <c r="P614" s="14">
        <f>$C$8+($D$8-$C$8)*$AD614</f>
        <v/>
      </c>
      <c r="Q614" s="14">
        <f>$C$9</f>
        <v/>
      </c>
      <c r="R614" s="14">
        <f>_xlfn.LOGNORM.INV($AF614,LN($C$10)-0.5*LN(1+($D$10/$C$10)^2),SQRT(LN(1+($D$10/$C$10)^2)))</f>
        <v/>
      </c>
      <c r="S614" s="14">
        <f>SUM(M614:R614)</f>
        <v/>
      </c>
      <c r="AA614">
        <f>RAND()</f>
        <v/>
      </c>
      <c r="AB614">
        <f>RAND()</f>
        <v/>
      </c>
      <c r="AC614">
        <f>RAND()</f>
        <v/>
      </c>
      <c r="AD614">
        <f>RAND()</f>
        <v/>
      </c>
      <c r="AE614">
        <f>RAND()</f>
        <v/>
      </c>
      <c r="AF614">
        <f>RAND()</f>
        <v/>
      </c>
    </row>
    <row r="615">
      <c r="M615" s="14">
        <f>_xlfn.BETA.INV($AA615,1+4*($D$5-$C$5)/($E$5-$C$5),1+4*($E$5-$D$5)/($E$5-$C$5),$C$5,$E$5)</f>
        <v/>
      </c>
      <c r="N615" s="14">
        <f>IF($AB615&lt;($D$6-$C$6)/($E$6-$C$6),$C$6+SQRT($AB615*($E$6-$C$6)*($D$6-$C$6)),$E$6-SQRT((1-$AB615)*($E$6-$C$6)*($E$6-$D$6)))</f>
        <v/>
      </c>
      <c r="O615" s="14">
        <f>_xlfn.NORM.INV($AC615,$C$7,$D$7)</f>
        <v/>
      </c>
      <c r="P615" s="14">
        <f>$C$8+($D$8-$C$8)*$AD615</f>
        <v/>
      </c>
      <c r="Q615" s="14">
        <f>$C$9</f>
        <v/>
      </c>
      <c r="R615" s="14">
        <f>_xlfn.LOGNORM.INV($AF615,LN($C$10)-0.5*LN(1+($D$10/$C$10)^2),SQRT(LN(1+($D$10/$C$10)^2)))</f>
        <v/>
      </c>
      <c r="S615" s="14">
        <f>SUM(M615:R615)</f>
        <v/>
      </c>
      <c r="AA615">
        <f>RAND()</f>
        <v/>
      </c>
      <c r="AB615">
        <f>RAND()</f>
        <v/>
      </c>
      <c r="AC615">
        <f>RAND()</f>
        <v/>
      </c>
      <c r="AD615">
        <f>RAND()</f>
        <v/>
      </c>
      <c r="AE615">
        <f>RAND()</f>
        <v/>
      </c>
      <c r="AF615">
        <f>RAND()</f>
        <v/>
      </c>
    </row>
    <row r="616">
      <c r="M616" s="14">
        <f>_xlfn.BETA.INV($AA616,1+4*($D$5-$C$5)/($E$5-$C$5),1+4*($E$5-$D$5)/($E$5-$C$5),$C$5,$E$5)</f>
        <v/>
      </c>
      <c r="N616" s="14">
        <f>IF($AB616&lt;($D$6-$C$6)/($E$6-$C$6),$C$6+SQRT($AB616*($E$6-$C$6)*($D$6-$C$6)),$E$6-SQRT((1-$AB616)*($E$6-$C$6)*($E$6-$D$6)))</f>
        <v/>
      </c>
      <c r="O616" s="14">
        <f>_xlfn.NORM.INV($AC616,$C$7,$D$7)</f>
        <v/>
      </c>
      <c r="P616" s="14">
        <f>$C$8+($D$8-$C$8)*$AD616</f>
        <v/>
      </c>
      <c r="Q616" s="14">
        <f>$C$9</f>
        <v/>
      </c>
      <c r="R616" s="14">
        <f>_xlfn.LOGNORM.INV($AF616,LN($C$10)-0.5*LN(1+($D$10/$C$10)^2),SQRT(LN(1+($D$10/$C$10)^2)))</f>
        <v/>
      </c>
      <c r="S616" s="14">
        <f>SUM(M616:R616)</f>
        <v/>
      </c>
      <c r="AA616">
        <f>RAND()</f>
        <v/>
      </c>
      <c r="AB616">
        <f>RAND()</f>
        <v/>
      </c>
      <c r="AC616">
        <f>RAND()</f>
        <v/>
      </c>
      <c r="AD616">
        <f>RAND()</f>
        <v/>
      </c>
      <c r="AE616">
        <f>RAND()</f>
        <v/>
      </c>
      <c r="AF616">
        <f>RAND()</f>
        <v/>
      </c>
    </row>
    <row r="617">
      <c r="M617" s="14">
        <f>_xlfn.BETA.INV($AA617,1+4*($D$5-$C$5)/($E$5-$C$5),1+4*($E$5-$D$5)/($E$5-$C$5),$C$5,$E$5)</f>
        <v/>
      </c>
      <c r="N617" s="14">
        <f>IF($AB617&lt;($D$6-$C$6)/($E$6-$C$6),$C$6+SQRT($AB617*($E$6-$C$6)*($D$6-$C$6)),$E$6-SQRT((1-$AB617)*($E$6-$C$6)*($E$6-$D$6)))</f>
        <v/>
      </c>
      <c r="O617" s="14">
        <f>_xlfn.NORM.INV($AC617,$C$7,$D$7)</f>
        <v/>
      </c>
      <c r="P617" s="14">
        <f>$C$8+($D$8-$C$8)*$AD617</f>
        <v/>
      </c>
      <c r="Q617" s="14">
        <f>$C$9</f>
        <v/>
      </c>
      <c r="R617" s="14">
        <f>_xlfn.LOGNORM.INV($AF617,LN($C$10)-0.5*LN(1+($D$10/$C$10)^2),SQRT(LN(1+($D$10/$C$10)^2)))</f>
        <v/>
      </c>
      <c r="S617" s="14">
        <f>SUM(M617:R617)</f>
        <v/>
      </c>
      <c r="AA617">
        <f>RAND()</f>
        <v/>
      </c>
      <c r="AB617">
        <f>RAND()</f>
        <v/>
      </c>
      <c r="AC617">
        <f>RAND()</f>
        <v/>
      </c>
      <c r="AD617">
        <f>RAND()</f>
        <v/>
      </c>
      <c r="AE617">
        <f>RAND()</f>
        <v/>
      </c>
      <c r="AF617">
        <f>RAND()</f>
        <v/>
      </c>
    </row>
    <row r="618">
      <c r="M618" s="14">
        <f>_xlfn.BETA.INV($AA618,1+4*($D$5-$C$5)/($E$5-$C$5),1+4*($E$5-$D$5)/($E$5-$C$5),$C$5,$E$5)</f>
        <v/>
      </c>
      <c r="N618" s="14">
        <f>IF($AB618&lt;($D$6-$C$6)/($E$6-$C$6),$C$6+SQRT($AB618*($E$6-$C$6)*($D$6-$C$6)),$E$6-SQRT((1-$AB618)*($E$6-$C$6)*($E$6-$D$6)))</f>
        <v/>
      </c>
      <c r="O618" s="14">
        <f>_xlfn.NORM.INV($AC618,$C$7,$D$7)</f>
        <v/>
      </c>
      <c r="P618" s="14">
        <f>$C$8+($D$8-$C$8)*$AD618</f>
        <v/>
      </c>
      <c r="Q618" s="14">
        <f>$C$9</f>
        <v/>
      </c>
      <c r="R618" s="14">
        <f>_xlfn.LOGNORM.INV($AF618,LN($C$10)-0.5*LN(1+($D$10/$C$10)^2),SQRT(LN(1+($D$10/$C$10)^2)))</f>
        <v/>
      </c>
      <c r="S618" s="14">
        <f>SUM(M618:R618)</f>
        <v/>
      </c>
      <c r="AA618">
        <f>RAND()</f>
        <v/>
      </c>
      <c r="AB618">
        <f>RAND()</f>
        <v/>
      </c>
      <c r="AC618">
        <f>RAND()</f>
        <v/>
      </c>
      <c r="AD618">
        <f>RAND()</f>
        <v/>
      </c>
      <c r="AE618">
        <f>RAND()</f>
        <v/>
      </c>
      <c r="AF618">
        <f>RAND()</f>
        <v/>
      </c>
    </row>
    <row r="619">
      <c r="M619" s="14">
        <f>_xlfn.BETA.INV($AA619,1+4*($D$5-$C$5)/($E$5-$C$5),1+4*($E$5-$D$5)/($E$5-$C$5),$C$5,$E$5)</f>
        <v/>
      </c>
      <c r="N619" s="14">
        <f>IF($AB619&lt;($D$6-$C$6)/($E$6-$C$6),$C$6+SQRT($AB619*($E$6-$C$6)*($D$6-$C$6)),$E$6-SQRT((1-$AB619)*($E$6-$C$6)*($E$6-$D$6)))</f>
        <v/>
      </c>
      <c r="O619" s="14">
        <f>_xlfn.NORM.INV($AC619,$C$7,$D$7)</f>
        <v/>
      </c>
      <c r="P619" s="14">
        <f>$C$8+($D$8-$C$8)*$AD619</f>
        <v/>
      </c>
      <c r="Q619" s="14">
        <f>$C$9</f>
        <v/>
      </c>
      <c r="R619" s="14">
        <f>_xlfn.LOGNORM.INV($AF619,LN($C$10)-0.5*LN(1+($D$10/$C$10)^2),SQRT(LN(1+($D$10/$C$10)^2)))</f>
        <v/>
      </c>
      <c r="S619" s="14">
        <f>SUM(M619:R619)</f>
        <v/>
      </c>
      <c r="AA619">
        <f>RAND()</f>
        <v/>
      </c>
      <c r="AB619">
        <f>RAND()</f>
        <v/>
      </c>
      <c r="AC619">
        <f>RAND()</f>
        <v/>
      </c>
      <c r="AD619">
        <f>RAND()</f>
        <v/>
      </c>
      <c r="AE619">
        <f>RAND()</f>
        <v/>
      </c>
      <c r="AF619">
        <f>RAND()</f>
        <v/>
      </c>
    </row>
    <row r="620">
      <c r="M620" s="14">
        <f>_xlfn.BETA.INV($AA620,1+4*($D$5-$C$5)/($E$5-$C$5),1+4*($E$5-$D$5)/($E$5-$C$5),$C$5,$E$5)</f>
        <v/>
      </c>
      <c r="N620" s="14">
        <f>IF($AB620&lt;($D$6-$C$6)/($E$6-$C$6),$C$6+SQRT($AB620*($E$6-$C$6)*($D$6-$C$6)),$E$6-SQRT((1-$AB620)*($E$6-$C$6)*($E$6-$D$6)))</f>
        <v/>
      </c>
      <c r="O620" s="14">
        <f>_xlfn.NORM.INV($AC620,$C$7,$D$7)</f>
        <v/>
      </c>
      <c r="P620" s="14">
        <f>$C$8+($D$8-$C$8)*$AD620</f>
        <v/>
      </c>
      <c r="Q620" s="14">
        <f>$C$9</f>
        <v/>
      </c>
      <c r="R620" s="14">
        <f>_xlfn.LOGNORM.INV($AF620,LN($C$10)-0.5*LN(1+($D$10/$C$10)^2),SQRT(LN(1+($D$10/$C$10)^2)))</f>
        <v/>
      </c>
      <c r="S620" s="14">
        <f>SUM(M620:R620)</f>
        <v/>
      </c>
      <c r="AA620">
        <f>RAND()</f>
        <v/>
      </c>
      <c r="AB620">
        <f>RAND()</f>
        <v/>
      </c>
      <c r="AC620">
        <f>RAND()</f>
        <v/>
      </c>
      <c r="AD620">
        <f>RAND()</f>
        <v/>
      </c>
      <c r="AE620">
        <f>RAND()</f>
        <v/>
      </c>
      <c r="AF620">
        <f>RAND()</f>
        <v/>
      </c>
    </row>
    <row r="621">
      <c r="M621" s="14">
        <f>_xlfn.BETA.INV($AA621,1+4*($D$5-$C$5)/($E$5-$C$5),1+4*($E$5-$D$5)/($E$5-$C$5),$C$5,$E$5)</f>
        <v/>
      </c>
      <c r="N621" s="14">
        <f>IF($AB621&lt;($D$6-$C$6)/($E$6-$C$6),$C$6+SQRT($AB621*($E$6-$C$6)*($D$6-$C$6)),$E$6-SQRT((1-$AB621)*($E$6-$C$6)*($E$6-$D$6)))</f>
        <v/>
      </c>
      <c r="O621" s="14">
        <f>_xlfn.NORM.INV($AC621,$C$7,$D$7)</f>
        <v/>
      </c>
      <c r="P621" s="14">
        <f>$C$8+($D$8-$C$8)*$AD621</f>
        <v/>
      </c>
      <c r="Q621" s="14">
        <f>$C$9</f>
        <v/>
      </c>
      <c r="R621" s="14">
        <f>_xlfn.LOGNORM.INV($AF621,LN($C$10)-0.5*LN(1+($D$10/$C$10)^2),SQRT(LN(1+($D$10/$C$10)^2)))</f>
        <v/>
      </c>
      <c r="S621" s="14">
        <f>SUM(M621:R621)</f>
        <v/>
      </c>
      <c r="AA621">
        <f>RAND()</f>
        <v/>
      </c>
      <c r="AB621">
        <f>RAND()</f>
        <v/>
      </c>
      <c r="AC621">
        <f>RAND()</f>
        <v/>
      </c>
      <c r="AD621">
        <f>RAND()</f>
        <v/>
      </c>
      <c r="AE621">
        <f>RAND()</f>
        <v/>
      </c>
      <c r="AF621">
        <f>RAND()</f>
        <v/>
      </c>
    </row>
    <row r="622">
      <c r="M622" s="14">
        <f>_xlfn.BETA.INV($AA622,1+4*($D$5-$C$5)/($E$5-$C$5),1+4*($E$5-$D$5)/($E$5-$C$5),$C$5,$E$5)</f>
        <v/>
      </c>
      <c r="N622" s="14">
        <f>IF($AB622&lt;($D$6-$C$6)/($E$6-$C$6),$C$6+SQRT($AB622*($E$6-$C$6)*($D$6-$C$6)),$E$6-SQRT((1-$AB622)*($E$6-$C$6)*($E$6-$D$6)))</f>
        <v/>
      </c>
      <c r="O622" s="14">
        <f>_xlfn.NORM.INV($AC622,$C$7,$D$7)</f>
        <v/>
      </c>
      <c r="P622" s="14">
        <f>$C$8+($D$8-$C$8)*$AD622</f>
        <v/>
      </c>
      <c r="Q622" s="14">
        <f>$C$9</f>
        <v/>
      </c>
      <c r="R622" s="14">
        <f>_xlfn.LOGNORM.INV($AF622,LN($C$10)-0.5*LN(1+($D$10/$C$10)^2),SQRT(LN(1+($D$10/$C$10)^2)))</f>
        <v/>
      </c>
      <c r="S622" s="14">
        <f>SUM(M622:R622)</f>
        <v/>
      </c>
      <c r="AA622">
        <f>RAND()</f>
        <v/>
      </c>
      <c r="AB622">
        <f>RAND()</f>
        <v/>
      </c>
      <c r="AC622">
        <f>RAND()</f>
        <v/>
      </c>
      <c r="AD622">
        <f>RAND()</f>
        <v/>
      </c>
      <c r="AE622">
        <f>RAND()</f>
        <v/>
      </c>
      <c r="AF622">
        <f>RAND()</f>
        <v/>
      </c>
    </row>
    <row r="623">
      <c r="M623" s="14">
        <f>_xlfn.BETA.INV($AA623,1+4*($D$5-$C$5)/($E$5-$C$5),1+4*($E$5-$D$5)/($E$5-$C$5),$C$5,$E$5)</f>
        <v/>
      </c>
      <c r="N623" s="14">
        <f>IF($AB623&lt;($D$6-$C$6)/($E$6-$C$6),$C$6+SQRT($AB623*($E$6-$C$6)*($D$6-$C$6)),$E$6-SQRT((1-$AB623)*($E$6-$C$6)*($E$6-$D$6)))</f>
        <v/>
      </c>
      <c r="O623" s="14">
        <f>_xlfn.NORM.INV($AC623,$C$7,$D$7)</f>
        <v/>
      </c>
      <c r="P623" s="14">
        <f>$C$8+($D$8-$C$8)*$AD623</f>
        <v/>
      </c>
      <c r="Q623" s="14">
        <f>$C$9</f>
        <v/>
      </c>
      <c r="R623" s="14">
        <f>_xlfn.LOGNORM.INV($AF623,LN($C$10)-0.5*LN(1+($D$10/$C$10)^2),SQRT(LN(1+($D$10/$C$10)^2)))</f>
        <v/>
      </c>
      <c r="S623" s="14">
        <f>SUM(M623:R623)</f>
        <v/>
      </c>
      <c r="AA623">
        <f>RAND()</f>
        <v/>
      </c>
      <c r="AB623">
        <f>RAND()</f>
        <v/>
      </c>
      <c r="AC623">
        <f>RAND()</f>
        <v/>
      </c>
      <c r="AD623">
        <f>RAND()</f>
        <v/>
      </c>
      <c r="AE623">
        <f>RAND()</f>
        <v/>
      </c>
      <c r="AF623">
        <f>RAND()</f>
        <v/>
      </c>
    </row>
    <row r="624">
      <c r="M624" s="14">
        <f>_xlfn.BETA.INV($AA624,1+4*($D$5-$C$5)/($E$5-$C$5),1+4*($E$5-$D$5)/($E$5-$C$5),$C$5,$E$5)</f>
        <v/>
      </c>
      <c r="N624" s="14">
        <f>IF($AB624&lt;($D$6-$C$6)/($E$6-$C$6),$C$6+SQRT($AB624*($E$6-$C$6)*($D$6-$C$6)),$E$6-SQRT((1-$AB624)*($E$6-$C$6)*($E$6-$D$6)))</f>
        <v/>
      </c>
      <c r="O624" s="14">
        <f>_xlfn.NORM.INV($AC624,$C$7,$D$7)</f>
        <v/>
      </c>
      <c r="P624" s="14">
        <f>$C$8+($D$8-$C$8)*$AD624</f>
        <v/>
      </c>
      <c r="Q624" s="14">
        <f>$C$9</f>
        <v/>
      </c>
      <c r="R624" s="14">
        <f>_xlfn.LOGNORM.INV($AF624,LN($C$10)-0.5*LN(1+($D$10/$C$10)^2),SQRT(LN(1+($D$10/$C$10)^2)))</f>
        <v/>
      </c>
      <c r="S624" s="14">
        <f>SUM(M624:R624)</f>
        <v/>
      </c>
      <c r="AA624">
        <f>RAND()</f>
        <v/>
      </c>
      <c r="AB624">
        <f>RAND()</f>
        <v/>
      </c>
      <c r="AC624">
        <f>RAND()</f>
        <v/>
      </c>
      <c r="AD624">
        <f>RAND()</f>
        <v/>
      </c>
      <c r="AE624">
        <f>RAND()</f>
        <v/>
      </c>
      <c r="AF624">
        <f>RAND()</f>
        <v/>
      </c>
    </row>
    <row r="625">
      <c r="M625" s="14">
        <f>_xlfn.BETA.INV($AA625,1+4*($D$5-$C$5)/($E$5-$C$5),1+4*($E$5-$D$5)/($E$5-$C$5),$C$5,$E$5)</f>
        <v/>
      </c>
      <c r="N625" s="14">
        <f>IF($AB625&lt;($D$6-$C$6)/($E$6-$C$6),$C$6+SQRT($AB625*($E$6-$C$6)*($D$6-$C$6)),$E$6-SQRT((1-$AB625)*($E$6-$C$6)*($E$6-$D$6)))</f>
        <v/>
      </c>
      <c r="O625" s="14">
        <f>_xlfn.NORM.INV($AC625,$C$7,$D$7)</f>
        <v/>
      </c>
      <c r="P625" s="14">
        <f>$C$8+($D$8-$C$8)*$AD625</f>
        <v/>
      </c>
      <c r="Q625" s="14">
        <f>$C$9</f>
        <v/>
      </c>
      <c r="R625" s="14">
        <f>_xlfn.LOGNORM.INV($AF625,LN($C$10)-0.5*LN(1+($D$10/$C$10)^2),SQRT(LN(1+($D$10/$C$10)^2)))</f>
        <v/>
      </c>
      <c r="S625" s="14">
        <f>SUM(M625:R625)</f>
        <v/>
      </c>
      <c r="AA625">
        <f>RAND()</f>
        <v/>
      </c>
      <c r="AB625">
        <f>RAND()</f>
        <v/>
      </c>
      <c r="AC625">
        <f>RAND()</f>
        <v/>
      </c>
      <c r="AD625">
        <f>RAND()</f>
        <v/>
      </c>
      <c r="AE625">
        <f>RAND()</f>
        <v/>
      </c>
      <c r="AF625">
        <f>RAND()</f>
        <v/>
      </c>
    </row>
    <row r="626">
      <c r="M626" s="14">
        <f>_xlfn.BETA.INV($AA626,1+4*($D$5-$C$5)/($E$5-$C$5),1+4*($E$5-$D$5)/($E$5-$C$5),$C$5,$E$5)</f>
        <v/>
      </c>
      <c r="N626" s="14">
        <f>IF($AB626&lt;($D$6-$C$6)/($E$6-$C$6),$C$6+SQRT($AB626*($E$6-$C$6)*($D$6-$C$6)),$E$6-SQRT((1-$AB626)*($E$6-$C$6)*($E$6-$D$6)))</f>
        <v/>
      </c>
      <c r="O626" s="14">
        <f>_xlfn.NORM.INV($AC626,$C$7,$D$7)</f>
        <v/>
      </c>
      <c r="P626" s="14">
        <f>$C$8+($D$8-$C$8)*$AD626</f>
        <v/>
      </c>
      <c r="Q626" s="14">
        <f>$C$9</f>
        <v/>
      </c>
      <c r="R626" s="14">
        <f>_xlfn.LOGNORM.INV($AF626,LN($C$10)-0.5*LN(1+($D$10/$C$10)^2),SQRT(LN(1+($D$10/$C$10)^2)))</f>
        <v/>
      </c>
      <c r="S626" s="14">
        <f>SUM(M626:R626)</f>
        <v/>
      </c>
      <c r="AA626">
        <f>RAND()</f>
        <v/>
      </c>
      <c r="AB626">
        <f>RAND()</f>
        <v/>
      </c>
      <c r="AC626">
        <f>RAND()</f>
        <v/>
      </c>
      <c r="AD626">
        <f>RAND()</f>
        <v/>
      </c>
      <c r="AE626">
        <f>RAND()</f>
        <v/>
      </c>
      <c r="AF626">
        <f>RAND()</f>
        <v/>
      </c>
    </row>
    <row r="627">
      <c r="M627" s="14">
        <f>_xlfn.BETA.INV($AA627,1+4*($D$5-$C$5)/($E$5-$C$5),1+4*($E$5-$D$5)/($E$5-$C$5),$C$5,$E$5)</f>
        <v/>
      </c>
      <c r="N627" s="14">
        <f>IF($AB627&lt;($D$6-$C$6)/($E$6-$C$6),$C$6+SQRT($AB627*($E$6-$C$6)*($D$6-$C$6)),$E$6-SQRT((1-$AB627)*($E$6-$C$6)*($E$6-$D$6)))</f>
        <v/>
      </c>
      <c r="O627" s="14">
        <f>_xlfn.NORM.INV($AC627,$C$7,$D$7)</f>
        <v/>
      </c>
      <c r="P627" s="14">
        <f>$C$8+($D$8-$C$8)*$AD627</f>
        <v/>
      </c>
      <c r="Q627" s="14">
        <f>$C$9</f>
        <v/>
      </c>
      <c r="R627" s="14">
        <f>_xlfn.LOGNORM.INV($AF627,LN($C$10)-0.5*LN(1+($D$10/$C$10)^2),SQRT(LN(1+($D$10/$C$10)^2)))</f>
        <v/>
      </c>
      <c r="S627" s="14">
        <f>SUM(M627:R627)</f>
        <v/>
      </c>
      <c r="AA627">
        <f>RAND()</f>
        <v/>
      </c>
      <c r="AB627">
        <f>RAND()</f>
        <v/>
      </c>
      <c r="AC627">
        <f>RAND()</f>
        <v/>
      </c>
      <c r="AD627">
        <f>RAND()</f>
        <v/>
      </c>
      <c r="AE627">
        <f>RAND()</f>
        <v/>
      </c>
      <c r="AF627">
        <f>RAND()</f>
        <v/>
      </c>
    </row>
    <row r="628">
      <c r="M628" s="14">
        <f>_xlfn.BETA.INV($AA628,1+4*($D$5-$C$5)/($E$5-$C$5),1+4*($E$5-$D$5)/($E$5-$C$5),$C$5,$E$5)</f>
        <v/>
      </c>
      <c r="N628" s="14">
        <f>IF($AB628&lt;($D$6-$C$6)/($E$6-$C$6),$C$6+SQRT($AB628*($E$6-$C$6)*($D$6-$C$6)),$E$6-SQRT((1-$AB628)*($E$6-$C$6)*($E$6-$D$6)))</f>
        <v/>
      </c>
      <c r="O628" s="14">
        <f>_xlfn.NORM.INV($AC628,$C$7,$D$7)</f>
        <v/>
      </c>
      <c r="P628" s="14">
        <f>$C$8+($D$8-$C$8)*$AD628</f>
        <v/>
      </c>
      <c r="Q628" s="14">
        <f>$C$9</f>
        <v/>
      </c>
      <c r="R628" s="14">
        <f>_xlfn.LOGNORM.INV($AF628,LN($C$10)-0.5*LN(1+($D$10/$C$10)^2),SQRT(LN(1+($D$10/$C$10)^2)))</f>
        <v/>
      </c>
      <c r="S628" s="14">
        <f>SUM(M628:R628)</f>
        <v/>
      </c>
      <c r="AA628">
        <f>RAND()</f>
        <v/>
      </c>
      <c r="AB628">
        <f>RAND()</f>
        <v/>
      </c>
      <c r="AC628">
        <f>RAND()</f>
        <v/>
      </c>
      <c r="AD628">
        <f>RAND()</f>
        <v/>
      </c>
      <c r="AE628">
        <f>RAND()</f>
        <v/>
      </c>
      <c r="AF628">
        <f>RAND()</f>
        <v/>
      </c>
    </row>
    <row r="629">
      <c r="M629" s="14">
        <f>_xlfn.BETA.INV($AA629,1+4*($D$5-$C$5)/($E$5-$C$5),1+4*($E$5-$D$5)/($E$5-$C$5),$C$5,$E$5)</f>
        <v/>
      </c>
      <c r="N629" s="14">
        <f>IF($AB629&lt;($D$6-$C$6)/($E$6-$C$6),$C$6+SQRT($AB629*($E$6-$C$6)*($D$6-$C$6)),$E$6-SQRT((1-$AB629)*($E$6-$C$6)*($E$6-$D$6)))</f>
        <v/>
      </c>
      <c r="O629" s="14">
        <f>_xlfn.NORM.INV($AC629,$C$7,$D$7)</f>
        <v/>
      </c>
      <c r="P629" s="14">
        <f>$C$8+($D$8-$C$8)*$AD629</f>
        <v/>
      </c>
      <c r="Q629" s="14">
        <f>$C$9</f>
        <v/>
      </c>
      <c r="R629" s="14">
        <f>_xlfn.LOGNORM.INV($AF629,LN($C$10)-0.5*LN(1+($D$10/$C$10)^2),SQRT(LN(1+($D$10/$C$10)^2)))</f>
        <v/>
      </c>
      <c r="S629" s="14">
        <f>SUM(M629:R629)</f>
        <v/>
      </c>
      <c r="AA629">
        <f>RAND()</f>
        <v/>
      </c>
      <c r="AB629">
        <f>RAND()</f>
        <v/>
      </c>
      <c r="AC629">
        <f>RAND()</f>
        <v/>
      </c>
      <c r="AD629">
        <f>RAND()</f>
        <v/>
      </c>
      <c r="AE629">
        <f>RAND()</f>
        <v/>
      </c>
      <c r="AF629">
        <f>RAND()</f>
        <v/>
      </c>
    </row>
    <row r="630">
      <c r="M630" s="14">
        <f>_xlfn.BETA.INV($AA630,1+4*($D$5-$C$5)/($E$5-$C$5),1+4*($E$5-$D$5)/($E$5-$C$5),$C$5,$E$5)</f>
        <v/>
      </c>
      <c r="N630" s="14">
        <f>IF($AB630&lt;($D$6-$C$6)/($E$6-$C$6),$C$6+SQRT($AB630*($E$6-$C$6)*($D$6-$C$6)),$E$6-SQRT((1-$AB630)*($E$6-$C$6)*($E$6-$D$6)))</f>
        <v/>
      </c>
      <c r="O630" s="14">
        <f>_xlfn.NORM.INV($AC630,$C$7,$D$7)</f>
        <v/>
      </c>
      <c r="P630" s="14">
        <f>$C$8+($D$8-$C$8)*$AD630</f>
        <v/>
      </c>
      <c r="Q630" s="14">
        <f>$C$9</f>
        <v/>
      </c>
      <c r="R630" s="14">
        <f>_xlfn.LOGNORM.INV($AF630,LN($C$10)-0.5*LN(1+($D$10/$C$10)^2),SQRT(LN(1+($D$10/$C$10)^2)))</f>
        <v/>
      </c>
      <c r="S630" s="14">
        <f>SUM(M630:R630)</f>
        <v/>
      </c>
      <c r="AA630">
        <f>RAND()</f>
        <v/>
      </c>
      <c r="AB630">
        <f>RAND()</f>
        <v/>
      </c>
      <c r="AC630">
        <f>RAND()</f>
        <v/>
      </c>
      <c r="AD630">
        <f>RAND()</f>
        <v/>
      </c>
      <c r="AE630">
        <f>RAND()</f>
        <v/>
      </c>
      <c r="AF630">
        <f>RAND()</f>
        <v/>
      </c>
    </row>
    <row r="631">
      <c r="M631" s="14">
        <f>_xlfn.BETA.INV($AA631,1+4*($D$5-$C$5)/($E$5-$C$5),1+4*($E$5-$D$5)/($E$5-$C$5),$C$5,$E$5)</f>
        <v/>
      </c>
      <c r="N631" s="14">
        <f>IF($AB631&lt;($D$6-$C$6)/($E$6-$C$6),$C$6+SQRT($AB631*($E$6-$C$6)*($D$6-$C$6)),$E$6-SQRT((1-$AB631)*($E$6-$C$6)*($E$6-$D$6)))</f>
        <v/>
      </c>
      <c r="O631" s="14">
        <f>_xlfn.NORM.INV($AC631,$C$7,$D$7)</f>
        <v/>
      </c>
      <c r="P631" s="14">
        <f>$C$8+($D$8-$C$8)*$AD631</f>
        <v/>
      </c>
      <c r="Q631" s="14">
        <f>$C$9</f>
        <v/>
      </c>
      <c r="R631" s="14">
        <f>_xlfn.LOGNORM.INV($AF631,LN($C$10)-0.5*LN(1+($D$10/$C$10)^2),SQRT(LN(1+($D$10/$C$10)^2)))</f>
        <v/>
      </c>
      <c r="S631" s="14">
        <f>SUM(M631:R631)</f>
        <v/>
      </c>
      <c r="AA631">
        <f>RAND()</f>
        <v/>
      </c>
      <c r="AB631">
        <f>RAND()</f>
        <v/>
      </c>
      <c r="AC631">
        <f>RAND()</f>
        <v/>
      </c>
      <c r="AD631">
        <f>RAND()</f>
        <v/>
      </c>
      <c r="AE631">
        <f>RAND()</f>
        <v/>
      </c>
      <c r="AF631">
        <f>RAND()</f>
        <v/>
      </c>
    </row>
    <row r="632">
      <c r="M632" s="14">
        <f>_xlfn.BETA.INV($AA632,1+4*($D$5-$C$5)/($E$5-$C$5),1+4*($E$5-$D$5)/($E$5-$C$5),$C$5,$E$5)</f>
        <v/>
      </c>
      <c r="N632" s="14">
        <f>IF($AB632&lt;($D$6-$C$6)/($E$6-$C$6),$C$6+SQRT($AB632*($E$6-$C$6)*($D$6-$C$6)),$E$6-SQRT((1-$AB632)*($E$6-$C$6)*($E$6-$D$6)))</f>
        <v/>
      </c>
      <c r="O632" s="14">
        <f>_xlfn.NORM.INV($AC632,$C$7,$D$7)</f>
        <v/>
      </c>
      <c r="P632" s="14">
        <f>$C$8+($D$8-$C$8)*$AD632</f>
        <v/>
      </c>
      <c r="Q632" s="14">
        <f>$C$9</f>
        <v/>
      </c>
      <c r="R632" s="14">
        <f>_xlfn.LOGNORM.INV($AF632,LN($C$10)-0.5*LN(1+($D$10/$C$10)^2),SQRT(LN(1+($D$10/$C$10)^2)))</f>
        <v/>
      </c>
      <c r="S632" s="14">
        <f>SUM(M632:R632)</f>
        <v/>
      </c>
      <c r="AA632">
        <f>RAND()</f>
        <v/>
      </c>
      <c r="AB632">
        <f>RAND()</f>
        <v/>
      </c>
      <c r="AC632">
        <f>RAND()</f>
        <v/>
      </c>
      <c r="AD632">
        <f>RAND()</f>
        <v/>
      </c>
      <c r="AE632">
        <f>RAND()</f>
        <v/>
      </c>
      <c r="AF632">
        <f>RAND()</f>
        <v/>
      </c>
    </row>
    <row r="633">
      <c r="M633" s="14">
        <f>_xlfn.BETA.INV($AA633,1+4*($D$5-$C$5)/($E$5-$C$5),1+4*($E$5-$D$5)/($E$5-$C$5),$C$5,$E$5)</f>
        <v/>
      </c>
      <c r="N633" s="14">
        <f>IF($AB633&lt;($D$6-$C$6)/($E$6-$C$6),$C$6+SQRT($AB633*($E$6-$C$6)*($D$6-$C$6)),$E$6-SQRT((1-$AB633)*($E$6-$C$6)*($E$6-$D$6)))</f>
        <v/>
      </c>
      <c r="O633" s="14">
        <f>_xlfn.NORM.INV($AC633,$C$7,$D$7)</f>
        <v/>
      </c>
      <c r="P633" s="14">
        <f>$C$8+($D$8-$C$8)*$AD633</f>
        <v/>
      </c>
      <c r="Q633" s="14">
        <f>$C$9</f>
        <v/>
      </c>
      <c r="R633" s="14">
        <f>_xlfn.LOGNORM.INV($AF633,LN($C$10)-0.5*LN(1+($D$10/$C$10)^2),SQRT(LN(1+($D$10/$C$10)^2)))</f>
        <v/>
      </c>
      <c r="S633" s="14">
        <f>SUM(M633:R633)</f>
        <v/>
      </c>
      <c r="AA633">
        <f>RAND()</f>
        <v/>
      </c>
      <c r="AB633">
        <f>RAND()</f>
        <v/>
      </c>
      <c r="AC633">
        <f>RAND()</f>
        <v/>
      </c>
      <c r="AD633">
        <f>RAND()</f>
        <v/>
      </c>
      <c r="AE633">
        <f>RAND()</f>
        <v/>
      </c>
      <c r="AF633">
        <f>RAND()</f>
        <v/>
      </c>
    </row>
    <row r="634">
      <c r="M634" s="14">
        <f>_xlfn.BETA.INV($AA634,1+4*($D$5-$C$5)/($E$5-$C$5),1+4*($E$5-$D$5)/($E$5-$C$5),$C$5,$E$5)</f>
        <v/>
      </c>
      <c r="N634" s="14">
        <f>IF($AB634&lt;($D$6-$C$6)/($E$6-$C$6),$C$6+SQRT($AB634*($E$6-$C$6)*($D$6-$C$6)),$E$6-SQRT((1-$AB634)*($E$6-$C$6)*($E$6-$D$6)))</f>
        <v/>
      </c>
      <c r="O634" s="14">
        <f>_xlfn.NORM.INV($AC634,$C$7,$D$7)</f>
        <v/>
      </c>
      <c r="P634" s="14">
        <f>$C$8+($D$8-$C$8)*$AD634</f>
        <v/>
      </c>
      <c r="Q634" s="14">
        <f>$C$9</f>
        <v/>
      </c>
      <c r="R634" s="14">
        <f>_xlfn.LOGNORM.INV($AF634,LN($C$10)-0.5*LN(1+($D$10/$C$10)^2),SQRT(LN(1+($D$10/$C$10)^2)))</f>
        <v/>
      </c>
      <c r="S634" s="14">
        <f>SUM(M634:R634)</f>
        <v/>
      </c>
      <c r="AA634">
        <f>RAND()</f>
        <v/>
      </c>
      <c r="AB634">
        <f>RAND()</f>
        <v/>
      </c>
      <c r="AC634">
        <f>RAND()</f>
        <v/>
      </c>
      <c r="AD634">
        <f>RAND()</f>
        <v/>
      </c>
      <c r="AE634">
        <f>RAND()</f>
        <v/>
      </c>
      <c r="AF634">
        <f>RAND()</f>
        <v/>
      </c>
    </row>
    <row r="635">
      <c r="M635" s="14">
        <f>_xlfn.BETA.INV($AA635,1+4*($D$5-$C$5)/($E$5-$C$5),1+4*($E$5-$D$5)/($E$5-$C$5),$C$5,$E$5)</f>
        <v/>
      </c>
      <c r="N635" s="14">
        <f>IF($AB635&lt;($D$6-$C$6)/($E$6-$C$6),$C$6+SQRT($AB635*($E$6-$C$6)*($D$6-$C$6)),$E$6-SQRT((1-$AB635)*($E$6-$C$6)*($E$6-$D$6)))</f>
        <v/>
      </c>
      <c r="O635" s="14">
        <f>_xlfn.NORM.INV($AC635,$C$7,$D$7)</f>
        <v/>
      </c>
      <c r="P635" s="14">
        <f>$C$8+($D$8-$C$8)*$AD635</f>
        <v/>
      </c>
      <c r="Q635" s="14">
        <f>$C$9</f>
        <v/>
      </c>
      <c r="R635" s="14">
        <f>_xlfn.LOGNORM.INV($AF635,LN($C$10)-0.5*LN(1+($D$10/$C$10)^2),SQRT(LN(1+($D$10/$C$10)^2)))</f>
        <v/>
      </c>
      <c r="S635" s="14">
        <f>SUM(M635:R635)</f>
        <v/>
      </c>
      <c r="AA635">
        <f>RAND()</f>
        <v/>
      </c>
      <c r="AB635">
        <f>RAND()</f>
        <v/>
      </c>
      <c r="AC635">
        <f>RAND()</f>
        <v/>
      </c>
      <c r="AD635">
        <f>RAND()</f>
        <v/>
      </c>
      <c r="AE635">
        <f>RAND()</f>
        <v/>
      </c>
      <c r="AF635">
        <f>RAND()</f>
        <v/>
      </c>
    </row>
    <row r="636">
      <c r="M636" s="14">
        <f>_xlfn.BETA.INV($AA636,1+4*($D$5-$C$5)/($E$5-$C$5),1+4*($E$5-$D$5)/($E$5-$C$5),$C$5,$E$5)</f>
        <v/>
      </c>
      <c r="N636" s="14">
        <f>IF($AB636&lt;($D$6-$C$6)/($E$6-$C$6),$C$6+SQRT($AB636*($E$6-$C$6)*($D$6-$C$6)),$E$6-SQRT((1-$AB636)*($E$6-$C$6)*($E$6-$D$6)))</f>
        <v/>
      </c>
      <c r="O636" s="14">
        <f>_xlfn.NORM.INV($AC636,$C$7,$D$7)</f>
        <v/>
      </c>
      <c r="P636" s="14">
        <f>$C$8+($D$8-$C$8)*$AD636</f>
        <v/>
      </c>
      <c r="Q636" s="14">
        <f>$C$9</f>
        <v/>
      </c>
      <c r="R636" s="14">
        <f>_xlfn.LOGNORM.INV($AF636,LN($C$10)-0.5*LN(1+($D$10/$C$10)^2),SQRT(LN(1+($D$10/$C$10)^2)))</f>
        <v/>
      </c>
      <c r="S636" s="14">
        <f>SUM(M636:R636)</f>
        <v/>
      </c>
      <c r="AA636">
        <f>RAND()</f>
        <v/>
      </c>
      <c r="AB636">
        <f>RAND()</f>
        <v/>
      </c>
      <c r="AC636">
        <f>RAND()</f>
        <v/>
      </c>
      <c r="AD636">
        <f>RAND()</f>
        <v/>
      </c>
      <c r="AE636">
        <f>RAND()</f>
        <v/>
      </c>
      <c r="AF636">
        <f>RAND()</f>
        <v/>
      </c>
    </row>
    <row r="637">
      <c r="M637" s="14">
        <f>_xlfn.BETA.INV($AA637,1+4*($D$5-$C$5)/($E$5-$C$5),1+4*($E$5-$D$5)/($E$5-$C$5),$C$5,$E$5)</f>
        <v/>
      </c>
      <c r="N637" s="14">
        <f>IF($AB637&lt;($D$6-$C$6)/($E$6-$C$6),$C$6+SQRT($AB637*($E$6-$C$6)*($D$6-$C$6)),$E$6-SQRT((1-$AB637)*($E$6-$C$6)*($E$6-$D$6)))</f>
        <v/>
      </c>
      <c r="O637" s="14">
        <f>_xlfn.NORM.INV($AC637,$C$7,$D$7)</f>
        <v/>
      </c>
      <c r="P637" s="14">
        <f>$C$8+($D$8-$C$8)*$AD637</f>
        <v/>
      </c>
      <c r="Q637" s="14">
        <f>$C$9</f>
        <v/>
      </c>
      <c r="R637" s="14">
        <f>_xlfn.LOGNORM.INV($AF637,LN($C$10)-0.5*LN(1+($D$10/$C$10)^2),SQRT(LN(1+($D$10/$C$10)^2)))</f>
        <v/>
      </c>
      <c r="S637" s="14">
        <f>SUM(M637:R637)</f>
        <v/>
      </c>
      <c r="AA637">
        <f>RAND()</f>
        <v/>
      </c>
      <c r="AB637">
        <f>RAND()</f>
        <v/>
      </c>
      <c r="AC637">
        <f>RAND()</f>
        <v/>
      </c>
      <c r="AD637">
        <f>RAND()</f>
        <v/>
      </c>
      <c r="AE637">
        <f>RAND()</f>
        <v/>
      </c>
      <c r="AF637">
        <f>RAND()</f>
        <v/>
      </c>
    </row>
    <row r="638">
      <c r="M638" s="14">
        <f>_xlfn.BETA.INV($AA638,1+4*($D$5-$C$5)/($E$5-$C$5),1+4*($E$5-$D$5)/($E$5-$C$5),$C$5,$E$5)</f>
        <v/>
      </c>
      <c r="N638" s="14">
        <f>IF($AB638&lt;($D$6-$C$6)/($E$6-$C$6),$C$6+SQRT($AB638*($E$6-$C$6)*($D$6-$C$6)),$E$6-SQRT((1-$AB638)*($E$6-$C$6)*($E$6-$D$6)))</f>
        <v/>
      </c>
      <c r="O638" s="14">
        <f>_xlfn.NORM.INV($AC638,$C$7,$D$7)</f>
        <v/>
      </c>
      <c r="P638" s="14">
        <f>$C$8+($D$8-$C$8)*$AD638</f>
        <v/>
      </c>
      <c r="Q638" s="14">
        <f>$C$9</f>
        <v/>
      </c>
      <c r="R638" s="14">
        <f>_xlfn.LOGNORM.INV($AF638,LN($C$10)-0.5*LN(1+($D$10/$C$10)^2),SQRT(LN(1+($D$10/$C$10)^2)))</f>
        <v/>
      </c>
      <c r="S638" s="14">
        <f>SUM(M638:R638)</f>
        <v/>
      </c>
      <c r="AA638">
        <f>RAND()</f>
        <v/>
      </c>
      <c r="AB638">
        <f>RAND()</f>
        <v/>
      </c>
      <c r="AC638">
        <f>RAND()</f>
        <v/>
      </c>
      <c r="AD638">
        <f>RAND()</f>
        <v/>
      </c>
      <c r="AE638">
        <f>RAND()</f>
        <v/>
      </c>
      <c r="AF638">
        <f>RAND()</f>
        <v/>
      </c>
    </row>
    <row r="639">
      <c r="M639" s="14">
        <f>_xlfn.BETA.INV($AA639,1+4*($D$5-$C$5)/($E$5-$C$5),1+4*($E$5-$D$5)/($E$5-$C$5),$C$5,$E$5)</f>
        <v/>
      </c>
      <c r="N639" s="14">
        <f>IF($AB639&lt;($D$6-$C$6)/($E$6-$C$6),$C$6+SQRT($AB639*($E$6-$C$6)*($D$6-$C$6)),$E$6-SQRT((1-$AB639)*($E$6-$C$6)*($E$6-$D$6)))</f>
        <v/>
      </c>
      <c r="O639" s="14">
        <f>_xlfn.NORM.INV($AC639,$C$7,$D$7)</f>
        <v/>
      </c>
      <c r="P639" s="14">
        <f>$C$8+($D$8-$C$8)*$AD639</f>
        <v/>
      </c>
      <c r="Q639" s="14">
        <f>$C$9</f>
        <v/>
      </c>
      <c r="R639" s="14">
        <f>_xlfn.LOGNORM.INV($AF639,LN($C$10)-0.5*LN(1+($D$10/$C$10)^2),SQRT(LN(1+($D$10/$C$10)^2)))</f>
        <v/>
      </c>
      <c r="S639" s="14">
        <f>SUM(M639:R639)</f>
        <v/>
      </c>
      <c r="AA639">
        <f>RAND()</f>
        <v/>
      </c>
      <c r="AB639">
        <f>RAND()</f>
        <v/>
      </c>
      <c r="AC639">
        <f>RAND()</f>
        <v/>
      </c>
      <c r="AD639">
        <f>RAND()</f>
        <v/>
      </c>
      <c r="AE639">
        <f>RAND()</f>
        <v/>
      </c>
      <c r="AF639">
        <f>RAND()</f>
        <v/>
      </c>
    </row>
    <row r="640">
      <c r="M640" s="14">
        <f>_xlfn.BETA.INV($AA640,1+4*($D$5-$C$5)/($E$5-$C$5),1+4*($E$5-$D$5)/($E$5-$C$5),$C$5,$E$5)</f>
        <v/>
      </c>
      <c r="N640" s="14">
        <f>IF($AB640&lt;($D$6-$C$6)/($E$6-$C$6),$C$6+SQRT($AB640*($E$6-$C$6)*($D$6-$C$6)),$E$6-SQRT((1-$AB640)*($E$6-$C$6)*($E$6-$D$6)))</f>
        <v/>
      </c>
      <c r="O640" s="14">
        <f>_xlfn.NORM.INV($AC640,$C$7,$D$7)</f>
        <v/>
      </c>
      <c r="P640" s="14">
        <f>$C$8+($D$8-$C$8)*$AD640</f>
        <v/>
      </c>
      <c r="Q640" s="14">
        <f>$C$9</f>
        <v/>
      </c>
      <c r="R640" s="14">
        <f>_xlfn.LOGNORM.INV($AF640,LN($C$10)-0.5*LN(1+($D$10/$C$10)^2),SQRT(LN(1+($D$10/$C$10)^2)))</f>
        <v/>
      </c>
      <c r="S640" s="14">
        <f>SUM(M640:R640)</f>
        <v/>
      </c>
      <c r="AA640">
        <f>RAND()</f>
        <v/>
      </c>
      <c r="AB640">
        <f>RAND()</f>
        <v/>
      </c>
      <c r="AC640">
        <f>RAND()</f>
        <v/>
      </c>
      <c r="AD640">
        <f>RAND()</f>
        <v/>
      </c>
      <c r="AE640">
        <f>RAND()</f>
        <v/>
      </c>
      <c r="AF640">
        <f>RAND()</f>
        <v/>
      </c>
    </row>
    <row r="641">
      <c r="M641" s="14">
        <f>_xlfn.BETA.INV($AA641,1+4*($D$5-$C$5)/($E$5-$C$5),1+4*($E$5-$D$5)/($E$5-$C$5),$C$5,$E$5)</f>
        <v/>
      </c>
      <c r="N641" s="14">
        <f>IF($AB641&lt;($D$6-$C$6)/($E$6-$C$6),$C$6+SQRT($AB641*($E$6-$C$6)*($D$6-$C$6)),$E$6-SQRT((1-$AB641)*($E$6-$C$6)*($E$6-$D$6)))</f>
        <v/>
      </c>
      <c r="O641" s="14">
        <f>_xlfn.NORM.INV($AC641,$C$7,$D$7)</f>
        <v/>
      </c>
      <c r="P641" s="14">
        <f>$C$8+($D$8-$C$8)*$AD641</f>
        <v/>
      </c>
      <c r="Q641" s="14">
        <f>$C$9</f>
        <v/>
      </c>
      <c r="R641" s="14">
        <f>_xlfn.LOGNORM.INV($AF641,LN($C$10)-0.5*LN(1+($D$10/$C$10)^2),SQRT(LN(1+($D$10/$C$10)^2)))</f>
        <v/>
      </c>
      <c r="S641" s="14">
        <f>SUM(M641:R641)</f>
        <v/>
      </c>
      <c r="AA641">
        <f>RAND()</f>
        <v/>
      </c>
      <c r="AB641">
        <f>RAND()</f>
        <v/>
      </c>
      <c r="AC641">
        <f>RAND()</f>
        <v/>
      </c>
      <c r="AD641">
        <f>RAND()</f>
        <v/>
      </c>
      <c r="AE641">
        <f>RAND()</f>
        <v/>
      </c>
      <c r="AF641">
        <f>RAND()</f>
        <v/>
      </c>
    </row>
    <row r="642">
      <c r="M642" s="14">
        <f>_xlfn.BETA.INV($AA642,1+4*($D$5-$C$5)/($E$5-$C$5),1+4*($E$5-$D$5)/($E$5-$C$5),$C$5,$E$5)</f>
        <v/>
      </c>
      <c r="N642" s="14">
        <f>IF($AB642&lt;($D$6-$C$6)/($E$6-$C$6),$C$6+SQRT($AB642*($E$6-$C$6)*($D$6-$C$6)),$E$6-SQRT((1-$AB642)*($E$6-$C$6)*($E$6-$D$6)))</f>
        <v/>
      </c>
      <c r="O642" s="14">
        <f>_xlfn.NORM.INV($AC642,$C$7,$D$7)</f>
        <v/>
      </c>
      <c r="P642" s="14">
        <f>$C$8+($D$8-$C$8)*$AD642</f>
        <v/>
      </c>
      <c r="Q642" s="14">
        <f>$C$9</f>
        <v/>
      </c>
      <c r="R642" s="14">
        <f>_xlfn.LOGNORM.INV($AF642,LN($C$10)-0.5*LN(1+($D$10/$C$10)^2),SQRT(LN(1+($D$10/$C$10)^2)))</f>
        <v/>
      </c>
      <c r="S642" s="14">
        <f>SUM(M642:R642)</f>
        <v/>
      </c>
      <c r="AA642">
        <f>RAND()</f>
        <v/>
      </c>
      <c r="AB642">
        <f>RAND()</f>
        <v/>
      </c>
      <c r="AC642">
        <f>RAND()</f>
        <v/>
      </c>
      <c r="AD642">
        <f>RAND()</f>
        <v/>
      </c>
      <c r="AE642">
        <f>RAND()</f>
        <v/>
      </c>
      <c r="AF642">
        <f>RAND()</f>
        <v/>
      </c>
    </row>
    <row r="643">
      <c r="M643" s="14">
        <f>_xlfn.BETA.INV($AA643,1+4*($D$5-$C$5)/($E$5-$C$5),1+4*($E$5-$D$5)/($E$5-$C$5),$C$5,$E$5)</f>
        <v/>
      </c>
      <c r="N643" s="14">
        <f>IF($AB643&lt;($D$6-$C$6)/($E$6-$C$6),$C$6+SQRT($AB643*($E$6-$C$6)*($D$6-$C$6)),$E$6-SQRT((1-$AB643)*($E$6-$C$6)*($E$6-$D$6)))</f>
        <v/>
      </c>
      <c r="O643" s="14">
        <f>_xlfn.NORM.INV($AC643,$C$7,$D$7)</f>
        <v/>
      </c>
      <c r="P643" s="14">
        <f>$C$8+($D$8-$C$8)*$AD643</f>
        <v/>
      </c>
      <c r="Q643" s="14">
        <f>$C$9</f>
        <v/>
      </c>
      <c r="R643" s="14">
        <f>_xlfn.LOGNORM.INV($AF643,LN($C$10)-0.5*LN(1+($D$10/$C$10)^2),SQRT(LN(1+($D$10/$C$10)^2)))</f>
        <v/>
      </c>
      <c r="S643" s="14">
        <f>SUM(M643:R643)</f>
        <v/>
      </c>
      <c r="AA643">
        <f>RAND()</f>
        <v/>
      </c>
      <c r="AB643">
        <f>RAND()</f>
        <v/>
      </c>
      <c r="AC643">
        <f>RAND()</f>
        <v/>
      </c>
      <c r="AD643">
        <f>RAND()</f>
        <v/>
      </c>
      <c r="AE643">
        <f>RAND()</f>
        <v/>
      </c>
      <c r="AF643">
        <f>RAND()</f>
        <v/>
      </c>
    </row>
    <row r="644">
      <c r="M644" s="14">
        <f>_xlfn.BETA.INV($AA644,1+4*($D$5-$C$5)/($E$5-$C$5),1+4*($E$5-$D$5)/($E$5-$C$5),$C$5,$E$5)</f>
        <v/>
      </c>
      <c r="N644" s="14">
        <f>IF($AB644&lt;($D$6-$C$6)/($E$6-$C$6),$C$6+SQRT($AB644*($E$6-$C$6)*($D$6-$C$6)),$E$6-SQRT((1-$AB644)*($E$6-$C$6)*($E$6-$D$6)))</f>
        <v/>
      </c>
      <c r="O644" s="14">
        <f>_xlfn.NORM.INV($AC644,$C$7,$D$7)</f>
        <v/>
      </c>
      <c r="P644" s="14">
        <f>$C$8+($D$8-$C$8)*$AD644</f>
        <v/>
      </c>
      <c r="Q644" s="14">
        <f>$C$9</f>
        <v/>
      </c>
      <c r="R644" s="14">
        <f>_xlfn.LOGNORM.INV($AF644,LN($C$10)-0.5*LN(1+($D$10/$C$10)^2),SQRT(LN(1+($D$10/$C$10)^2)))</f>
        <v/>
      </c>
      <c r="S644" s="14">
        <f>SUM(M644:R644)</f>
        <v/>
      </c>
      <c r="AA644">
        <f>RAND()</f>
        <v/>
      </c>
      <c r="AB644">
        <f>RAND()</f>
        <v/>
      </c>
      <c r="AC644">
        <f>RAND()</f>
        <v/>
      </c>
      <c r="AD644">
        <f>RAND()</f>
        <v/>
      </c>
      <c r="AE644">
        <f>RAND()</f>
        <v/>
      </c>
      <c r="AF644">
        <f>RAND()</f>
        <v/>
      </c>
    </row>
    <row r="645">
      <c r="M645" s="14">
        <f>_xlfn.BETA.INV($AA645,1+4*($D$5-$C$5)/($E$5-$C$5),1+4*($E$5-$D$5)/($E$5-$C$5),$C$5,$E$5)</f>
        <v/>
      </c>
      <c r="N645" s="14">
        <f>IF($AB645&lt;($D$6-$C$6)/($E$6-$C$6),$C$6+SQRT($AB645*($E$6-$C$6)*($D$6-$C$6)),$E$6-SQRT((1-$AB645)*($E$6-$C$6)*($E$6-$D$6)))</f>
        <v/>
      </c>
      <c r="O645" s="14">
        <f>_xlfn.NORM.INV($AC645,$C$7,$D$7)</f>
        <v/>
      </c>
      <c r="P645" s="14">
        <f>$C$8+($D$8-$C$8)*$AD645</f>
        <v/>
      </c>
      <c r="Q645" s="14">
        <f>$C$9</f>
        <v/>
      </c>
      <c r="R645" s="14">
        <f>_xlfn.LOGNORM.INV($AF645,LN($C$10)-0.5*LN(1+($D$10/$C$10)^2),SQRT(LN(1+($D$10/$C$10)^2)))</f>
        <v/>
      </c>
      <c r="S645" s="14">
        <f>SUM(M645:R645)</f>
        <v/>
      </c>
      <c r="AA645">
        <f>RAND()</f>
        <v/>
      </c>
      <c r="AB645">
        <f>RAND()</f>
        <v/>
      </c>
      <c r="AC645">
        <f>RAND()</f>
        <v/>
      </c>
      <c r="AD645">
        <f>RAND()</f>
        <v/>
      </c>
      <c r="AE645">
        <f>RAND()</f>
        <v/>
      </c>
      <c r="AF645">
        <f>RAND()</f>
        <v/>
      </c>
    </row>
    <row r="646">
      <c r="M646" s="14">
        <f>_xlfn.BETA.INV($AA646,1+4*($D$5-$C$5)/($E$5-$C$5),1+4*($E$5-$D$5)/($E$5-$C$5),$C$5,$E$5)</f>
        <v/>
      </c>
      <c r="N646" s="14">
        <f>IF($AB646&lt;($D$6-$C$6)/($E$6-$C$6),$C$6+SQRT($AB646*($E$6-$C$6)*($D$6-$C$6)),$E$6-SQRT((1-$AB646)*($E$6-$C$6)*($E$6-$D$6)))</f>
        <v/>
      </c>
      <c r="O646" s="14">
        <f>_xlfn.NORM.INV($AC646,$C$7,$D$7)</f>
        <v/>
      </c>
      <c r="P646" s="14">
        <f>$C$8+($D$8-$C$8)*$AD646</f>
        <v/>
      </c>
      <c r="Q646" s="14">
        <f>$C$9</f>
        <v/>
      </c>
      <c r="R646" s="14">
        <f>_xlfn.LOGNORM.INV($AF646,LN($C$10)-0.5*LN(1+($D$10/$C$10)^2),SQRT(LN(1+($D$10/$C$10)^2)))</f>
        <v/>
      </c>
      <c r="S646" s="14">
        <f>SUM(M646:R646)</f>
        <v/>
      </c>
      <c r="AA646">
        <f>RAND()</f>
        <v/>
      </c>
      <c r="AB646">
        <f>RAND()</f>
        <v/>
      </c>
      <c r="AC646">
        <f>RAND()</f>
        <v/>
      </c>
      <c r="AD646">
        <f>RAND()</f>
        <v/>
      </c>
      <c r="AE646">
        <f>RAND()</f>
        <v/>
      </c>
      <c r="AF646">
        <f>RAND()</f>
        <v/>
      </c>
    </row>
    <row r="647">
      <c r="M647" s="14">
        <f>_xlfn.BETA.INV($AA647,1+4*($D$5-$C$5)/($E$5-$C$5),1+4*($E$5-$D$5)/($E$5-$C$5),$C$5,$E$5)</f>
        <v/>
      </c>
      <c r="N647" s="14">
        <f>IF($AB647&lt;($D$6-$C$6)/($E$6-$C$6),$C$6+SQRT($AB647*($E$6-$C$6)*($D$6-$C$6)),$E$6-SQRT((1-$AB647)*($E$6-$C$6)*($E$6-$D$6)))</f>
        <v/>
      </c>
      <c r="O647" s="14">
        <f>_xlfn.NORM.INV($AC647,$C$7,$D$7)</f>
        <v/>
      </c>
      <c r="P647" s="14">
        <f>$C$8+($D$8-$C$8)*$AD647</f>
        <v/>
      </c>
      <c r="Q647" s="14">
        <f>$C$9</f>
        <v/>
      </c>
      <c r="R647" s="14">
        <f>_xlfn.LOGNORM.INV($AF647,LN($C$10)-0.5*LN(1+($D$10/$C$10)^2),SQRT(LN(1+($D$10/$C$10)^2)))</f>
        <v/>
      </c>
      <c r="S647" s="14">
        <f>SUM(M647:R647)</f>
        <v/>
      </c>
      <c r="AA647">
        <f>RAND()</f>
        <v/>
      </c>
      <c r="AB647">
        <f>RAND()</f>
        <v/>
      </c>
      <c r="AC647">
        <f>RAND()</f>
        <v/>
      </c>
      <c r="AD647">
        <f>RAND()</f>
        <v/>
      </c>
      <c r="AE647">
        <f>RAND()</f>
        <v/>
      </c>
      <c r="AF647">
        <f>RAND()</f>
        <v/>
      </c>
    </row>
    <row r="648">
      <c r="M648" s="14">
        <f>_xlfn.BETA.INV($AA648,1+4*($D$5-$C$5)/($E$5-$C$5),1+4*($E$5-$D$5)/($E$5-$C$5),$C$5,$E$5)</f>
        <v/>
      </c>
      <c r="N648" s="14">
        <f>IF($AB648&lt;($D$6-$C$6)/($E$6-$C$6),$C$6+SQRT($AB648*($E$6-$C$6)*($D$6-$C$6)),$E$6-SQRT((1-$AB648)*($E$6-$C$6)*($E$6-$D$6)))</f>
        <v/>
      </c>
      <c r="O648" s="14">
        <f>_xlfn.NORM.INV($AC648,$C$7,$D$7)</f>
        <v/>
      </c>
      <c r="P648" s="14">
        <f>$C$8+($D$8-$C$8)*$AD648</f>
        <v/>
      </c>
      <c r="Q648" s="14">
        <f>$C$9</f>
        <v/>
      </c>
      <c r="R648" s="14">
        <f>_xlfn.LOGNORM.INV($AF648,LN($C$10)-0.5*LN(1+($D$10/$C$10)^2),SQRT(LN(1+($D$10/$C$10)^2)))</f>
        <v/>
      </c>
      <c r="S648" s="14">
        <f>SUM(M648:R648)</f>
        <v/>
      </c>
      <c r="AA648">
        <f>RAND()</f>
        <v/>
      </c>
      <c r="AB648">
        <f>RAND()</f>
        <v/>
      </c>
      <c r="AC648">
        <f>RAND()</f>
        <v/>
      </c>
      <c r="AD648">
        <f>RAND()</f>
        <v/>
      </c>
      <c r="AE648">
        <f>RAND()</f>
        <v/>
      </c>
      <c r="AF648">
        <f>RAND()</f>
        <v/>
      </c>
    </row>
    <row r="649">
      <c r="M649" s="14">
        <f>_xlfn.BETA.INV($AA649,1+4*($D$5-$C$5)/($E$5-$C$5),1+4*($E$5-$D$5)/($E$5-$C$5),$C$5,$E$5)</f>
        <v/>
      </c>
      <c r="N649" s="14">
        <f>IF($AB649&lt;($D$6-$C$6)/($E$6-$C$6),$C$6+SQRT($AB649*($E$6-$C$6)*($D$6-$C$6)),$E$6-SQRT((1-$AB649)*($E$6-$C$6)*($E$6-$D$6)))</f>
        <v/>
      </c>
      <c r="O649" s="14">
        <f>_xlfn.NORM.INV($AC649,$C$7,$D$7)</f>
        <v/>
      </c>
      <c r="P649" s="14">
        <f>$C$8+($D$8-$C$8)*$AD649</f>
        <v/>
      </c>
      <c r="Q649" s="14">
        <f>$C$9</f>
        <v/>
      </c>
      <c r="R649" s="14">
        <f>_xlfn.LOGNORM.INV($AF649,LN($C$10)-0.5*LN(1+($D$10/$C$10)^2),SQRT(LN(1+($D$10/$C$10)^2)))</f>
        <v/>
      </c>
      <c r="S649" s="14">
        <f>SUM(M649:R649)</f>
        <v/>
      </c>
      <c r="AA649">
        <f>RAND()</f>
        <v/>
      </c>
      <c r="AB649">
        <f>RAND()</f>
        <v/>
      </c>
      <c r="AC649">
        <f>RAND()</f>
        <v/>
      </c>
      <c r="AD649">
        <f>RAND()</f>
        <v/>
      </c>
      <c r="AE649">
        <f>RAND()</f>
        <v/>
      </c>
      <c r="AF649">
        <f>RAND()</f>
        <v/>
      </c>
    </row>
    <row r="650">
      <c r="M650" s="14">
        <f>_xlfn.BETA.INV($AA650,1+4*($D$5-$C$5)/($E$5-$C$5),1+4*($E$5-$D$5)/($E$5-$C$5),$C$5,$E$5)</f>
        <v/>
      </c>
      <c r="N650" s="14">
        <f>IF($AB650&lt;($D$6-$C$6)/($E$6-$C$6),$C$6+SQRT($AB650*($E$6-$C$6)*($D$6-$C$6)),$E$6-SQRT((1-$AB650)*($E$6-$C$6)*($E$6-$D$6)))</f>
        <v/>
      </c>
      <c r="O650" s="14">
        <f>_xlfn.NORM.INV($AC650,$C$7,$D$7)</f>
        <v/>
      </c>
      <c r="P650" s="14">
        <f>$C$8+($D$8-$C$8)*$AD650</f>
        <v/>
      </c>
      <c r="Q650" s="14">
        <f>$C$9</f>
        <v/>
      </c>
      <c r="R650" s="14">
        <f>_xlfn.LOGNORM.INV($AF650,LN($C$10)-0.5*LN(1+($D$10/$C$10)^2),SQRT(LN(1+($D$10/$C$10)^2)))</f>
        <v/>
      </c>
      <c r="S650" s="14">
        <f>SUM(M650:R650)</f>
        <v/>
      </c>
      <c r="AA650">
        <f>RAND()</f>
        <v/>
      </c>
      <c r="AB650">
        <f>RAND()</f>
        <v/>
      </c>
      <c r="AC650">
        <f>RAND()</f>
        <v/>
      </c>
      <c r="AD650">
        <f>RAND()</f>
        <v/>
      </c>
      <c r="AE650">
        <f>RAND()</f>
        <v/>
      </c>
      <c r="AF650">
        <f>RAND()</f>
        <v/>
      </c>
    </row>
    <row r="651">
      <c r="M651" s="14">
        <f>_xlfn.BETA.INV($AA651,1+4*($D$5-$C$5)/($E$5-$C$5),1+4*($E$5-$D$5)/($E$5-$C$5),$C$5,$E$5)</f>
        <v/>
      </c>
      <c r="N651" s="14">
        <f>IF($AB651&lt;($D$6-$C$6)/($E$6-$C$6),$C$6+SQRT($AB651*($E$6-$C$6)*($D$6-$C$6)),$E$6-SQRT((1-$AB651)*($E$6-$C$6)*($E$6-$D$6)))</f>
        <v/>
      </c>
      <c r="O651" s="14">
        <f>_xlfn.NORM.INV($AC651,$C$7,$D$7)</f>
        <v/>
      </c>
      <c r="P651" s="14">
        <f>$C$8+($D$8-$C$8)*$AD651</f>
        <v/>
      </c>
      <c r="Q651" s="14">
        <f>$C$9</f>
        <v/>
      </c>
      <c r="R651" s="14">
        <f>_xlfn.LOGNORM.INV($AF651,LN($C$10)-0.5*LN(1+($D$10/$C$10)^2),SQRT(LN(1+($D$10/$C$10)^2)))</f>
        <v/>
      </c>
      <c r="S651" s="14">
        <f>SUM(M651:R651)</f>
        <v/>
      </c>
      <c r="AA651">
        <f>RAND()</f>
        <v/>
      </c>
      <c r="AB651">
        <f>RAND()</f>
        <v/>
      </c>
      <c r="AC651">
        <f>RAND()</f>
        <v/>
      </c>
      <c r="AD651">
        <f>RAND()</f>
        <v/>
      </c>
      <c r="AE651">
        <f>RAND()</f>
        <v/>
      </c>
      <c r="AF651">
        <f>RAND()</f>
        <v/>
      </c>
    </row>
    <row r="652">
      <c r="M652" s="14">
        <f>_xlfn.BETA.INV($AA652,1+4*($D$5-$C$5)/($E$5-$C$5),1+4*($E$5-$D$5)/($E$5-$C$5),$C$5,$E$5)</f>
        <v/>
      </c>
      <c r="N652" s="14">
        <f>IF($AB652&lt;($D$6-$C$6)/($E$6-$C$6),$C$6+SQRT($AB652*($E$6-$C$6)*($D$6-$C$6)),$E$6-SQRT((1-$AB652)*($E$6-$C$6)*($E$6-$D$6)))</f>
        <v/>
      </c>
      <c r="O652" s="14">
        <f>_xlfn.NORM.INV($AC652,$C$7,$D$7)</f>
        <v/>
      </c>
      <c r="P652" s="14">
        <f>$C$8+($D$8-$C$8)*$AD652</f>
        <v/>
      </c>
      <c r="Q652" s="14">
        <f>$C$9</f>
        <v/>
      </c>
      <c r="R652" s="14">
        <f>_xlfn.LOGNORM.INV($AF652,LN($C$10)-0.5*LN(1+($D$10/$C$10)^2),SQRT(LN(1+($D$10/$C$10)^2)))</f>
        <v/>
      </c>
      <c r="S652" s="14">
        <f>SUM(M652:R652)</f>
        <v/>
      </c>
      <c r="AA652">
        <f>RAND()</f>
        <v/>
      </c>
      <c r="AB652">
        <f>RAND()</f>
        <v/>
      </c>
      <c r="AC652">
        <f>RAND()</f>
        <v/>
      </c>
      <c r="AD652">
        <f>RAND()</f>
        <v/>
      </c>
      <c r="AE652">
        <f>RAND()</f>
        <v/>
      </c>
      <c r="AF652">
        <f>RAND()</f>
        <v/>
      </c>
    </row>
    <row r="653">
      <c r="M653" s="14">
        <f>_xlfn.BETA.INV($AA653,1+4*($D$5-$C$5)/($E$5-$C$5),1+4*($E$5-$D$5)/($E$5-$C$5),$C$5,$E$5)</f>
        <v/>
      </c>
      <c r="N653" s="14">
        <f>IF($AB653&lt;($D$6-$C$6)/($E$6-$C$6),$C$6+SQRT($AB653*($E$6-$C$6)*($D$6-$C$6)),$E$6-SQRT((1-$AB653)*($E$6-$C$6)*($E$6-$D$6)))</f>
        <v/>
      </c>
      <c r="O653" s="14">
        <f>_xlfn.NORM.INV($AC653,$C$7,$D$7)</f>
        <v/>
      </c>
      <c r="P653" s="14">
        <f>$C$8+($D$8-$C$8)*$AD653</f>
        <v/>
      </c>
      <c r="Q653" s="14">
        <f>$C$9</f>
        <v/>
      </c>
      <c r="R653" s="14">
        <f>_xlfn.LOGNORM.INV($AF653,LN($C$10)-0.5*LN(1+($D$10/$C$10)^2),SQRT(LN(1+($D$10/$C$10)^2)))</f>
        <v/>
      </c>
      <c r="S653" s="14">
        <f>SUM(M653:R653)</f>
        <v/>
      </c>
      <c r="AA653">
        <f>RAND()</f>
        <v/>
      </c>
      <c r="AB653">
        <f>RAND()</f>
        <v/>
      </c>
      <c r="AC653">
        <f>RAND()</f>
        <v/>
      </c>
      <c r="AD653">
        <f>RAND()</f>
        <v/>
      </c>
      <c r="AE653">
        <f>RAND()</f>
        <v/>
      </c>
      <c r="AF653">
        <f>RAND()</f>
        <v/>
      </c>
    </row>
    <row r="654">
      <c r="M654" s="14">
        <f>_xlfn.BETA.INV($AA654,1+4*($D$5-$C$5)/($E$5-$C$5),1+4*($E$5-$D$5)/($E$5-$C$5),$C$5,$E$5)</f>
        <v/>
      </c>
      <c r="N654" s="14">
        <f>IF($AB654&lt;($D$6-$C$6)/($E$6-$C$6),$C$6+SQRT($AB654*($E$6-$C$6)*($D$6-$C$6)),$E$6-SQRT((1-$AB654)*($E$6-$C$6)*($E$6-$D$6)))</f>
        <v/>
      </c>
      <c r="O654" s="14">
        <f>_xlfn.NORM.INV($AC654,$C$7,$D$7)</f>
        <v/>
      </c>
      <c r="P654" s="14">
        <f>$C$8+($D$8-$C$8)*$AD654</f>
        <v/>
      </c>
      <c r="Q654" s="14">
        <f>$C$9</f>
        <v/>
      </c>
      <c r="R654" s="14">
        <f>_xlfn.LOGNORM.INV($AF654,LN($C$10)-0.5*LN(1+($D$10/$C$10)^2),SQRT(LN(1+($D$10/$C$10)^2)))</f>
        <v/>
      </c>
      <c r="S654" s="14">
        <f>SUM(M654:R654)</f>
        <v/>
      </c>
      <c r="AA654">
        <f>RAND()</f>
        <v/>
      </c>
      <c r="AB654">
        <f>RAND()</f>
        <v/>
      </c>
      <c r="AC654">
        <f>RAND()</f>
        <v/>
      </c>
      <c r="AD654">
        <f>RAND()</f>
        <v/>
      </c>
      <c r="AE654">
        <f>RAND()</f>
        <v/>
      </c>
      <c r="AF654">
        <f>RAND()</f>
        <v/>
      </c>
    </row>
    <row r="655">
      <c r="M655" s="14">
        <f>_xlfn.BETA.INV($AA655,1+4*($D$5-$C$5)/($E$5-$C$5),1+4*($E$5-$D$5)/($E$5-$C$5),$C$5,$E$5)</f>
        <v/>
      </c>
      <c r="N655" s="14">
        <f>IF($AB655&lt;($D$6-$C$6)/($E$6-$C$6),$C$6+SQRT($AB655*($E$6-$C$6)*($D$6-$C$6)),$E$6-SQRT((1-$AB655)*($E$6-$C$6)*($E$6-$D$6)))</f>
        <v/>
      </c>
      <c r="O655" s="14">
        <f>_xlfn.NORM.INV($AC655,$C$7,$D$7)</f>
        <v/>
      </c>
      <c r="P655" s="14">
        <f>$C$8+($D$8-$C$8)*$AD655</f>
        <v/>
      </c>
      <c r="Q655" s="14">
        <f>$C$9</f>
        <v/>
      </c>
      <c r="R655" s="14">
        <f>_xlfn.LOGNORM.INV($AF655,LN($C$10)-0.5*LN(1+($D$10/$C$10)^2),SQRT(LN(1+($D$10/$C$10)^2)))</f>
        <v/>
      </c>
      <c r="S655" s="14">
        <f>SUM(M655:R655)</f>
        <v/>
      </c>
      <c r="AA655">
        <f>RAND()</f>
        <v/>
      </c>
      <c r="AB655">
        <f>RAND()</f>
        <v/>
      </c>
      <c r="AC655">
        <f>RAND()</f>
        <v/>
      </c>
      <c r="AD655">
        <f>RAND()</f>
        <v/>
      </c>
      <c r="AE655">
        <f>RAND()</f>
        <v/>
      </c>
      <c r="AF655">
        <f>RAND()</f>
        <v/>
      </c>
    </row>
    <row r="656">
      <c r="M656" s="14">
        <f>_xlfn.BETA.INV($AA656,1+4*($D$5-$C$5)/($E$5-$C$5),1+4*($E$5-$D$5)/($E$5-$C$5),$C$5,$E$5)</f>
        <v/>
      </c>
      <c r="N656" s="14">
        <f>IF($AB656&lt;($D$6-$C$6)/($E$6-$C$6),$C$6+SQRT($AB656*($E$6-$C$6)*($D$6-$C$6)),$E$6-SQRT((1-$AB656)*($E$6-$C$6)*($E$6-$D$6)))</f>
        <v/>
      </c>
      <c r="O656" s="14">
        <f>_xlfn.NORM.INV($AC656,$C$7,$D$7)</f>
        <v/>
      </c>
      <c r="P656" s="14">
        <f>$C$8+($D$8-$C$8)*$AD656</f>
        <v/>
      </c>
      <c r="Q656" s="14">
        <f>$C$9</f>
        <v/>
      </c>
      <c r="R656" s="14">
        <f>_xlfn.LOGNORM.INV($AF656,LN($C$10)-0.5*LN(1+($D$10/$C$10)^2),SQRT(LN(1+($D$10/$C$10)^2)))</f>
        <v/>
      </c>
      <c r="S656" s="14">
        <f>SUM(M656:R656)</f>
        <v/>
      </c>
      <c r="AA656">
        <f>RAND()</f>
        <v/>
      </c>
      <c r="AB656">
        <f>RAND()</f>
        <v/>
      </c>
      <c r="AC656">
        <f>RAND()</f>
        <v/>
      </c>
      <c r="AD656">
        <f>RAND()</f>
        <v/>
      </c>
      <c r="AE656">
        <f>RAND()</f>
        <v/>
      </c>
      <c r="AF656">
        <f>RAND()</f>
        <v/>
      </c>
    </row>
    <row r="657">
      <c r="M657" s="14">
        <f>_xlfn.BETA.INV($AA657,1+4*($D$5-$C$5)/($E$5-$C$5),1+4*($E$5-$D$5)/($E$5-$C$5),$C$5,$E$5)</f>
        <v/>
      </c>
      <c r="N657" s="14">
        <f>IF($AB657&lt;($D$6-$C$6)/($E$6-$C$6),$C$6+SQRT($AB657*($E$6-$C$6)*($D$6-$C$6)),$E$6-SQRT((1-$AB657)*($E$6-$C$6)*($E$6-$D$6)))</f>
        <v/>
      </c>
      <c r="O657" s="14">
        <f>_xlfn.NORM.INV($AC657,$C$7,$D$7)</f>
        <v/>
      </c>
      <c r="P657" s="14">
        <f>$C$8+($D$8-$C$8)*$AD657</f>
        <v/>
      </c>
      <c r="Q657" s="14">
        <f>$C$9</f>
        <v/>
      </c>
      <c r="R657" s="14">
        <f>_xlfn.LOGNORM.INV($AF657,LN($C$10)-0.5*LN(1+($D$10/$C$10)^2),SQRT(LN(1+($D$10/$C$10)^2)))</f>
        <v/>
      </c>
      <c r="S657" s="14">
        <f>SUM(M657:R657)</f>
        <v/>
      </c>
      <c r="AA657">
        <f>RAND()</f>
        <v/>
      </c>
      <c r="AB657">
        <f>RAND()</f>
        <v/>
      </c>
      <c r="AC657">
        <f>RAND()</f>
        <v/>
      </c>
      <c r="AD657">
        <f>RAND()</f>
        <v/>
      </c>
      <c r="AE657">
        <f>RAND()</f>
        <v/>
      </c>
      <c r="AF657">
        <f>RAND()</f>
        <v/>
      </c>
    </row>
    <row r="658">
      <c r="M658" s="14">
        <f>_xlfn.BETA.INV($AA658,1+4*($D$5-$C$5)/($E$5-$C$5),1+4*($E$5-$D$5)/($E$5-$C$5),$C$5,$E$5)</f>
        <v/>
      </c>
      <c r="N658" s="14">
        <f>IF($AB658&lt;($D$6-$C$6)/($E$6-$C$6),$C$6+SQRT($AB658*($E$6-$C$6)*($D$6-$C$6)),$E$6-SQRT((1-$AB658)*($E$6-$C$6)*($E$6-$D$6)))</f>
        <v/>
      </c>
      <c r="O658" s="14">
        <f>_xlfn.NORM.INV($AC658,$C$7,$D$7)</f>
        <v/>
      </c>
      <c r="P658" s="14">
        <f>$C$8+($D$8-$C$8)*$AD658</f>
        <v/>
      </c>
      <c r="Q658" s="14">
        <f>$C$9</f>
        <v/>
      </c>
      <c r="R658" s="14">
        <f>_xlfn.LOGNORM.INV($AF658,LN($C$10)-0.5*LN(1+($D$10/$C$10)^2),SQRT(LN(1+($D$10/$C$10)^2)))</f>
        <v/>
      </c>
      <c r="S658" s="14">
        <f>SUM(M658:R658)</f>
        <v/>
      </c>
      <c r="AA658">
        <f>RAND()</f>
        <v/>
      </c>
      <c r="AB658">
        <f>RAND()</f>
        <v/>
      </c>
      <c r="AC658">
        <f>RAND()</f>
        <v/>
      </c>
      <c r="AD658">
        <f>RAND()</f>
        <v/>
      </c>
      <c r="AE658">
        <f>RAND()</f>
        <v/>
      </c>
      <c r="AF658">
        <f>RAND()</f>
        <v/>
      </c>
    </row>
    <row r="659">
      <c r="M659" s="14">
        <f>_xlfn.BETA.INV($AA659,1+4*($D$5-$C$5)/($E$5-$C$5),1+4*($E$5-$D$5)/($E$5-$C$5),$C$5,$E$5)</f>
        <v/>
      </c>
      <c r="N659" s="14">
        <f>IF($AB659&lt;($D$6-$C$6)/($E$6-$C$6),$C$6+SQRT($AB659*($E$6-$C$6)*($D$6-$C$6)),$E$6-SQRT((1-$AB659)*($E$6-$C$6)*($E$6-$D$6)))</f>
        <v/>
      </c>
      <c r="O659" s="14">
        <f>_xlfn.NORM.INV($AC659,$C$7,$D$7)</f>
        <v/>
      </c>
      <c r="P659" s="14">
        <f>$C$8+($D$8-$C$8)*$AD659</f>
        <v/>
      </c>
      <c r="Q659" s="14">
        <f>$C$9</f>
        <v/>
      </c>
      <c r="R659" s="14">
        <f>_xlfn.LOGNORM.INV($AF659,LN($C$10)-0.5*LN(1+($D$10/$C$10)^2),SQRT(LN(1+($D$10/$C$10)^2)))</f>
        <v/>
      </c>
      <c r="S659" s="14">
        <f>SUM(M659:R659)</f>
        <v/>
      </c>
      <c r="AA659">
        <f>RAND()</f>
        <v/>
      </c>
      <c r="AB659">
        <f>RAND()</f>
        <v/>
      </c>
      <c r="AC659">
        <f>RAND()</f>
        <v/>
      </c>
      <c r="AD659">
        <f>RAND()</f>
        <v/>
      </c>
      <c r="AE659">
        <f>RAND()</f>
        <v/>
      </c>
      <c r="AF659">
        <f>RAND()</f>
        <v/>
      </c>
    </row>
    <row r="660">
      <c r="M660" s="14">
        <f>_xlfn.BETA.INV($AA660,1+4*($D$5-$C$5)/($E$5-$C$5),1+4*($E$5-$D$5)/($E$5-$C$5),$C$5,$E$5)</f>
        <v/>
      </c>
      <c r="N660" s="14">
        <f>IF($AB660&lt;($D$6-$C$6)/($E$6-$C$6),$C$6+SQRT($AB660*($E$6-$C$6)*($D$6-$C$6)),$E$6-SQRT((1-$AB660)*($E$6-$C$6)*($E$6-$D$6)))</f>
        <v/>
      </c>
      <c r="O660" s="14">
        <f>_xlfn.NORM.INV($AC660,$C$7,$D$7)</f>
        <v/>
      </c>
      <c r="P660" s="14">
        <f>$C$8+($D$8-$C$8)*$AD660</f>
        <v/>
      </c>
      <c r="Q660" s="14">
        <f>$C$9</f>
        <v/>
      </c>
      <c r="R660" s="14">
        <f>_xlfn.LOGNORM.INV($AF660,LN($C$10)-0.5*LN(1+($D$10/$C$10)^2),SQRT(LN(1+($D$10/$C$10)^2)))</f>
        <v/>
      </c>
      <c r="S660" s="14">
        <f>SUM(M660:R660)</f>
        <v/>
      </c>
      <c r="AA660">
        <f>RAND()</f>
        <v/>
      </c>
      <c r="AB660">
        <f>RAND()</f>
        <v/>
      </c>
      <c r="AC660">
        <f>RAND()</f>
        <v/>
      </c>
      <c r="AD660">
        <f>RAND()</f>
        <v/>
      </c>
      <c r="AE660">
        <f>RAND()</f>
        <v/>
      </c>
      <c r="AF660">
        <f>RAND()</f>
        <v/>
      </c>
    </row>
    <row r="661">
      <c r="M661" s="14">
        <f>_xlfn.BETA.INV($AA661,1+4*($D$5-$C$5)/($E$5-$C$5),1+4*($E$5-$D$5)/($E$5-$C$5),$C$5,$E$5)</f>
        <v/>
      </c>
      <c r="N661" s="14">
        <f>IF($AB661&lt;($D$6-$C$6)/($E$6-$C$6),$C$6+SQRT($AB661*($E$6-$C$6)*($D$6-$C$6)),$E$6-SQRT((1-$AB661)*($E$6-$C$6)*($E$6-$D$6)))</f>
        <v/>
      </c>
      <c r="O661" s="14">
        <f>_xlfn.NORM.INV($AC661,$C$7,$D$7)</f>
        <v/>
      </c>
      <c r="P661" s="14">
        <f>$C$8+($D$8-$C$8)*$AD661</f>
        <v/>
      </c>
      <c r="Q661" s="14">
        <f>$C$9</f>
        <v/>
      </c>
      <c r="R661" s="14">
        <f>_xlfn.LOGNORM.INV($AF661,LN($C$10)-0.5*LN(1+($D$10/$C$10)^2),SQRT(LN(1+($D$10/$C$10)^2)))</f>
        <v/>
      </c>
      <c r="S661" s="14">
        <f>SUM(M661:R661)</f>
        <v/>
      </c>
      <c r="AA661">
        <f>RAND()</f>
        <v/>
      </c>
      <c r="AB661">
        <f>RAND()</f>
        <v/>
      </c>
      <c r="AC661">
        <f>RAND()</f>
        <v/>
      </c>
      <c r="AD661">
        <f>RAND()</f>
        <v/>
      </c>
      <c r="AE661">
        <f>RAND()</f>
        <v/>
      </c>
      <c r="AF661">
        <f>RAND()</f>
        <v/>
      </c>
    </row>
    <row r="662">
      <c r="M662" s="14">
        <f>_xlfn.BETA.INV($AA662,1+4*($D$5-$C$5)/($E$5-$C$5),1+4*($E$5-$D$5)/($E$5-$C$5),$C$5,$E$5)</f>
        <v/>
      </c>
      <c r="N662" s="14">
        <f>IF($AB662&lt;($D$6-$C$6)/($E$6-$C$6),$C$6+SQRT($AB662*($E$6-$C$6)*($D$6-$C$6)),$E$6-SQRT((1-$AB662)*($E$6-$C$6)*($E$6-$D$6)))</f>
        <v/>
      </c>
      <c r="O662" s="14">
        <f>_xlfn.NORM.INV($AC662,$C$7,$D$7)</f>
        <v/>
      </c>
      <c r="P662" s="14">
        <f>$C$8+($D$8-$C$8)*$AD662</f>
        <v/>
      </c>
      <c r="Q662" s="14">
        <f>$C$9</f>
        <v/>
      </c>
      <c r="R662" s="14">
        <f>_xlfn.LOGNORM.INV($AF662,LN($C$10)-0.5*LN(1+($D$10/$C$10)^2),SQRT(LN(1+($D$10/$C$10)^2)))</f>
        <v/>
      </c>
      <c r="S662" s="14">
        <f>SUM(M662:R662)</f>
        <v/>
      </c>
      <c r="AA662">
        <f>RAND()</f>
        <v/>
      </c>
      <c r="AB662">
        <f>RAND()</f>
        <v/>
      </c>
      <c r="AC662">
        <f>RAND()</f>
        <v/>
      </c>
      <c r="AD662">
        <f>RAND()</f>
        <v/>
      </c>
      <c r="AE662">
        <f>RAND()</f>
        <v/>
      </c>
      <c r="AF662">
        <f>RAND()</f>
        <v/>
      </c>
    </row>
    <row r="663">
      <c r="M663" s="14">
        <f>_xlfn.BETA.INV($AA663,1+4*($D$5-$C$5)/($E$5-$C$5),1+4*($E$5-$D$5)/($E$5-$C$5),$C$5,$E$5)</f>
        <v/>
      </c>
      <c r="N663" s="14">
        <f>IF($AB663&lt;($D$6-$C$6)/($E$6-$C$6),$C$6+SQRT($AB663*($E$6-$C$6)*($D$6-$C$6)),$E$6-SQRT((1-$AB663)*($E$6-$C$6)*($E$6-$D$6)))</f>
        <v/>
      </c>
      <c r="O663" s="14">
        <f>_xlfn.NORM.INV($AC663,$C$7,$D$7)</f>
        <v/>
      </c>
      <c r="P663" s="14">
        <f>$C$8+($D$8-$C$8)*$AD663</f>
        <v/>
      </c>
      <c r="Q663" s="14">
        <f>$C$9</f>
        <v/>
      </c>
      <c r="R663" s="14">
        <f>_xlfn.LOGNORM.INV($AF663,LN($C$10)-0.5*LN(1+($D$10/$C$10)^2),SQRT(LN(1+($D$10/$C$10)^2)))</f>
        <v/>
      </c>
      <c r="S663" s="14">
        <f>SUM(M663:R663)</f>
        <v/>
      </c>
      <c r="AA663">
        <f>RAND()</f>
        <v/>
      </c>
      <c r="AB663">
        <f>RAND()</f>
        <v/>
      </c>
      <c r="AC663">
        <f>RAND()</f>
        <v/>
      </c>
      <c r="AD663">
        <f>RAND()</f>
        <v/>
      </c>
      <c r="AE663">
        <f>RAND()</f>
        <v/>
      </c>
      <c r="AF663">
        <f>RAND()</f>
        <v/>
      </c>
    </row>
    <row r="664">
      <c r="M664" s="14">
        <f>_xlfn.BETA.INV($AA664,1+4*($D$5-$C$5)/($E$5-$C$5),1+4*($E$5-$D$5)/($E$5-$C$5),$C$5,$E$5)</f>
        <v/>
      </c>
      <c r="N664" s="14">
        <f>IF($AB664&lt;($D$6-$C$6)/($E$6-$C$6),$C$6+SQRT($AB664*($E$6-$C$6)*($D$6-$C$6)),$E$6-SQRT((1-$AB664)*($E$6-$C$6)*($E$6-$D$6)))</f>
        <v/>
      </c>
      <c r="O664" s="14">
        <f>_xlfn.NORM.INV($AC664,$C$7,$D$7)</f>
        <v/>
      </c>
      <c r="P664" s="14">
        <f>$C$8+($D$8-$C$8)*$AD664</f>
        <v/>
      </c>
      <c r="Q664" s="14">
        <f>$C$9</f>
        <v/>
      </c>
      <c r="R664" s="14">
        <f>_xlfn.LOGNORM.INV($AF664,LN($C$10)-0.5*LN(1+($D$10/$C$10)^2),SQRT(LN(1+($D$10/$C$10)^2)))</f>
        <v/>
      </c>
      <c r="S664" s="14">
        <f>SUM(M664:R664)</f>
        <v/>
      </c>
      <c r="AA664">
        <f>RAND()</f>
        <v/>
      </c>
      <c r="AB664">
        <f>RAND()</f>
        <v/>
      </c>
      <c r="AC664">
        <f>RAND()</f>
        <v/>
      </c>
      <c r="AD664">
        <f>RAND()</f>
        <v/>
      </c>
      <c r="AE664">
        <f>RAND()</f>
        <v/>
      </c>
      <c r="AF664">
        <f>RAND()</f>
        <v/>
      </c>
    </row>
    <row r="665">
      <c r="M665" s="14">
        <f>_xlfn.BETA.INV($AA665,1+4*($D$5-$C$5)/($E$5-$C$5),1+4*($E$5-$D$5)/($E$5-$C$5),$C$5,$E$5)</f>
        <v/>
      </c>
      <c r="N665" s="14">
        <f>IF($AB665&lt;($D$6-$C$6)/($E$6-$C$6),$C$6+SQRT($AB665*($E$6-$C$6)*($D$6-$C$6)),$E$6-SQRT((1-$AB665)*($E$6-$C$6)*($E$6-$D$6)))</f>
        <v/>
      </c>
      <c r="O665" s="14">
        <f>_xlfn.NORM.INV($AC665,$C$7,$D$7)</f>
        <v/>
      </c>
      <c r="P665" s="14">
        <f>$C$8+($D$8-$C$8)*$AD665</f>
        <v/>
      </c>
      <c r="Q665" s="14">
        <f>$C$9</f>
        <v/>
      </c>
      <c r="R665" s="14">
        <f>_xlfn.LOGNORM.INV($AF665,LN($C$10)-0.5*LN(1+($D$10/$C$10)^2),SQRT(LN(1+($D$10/$C$10)^2)))</f>
        <v/>
      </c>
      <c r="S665" s="14">
        <f>SUM(M665:R665)</f>
        <v/>
      </c>
      <c r="AA665">
        <f>RAND()</f>
        <v/>
      </c>
      <c r="AB665">
        <f>RAND()</f>
        <v/>
      </c>
      <c r="AC665">
        <f>RAND()</f>
        <v/>
      </c>
      <c r="AD665">
        <f>RAND()</f>
        <v/>
      </c>
      <c r="AE665">
        <f>RAND()</f>
        <v/>
      </c>
      <c r="AF665">
        <f>RAND()</f>
        <v/>
      </c>
    </row>
    <row r="666">
      <c r="M666" s="14">
        <f>_xlfn.BETA.INV($AA666,1+4*($D$5-$C$5)/($E$5-$C$5),1+4*($E$5-$D$5)/($E$5-$C$5),$C$5,$E$5)</f>
        <v/>
      </c>
      <c r="N666" s="14">
        <f>IF($AB666&lt;($D$6-$C$6)/($E$6-$C$6),$C$6+SQRT($AB666*($E$6-$C$6)*($D$6-$C$6)),$E$6-SQRT((1-$AB666)*($E$6-$C$6)*($E$6-$D$6)))</f>
        <v/>
      </c>
      <c r="O666" s="14">
        <f>_xlfn.NORM.INV($AC666,$C$7,$D$7)</f>
        <v/>
      </c>
      <c r="P666" s="14">
        <f>$C$8+($D$8-$C$8)*$AD666</f>
        <v/>
      </c>
      <c r="Q666" s="14">
        <f>$C$9</f>
        <v/>
      </c>
      <c r="R666" s="14">
        <f>_xlfn.LOGNORM.INV($AF666,LN($C$10)-0.5*LN(1+($D$10/$C$10)^2),SQRT(LN(1+($D$10/$C$10)^2)))</f>
        <v/>
      </c>
      <c r="S666" s="14">
        <f>SUM(M666:R666)</f>
        <v/>
      </c>
      <c r="AA666">
        <f>RAND()</f>
        <v/>
      </c>
      <c r="AB666">
        <f>RAND()</f>
        <v/>
      </c>
      <c r="AC666">
        <f>RAND()</f>
        <v/>
      </c>
      <c r="AD666">
        <f>RAND()</f>
        <v/>
      </c>
      <c r="AE666">
        <f>RAND()</f>
        <v/>
      </c>
      <c r="AF666">
        <f>RAND()</f>
        <v/>
      </c>
    </row>
    <row r="667">
      <c r="M667" s="14">
        <f>_xlfn.BETA.INV($AA667,1+4*($D$5-$C$5)/($E$5-$C$5),1+4*($E$5-$D$5)/($E$5-$C$5),$C$5,$E$5)</f>
        <v/>
      </c>
      <c r="N667" s="14">
        <f>IF($AB667&lt;($D$6-$C$6)/($E$6-$C$6),$C$6+SQRT($AB667*($E$6-$C$6)*($D$6-$C$6)),$E$6-SQRT((1-$AB667)*($E$6-$C$6)*($E$6-$D$6)))</f>
        <v/>
      </c>
      <c r="O667" s="14">
        <f>_xlfn.NORM.INV($AC667,$C$7,$D$7)</f>
        <v/>
      </c>
      <c r="P667" s="14">
        <f>$C$8+($D$8-$C$8)*$AD667</f>
        <v/>
      </c>
      <c r="Q667" s="14">
        <f>$C$9</f>
        <v/>
      </c>
      <c r="R667" s="14">
        <f>_xlfn.LOGNORM.INV($AF667,LN($C$10)-0.5*LN(1+($D$10/$C$10)^2),SQRT(LN(1+($D$10/$C$10)^2)))</f>
        <v/>
      </c>
      <c r="S667" s="14">
        <f>SUM(M667:R667)</f>
        <v/>
      </c>
      <c r="AA667">
        <f>RAND()</f>
        <v/>
      </c>
      <c r="AB667">
        <f>RAND()</f>
        <v/>
      </c>
      <c r="AC667">
        <f>RAND()</f>
        <v/>
      </c>
      <c r="AD667">
        <f>RAND()</f>
        <v/>
      </c>
      <c r="AE667">
        <f>RAND()</f>
        <v/>
      </c>
      <c r="AF667">
        <f>RAND()</f>
        <v/>
      </c>
    </row>
    <row r="668">
      <c r="M668" s="14">
        <f>_xlfn.BETA.INV($AA668,1+4*($D$5-$C$5)/($E$5-$C$5),1+4*($E$5-$D$5)/($E$5-$C$5),$C$5,$E$5)</f>
        <v/>
      </c>
      <c r="N668" s="14">
        <f>IF($AB668&lt;($D$6-$C$6)/($E$6-$C$6),$C$6+SQRT($AB668*($E$6-$C$6)*($D$6-$C$6)),$E$6-SQRT((1-$AB668)*($E$6-$C$6)*($E$6-$D$6)))</f>
        <v/>
      </c>
      <c r="O668" s="14">
        <f>_xlfn.NORM.INV($AC668,$C$7,$D$7)</f>
        <v/>
      </c>
      <c r="P668" s="14">
        <f>$C$8+($D$8-$C$8)*$AD668</f>
        <v/>
      </c>
      <c r="Q668" s="14">
        <f>$C$9</f>
        <v/>
      </c>
      <c r="R668" s="14">
        <f>_xlfn.LOGNORM.INV($AF668,LN($C$10)-0.5*LN(1+($D$10/$C$10)^2),SQRT(LN(1+($D$10/$C$10)^2)))</f>
        <v/>
      </c>
      <c r="S668" s="14">
        <f>SUM(M668:R668)</f>
        <v/>
      </c>
      <c r="AA668">
        <f>RAND()</f>
        <v/>
      </c>
      <c r="AB668">
        <f>RAND()</f>
        <v/>
      </c>
      <c r="AC668">
        <f>RAND()</f>
        <v/>
      </c>
      <c r="AD668">
        <f>RAND()</f>
        <v/>
      </c>
      <c r="AE668">
        <f>RAND()</f>
        <v/>
      </c>
      <c r="AF668">
        <f>RAND()</f>
        <v/>
      </c>
    </row>
    <row r="669">
      <c r="M669" s="14">
        <f>_xlfn.BETA.INV($AA669,1+4*($D$5-$C$5)/($E$5-$C$5),1+4*($E$5-$D$5)/($E$5-$C$5),$C$5,$E$5)</f>
        <v/>
      </c>
      <c r="N669" s="14">
        <f>IF($AB669&lt;($D$6-$C$6)/($E$6-$C$6),$C$6+SQRT($AB669*($E$6-$C$6)*($D$6-$C$6)),$E$6-SQRT((1-$AB669)*($E$6-$C$6)*($E$6-$D$6)))</f>
        <v/>
      </c>
      <c r="O669" s="14">
        <f>_xlfn.NORM.INV($AC669,$C$7,$D$7)</f>
        <v/>
      </c>
      <c r="P669" s="14">
        <f>$C$8+($D$8-$C$8)*$AD669</f>
        <v/>
      </c>
      <c r="Q669" s="14">
        <f>$C$9</f>
        <v/>
      </c>
      <c r="R669" s="14">
        <f>_xlfn.LOGNORM.INV($AF669,LN($C$10)-0.5*LN(1+($D$10/$C$10)^2),SQRT(LN(1+($D$10/$C$10)^2)))</f>
        <v/>
      </c>
      <c r="S669" s="14">
        <f>SUM(M669:R669)</f>
        <v/>
      </c>
      <c r="AA669">
        <f>RAND()</f>
        <v/>
      </c>
      <c r="AB669">
        <f>RAND()</f>
        <v/>
      </c>
      <c r="AC669">
        <f>RAND()</f>
        <v/>
      </c>
      <c r="AD669">
        <f>RAND()</f>
        <v/>
      </c>
      <c r="AE669">
        <f>RAND()</f>
        <v/>
      </c>
      <c r="AF669">
        <f>RAND()</f>
        <v/>
      </c>
    </row>
    <row r="670">
      <c r="M670" s="14">
        <f>_xlfn.BETA.INV($AA670,1+4*($D$5-$C$5)/($E$5-$C$5),1+4*($E$5-$D$5)/($E$5-$C$5),$C$5,$E$5)</f>
        <v/>
      </c>
      <c r="N670" s="14">
        <f>IF($AB670&lt;($D$6-$C$6)/($E$6-$C$6),$C$6+SQRT($AB670*($E$6-$C$6)*($D$6-$C$6)),$E$6-SQRT((1-$AB670)*($E$6-$C$6)*($E$6-$D$6)))</f>
        <v/>
      </c>
      <c r="O670" s="14">
        <f>_xlfn.NORM.INV($AC670,$C$7,$D$7)</f>
        <v/>
      </c>
      <c r="P670" s="14">
        <f>$C$8+($D$8-$C$8)*$AD670</f>
        <v/>
      </c>
      <c r="Q670" s="14">
        <f>$C$9</f>
        <v/>
      </c>
      <c r="R670" s="14">
        <f>_xlfn.LOGNORM.INV($AF670,LN($C$10)-0.5*LN(1+($D$10/$C$10)^2),SQRT(LN(1+($D$10/$C$10)^2)))</f>
        <v/>
      </c>
      <c r="S670" s="14">
        <f>SUM(M670:R670)</f>
        <v/>
      </c>
      <c r="AA670">
        <f>RAND()</f>
        <v/>
      </c>
      <c r="AB670">
        <f>RAND()</f>
        <v/>
      </c>
      <c r="AC670">
        <f>RAND()</f>
        <v/>
      </c>
      <c r="AD670">
        <f>RAND()</f>
        <v/>
      </c>
      <c r="AE670">
        <f>RAND()</f>
        <v/>
      </c>
      <c r="AF670">
        <f>RAND()</f>
        <v/>
      </c>
    </row>
    <row r="671">
      <c r="M671" s="14">
        <f>_xlfn.BETA.INV($AA671,1+4*($D$5-$C$5)/($E$5-$C$5),1+4*($E$5-$D$5)/($E$5-$C$5),$C$5,$E$5)</f>
        <v/>
      </c>
      <c r="N671" s="14">
        <f>IF($AB671&lt;($D$6-$C$6)/($E$6-$C$6),$C$6+SQRT($AB671*($E$6-$C$6)*($D$6-$C$6)),$E$6-SQRT((1-$AB671)*($E$6-$C$6)*($E$6-$D$6)))</f>
        <v/>
      </c>
      <c r="O671" s="14">
        <f>_xlfn.NORM.INV($AC671,$C$7,$D$7)</f>
        <v/>
      </c>
      <c r="P671" s="14">
        <f>$C$8+($D$8-$C$8)*$AD671</f>
        <v/>
      </c>
      <c r="Q671" s="14">
        <f>$C$9</f>
        <v/>
      </c>
      <c r="R671" s="14">
        <f>_xlfn.LOGNORM.INV($AF671,LN($C$10)-0.5*LN(1+($D$10/$C$10)^2),SQRT(LN(1+($D$10/$C$10)^2)))</f>
        <v/>
      </c>
      <c r="S671" s="14">
        <f>SUM(M671:R671)</f>
        <v/>
      </c>
      <c r="AA671">
        <f>RAND()</f>
        <v/>
      </c>
      <c r="AB671">
        <f>RAND()</f>
        <v/>
      </c>
      <c r="AC671">
        <f>RAND()</f>
        <v/>
      </c>
      <c r="AD671">
        <f>RAND()</f>
        <v/>
      </c>
      <c r="AE671">
        <f>RAND()</f>
        <v/>
      </c>
      <c r="AF671">
        <f>RAND()</f>
        <v/>
      </c>
    </row>
    <row r="672">
      <c r="M672" s="14">
        <f>_xlfn.BETA.INV($AA672,1+4*($D$5-$C$5)/($E$5-$C$5),1+4*($E$5-$D$5)/($E$5-$C$5),$C$5,$E$5)</f>
        <v/>
      </c>
      <c r="N672" s="14">
        <f>IF($AB672&lt;($D$6-$C$6)/($E$6-$C$6),$C$6+SQRT($AB672*($E$6-$C$6)*($D$6-$C$6)),$E$6-SQRT((1-$AB672)*($E$6-$C$6)*($E$6-$D$6)))</f>
        <v/>
      </c>
      <c r="O672" s="14">
        <f>_xlfn.NORM.INV($AC672,$C$7,$D$7)</f>
        <v/>
      </c>
      <c r="P672" s="14">
        <f>$C$8+($D$8-$C$8)*$AD672</f>
        <v/>
      </c>
      <c r="Q672" s="14">
        <f>$C$9</f>
        <v/>
      </c>
      <c r="R672" s="14">
        <f>_xlfn.LOGNORM.INV($AF672,LN($C$10)-0.5*LN(1+($D$10/$C$10)^2),SQRT(LN(1+($D$10/$C$10)^2)))</f>
        <v/>
      </c>
      <c r="S672" s="14">
        <f>SUM(M672:R672)</f>
        <v/>
      </c>
      <c r="AA672">
        <f>RAND()</f>
        <v/>
      </c>
      <c r="AB672">
        <f>RAND()</f>
        <v/>
      </c>
      <c r="AC672">
        <f>RAND()</f>
        <v/>
      </c>
      <c r="AD672">
        <f>RAND()</f>
        <v/>
      </c>
      <c r="AE672">
        <f>RAND()</f>
        <v/>
      </c>
      <c r="AF672">
        <f>RAND()</f>
        <v/>
      </c>
    </row>
    <row r="673">
      <c r="M673" s="14">
        <f>_xlfn.BETA.INV($AA673,1+4*($D$5-$C$5)/($E$5-$C$5),1+4*($E$5-$D$5)/($E$5-$C$5),$C$5,$E$5)</f>
        <v/>
      </c>
      <c r="N673" s="14">
        <f>IF($AB673&lt;($D$6-$C$6)/($E$6-$C$6),$C$6+SQRT($AB673*($E$6-$C$6)*($D$6-$C$6)),$E$6-SQRT((1-$AB673)*($E$6-$C$6)*($E$6-$D$6)))</f>
        <v/>
      </c>
      <c r="O673" s="14">
        <f>_xlfn.NORM.INV($AC673,$C$7,$D$7)</f>
        <v/>
      </c>
      <c r="P673" s="14">
        <f>$C$8+($D$8-$C$8)*$AD673</f>
        <v/>
      </c>
      <c r="Q673" s="14">
        <f>$C$9</f>
        <v/>
      </c>
      <c r="R673" s="14">
        <f>_xlfn.LOGNORM.INV($AF673,LN($C$10)-0.5*LN(1+($D$10/$C$10)^2),SQRT(LN(1+($D$10/$C$10)^2)))</f>
        <v/>
      </c>
      <c r="S673" s="14">
        <f>SUM(M673:R673)</f>
        <v/>
      </c>
      <c r="AA673">
        <f>RAND()</f>
        <v/>
      </c>
      <c r="AB673">
        <f>RAND()</f>
        <v/>
      </c>
      <c r="AC673">
        <f>RAND()</f>
        <v/>
      </c>
      <c r="AD673">
        <f>RAND()</f>
        <v/>
      </c>
      <c r="AE673">
        <f>RAND()</f>
        <v/>
      </c>
      <c r="AF673">
        <f>RAND()</f>
        <v/>
      </c>
    </row>
    <row r="674">
      <c r="M674" s="14">
        <f>_xlfn.BETA.INV($AA674,1+4*($D$5-$C$5)/($E$5-$C$5),1+4*($E$5-$D$5)/($E$5-$C$5),$C$5,$E$5)</f>
        <v/>
      </c>
      <c r="N674" s="14">
        <f>IF($AB674&lt;($D$6-$C$6)/($E$6-$C$6),$C$6+SQRT($AB674*($E$6-$C$6)*($D$6-$C$6)),$E$6-SQRT((1-$AB674)*($E$6-$C$6)*($E$6-$D$6)))</f>
        <v/>
      </c>
      <c r="O674" s="14">
        <f>_xlfn.NORM.INV($AC674,$C$7,$D$7)</f>
        <v/>
      </c>
      <c r="P674" s="14">
        <f>$C$8+($D$8-$C$8)*$AD674</f>
        <v/>
      </c>
      <c r="Q674" s="14">
        <f>$C$9</f>
        <v/>
      </c>
      <c r="R674" s="14">
        <f>_xlfn.LOGNORM.INV($AF674,LN($C$10)-0.5*LN(1+($D$10/$C$10)^2),SQRT(LN(1+($D$10/$C$10)^2)))</f>
        <v/>
      </c>
      <c r="S674" s="14">
        <f>SUM(M674:R674)</f>
        <v/>
      </c>
      <c r="AA674">
        <f>RAND()</f>
        <v/>
      </c>
      <c r="AB674">
        <f>RAND()</f>
        <v/>
      </c>
      <c r="AC674">
        <f>RAND()</f>
        <v/>
      </c>
      <c r="AD674">
        <f>RAND()</f>
        <v/>
      </c>
      <c r="AE674">
        <f>RAND()</f>
        <v/>
      </c>
      <c r="AF674">
        <f>RAND()</f>
        <v/>
      </c>
    </row>
    <row r="675">
      <c r="M675" s="14">
        <f>_xlfn.BETA.INV($AA675,1+4*($D$5-$C$5)/($E$5-$C$5),1+4*($E$5-$D$5)/($E$5-$C$5),$C$5,$E$5)</f>
        <v/>
      </c>
      <c r="N675" s="14">
        <f>IF($AB675&lt;($D$6-$C$6)/($E$6-$C$6),$C$6+SQRT($AB675*($E$6-$C$6)*($D$6-$C$6)),$E$6-SQRT((1-$AB675)*($E$6-$C$6)*($E$6-$D$6)))</f>
        <v/>
      </c>
      <c r="O675" s="14">
        <f>_xlfn.NORM.INV($AC675,$C$7,$D$7)</f>
        <v/>
      </c>
      <c r="P675" s="14">
        <f>$C$8+($D$8-$C$8)*$AD675</f>
        <v/>
      </c>
      <c r="Q675" s="14">
        <f>$C$9</f>
        <v/>
      </c>
      <c r="R675" s="14">
        <f>_xlfn.LOGNORM.INV($AF675,LN($C$10)-0.5*LN(1+($D$10/$C$10)^2),SQRT(LN(1+($D$10/$C$10)^2)))</f>
        <v/>
      </c>
      <c r="S675" s="14">
        <f>SUM(M675:R675)</f>
        <v/>
      </c>
      <c r="AA675">
        <f>RAND()</f>
        <v/>
      </c>
      <c r="AB675">
        <f>RAND()</f>
        <v/>
      </c>
      <c r="AC675">
        <f>RAND()</f>
        <v/>
      </c>
      <c r="AD675">
        <f>RAND()</f>
        <v/>
      </c>
      <c r="AE675">
        <f>RAND()</f>
        <v/>
      </c>
      <c r="AF675">
        <f>RAND()</f>
        <v/>
      </c>
    </row>
    <row r="676">
      <c r="M676" s="14">
        <f>_xlfn.BETA.INV($AA676,1+4*($D$5-$C$5)/($E$5-$C$5),1+4*($E$5-$D$5)/($E$5-$C$5),$C$5,$E$5)</f>
        <v/>
      </c>
      <c r="N676" s="14">
        <f>IF($AB676&lt;($D$6-$C$6)/($E$6-$C$6),$C$6+SQRT($AB676*($E$6-$C$6)*($D$6-$C$6)),$E$6-SQRT((1-$AB676)*($E$6-$C$6)*($E$6-$D$6)))</f>
        <v/>
      </c>
      <c r="O676" s="14">
        <f>_xlfn.NORM.INV($AC676,$C$7,$D$7)</f>
        <v/>
      </c>
      <c r="P676" s="14">
        <f>$C$8+($D$8-$C$8)*$AD676</f>
        <v/>
      </c>
      <c r="Q676" s="14">
        <f>$C$9</f>
        <v/>
      </c>
      <c r="R676" s="14">
        <f>_xlfn.LOGNORM.INV($AF676,LN($C$10)-0.5*LN(1+($D$10/$C$10)^2),SQRT(LN(1+($D$10/$C$10)^2)))</f>
        <v/>
      </c>
      <c r="S676" s="14">
        <f>SUM(M676:R676)</f>
        <v/>
      </c>
      <c r="AA676">
        <f>RAND()</f>
        <v/>
      </c>
      <c r="AB676">
        <f>RAND()</f>
        <v/>
      </c>
      <c r="AC676">
        <f>RAND()</f>
        <v/>
      </c>
      <c r="AD676">
        <f>RAND()</f>
        <v/>
      </c>
      <c r="AE676">
        <f>RAND()</f>
        <v/>
      </c>
      <c r="AF676">
        <f>RAND()</f>
        <v/>
      </c>
    </row>
    <row r="677">
      <c r="M677" s="14">
        <f>_xlfn.BETA.INV($AA677,1+4*($D$5-$C$5)/($E$5-$C$5),1+4*($E$5-$D$5)/($E$5-$C$5),$C$5,$E$5)</f>
        <v/>
      </c>
      <c r="N677" s="14">
        <f>IF($AB677&lt;($D$6-$C$6)/($E$6-$C$6),$C$6+SQRT($AB677*($E$6-$C$6)*($D$6-$C$6)),$E$6-SQRT((1-$AB677)*($E$6-$C$6)*($E$6-$D$6)))</f>
        <v/>
      </c>
      <c r="O677" s="14">
        <f>_xlfn.NORM.INV($AC677,$C$7,$D$7)</f>
        <v/>
      </c>
      <c r="P677" s="14">
        <f>$C$8+($D$8-$C$8)*$AD677</f>
        <v/>
      </c>
      <c r="Q677" s="14">
        <f>$C$9</f>
        <v/>
      </c>
      <c r="R677" s="14">
        <f>_xlfn.LOGNORM.INV($AF677,LN($C$10)-0.5*LN(1+($D$10/$C$10)^2),SQRT(LN(1+($D$10/$C$10)^2)))</f>
        <v/>
      </c>
      <c r="S677" s="14">
        <f>SUM(M677:R677)</f>
        <v/>
      </c>
      <c r="AA677">
        <f>RAND()</f>
        <v/>
      </c>
      <c r="AB677">
        <f>RAND()</f>
        <v/>
      </c>
      <c r="AC677">
        <f>RAND()</f>
        <v/>
      </c>
      <c r="AD677">
        <f>RAND()</f>
        <v/>
      </c>
      <c r="AE677">
        <f>RAND()</f>
        <v/>
      </c>
      <c r="AF677">
        <f>RAND()</f>
        <v/>
      </c>
    </row>
    <row r="678">
      <c r="M678" s="14">
        <f>_xlfn.BETA.INV($AA678,1+4*($D$5-$C$5)/($E$5-$C$5),1+4*($E$5-$D$5)/($E$5-$C$5),$C$5,$E$5)</f>
        <v/>
      </c>
      <c r="N678" s="14">
        <f>IF($AB678&lt;($D$6-$C$6)/($E$6-$C$6),$C$6+SQRT($AB678*($E$6-$C$6)*($D$6-$C$6)),$E$6-SQRT((1-$AB678)*($E$6-$C$6)*($E$6-$D$6)))</f>
        <v/>
      </c>
      <c r="O678" s="14">
        <f>_xlfn.NORM.INV($AC678,$C$7,$D$7)</f>
        <v/>
      </c>
      <c r="P678" s="14">
        <f>$C$8+($D$8-$C$8)*$AD678</f>
        <v/>
      </c>
      <c r="Q678" s="14">
        <f>$C$9</f>
        <v/>
      </c>
      <c r="R678" s="14">
        <f>_xlfn.LOGNORM.INV($AF678,LN($C$10)-0.5*LN(1+($D$10/$C$10)^2),SQRT(LN(1+($D$10/$C$10)^2)))</f>
        <v/>
      </c>
      <c r="S678" s="14">
        <f>SUM(M678:R678)</f>
        <v/>
      </c>
      <c r="AA678">
        <f>RAND()</f>
        <v/>
      </c>
      <c r="AB678">
        <f>RAND()</f>
        <v/>
      </c>
      <c r="AC678">
        <f>RAND()</f>
        <v/>
      </c>
      <c r="AD678">
        <f>RAND()</f>
        <v/>
      </c>
      <c r="AE678">
        <f>RAND()</f>
        <v/>
      </c>
      <c r="AF678">
        <f>RAND()</f>
        <v/>
      </c>
    </row>
    <row r="679">
      <c r="M679" s="14">
        <f>_xlfn.BETA.INV($AA679,1+4*($D$5-$C$5)/($E$5-$C$5),1+4*($E$5-$D$5)/($E$5-$C$5),$C$5,$E$5)</f>
        <v/>
      </c>
      <c r="N679" s="14">
        <f>IF($AB679&lt;($D$6-$C$6)/($E$6-$C$6),$C$6+SQRT($AB679*($E$6-$C$6)*($D$6-$C$6)),$E$6-SQRT((1-$AB679)*($E$6-$C$6)*($E$6-$D$6)))</f>
        <v/>
      </c>
      <c r="O679" s="14">
        <f>_xlfn.NORM.INV($AC679,$C$7,$D$7)</f>
        <v/>
      </c>
      <c r="P679" s="14">
        <f>$C$8+($D$8-$C$8)*$AD679</f>
        <v/>
      </c>
      <c r="Q679" s="14">
        <f>$C$9</f>
        <v/>
      </c>
      <c r="R679" s="14">
        <f>_xlfn.LOGNORM.INV($AF679,LN($C$10)-0.5*LN(1+($D$10/$C$10)^2),SQRT(LN(1+($D$10/$C$10)^2)))</f>
        <v/>
      </c>
      <c r="S679" s="14">
        <f>SUM(M679:R679)</f>
        <v/>
      </c>
      <c r="AA679">
        <f>RAND()</f>
        <v/>
      </c>
      <c r="AB679">
        <f>RAND()</f>
        <v/>
      </c>
      <c r="AC679">
        <f>RAND()</f>
        <v/>
      </c>
      <c r="AD679">
        <f>RAND()</f>
        <v/>
      </c>
      <c r="AE679">
        <f>RAND()</f>
        <v/>
      </c>
      <c r="AF679">
        <f>RAND()</f>
        <v/>
      </c>
    </row>
    <row r="680">
      <c r="M680" s="14">
        <f>_xlfn.BETA.INV($AA680,1+4*($D$5-$C$5)/($E$5-$C$5),1+4*($E$5-$D$5)/($E$5-$C$5),$C$5,$E$5)</f>
        <v/>
      </c>
      <c r="N680" s="14">
        <f>IF($AB680&lt;($D$6-$C$6)/($E$6-$C$6),$C$6+SQRT($AB680*($E$6-$C$6)*($D$6-$C$6)),$E$6-SQRT((1-$AB680)*($E$6-$C$6)*($E$6-$D$6)))</f>
        <v/>
      </c>
      <c r="O680" s="14">
        <f>_xlfn.NORM.INV($AC680,$C$7,$D$7)</f>
        <v/>
      </c>
      <c r="P680" s="14">
        <f>$C$8+($D$8-$C$8)*$AD680</f>
        <v/>
      </c>
      <c r="Q680" s="14">
        <f>$C$9</f>
        <v/>
      </c>
      <c r="R680" s="14">
        <f>_xlfn.LOGNORM.INV($AF680,LN($C$10)-0.5*LN(1+($D$10/$C$10)^2),SQRT(LN(1+($D$10/$C$10)^2)))</f>
        <v/>
      </c>
      <c r="S680" s="14">
        <f>SUM(M680:R680)</f>
        <v/>
      </c>
      <c r="AA680">
        <f>RAND()</f>
        <v/>
      </c>
      <c r="AB680">
        <f>RAND()</f>
        <v/>
      </c>
      <c r="AC680">
        <f>RAND()</f>
        <v/>
      </c>
      <c r="AD680">
        <f>RAND()</f>
        <v/>
      </c>
      <c r="AE680">
        <f>RAND()</f>
        <v/>
      </c>
      <c r="AF680">
        <f>RAND()</f>
        <v/>
      </c>
    </row>
    <row r="681">
      <c r="M681" s="14">
        <f>_xlfn.BETA.INV($AA681,1+4*($D$5-$C$5)/($E$5-$C$5),1+4*($E$5-$D$5)/($E$5-$C$5),$C$5,$E$5)</f>
        <v/>
      </c>
      <c r="N681" s="14">
        <f>IF($AB681&lt;($D$6-$C$6)/($E$6-$C$6),$C$6+SQRT($AB681*($E$6-$C$6)*($D$6-$C$6)),$E$6-SQRT((1-$AB681)*($E$6-$C$6)*($E$6-$D$6)))</f>
        <v/>
      </c>
      <c r="O681" s="14">
        <f>_xlfn.NORM.INV($AC681,$C$7,$D$7)</f>
        <v/>
      </c>
      <c r="P681" s="14">
        <f>$C$8+($D$8-$C$8)*$AD681</f>
        <v/>
      </c>
      <c r="Q681" s="14">
        <f>$C$9</f>
        <v/>
      </c>
      <c r="R681" s="14">
        <f>_xlfn.LOGNORM.INV($AF681,LN($C$10)-0.5*LN(1+($D$10/$C$10)^2),SQRT(LN(1+($D$10/$C$10)^2)))</f>
        <v/>
      </c>
      <c r="S681" s="14">
        <f>SUM(M681:R681)</f>
        <v/>
      </c>
      <c r="AA681">
        <f>RAND()</f>
        <v/>
      </c>
      <c r="AB681">
        <f>RAND()</f>
        <v/>
      </c>
      <c r="AC681">
        <f>RAND()</f>
        <v/>
      </c>
      <c r="AD681">
        <f>RAND()</f>
        <v/>
      </c>
      <c r="AE681">
        <f>RAND()</f>
        <v/>
      </c>
      <c r="AF681">
        <f>RAND()</f>
        <v/>
      </c>
    </row>
    <row r="682">
      <c r="M682" s="14">
        <f>_xlfn.BETA.INV($AA682,1+4*($D$5-$C$5)/($E$5-$C$5),1+4*($E$5-$D$5)/($E$5-$C$5),$C$5,$E$5)</f>
        <v/>
      </c>
      <c r="N682" s="14">
        <f>IF($AB682&lt;($D$6-$C$6)/($E$6-$C$6),$C$6+SQRT($AB682*($E$6-$C$6)*($D$6-$C$6)),$E$6-SQRT((1-$AB682)*($E$6-$C$6)*($E$6-$D$6)))</f>
        <v/>
      </c>
      <c r="O682" s="14">
        <f>_xlfn.NORM.INV($AC682,$C$7,$D$7)</f>
        <v/>
      </c>
      <c r="P682" s="14">
        <f>$C$8+($D$8-$C$8)*$AD682</f>
        <v/>
      </c>
      <c r="Q682" s="14">
        <f>$C$9</f>
        <v/>
      </c>
      <c r="R682" s="14">
        <f>_xlfn.LOGNORM.INV($AF682,LN($C$10)-0.5*LN(1+($D$10/$C$10)^2),SQRT(LN(1+($D$10/$C$10)^2)))</f>
        <v/>
      </c>
      <c r="S682" s="14">
        <f>SUM(M682:R682)</f>
        <v/>
      </c>
      <c r="AA682">
        <f>RAND()</f>
        <v/>
      </c>
      <c r="AB682">
        <f>RAND()</f>
        <v/>
      </c>
      <c r="AC682">
        <f>RAND()</f>
        <v/>
      </c>
      <c r="AD682">
        <f>RAND()</f>
        <v/>
      </c>
      <c r="AE682">
        <f>RAND()</f>
        <v/>
      </c>
      <c r="AF682">
        <f>RAND()</f>
        <v/>
      </c>
    </row>
    <row r="683">
      <c r="M683" s="14">
        <f>_xlfn.BETA.INV($AA683,1+4*($D$5-$C$5)/($E$5-$C$5),1+4*($E$5-$D$5)/($E$5-$C$5),$C$5,$E$5)</f>
        <v/>
      </c>
      <c r="N683" s="14">
        <f>IF($AB683&lt;($D$6-$C$6)/($E$6-$C$6),$C$6+SQRT($AB683*($E$6-$C$6)*($D$6-$C$6)),$E$6-SQRT((1-$AB683)*($E$6-$C$6)*($E$6-$D$6)))</f>
        <v/>
      </c>
      <c r="O683" s="14">
        <f>_xlfn.NORM.INV($AC683,$C$7,$D$7)</f>
        <v/>
      </c>
      <c r="P683" s="14">
        <f>$C$8+($D$8-$C$8)*$AD683</f>
        <v/>
      </c>
      <c r="Q683" s="14">
        <f>$C$9</f>
        <v/>
      </c>
      <c r="R683" s="14">
        <f>_xlfn.LOGNORM.INV($AF683,LN($C$10)-0.5*LN(1+($D$10/$C$10)^2),SQRT(LN(1+($D$10/$C$10)^2)))</f>
        <v/>
      </c>
      <c r="S683" s="14">
        <f>SUM(M683:R683)</f>
        <v/>
      </c>
      <c r="AA683">
        <f>RAND()</f>
        <v/>
      </c>
      <c r="AB683">
        <f>RAND()</f>
        <v/>
      </c>
      <c r="AC683">
        <f>RAND()</f>
        <v/>
      </c>
      <c r="AD683">
        <f>RAND()</f>
        <v/>
      </c>
      <c r="AE683">
        <f>RAND()</f>
        <v/>
      </c>
      <c r="AF683">
        <f>RAND()</f>
        <v/>
      </c>
    </row>
    <row r="684">
      <c r="M684" s="14">
        <f>_xlfn.BETA.INV($AA684,1+4*($D$5-$C$5)/($E$5-$C$5),1+4*($E$5-$D$5)/($E$5-$C$5),$C$5,$E$5)</f>
        <v/>
      </c>
      <c r="N684" s="14">
        <f>IF($AB684&lt;($D$6-$C$6)/($E$6-$C$6),$C$6+SQRT($AB684*($E$6-$C$6)*($D$6-$C$6)),$E$6-SQRT((1-$AB684)*($E$6-$C$6)*($E$6-$D$6)))</f>
        <v/>
      </c>
      <c r="O684" s="14">
        <f>_xlfn.NORM.INV($AC684,$C$7,$D$7)</f>
        <v/>
      </c>
      <c r="P684" s="14">
        <f>$C$8+($D$8-$C$8)*$AD684</f>
        <v/>
      </c>
      <c r="Q684" s="14">
        <f>$C$9</f>
        <v/>
      </c>
      <c r="R684" s="14">
        <f>_xlfn.LOGNORM.INV($AF684,LN($C$10)-0.5*LN(1+($D$10/$C$10)^2),SQRT(LN(1+($D$10/$C$10)^2)))</f>
        <v/>
      </c>
      <c r="S684" s="14">
        <f>SUM(M684:R684)</f>
        <v/>
      </c>
      <c r="AA684">
        <f>RAND()</f>
        <v/>
      </c>
      <c r="AB684">
        <f>RAND()</f>
        <v/>
      </c>
      <c r="AC684">
        <f>RAND()</f>
        <v/>
      </c>
      <c r="AD684">
        <f>RAND()</f>
        <v/>
      </c>
      <c r="AE684">
        <f>RAND()</f>
        <v/>
      </c>
      <c r="AF684">
        <f>RAND()</f>
        <v/>
      </c>
    </row>
    <row r="685">
      <c r="M685" s="14">
        <f>_xlfn.BETA.INV($AA685,1+4*($D$5-$C$5)/($E$5-$C$5),1+4*($E$5-$D$5)/($E$5-$C$5),$C$5,$E$5)</f>
        <v/>
      </c>
      <c r="N685" s="14">
        <f>IF($AB685&lt;($D$6-$C$6)/($E$6-$C$6),$C$6+SQRT($AB685*($E$6-$C$6)*($D$6-$C$6)),$E$6-SQRT((1-$AB685)*($E$6-$C$6)*($E$6-$D$6)))</f>
        <v/>
      </c>
      <c r="O685" s="14">
        <f>_xlfn.NORM.INV($AC685,$C$7,$D$7)</f>
        <v/>
      </c>
      <c r="P685" s="14">
        <f>$C$8+($D$8-$C$8)*$AD685</f>
        <v/>
      </c>
      <c r="Q685" s="14">
        <f>$C$9</f>
        <v/>
      </c>
      <c r="R685" s="14">
        <f>_xlfn.LOGNORM.INV($AF685,LN($C$10)-0.5*LN(1+($D$10/$C$10)^2),SQRT(LN(1+($D$10/$C$10)^2)))</f>
        <v/>
      </c>
      <c r="S685" s="14">
        <f>SUM(M685:R685)</f>
        <v/>
      </c>
      <c r="AA685">
        <f>RAND()</f>
        <v/>
      </c>
      <c r="AB685">
        <f>RAND()</f>
        <v/>
      </c>
      <c r="AC685">
        <f>RAND()</f>
        <v/>
      </c>
      <c r="AD685">
        <f>RAND()</f>
        <v/>
      </c>
      <c r="AE685">
        <f>RAND()</f>
        <v/>
      </c>
      <c r="AF685">
        <f>RAND()</f>
        <v/>
      </c>
    </row>
    <row r="686">
      <c r="M686" s="14">
        <f>_xlfn.BETA.INV($AA686,1+4*($D$5-$C$5)/($E$5-$C$5),1+4*($E$5-$D$5)/($E$5-$C$5),$C$5,$E$5)</f>
        <v/>
      </c>
      <c r="N686" s="14">
        <f>IF($AB686&lt;($D$6-$C$6)/($E$6-$C$6),$C$6+SQRT($AB686*($E$6-$C$6)*($D$6-$C$6)),$E$6-SQRT((1-$AB686)*($E$6-$C$6)*($E$6-$D$6)))</f>
        <v/>
      </c>
      <c r="O686" s="14">
        <f>_xlfn.NORM.INV($AC686,$C$7,$D$7)</f>
        <v/>
      </c>
      <c r="P686" s="14">
        <f>$C$8+($D$8-$C$8)*$AD686</f>
        <v/>
      </c>
      <c r="Q686" s="14">
        <f>$C$9</f>
        <v/>
      </c>
      <c r="R686" s="14">
        <f>_xlfn.LOGNORM.INV($AF686,LN($C$10)-0.5*LN(1+($D$10/$C$10)^2),SQRT(LN(1+($D$10/$C$10)^2)))</f>
        <v/>
      </c>
      <c r="S686" s="14">
        <f>SUM(M686:R686)</f>
        <v/>
      </c>
      <c r="AA686">
        <f>RAND()</f>
        <v/>
      </c>
      <c r="AB686">
        <f>RAND()</f>
        <v/>
      </c>
      <c r="AC686">
        <f>RAND()</f>
        <v/>
      </c>
      <c r="AD686">
        <f>RAND()</f>
        <v/>
      </c>
      <c r="AE686">
        <f>RAND()</f>
        <v/>
      </c>
      <c r="AF686">
        <f>RAND()</f>
        <v/>
      </c>
    </row>
    <row r="687">
      <c r="M687" s="14">
        <f>_xlfn.BETA.INV($AA687,1+4*($D$5-$C$5)/($E$5-$C$5),1+4*($E$5-$D$5)/($E$5-$C$5),$C$5,$E$5)</f>
        <v/>
      </c>
      <c r="N687" s="14">
        <f>IF($AB687&lt;($D$6-$C$6)/($E$6-$C$6),$C$6+SQRT($AB687*($E$6-$C$6)*($D$6-$C$6)),$E$6-SQRT((1-$AB687)*($E$6-$C$6)*($E$6-$D$6)))</f>
        <v/>
      </c>
      <c r="O687" s="14">
        <f>_xlfn.NORM.INV($AC687,$C$7,$D$7)</f>
        <v/>
      </c>
      <c r="P687" s="14">
        <f>$C$8+($D$8-$C$8)*$AD687</f>
        <v/>
      </c>
      <c r="Q687" s="14">
        <f>$C$9</f>
        <v/>
      </c>
      <c r="R687" s="14">
        <f>_xlfn.LOGNORM.INV($AF687,LN($C$10)-0.5*LN(1+($D$10/$C$10)^2),SQRT(LN(1+($D$10/$C$10)^2)))</f>
        <v/>
      </c>
      <c r="S687" s="14">
        <f>SUM(M687:R687)</f>
        <v/>
      </c>
      <c r="AA687">
        <f>RAND()</f>
        <v/>
      </c>
      <c r="AB687">
        <f>RAND()</f>
        <v/>
      </c>
      <c r="AC687">
        <f>RAND()</f>
        <v/>
      </c>
      <c r="AD687">
        <f>RAND()</f>
        <v/>
      </c>
      <c r="AE687">
        <f>RAND()</f>
        <v/>
      </c>
      <c r="AF687">
        <f>RAND()</f>
        <v/>
      </c>
    </row>
    <row r="688">
      <c r="M688" s="14">
        <f>_xlfn.BETA.INV($AA688,1+4*($D$5-$C$5)/($E$5-$C$5),1+4*($E$5-$D$5)/($E$5-$C$5),$C$5,$E$5)</f>
        <v/>
      </c>
      <c r="N688" s="14">
        <f>IF($AB688&lt;($D$6-$C$6)/($E$6-$C$6),$C$6+SQRT($AB688*($E$6-$C$6)*($D$6-$C$6)),$E$6-SQRT((1-$AB688)*($E$6-$C$6)*($E$6-$D$6)))</f>
        <v/>
      </c>
      <c r="O688" s="14">
        <f>_xlfn.NORM.INV($AC688,$C$7,$D$7)</f>
        <v/>
      </c>
      <c r="P688" s="14">
        <f>$C$8+($D$8-$C$8)*$AD688</f>
        <v/>
      </c>
      <c r="Q688" s="14">
        <f>$C$9</f>
        <v/>
      </c>
      <c r="R688" s="14">
        <f>_xlfn.LOGNORM.INV($AF688,LN($C$10)-0.5*LN(1+($D$10/$C$10)^2),SQRT(LN(1+($D$10/$C$10)^2)))</f>
        <v/>
      </c>
      <c r="S688" s="14">
        <f>SUM(M688:R688)</f>
        <v/>
      </c>
      <c r="AA688">
        <f>RAND()</f>
        <v/>
      </c>
      <c r="AB688">
        <f>RAND()</f>
        <v/>
      </c>
      <c r="AC688">
        <f>RAND()</f>
        <v/>
      </c>
      <c r="AD688">
        <f>RAND()</f>
        <v/>
      </c>
      <c r="AE688">
        <f>RAND()</f>
        <v/>
      </c>
      <c r="AF688">
        <f>RAND()</f>
        <v/>
      </c>
    </row>
    <row r="689">
      <c r="M689" s="14">
        <f>_xlfn.BETA.INV($AA689,1+4*($D$5-$C$5)/($E$5-$C$5),1+4*($E$5-$D$5)/($E$5-$C$5),$C$5,$E$5)</f>
        <v/>
      </c>
      <c r="N689" s="14">
        <f>IF($AB689&lt;($D$6-$C$6)/($E$6-$C$6),$C$6+SQRT($AB689*($E$6-$C$6)*($D$6-$C$6)),$E$6-SQRT((1-$AB689)*($E$6-$C$6)*($E$6-$D$6)))</f>
        <v/>
      </c>
      <c r="O689" s="14">
        <f>_xlfn.NORM.INV($AC689,$C$7,$D$7)</f>
        <v/>
      </c>
      <c r="P689" s="14">
        <f>$C$8+($D$8-$C$8)*$AD689</f>
        <v/>
      </c>
      <c r="Q689" s="14">
        <f>$C$9</f>
        <v/>
      </c>
      <c r="R689" s="14">
        <f>_xlfn.LOGNORM.INV($AF689,LN($C$10)-0.5*LN(1+($D$10/$C$10)^2),SQRT(LN(1+($D$10/$C$10)^2)))</f>
        <v/>
      </c>
      <c r="S689" s="14">
        <f>SUM(M689:R689)</f>
        <v/>
      </c>
      <c r="AA689">
        <f>RAND()</f>
        <v/>
      </c>
      <c r="AB689">
        <f>RAND()</f>
        <v/>
      </c>
      <c r="AC689">
        <f>RAND()</f>
        <v/>
      </c>
      <c r="AD689">
        <f>RAND()</f>
        <v/>
      </c>
      <c r="AE689">
        <f>RAND()</f>
        <v/>
      </c>
      <c r="AF689">
        <f>RAND()</f>
        <v/>
      </c>
    </row>
    <row r="690">
      <c r="M690" s="14">
        <f>_xlfn.BETA.INV($AA690,1+4*($D$5-$C$5)/($E$5-$C$5),1+4*($E$5-$D$5)/($E$5-$C$5),$C$5,$E$5)</f>
        <v/>
      </c>
      <c r="N690" s="14">
        <f>IF($AB690&lt;($D$6-$C$6)/($E$6-$C$6),$C$6+SQRT($AB690*($E$6-$C$6)*($D$6-$C$6)),$E$6-SQRT((1-$AB690)*($E$6-$C$6)*($E$6-$D$6)))</f>
        <v/>
      </c>
      <c r="O690" s="14">
        <f>_xlfn.NORM.INV($AC690,$C$7,$D$7)</f>
        <v/>
      </c>
      <c r="P690" s="14">
        <f>$C$8+($D$8-$C$8)*$AD690</f>
        <v/>
      </c>
      <c r="Q690" s="14">
        <f>$C$9</f>
        <v/>
      </c>
      <c r="R690" s="14">
        <f>_xlfn.LOGNORM.INV($AF690,LN($C$10)-0.5*LN(1+($D$10/$C$10)^2),SQRT(LN(1+($D$10/$C$10)^2)))</f>
        <v/>
      </c>
      <c r="S690" s="14">
        <f>SUM(M690:R690)</f>
        <v/>
      </c>
      <c r="AA690">
        <f>RAND()</f>
        <v/>
      </c>
      <c r="AB690">
        <f>RAND()</f>
        <v/>
      </c>
      <c r="AC690">
        <f>RAND()</f>
        <v/>
      </c>
      <c r="AD690">
        <f>RAND()</f>
        <v/>
      </c>
      <c r="AE690">
        <f>RAND()</f>
        <v/>
      </c>
      <c r="AF690">
        <f>RAND()</f>
        <v/>
      </c>
    </row>
    <row r="691">
      <c r="M691" s="14">
        <f>_xlfn.BETA.INV($AA691,1+4*($D$5-$C$5)/($E$5-$C$5),1+4*($E$5-$D$5)/($E$5-$C$5),$C$5,$E$5)</f>
        <v/>
      </c>
      <c r="N691" s="14">
        <f>IF($AB691&lt;($D$6-$C$6)/($E$6-$C$6),$C$6+SQRT($AB691*($E$6-$C$6)*($D$6-$C$6)),$E$6-SQRT((1-$AB691)*($E$6-$C$6)*($E$6-$D$6)))</f>
        <v/>
      </c>
      <c r="O691" s="14">
        <f>_xlfn.NORM.INV($AC691,$C$7,$D$7)</f>
        <v/>
      </c>
      <c r="P691" s="14">
        <f>$C$8+($D$8-$C$8)*$AD691</f>
        <v/>
      </c>
      <c r="Q691" s="14">
        <f>$C$9</f>
        <v/>
      </c>
      <c r="R691" s="14">
        <f>_xlfn.LOGNORM.INV($AF691,LN($C$10)-0.5*LN(1+($D$10/$C$10)^2),SQRT(LN(1+($D$10/$C$10)^2)))</f>
        <v/>
      </c>
      <c r="S691" s="14">
        <f>SUM(M691:R691)</f>
        <v/>
      </c>
      <c r="AA691">
        <f>RAND()</f>
        <v/>
      </c>
      <c r="AB691">
        <f>RAND()</f>
        <v/>
      </c>
      <c r="AC691">
        <f>RAND()</f>
        <v/>
      </c>
      <c r="AD691">
        <f>RAND()</f>
        <v/>
      </c>
      <c r="AE691">
        <f>RAND()</f>
        <v/>
      </c>
      <c r="AF691">
        <f>RAND()</f>
        <v/>
      </c>
    </row>
    <row r="692">
      <c r="M692" s="14">
        <f>_xlfn.BETA.INV($AA692,1+4*($D$5-$C$5)/($E$5-$C$5),1+4*($E$5-$D$5)/($E$5-$C$5),$C$5,$E$5)</f>
        <v/>
      </c>
      <c r="N692" s="14">
        <f>IF($AB692&lt;($D$6-$C$6)/($E$6-$C$6),$C$6+SQRT($AB692*($E$6-$C$6)*($D$6-$C$6)),$E$6-SQRT((1-$AB692)*($E$6-$C$6)*($E$6-$D$6)))</f>
        <v/>
      </c>
      <c r="O692" s="14">
        <f>_xlfn.NORM.INV($AC692,$C$7,$D$7)</f>
        <v/>
      </c>
      <c r="P692" s="14">
        <f>$C$8+($D$8-$C$8)*$AD692</f>
        <v/>
      </c>
      <c r="Q692" s="14">
        <f>$C$9</f>
        <v/>
      </c>
      <c r="R692" s="14">
        <f>_xlfn.LOGNORM.INV($AF692,LN($C$10)-0.5*LN(1+($D$10/$C$10)^2),SQRT(LN(1+($D$10/$C$10)^2)))</f>
        <v/>
      </c>
      <c r="S692" s="14">
        <f>SUM(M692:R692)</f>
        <v/>
      </c>
      <c r="AA692">
        <f>RAND()</f>
        <v/>
      </c>
      <c r="AB692">
        <f>RAND()</f>
        <v/>
      </c>
      <c r="AC692">
        <f>RAND()</f>
        <v/>
      </c>
      <c r="AD692">
        <f>RAND()</f>
        <v/>
      </c>
      <c r="AE692">
        <f>RAND()</f>
        <v/>
      </c>
      <c r="AF692">
        <f>RAND()</f>
        <v/>
      </c>
    </row>
    <row r="693">
      <c r="M693" s="14">
        <f>_xlfn.BETA.INV($AA693,1+4*($D$5-$C$5)/($E$5-$C$5),1+4*($E$5-$D$5)/($E$5-$C$5),$C$5,$E$5)</f>
        <v/>
      </c>
      <c r="N693" s="14">
        <f>IF($AB693&lt;($D$6-$C$6)/($E$6-$C$6),$C$6+SQRT($AB693*($E$6-$C$6)*($D$6-$C$6)),$E$6-SQRT((1-$AB693)*($E$6-$C$6)*($E$6-$D$6)))</f>
        <v/>
      </c>
      <c r="O693" s="14">
        <f>_xlfn.NORM.INV($AC693,$C$7,$D$7)</f>
        <v/>
      </c>
      <c r="P693" s="14">
        <f>$C$8+($D$8-$C$8)*$AD693</f>
        <v/>
      </c>
      <c r="Q693" s="14">
        <f>$C$9</f>
        <v/>
      </c>
      <c r="R693" s="14">
        <f>_xlfn.LOGNORM.INV($AF693,LN($C$10)-0.5*LN(1+($D$10/$C$10)^2),SQRT(LN(1+($D$10/$C$10)^2)))</f>
        <v/>
      </c>
      <c r="S693" s="14">
        <f>SUM(M693:R693)</f>
        <v/>
      </c>
      <c r="AA693">
        <f>RAND()</f>
        <v/>
      </c>
      <c r="AB693">
        <f>RAND()</f>
        <v/>
      </c>
      <c r="AC693">
        <f>RAND()</f>
        <v/>
      </c>
      <c r="AD693">
        <f>RAND()</f>
        <v/>
      </c>
      <c r="AE693">
        <f>RAND()</f>
        <v/>
      </c>
      <c r="AF693">
        <f>RAND()</f>
        <v/>
      </c>
    </row>
    <row r="694">
      <c r="M694" s="14">
        <f>_xlfn.BETA.INV($AA694,1+4*($D$5-$C$5)/($E$5-$C$5),1+4*($E$5-$D$5)/($E$5-$C$5),$C$5,$E$5)</f>
        <v/>
      </c>
      <c r="N694" s="14">
        <f>IF($AB694&lt;($D$6-$C$6)/($E$6-$C$6),$C$6+SQRT($AB694*($E$6-$C$6)*($D$6-$C$6)),$E$6-SQRT((1-$AB694)*($E$6-$C$6)*($E$6-$D$6)))</f>
        <v/>
      </c>
      <c r="O694" s="14">
        <f>_xlfn.NORM.INV($AC694,$C$7,$D$7)</f>
        <v/>
      </c>
      <c r="P694" s="14">
        <f>$C$8+($D$8-$C$8)*$AD694</f>
        <v/>
      </c>
      <c r="Q694" s="14">
        <f>$C$9</f>
        <v/>
      </c>
      <c r="R694" s="14">
        <f>_xlfn.LOGNORM.INV($AF694,LN($C$10)-0.5*LN(1+($D$10/$C$10)^2),SQRT(LN(1+($D$10/$C$10)^2)))</f>
        <v/>
      </c>
      <c r="S694" s="14">
        <f>SUM(M694:R694)</f>
        <v/>
      </c>
      <c r="AA694">
        <f>RAND()</f>
        <v/>
      </c>
      <c r="AB694">
        <f>RAND()</f>
        <v/>
      </c>
      <c r="AC694">
        <f>RAND()</f>
        <v/>
      </c>
      <c r="AD694">
        <f>RAND()</f>
        <v/>
      </c>
      <c r="AE694">
        <f>RAND()</f>
        <v/>
      </c>
      <c r="AF694">
        <f>RAND()</f>
        <v/>
      </c>
    </row>
    <row r="695">
      <c r="M695" s="14">
        <f>_xlfn.BETA.INV($AA695,1+4*($D$5-$C$5)/($E$5-$C$5),1+4*($E$5-$D$5)/($E$5-$C$5),$C$5,$E$5)</f>
        <v/>
      </c>
      <c r="N695" s="14">
        <f>IF($AB695&lt;($D$6-$C$6)/($E$6-$C$6),$C$6+SQRT($AB695*($E$6-$C$6)*($D$6-$C$6)),$E$6-SQRT((1-$AB695)*($E$6-$C$6)*($E$6-$D$6)))</f>
        <v/>
      </c>
      <c r="O695" s="14">
        <f>_xlfn.NORM.INV($AC695,$C$7,$D$7)</f>
        <v/>
      </c>
      <c r="P695" s="14">
        <f>$C$8+($D$8-$C$8)*$AD695</f>
        <v/>
      </c>
      <c r="Q695" s="14">
        <f>$C$9</f>
        <v/>
      </c>
      <c r="R695" s="14">
        <f>_xlfn.LOGNORM.INV($AF695,LN($C$10)-0.5*LN(1+($D$10/$C$10)^2),SQRT(LN(1+($D$10/$C$10)^2)))</f>
        <v/>
      </c>
      <c r="S695" s="14">
        <f>SUM(M695:R695)</f>
        <v/>
      </c>
      <c r="AA695">
        <f>RAND()</f>
        <v/>
      </c>
      <c r="AB695">
        <f>RAND()</f>
        <v/>
      </c>
      <c r="AC695">
        <f>RAND()</f>
        <v/>
      </c>
      <c r="AD695">
        <f>RAND()</f>
        <v/>
      </c>
      <c r="AE695">
        <f>RAND()</f>
        <v/>
      </c>
      <c r="AF695">
        <f>RAND()</f>
        <v/>
      </c>
    </row>
    <row r="696">
      <c r="M696" s="14">
        <f>_xlfn.BETA.INV($AA696,1+4*($D$5-$C$5)/($E$5-$C$5),1+4*($E$5-$D$5)/($E$5-$C$5),$C$5,$E$5)</f>
        <v/>
      </c>
      <c r="N696" s="14">
        <f>IF($AB696&lt;($D$6-$C$6)/($E$6-$C$6),$C$6+SQRT($AB696*($E$6-$C$6)*($D$6-$C$6)),$E$6-SQRT((1-$AB696)*($E$6-$C$6)*($E$6-$D$6)))</f>
        <v/>
      </c>
      <c r="O696" s="14">
        <f>_xlfn.NORM.INV($AC696,$C$7,$D$7)</f>
        <v/>
      </c>
      <c r="P696" s="14">
        <f>$C$8+($D$8-$C$8)*$AD696</f>
        <v/>
      </c>
      <c r="Q696" s="14">
        <f>$C$9</f>
        <v/>
      </c>
      <c r="R696" s="14">
        <f>_xlfn.LOGNORM.INV($AF696,LN($C$10)-0.5*LN(1+($D$10/$C$10)^2),SQRT(LN(1+($D$10/$C$10)^2)))</f>
        <v/>
      </c>
      <c r="S696" s="14">
        <f>SUM(M696:R696)</f>
        <v/>
      </c>
      <c r="AA696">
        <f>RAND()</f>
        <v/>
      </c>
      <c r="AB696">
        <f>RAND()</f>
        <v/>
      </c>
      <c r="AC696">
        <f>RAND()</f>
        <v/>
      </c>
      <c r="AD696">
        <f>RAND()</f>
        <v/>
      </c>
      <c r="AE696">
        <f>RAND()</f>
        <v/>
      </c>
      <c r="AF696">
        <f>RAND()</f>
        <v/>
      </c>
    </row>
    <row r="697">
      <c r="M697" s="14">
        <f>_xlfn.BETA.INV($AA697,1+4*($D$5-$C$5)/($E$5-$C$5),1+4*($E$5-$D$5)/($E$5-$C$5),$C$5,$E$5)</f>
        <v/>
      </c>
      <c r="N697" s="14">
        <f>IF($AB697&lt;($D$6-$C$6)/($E$6-$C$6),$C$6+SQRT($AB697*($E$6-$C$6)*($D$6-$C$6)),$E$6-SQRT((1-$AB697)*($E$6-$C$6)*($E$6-$D$6)))</f>
        <v/>
      </c>
      <c r="O697" s="14">
        <f>_xlfn.NORM.INV($AC697,$C$7,$D$7)</f>
        <v/>
      </c>
      <c r="P697" s="14">
        <f>$C$8+($D$8-$C$8)*$AD697</f>
        <v/>
      </c>
      <c r="Q697" s="14">
        <f>$C$9</f>
        <v/>
      </c>
      <c r="R697" s="14">
        <f>_xlfn.LOGNORM.INV($AF697,LN($C$10)-0.5*LN(1+($D$10/$C$10)^2),SQRT(LN(1+($D$10/$C$10)^2)))</f>
        <v/>
      </c>
      <c r="S697" s="14">
        <f>SUM(M697:R697)</f>
        <v/>
      </c>
      <c r="AA697">
        <f>RAND()</f>
        <v/>
      </c>
      <c r="AB697">
        <f>RAND()</f>
        <v/>
      </c>
      <c r="AC697">
        <f>RAND()</f>
        <v/>
      </c>
      <c r="AD697">
        <f>RAND()</f>
        <v/>
      </c>
      <c r="AE697">
        <f>RAND()</f>
        <v/>
      </c>
      <c r="AF697">
        <f>RAND()</f>
        <v/>
      </c>
    </row>
    <row r="698">
      <c r="M698" s="14">
        <f>_xlfn.BETA.INV($AA698,1+4*($D$5-$C$5)/($E$5-$C$5),1+4*($E$5-$D$5)/($E$5-$C$5),$C$5,$E$5)</f>
        <v/>
      </c>
      <c r="N698" s="14">
        <f>IF($AB698&lt;($D$6-$C$6)/($E$6-$C$6),$C$6+SQRT($AB698*($E$6-$C$6)*($D$6-$C$6)),$E$6-SQRT((1-$AB698)*($E$6-$C$6)*($E$6-$D$6)))</f>
        <v/>
      </c>
      <c r="O698" s="14">
        <f>_xlfn.NORM.INV($AC698,$C$7,$D$7)</f>
        <v/>
      </c>
      <c r="P698" s="14">
        <f>$C$8+($D$8-$C$8)*$AD698</f>
        <v/>
      </c>
      <c r="Q698" s="14">
        <f>$C$9</f>
        <v/>
      </c>
      <c r="R698" s="14">
        <f>_xlfn.LOGNORM.INV($AF698,LN($C$10)-0.5*LN(1+($D$10/$C$10)^2),SQRT(LN(1+($D$10/$C$10)^2)))</f>
        <v/>
      </c>
      <c r="S698" s="14">
        <f>SUM(M698:R698)</f>
        <v/>
      </c>
      <c r="AA698">
        <f>RAND()</f>
        <v/>
      </c>
      <c r="AB698">
        <f>RAND()</f>
        <v/>
      </c>
      <c r="AC698">
        <f>RAND()</f>
        <v/>
      </c>
      <c r="AD698">
        <f>RAND()</f>
        <v/>
      </c>
      <c r="AE698">
        <f>RAND()</f>
        <v/>
      </c>
      <c r="AF698">
        <f>RAND()</f>
        <v/>
      </c>
    </row>
    <row r="699">
      <c r="M699" s="14">
        <f>_xlfn.BETA.INV($AA699,1+4*($D$5-$C$5)/($E$5-$C$5),1+4*($E$5-$D$5)/($E$5-$C$5),$C$5,$E$5)</f>
        <v/>
      </c>
      <c r="N699" s="14">
        <f>IF($AB699&lt;($D$6-$C$6)/($E$6-$C$6),$C$6+SQRT($AB699*($E$6-$C$6)*($D$6-$C$6)),$E$6-SQRT((1-$AB699)*($E$6-$C$6)*($E$6-$D$6)))</f>
        <v/>
      </c>
      <c r="O699" s="14">
        <f>_xlfn.NORM.INV($AC699,$C$7,$D$7)</f>
        <v/>
      </c>
      <c r="P699" s="14">
        <f>$C$8+($D$8-$C$8)*$AD699</f>
        <v/>
      </c>
      <c r="Q699" s="14">
        <f>$C$9</f>
        <v/>
      </c>
      <c r="R699" s="14">
        <f>_xlfn.LOGNORM.INV($AF699,LN($C$10)-0.5*LN(1+($D$10/$C$10)^2),SQRT(LN(1+($D$10/$C$10)^2)))</f>
        <v/>
      </c>
      <c r="S699" s="14">
        <f>SUM(M699:R699)</f>
        <v/>
      </c>
      <c r="AA699">
        <f>RAND()</f>
        <v/>
      </c>
      <c r="AB699">
        <f>RAND()</f>
        <v/>
      </c>
      <c r="AC699">
        <f>RAND()</f>
        <v/>
      </c>
      <c r="AD699">
        <f>RAND()</f>
        <v/>
      </c>
      <c r="AE699">
        <f>RAND()</f>
        <v/>
      </c>
      <c r="AF699">
        <f>RAND()</f>
        <v/>
      </c>
    </row>
    <row r="700">
      <c r="M700" s="14">
        <f>_xlfn.BETA.INV($AA700,1+4*($D$5-$C$5)/($E$5-$C$5),1+4*($E$5-$D$5)/($E$5-$C$5),$C$5,$E$5)</f>
        <v/>
      </c>
      <c r="N700" s="14">
        <f>IF($AB700&lt;($D$6-$C$6)/($E$6-$C$6),$C$6+SQRT($AB700*($E$6-$C$6)*($D$6-$C$6)),$E$6-SQRT((1-$AB700)*($E$6-$C$6)*($E$6-$D$6)))</f>
        <v/>
      </c>
      <c r="O700" s="14">
        <f>_xlfn.NORM.INV($AC700,$C$7,$D$7)</f>
        <v/>
      </c>
      <c r="P700" s="14">
        <f>$C$8+($D$8-$C$8)*$AD700</f>
        <v/>
      </c>
      <c r="Q700" s="14">
        <f>$C$9</f>
        <v/>
      </c>
      <c r="R700" s="14">
        <f>_xlfn.LOGNORM.INV($AF700,LN($C$10)-0.5*LN(1+($D$10/$C$10)^2),SQRT(LN(1+($D$10/$C$10)^2)))</f>
        <v/>
      </c>
      <c r="S700" s="14">
        <f>SUM(M700:R700)</f>
        <v/>
      </c>
      <c r="AA700">
        <f>RAND()</f>
        <v/>
      </c>
      <c r="AB700">
        <f>RAND()</f>
        <v/>
      </c>
      <c r="AC700">
        <f>RAND()</f>
        <v/>
      </c>
      <c r="AD700">
        <f>RAND()</f>
        <v/>
      </c>
      <c r="AE700">
        <f>RAND()</f>
        <v/>
      </c>
      <c r="AF700">
        <f>RAND()</f>
        <v/>
      </c>
    </row>
    <row r="701">
      <c r="M701" s="14">
        <f>_xlfn.BETA.INV($AA701,1+4*($D$5-$C$5)/($E$5-$C$5),1+4*($E$5-$D$5)/($E$5-$C$5),$C$5,$E$5)</f>
        <v/>
      </c>
      <c r="N701" s="14">
        <f>IF($AB701&lt;($D$6-$C$6)/($E$6-$C$6),$C$6+SQRT($AB701*($E$6-$C$6)*($D$6-$C$6)),$E$6-SQRT((1-$AB701)*($E$6-$C$6)*($E$6-$D$6)))</f>
        <v/>
      </c>
      <c r="O701" s="14">
        <f>_xlfn.NORM.INV($AC701,$C$7,$D$7)</f>
        <v/>
      </c>
      <c r="P701" s="14">
        <f>$C$8+($D$8-$C$8)*$AD701</f>
        <v/>
      </c>
      <c r="Q701" s="14">
        <f>$C$9</f>
        <v/>
      </c>
      <c r="R701" s="14">
        <f>_xlfn.LOGNORM.INV($AF701,LN($C$10)-0.5*LN(1+($D$10/$C$10)^2),SQRT(LN(1+($D$10/$C$10)^2)))</f>
        <v/>
      </c>
      <c r="S701" s="14">
        <f>SUM(M701:R701)</f>
        <v/>
      </c>
      <c r="AA701">
        <f>RAND()</f>
        <v/>
      </c>
      <c r="AB701">
        <f>RAND()</f>
        <v/>
      </c>
      <c r="AC701">
        <f>RAND()</f>
        <v/>
      </c>
      <c r="AD701">
        <f>RAND()</f>
        <v/>
      </c>
      <c r="AE701">
        <f>RAND()</f>
        <v/>
      </c>
      <c r="AF701">
        <f>RAND()</f>
        <v/>
      </c>
    </row>
    <row r="702">
      <c r="M702" s="14">
        <f>_xlfn.BETA.INV($AA702,1+4*($D$5-$C$5)/($E$5-$C$5),1+4*($E$5-$D$5)/($E$5-$C$5),$C$5,$E$5)</f>
        <v/>
      </c>
      <c r="N702" s="14">
        <f>IF($AB702&lt;($D$6-$C$6)/($E$6-$C$6),$C$6+SQRT($AB702*($E$6-$C$6)*($D$6-$C$6)),$E$6-SQRT((1-$AB702)*($E$6-$C$6)*($E$6-$D$6)))</f>
        <v/>
      </c>
      <c r="O702" s="14">
        <f>_xlfn.NORM.INV($AC702,$C$7,$D$7)</f>
        <v/>
      </c>
      <c r="P702" s="14">
        <f>$C$8+($D$8-$C$8)*$AD702</f>
        <v/>
      </c>
      <c r="Q702" s="14">
        <f>$C$9</f>
        <v/>
      </c>
      <c r="R702" s="14">
        <f>_xlfn.LOGNORM.INV($AF702,LN($C$10)-0.5*LN(1+($D$10/$C$10)^2),SQRT(LN(1+($D$10/$C$10)^2)))</f>
        <v/>
      </c>
      <c r="S702" s="14">
        <f>SUM(M702:R702)</f>
        <v/>
      </c>
      <c r="AA702">
        <f>RAND()</f>
        <v/>
      </c>
      <c r="AB702">
        <f>RAND()</f>
        <v/>
      </c>
      <c r="AC702">
        <f>RAND()</f>
        <v/>
      </c>
      <c r="AD702">
        <f>RAND()</f>
        <v/>
      </c>
      <c r="AE702">
        <f>RAND()</f>
        <v/>
      </c>
      <c r="AF702">
        <f>RAND()</f>
        <v/>
      </c>
    </row>
    <row r="703">
      <c r="M703" s="14">
        <f>_xlfn.BETA.INV($AA703,1+4*($D$5-$C$5)/($E$5-$C$5),1+4*($E$5-$D$5)/($E$5-$C$5),$C$5,$E$5)</f>
        <v/>
      </c>
      <c r="N703" s="14">
        <f>IF($AB703&lt;($D$6-$C$6)/($E$6-$C$6),$C$6+SQRT($AB703*($E$6-$C$6)*($D$6-$C$6)),$E$6-SQRT((1-$AB703)*($E$6-$C$6)*($E$6-$D$6)))</f>
        <v/>
      </c>
      <c r="O703" s="14">
        <f>_xlfn.NORM.INV($AC703,$C$7,$D$7)</f>
        <v/>
      </c>
      <c r="P703" s="14">
        <f>$C$8+($D$8-$C$8)*$AD703</f>
        <v/>
      </c>
      <c r="Q703" s="14">
        <f>$C$9</f>
        <v/>
      </c>
      <c r="R703" s="14">
        <f>_xlfn.LOGNORM.INV($AF703,LN($C$10)-0.5*LN(1+($D$10/$C$10)^2),SQRT(LN(1+($D$10/$C$10)^2)))</f>
        <v/>
      </c>
      <c r="S703" s="14">
        <f>SUM(M703:R703)</f>
        <v/>
      </c>
      <c r="AA703">
        <f>RAND()</f>
        <v/>
      </c>
      <c r="AB703">
        <f>RAND()</f>
        <v/>
      </c>
      <c r="AC703">
        <f>RAND()</f>
        <v/>
      </c>
      <c r="AD703">
        <f>RAND()</f>
        <v/>
      </c>
      <c r="AE703">
        <f>RAND()</f>
        <v/>
      </c>
      <c r="AF703">
        <f>RAND()</f>
        <v/>
      </c>
    </row>
    <row r="704">
      <c r="M704" s="14">
        <f>_xlfn.BETA.INV($AA704,1+4*($D$5-$C$5)/($E$5-$C$5),1+4*($E$5-$D$5)/($E$5-$C$5),$C$5,$E$5)</f>
        <v/>
      </c>
      <c r="N704" s="14">
        <f>IF($AB704&lt;($D$6-$C$6)/($E$6-$C$6),$C$6+SQRT($AB704*($E$6-$C$6)*($D$6-$C$6)),$E$6-SQRT((1-$AB704)*($E$6-$C$6)*($E$6-$D$6)))</f>
        <v/>
      </c>
      <c r="O704" s="14">
        <f>_xlfn.NORM.INV($AC704,$C$7,$D$7)</f>
        <v/>
      </c>
      <c r="P704" s="14">
        <f>$C$8+($D$8-$C$8)*$AD704</f>
        <v/>
      </c>
      <c r="Q704" s="14">
        <f>$C$9</f>
        <v/>
      </c>
      <c r="R704" s="14">
        <f>_xlfn.LOGNORM.INV($AF704,LN($C$10)-0.5*LN(1+($D$10/$C$10)^2),SQRT(LN(1+($D$10/$C$10)^2)))</f>
        <v/>
      </c>
      <c r="S704" s="14">
        <f>SUM(M704:R704)</f>
        <v/>
      </c>
      <c r="AA704">
        <f>RAND()</f>
        <v/>
      </c>
      <c r="AB704">
        <f>RAND()</f>
        <v/>
      </c>
      <c r="AC704">
        <f>RAND()</f>
        <v/>
      </c>
      <c r="AD704">
        <f>RAND()</f>
        <v/>
      </c>
      <c r="AE704">
        <f>RAND()</f>
        <v/>
      </c>
      <c r="AF704">
        <f>RAND()</f>
        <v/>
      </c>
    </row>
    <row r="705">
      <c r="M705" s="14">
        <f>_xlfn.BETA.INV($AA705,1+4*($D$5-$C$5)/($E$5-$C$5),1+4*($E$5-$D$5)/($E$5-$C$5),$C$5,$E$5)</f>
        <v/>
      </c>
      <c r="N705" s="14">
        <f>IF($AB705&lt;($D$6-$C$6)/($E$6-$C$6),$C$6+SQRT($AB705*($E$6-$C$6)*($D$6-$C$6)),$E$6-SQRT((1-$AB705)*($E$6-$C$6)*($E$6-$D$6)))</f>
        <v/>
      </c>
      <c r="O705" s="14">
        <f>_xlfn.NORM.INV($AC705,$C$7,$D$7)</f>
        <v/>
      </c>
      <c r="P705" s="14">
        <f>$C$8+($D$8-$C$8)*$AD705</f>
        <v/>
      </c>
      <c r="Q705" s="14">
        <f>$C$9</f>
        <v/>
      </c>
      <c r="R705" s="14">
        <f>_xlfn.LOGNORM.INV($AF705,LN($C$10)-0.5*LN(1+($D$10/$C$10)^2),SQRT(LN(1+($D$10/$C$10)^2)))</f>
        <v/>
      </c>
      <c r="S705" s="14">
        <f>SUM(M705:R705)</f>
        <v/>
      </c>
      <c r="AA705">
        <f>RAND()</f>
        <v/>
      </c>
      <c r="AB705">
        <f>RAND()</f>
        <v/>
      </c>
      <c r="AC705">
        <f>RAND()</f>
        <v/>
      </c>
      <c r="AD705">
        <f>RAND()</f>
        <v/>
      </c>
      <c r="AE705">
        <f>RAND()</f>
        <v/>
      </c>
      <c r="AF705">
        <f>RAND()</f>
        <v/>
      </c>
    </row>
    <row r="706">
      <c r="M706" s="14">
        <f>_xlfn.BETA.INV($AA706,1+4*($D$5-$C$5)/($E$5-$C$5),1+4*($E$5-$D$5)/($E$5-$C$5),$C$5,$E$5)</f>
        <v/>
      </c>
      <c r="N706" s="14">
        <f>IF($AB706&lt;($D$6-$C$6)/($E$6-$C$6),$C$6+SQRT($AB706*($E$6-$C$6)*($D$6-$C$6)),$E$6-SQRT((1-$AB706)*($E$6-$C$6)*($E$6-$D$6)))</f>
        <v/>
      </c>
      <c r="O706" s="14">
        <f>_xlfn.NORM.INV($AC706,$C$7,$D$7)</f>
        <v/>
      </c>
      <c r="P706" s="14">
        <f>$C$8+($D$8-$C$8)*$AD706</f>
        <v/>
      </c>
      <c r="Q706" s="14">
        <f>$C$9</f>
        <v/>
      </c>
      <c r="R706" s="14">
        <f>_xlfn.LOGNORM.INV($AF706,LN($C$10)-0.5*LN(1+($D$10/$C$10)^2),SQRT(LN(1+($D$10/$C$10)^2)))</f>
        <v/>
      </c>
      <c r="S706" s="14">
        <f>SUM(M706:R706)</f>
        <v/>
      </c>
      <c r="AA706">
        <f>RAND()</f>
        <v/>
      </c>
      <c r="AB706">
        <f>RAND()</f>
        <v/>
      </c>
      <c r="AC706">
        <f>RAND()</f>
        <v/>
      </c>
      <c r="AD706">
        <f>RAND()</f>
        <v/>
      </c>
      <c r="AE706">
        <f>RAND()</f>
        <v/>
      </c>
      <c r="AF706">
        <f>RAND()</f>
        <v/>
      </c>
    </row>
    <row r="707">
      <c r="M707" s="14">
        <f>_xlfn.BETA.INV($AA707,1+4*($D$5-$C$5)/($E$5-$C$5),1+4*($E$5-$D$5)/($E$5-$C$5),$C$5,$E$5)</f>
        <v/>
      </c>
      <c r="N707" s="14">
        <f>IF($AB707&lt;($D$6-$C$6)/($E$6-$C$6),$C$6+SQRT($AB707*($E$6-$C$6)*($D$6-$C$6)),$E$6-SQRT((1-$AB707)*($E$6-$C$6)*($E$6-$D$6)))</f>
        <v/>
      </c>
      <c r="O707" s="14">
        <f>_xlfn.NORM.INV($AC707,$C$7,$D$7)</f>
        <v/>
      </c>
      <c r="P707" s="14">
        <f>$C$8+($D$8-$C$8)*$AD707</f>
        <v/>
      </c>
      <c r="Q707" s="14">
        <f>$C$9</f>
        <v/>
      </c>
      <c r="R707" s="14">
        <f>_xlfn.LOGNORM.INV($AF707,LN($C$10)-0.5*LN(1+($D$10/$C$10)^2),SQRT(LN(1+($D$10/$C$10)^2)))</f>
        <v/>
      </c>
      <c r="S707" s="14">
        <f>SUM(M707:R707)</f>
        <v/>
      </c>
      <c r="AA707">
        <f>RAND()</f>
        <v/>
      </c>
      <c r="AB707">
        <f>RAND()</f>
        <v/>
      </c>
      <c r="AC707">
        <f>RAND()</f>
        <v/>
      </c>
      <c r="AD707">
        <f>RAND()</f>
        <v/>
      </c>
      <c r="AE707">
        <f>RAND()</f>
        <v/>
      </c>
      <c r="AF707">
        <f>RAND()</f>
        <v/>
      </c>
    </row>
    <row r="708">
      <c r="M708" s="14">
        <f>_xlfn.BETA.INV($AA708,1+4*($D$5-$C$5)/($E$5-$C$5),1+4*($E$5-$D$5)/($E$5-$C$5),$C$5,$E$5)</f>
        <v/>
      </c>
      <c r="N708" s="14">
        <f>IF($AB708&lt;($D$6-$C$6)/($E$6-$C$6),$C$6+SQRT($AB708*($E$6-$C$6)*($D$6-$C$6)),$E$6-SQRT((1-$AB708)*($E$6-$C$6)*($E$6-$D$6)))</f>
        <v/>
      </c>
      <c r="O708" s="14">
        <f>_xlfn.NORM.INV($AC708,$C$7,$D$7)</f>
        <v/>
      </c>
      <c r="P708" s="14">
        <f>$C$8+($D$8-$C$8)*$AD708</f>
        <v/>
      </c>
      <c r="Q708" s="14">
        <f>$C$9</f>
        <v/>
      </c>
      <c r="R708" s="14">
        <f>_xlfn.LOGNORM.INV($AF708,LN($C$10)-0.5*LN(1+($D$10/$C$10)^2),SQRT(LN(1+($D$10/$C$10)^2)))</f>
        <v/>
      </c>
      <c r="S708" s="14">
        <f>SUM(M708:R708)</f>
        <v/>
      </c>
      <c r="AA708">
        <f>RAND()</f>
        <v/>
      </c>
      <c r="AB708">
        <f>RAND()</f>
        <v/>
      </c>
      <c r="AC708">
        <f>RAND()</f>
        <v/>
      </c>
      <c r="AD708">
        <f>RAND()</f>
        <v/>
      </c>
      <c r="AE708">
        <f>RAND()</f>
        <v/>
      </c>
      <c r="AF708">
        <f>RAND()</f>
        <v/>
      </c>
    </row>
    <row r="709">
      <c r="M709" s="14">
        <f>_xlfn.BETA.INV($AA709,1+4*($D$5-$C$5)/($E$5-$C$5),1+4*($E$5-$D$5)/($E$5-$C$5),$C$5,$E$5)</f>
        <v/>
      </c>
      <c r="N709" s="14">
        <f>IF($AB709&lt;($D$6-$C$6)/($E$6-$C$6),$C$6+SQRT($AB709*($E$6-$C$6)*($D$6-$C$6)),$E$6-SQRT((1-$AB709)*($E$6-$C$6)*($E$6-$D$6)))</f>
        <v/>
      </c>
      <c r="O709" s="14">
        <f>_xlfn.NORM.INV($AC709,$C$7,$D$7)</f>
        <v/>
      </c>
      <c r="P709" s="14">
        <f>$C$8+($D$8-$C$8)*$AD709</f>
        <v/>
      </c>
      <c r="Q709" s="14">
        <f>$C$9</f>
        <v/>
      </c>
      <c r="R709" s="14">
        <f>_xlfn.LOGNORM.INV($AF709,LN($C$10)-0.5*LN(1+($D$10/$C$10)^2),SQRT(LN(1+($D$10/$C$10)^2)))</f>
        <v/>
      </c>
      <c r="S709" s="14">
        <f>SUM(M709:R709)</f>
        <v/>
      </c>
      <c r="AA709">
        <f>RAND()</f>
        <v/>
      </c>
      <c r="AB709">
        <f>RAND()</f>
        <v/>
      </c>
      <c r="AC709">
        <f>RAND()</f>
        <v/>
      </c>
      <c r="AD709">
        <f>RAND()</f>
        <v/>
      </c>
      <c r="AE709">
        <f>RAND()</f>
        <v/>
      </c>
      <c r="AF709">
        <f>RAND()</f>
        <v/>
      </c>
    </row>
    <row r="710">
      <c r="M710" s="14">
        <f>_xlfn.BETA.INV($AA710,1+4*($D$5-$C$5)/($E$5-$C$5),1+4*($E$5-$D$5)/($E$5-$C$5),$C$5,$E$5)</f>
        <v/>
      </c>
      <c r="N710" s="14">
        <f>IF($AB710&lt;($D$6-$C$6)/($E$6-$C$6),$C$6+SQRT($AB710*($E$6-$C$6)*($D$6-$C$6)),$E$6-SQRT((1-$AB710)*($E$6-$C$6)*($E$6-$D$6)))</f>
        <v/>
      </c>
      <c r="O710" s="14">
        <f>_xlfn.NORM.INV($AC710,$C$7,$D$7)</f>
        <v/>
      </c>
      <c r="P710" s="14">
        <f>$C$8+($D$8-$C$8)*$AD710</f>
        <v/>
      </c>
      <c r="Q710" s="14">
        <f>$C$9</f>
        <v/>
      </c>
      <c r="R710" s="14">
        <f>_xlfn.LOGNORM.INV($AF710,LN($C$10)-0.5*LN(1+($D$10/$C$10)^2),SQRT(LN(1+($D$10/$C$10)^2)))</f>
        <v/>
      </c>
      <c r="S710" s="14">
        <f>SUM(M710:R710)</f>
        <v/>
      </c>
      <c r="AA710">
        <f>RAND()</f>
        <v/>
      </c>
      <c r="AB710">
        <f>RAND()</f>
        <v/>
      </c>
      <c r="AC710">
        <f>RAND()</f>
        <v/>
      </c>
      <c r="AD710">
        <f>RAND()</f>
        <v/>
      </c>
      <c r="AE710">
        <f>RAND()</f>
        <v/>
      </c>
      <c r="AF710">
        <f>RAND()</f>
        <v/>
      </c>
    </row>
    <row r="711">
      <c r="M711" s="14">
        <f>_xlfn.BETA.INV($AA711,1+4*($D$5-$C$5)/($E$5-$C$5),1+4*($E$5-$D$5)/($E$5-$C$5),$C$5,$E$5)</f>
        <v/>
      </c>
      <c r="N711" s="14">
        <f>IF($AB711&lt;($D$6-$C$6)/($E$6-$C$6),$C$6+SQRT($AB711*($E$6-$C$6)*($D$6-$C$6)),$E$6-SQRT((1-$AB711)*($E$6-$C$6)*($E$6-$D$6)))</f>
        <v/>
      </c>
      <c r="O711" s="14">
        <f>_xlfn.NORM.INV($AC711,$C$7,$D$7)</f>
        <v/>
      </c>
      <c r="P711" s="14">
        <f>$C$8+($D$8-$C$8)*$AD711</f>
        <v/>
      </c>
      <c r="Q711" s="14">
        <f>$C$9</f>
        <v/>
      </c>
      <c r="R711" s="14">
        <f>_xlfn.LOGNORM.INV($AF711,LN($C$10)-0.5*LN(1+($D$10/$C$10)^2),SQRT(LN(1+($D$10/$C$10)^2)))</f>
        <v/>
      </c>
      <c r="S711" s="14">
        <f>SUM(M711:R711)</f>
        <v/>
      </c>
      <c r="AA711">
        <f>RAND()</f>
        <v/>
      </c>
      <c r="AB711">
        <f>RAND()</f>
        <v/>
      </c>
      <c r="AC711">
        <f>RAND()</f>
        <v/>
      </c>
      <c r="AD711">
        <f>RAND()</f>
        <v/>
      </c>
      <c r="AE711">
        <f>RAND()</f>
        <v/>
      </c>
      <c r="AF711">
        <f>RAND()</f>
        <v/>
      </c>
    </row>
    <row r="712">
      <c r="M712" s="14">
        <f>_xlfn.BETA.INV($AA712,1+4*($D$5-$C$5)/($E$5-$C$5),1+4*($E$5-$D$5)/($E$5-$C$5),$C$5,$E$5)</f>
        <v/>
      </c>
      <c r="N712" s="14">
        <f>IF($AB712&lt;($D$6-$C$6)/($E$6-$C$6),$C$6+SQRT($AB712*($E$6-$C$6)*($D$6-$C$6)),$E$6-SQRT((1-$AB712)*($E$6-$C$6)*($E$6-$D$6)))</f>
        <v/>
      </c>
      <c r="O712" s="14">
        <f>_xlfn.NORM.INV($AC712,$C$7,$D$7)</f>
        <v/>
      </c>
      <c r="P712" s="14">
        <f>$C$8+($D$8-$C$8)*$AD712</f>
        <v/>
      </c>
      <c r="Q712" s="14">
        <f>$C$9</f>
        <v/>
      </c>
      <c r="R712" s="14">
        <f>_xlfn.LOGNORM.INV($AF712,LN($C$10)-0.5*LN(1+($D$10/$C$10)^2),SQRT(LN(1+($D$10/$C$10)^2)))</f>
        <v/>
      </c>
      <c r="S712" s="14">
        <f>SUM(M712:R712)</f>
        <v/>
      </c>
      <c r="AA712">
        <f>RAND()</f>
        <v/>
      </c>
      <c r="AB712">
        <f>RAND()</f>
        <v/>
      </c>
      <c r="AC712">
        <f>RAND()</f>
        <v/>
      </c>
      <c r="AD712">
        <f>RAND()</f>
        <v/>
      </c>
      <c r="AE712">
        <f>RAND()</f>
        <v/>
      </c>
      <c r="AF712">
        <f>RAND()</f>
        <v/>
      </c>
    </row>
    <row r="713">
      <c r="M713" s="14">
        <f>_xlfn.BETA.INV($AA713,1+4*($D$5-$C$5)/($E$5-$C$5),1+4*($E$5-$D$5)/($E$5-$C$5),$C$5,$E$5)</f>
        <v/>
      </c>
      <c r="N713" s="14">
        <f>IF($AB713&lt;($D$6-$C$6)/($E$6-$C$6),$C$6+SQRT($AB713*($E$6-$C$6)*($D$6-$C$6)),$E$6-SQRT((1-$AB713)*($E$6-$C$6)*($E$6-$D$6)))</f>
        <v/>
      </c>
      <c r="O713" s="14">
        <f>_xlfn.NORM.INV($AC713,$C$7,$D$7)</f>
        <v/>
      </c>
      <c r="P713" s="14">
        <f>$C$8+($D$8-$C$8)*$AD713</f>
        <v/>
      </c>
      <c r="Q713" s="14">
        <f>$C$9</f>
        <v/>
      </c>
      <c r="R713" s="14">
        <f>_xlfn.LOGNORM.INV($AF713,LN($C$10)-0.5*LN(1+($D$10/$C$10)^2),SQRT(LN(1+($D$10/$C$10)^2)))</f>
        <v/>
      </c>
      <c r="S713" s="14">
        <f>SUM(M713:R713)</f>
        <v/>
      </c>
      <c r="AA713">
        <f>RAND()</f>
        <v/>
      </c>
      <c r="AB713">
        <f>RAND()</f>
        <v/>
      </c>
      <c r="AC713">
        <f>RAND()</f>
        <v/>
      </c>
      <c r="AD713">
        <f>RAND()</f>
        <v/>
      </c>
      <c r="AE713">
        <f>RAND()</f>
        <v/>
      </c>
      <c r="AF713">
        <f>RAND()</f>
        <v/>
      </c>
    </row>
    <row r="714">
      <c r="M714" s="14">
        <f>_xlfn.BETA.INV($AA714,1+4*($D$5-$C$5)/($E$5-$C$5),1+4*($E$5-$D$5)/($E$5-$C$5),$C$5,$E$5)</f>
        <v/>
      </c>
      <c r="N714" s="14">
        <f>IF($AB714&lt;($D$6-$C$6)/($E$6-$C$6),$C$6+SQRT($AB714*($E$6-$C$6)*($D$6-$C$6)),$E$6-SQRT((1-$AB714)*($E$6-$C$6)*($E$6-$D$6)))</f>
        <v/>
      </c>
      <c r="O714" s="14">
        <f>_xlfn.NORM.INV($AC714,$C$7,$D$7)</f>
        <v/>
      </c>
      <c r="P714" s="14">
        <f>$C$8+($D$8-$C$8)*$AD714</f>
        <v/>
      </c>
      <c r="Q714" s="14">
        <f>$C$9</f>
        <v/>
      </c>
      <c r="R714" s="14">
        <f>_xlfn.LOGNORM.INV($AF714,LN($C$10)-0.5*LN(1+($D$10/$C$10)^2),SQRT(LN(1+($D$10/$C$10)^2)))</f>
        <v/>
      </c>
      <c r="S714" s="14">
        <f>SUM(M714:R714)</f>
        <v/>
      </c>
      <c r="AA714">
        <f>RAND()</f>
        <v/>
      </c>
      <c r="AB714">
        <f>RAND()</f>
        <v/>
      </c>
      <c r="AC714">
        <f>RAND()</f>
        <v/>
      </c>
      <c r="AD714">
        <f>RAND()</f>
        <v/>
      </c>
      <c r="AE714">
        <f>RAND()</f>
        <v/>
      </c>
      <c r="AF714">
        <f>RAND()</f>
        <v/>
      </c>
    </row>
    <row r="715">
      <c r="M715" s="14">
        <f>_xlfn.BETA.INV($AA715,1+4*($D$5-$C$5)/($E$5-$C$5),1+4*($E$5-$D$5)/($E$5-$C$5),$C$5,$E$5)</f>
        <v/>
      </c>
      <c r="N715" s="14">
        <f>IF($AB715&lt;($D$6-$C$6)/($E$6-$C$6),$C$6+SQRT($AB715*($E$6-$C$6)*($D$6-$C$6)),$E$6-SQRT((1-$AB715)*($E$6-$C$6)*($E$6-$D$6)))</f>
        <v/>
      </c>
      <c r="O715" s="14">
        <f>_xlfn.NORM.INV($AC715,$C$7,$D$7)</f>
        <v/>
      </c>
      <c r="P715" s="14">
        <f>$C$8+($D$8-$C$8)*$AD715</f>
        <v/>
      </c>
      <c r="Q715" s="14">
        <f>$C$9</f>
        <v/>
      </c>
      <c r="R715" s="14">
        <f>_xlfn.LOGNORM.INV($AF715,LN($C$10)-0.5*LN(1+($D$10/$C$10)^2),SQRT(LN(1+($D$10/$C$10)^2)))</f>
        <v/>
      </c>
      <c r="S715" s="14">
        <f>SUM(M715:R715)</f>
        <v/>
      </c>
      <c r="AA715">
        <f>RAND()</f>
        <v/>
      </c>
      <c r="AB715">
        <f>RAND()</f>
        <v/>
      </c>
      <c r="AC715">
        <f>RAND()</f>
        <v/>
      </c>
      <c r="AD715">
        <f>RAND()</f>
        <v/>
      </c>
      <c r="AE715">
        <f>RAND()</f>
        <v/>
      </c>
      <c r="AF715">
        <f>RAND()</f>
        <v/>
      </c>
    </row>
    <row r="716">
      <c r="M716" s="14">
        <f>_xlfn.BETA.INV($AA716,1+4*($D$5-$C$5)/($E$5-$C$5),1+4*($E$5-$D$5)/($E$5-$C$5),$C$5,$E$5)</f>
        <v/>
      </c>
      <c r="N716" s="14">
        <f>IF($AB716&lt;($D$6-$C$6)/($E$6-$C$6),$C$6+SQRT($AB716*($E$6-$C$6)*($D$6-$C$6)),$E$6-SQRT((1-$AB716)*($E$6-$C$6)*($E$6-$D$6)))</f>
        <v/>
      </c>
      <c r="O716" s="14">
        <f>_xlfn.NORM.INV($AC716,$C$7,$D$7)</f>
        <v/>
      </c>
      <c r="P716" s="14">
        <f>$C$8+($D$8-$C$8)*$AD716</f>
        <v/>
      </c>
      <c r="Q716" s="14">
        <f>$C$9</f>
        <v/>
      </c>
      <c r="R716" s="14">
        <f>_xlfn.LOGNORM.INV($AF716,LN($C$10)-0.5*LN(1+($D$10/$C$10)^2),SQRT(LN(1+($D$10/$C$10)^2)))</f>
        <v/>
      </c>
      <c r="S716" s="14">
        <f>SUM(M716:R716)</f>
        <v/>
      </c>
      <c r="AA716">
        <f>RAND()</f>
        <v/>
      </c>
      <c r="AB716">
        <f>RAND()</f>
        <v/>
      </c>
      <c r="AC716">
        <f>RAND()</f>
        <v/>
      </c>
      <c r="AD716">
        <f>RAND()</f>
        <v/>
      </c>
      <c r="AE716">
        <f>RAND()</f>
        <v/>
      </c>
      <c r="AF716">
        <f>RAND()</f>
        <v/>
      </c>
    </row>
    <row r="717">
      <c r="M717" s="14">
        <f>_xlfn.BETA.INV($AA717,1+4*($D$5-$C$5)/($E$5-$C$5),1+4*($E$5-$D$5)/($E$5-$C$5),$C$5,$E$5)</f>
        <v/>
      </c>
      <c r="N717" s="14">
        <f>IF($AB717&lt;($D$6-$C$6)/($E$6-$C$6),$C$6+SQRT($AB717*($E$6-$C$6)*($D$6-$C$6)),$E$6-SQRT((1-$AB717)*($E$6-$C$6)*($E$6-$D$6)))</f>
        <v/>
      </c>
      <c r="O717" s="14">
        <f>_xlfn.NORM.INV($AC717,$C$7,$D$7)</f>
        <v/>
      </c>
      <c r="P717" s="14">
        <f>$C$8+($D$8-$C$8)*$AD717</f>
        <v/>
      </c>
      <c r="Q717" s="14">
        <f>$C$9</f>
        <v/>
      </c>
      <c r="R717" s="14">
        <f>_xlfn.LOGNORM.INV($AF717,LN($C$10)-0.5*LN(1+($D$10/$C$10)^2),SQRT(LN(1+($D$10/$C$10)^2)))</f>
        <v/>
      </c>
      <c r="S717" s="14">
        <f>SUM(M717:R717)</f>
        <v/>
      </c>
      <c r="AA717">
        <f>RAND()</f>
        <v/>
      </c>
      <c r="AB717">
        <f>RAND()</f>
        <v/>
      </c>
      <c r="AC717">
        <f>RAND()</f>
        <v/>
      </c>
      <c r="AD717">
        <f>RAND()</f>
        <v/>
      </c>
      <c r="AE717">
        <f>RAND()</f>
        <v/>
      </c>
      <c r="AF717">
        <f>RAND()</f>
        <v/>
      </c>
    </row>
    <row r="718">
      <c r="M718" s="14">
        <f>_xlfn.BETA.INV($AA718,1+4*($D$5-$C$5)/($E$5-$C$5),1+4*($E$5-$D$5)/($E$5-$C$5),$C$5,$E$5)</f>
        <v/>
      </c>
      <c r="N718" s="14">
        <f>IF($AB718&lt;($D$6-$C$6)/($E$6-$C$6),$C$6+SQRT($AB718*($E$6-$C$6)*($D$6-$C$6)),$E$6-SQRT((1-$AB718)*($E$6-$C$6)*($E$6-$D$6)))</f>
        <v/>
      </c>
      <c r="O718" s="14">
        <f>_xlfn.NORM.INV($AC718,$C$7,$D$7)</f>
        <v/>
      </c>
      <c r="P718" s="14">
        <f>$C$8+($D$8-$C$8)*$AD718</f>
        <v/>
      </c>
      <c r="Q718" s="14">
        <f>$C$9</f>
        <v/>
      </c>
      <c r="R718" s="14">
        <f>_xlfn.LOGNORM.INV($AF718,LN($C$10)-0.5*LN(1+($D$10/$C$10)^2),SQRT(LN(1+($D$10/$C$10)^2)))</f>
        <v/>
      </c>
      <c r="S718" s="14">
        <f>SUM(M718:R718)</f>
        <v/>
      </c>
      <c r="AA718">
        <f>RAND()</f>
        <v/>
      </c>
      <c r="AB718">
        <f>RAND()</f>
        <v/>
      </c>
      <c r="AC718">
        <f>RAND()</f>
        <v/>
      </c>
      <c r="AD718">
        <f>RAND()</f>
        <v/>
      </c>
      <c r="AE718">
        <f>RAND()</f>
        <v/>
      </c>
      <c r="AF718">
        <f>RAND()</f>
        <v/>
      </c>
    </row>
    <row r="719">
      <c r="M719" s="14">
        <f>_xlfn.BETA.INV($AA719,1+4*($D$5-$C$5)/($E$5-$C$5),1+4*($E$5-$D$5)/($E$5-$C$5),$C$5,$E$5)</f>
        <v/>
      </c>
      <c r="N719" s="14">
        <f>IF($AB719&lt;($D$6-$C$6)/($E$6-$C$6),$C$6+SQRT($AB719*($E$6-$C$6)*($D$6-$C$6)),$E$6-SQRT((1-$AB719)*($E$6-$C$6)*($E$6-$D$6)))</f>
        <v/>
      </c>
      <c r="O719" s="14">
        <f>_xlfn.NORM.INV($AC719,$C$7,$D$7)</f>
        <v/>
      </c>
      <c r="P719" s="14">
        <f>$C$8+($D$8-$C$8)*$AD719</f>
        <v/>
      </c>
      <c r="Q719" s="14">
        <f>$C$9</f>
        <v/>
      </c>
      <c r="R719" s="14">
        <f>_xlfn.LOGNORM.INV($AF719,LN($C$10)-0.5*LN(1+($D$10/$C$10)^2),SQRT(LN(1+($D$10/$C$10)^2)))</f>
        <v/>
      </c>
      <c r="S719" s="14">
        <f>SUM(M719:R719)</f>
        <v/>
      </c>
      <c r="AA719">
        <f>RAND()</f>
        <v/>
      </c>
      <c r="AB719">
        <f>RAND()</f>
        <v/>
      </c>
      <c r="AC719">
        <f>RAND()</f>
        <v/>
      </c>
      <c r="AD719">
        <f>RAND()</f>
        <v/>
      </c>
      <c r="AE719">
        <f>RAND()</f>
        <v/>
      </c>
      <c r="AF719">
        <f>RAND()</f>
        <v/>
      </c>
    </row>
    <row r="720">
      <c r="M720" s="14">
        <f>_xlfn.BETA.INV($AA720,1+4*($D$5-$C$5)/($E$5-$C$5),1+4*($E$5-$D$5)/($E$5-$C$5),$C$5,$E$5)</f>
        <v/>
      </c>
      <c r="N720" s="14">
        <f>IF($AB720&lt;($D$6-$C$6)/($E$6-$C$6),$C$6+SQRT($AB720*($E$6-$C$6)*($D$6-$C$6)),$E$6-SQRT((1-$AB720)*($E$6-$C$6)*($E$6-$D$6)))</f>
        <v/>
      </c>
      <c r="O720" s="14">
        <f>_xlfn.NORM.INV($AC720,$C$7,$D$7)</f>
        <v/>
      </c>
      <c r="P720" s="14">
        <f>$C$8+($D$8-$C$8)*$AD720</f>
        <v/>
      </c>
      <c r="Q720" s="14">
        <f>$C$9</f>
        <v/>
      </c>
      <c r="R720" s="14">
        <f>_xlfn.LOGNORM.INV($AF720,LN($C$10)-0.5*LN(1+($D$10/$C$10)^2),SQRT(LN(1+($D$10/$C$10)^2)))</f>
        <v/>
      </c>
      <c r="S720" s="14">
        <f>SUM(M720:R720)</f>
        <v/>
      </c>
      <c r="AA720">
        <f>RAND()</f>
        <v/>
      </c>
      <c r="AB720">
        <f>RAND()</f>
        <v/>
      </c>
      <c r="AC720">
        <f>RAND()</f>
        <v/>
      </c>
      <c r="AD720">
        <f>RAND()</f>
        <v/>
      </c>
      <c r="AE720">
        <f>RAND()</f>
        <v/>
      </c>
      <c r="AF720">
        <f>RAND()</f>
        <v/>
      </c>
    </row>
    <row r="721">
      <c r="M721" s="14">
        <f>_xlfn.BETA.INV($AA721,1+4*($D$5-$C$5)/($E$5-$C$5),1+4*($E$5-$D$5)/($E$5-$C$5),$C$5,$E$5)</f>
        <v/>
      </c>
      <c r="N721" s="14">
        <f>IF($AB721&lt;($D$6-$C$6)/($E$6-$C$6),$C$6+SQRT($AB721*($E$6-$C$6)*($D$6-$C$6)),$E$6-SQRT((1-$AB721)*($E$6-$C$6)*($E$6-$D$6)))</f>
        <v/>
      </c>
      <c r="O721" s="14">
        <f>_xlfn.NORM.INV($AC721,$C$7,$D$7)</f>
        <v/>
      </c>
      <c r="P721" s="14">
        <f>$C$8+($D$8-$C$8)*$AD721</f>
        <v/>
      </c>
      <c r="Q721" s="14">
        <f>$C$9</f>
        <v/>
      </c>
      <c r="R721" s="14">
        <f>_xlfn.LOGNORM.INV($AF721,LN($C$10)-0.5*LN(1+($D$10/$C$10)^2),SQRT(LN(1+($D$10/$C$10)^2)))</f>
        <v/>
      </c>
      <c r="S721" s="14">
        <f>SUM(M721:R721)</f>
        <v/>
      </c>
      <c r="AA721">
        <f>RAND()</f>
        <v/>
      </c>
      <c r="AB721">
        <f>RAND()</f>
        <v/>
      </c>
      <c r="AC721">
        <f>RAND()</f>
        <v/>
      </c>
      <c r="AD721">
        <f>RAND()</f>
        <v/>
      </c>
      <c r="AE721">
        <f>RAND()</f>
        <v/>
      </c>
      <c r="AF721">
        <f>RAND()</f>
        <v/>
      </c>
    </row>
    <row r="722">
      <c r="M722" s="14">
        <f>_xlfn.BETA.INV($AA722,1+4*($D$5-$C$5)/($E$5-$C$5),1+4*($E$5-$D$5)/($E$5-$C$5),$C$5,$E$5)</f>
        <v/>
      </c>
      <c r="N722" s="14">
        <f>IF($AB722&lt;($D$6-$C$6)/($E$6-$C$6),$C$6+SQRT($AB722*($E$6-$C$6)*($D$6-$C$6)),$E$6-SQRT((1-$AB722)*($E$6-$C$6)*($E$6-$D$6)))</f>
        <v/>
      </c>
      <c r="O722" s="14">
        <f>_xlfn.NORM.INV($AC722,$C$7,$D$7)</f>
        <v/>
      </c>
      <c r="P722" s="14">
        <f>$C$8+($D$8-$C$8)*$AD722</f>
        <v/>
      </c>
      <c r="Q722" s="14">
        <f>$C$9</f>
        <v/>
      </c>
      <c r="R722" s="14">
        <f>_xlfn.LOGNORM.INV($AF722,LN($C$10)-0.5*LN(1+($D$10/$C$10)^2),SQRT(LN(1+($D$10/$C$10)^2)))</f>
        <v/>
      </c>
      <c r="S722" s="14">
        <f>SUM(M722:R722)</f>
        <v/>
      </c>
      <c r="AA722">
        <f>RAND()</f>
        <v/>
      </c>
      <c r="AB722">
        <f>RAND()</f>
        <v/>
      </c>
      <c r="AC722">
        <f>RAND()</f>
        <v/>
      </c>
      <c r="AD722">
        <f>RAND()</f>
        <v/>
      </c>
      <c r="AE722">
        <f>RAND()</f>
        <v/>
      </c>
      <c r="AF722">
        <f>RAND()</f>
        <v/>
      </c>
    </row>
    <row r="723">
      <c r="M723" s="14">
        <f>_xlfn.BETA.INV($AA723,1+4*($D$5-$C$5)/($E$5-$C$5),1+4*($E$5-$D$5)/($E$5-$C$5),$C$5,$E$5)</f>
        <v/>
      </c>
      <c r="N723" s="14">
        <f>IF($AB723&lt;($D$6-$C$6)/($E$6-$C$6),$C$6+SQRT($AB723*($E$6-$C$6)*($D$6-$C$6)),$E$6-SQRT((1-$AB723)*($E$6-$C$6)*($E$6-$D$6)))</f>
        <v/>
      </c>
      <c r="O723" s="14">
        <f>_xlfn.NORM.INV($AC723,$C$7,$D$7)</f>
        <v/>
      </c>
      <c r="P723" s="14">
        <f>$C$8+($D$8-$C$8)*$AD723</f>
        <v/>
      </c>
      <c r="Q723" s="14">
        <f>$C$9</f>
        <v/>
      </c>
      <c r="R723" s="14">
        <f>_xlfn.LOGNORM.INV($AF723,LN($C$10)-0.5*LN(1+($D$10/$C$10)^2),SQRT(LN(1+($D$10/$C$10)^2)))</f>
        <v/>
      </c>
      <c r="S723" s="14">
        <f>SUM(M723:R723)</f>
        <v/>
      </c>
      <c r="AA723">
        <f>RAND()</f>
        <v/>
      </c>
      <c r="AB723">
        <f>RAND()</f>
        <v/>
      </c>
      <c r="AC723">
        <f>RAND()</f>
        <v/>
      </c>
      <c r="AD723">
        <f>RAND()</f>
        <v/>
      </c>
      <c r="AE723">
        <f>RAND()</f>
        <v/>
      </c>
      <c r="AF723">
        <f>RAND()</f>
        <v/>
      </c>
    </row>
    <row r="724">
      <c r="M724" s="14">
        <f>_xlfn.BETA.INV($AA724,1+4*($D$5-$C$5)/($E$5-$C$5),1+4*($E$5-$D$5)/($E$5-$C$5),$C$5,$E$5)</f>
        <v/>
      </c>
      <c r="N724" s="14">
        <f>IF($AB724&lt;($D$6-$C$6)/($E$6-$C$6),$C$6+SQRT($AB724*($E$6-$C$6)*($D$6-$C$6)),$E$6-SQRT((1-$AB724)*($E$6-$C$6)*($E$6-$D$6)))</f>
        <v/>
      </c>
      <c r="O724" s="14">
        <f>_xlfn.NORM.INV($AC724,$C$7,$D$7)</f>
        <v/>
      </c>
      <c r="P724" s="14">
        <f>$C$8+($D$8-$C$8)*$AD724</f>
        <v/>
      </c>
      <c r="Q724" s="14">
        <f>$C$9</f>
        <v/>
      </c>
      <c r="R724" s="14">
        <f>_xlfn.LOGNORM.INV($AF724,LN($C$10)-0.5*LN(1+($D$10/$C$10)^2),SQRT(LN(1+($D$10/$C$10)^2)))</f>
        <v/>
      </c>
      <c r="S724" s="14">
        <f>SUM(M724:R724)</f>
        <v/>
      </c>
      <c r="AA724">
        <f>RAND()</f>
        <v/>
      </c>
      <c r="AB724">
        <f>RAND()</f>
        <v/>
      </c>
      <c r="AC724">
        <f>RAND()</f>
        <v/>
      </c>
      <c r="AD724">
        <f>RAND()</f>
        <v/>
      </c>
      <c r="AE724">
        <f>RAND()</f>
        <v/>
      </c>
      <c r="AF724">
        <f>RAND()</f>
        <v/>
      </c>
    </row>
    <row r="725">
      <c r="M725" s="14">
        <f>_xlfn.BETA.INV($AA725,1+4*($D$5-$C$5)/($E$5-$C$5),1+4*($E$5-$D$5)/($E$5-$C$5),$C$5,$E$5)</f>
        <v/>
      </c>
      <c r="N725" s="14">
        <f>IF($AB725&lt;($D$6-$C$6)/($E$6-$C$6),$C$6+SQRT($AB725*($E$6-$C$6)*($D$6-$C$6)),$E$6-SQRT((1-$AB725)*($E$6-$C$6)*($E$6-$D$6)))</f>
        <v/>
      </c>
      <c r="O725" s="14">
        <f>_xlfn.NORM.INV($AC725,$C$7,$D$7)</f>
        <v/>
      </c>
      <c r="P725" s="14">
        <f>$C$8+($D$8-$C$8)*$AD725</f>
        <v/>
      </c>
      <c r="Q725" s="14">
        <f>$C$9</f>
        <v/>
      </c>
      <c r="R725" s="14">
        <f>_xlfn.LOGNORM.INV($AF725,LN($C$10)-0.5*LN(1+($D$10/$C$10)^2),SQRT(LN(1+($D$10/$C$10)^2)))</f>
        <v/>
      </c>
      <c r="S725" s="14">
        <f>SUM(M725:R725)</f>
        <v/>
      </c>
      <c r="AA725">
        <f>RAND()</f>
        <v/>
      </c>
      <c r="AB725">
        <f>RAND()</f>
        <v/>
      </c>
      <c r="AC725">
        <f>RAND()</f>
        <v/>
      </c>
      <c r="AD725">
        <f>RAND()</f>
        <v/>
      </c>
      <c r="AE725">
        <f>RAND()</f>
        <v/>
      </c>
      <c r="AF725">
        <f>RAND()</f>
        <v/>
      </c>
    </row>
    <row r="726">
      <c r="M726" s="14">
        <f>_xlfn.BETA.INV($AA726,1+4*($D$5-$C$5)/($E$5-$C$5),1+4*($E$5-$D$5)/($E$5-$C$5),$C$5,$E$5)</f>
        <v/>
      </c>
      <c r="N726" s="14">
        <f>IF($AB726&lt;($D$6-$C$6)/($E$6-$C$6),$C$6+SQRT($AB726*($E$6-$C$6)*($D$6-$C$6)),$E$6-SQRT((1-$AB726)*($E$6-$C$6)*($E$6-$D$6)))</f>
        <v/>
      </c>
      <c r="O726" s="14">
        <f>_xlfn.NORM.INV($AC726,$C$7,$D$7)</f>
        <v/>
      </c>
      <c r="P726" s="14">
        <f>$C$8+($D$8-$C$8)*$AD726</f>
        <v/>
      </c>
      <c r="Q726" s="14">
        <f>$C$9</f>
        <v/>
      </c>
      <c r="R726" s="14">
        <f>_xlfn.LOGNORM.INV($AF726,LN($C$10)-0.5*LN(1+($D$10/$C$10)^2),SQRT(LN(1+($D$10/$C$10)^2)))</f>
        <v/>
      </c>
      <c r="S726" s="14">
        <f>SUM(M726:R726)</f>
        <v/>
      </c>
      <c r="AA726">
        <f>RAND()</f>
        <v/>
      </c>
      <c r="AB726">
        <f>RAND()</f>
        <v/>
      </c>
      <c r="AC726">
        <f>RAND()</f>
        <v/>
      </c>
      <c r="AD726">
        <f>RAND()</f>
        <v/>
      </c>
      <c r="AE726">
        <f>RAND()</f>
        <v/>
      </c>
      <c r="AF726">
        <f>RAND()</f>
        <v/>
      </c>
    </row>
    <row r="727">
      <c r="M727" s="14">
        <f>_xlfn.BETA.INV($AA727,1+4*($D$5-$C$5)/($E$5-$C$5),1+4*($E$5-$D$5)/($E$5-$C$5),$C$5,$E$5)</f>
        <v/>
      </c>
      <c r="N727" s="14">
        <f>IF($AB727&lt;($D$6-$C$6)/($E$6-$C$6),$C$6+SQRT($AB727*($E$6-$C$6)*($D$6-$C$6)),$E$6-SQRT((1-$AB727)*($E$6-$C$6)*($E$6-$D$6)))</f>
        <v/>
      </c>
      <c r="O727" s="14">
        <f>_xlfn.NORM.INV($AC727,$C$7,$D$7)</f>
        <v/>
      </c>
      <c r="P727" s="14">
        <f>$C$8+($D$8-$C$8)*$AD727</f>
        <v/>
      </c>
      <c r="Q727" s="14">
        <f>$C$9</f>
        <v/>
      </c>
      <c r="R727" s="14">
        <f>_xlfn.LOGNORM.INV($AF727,LN($C$10)-0.5*LN(1+($D$10/$C$10)^2),SQRT(LN(1+($D$10/$C$10)^2)))</f>
        <v/>
      </c>
      <c r="S727" s="14">
        <f>SUM(M727:R727)</f>
        <v/>
      </c>
      <c r="AA727">
        <f>RAND()</f>
        <v/>
      </c>
      <c r="AB727">
        <f>RAND()</f>
        <v/>
      </c>
      <c r="AC727">
        <f>RAND()</f>
        <v/>
      </c>
      <c r="AD727">
        <f>RAND()</f>
        <v/>
      </c>
      <c r="AE727">
        <f>RAND()</f>
        <v/>
      </c>
      <c r="AF727">
        <f>RAND()</f>
        <v/>
      </c>
    </row>
    <row r="728">
      <c r="M728" s="14">
        <f>_xlfn.BETA.INV($AA728,1+4*($D$5-$C$5)/($E$5-$C$5),1+4*($E$5-$D$5)/($E$5-$C$5),$C$5,$E$5)</f>
        <v/>
      </c>
      <c r="N728" s="14">
        <f>IF($AB728&lt;($D$6-$C$6)/($E$6-$C$6),$C$6+SQRT($AB728*($E$6-$C$6)*($D$6-$C$6)),$E$6-SQRT((1-$AB728)*($E$6-$C$6)*($E$6-$D$6)))</f>
        <v/>
      </c>
      <c r="O728" s="14">
        <f>_xlfn.NORM.INV($AC728,$C$7,$D$7)</f>
        <v/>
      </c>
      <c r="P728" s="14">
        <f>$C$8+($D$8-$C$8)*$AD728</f>
        <v/>
      </c>
      <c r="Q728" s="14">
        <f>$C$9</f>
        <v/>
      </c>
      <c r="R728" s="14">
        <f>_xlfn.LOGNORM.INV($AF728,LN($C$10)-0.5*LN(1+($D$10/$C$10)^2),SQRT(LN(1+($D$10/$C$10)^2)))</f>
        <v/>
      </c>
      <c r="S728" s="14">
        <f>SUM(M728:R728)</f>
        <v/>
      </c>
      <c r="AA728">
        <f>RAND()</f>
        <v/>
      </c>
      <c r="AB728">
        <f>RAND()</f>
        <v/>
      </c>
      <c r="AC728">
        <f>RAND()</f>
        <v/>
      </c>
      <c r="AD728">
        <f>RAND()</f>
        <v/>
      </c>
      <c r="AE728">
        <f>RAND()</f>
        <v/>
      </c>
      <c r="AF728">
        <f>RAND()</f>
        <v/>
      </c>
    </row>
    <row r="729">
      <c r="M729" s="14">
        <f>_xlfn.BETA.INV($AA729,1+4*($D$5-$C$5)/($E$5-$C$5),1+4*($E$5-$D$5)/($E$5-$C$5),$C$5,$E$5)</f>
        <v/>
      </c>
      <c r="N729" s="14">
        <f>IF($AB729&lt;($D$6-$C$6)/($E$6-$C$6),$C$6+SQRT($AB729*($E$6-$C$6)*($D$6-$C$6)),$E$6-SQRT((1-$AB729)*($E$6-$C$6)*($E$6-$D$6)))</f>
        <v/>
      </c>
      <c r="O729" s="14">
        <f>_xlfn.NORM.INV($AC729,$C$7,$D$7)</f>
        <v/>
      </c>
      <c r="P729" s="14">
        <f>$C$8+($D$8-$C$8)*$AD729</f>
        <v/>
      </c>
      <c r="Q729" s="14">
        <f>$C$9</f>
        <v/>
      </c>
      <c r="R729" s="14">
        <f>_xlfn.LOGNORM.INV($AF729,LN($C$10)-0.5*LN(1+($D$10/$C$10)^2),SQRT(LN(1+($D$10/$C$10)^2)))</f>
        <v/>
      </c>
      <c r="S729" s="14">
        <f>SUM(M729:R729)</f>
        <v/>
      </c>
      <c r="AA729">
        <f>RAND()</f>
        <v/>
      </c>
      <c r="AB729">
        <f>RAND()</f>
        <v/>
      </c>
      <c r="AC729">
        <f>RAND()</f>
        <v/>
      </c>
      <c r="AD729">
        <f>RAND()</f>
        <v/>
      </c>
      <c r="AE729">
        <f>RAND()</f>
        <v/>
      </c>
      <c r="AF729">
        <f>RAND()</f>
        <v/>
      </c>
    </row>
    <row r="730">
      <c r="M730" s="14">
        <f>_xlfn.BETA.INV($AA730,1+4*($D$5-$C$5)/($E$5-$C$5),1+4*($E$5-$D$5)/($E$5-$C$5),$C$5,$E$5)</f>
        <v/>
      </c>
      <c r="N730" s="14">
        <f>IF($AB730&lt;($D$6-$C$6)/($E$6-$C$6),$C$6+SQRT($AB730*($E$6-$C$6)*($D$6-$C$6)),$E$6-SQRT((1-$AB730)*($E$6-$C$6)*($E$6-$D$6)))</f>
        <v/>
      </c>
      <c r="O730" s="14">
        <f>_xlfn.NORM.INV($AC730,$C$7,$D$7)</f>
        <v/>
      </c>
      <c r="P730" s="14">
        <f>$C$8+($D$8-$C$8)*$AD730</f>
        <v/>
      </c>
      <c r="Q730" s="14">
        <f>$C$9</f>
        <v/>
      </c>
      <c r="R730" s="14">
        <f>_xlfn.LOGNORM.INV($AF730,LN($C$10)-0.5*LN(1+($D$10/$C$10)^2),SQRT(LN(1+($D$10/$C$10)^2)))</f>
        <v/>
      </c>
      <c r="S730" s="14">
        <f>SUM(M730:R730)</f>
        <v/>
      </c>
      <c r="AA730">
        <f>RAND()</f>
        <v/>
      </c>
      <c r="AB730">
        <f>RAND()</f>
        <v/>
      </c>
      <c r="AC730">
        <f>RAND()</f>
        <v/>
      </c>
      <c r="AD730">
        <f>RAND()</f>
        <v/>
      </c>
      <c r="AE730">
        <f>RAND()</f>
        <v/>
      </c>
      <c r="AF730">
        <f>RAND()</f>
        <v/>
      </c>
    </row>
    <row r="731">
      <c r="M731" s="14">
        <f>_xlfn.BETA.INV($AA731,1+4*($D$5-$C$5)/($E$5-$C$5),1+4*($E$5-$D$5)/($E$5-$C$5),$C$5,$E$5)</f>
        <v/>
      </c>
      <c r="N731" s="14">
        <f>IF($AB731&lt;($D$6-$C$6)/($E$6-$C$6),$C$6+SQRT($AB731*($E$6-$C$6)*($D$6-$C$6)),$E$6-SQRT((1-$AB731)*($E$6-$C$6)*($E$6-$D$6)))</f>
        <v/>
      </c>
      <c r="O731" s="14">
        <f>_xlfn.NORM.INV($AC731,$C$7,$D$7)</f>
        <v/>
      </c>
      <c r="P731" s="14">
        <f>$C$8+($D$8-$C$8)*$AD731</f>
        <v/>
      </c>
      <c r="Q731" s="14">
        <f>$C$9</f>
        <v/>
      </c>
      <c r="R731" s="14">
        <f>_xlfn.LOGNORM.INV($AF731,LN($C$10)-0.5*LN(1+($D$10/$C$10)^2),SQRT(LN(1+($D$10/$C$10)^2)))</f>
        <v/>
      </c>
      <c r="S731" s="14">
        <f>SUM(M731:R731)</f>
        <v/>
      </c>
      <c r="AA731">
        <f>RAND()</f>
        <v/>
      </c>
      <c r="AB731">
        <f>RAND()</f>
        <v/>
      </c>
      <c r="AC731">
        <f>RAND()</f>
        <v/>
      </c>
      <c r="AD731">
        <f>RAND()</f>
        <v/>
      </c>
      <c r="AE731">
        <f>RAND()</f>
        <v/>
      </c>
      <c r="AF731">
        <f>RAND()</f>
        <v/>
      </c>
    </row>
    <row r="732">
      <c r="M732" s="14">
        <f>_xlfn.BETA.INV($AA732,1+4*($D$5-$C$5)/($E$5-$C$5),1+4*($E$5-$D$5)/($E$5-$C$5),$C$5,$E$5)</f>
        <v/>
      </c>
      <c r="N732" s="14">
        <f>IF($AB732&lt;($D$6-$C$6)/($E$6-$C$6),$C$6+SQRT($AB732*($E$6-$C$6)*($D$6-$C$6)),$E$6-SQRT((1-$AB732)*($E$6-$C$6)*($E$6-$D$6)))</f>
        <v/>
      </c>
      <c r="O732" s="14">
        <f>_xlfn.NORM.INV($AC732,$C$7,$D$7)</f>
        <v/>
      </c>
      <c r="P732" s="14">
        <f>$C$8+($D$8-$C$8)*$AD732</f>
        <v/>
      </c>
      <c r="Q732" s="14">
        <f>$C$9</f>
        <v/>
      </c>
      <c r="R732" s="14">
        <f>_xlfn.LOGNORM.INV($AF732,LN($C$10)-0.5*LN(1+($D$10/$C$10)^2),SQRT(LN(1+($D$10/$C$10)^2)))</f>
        <v/>
      </c>
      <c r="S732" s="14">
        <f>SUM(M732:R732)</f>
        <v/>
      </c>
      <c r="AA732">
        <f>RAND()</f>
        <v/>
      </c>
      <c r="AB732">
        <f>RAND()</f>
        <v/>
      </c>
      <c r="AC732">
        <f>RAND()</f>
        <v/>
      </c>
      <c r="AD732">
        <f>RAND()</f>
        <v/>
      </c>
      <c r="AE732">
        <f>RAND()</f>
        <v/>
      </c>
      <c r="AF732">
        <f>RAND()</f>
        <v/>
      </c>
    </row>
    <row r="733">
      <c r="M733" s="14">
        <f>_xlfn.BETA.INV($AA733,1+4*($D$5-$C$5)/($E$5-$C$5),1+4*($E$5-$D$5)/($E$5-$C$5),$C$5,$E$5)</f>
        <v/>
      </c>
      <c r="N733" s="14">
        <f>IF($AB733&lt;($D$6-$C$6)/($E$6-$C$6),$C$6+SQRT($AB733*($E$6-$C$6)*($D$6-$C$6)),$E$6-SQRT((1-$AB733)*($E$6-$C$6)*($E$6-$D$6)))</f>
        <v/>
      </c>
      <c r="O733" s="14">
        <f>_xlfn.NORM.INV($AC733,$C$7,$D$7)</f>
        <v/>
      </c>
      <c r="P733" s="14">
        <f>$C$8+($D$8-$C$8)*$AD733</f>
        <v/>
      </c>
      <c r="Q733" s="14">
        <f>$C$9</f>
        <v/>
      </c>
      <c r="R733" s="14">
        <f>_xlfn.LOGNORM.INV($AF733,LN($C$10)-0.5*LN(1+($D$10/$C$10)^2),SQRT(LN(1+($D$10/$C$10)^2)))</f>
        <v/>
      </c>
      <c r="S733" s="14">
        <f>SUM(M733:R733)</f>
        <v/>
      </c>
      <c r="AA733">
        <f>RAND()</f>
        <v/>
      </c>
      <c r="AB733">
        <f>RAND()</f>
        <v/>
      </c>
      <c r="AC733">
        <f>RAND()</f>
        <v/>
      </c>
      <c r="AD733">
        <f>RAND()</f>
        <v/>
      </c>
      <c r="AE733">
        <f>RAND()</f>
        <v/>
      </c>
      <c r="AF733">
        <f>RAND()</f>
        <v/>
      </c>
    </row>
    <row r="734">
      <c r="M734" s="14">
        <f>_xlfn.BETA.INV($AA734,1+4*($D$5-$C$5)/($E$5-$C$5),1+4*($E$5-$D$5)/($E$5-$C$5),$C$5,$E$5)</f>
        <v/>
      </c>
      <c r="N734" s="14">
        <f>IF($AB734&lt;($D$6-$C$6)/($E$6-$C$6),$C$6+SQRT($AB734*($E$6-$C$6)*($D$6-$C$6)),$E$6-SQRT((1-$AB734)*($E$6-$C$6)*($E$6-$D$6)))</f>
        <v/>
      </c>
      <c r="O734" s="14">
        <f>_xlfn.NORM.INV($AC734,$C$7,$D$7)</f>
        <v/>
      </c>
      <c r="P734" s="14">
        <f>$C$8+($D$8-$C$8)*$AD734</f>
        <v/>
      </c>
      <c r="Q734" s="14">
        <f>$C$9</f>
        <v/>
      </c>
      <c r="R734" s="14">
        <f>_xlfn.LOGNORM.INV($AF734,LN($C$10)-0.5*LN(1+($D$10/$C$10)^2),SQRT(LN(1+($D$10/$C$10)^2)))</f>
        <v/>
      </c>
      <c r="S734" s="14">
        <f>SUM(M734:R734)</f>
        <v/>
      </c>
      <c r="AA734">
        <f>RAND()</f>
        <v/>
      </c>
      <c r="AB734">
        <f>RAND()</f>
        <v/>
      </c>
      <c r="AC734">
        <f>RAND()</f>
        <v/>
      </c>
      <c r="AD734">
        <f>RAND()</f>
        <v/>
      </c>
      <c r="AE734">
        <f>RAND()</f>
        <v/>
      </c>
      <c r="AF734">
        <f>RAND()</f>
        <v/>
      </c>
    </row>
    <row r="735">
      <c r="M735" s="14">
        <f>_xlfn.BETA.INV($AA735,1+4*($D$5-$C$5)/($E$5-$C$5),1+4*($E$5-$D$5)/($E$5-$C$5),$C$5,$E$5)</f>
        <v/>
      </c>
      <c r="N735" s="14">
        <f>IF($AB735&lt;($D$6-$C$6)/($E$6-$C$6),$C$6+SQRT($AB735*($E$6-$C$6)*($D$6-$C$6)),$E$6-SQRT((1-$AB735)*($E$6-$C$6)*($E$6-$D$6)))</f>
        <v/>
      </c>
      <c r="O735" s="14">
        <f>_xlfn.NORM.INV($AC735,$C$7,$D$7)</f>
        <v/>
      </c>
      <c r="P735" s="14">
        <f>$C$8+($D$8-$C$8)*$AD735</f>
        <v/>
      </c>
      <c r="Q735" s="14">
        <f>$C$9</f>
        <v/>
      </c>
      <c r="R735" s="14">
        <f>_xlfn.LOGNORM.INV($AF735,LN($C$10)-0.5*LN(1+($D$10/$C$10)^2),SQRT(LN(1+($D$10/$C$10)^2)))</f>
        <v/>
      </c>
      <c r="S735" s="14">
        <f>SUM(M735:R735)</f>
        <v/>
      </c>
      <c r="AA735">
        <f>RAND()</f>
        <v/>
      </c>
      <c r="AB735">
        <f>RAND()</f>
        <v/>
      </c>
      <c r="AC735">
        <f>RAND()</f>
        <v/>
      </c>
      <c r="AD735">
        <f>RAND()</f>
        <v/>
      </c>
      <c r="AE735">
        <f>RAND()</f>
        <v/>
      </c>
      <c r="AF735">
        <f>RAND()</f>
        <v/>
      </c>
    </row>
    <row r="736">
      <c r="M736" s="14">
        <f>_xlfn.BETA.INV($AA736,1+4*($D$5-$C$5)/($E$5-$C$5),1+4*($E$5-$D$5)/($E$5-$C$5),$C$5,$E$5)</f>
        <v/>
      </c>
      <c r="N736" s="14">
        <f>IF($AB736&lt;($D$6-$C$6)/($E$6-$C$6),$C$6+SQRT($AB736*($E$6-$C$6)*($D$6-$C$6)),$E$6-SQRT((1-$AB736)*($E$6-$C$6)*($E$6-$D$6)))</f>
        <v/>
      </c>
      <c r="O736" s="14">
        <f>_xlfn.NORM.INV($AC736,$C$7,$D$7)</f>
        <v/>
      </c>
      <c r="P736" s="14">
        <f>$C$8+($D$8-$C$8)*$AD736</f>
        <v/>
      </c>
      <c r="Q736" s="14">
        <f>$C$9</f>
        <v/>
      </c>
      <c r="R736" s="14">
        <f>_xlfn.LOGNORM.INV($AF736,LN($C$10)-0.5*LN(1+($D$10/$C$10)^2),SQRT(LN(1+($D$10/$C$10)^2)))</f>
        <v/>
      </c>
      <c r="S736" s="14">
        <f>SUM(M736:R736)</f>
        <v/>
      </c>
      <c r="AA736">
        <f>RAND()</f>
        <v/>
      </c>
      <c r="AB736">
        <f>RAND()</f>
        <v/>
      </c>
      <c r="AC736">
        <f>RAND()</f>
        <v/>
      </c>
      <c r="AD736">
        <f>RAND()</f>
        <v/>
      </c>
      <c r="AE736">
        <f>RAND()</f>
        <v/>
      </c>
      <c r="AF736">
        <f>RAND()</f>
        <v/>
      </c>
    </row>
    <row r="737">
      <c r="M737" s="14">
        <f>_xlfn.BETA.INV($AA737,1+4*($D$5-$C$5)/($E$5-$C$5),1+4*($E$5-$D$5)/($E$5-$C$5),$C$5,$E$5)</f>
        <v/>
      </c>
      <c r="N737" s="14">
        <f>IF($AB737&lt;($D$6-$C$6)/($E$6-$C$6),$C$6+SQRT($AB737*($E$6-$C$6)*($D$6-$C$6)),$E$6-SQRT((1-$AB737)*($E$6-$C$6)*($E$6-$D$6)))</f>
        <v/>
      </c>
      <c r="O737" s="14">
        <f>_xlfn.NORM.INV($AC737,$C$7,$D$7)</f>
        <v/>
      </c>
      <c r="P737" s="14">
        <f>$C$8+($D$8-$C$8)*$AD737</f>
        <v/>
      </c>
      <c r="Q737" s="14">
        <f>$C$9</f>
        <v/>
      </c>
      <c r="R737" s="14">
        <f>_xlfn.LOGNORM.INV($AF737,LN($C$10)-0.5*LN(1+($D$10/$C$10)^2),SQRT(LN(1+($D$10/$C$10)^2)))</f>
        <v/>
      </c>
      <c r="S737" s="14">
        <f>SUM(M737:R737)</f>
        <v/>
      </c>
      <c r="AA737">
        <f>RAND()</f>
        <v/>
      </c>
      <c r="AB737">
        <f>RAND()</f>
        <v/>
      </c>
      <c r="AC737">
        <f>RAND()</f>
        <v/>
      </c>
      <c r="AD737">
        <f>RAND()</f>
        <v/>
      </c>
      <c r="AE737">
        <f>RAND()</f>
        <v/>
      </c>
      <c r="AF737">
        <f>RAND()</f>
        <v/>
      </c>
    </row>
    <row r="738">
      <c r="M738" s="14">
        <f>_xlfn.BETA.INV($AA738,1+4*($D$5-$C$5)/($E$5-$C$5),1+4*($E$5-$D$5)/($E$5-$C$5),$C$5,$E$5)</f>
        <v/>
      </c>
      <c r="N738" s="14">
        <f>IF($AB738&lt;($D$6-$C$6)/($E$6-$C$6),$C$6+SQRT($AB738*($E$6-$C$6)*($D$6-$C$6)),$E$6-SQRT((1-$AB738)*($E$6-$C$6)*($E$6-$D$6)))</f>
        <v/>
      </c>
      <c r="O738" s="14">
        <f>_xlfn.NORM.INV($AC738,$C$7,$D$7)</f>
        <v/>
      </c>
      <c r="P738" s="14">
        <f>$C$8+($D$8-$C$8)*$AD738</f>
        <v/>
      </c>
      <c r="Q738" s="14">
        <f>$C$9</f>
        <v/>
      </c>
      <c r="R738" s="14">
        <f>_xlfn.LOGNORM.INV($AF738,LN($C$10)-0.5*LN(1+($D$10/$C$10)^2),SQRT(LN(1+($D$10/$C$10)^2)))</f>
        <v/>
      </c>
      <c r="S738" s="14">
        <f>SUM(M738:R738)</f>
        <v/>
      </c>
      <c r="AA738">
        <f>RAND()</f>
        <v/>
      </c>
      <c r="AB738">
        <f>RAND()</f>
        <v/>
      </c>
      <c r="AC738">
        <f>RAND()</f>
        <v/>
      </c>
      <c r="AD738">
        <f>RAND()</f>
        <v/>
      </c>
      <c r="AE738">
        <f>RAND()</f>
        <v/>
      </c>
      <c r="AF738">
        <f>RAND()</f>
        <v/>
      </c>
    </row>
    <row r="739">
      <c r="M739" s="14">
        <f>_xlfn.BETA.INV($AA739,1+4*($D$5-$C$5)/($E$5-$C$5),1+4*($E$5-$D$5)/($E$5-$C$5),$C$5,$E$5)</f>
        <v/>
      </c>
      <c r="N739" s="14">
        <f>IF($AB739&lt;($D$6-$C$6)/($E$6-$C$6),$C$6+SQRT($AB739*($E$6-$C$6)*($D$6-$C$6)),$E$6-SQRT((1-$AB739)*($E$6-$C$6)*($E$6-$D$6)))</f>
        <v/>
      </c>
      <c r="O739" s="14">
        <f>_xlfn.NORM.INV($AC739,$C$7,$D$7)</f>
        <v/>
      </c>
      <c r="P739" s="14">
        <f>$C$8+($D$8-$C$8)*$AD739</f>
        <v/>
      </c>
      <c r="Q739" s="14">
        <f>$C$9</f>
        <v/>
      </c>
      <c r="R739" s="14">
        <f>_xlfn.LOGNORM.INV($AF739,LN($C$10)-0.5*LN(1+($D$10/$C$10)^2),SQRT(LN(1+($D$10/$C$10)^2)))</f>
        <v/>
      </c>
      <c r="S739" s="14">
        <f>SUM(M739:R739)</f>
        <v/>
      </c>
      <c r="AA739">
        <f>RAND()</f>
        <v/>
      </c>
      <c r="AB739">
        <f>RAND()</f>
        <v/>
      </c>
      <c r="AC739">
        <f>RAND()</f>
        <v/>
      </c>
      <c r="AD739">
        <f>RAND()</f>
        <v/>
      </c>
      <c r="AE739">
        <f>RAND()</f>
        <v/>
      </c>
      <c r="AF739">
        <f>RAND()</f>
        <v/>
      </c>
    </row>
    <row r="740">
      <c r="M740" s="14">
        <f>_xlfn.BETA.INV($AA740,1+4*($D$5-$C$5)/($E$5-$C$5),1+4*($E$5-$D$5)/($E$5-$C$5),$C$5,$E$5)</f>
        <v/>
      </c>
      <c r="N740" s="14">
        <f>IF($AB740&lt;($D$6-$C$6)/($E$6-$C$6),$C$6+SQRT($AB740*($E$6-$C$6)*($D$6-$C$6)),$E$6-SQRT((1-$AB740)*($E$6-$C$6)*($E$6-$D$6)))</f>
        <v/>
      </c>
      <c r="O740" s="14">
        <f>_xlfn.NORM.INV($AC740,$C$7,$D$7)</f>
        <v/>
      </c>
      <c r="P740" s="14">
        <f>$C$8+($D$8-$C$8)*$AD740</f>
        <v/>
      </c>
      <c r="Q740" s="14">
        <f>$C$9</f>
        <v/>
      </c>
      <c r="R740" s="14">
        <f>_xlfn.LOGNORM.INV($AF740,LN($C$10)-0.5*LN(1+($D$10/$C$10)^2),SQRT(LN(1+($D$10/$C$10)^2)))</f>
        <v/>
      </c>
      <c r="S740" s="14">
        <f>SUM(M740:R740)</f>
        <v/>
      </c>
      <c r="AA740">
        <f>RAND()</f>
        <v/>
      </c>
      <c r="AB740">
        <f>RAND()</f>
        <v/>
      </c>
      <c r="AC740">
        <f>RAND()</f>
        <v/>
      </c>
      <c r="AD740">
        <f>RAND()</f>
        <v/>
      </c>
      <c r="AE740">
        <f>RAND()</f>
        <v/>
      </c>
      <c r="AF740">
        <f>RAND()</f>
        <v/>
      </c>
    </row>
    <row r="741">
      <c r="M741" s="14">
        <f>_xlfn.BETA.INV($AA741,1+4*($D$5-$C$5)/($E$5-$C$5),1+4*($E$5-$D$5)/($E$5-$C$5),$C$5,$E$5)</f>
        <v/>
      </c>
      <c r="N741" s="14">
        <f>IF($AB741&lt;($D$6-$C$6)/($E$6-$C$6),$C$6+SQRT($AB741*($E$6-$C$6)*($D$6-$C$6)),$E$6-SQRT((1-$AB741)*($E$6-$C$6)*($E$6-$D$6)))</f>
        <v/>
      </c>
      <c r="O741" s="14">
        <f>_xlfn.NORM.INV($AC741,$C$7,$D$7)</f>
        <v/>
      </c>
      <c r="P741" s="14">
        <f>$C$8+($D$8-$C$8)*$AD741</f>
        <v/>
      </c>
      <c r="Q741" s="14">
        <f>$C$9</f>
        <v/>
      </c>
      <c r="R741" s="14">
        <f>_xlfn.LOGNORM.INV($AF741,LN($C$10)-0.5*LN(1+($D$10/$C$10)^2),SQRT(LN(1+($D$10/$C$10)^2)))</f>
        <v/>
      </c>
      <c r="S741" s="14">
        <f>SUM(M741:R741)</f>
        <v/>
      </c>
      <c r="AA741">
        <f>RAND()</f>
        <v/>
      </c>
      <c r="AB741">
        <f>RAND()</f>
        <v/>
      </c>
      <c r="AC741">
        <f>RAND()</f>
        <v/>
      </c>
      <c r="AD741">
        <f>RAND()</f>
        <v/>
      </c>
      <c r="AE741">
        <f>RAND()</f>
        <v/>
      </c>
      <c r="AF741">
        <f>RAND()</f>
        <v/>
      </c>
    </row>
    <row r="742">
      <c r="M742" s="14">
        <f>_xlfn.BETA.INV($AA742,1+4*($D$5-$C$5)/($E$5-$C$5),1+4*($E$5-$D$5)/($E$5-$C$5),$C$5,$E$5)</f>
        <v/>
      </c>
      <c r="N742" s="14">
        <f>IF($AB742&lt;($D$6-$C$6)/($E$6-$C$6),$C$6+SQRT($AB742*($E$6-$C$6)*($D$6-$C$6)),$E$6-SQRT((1-$AB742)*($E$6-$C$6)*($E$6-$D$6)))</f>
        <v/>
      </c>
      <c r="O742" s="14">
        <f>_xlfn.NORM.INV($AC742,$C$7,$D$7)</f>
        <v/>
      </c>
      <c r="P742" s="14">
        <f>$C$8+($D$8-$C$8)*$AD742</f>
        <v/>
      </c>
      <c r="Q742" s="14">
        <f>$C$9</f>
        <v/>
      </c>
      <c r="R742" s="14">
        <f>_xlfn.LOGNORM.INV($AF742,LN($C$10)-0.5*LN(1+($D$10/$C$10)^2),SQRT(LN(1+($D$10/$C$10)^2)))</f>
        <v/>
      </c>
      <c r="S742" s="14">
        <f>SUM(M742:R742)</f>
        <v/>
      </c>
      <c r="AA742">
        <f>RAND()</f>
        <v/>
      </c>
      <c r="AB742">
        <f>RAND()</f>
        <v/>
      </c>
      <c r="AC742">
        <f>RAND()</f>
        <v/>
      </c>
      <c r="AD742">
        <f>RAND()</f>
        <v/>
      </c>
      <c r="AE742">
        <f>RAND()</f>
        <v/>
      </c>
      <c r="AF742">
        <f>RAND()</f>
        <v/>
      </c>
    </row>
    <row r="743">
      <c r="M743" s="14">
        <f>_xlfn.BETA.INV($AA743,1+4*($D$5-$C$5)/($E$5-$C$5),1+4*($E$5-$D$5)/($E$5-$C$5),$C$5,$E$5)</f>
        <v/>
      </c>
      <c r="N743" s="14">
        <f>IF($AB743&lt;($D$6-$C$6)/($E$6-$C$6),$C$6+SQRT($AB743*($E$6-$C$6)*($D$6-$C$6)),$E$6-SQRT((1-$AB743)*($E$6-$C$6)*($E$6-$D$6)))</f>
        <v/>
      </c>
      <c r="O743" s="14">
        <f>_xlfn.NORM.INV($AC743,$C$7,$D$7)</f>
        <v/>
      </c>
      <c r="P743" s="14">
        <f>$C$8+($D$8-$C$8)*$AD743</f>
        <v/>
      </c>
      <c r="Q743" s="14">
        <f>$C$9</f>
        <v/>
      </c>
      <c r="R743" s="14">
        <f>_xlfn.LOGNORM.INV($AF743,LN($C$10)-0.5*LN(1+($D$10/$C$10)^2),SQRT(LN(1+($D$10/$C$10)^2)))</f>
        <v/>
      </c>
      <c r="S743" s="14">
        <f>SUM(M743:R743)</f>
        <v/>
      </c>
      <c r="AA743">
        <f>RAND()</f>
        <v/>
      </c>
      <c r="AB743">
        <f>RAND()</f>
        <v/>
      </c>
      <c r="AC743">
        <f>RAND()</f>
        <v/>
      </c>
      <c r="AD743">
        <f>RAND()</f>
        <v/>
      </c>
      <c r="AE743">
        <f>RAND()</f>
        <v/>
      </c>
      <c r="AF743">
        <f>RAND()</f>
        <v/>
      </c>
    </row>
    <row r="744">
      <c r="M744" s="14">
        <f>_xlfn.BETA.INV($AA744,1+4*($D$5-$C$5)/($E$5-$C$5),1+4*($E$5-$D$5)/($E$5-$C$5),$C$5,$E$5)</f>
        <v/>
      </c>
      <c r="N744" s="14">
        <f>IF($AB744&lt;($D$6-$C$6)/($E$6-$C$6),$C$6+SQRT($AB744*($E$6-$C$6)*($D$6-$C$6)),$E$6-SQRT((1-$AB744)*($E$6-$C$6)*($E$6-$D$6)))</f>
        <v/>
      </c>
      <c r="O744" s="14">
        <f>_xlfn.NORM.INV($AC744,$C$7,$D$7)</f>
        <v/>
      </c>
      <c r="P744" s="14">
        <f>$C$8+($D$8-$C$8)*$AD744</f>
        <v/>
      </c>
      <c r="Q744" s="14">
        <f>$C$9</f>
        <v/>
      </c>
      <c r="R744" s="14">
        <f>_xlfn.LOGNORM.INV($AF744,LN($C$10)-0.5*LN(1+($D$10/$C$10)^2),SQRT(LN(1+($D$10/$C$10)^2)))</f>
        <v/>
      </c>
      <c r="S744" s="14">
        <f>SUM(M744:R744)</f>
        <v/>
      </c>
      <c r="AA744">
        <f>RAND()</f>
        <v/>
      </c>
      <c r="AB744">
        <f>RAND()</f>
        <v/>
      </c>
      <c r="AC744">
        <f>RAND()</f>
        <v/>
      </c>
      <c r="AD744">
        <f>RAND()</f>
        <v/>
      </c>
      <c r="AE744">
        <f>RAND()</f>
        <v/>
      </c>
      <c r="AF744">
        <f>RAND()</f>
        <v/>
      </c>
    </row>
    <row r="745">
      <c r="M745" s="14">
        <f>_xlfn.BETA.INV($AA745,1+4*($D$5-$C$5)/($E$5-$C$5),1+4*($E$5-$D$5)/($E$5-$C$5),$C$5,$E$5)</f>
        <v/>
      </c>
      <c r="N745" s="14">
        <f>IF($AB745&lt;($D$6-$C$6)/($E$6-$C$6),$C$6+SQRT($AB745*($E$6-$C$6)*($D$6-$C$6)),$E$6-SQRT((1-$AB745)*($E$6-$C$6)*($E$6-$D$6)))</f>
        <v/>
      </c>
      <c r="O745" s="14">
        <f>_xlfn.NORM.INV($AC745,$C$7,$D$7)</f>
        <v/>
      </c>
      <c r="P745" s="14">
        <f>$C$8+($D$8-$C$8)*$AD745</f>
        <v/>
      </c>
      <c r="Q745" s="14">
        <f>$C$9</f>
        <v/>
      </c>
      <c r="R745" s="14">
        <f>_xlfn.LOGNORM.INV($AF745,LN($C$10)-0.5*LN(1+($D$10/$C$10)^2),SQRT(LN(1+($D$10/$C$10)^2)))</f>
        <v/>
      </c>
      <c r="S745" s="14">
        <f>SUM(M745:R745)</f>
        <v/>
      </c>
      <c r="AA745">
        <f>RAND()</f>
        <v/>
      </c>
      <c r="AB745">
        <f>RAND()</f>
        <v/>
      </c>
      <c r="AC745">
        <f>RAND()</f>
        <v/>
      </c>
      <c r="AD745">
        <f>RAND()</f>
        <v/>
      </c>
      <c r="AE745">
        <f>RAND()</f>
        <v/>
      </c>
      <c r="AF745">
        <f>RAND()</f>
        <v/>
      </c>
    </row>
    <row r="746">
      <c r="M746" s="14">
        <f>_xlfn.BETA.INV($AA746,1+4*($D$5-$C$5)/($E$5-$C$5),1+4*($E$5-$D$5)/($E$5-$C$5),$C$5,$E$5)</f>
        <v/>
      </c>
      <c r="N746" s="14">
        <f>IF($AB746&lt;($D$6-$C$6)/($E$6-$C$6),$C$6+SQRT($AB746*($E$6-$C$6)*($D$6-$C$6)),$E$6-SQRT((1-$AB746)*($E$6-$C$6)*($E$6-$D$6)))</f>
        <v/>
      </c>
      <c r="O746" s="14">
        <f>_xlfn.NORM.INV($AC746,$C$7,$D$7)</f>
        <v/>
      </c>
      <c r="P746" s="14">
        <f>$C$8+($D$8-$C$8)*$AD746</f>
        <v/>
      </c>
      <c r="Q746" s="14">
        <f>$C$9</f>
        <v/>
      </c>
      <c r="R746" s="14">
        <f>_xlfn.LOGNORM.INV($AF746,LN($C$10)-0.5*LN(1+($D$10/$C$10)^2),SQRT(LN(1+($D$10/$C$10)^2)))</f>
        <v/>
      </c>
      <c r="S746" s="14">
        <f>SUM(M746:R746)</f>
        <v/>
      </c>
      <c r="AA746">
        <f>RAND()</f>
        <v/>
      </c>
      <c r="AB746">
        <f>RAND()</f>
        <v/>
      </c>
      <c r="AC746">
        <f>RAND()</f>
        <v/>
      </c>
      <c r="AD746">
        <f>RAND()</f>
        <v/>
      </c>
      <c r="AE746">
        <f>RAND()</f>
        <v/>
      </c>
      <c r="AF746">
        <f>RAND()</f>
        <v/>
      </c>
    </row>
    <row r="747">
      <c r="M747" s="14">
        <f>_xlfn.BETA.INV($AA747,1+4*($D$5-$C$5)/($E$5-$C$5),1+4*($E$5-$D$5)/($E$5-$C$5),$C$5,$E$5)</f>
        <v/>
      </c>
      <c r="N747" s="14">
        <f>IF($AB747&lt;($D$6-$C$6)/($E$6-$C$6),$C$6+SQRT($AB747*($E$6-$C$6)*($D$6-$C$6)),$E$6-SQRT((1-$AB747)*($E$6-$C$6)*($E$6-$D$6)))</f>
        <v/>
      </c>
      <c r="O747" s="14">
        <f>_xlfn.NORM.INV($AC747,$C$7,$D$7)</f>
        <v/>
      </c>
      <c r="P747" s="14">
        <f>$C$8+($D$8-$C$8)*$AD747</f>
        <v/>
      </c>
      <c r="Q747" s="14">
        <f>$C$9</f>
        <v/>
      </c>
      <c r="R747" s="14">
        <f>_xlfn.LOGNORM.INV($AF747,LN($C$10)-0.5*LN(1+($D$10/$C$10)^2),SQRT(LN(1+($D$10/$C$10)^2)))</f>
        <v/>
      </c>
      <c r="S747" s="14">
        <f>SUM(M747:R747)</f>
        <v/>
      </c>
      <c r="AA747">
        <f>RAND()</f>
        <v/>
      </c>
      <c r="AB747">
        <f>RAND()</f>
        <v/>
      </c>
      <c r="AC747">
        <f>RAND()</f>
        <v/>
      </c>
      <c r="AD747">
        <f>RAND()</f>
        <v/>
      </c>
      <c r="AE747">
        <f>RAND()</f>
        <v/>
      </c>
      <c r="AF747">
        <f>RAND()</f>
        <v/>
      </c>
    </row>
    <row r="748">
      <c r="M748" s="14">
        <f>_xlfn.BETA.INV($AA748,1+4*($D$5-$C$5)/($E$5-$C$5),1+4*($E$5-$D$5)/($E$5-$C$5),$C$5,$E$5)</f>
        <v/>
      </c>
      <c r="N748" s="14">
        <f>IF($AB748&lt;($D$6-$C$6)/($E$6-$C$6),$C$6+SQRT($AB748*($E$6-$C$6)*($D$6-$C$6)),$E$6-SQRT((1-$AB748)*($E$6-$C$6)*($E$6-$D$6)))</f>
        <v/>
      </c>
      <c r="O748" s="14">
        <f>_xlfn.NORM.INV($AC748,$C$7,$D$7)</f>
        <v/>
      </c>
      <c r="P748" s="14">
        <f>$C$8+($D$8-$C$8)*$AD748</f>
        <v/>
      </c>
      <c r="Q748" s="14">
        <f>$C$9</f>
        <v/>
      </c>
      <c r="R748" s="14">
        <f>_xlfn.LOGNORM.INV($AF748,LN($C$10)-0.5*LN(1+($D$10/$C$10)^2),SQRT(LN(1+($D$10/$C$10)^2)))</f>
        <v/>
      </c>
      <c r="S748" s="14">
        <f>SUM(M748:R748)</f>
        <v/>
      </c>
      <c r="AA748">
        <f>RAND()</f>
        <v/>
      </c>
      <c r="AB748">
        <f>RAND()</f>
        <v/>
      </c>
      <c r="AC748">
        <f>RAND()</f>
        <v/>
      </c>
      <c r="AD748">
        <f>RAND()</f>
        <v/>
      </c>
      <c r="AE748">
        <f>RAND()</f>
        <v/>
      </c>
      <c r="AF748">
        <f>RAND()</f>
        <v/>
      </c>
    </row>
    <row r="749">
      <c r="M749" s="14">
        <f>_xlfn.BETA.INV($AA749,1+4*($D$5-$C$5)/($E$5-$C$5),1+4*($E$5-$D$5)/($E$5-$C$5),$C$5,$E$5)</f>
        <v/>
      </c>
      <c r="N749" s="14">
        <f>IF($AB749&lt;($D$6-$C$6)/($E$6-$C$6),$C$6+SQRT($AB749*($E$6-$C$6)*($D$6-$C$6)),$E$6-SQRT((1-$AB749)*($E$6-$C$6)*($E$6-$D$6)))</f>
        <v/>
      </c>
      <c r="O749" s="14">
        <f>_xlfn.NORM.INV($AC749,$C$7,$D$7)</f>
        <v/>
      </c>
      <c r="P749" s="14">
        <f>$C$8+($D$8-$C$8)*$AD749</f>
        <v/>
      </c>
      <c r="Q749" s="14">
        <f>$C$9</f>
        <v/>
      </c>
      <c r="R749" s="14">
        <f>_xlfn.LOGNORM.INV($AF749,LN($C$10)-0.5*LN(1+($D$10/$C$10)^2),SQRT(LN(1+($D$10/$C$10)^2)))</f>
        <v/>
      </c>
      <c r="S749" s="14">
        <f>SUM(M749:R749)</f>
        <v/>
      </c>
      <c r="AA749">
        <f>RAND()</f>
        <v/>
      </c>
      <c r="AB749">
        <f>RAND()</f>
        <v/>
      </c>
      <c r="AC749">
        <f>RAND()</f>
        <v/>
      </c>
      <c r="AD749">
        <f>RAND()</f>
        <v/>
      </c>
      <c r="AE749">
        <f>RAND()</f>
        <v/>
      </c>
      <c r="AF749">
        <f>RAND()</f>
        <v/>
      </c>
    </row>
    <row r="750">
      <c r="M750" s="14">
        <f>_xlfn.BETA.INV($AA750,1+4*($D$5-$C$5)/($E$5-$C$5),1+4*($E$5-$D$5)/($E$5-$C$5),$C$5,$E$5)</f>
        <v/>
      </c>
      <c r="N750" s="14">
        <f>IF($AB750&lt;($D$6-$C$6)/($E$6-$C$6),$C$6+SQRT($AB750*($E$6-$C$6)*($D$6-$C$6)),$E$6-SQRT((1-$AB750)*($E$6-$C$6)*($E$6-$D$6)))</f>
        <v/>
      </c>
      <c r="O750" s="14">
        <f>_xlfn.NORM.INV($AC750,$C$7,$D$7)</f>
        <v/>
      </c>
      <c r="P750" s="14">
        <f>$C$8+($D$8-$C$8)*$AD750</f>
        <v/>
      </c>
      <c r="Q750" s="14">
        <f>$C$9</f>
        <v/>
      </c>
      <c r="R750" s="14">
        <f>_xlfn.LOGNORM.INV($AF750,LN($C$10)-0.5*LN(1+($D$10/$C$10)^2),SQRT(LN(1+($D$10/$C$10)^2)))</f>
        <v/>
      </c>
      <c r="S750" s="14">
        <f>SUM(M750:R750)</f>
        <v/>
      </c>
      <c r="AA750">
        <f>RAND()</f>
        <v/>
      </c>
      <c r="AB750">
        <f>RAND()</f>
        <v/>
      </c>
      <c r="AC750">
        <f>RAND()</f>
        <v/>
      </c>
      <c r="AD750">
        <f>RAND()</f>
        <v/>
      </c>
      <c r="AE750">
        <f>RAND()</f>
        <v/>
      </c>
      <c r="AF750">
        <f>RAND()</f>
        <v/>
      </c>
    </row>
    <row r="751">
      <c r="M751" s="14">
        <f>_xlfn.BETA.INV($AA751,1+4*($D$5-$C$5)/($E$5-$C$5),1+4*($E$5-$D$5)/($E$5-$C$5),$C$5,$E$5)</f>
        <v/>
      </c>
      <c r="N751" s="14">
        <f>IF($AB751&lt;($D$6-$C$6)/($E$6-$C$6),$C$6+SQRT($AB751*($E$6-$C$6)*($D$6-$C$6)),$E$6-SQRT((1-$AB751)*($E$6-$C$6)*($E$6-$D$6)))</f>
        <v/>
      </c>
      <c r="O751" s="14">
        <f>_xlfn.NORM.INV($AC751,$C$7,$D$7)</f>
        <v/>
      </c>
      <c r="P751" s="14">
        <f>$C$8+($D$8-$C$8)*$AD751</f>
        <v/>
      </c>
      <c r="Q751" s="14">
        <f>$C$9</f>
        <v/>
      </c>
      <c r="R751" s="14">
        <f>_xlfn.LOGNORM.INV($AF751,LN($C$10)-0.5*LN(1+($D$10/$C$10)^2),SQRT(LN(1+($D$10/$C$10)^2)))</f>
        <v/>
      </c>
      <c r="S751" s="14">
        <f>SUM(M751:R751)</f>
        <v/>
      </c>
      <c r="AA751">
        <f>RAND()</f>
        <v/>
      </c>
      <c r="AB751">
        <f>RAND()</f>
        <v/>
      </c>
      <c r="AC751">
        <f>RAND()</f>
        <v/>
      </c>
      <c r="AD751">
        <f>RAND()</f>
        <v/>
      </c>
      <c r="AE751">
        <f>RAND()</f>
        <v/>
      </c>
      <c r="AF751">
        <f>RAND()</f>
        <v/>
      </c>
    </row>
    <row r="752">
      <c r="M752" s="14">
        <f>_xlfn.BETA.INV($AA752,1+4*($D$5-$C$5)/($E$5-$C$5),1+4*($E$5-$D$5)/($E$5-$C$5),$C$5,$E$5)</f>
        <v/>
      </c>
      <c r="N752" s="14">
        <f>IF($AB752&lt;($D$6-$C$6)/($E$6-$C$6),$C$6+SQRT($AB752*($E$6-$C$6)*($D$6-$C$6)),$E$6-SQRT((1-$AB752)*($E$6-$C$6)*($E$6-$D$6)))</f>
        <v/>
      </c>
      <c r="O752" s="14">
        <f>_xlfn.NORM.INV($AC752,$C$7,$D$7)</f>
        <v/>
      </c>
      <c r="P752" s="14">
        <f>$C$8+($D$8-$C$8)*$AD752</f>
        <v/>
      </c>
      <c r="Q752" s="14">
        <f>$C$9</f>
        <v/>
      </c>
      <c r="R752" s="14">
        <f>_xlfn.LOGNORM.INV($AF752,LN($C$10)-0.5*LN(1+($D$10/$C$10)^2),SQRT(LN(1+($D$10/$C$10)^2)))</f>
        <v/>
      </c>
      <c r="S752" s="14">
        <f>SUM(M752:R752)</f>
        <v/>
      </c>
      <c r="AA752">
        <f>RAND()</f>
        <v/>
      </c>
      <c r="AB752">
        <f>RAND()</f>
        <v/>
      </c>
      <c r="AC752">
        <f>RAND()</f>
        <v/>
      </c>
      <c r="AD752">
        <f>RAND()</f>
        <v/>
      </c>
      <c r="AE752">
        <f>RAND()</f>
        <v/>
      </c>
      <c r="AF752">
        <f>RAND()</f>
        <v/>
      </c>
    </row>
    <row r="753">
      <c r="M753" s="14">
        <f>_xlfn.BETA.INV($AA753,1+4*($D$5-$C$5)/($E$5-$C$5),1+4*($E$5-$D$5)/($E$5-$C$5),$C$5,$E$5)</f>
        <v/>
      </c>
      <c r="N753" s="14">
        <f>IF($AB753&lt;($D$6-$C$6)/($E$6-$C$6),$C$6+SQRT($AB753*($E$6-$C$6)*($D$6-$C$6)),$E$6-SQRT((1-$AB753)*($E$6-$C$6)*($E$6-$D$6)))</f>
        <v/>
      </c>
      <c r="O753" s="14">
        <f>_xlfn.NORM.INV($AC753,$C$7,$D$7)</f>
        <v/>
      </c>
      <c r="P753" s="14">
        <f>$C$8+($D$8-$C$8)*$AD753</f>
        <v/>
      </c>
      <c r="Q753" s="14">
        <f>$C$9</f>
        <v/>
      </c>
      <c r="R753" s="14">
        <f>_xlfn.LOGNORM.INV($AF753,LN($C$10)-0.5*LN(1+($D$10/$C$10)^2),SQRT(LN(1+($D$10/$C$10)^2)))</f>
        <v/>
      </c>
      <c r="S753" s="14">
        <f>SUM(M753:R753)</f>
        <v/>
      </c>
      <c r="AA753">
        <f>RAND()</f>
        <v/>
      </c>
      <c r="AB753">
        <f>RAND()</f>
        <v/>
      </c>
      <c r="AC753">
        <f>RAND()</f>
        <v/>
      </c>
      <c r="AD753">
        <f>RAND()</f>
        <v/>
      </c>
      <c r="AE753">
        <f>RAND()</f>
        <v/>
      </c>
      <c r="AF753">
        <f>RAND()</f>
        <v/>
      </c>
    </row>
    <row r="754">
      <c r="M754" s="14">
        <f>_xlfn.BETA.INV($AA754,1+4*($D$5-$C$5)/($E$5-$C$5),1+4*($E$5-$D$5)/($E$5-$C$5),$C$5,$E$5)</f>
        <v/>
      </c>
      <c r="N754" s="14">
        <f>IF($AB754&lt;($D$6-$C$6)/($E$6-$C$6),$C$6+SQRT($AB754*($E$6-$C$6)*($D$6-$C$6)),$E$6-SQRT((1-$AB754)*($E$6-$C$6)*($E$6-$D$6)))</f>
        <v/>
      </c>
      <c r="O754" s="14">
        <f>_xlfn.NORM.INV($AC754,$C$7,$D$7)</f>
        <v/>
      </c>
      <c r="P754" s="14">
        <f>$C$8+($D$8-$C$8)*$AD754</f>
        <v/>
      </c>
      <c r="Q754" s="14">
        <f>$C$9</f>
        <v/>
      </c>
      <c r="R754" s="14">
        <f>_xlfn.LOGNORM.INV($AF754,LN($C$10)-0.5*LN(1+($D$10/$C$10)^2),SQRT(LN(1+($D$10/$C$10)^2)))</f>
        <v/>
      </c>
      <c r="S754" s="14">
        <f>SUM(M754:R754)</f>
        <v/>
      </c>
      <c r="AA754">
        <f>RAND()</f>
        <v/>
      </c>
      <c r="AB754">
        <f>RAND()</f>
        <v/>
      </c>
      <c r="AC754">
        <f>RAND()</f>
        <v/>
      </c>
      <c r="AD754">
        <f>RAND()</f>
        <v/>
      </c>
      <c r="AE754">
        <f>RAND()</f>
        <v/>
      </c>
      <c r="AF754">
        <f>RAND()</f>
        <v/>
      </c>
    </row>
    <row r="755">
      <c r="M755" s="14">
        <f>_xlfn.BETA.INV($AA755,1+4*($D$5-$C$5)/($E$5-$C$5),1+4*($E$5-$D$5)/($E$5-$C$5),$C$5,$E$5)</f>
        <v/>
      </c>
      <c r="N755" s="14">
        <f>IF($AB755&lt;($D$6-$C$6)/($E$6-$C$6),$C$6+SQRT($AB755*($E$6-$C$6)*($D$6-$C$6)),$E$6-SQRT((1-$AB755)*($E$6-$C$6)*($E$6-$D$6)))</f>
        <v/>
      </c>
      <c r="O755" s="14">
        <f>_xlfn.NORM.INV($AC755,$C$7,$D$7)</f>
        <v/>
      </c>
      <c r="P755" s="14">
        <f>$C$8+($D$8-$C$8)*$AD755</f>
        <v/>
      </c>
      <c r="Q755" s="14">
        <f>$C$9</f>
        <v/>
      </c>
      <c r="R755" s="14">
        <f>_xlfn.LOGNORM.INV($AF755,LN($C$10)-0.5*LN(1+($D$10/$C$10)^2),SQRT(LN(1+($D$10/$C$10)^2)))</f>
        <v/>
      </c>
      <c r="S755" s="14">
        <f>SUM(M755:R755)</f>
        <v/>
      </c>
      <c r="AA755">
        <f>RAND()</f>
        <v/>
      </c>
      <c r="AB755">
        <f>RAND()</f>
        <v/>
      </c>
      <c r="AC755">
        <f>RAND()</f>
        <v/>
      </c>
      <c r="AD755">
        <f>RAND()</f>
        <v/>
      </c>
      <c r="AE755">
        <f>RAND()</f>
        <v/>
      </c>
      <c r="AF755">
        <f>RAND()</f>
        <v/>
      </c>
    </row>
    <row r="756">
      <c r="M756" s="14">
        <f>_xlfn.BETA.INV($AA756,1+4*($D$5-$C$5)/($E$5-$C$5),1+4*($E$5-$D$5)/($E$5-$C$5),$C$5,$E$5)</f>
        <v/>
      </c>
      <c r="N756" s="14">
        <f>IF($AB756&lt;($D$6-$C$6)/($E$6-$C$6),$C$6+SQRT($AB756*($E$6-$C$6)*($D$6-$C$6)),$E$6-SQRT((1-$AB756)*($E$6-$C$6)*($E$6-$D$6)))</f>
        <v/>
      </c>
      <c r="O756" s="14">
        <f>_xlfn.NORM.INV($AC756,$C$7,$D$7)</f>
        <v/>
      </c>
      <c r="P756" s="14">
        <f>$C$8+($D$8-$C$8)*$AD756</f>
        <v/>
      </c>
      <c r="Q756" s="14">
        <f>$C$9</f>
        <v/>
      </c>
      <c r="R756" s="14">
        <f>_xlfn.LOGNORM.INV($AF756,LN($C$10)-0.5*LN(1+($D$10/$C$10)^2),SQRT(LN(1+($D$10/$C$10)^2)))</f>
        <v/>
      </c>
      <c r="S756" s="14">
        <f>SUM(M756:R756)</f>
        <v/>
      </c>
      <c r="AA756">
        <f>RAND()</f>
        <v/>
      </c>
      <c r="AB756">
        <f>RAND()</f>
        <v/>
      </c>
      <c r="AC756">
        <f>RAND()</f>
        <v/>
      </c>
      <c r="AD756">
        <f>RAND()</f>
        <v/>
      </c>
      <c r="AE756">
        <f>RAND()</f>
        <v/>
      </c>
      <c r="AF756">
        <f>RAND()</f>
        <v/>
      </c>
    </row>
    <row r="757">
      <c r="M757" s="14">
        <f>_xlfn.BETA.INV($AA757,1+4*($D$5-$C$5)/($E$5-$C$5),1+4*($E$5-$D$5)/($E$5-$C$5),$C$5,$E$5)</f>
        <v/>
      </c>
      <c r="N757" s="14">
        <f>IF($AB757&lt;($D$6-$C$6)/($E$6-$C$6),$C$6+SQRT($AB757*($E$6-$C$6)*($D$6-$C$6)),$E$6-SQRT((1-$AB757)*($E$6-$C$6)*($E$6-$D$6)))</f>
        <v/>
      </c>
      <c r="O757" s="14">
        <f>_xlfn.NORM.INV($AC757,$C$7,$D$7)</f>
        <v/>
      </c>
      <c r="P757" s="14">
        <f>$C$8+($D$8-$C$8)*$AD757</f>
        <v/>
      </c>
      <c r="Q757" s="14">
        <f>$C$9</f>
        <v/>
      </c>
      <c r="R757" s="14">
        <f>_xlfn.LOGNORM.INV($AF757,LN($C$10)-0.5*LN(1+($D$10/$C$10)^2),SQRT(LN(1+($D$10/$C$10)^2)))</f>
        <v/>
      </c>
      <c r="S757" s="14">
        <f>SUM(M757:R757)</f>
        <v/>
      </c>
      <c r="AA757">
        <f>RAND()</f>
        <v/>
      </c>
      <c r="AB757">
        <f>RAND()</f>
        <v/>
      </c>
      <c r="AC757">
        <f>RAND()</f>
        <v/>
      </c>
      <c r="AD757">
        <f>RAND()</f>
        <v/>
      </c>
      <c r="AE757">
        <f>RAND()</f>
        <v/>
      </c>
      <c r="AF757">
        <f>RAND()</f>
        <v/>
      </c>
    </row>
    <row r="758">
      <c r="M758" s="14">
        <f>_xlfn.BETA.INV($AA758,1+4*($D$5-$C$5)/($E$5-$C$5),1+4*($E$5-$D$5)/($E$5-$C$5),$C$5,$E$5)</f>
        <v/>
      </c>
      <c r="N758" s="14">
        <f>IF($AB758&lt;($D$6-$C$6)/($E$6-$C$6),$C$6+SQRT($AB758*($E$6-$C$6)*($D$6-$C$6)),$E$6-SQRT((1-$AB758)*($E$6-$C$6)*($E$6-$D$6)))</f>
        <v/>
      </c>
      <c r="O758" s="14">
        <f>_xlfn.NORM.INV($AC758,$C$7,$D$7)</f>
        <v/>
      </c>
      <c r="P758" s="14">
        <f>$C$8+($D$8-$C$8)*$AD758</f>
        <v/>
      </c>
      <c r="Q758" s="14">
        <f>$C$9</f>
        <v/>
      </c>
      <c r="R758" s="14">
        <f>_xlfn.LOGNORM.INV($AF758,LN($C$10)-0.5*LN(1+($D$10/$C$10)^2),SQRT(LN(1+($D$10/$C$10)^2)))</f>
        <v/>
      </c>
      <c r="S758" s="14">
        <f>SUM(M758:R758)</f>
        <v/>
      </c>
      <c r="AA758">
        <f>RAND()</f>
        <v/>
      </c>
      <c r="AB758">
        <f>RAND()</f>
        <v/>
      </c>
      <c r="AC758">
        <f>RAND()</f>
        <v/>
      </c>
      <c r="AD758">
        <f>RAND()</f>
        <v/>
      </c>
      <c r="AE758">
        <f>RAND()</f>
        <v/>
      </c>
      <c r="AF758">
        <f>RAND()</f>
        <v/>
      </c>
    </row>
    <row r="759">
      <c r="M759" s="14">
        <f>_xlfn.BETA.INV($AA759,1+4*($D$5-$C$5)/($E$5-$C$5),1+4*($E$5-$D$5)/($E$5-$C$5),$C$5,$E$5)</f>
        <v/>
      </c>
      <c r="N759" s="14">
        <f>IF($AB759&lt;($D$6-$C$6)/($E$6-$C$6),$C$6+SQRT($AB759*($E$6-$C$6)*($D$6-$C$6)),$E$6-SQRT((1-$AB759)*($E$6-$C$6)*($E$6-$D$6)))</f>
        <v/>
      </c>
      <c r="O759" s="14">
        <f>_xlfn.NORM.INV($AC759,$C$7,$D$7)</f>
        <v/>
      </c>
      <c r="P759" s="14">
        <f>$C$8+($D$8-$C$8)*$AD759</f>
        <v/>
      </c>
      <c r="Q759" s="14">
        <f>$C$9</f>
        <v/>
      </c>
      <c r="R759" s="14">
        <f>_xlfn.LOGNORM.INV($AF759,LN($C$10)-0.5*LN(1+($D$10/$C$10)^2),SQRT(LN(1+($D$10/$C$10)^2)))</f>
        <v/>
      </c>
      <c r="S759" s="14">
        <f>SUM(M759:R759)</f>
        <v/>
      </c>
      <c r="AA759">
        <f>RAND()</f>
        <v/>
      </c>
      <c r="AB759">
        <f>RAND()</f>
        <v/>
      </c>
      <c r="AC759">
        <f>RAND()</f>
        <v/>
      </c>
      <c r="AD759">
        <f>RAND()</f>
        <v/>
      </c>
      <c r="AE759">
        <f>RAND()</f>
        <v/>
      </c>
      <c r="AF759">
        <f>RAND()</f>
        <v/>
      </c>
    </row>
    <row r="760">
      <c r="M760" s="14">
        <f>_xlfn.BETA.INV($AA760,1+4*($D$5-$C$5)/($E$5-$C$5),1+4*($E$5-$D$5)/($E$5-$C$5),$C$5,$E$5)</f>
        <v/>
      </c>
      <c r="N760" s="14">
        <f>IF($AB760&lt;($D$6-$C$6)/($E$6-$C$6),$C$6+SQRT($AB760*($E$6-$C$6)*($D$6-$C$6)),$E$6-SQRT((1-$AB760)*($E$6-$C$6)*($E$6-$D$6)))</f>
        <v/>
      </c>
      <c r="O760" s="14">
        <f>_xlfn.NORM.INV($AC760,$C$7,$D$7)</f>
        <v/>
      </c>
      <c r="P760" s="14">
        <f>$C$8+($D$8-$C$8)*$AD760</f>
        <v/>
      </c>
      <c r="Q760" s="14">
        <f>$C$9</f>
        <v/>
      </c>
      <c r="R760" s="14">
        <f>_xlfn.LOGNORM.INV($AF760,LN($C$10)-0.5*LN(1+($D$10/$C$10)^2),SQRT(LN(1+($D$10/$C$10)^2)))</f>
        <v/>
      </c>
      <c r="S760" s="14">
        <f>SUM(M760:R760)</f>
        <v/>
      </c>
      <c r="AA760">
        <f>RAND()</f>
        <v/>
      </c>
      <c r="AB760">
        <f>RAND()</f>
        <v/>
      </c>
      <c r="AC760">
        <f>RAND()</f>
        <v/>
      </c>
      <c r="AD760">
        <f>RAND()</f>
        <v/>
      </c>
      <c r="AE760">
        <f>RAND()</f>
        <v/>
      </c>
      <c r="AF760">
        <f>RAND()</f>
        <v/>
      </c>
    </row>
    <row r="761">
      <c r="M761" s="14">
        <f>_xlfn.BETA.INV($AA761,1+4*($D$5-$C$5)/($E$5-$C$5),1+4*($E$5-$D$5)/($E$5-$C$5),$C$5,$E$5)</f>
        <v/>
      </c>
      <c r="N761" s="14">
        <f>IF($AB761&lt;($D$6-$C$6)/($E$6-$C$6),$C$6+SQRT($AB761*($E$6-$C$6)*($D$6-$C$6)),$E$6-SQRT((1-$AB761)*($E$6-$C$6)*($E$6-$D$6)))</f>
        <v/>
      </c>
      <c r="O761" s="14">
        <f>_xlfn.NORM.INV($AC761,$C$7,$D$7)</f>
        <v/>
      </c>
      <c r="P761" s="14">
        <f>$C$8+($D$8-$C$8)*$AD761</f>
        <v/>
      </c>
      <c r="Q761" s="14">
        <f>$C$9</f>
        <v/>
      </c>
      <c r="R761" s="14">
        <f>_xlfn.LOGNORM.INV($AF761,LN($C$10)-0.5*LN(1+($D$10/$C$10)^2),SQRT(LN(1+($D$10/$C$10)^2)))</f>
        <v/>
      </c>
      <c r="S761" s="14">
        <f>SUM(M761:R761)</f>
        <v/>
      </c>
      <c r="AA761">
        <f>RAND()</f>
        <v/>
      </c>
      <c r="AB761">
        <f>RAND()</f>
        <v/>
      </c>
      <c r="AC761">
        <f>RAND()</f>
        <v/>
      </c>
      <c r="AD761">
        <f>RAND()</f>
        <v/>
      </c>
      <c r="AE761">
        <f>RAND()</f>
        <v/>
      </c>
      <c r="AF761">
        <f>RAND()</f>
        <v/>
      </c>
    </row>
    <row r="762">
      <c r="M762" s="14">
        <f>_xlfn.BETA.INV($AA762,1+4*($D$5-$C$5)/($E$5-$C$5),1+4*($E$5-$D$5)/($E$5-$C$5),$C$5,$E$5)</f>
        <v/>
      </c>
      <c r="N762" s="14">
        <f>IF($AB762&lt;($D$6-$C$6)/($E$6-$C$6),$C$6+SQRT($AB762*($E$6-$C$6)*($D$6-$C$6)),$E$6-SQRT((1-$AB762)*($E$6-$C$6)*($E$6-$D$6)))</f>
        <v/>
      </c>
      <c r="O762" s="14">
        <f>_xlfn.NORM.INV($AC762,$C$7,$D$7)</f>
        <v/>
      </c>
      <c r="P762" s="14">
        <f>$C$8+($D$8-$C$8)*$AD762</f>
        <v/>
      </c>
      <c r="Q762" s="14">
        <f>$C$9</f>
        <v/>
      </c>
      <c r="R762" s="14">
        <f>_xlfn.LOGNORM.INV($AF762,LN($C$10)-0.5*LN(1+($D$10/$C$10)^2),SQRT(LN(1+($D$10/$C$10)^2)))</f>
        <v/>
      </c>
      <c r="S762" s="14">
        <f>SUM(M762:R762)</f>
        <v/>
      </c>
      <c r="AA762">
        <f>RAND()</f>
        <v/>
      </c>
      <c r="AB762">
        <f>RAND()</f>
        <v/>
      </c>
      <c r="AC762">
        <f>RAND()</f>
        <v/>
      </c>
      <c r="AD762">
        <f>RAND()</f>
        <v/>
      </c>
      <c r="AE762">
        <f>RAND()</f>
        <v/>
      </c>
      <c r="AF762">
        <f>RAND()</f>
        <v/>
      </c>
    </row>
    <row r="763">
      <c r="M763" s="14">
        <f>_xlfn.BETA.INV($AA763,1+4*($D$5-$C$5)/($E$5-$C$5),1+4*($E$5-$D$5)/($E$5-$C$5),$C$5,$E$5)</f>
        <v/>
      </c>
      <c r="N763" s="14">
        <f>IF($AB763&lt;($D$6-$C$6)/($E$6-$C$6),$C$6+SQRT($AB763*($E$6-$C$6)*($D$6-$C$6)),$E$6-SQRT((1-$AB763)*($E$6-$C$6)*($E$6-$D$6)))</f>
        <v/>
      </c>
      <c r="O763" s="14">
        <f>_xlfn.NORM.INV($AC763,$C$7,$D$7)</f>
        <v/>
      </c>
      <c r="P763" s="14">
        <f>$C$8+($D$8-$C$8)*$AD763</f>
        <v/>
      </c>
      <c r="Q763" s="14">
        <f>$C$9</f>
        <v/>
      </c>
      <c r="R763" s="14">
        <f>_xlfn.LOGNORM.INV($AF763,LN($C$10)-0.5*LN(1+($D$10/$C$10)^2),SQRT(LN(1+($D$10/$C$10)^2)))</f>
        <v/>
      </c>
      <c r="S763" s="14">
        <f>SUM(M763:R763)</f>
        <v/>
      </c>
      <c r="AA763">
        <f>RAND()</f>
        <v/>
      </c>
      <c r="AB763">
        <f>RAND()</f>
        <v/>
      </c>
      <c r="AC763">
        <f>RAND()</f>
        <v/>
      </c>
      <c r="AD763">
        <f>RAND()</f>
        <v/>
      </c>
      <c r="AE763">
        <f>RAND()</f>
        <v/>
      </c>
      <c r="AF763">
        <f>RAND()</f>
        <v/>
      </c>
    </row>
    <row r="764">
      <c r="M764" s="14">
        <f>_xlfn.BETA.INV($AA764,1+4*($D$5-$C$5)/($E$5-$C$5),1+4*($E$5-$D$5)/($E$5-$C$5),$C$5,$E$5)</f>
        <v/>
      </c>
      <c r="N764" s="14">
        <f>IF($AB764&lt;($D$6-$C$6)/($E$6-$C$6),$C$6+SQRT($AB764*($E$6-$C$6)*($D$6-$C$6)),$E$6-SQRT((1-$AB764)*($E$6-$C$6)*($E$6-$D$6)))</f>
        <v/>
      </c>
      <c r="O764" s="14">
        <f>_xlfn.NORM.INV($AC764,$C$7,$D$7)</f>
        <v/>
      </c>
      <c r="P764" s="14">
        <f>$C$8+($D$8-$C$8)*$AD764</f>
        <v/>
      </c>
      <c r="Q764" s="14">
        <f>$C$9</f>
        <v/>
      </c>
      <c r="R764" s="14">
        <f>_xlfn.LOGNORM.INV($AF764,LN($C$10)-0.5*LN(1+($D$10/$C$10)^2),SQRT(LN(1+($D$10/$C$10)^2)))</f>
        <v/>
      </c>
      <c r="S764" s="14">
        <f>SUM(M764:R764)</f>
        <v/>
      </c>
      <c r="AA764">
        <f>RAND()</f>
        <v/>
      </c>
      <c r="AB764">
        <f>RAND()</f>
        <v/>
      </c>
      <c r="AC764">
        <f>RAND()</f>
        <v/>
      </c>
      <c r="AD764">
        <f>RAND()</f>
        <v/>
      </c>
      <c r="AE764">
        <f>RAND()</f>
        <v/>
      </c>
      <c r="AF764">
        <f>RAND()</f>
        <v/>
      </c>
    </row>
    <row r="765">
      <c r="M765" s="14">
        <f>_xlfn.BETA.INV($AA765,1+4*($D$5-$C$5)/($E$5-$C$5),1+4*($E$5-$D$5)/($E$5-$C$5),$C$5,$E$5)</f>
        <v/>
      </c>
      <c r="N765" s="14">
        <f>IF($AB765&lt;($D$6-$C$6)/($E$6-$C$6),$C$6+SQRT($AB765*($E$6-$C$6)*($D$6-$C$6)),$E$6-SQRT((1-$AB765)*($E$6-$C$6)*($E$6-$D$6)))</f>
        <v/>
      </c>
      <c r="O765" s="14">
        <f>_xlfn.NORM.INV($AC765,$C$7,$D$7)</f>
        <v/>
      </c>
      <c r="P765" s="14">
        <f>$C$8+($D$8-$C$8)*$AD765</f>
        <v/>
      </c>
      <c r="Q765" s="14">
        <f>$C$9</f>
        <v/>
      </c>
      <c r="R765" s="14">
        <f>_xlfn.LOGNORM.INV($AF765,LN($C$10)-0.5*LN(1+($D$10/$C$10)^2),SQRT(LN(1+($D$10/$C$10)^2)))</f>
        <v/>
      </c>
      <c r="S765" s="14">
        <f>SUM(M765:R765)</f>
        <v/>
      </c>
      <c r="AA765">
        <f>RAND()</f>
        <v/>
      </c>
      <c r="AB765">
        <f>RAND()</f>
        <v/>
      </c>
      <c r="AC765">
        <f>RAND()</f>
        <v/>
      </c>
      <c r="AD765">
        <f>RAND()</f>
        <v/>
      </c>
      <c r="AE765">
        <f>RAND()</f>
        <v/>
      </c>
      <c r="AF765">
        <f>RAND()</f>
        <v/>
      </c>
    </row>
    <row r="766">
      <c r="M766" s="14">
        <f>_xlfn.BETA.INV($AA766,1+4*($D$5-$C$5)/($E$5-$C$5),1+4*($E$5-$D$5)/($E$5-$C$5),$C$5,$E$5)</f>
        <v/>
      </c>
      <c r="N766" s="14">
        <f>IF($AB766&lt;($D$6-$C$6)/($E$6-$C$6),$C$6+SQRT($AB766*($E$6-$C$6)*($D$6-$C$6)),$E$6-SQRT((1-$AB766)*($E$6-$C$6)*($E$6-$D$6)))</f>
        <v/>
      </c>
      <c r="O766" s="14">
        <f>_xlfn.NORM.INV($AC766,$C$7,$D$7)</f>
        <v/>
      </c>
      <c r="P766" s="14">
        <f>$C$8+($D$8-$C$8)*$AD766</f>
        <v/>
      </c>
      <c r="Q766" s="14">
        <f>$C$9</f>
        <v/>
      </c>
      <c r="R766" s="14">
        <f>_xlfn.LOGNORM.INV($AF766,LN($C$10)-0.5*LN(1+($D$10/$C$10)^2),SQRT(LN(1+($D$10/$C$10)^2)))</f>
        <v/>
      </c>
      <c r="S766" s="14">
        <f>SUM(M766:R766)</f>
        <v/>
      </c>
      <c r="AA766">
        <f>RAND()</f>
        <v/>
      </c>
      <c r="AB766">
        <f>RAND()</f>
        <v/>
      </c>
      <c r="AC766">
        <f>RAND()</f>
        <v/>
      </c>
      <c r="AD766">
        <f>RAND()</f>
        <v/>
      </c>
      <c r="AE766">
        <f>RAND()</f>
        <v/>
      </c>
      <c r="AF766">
        <f>RAND()</f>
        <v/>
      </c>
    </row>
    <row r="767">
      <c r="M767" s="14">
        <f>_xlfn.BETA.INV($AA767,1+4*($D$5-$C$5)/($E$5-$C$5),1+4*($E$5-$D$5)/($E$5-$C$5),$C$5,$E$5)</f>
        <v/>
      </c>
      <c r="N767" s="14">
        <f>IF($AB767&lt;($D$6-$C$6)/($E$6-$C$6),$C$6+SQRT($AB767*($E$6-$C$6)*($D$6-$C$6)),$E$6-SQRT((1-$AB767)*($E$6-$C$6)*($E$6-$D$6)))</f>
        <v/>
      </c>
      <c r="O767" s="14">
        <f>_xlfn.NORM.INV($AC767,$C$7,$D$7)</f>
        <v/>
      </c>
      <c r="P767" s="14">
        <f>$C$8+($D$8-$C$8)*$AD767</f>
        <v/>
      </c>
      <c r="Q767" s="14">
        <f>$C$9</f>
        <v/>
      </c>
      <c r="R767" s="14">
        <f>_xlfn.LOGNORM.INV($AF767,LN($C$10)-0.5*LN(1+($D$10/$C$10)^2),SQRT(LN(1+($D$10/$C$10)^2)))</f>
        <v/>
      </c>
      <c r="S767" s="14">
        <f>SUM(M767:R767)</f>
        <v/>
      </c>
      <c r="AA767">
        <f>RAND()</f>
        <v/>
      </c>
      <c r="AB767">
        <f>RAND()</f>
        <v/>
      </c>
      <c r="AC767">
        <f>RAND()</f>
        <v/>
      </c>
      <c r="AD767">
        <f>RAND()</f>
        <v/>
      </c>
      <c r="AE767">
        <f>RAND()</f>
        <v/>
      </c>
      <c r="AF767">
        <f>RAND()</f>
        <v/>
      </c>
    </row>
    <row r="768">
      <c r="M768" s="14">
        <f>_xlfn.BETA.INV($AA768,1+4*($D$5-$C$5)/($E$5-$C$5),1+4*($E$5-$D$5)/($E$5-$C$5),$C$5,$E$5)</f>
        <v/>
      </c>
      <c r="N768" s="14">
        <f>IF($AB768&lt;($D$6-$C$6)/($E$6-$C$6),$C$6+SQRT($AB768*($E$6-$C$6)*($D$6-$C$6)),$E$6-SQRT((1-$AB768)*($E$6-$C$6)*($E$6-$D$6)))</f>
        <v/>
      </c>
      <c r="O768" s="14">
        <f>_xlfn.NORM.INV($AC768,$C$7,$D$7)</f>
        <v/>
      </c>
      <c r="P768" s="14">
        <f>$C$8+($D$8-$C$8)*$AD768</f>
        <v/>
      </c>
      <c r="Q768" s="14">
        <f>$C$9</f>
        <v/>
      </c>
      <c r="R768" s="14">
        <f>_xlfn.LOGNORM.INV($AF768,LN($C$10)-0.5*LN(1+($D$10/$C$10)^2),SQRT(LN(1+($D$10/$C$10)^2)))</f>
        <v/>
      </c>
      <c r="S768" s="14">
        <f>SUM(M768:R768)</f>
        <v/>
      </c>
      <c r="AA768">
        <f>RAND()</f>
        <v/>
      </c>
      <c r="AB768">
        <f>RAND()</f>
        <v/>
      </c>
      <c r="AC768">
        <f>RAND()</f>
        <v/>
      </c>
      <c r="AD768">
        <f>RAND()</f>
        <v/>
      </c>
      <c r="AE768">
        <f>RAND()</f>
        <v/>
      </c>
      <c r="AF768">
        <f>RAND()</f>
        <v/>
      </c>
    </row>
    <row r="769">
      <c r="M769" s="14">
        <f>_xlfn.BETA.INV($AA769,1+4*($D$5-$C$5)/($E$5-$C$5),1+4*($E$5-$D$5)/($E$5-$C$5),$C$5,$E$5)</f>
        <v/>
      </c>
      <c r="N769" s="14">
        <f>IF($AB769&lt;($D$6-$C$6)/($E$6-$C$6),$C$6+SQRT($AB769*($E$6-$C$6)*($D$6-$C$6)),$E$6-SQRT((1-$AB769)*($E$6-$C$6)*($E$6-$D$6)))</f>
        <v/>
      </c>
      <c r="O769" s="14">
        <f>_xlfn.NORM.INV($AC769,$C$7,$D$7)</f>
        <v/>
      </c>
      <c r="P769" s="14">
        <f>$C$8+($D$8-$C$8)*$AD769</f>
        <v/>
      </c>
      <c r="Q769" s="14">
        <f>$C$9</f>
        <v/>
      </c>
      <c r="R769" s="14">
        <f>_xlfn.LOGNORM.INV($AF769,LN($C$10)-0.5*LN(1+($D$10/$C$10)^2),SQRT(LN(1+($D$10/$C$10)^2)))</f>
        <v/>
      </c>
      <c r="S769" s="14">
        <f>SUM(M769:R769)</f>
        <v/>
      </c>
      <c r="AA769">
        <f>RAND()</f>
        <v/>
      </c>
      <c r="AB769">
        <f>RAND()</f>
        <v/>
      </c>
      <c r="AC769">
        <f>RAND()</f>
        <v/>
      </c>
      <c r="AD769">
        <f>RAND()</f>
        <v/>
      </c>
      <c r="AE769">
        <f>RAND()</f>
        <v/>
      </c>
      <c r="AF769">
        <f>RAND()</f>
        <v/>
      </c>
    </row>
    <row r="770">
      <c r="M770" s="14">
        <f>_xlfn.BETA.INV($AA770,1+4*($D$5-$C$5)/($E$5-$C$5),1+4*($E$5-$D$5)/($E$5-$C$5),$C$5,$E$5)</f>
        <v/>
      </c>
      <c r="N770" s="14">
        <f>IF($AB770&lt;($D$6-$C$6)/($E$6-$C$6),$C$6+SQRT($AB770*($E$6-$C$6)*($D$6-$C$6)),$E$6-SQRT((1-$AB770)*($E$6-$C$6)*($E$6-$D$6)))</f>
        <v/>
      </c>
      <c r="O770" s="14">
        <f>_xlfn.NORM.INV($AC770,$C$7,$D$7)</f>
        <v/>
      </c>
      <c r="P770" s="14">
        <f>$C$8+($D$8-$C$8)*$AD770</f>
        <v/>
      </c>
      <c r="Q770" s="14">
        <f>$C$9</f>
        <v/>
      </c>
      <c r="R770" s="14">
        <f>_xlfn.LOGNORM.INV($AF770,LN($C$10)-0.5*LN(1+($D$10/$C$10)^2),SQRT(LN(1+($D$10/$C$10)^2)))</f>
        <v/>
      </c>
      <c r="S770" s="14">
        <f>SUM(M770:R770)</f>
        <v/>
      </c>
      <c r="AA770">
        <f>RAND()</f>
        <v/>
      </c>
      <c r="AB770">
        <f>RAND()</f>
        <v/>
      </c>
      <c r="AC770">
        <f>RAND()</f>
        <v/>
      </c>
      <c r="AD770">
        <f>RAND()</f>
        <v/>
      </c>
      <c r="AE770">
        <f>RAND()</f>
        <v/>
      </c>
      <c r="AF770">
        <f>RAND()</f>
        <v/>
      </c>
    </row>
    <row r="771">
      <c r="M771" s="14">
        <f>_xlfn.BETA.INV($AA771,1+4*($D$5-$C$5)/($E$5-$C$5),1+4*($E$5-$D$5)/($E$5-$C$5),$C$5,$E$5)</f>
        <v/>
      </c>
      <c r="N771" s="14">
        <f>IF($AB771&lt;($D$6-$C$6)/($E$6-$C$6),$C$6+SQRT($AB771*($E$6-$C$6)*($D$6-$C$6)),$E$6-SQRT((1-$AB771)*($E$6-$C$6)*($E$6-$D$6)))</f>
        <v/>
      </c>
      <c r="O771" s="14">
        <f>_xlfn.NORM.INV($AC771,$C$7,$D$7)</f>
        <v/>
      </c>
      <c r="P771" s="14">
        <f>$C$8+($D$8-$C$8)*$AD771</f>
        <v/>
      </c>
      <c r="Q771" s="14">
        <f>$C$9</f>
        <v/>
      </c>
      <c r="R771" s="14">
        <f>_xlfn.LOGNORM.INV($AF771,LN($C$10)-0.5*LN(1+($D$10/$C$10)^2),SQRT(LN(1+($D$10/$C$10)^2)))</f>
        <v/>
      </c>
      <c r="S771" s="14">
        <f>SUM(M771:R771)</f>
        <v/>
      </c>
      <c r="AA771">
        <f>RAND()</f>
        <v/>
      </c>
      <c r="AB771">
        <f>RAND()</f>
        <v/>
      </c>
      <c r="AC771">
        <f>RAND()</f>
        <v/>
      </c>
      <c r="AD771">
        <f>RAND()</f>
        <v/>
      </c>
      <c r="AE771">
        <f>RAND()</f>
        <v/>
      </c>
      <c r="AF771">
        <f>RAND()</f>
        <v/>
      </c>
    </row>
    <row r="772">
      <c r="M772" s="14">
        <f>_xlfn.BETA.INV($AA772,1+4*($D$5-$C$5)/($E$5-$C$5),1+4*($E$5-$D$5)/($E$5-$C$5),$C$5,$E$5)</f>
        <v/>
      </c>
      <c r="N772" s="14">
        <f>IF($AB772&lt;($D$6-$C$6)/($E$6-$C$6),$C$6+SQRT($AB772*($E$6-$C$6)*($D$6-$C$6)),$E$6-SQRT((1-$AB772)*($E$6-$C$6)*($E$6-$D$6)))</f>
        <v/>
      </c>
      <c r="O772" s="14">
        <f>_xlfn.NORM.INV($AC772,$C$7,$D$7)</f>
        <v/>
      </c>
      <c r="P772" s="14">
        <f>$C$8+($D$8-$C$8)*$AD772</f>
        <v/>
      </c>
      <c r="Q772" s="14">
        <f>$C$9</f>
        <v/>
      </c>
      <c r="R772" s="14">
        <f>_xlfn.LOGNORM.INV($AF772,LN($C$10)-0.5*LN(1+($D$10/$C$10)^2),SQRT(LN(1+($D$10/$C$10)^2)))</f>
        <v/>
      </c>
      <c r="S772" s="14">
        <f>SUM(M772:R772)</f>
        <v/>
      </c>
      <c r="AA772">
        <f>RAND()</f>
        <v/>
      </c>
      <c r="AB772">
        <f>RAND()</f>
        <v/>
      </c>
      <c r="AC772">
        <f>RAND()</f>
        <v/>
      </c>
      <c r="AD772">
        <f>RAND()</f>
        <v/>
      </c>
      <c r="AE772">
        <f>RAND()</f>
        <v/>
      </c>
      <c r="AF772">
        <f>RAND()</f>
        <v/>
      </c>
    </row>
    <row r="773">
      <c r="M773" s="14">
        <f>_xlfn.BETA.INV($AA773,1+4*($D$5-$C$5)/($E$5-$C$5),1+4*($E$5-$D$5)/($E$5-$C$5),$C$5,$E$5)</f>
        <v/>
      </c>
      <c r="N773" s="14">
        <f>IF($AB773&lt;($D$6-$C$6)/($E$6-$C$6),$C$6+SQRT($AB773*($E$6-$C$6)*($D$6-$C$6)),$E$6-SQRT((1-$AB773)*($E$6-$C$6)*($E$6-$D$6)))</f>
        <v/>
      </c>
      <c r="O773" s="14">
        <f>_xlfn.NORM.INV($AC773,$C$7,$D$7)</f>
        <v/>
      </c>
      <c r="P773" s="14">
        <f>$C$8+($D$8-$C$8)*$AD773</f>
        <v/>
      </c>
      <c r="Q773" s="14">
        <f>$C$9</f>
        <v/>
      </c>
      <c r="R773" s="14">
        <f>_xlfn.LOGNORM.INV($AF773,LN($C$10)-0.5*LN(1+($D$10/$C$10)^2),SQRT(LN(1+($D$10/$C$10)^2)))</f>
        <v/>
      </c>
      <c r="S773" s="14">
        <f>SUM(M773:R773)</f>
        <v/>
      </c>
      <c r="AA773">
        <f>RAND()</f>
        <v/>
      </c>
      <c r="AB773">
        <f>RAND()</f>
        <v/>
      </c>
      <c r="AC773">
        <f>RAND()</f>
        <v/>
      </c>
      <c r="AD773">
        <f>RAND()</f>
        <v/>
      </c>
      <c r="AE773">
        <f>RAND()</f>
        <v/>
      </c>
      <c r="AF773">
        <f>RAND()</f>
        <v/>
      </c>
    </row>
    <row r="774">
      <c r="M774" s="14">
        <f>_xlfn.BETA.INV($AA774,1+4*($D$5-$C$5)/($E$5-$C$5),1+4*($E$5-$D$5)/($E$5-$C$5),$C$5,$E$5)</f>
        <v/>
      </c>
      <c r="N774" s="14">
        <f>IF($AB774&lt;($D$6-$C$6)/($E$6-$C$6),$C$6+SQRT($AB774*($E$6-$C$6)*($D$6-$C$6)),$E$6-SQRT((1-$AB774)*($E$6-$C$6)*($E$6-$D$6)))</f>
        <v/>
      </c>
      <c r="O774" s="14">
        <f>_xlfn.NORM.INV($AC774,$C$7,$D$7)</f>
        <v/>
      </c>
      <c r="P774" s="14">
        <f>$C$8+($D$8-$C$8)*$AD774</f>
        <v/>
      </c>
      <c r="Q774" s="14">
        <f>$C$9</f>
        <v/>
      </c>
      <c r="R774" s="14">
        <f>_xlfn.LOGNORM.INV($AF774,LN($C$10)-0.5*LN(1+($D$10/$C$10)^2),SQRT(LN(1+($D$10/$C$10)^2)))</f>
        <v/>
      </c>
      <c r="S774" s="14">
        <f>SUM(M774:R774)</f>
        <v/>
      </c>
      <c r="AA774">
        <f>RAND()</f>
        <v/>
      </c>
      <c r="AB774">
        <f>RAND()</f>
        <v/>
      </c>
      <c r="AC774">
        <f>RAND()</f>
        <v/>
      </c>
      <c r="AD774">
        <f>RAND()</f>
        <v/>
      </c>
      <c r="AE774">
        <f>RAND()</f>
        <v/>
      </c>
      <c r="AF774">
        <f>RAND()</f>
        <v/>
      </c>
    </row>
    <row r="775">
      <c r="M775" s="14">
        <f>_xlfn.BETA.INV($AA775,1+4*($D$5-$C$5)/($E$5-$C$5),1+4*($E$5-$D$5)/($E$5-$C$5),$C$5,$E$5)</f>
        <v/>
      </c>
      <c r="N775" s="14">
        <f>IF($AB775&lt;($D$6-$C$6)/($E$6-$C$6),$C$6+SQRT($AB775*($E$6-$C$6)*($D$6-$C$6)),$E$6-SQRT((1-$AB775)*($E$6-$C$6)*($E$6-$D$6)))</f>
        <v/>
      </c>
      <c r="O775" s="14">
        <f>_xlfn.NORM.INV($AC775,$C$7,$D$7)</f>
        <v/>
      </c>
      <c r="P775" s="14">
        <f>$C$8+($D$8-$C$8)*$AD775</f>
        <v/>
      </c>
      <c r="Q775" s="14">
        <f>$C$9</f>
        <v/>
      </c>
      <c r="R775" s="14">
        <f>_xlfn.LOGNORM.INV($AF775,LN($C$10)-0.5*LN(1+($D$10/$C$10)^2),SQRT(LN(1+($D$10/$C$10)^2)))</f>
        <v/>
      </c>
      <c r="S775" s="14">
        <f>SUM(M775:R775)</f>
        <v/>
      </c>
      <c r="AA775">
        <f>RAND()</f>
        <v/>
      </c>
      <c r="AB775">
        <f>RAND()</f>
        <v/>
      </c>
      <c r="AC775">
        <f>RAND()</f>
        <v/>
      </c>
      <c r="AD775">
        <f>RAND()</f>
        <v/>
      </c>
      <c r="AE775">
        <f>RAND()</f>
        <v/>
      </c>
      <c r="AF775">
        <f>RAND()</f>
        <v/>
      </c>
    </row>
    <row r="776">
      <c r="M776" s="14">
        <f>_xlfn.BETA.INV($AA776,1+4*($D$5-$C$5)/($E$5-$C$5),1+4*($E$5-$D$5)/($E$5-$C$5),$C$5,$E$5)</f>
        <v/>
      </c>
      <c r="N776" s="14">
        <f>IF($AB776&lt;($D$6-$C$6)/($E$6-$C$6),$C$6+SQRT($AB776*($E$6-$C$6)*($D$6-$C$6)),$E$6-SQRT((1-$AB776)*($E$6-$C$6)*($E$6-$D$6)))</f>
        <v/>
      </c>
      <c r="O776" s="14">
        <f>_xlfn.NORM.INV($AC776,$C$7,$D$7)</f>
        <v/>
      </c>
      <c r="P776" s="14">
        <f>$C$8+($D$8-$C$8)*$AD776</f>
        <v/>
      </c>
      <c r="Q776" s="14">
        <f>$C$9</f>
        <v/>
      </c>
      <c r="R776" s="14">
        <f>_xlfn.LOGNORM.INV($AF776,LN($C$10)-0.5*LN(1+($D$10/$C$10)^2),SQRT(LN(1+($D$10/$C$10)^2)))</f>
        <v/>
      </c>
      <c r="S776" s="14">
        <f>SUM(M776:R776)</f>
        <v/>
      </c>
      <c r="AA776">
        <f>RAND()</f>
        <v/>
      </c>
      <c r="AB776">
        <f>RAND()</f>
        <v/>
      </c>
      <c r="AC776">
        <f>RAND()</f>
        <v/>
      </c>
      <c r="AD776">
        <f>RAND()</f>
        <v/>
      </c>
      <c r="AE776">
        <f>RAND()</f>
        <v/>
      </c>
      <c r="AF776">
        <f>RAND()</f>
        <v/>
      </c>
    </row>
    <row r="777">
      <c r="M777" s="14">
        <f>_xlfn.BETA.INV($AA777,1+4*($D$5-$C$5)/($E$5-$C$5),1+4*($E$5-$D$5)/($E$5-$C$5),$C$5,$E$5)</f>
        <v/>
      </c>
      <c r="N777" s="14">
        <f>IF($AB777&lt;($D$6-$C$6)/($E$6-$C$6),$C$6+SQRT($AB777*($E$6-$C$6)*($D$6-$C$6)),$E$6-SQRT((1-$AB777)*($E$6-$C$6)*($E$6-$D$6)))</f>
        <v/>
      </c>
      <c r="O777" s="14">
        <f>_xlfn.NORM.INV($AC777,$C$7,$D$7)</f>
        <v/>
      </c>
      <c r="P777" s="14">
        <f>$C$8+($D$8-$C$8)*$AD777</f>
        <v/>
      </c>
      <c r="Q777" s="14">
        <f>$C$9</f>
        <v/>
      </c>
      <c r="R777" s="14">
        <f>_xlfn.LOGNORM.INV($AF777,LN($C$10)-0.5*LN(1+($D$10/$C$10)^2),SQRT(LN(1+($D$10/$C$10)^2)))</f>
        <v/>
      </c>
      <c r="S777" s="14">
        <f>SUM(M777:R777)</f>
        <v/>
      </c>
      <c r="AA777">
        <f>RAND()</f>
        <v/>
      </c>
      <c r="AB777">
        <f>RAND()</f>
        <v/>
      </c>
      <c r="AC777">
        <f>RAND()</f>
        <v/>
      </c>
      <c r="AD777">
        <f>RAND()</f>
        <v/>
      </c>
      <c r="AE777">
        <f>RAND()</f>
        <v/>
      </c>
      <c r="AF777">
        <f>RAND()</f>
        <v/>
      </c>
    </row>
    <row r="778">
      <c r="M778" s="14">
        <f>_xlfn.BETA.INV($AA778,1+4*($D$5-$C$5)/($E$5-$C$5),1+4*($E$5-$D$5)/($E$5-$C$5),$C$5,$E$5)</f>
        <v/>
      </c>
      <c r="N778" s="14">
        <f>IF($AB778&lt;($D$6-$C$6)/($E$6-$C$6),$C$6+SQRT($AB778*($E$6-$C$6)*($D$6-$C$6)),$E$6-SQRT((1-$AB778)*($E$6-$C$6)*($E$6-$D$6)))</f>
        <v/>
      </c>
      <c r="O778" s="14">
        <f>_xlfn.NORM.INV($AC778,$C$7,$D$7)</f>
        <v/>
      </c>
      <c r="P778" s="14">
        <f>$C$8+($D$8-$C$8)*$AD778</f>
        <v/>
      </c>
      <c r="Q778" s="14">
        <f>$C$9</f>
        <v/>
      </c>
      <c r="R778" s="14">
        <f>_xlfn.LOGNORM.INV($AF778,LN($C$10)-0.5*LN(1+($D$10/$C$10)^2),SQRT(LN(1+($D$10/$C$10)^2)))</f>
        <v/>
      </c>
      <c r="S778" s="14">
        <f>SUM(M778:R778)</f>
        <v/>
      </c>
      <c r="AA778">
        <f>RAND()</f>
        <v/>
      </c>
      <c r="AB778">
        <f>RAND()</f>
        <v/>
      </c>
      <c r="AC778">
        <f>RAND()</f>
        <v/>
      </c>
      <c r="AD778">
        <f>RAND()</f>
        <v/>
      </c>
      <c r="AE778">
        <f>RAND()</f>
        <v/>
      </c>
      <c r="AF778">
        <f>RAND()</f>
        <v/>
      </c>
    </row>
    <row r="779">
      <c r="M779" s="14">
        <f>_xlfn.BETA.INV($AA779,1+4*($D$5-$C$5)/($E$5-$C$5),1+4*($E$5-$D$5)/($E$5-$C$5),$C$5,$E$5)</f>
        <v/>
      </c>
      <c r="N779" s="14">
        <f>IF($AB779&lt;($D$6-$C$6)/($E$6-$C$6),$C$6+SQRT($AB779*($E$6-$C$6)*($D$6-$C$6)),$E$6-SQRT((1-$AB779)*($E$6-$C$6)*($E$6-$D$6)))</f>
        <v/>
      </c>
      <c r="O779" s="14">
        <f>_xlfn.NORM.INV($AC779,$C$7,$D$7)</f>
        <v/>
      </c>
      <c r="P779" s="14">
        <f>$C$8+($D$8-$C$8)*$AD779</f>
        <v/>
      </c>
      <c r="Q779" s="14">
        <f>$C$9</f>
        <v/>
      </c>
      <c r="R779" s="14">
        <f>_xlfn.LOGNORM.INV($AF779,LN($C$10)-0.5*LN(1+($D$10/$C$10)^2),SQRT(LN(1+($D$10/$C$10)^2)))</f>
        <v/>
      </c>
      <c r="S779" s="14">
        <f>SUM(M779:R779)</f>
        <v/>
      </c>
      <c r="AA779">
        <f>RAND()</f>
        <v/>
      </c>
      <c r="AB779">
        <f>RAND()</f>
        <v/>
      </c>
      <c r="AC779">
        <f>RAND()</f>
        <v/>
      </c>
      <c r="AD779">
        <f>RAND()</f>
        <v/>
      </c>
      <c r="AE779">
        <f>RAND()</f>
        <v/>
      </c>
      <c r="AF779">
        <f>RAND()</f>
        <v/>
      </c>
    </row>
    <row r="780">
      <c r="M780" s="14">
        <f>_xlfn.BETA.INV($AA780,1+4*($D$5-$C$5)/($E$5-$C$5),1+4*($E$5-$D$5)/($E$5-$C$5),$C$5,$E$5)</f>
        <v/>
      </c>
      <c r="N780" s="14">
        <f>IF($AB780&lt;($D$6-$C$6)/($E$6-$C$6),$C$6+SQRT($AB780*($E$6-$C$6)*($D$6-$C$6)),$E$6-SQRT((1-$AB780)*($E$6-$C$6)*($E$6-$D$6)))</f>
        <v/>
      </c>
      <c r="O780" s="14">
        <f>_xlfn.NORM.INV($AC780,$C$7,$D$7)</f>
        <v/>
      </c>
      <c r="P780" s="14">
        <f>$C$8+($D$8-$C$8)*$AD780</f>
        <v/>
      </c>
      <c r="Q780" s="14">
        <f>$C$9</f>
        <v/>
      </c>
      <c r="R780" s="14">
        <f>_xlfn.LOGNORM.INV($AF780,LN($C$10)-0.5*LN(1+($D$10/$C$10)^2),SQRT(LN(1+($D$10/$C$10)^2)))</f>
        <v/>
      </c>
      <c r="S780" s="14">
        <f>SUM(M780:R780)</f>
        <v/>
      </c>
      <c r="AA780">
        <f>RAND()</f>
        <v/>
      </c>
      <c r="AB780">
        <f>RAND()</f>
        <v/>
      </c>
      <c r="AC780">
        <f>RAND()</f>
        <v/>
      </c>
      <c r="AD780">
        <f>RAND()</f>
        <v/>
      </c>
      <c r="AE780">
        <f>RAND()</f>
        <v/>
      </c>
      <c r="AF780">
        <f>RAND()</f>
        <v/>
      </c>
    </row>
    <row r="781">
      <c r="M781" s="14">
        <f>_xlfn.BETA.INV($AA781,1+4*($D$5-$C$5)/($E$5-$C$5),1+4*($E$5-$D$5)/($E$5-$C$5),$C$5,$E$5)</f>
        <v/>
      </c>
      <c r="N781" s="14">
        <f>IF($AB781&lt;($D$6-$C$6)/($E$6-$C$6),$C$6+SQRT($AB781*($E$6-$C$6)*($D$6-$C$6)),$E$6-SQRT((1-$AB781)*($E$6-$C$6)*($E$6-$D$6)))</f>
        <v/>
      </c>
      <c r="O781" s="14">
        <f>_xlfn.NORM.INV($AC781,$C$7,$D$7)</f>
        <v/>
      </c>
      <c r="P781" s="14">
        <f>$C$8+($D$8-$C$8)*$AD781</f>
        <v/>
      </c>
      <c r="Q781" s="14">
        <f>$C$9</f>
        <v/>
      </c>
      <c r="R781" s="14">
        <f>_xlfn.LOGNORM.INV($AF781,LN($C$10)-0.5*LN(1+($D$10/$C$10)^2),SQRT(LN(1+($D$10/$C$10)^2)))</f>
        <v/>
      </c>
      <c r="S781" s="14">
        <f>SUM(M781:R781)</f>
        <v/>
      </c>
      <c r="AA781">
        <f>RAND()</f>
        <v/>
      </c>
      <c r="AB781">
        <f>RAND()</f>
        <v/>
      </c>
      <c r="AC781">
        <f>RAND()</f>
        <v/>
      </c>
      <c r="AD781">
        <f>RAND()</f>
        <v/>
      </c>
      <c r="AE781">
        <f>RAND()</f>
        <v/>
      </c>
      <c r="AF781">
        <f>RAND()</f>
        <v/>
      </c>
    </row>
    <row r="782">
      <c r="M782" s="14">
        <f>_xlfn.BETA.INV($AA782,1+4*($D$5-$C$5)/($E$5-$C$5),1+4*($E$5-$D$5)/($E$5-$C$5),$C$5,$E$5)</f>
        <v/>
      </c>
      <c r="N782" s="14">
        <f>IF($AB782&lt;($D$6-$C$6)/($E$6-$C$6),$C$6+SQRT($AB782*($E$6-$C$6)*($D$6-$C$6)),$E$6-SQRT((1-$AB782)*($E$6-$C$6)*($E$6-$D$6)))</f>
        <v/>
      </c>
      <c r="O782" s="14">
        <f>_xlfn.NORM.INV($AC782,$C$7,$D$7)</f>
        <v/>
      </c>
      <c r="P782" s="14">
        <f>$C$8+($D$8-$C$8)*$AD782</f>
        <v/>
      </c>
      <c r="Q782" s="14">
        <f>$C$9</f>
        <v/>
      </c>
      <c r="R782" s="14">
        <f>_xlfn.LOGNORM.INV($AF782,LN($C$10)-0.5*LN(1+($D$10/$C$10)^2),SQRT(LN(1+($D$10/$C$10)^2)))</f>
        <v/>
      </c>
      <c r="S782" s="14">
        <f>SUM(M782:R782)</f>
        <v/>
      </c>
      <c r="AA782">
        <f>RAND()</f>
        <v/>
      </c>
      <c r="AB782">
        <f>RAND()</f>
        <v/>
      </c>
      <c r="AC782">
        <f>RAND()</f>
        <v/>
      </c>
      <c r="AD782">
        <f>RAND()</f>
        <v/>
      </c>
      <c r="AE782">
        <f>RAND()</f>
        <v/>
      </c>
      <c r="AF782">
        <f>RAND()</f>
        <v/>
      </c>
    </row>
    <row r="783">
      <c r="M783" s="14">
        <f>_xlfn.BETA.INV($AA783,1+4*($D$5-$C$5)/($E$5-$C$5),1+4*($E$5-$D$5)/($E$5-$C$5),$C$5,$E$5)</f>
        <v/>
      </c>
      <c r="N783" s="14">
        <f>IF($AB783&lt;($D$6-$C$6)/($E$6-$C$6),$C$6+SQRT($AB783*($E$6-$C$6)*($D$6-$C$6)),$E$6-SQRT((1-$AB783)*($E$6-$C$6)*($E$6-$D$6)))</f>
        <v/>
      </c>
      <c r="O783" s="14">
        <f>_xlfn.NORM.INV($AC783,$C$7,$D$7)</f>
        <v/>
      </c>
      <c r="P783" s="14">
        <f>$C$8+($D$8-$C$8)*$AD783</f>
        <v/>
      </c>
      <c r="Q783" s="14">
        <f>$C$9</f>
        <v/>
      </c>
      <c r="R783" s="14">
        <f>_xlfn.LOGNORM.INV($AF783,LN($C$10)-0.5*LN(1+($D$10/$C$10)^2),SQRT(LN(1+($D$10/$C$10)^2)))</f>
        <v/>
      </c>
      <c r="S783" s="14">
        <f>SUM(M783:R783)</f>
        <v/>
      </c>
      <c r="AA783">
        <f>RAND()</f>
        <v/>
      </c>
      <c r="AB783">
        <f>RAND()</f>
        <v/>
      </c>
      <c r="AC783">
        <f>RAND()</f>
        <v/>
      </c>
      <c r="AD783">
        <f>RAND()</f>
        <v/>
      </c>
      <c r="AE783">
        <f>RAND()</f>
        <v/>
      </c>
      <c r="AF783">
        <f>RAND()</f>
        <v/>
      </c>
    </row>
    <row r="784">
      <c r="M784" s="14">
        <f>_xlfn.BETA.INV($AA784,1+4*($D$5-$C$5)/($E$5-$C$5),1+4*($E$5-$D$5)/($E$5-$C$5),$C$5,$E$5)</f>
        <v/>
      </c>
      <c r="N784" s="14">
        <f>IF($AB784&lt;($D$6-$C$6)/($E$6-$C$6),$C$6+SQRT($AB784*($E$6-$C$6)*($D$6-$C$6)),$E$6-SQRT((1-$AB784)*($E$6-$C$6)*($E$6-$D$6)))</f>
        <v/>
      </c>
      <c r="O784" s="14">
        <f>_xlfn.NORM.INV($AC784,$C$7,$D$7)</f>
        <v/>
      </c>
      <c r="P784" s="14">
        <f>$C$8+($D$8-$C$8)*$AD784</f>
        <v/>
      </c>
      <c r="Q784" s="14">
        <f>$C$9</f>
        <v/>
      </c>
      <c r="R784" s="14">
        <f>_xlfn.LOGNORM.INV($AF784,LN($C$10)-0.5*LN(1+($D$10/$C$10)^2),SQRT(LN(1+($D$10/$C$10)^2)))</f>
        <v/>
      </c>
      <c r="S784" s="14">
        <f>SUM(M784:R784)</f>
        <v/>
      </c>
      <c r="AA784">
        <f>RAND()</f>
        <v/>
      </c>
      <c r="AB784">
        <f>RAND()</f>
        <v/>
      </c>
      <c r="AC784">
        <f>RAND()</f>
        <v/>
      </c>
      <c r="AD784">
        <f>RAND()</f>
        <v/>
      </c>
      <c r="AE784">
        <f>RAND()</f>
        <v/>
      </c>
      <c r="AF784">
        <f>RAND()</f>
        <v/>
      </c>
    </row>
    <row r="785">
      <c r="M785" s="14">
        <f>_xlfn.BETA.INV($AA785,1+4*($D$5-$C$5)/($E$5-$C$5),1+4*($E$5-$D$5)/($E$5-$C$5),$C$5,$E$5)</f>
        <v/>
      </c>
      <c r="N785" s="14">
        <f>IF($AB785&lt;($D$6-$C$6)/($E$6-$C$6),$C$6+SQRT($AB785*($E$6-$C$6)*($D$6-$C$6)),$E$6-SQRT((1-$AB785)*($E$6-$C$6)*($E$6-$D$6)))</f>
        <v/>
      </c>
      <c r="O785" s="14">
        <f>_xlfn.NORM.INV($AC785,$C$7,$D$7)</f>
        <v/>
      </c>
      <c r="P785" s="14">
        <f>$C$8+($D$8-$C$8)*$AD785</f>
        <v/>
      </c>
      <c r="Q785" s="14">
        <f>$C$9</f>
        <v/>
      </c>
      <c r="R785" s="14">
        <f>_xlfn.LOGNORM.INV($AF785,LN($C$10)-0.5*LN(1+($D$10/$C$10)^2),SQRT(LN(1+($D$10/$C$10)^2)))</f>
        <v/>
      </c>
      <c r="S785" s="14">
        <f>SUM(M785:R785)</f>
        <v/>
      </c>
      <c r="AA785">
        <f>RAND()</f>
        <v/>
      </c>
      <c r="AB785">
        <f>RAND()</f>
        <v/>
      </c>
      <c r="AC785">
        <f>RAND()</f>
        <v/>
      </c>
      <c r="AD785">
        <f>RAND()</f>
        <v/>
      </c>
      <c r="AE785">
        <f>RAND()</f>
        <v/>
      </c>
      <c r="AF785">
        <f>RAND()</f>
        <v/>
      </c>
    </row>
    <row r="786">
      <c r="M786" s="14">
        <f>_xlfn.BETA.INV($AA786,1+4*($D$5-$C$5)/($E$5-$C$5),1+4*($E$5-$D$5)/($E$5-$C$5),$C$5,$E$5)</f>
        <v/>
      </c>
      <c r="N786" s="14">
        <f>IF($AB786&lt;($D$6-$C$6)/($E$6-$C$6),$C$6+SQRT($AB786*($E$6-$C$6)*($D$6-$C$6)),$E$6-SQRT((1-$AB786)*($E$6-$C$6)*($E$6-$D$6)))</f>
        <v/>
      </c>
      <c r="O786" s="14">
        <f>_xlfn.NORM.INV($AC786,$C$7,$D$7)</f>
        <v/>
      </c>
      <c r="P786" s="14">
        <f>$C$8+($D$8-$C$8)*$AD786</f>
        <v/>
      </c>
      <c r="Q786" s="14">
        <f>$C$9</f>
        <v/>
      </c>
      <c r="R786" s="14">
        <f>_xlfn.LOGNORM.INV($AF786,LN($C$10)-0.5*LN(1+($D$10/$C$10)^2),SQRT(LN(1+($D$10/$C$10)^2)))</f>
        <v/>
      </c>
      <c r="S786" s="14">
        <f>SUM(M786:R786)</f>
        <v/>
      </c>
      <c r="AA786">
        <f>RAND()</f>
        <v/>
      </c>
      <c r="AB786">
        <f>RAND()</f>
        <v/>
      </c>
      <c r="AC786">
        <f>RAND()</f>
        <v/>
      </c>
      <c r="AD786">
        <f>RAND()</f>
        <v/>
      </c>
      <c r="AE786">
        <f>RAND()</f>
        <v/>
      </c>
      <c r="AF786">
        <f>RAND()</f>
        <v/>
      </c>
    </row>
    <row r="787">
      <c r="M787" s="14">
        <f>_xlfn.BETA.INV($AA787,1+4*($D$5-$C$5)/($E$5-$C$5),1+4*($E$5-$D$5)/($E$5-$C$5),$C$5,$E$5)</f>
        <v/>
      </c>
      <c r="N787" s="14">
        <f>IF($AB787&lt;($D$6-$C$6)/($E$6-$C$6),$C$6+SQRT($AB787*($E$6-$C$6)*($D$6-$C$6)),$E$6-SQRT((1-$AB787)*($E$6-$C$6)*($E$6-$D$6)))</f>
        <v/>
      </c>
      <c r="O787" s="14">
        <f>_xlfn.NORM.INV($AC787,$C$7,$D$7)</f>
        <v/>
      </c>
      <c r="P787" s="14">
        <f>$C$8+($D$8-$C$8)*$AD787</f>
        <v/>
      </c>
      <c r="Q787" s="14">
        <f>$C$9</f>
        <v/>
      </c>
      <c r="R787" s="14">
        <f>_xlfn.LOGNORM.INV($AF787,LN($C$10)-0.5*LN(1+($D$10/$C$10)^2),SQRT(LN(1+($D$10/$C$10)^2)))</f>
        <v/>
      </c>
      <c r="S787" s="14">
        <f>SUM(M787:R787)</f>
        <v/>
      </c>
      <c r="AA787">
        <f>RAND()</f>
        <v/>
      </c>
      <c r="AB787">
        <f>RAND()</f>
        <v/>
      </c>
      <c r="AC787">
        <f>RAND()</f>
        <v/>
      </c>
      <c r="AD787">
        <f>RAND()</f>
        <v/>
      </c>
      <c r="AE787">
        <f>RAND()</f>
        <v/>
      </c>
      <c r="AF787">
        <f>RAND()</f>
        <v/>
      </c>
    </row>
    <row r="788">
      <c r="M788" s="14">
        <f>_xlfn.BETA.INV($AA788,1+4*($D$5-$C$5)/($E$5-$C$5),1+4*($E$5-$D$5)/($E$5-$C$5),$C$5,$E$5)</f>
        <v/>
      </c>
      <c r="N788" s="14">
        <f>IF($AB788&lt;($D$6-$C$6)/($E$6-$C$6),$C$6+SQRT($AB788*($E$6-$C$6)*($D$6-$C$6)),$E$6-SQRT((1-$AB788)*($E$6-$C$6)*($E$6-$D$6)))</f>
        <v/>
      </c>
      <c r="O788" s="14">
        <f>_xlfn.NORM.INV($AC788,$C$7,$D$7)</f>
        <v/>
      </c>
      <c r="P788" s="14">
        <f>$C$8+($D$8-$C$8)*$AD788</f>
        <v/>
      </c>
      <c r="Q788" s="14">
        <f>$C$9</f>
        <v/>
      </c>
      <c r="R788" s="14">
        <f>_xlfn.LOGNORM.INV($AF788,LN($C$10)-0.5*LN(1+($D$10/$C$10)^2),SQRT(LN(1+($D$10/$C$10)^2)))</f>
        <v/>
      </c>
      <c r="S788" s="14">
        <f>SUM(M788:R788)</f>
        <v/>
      </c>
      <c r="AA788">
        <f>RAND()</f>
        <v/>
      </c>
      <c r="AB788">
        <f>RAND()</f>
        <v/>
      </c>
      <c r="AC788">
        <f>RAND()</f>
        <v/>
      </c>
      <c r="AD788">
        <f>RAND()</f>
        <v/>
      </c>
      <c r="AE788">
        <f>RAND()</f>
        <v/>
      </c>
      <c r="AF788">
        <f>RAND()</f>
        <v/>
      </c>
    </row>
    <row r="789">
      <c r="M789" s="14">
        <f>_xlfn.BETA.INV($AA789,1+4*($D$5-$C$5)/($E$5-$C$5),1+4*($E$5-$D$5)/($E$5-$C$5),$C$5,$E$5)</f>
        <v/>
      </c>
      <c r="N789" s="14">
        <f>IF($AB789&lt;($D$6-$C$6)/($E$6-$C$6),$C$6+SQRT($AB789*($E$6-$C$6)*($D$6-$C$6)),$E$6-SQRT((1-$AB789)*($E$6-$C$6)*($E$6-$D$6)))</f>
        <v/>
      </c>
      <c r="O789" s="14">
        <f>_xlfn.NORM.INV($AC789,$C$7,$D$7)</f>
        <v/>
      </c>
      <c r="P789" s="14">
        <f>$C$8+($D$8-$C$8)*$AD789</f>
        <v/>
      </c>
      <c r="Q789" s="14">
        <f>$C$9</f>
        <v/>
      </c>
      <c r="R789" s="14">
        <f>_xlfn.LOGNORM.INV($AF789,LN($C$10)-0.5*LN(1+($D$10/$C$10)^2),SQRT(LN(1+($D$10/$C$10)^2)))</f>
        <v/>
      </c>
      <c r="S789" s="14">
        <f>SUM(M789:R789)</f>
        <v/>
      </c>
      <c r="AA789">
        <f>RAND()</f>
        <v/>
      </c>
      <c r="AB789">
        <f>RAND()</f>
        <v/>
      </c>
      <c r="AC789">
        <f>RAND()</f>
        <v/>
      </c>
      <c r="AD789">
        <f>RAND()</f>
        <v/>
      </c>
      <c r="AE789">
        <f>RAND()</f>
        <v/>
      </c>
      <c r="AF789">
        <f>RAND()</f>
        <v/>
      </c>
    </row>
    <row r="790">
      <c r="M790" s="14">
        <f>_xlfn.BETA.INV($AA790,1+4*($D$5-$C$5)/($E$5-$C$5),1+4*($E$5-$D$5)/($E$5-$C$5),$C$5,$E$5)</f>
        <v/>
      </c>
      <c r="N790" s="14">
        <f>IF($AB790&lt;($D$6-$C$6)/($E$6-$C$6),$C$6+SQRT($AB790*($E$6-$C$6)*($D$6-$C$6)),$E$6-SQRT((1-$AB790)*($E$6-$C$6)*($E$6-$D$6)))</f>
        <v/>
      </c>
      <c r="O790" s="14">
        <f>_xlfn.NORM.INV($AC790,$C$7,$D$7)</f>
        <v/>
      </c>
      <c r="P790" s="14">
        <f>$C$8+($D$8-$C$8)*$AD790</f>
        <v/>
      </c>
      <c r="Q790" s="14">
        <f>$C$9</f>
        <v/>
      </c>
      <c r="R790" s="14">
        <f>_xlfn.LOGNORM.INV($AF790,LN($C$10)-0.5*LN(1+($D$10/$C$10)^2),SQRT(LN(1+($D$10/$C$10)^2)))</f>
        <v/>
      </c>
      <c r="S790" s="14">
        <f>SUM(M790:R790)</f>
        <v/>
      </c>
      <c r="AA790">
        <f>RAND()</f>
        <v/>
      </c>
      <c r="AB790">
        <f>RAND()</f>
        <v/>
      </c>
      <c r="AC790">
        <f>RAND()</f>
        <v/>
      </c>
      <c r="AD790">
        <f>RAND()</f>
        <v/>
      </c>
      <c r="AE790">
        <f>RAND()</f>
        <v/>
      </c>
      <c r="AF790">
        <f>RAND()</f>
        <v/>
      </c>
    </row>
    <row r="791">
      <c r="M791" s="14">
        <f>_xlfn.BETA.INV($AA791,1+4*($D$5-$C$5)/($E$5-$C$5),1+4*($E$5-$D$5)/($E$5-$C$5),$C$5,$E$5)</f>
        <v/>
      </c>
      <c r="N791" s="14">
        <f>IF($AB791&lt;($D$6-$C$6)/($E$6-$C$6),$C$6+SQRT($AB791*($E$6-$C$6)*($D$6-$C$6)),$E$6-SQRT((1-$AB791)*($E$6-$C$6)*($E$6-$D$6)))</f>
        <v/>
      </c>
      <c r="O791" s="14">
        <f>_xlfn.NORM.INV($AC791,$C$7,$D$7)</f>
        <v/>
      </c>
      <c r="P791" s="14">
        <f>$C$8+($D$8-$C$8)*$AD791</f>
        <v/>
      </c>
      <c r="Q791" s="14">
        <f>$C$9</f>
        <v/>
      </c>
      <c r="R791" s="14">
        <f>_xlfn.LOGNORM.INV($AF791,LN($C$10)-0.5*LN(1+($D$10/$C$10)^2),SQRT(LN(1+($D$10/$C$10)^2)))</f>
        <v/>
      </c>
      <c r="S791" s="14">
        <f>SUM(M791:R791)</f>
        <v/>
      </c>
      <c r="AA791">
        <f>RAND()</f>
        <v/>
      </c>
      <c r="AB791">
        <f>RAND()</f>
        <v/>
      </c>
      <c r="AC791">
        <f>RAND()</f>
        <v/>
      </c>
      <c r="AD791">
        <f>RAND()</f>
        <v/>
      </c>
      <c r="AE791">
        <f>RAND()</f>
        <v/>
      </c>
      <c r="AF791">
        <f>RAND()</f>
        <v/>
      </c>
    </row>
    <row r="792">
      <c r="M792" s="14">
        <f>_xlfn.BETA.INV($AA792,1+4*($D$5-$C$5)/($E$5-$C$5),1+4*($E$5-$D$5)/($E$5-$C$5),$C$5,$E$5)</f>
        <v/>
      </c>
      <c r="N792" s="14">
        <f>IF($AB792&lt;($D$6-$C$6)/($E$6-$C$6),$C$6+SQRT($AB792*($E$6-$C$6)*($D$6-$C$6)),$E$6-SQRT((1-$AB792)*($E$6-$C$6)*($E$6-$D$6)))</f>
        <v/>
      </c>
      <c r="O792" s="14">
        <f>_xlfn.NORM.INV($AC792,$C$7,$D$7)</f>
        <v/>
      </c>
      <c r="P792" s="14">
        <f>$C$8+($D$8-$C$8)*$AD792</f>
        <v/>
      </c>
      <c r="Q792" s="14">
        <f>$C$9</f>
        <v/>
      </c>
      <c r="R792" s="14">
        <f>_xlfn.LOGNORM.INV($AF792,LN($C$10)-0.5*LN(1+($D$10/$C$10)^2),SQRT(LN(1+($D$10/$C$10)^2)))</f>
        <v/>
      </c>
      <c r="S792" s="14">
        <f>SUM(M792:R792)</f>
        <v/>
      </c>
      <c r="AA792">
        <f>RAND()</f>
        <v/>
      </c>
      <c r="AB792">
        <f>RAND()</f>
        <v/>
      </c>
      <c r="AC792">
        <f>RAND()</f>
        <v/>
      </c>
      <c r="AD792">
        <f>RAND()</f>
        <v/>
      </c>
      <c r="AE792">
        <f>RAND()</f>
        <v/>
      </c>
      <c r="AF792">
        <f>RAND()</f>
        <v/>
      </c>
    </row>
    <row r="793">
      <c r="M793" s="14">
        <f>_xlfn.BETA.INV($AA793,1+4*($D$5-$C$5)/($E$5-$C$5),1+4*($E$5-$D$5)/($E$5-$C$5),$C$5,$E$5)</f>
        <v/>
      </c>
      <c r="N793" s="14">
        <f>IF($AB793&lt;($D$6-$C$6)/($E$6-$C$6),$C$6+SQRT($AB793*($E$6-$C$6)*($D$6-$C$6)),$E$6-SQRT((1-$AB793)*($E$6-$C$6)*($E$6-$D$6)))</f>
        <v/>
      </c>
      <c r="O793" s="14">
        <f>_xlfn.NORM.INV($AC793,$C$7,$D$7)</f>
        <v/>
      </c>
      <c r="P793" s="14">
        <f>$C$8+($D$8-$C$8)*$AD793</f>
        <v/>
      </c>
      <c r="Q793" s="14">
        <f>$C$9</f>
        <v/>
      </c>
      <c r="R793" s="14">
        <f>_xlfn.LOGNORM.INV($AF793,LN($C$10)-0.5*LN(1+($D$10/$C$10)^2),SQRT(LN(1+($D$10/$C$10)^2)))</f>
        <v/>
      </c>
      <c r="S793" s="14">
        <f>SUM(M793:R793)</f>
        <v/>
      </c>
      <c r="AA793">
        <f>RAND()</f>
        <v/>
      </c>
      <c r="AB793">
        <f>RAND()</f>
        <v/>
      </c>
      <c r="AC793">
        <f>RAND()</f>
        <v/>
      </c>
      <c r="AD793">
        <f>RAND()</f>
        <v/>
      </c>
      <c r="AE793">
        <f>RAND()</f>
        <v/>
      </c>
      <c r="AF793">
        <f>RAND()</f>
        <v/>
      </c>
    </row>
    <row r="794">
      <c r="M794" s="14">
        <f>_xlfn.BETA.INV($AA794,1+4*($D$5-$C$5)/($E$5-$C$5),1+4*($E$5-$D$5)/($E$5-$C$5),$C$5,$E$5)</f>
        <v/>
      </c>
      <c r="N794" s="14">
        <f>IF($AB794&lt;($D$6-$C$6)/($E$6-$C$6),$C$6+SQRT($AB794*($E$6-$C$6)*($D$6-$C$6)),$E$6-SQRT((1-$AB794)*($E$6-$C$6)*($E$6-$D$6)))</f>
        <v/>
      </c>
      <c r="O794" s="14">
        <f>_xlfn.NORM.INV($AC794,$C$7,$D$7)</f>
        <v/>
      </c>
      <c r="P794" s="14">
        <f>$C$8+($D$8-$C$8)*$AD794</f>
        <v/>
      </c>
      <c r="Q794" s="14">
        <f>$C$9</f>
        <v/>
      </c>
      <c r="R794" s="14">
        <f>_xlfn.LOGNORM.INV($AF794,LN($C$10)-0.5*LN(1+($D$10/$C$10)^2),SQRT(LN(1+($D$10/$C$10)^2)))</f>
        <v/>
      </c>
      <c r="S794" s="14">
        <f>SUM(M794:R794)</f>
        <v/>
      </c>
      <c r="AA794">
        <f>RAND()</f>
        <v/>
      </c>
      <c r="AB794">
        <f>RAND()</f>
        <v/>
      </c>
      <c r="AC794">
        <f>RAND()</f>
        <v/>
      </c>
      <c r="AD794">
        <f>RAND()</f>
        <v/>
      </c>
      <c r="AE794">
        <f>RAND()</f>
        <v/>
      </c>
      <c r="AF794">
        <f>RAND()</f>
        <v/>
      </c>
    </row>
    <row r="795">
      <c r="M795" s="14">
        <f>_xlfn.BETA.INV($AA795,1+4*($D$5-$C$5)/($E$5-$C$5),1+4*($E$5-$D$5)/($E$5-$C$5),$C$5,$E$5)</f>
        <v/>
      </c>
      <c r="N795" s="14">
        <f>IF($AB795&lt;($D$6-$C$6)/($E$6-$C$6),$C$6+SQRT($AB795*($E$6-$C$6)*($D$6-$C$6)),$E$6-SQRT((1-$AB795)*($E$6-$C$6)*($E$6-$D$6)))</f>
        <v/>
      </c>
      <c r="O795" s="14">
        <f>_xlfn.NORM.INV($AC795,$C$7,$D$7)</f>
        <v/>
      </c>
      <c r="P795" s="14">
        <f>$C$8+($D$8-$C$8)*$AD795</f>
        <v/>
      </c>
      <c r="Q795" s="14">
        <f>$C$9</f>
        <v/>
      </c>
      <c r="R795" s="14">
        <f>_xlfn.LOGNORM.INV($AF795,LN($C$10)-0.5*LN(1+($D$10/$C$10)^2),SQRT(LN(1+($D$10/$C$10)^2)))</f>
        <v/>
      </c>
      <c r="S795" s="14">
        <f>SUM(M795:R795)</f>
        <v/>
      </c>
      <c r="AA795">
        <f>RAND()</f>
        <v/>
      </c>
      <c r="AB795">
        <f>RAND()</f>
        <v/>
      </c>
      <c r="AC795">
        <f>RAND()</f>
        <v/>
      </c>
      <c r="AD795">
        <f>RAND()</f>
        <v/>
      </c>
      <c r="AE795">
        <f>RAND()</f>
        <v/>
      </c>
      <c r="AF795">
        <f>RAND()</f>
        <v/>
      </c>
    </row>
    <row r="796">
      <c r="M796" s="14">
        <f>_xlfn.BETA.INV($AA796,1+4*($D$5-$C$5)/($E$5-$C$5),1+4*($E$5-$D$5)/($E$5-$C$5),$C$5,$E$5)</f>
        <v/>
      </c>
      <c r="N796" s="14">
        <f>IF($AB796&lt;($D$6-$C$6)/($E$6-$C$6),$C$6+SQRT($AB796*($E$6-$C$6)*($D$6-$C$6)),$E$6-SQRT((1-$AB796)*($E$6-$C$6)*($E$6-$D$6)))</f>
        <v/>
      </c>
      <c r="O796" s="14">
        <f>_xlfn.NORM.INV($AC796,$C$7,$D$7)</f>
        <v/>
      </c>
      <c r="P796" s="14">
        <f>$C$8+($D$8-$C$8)*$AD796</f>
        <v/>
      </c>
      <c r="Q796" s="14">
        <f>$C$9</f>
        <v/>
      </c>
      <c r="R796" s="14">
        <f>_xlfn.LOGNORM.INV($AF796,LN($C$10)-0.5*LN(1+($D$10/$C$10)^2),SQRT(LN(1+($D$10/$C$10)^2)))</f>
        <v/>
      </c>
      <c r="S796" s="14">
        <f>SUM(M796:R796)</f>
        <v/>
      </c>
      <c r="AA796">
        <f>RAND()</f>
        <v/>
      </c>
      <c r="AB796">
        <f>RAND()</f>
        <v/>
      </c>
      <c r="AC796">
        <f>RAND()</f>
        <v/>
      </c>
      <c r="AD796">
        <f>RAND()</f>
        <v/>
      </c>
      <c r="AE796">
        <f>RAND()</f>
        <v/>
      </c>
      <c r="AF796">
        <f>RAND()</f>
        <v/>
      </c>
    </row>
    <row r="797">
      <c r="M797" s="14">
        <f>_xlfn.BETA.INV($AA797,1+4*($D$5-$C$5)/($E$5-$C$5),1+4*($E$5-$D$5)/($E$5-$C$5),$C$5,$E$5)</f>
        <v/>
      </c>
      <c r="N797" s="14">
        <f>IF($AB797&lt;($D$6-$C$6)/($E$6-$C$6),$C$6+SQRT($AB797*($E$6-$C$6)*($D$6-$C$6)),$E$6-SQRT((1-$AB797)*($E$6-$C$6)*($E$6-$D$6)))</f>
        <v/>
      </c>
      <c r="O797" s="14">
        <f>_xlfn.NORM.INV($AC797,$C$7,$D$7)</f>
        <v/>
      </c>
      <c r="P797" s="14">
        <f>$C$8+($D$8-$C$8)*$AD797</f>
        <v/>
      </c>
      <c r="Q797" s="14">
        <f>$C$9</f>
        <v/>
      </c>
      <c r="R797" s="14">
        <f>_xlfn.LOGNORM.INV($AF797,LN($C$10)-0.5*LN(1+($D$10/$C$10)^2),SQRT(LN(1+($D$10/$C$10)^2)))</f>
        <v/>
      </c>
      <c r="S797" s="14">
        <f>SUM(M797:R797)</f>
        <v/>
      </c>
      <c r="AA797">
        <f>RAND()</f>
        <v/>
      </c>
      <c r="AB797">
        <f>RAND()</f>
        <v/>
      </c>
      <c r="AC797">
        <f>RAND()</f>
        <v/>
      </c>
      <c r="AD797">
        <f>RAND()</f>
        <v/>
      </c>
      <c r="AE797">
        <f>RAND()</f>
        <v/>
      </c>
      <c r="AF797">
        <f>RAND()</f>
        <v/>
      </c>
    </row>
    <row r="798">
      <c r="M798" s="14">
        <f>_xlfn.BETA.INV($AA798,1+4*($D$5-$C$5)/($E$5-$C$5),1+4*($E$5-$D$5)/($E$5-$C$5),$C$5,$E$5)</f>
        <v/>
      </c>
      <c r="N798" s="14">
        <f>IF($AB798&lt;($D$6-$C$6)/($E$6-$C$6),$C$6+SQRT($AB798*($E$6-$C$6)*($D$6-$C$6)),$E$6-SQRT((1-$AB798)*($E$6-$C$6)*($E$6-$D$6)))</f>
        <v/>
      </c>
      <c r="O798" s="14">
        <f>_xlfn.NORM.INV($AC798,$C$7,$D$7)</f>
        <v/>
      </c>
      <c r="P798" s="14">
        <f>$C$8+($D$8-$C$8)*$AD798</f>
        <v/>
      </c>
      <c r="Q798" s="14">
        <f>$C$9</f>
        <v/>
      </c>
      <c r="R798" s="14">
        <f>_xlfn.LOGNORM.INV($AF798,LN($C$10)-0.5*LN(1+($D$10/$C$10)^2),SQRT(LN(1+($D$10/$C$10)^2)))</f>
        <v/>
      </c>
      <c r="S798" s="14">
        <f>SUM(M798:R798)</f>
        <v/>
      </c>
      <c r="AA798">
        <f>RAND()</f>
        <v/>
      </c>
      <c r="AB798">
        <f>RAND()</f>
        <v/>
      </c>
      <c r="AC798">
        <f>RAND()</f>
        <v/>
      </c>
      <c r="AD798">
        <f>RAND()</f>
        <v/>
      </c>
      <c r="AE798">
        <f>RAND()</f>
        <v/>
      </c>
      <c r="AF798">
        <f>RAND()</f>
        <v/>
      </c>
    </row>
    <row r="799">
      <c r="M799" s="14">
        <f>_xlfn.BETA.INV($AA799,1+4*($D$5-$C$5)/($E$5-$C$5),1+4*($E$5-$D$5)/($E$5-$C$5),$C$5,$E$5)</f>
        <v/>
      </c>
      <c r="N799" s="14">
        <f>IF($AB799&lt;($D$6-$C$6)/($E$6-$C$6),$C$6+SQRT($AB799*($E$6-$C$6)*($D$6-$C$6)),$E$6-SQRT((1-$AB799)*($E$6-$C$6)*($E$6-$D$6)))</f>
        <v/>
      </c>
      <c r="O799" s="14">
        <f>_xlfn.NORM.INV($AC799,$C$7,$D$7)</f>
        <v/>
      </c>
      <c r="P799" s="14">
        <f>$C$8+($D$8-$C$8)*$AD799</f>
        <v/>
      </c>
      <c r="Q799" s="14">
        <f>$C$9</f>
        <v/>
      </c>
      <c r="R799" s="14">
        <f>_xlfn.LOGNORM.INV($AF799,LN($C$10)-0.5*LN(1+($D$10/$C$10)^2),SQRT(LN(1+($D$10/$C$10)^2)))</f>
        <v/>
      </c>
      <c r="S799" s="14">
        <f>SUM(M799:R799)</f>
        <v/>
      </c>
      <c r="AA799">
        <f>RAND()</f>
        <v/>
      </c>
      <c r="AB799">
        <f>RAND()</f>
        <v/>
      </c>
      <c r="AC799">
        <f>RAND()</f>
        <v/>
      </c>
      <c r="AD799">
        <f>RAND()</f>
        <v/>
      </c>
      <c r="AE799">
        <f>RAND()</f>
        <v/>
      </c>
      <c r="AF799">
        <f>RAND()</f>
        <v/>
      </c>
    </row>
    <row r="800">
      <c r="M800" s="14">
        <f>_xlfn.BETA.INV($AA800,1+4*($D$5-$C$5)/($E$5-$C$5),1+4*($E$5-$D$5)/($E$5-$C$5),$C$5,$E$5)</f>
        <v/>
      </c>
      <c r="N800" s="14">
        <f>IF($AB800&lt;($D$6-$C$6)/($E$6-$C$6),$C$6+SQRT($AB800*($E$6-$C$6)*($D$6-$C$6)),$E$6-SQRT((1-$AB800)*($E$6-$C$6)*($E$6-$D$6)))</f>
        <v/>
      </c>
      <c r="O800" s="14">
        <f>_xlfn.NORM.INV($AC800,$C$7,$D$7)</f>
        <v/>
      </c>
      <c r="P800" s="14">
        <f>$C$8+($D$8-$C$8)*$AD800</f>
        <v/>
      </c>
      <c r="Q800" s="14">
        <f>$C$9</f>
        <v/>
      </c>
      <c r="R800" s="14">
        <f>_xlfn.LOGNORM.INV($AF800,LN($C$10)-0.5*LN(1+($D$10/$C$10)^2),SQRT(LN(1+($D$10/$C$10)^2)))</f>
        <v/>
      </c>
      <c r="S800" s="14">
        <f>SUM(M800:R800)</f>
        <v/>
      </c>
      <c r="AA800">
        <f>RAND()</f>
        <v/>
      </c>
      <c r="AB800">
        <f>RAND()</f>
        <v/>
      </c>
      <c r="AC800">
        <f>RAND()</f>
        <v/>
      </c>
      <c r="AD800">
        <f>RAND()</f>
        <v/>
      </c>
      <c r="AE800">
        <f>RAND()</f>
        <v/>
      </c>
      <c r="AF800">
        <f>RAND()</f>
        <v/>
      </c>
    </row>
    <row r="801">
      <c r="M801" s="14">
        <f>_xlfn.BETA.INV($AA801,1+4*($D$5-$C$5)/($E$5-$C$5),1+4*($E$5-$D$5)/($E$5-$C$5),$C$5,$E$5)</f>
        <v/>
      </c>
      <c r="N801" s="14">
        <f>IF($AB801&lt;($D$6-$C$6)/($E$6-$C$6),$C$6+SQRT($AB801*($E$6-$C$6)*($D$6-$C$6)),$E$6-SQRT((1-$AB801)*($E$6-$C$6)*($E$6-$D$6)))</f>
        <v/>
      </c>
      <c r="O801" s="14">
        <f>_xlfn.NORM.INV($AC801,$C$7,$D$7)</f>
        <v/>
      </c>
      <c r="P801" s="14">
        <f>$C$8+($D$8-$C$8)*$AD801</f>
        <v/>
      </c>
      <c r="Q801" s="14">
        <f>$C$9</f>
        <v/>
      </c>
      <c r="R801" s="14">
        <f>_xlfn.LOGNORM.INV($AF801,LN($C$10)-0.5*LN(1+($D$10/$C$10)^2),SQRT(LN(1+($D$10/$C$10)^2)))</f>
        <v/>
      </c>
      <c r="S801" s="14">
        <f>SUM(M801:R801)</f>
        <v/>
      </c>
      <c r="AA801">
        <f>RAND()</f>
        <v/>
      </c>
      <c r="AB801">
        <f>RAND()</f>
        <v/>
      </c>
      <c r="AC801">
        <f>RAND()</f>
        <v/>
      </c>
      <c r="AD801">
        <f>RAND()</f>
        <v/>
      </c>
      <c r="AE801">
        <f>RAND()</f>
        <v/>
      </c>
      <c r="AF801">
        <f>RAND()</f>
        <v/>
      </c>
    </row>
    <row r="802">
      <c r="M802" s="14">
        <f>_xlfn.BETA.INV($AA802,1+4*($D$5-$C$5)/($E$5-$C$5),1+4*($E$5-$D$5)/($E$5-$C$5),$C$5,$E$5)</f>
        <v/>
      </c>
      <c r="N802" s="14">
        <f>IF($AB802&lt;($D$6-$C$6)/($E$6-$C$6),$C$6+SQRT($AB802*($E$6-$C$6)*($D$6-$C$6)),$E$6-SQRT((1-$AB802)*($E$6-$C$6)*($E$6-$D$6)))</f>
        <v/>
      </c>
      <c r="O802" s="14">
        <f>_xlfn.NORM.INV($AC802,$C$7,$D$7)</f>
        <v/>
      </c>
      <c r="P802" s="14">
        <f>$C$8+($D$8-$C$8)*$AD802</f>
        <v/>
      </c>
      <c r="Q802" s="14">
        <f>$C$9</f>
        <v/>
      </c>
      <c r="R802" s="14">
        <f>_xlfn.LOGNORM.INV($AF802,LN($C$10)-0.5*LN(1+($D$10/$C$10)^2),SQRT(LN(1+($D$10/$C$10)^2)))</f>
        <v/>
      </c>
      <c r="S802" s="14">
        <f>SUM(M802:R802)</f>
        <v/>
      </c>
      <c r="AA802">
        <f>RAND()</f>
        <v/>
      </c>
      <c r="AB802">
        <f>RAND()</f>
        <v/>
      </c>
      <c r="AC802">
        <f>RAND()</f>
        <v/>
      </c>
      <c r="AD802">
        <f>RAND()</f>
        <v/>
      </c>
      <c r="AE802">
        <f>RAND()</f>
        <v/>
      </c>
      <c r="AF802">
        <f>RAND()</f>
        <v/>
      </c>
    </row>
    <row r="803">
      <c r="M803" s="14">
        <f>_xlfn.BETA.INV($AA803,1+4*($D$5-$C$5)/($E$5-$C$5),1+4*($E$5-$D$5)/($E$5-$C$5),$C$5,$E$5)</f>
        <v/>
      </c>
      <c r="N803" s="14">
        <f>IF($AB803&lt;($D$6-$C$6)/($E$6-$C$6),$C$6+SQRT($AB803*($E$6-$C$6)*($D$6-$C$6)),$E$6-SQRT((1-$AB803)*($E$6-$C$6)*($E$6-$D$6)))</f>
        <v/>
      </c>
      <c r="O803" s="14">
        <f>_xlfn.NORM.INV($AC803,$C$7,$D$7)</f>
        <v/>
      </c>
      <c r="P803" s="14">
        <f>$C$8+($D$8-$C$8)*$AD803</f>
        <v/>
      </c>
      <c r="Q803" s="14">
        <f>$C$9</f>
        <v/>
      </c>
      <c r="R803" s="14">
        <f>_xlfn.LOGNORM.INV($AF803,LN($C$10)-0.5*LN(1+($D$10/$C$10)^2),SQRT(LN(1+($D$10/$C$10)^2)))</f>
        <v/>
      </c>
      <c r="S803" s="14">
        <f>SUM(M803:R803)</f>
        <v/>
      </c>
      <c r="AA803">
        <f>RAND()</f>
        <v/>
      </c>
      <c r="AB803">
        <f>RAND()</f>
        <v/>
      </c>
      <c r="AC803">
        <f>RAND()</f>
        <v/>
      </c>
      <c r="AD803">
        <f>RAND()</f>
        <v/>
      </c>
      <c r="AE803">
        <f>RAND()</f>
        <v/>
      </c>
      <c r="AF803">
        <f>RAND()</f>
        <v/>
      </c>
    </row>
    <row r="804">
      <c r="M804" s="14">
        <f>_xlfn.BETA.INV($AA804,1+4*($D$5-$C$5)/($E$5-$C$5),1+4*($E$5-$D$5)/($E$5-$C$5),$C$5,$E$5)</f>
        <v/>
      </c>
      <c r="N804" s="14">
        <f>IF($AB804&lt;($D$6-$C$6)/($E$6-$C$6),$C$6+SQRT($AB804*($E$6-$C$6)*($D$6-$C$6)),$E$6-SQRT((1-$AB804)*($E$6-$C$6)*($E$6-$D$6)))</f>
        <v/>
      </c>
      <c r="O804" s="14">
        <f>_xlfn.NORM.INV($AC804,$C$7,$D$7)</f>
        <v/>
      </c>
      <c r="P804" s="14">
        <f>$C$8+($D$8-$C$8)*$AD804</f>
        <v/>
      </c>
      <c r="Q804" s="14">
        <f>$C$9</f>
        <v/>
      </c>
      <c r="R804" s="14">
        <f>_xlfn.LOGNORM.INV($AF804,LN($C$10)-0.5*LN(1+($D$10/$C$10)^2),SQRT(LN(1+($D$10/$C$10)^2)))</f>
        <v/>
      </c>
      <c r="S804" s="14">
        <f>SUM(M804:R804)</f>
        <v/>
      </c>
      <c r="AA804">
        <f>RAND()</f>
        <v/>
      </c>
      <c r="AB804">
        <f>RAND()</f>
        <v/>
      </c>
      <c r="AC804">
        <f>RAND()</f>
        <v/>
      </c>
      <c r="AD804">
        <f>RAND()</f>
        <v/>
      </c>
      <c r="AE804">
        <f>RAND()</f>
        <v/>
      </c>
      <c r="AF804">
        <f>RAND()</f>
        <v/>
      </c>
    </row>
    <row r="805">
      <c r="M805" s="14">
        <f>_xlfn.BETA.INV($AA805,1+4*($D$5-$C$5)/($E$5-$C$5),1+4*($E$5-$D$5)/($E$5-$C$5),$C$5,$E$5)</f>
        <v/>
      </c>
      <c r="N805" s="14">
        <f>IF($AB805&lt;($D$6-$C$6)/($E$6-$C$6),$C$6+SQRT($AB805*($E$6-$C$6)*($D$6-$C$6)),$E$6-SQRT((1-$AB805)*($E$6-$C$6)*($E$6-$D$6)))</f>
        <v/>
      </c>
      <c r="O805" s="14">
        <f>_xlfn.NORM.INV($AC805,$C$7,$D$7)</f>
        <v/>
      </c>
      <c r="P805" s="14">
        <f>$C$8+($D$8-$C$8)*$AD805</f>
        <v/>
      </c>
      <c r="Q805" s="14">
        <f>$C$9</f>
        <v/>
      </c>
      <c r="R805" s="14">
        <f>_xlfn.LOGNORM.INV($AF805,LN($C$10)-0.5*LN(1+($D$10/$C$10)^2),SQRT(LN(1+($D$10/$C$10)^2)))</f>
        <v/>
      </c>
      <c r="S805" s="14">
        <f>SUM(M805:R805)</f>
        <v/>
      </c>
      <c r="AA805">
        <f>RAND()</f>
        <v/>
      </c>
      <c r="AB805">
        <f>RAND()</f>
        <v/>
      </c>
      <c r="AC805">
        <f>RAND()</f>
        <v/>
      </c>
      <c r="AD805">
        <f>RAND()</f>
        <v/>
      </c>
      <c r="AE805">
        <f>RAND()</f>
        <v/>
      </c>
      <c r="AF805">
        <f>RAND()</f>
        <v/>
      </c>
    </row>
    <row r="806">
      <c r="M806" s="14">
        <f>_xlfn.BETA.INV($AA806,1+4*($D$5-$C$5)/($E$5-$C$5),1+4*($E$5-$D$5)/($E$5-$C$5),$C$5,$E$5)</f>
        <v/>
      </c>
      <c r="N806" s="14">
        <f>IF($AB806&lt;($D$6-$C$6)/($E$6-$C$6),$C$6+SQRT($AB806*($E$6-$C$6)*($D$6-$C$6)),$E$6-SQRT((1-$AB806)*($E$6-$C$6)*($E$6-$D$6)))</f>
        <v/>
      </c>
      <c r="O806" s="14">
        <f>_xlfn.NORM.INV($AC806,$C$7,$D$7)</f>
        <v/>
      </c>
      <c r="P806" s="14">
        <f>$C$8+($D$8-$C$8)*$AD806</f>
        <v/>
      </c>
      <c r="Q806" s="14">
        <f>$C$9</f>
        <v/>
      </c>
      <c r="R806" s="14">
        <f>_xlfn.LOGNORM.INV($AF806,LN($C$10)-0.5*LN(1+($D$10/$C$10)^2),SQRT(LN(1+($D$10/$C$10)^2)))</f>
        <v/>
      </c>
      <c r="S806" s="14">
        <f>SUM(M806:R806)</f>
        <v/>
      </c>
      <c r="AA806">
        <f>RAND()</f>
        <v/>
      </c>
      <c r="AB806">
        <f>RAND()</f>
        <v/>
      </c>
      <c r="AC806">
        <f>RAND()</f>
        <v/>
      </c>
      <c r="AD806">
        <f>RAND()</f>
        <v/>
      </c>
      <c r="AE806">
        <f>RAND()</f>
        <v/>
      </c>
      <c r="AF806">
        <f>RAND()</f>
        <v/>
      </c>
    </row>
    <row r="807">
      <c r="M807" s="14">
        <f>_xlfn.BETA.INV($AA807,1+4*($D$5-$C$5)/($E$5-$C$5),1+4*($E$5-$D$5)/($E$5-$C$5),$C$5,$E$5)</f>
        <v/>
      </c>
      <c r="N807" s="14">
        <f>IF($AB807&lt;($D$6-$C$6)/($E$6-$C$6),$C$6+SQRT($AB807*($E$6-$C$6)*($D$6-$C$6)),$E$6-SQRT((1-$AB807)*($E$6-$C$6)*($E$6-$D$6)))</f>
        <v/>
      </c>
      <c r="O807" s="14">
        <f>_xlfn.NORM.INV($AC807,$C$7,$D$7)</f>
        <v/>
      </c>
      <c r="P807" s="14">
        <f>$C$8+($D$8-$C$8)*$AD807</f>
        <v/>
      </c>
      <c r="Q807" s="14">
        <f>$C$9</f>
        <v/>
      </c>
      <c r="R807" s="14">
        <f>_xlfn.LOGNORM.INV($AF807,LN($C$10)-0.5*LN(1+($D$10/$C$10)^2),SQRT(LN(1+($D$10/$C$10)^2)))</f>
        <v/>
      </c>
      <c r="S807" s="14">
        <f>SUM(M807:R807)</f>
        <v/>
      </c>
      <c r="AA807">
        <f>RAND()</f>
        <v/>
      </c>
      <c r="AB807">
        <f>RAND()</f>
        <v/>
      </c>
      <c r="AC807">
        <f>RAND()</f>
        <v/>
      </c>
      <c r="AD807">
        <f>RAND()</f>
        <v/>
      </c>
      <c r="AE807">
        <f>RAND()</f>
        <v/>
      </c>
      <c r="AF807">
        <f>RAND()</f>
        <v/>
      </c>
    </row>
    <row r="808">
      <c r="M808" s="14">
        <f>_xlfn.BETA.INV($AA808,1+4*($D$5-$C$5)/($E$5-$C$5),1+4*($E$5-$D$5)/($E$5-$C$5),$C$5,$E$5)</f>
        <v/>
      </c>
      <c r="N808" s="14">
        <f>IF($AB808&lt;($D$6-$C$6)/($E$6-$C$6),$C$6+SQRT($AB808*($E$6-$C$6)*($D$6-$C$6)),$E$6-SQRT((1-$AB808)*($E$6-$C$6)*($E$6-$D$6)))</f>
        <v/>
      </c>
      <c r="O808" s="14">
        <f>_xlfn.NORM.INV($AC808,$C$7,$D$7)</f>
        <v/>
      </c>
      <c r="P808" s="14">
        <f>$C$8+($D$8-$C$8)*$AD808</f>
        <v/>
      </c>
      <c r="Q808" s="14">
        <f>$C$9</f>
        <v/>
      </c>
      <c r="R808" s="14">
        <f>_xlfn.LOGNORM.INV($AF808,LN($C$10)-0.5*LN(1+($D$10/$C$10)^2),SQRT(LN(1+($D$10/$C$10)^2)))</f>
        <v/>
      </c>
      <c r="S808" s="14">
        <f>SUM(M808:R808)</f>
        <v/>
      </c>
      <c r="AA808">
        <f>RAND()</f>
        <v/>
      </c>
      <c r="AB808">
        <f>RAND()</f>
        <v/>
      </c>
      <c r="AC808">
        <f>RAND()</f>
        <v/>
      </c>
      <c r="AD808">
        <f>RAND()</f>
        <v/>
      </c>
      <c r="AE808">
        <f>RAND()</f>
        <v/>
      </c>
      <c r="AF808">
        <f>RAND()</f>
        <v/>
      </c>
    </row>
    <row r="809">
      <c r="M809" s="14">
        <f>_xlfn.BETA.INV($AA809,1+4*($D$5-$C$5)/($E$5-$C$5),1+4*($E$5-$D$5)/($E$5-$C$5),$C$5,$E$5)</f>
        <v/>
      </c>
      <c r="N809" s="14">
        <f>IF($AB809&lt;($D$6-$C$6)/($E$6-$C$6),$C$6+SQRT($AB809*($E$6-$C$6)*($D$6-$C$6)),$E$6-SQRT((1-$AB809)*($E$6-$C$6)*($E$6-$D$6)))</f>
        <v/>
      </c>
      <c r="O809" s="14">
        <f>_xlfn.NORM.INV($AC809,$C$7,$D$7)</f>
        <v/>
      </c>
      <c r="P809" s="14">
        <f>$C$8+($D$8-$C$8)*$AD809</f>
        <v/>
      </c>
      <c r="Q809" s="14">
        <f>$C$9</f>
        <v/>
      </c>
      <c r="R809" s="14">
        <f>_xlfn.LOGNORM.INV($AF809,LN($C$10)-0.5*LN(1+($D$10/$C$10)^2),SQRT(LN(1+($D$10/$C$10)^2)))</f>
        <v/>
      </c>
      <c r="S809" s="14">
        <f>SUM(M809:R809)</f>
        <v/>
      </c>
      <c r="AA809">
        <f>RAND()</f>
        <v/>
      </c>
      <c r="AB809">
        <f>RAND()</f>
        <v/>
      </c>
      <c r="AC809">
        <f>RAND()</f>
        <v/>
      </c>
      <c r="AD809">
        <f>RAND()</f>
        <v/>
      </c>
      <c r="AE809">
        <f>RAND()</f>
        <v/>
      </c>
      <c r="AF809">
        <f>RAND()</f>
        <v/>
      </c>
    </row>
    <row r="810">
      <c r="M810" s="14">
        <f>_xlfn.BETA.INV($AA810,1+4*($D$5-$C$5)/($E$5-$C$5),1+4*($E$5-$D$5)/($E$5-$C$5),$C$5,$E$5)</f>
        <v/>
      </c>
      <c r="N810" s="14">
        <f>IF($AB810&lt;($D$6-$C$6)/($E$6-$C$6),$C$6+SQRT($AB810*($E$6-$C$6)*($D$6-$C$6)),$E$6-SQRT((1-$AB810)*($E$6-$C$6)*($E$6-$D$6)))</f>
        <v/>
      </c>
      <c r="O810" s="14">
        <f>_xlfn.NORM.INV($AC810,$C$7,$D$7)</f>
        <v/>
      </c>
      <c r="P810" s="14">
        <f>$C$8+($D$8-$C$8)*$AD810</f>
        <v/>
      </c>
      <c r="Q810" s="14">
        <f>$C$9</f>
        <v/>
      </c>
      <c r="R810" s="14">
        <f>_xlfn.LOGNORM.INV($AF810,LN($C$10)-0.5*LN(1+($D$10/$C$10)^2),SQRT(LN(1+($D$10/$C$10)^2)))</f>
        <v/>
      </c>
      <c r="S810" s="14">
        <f>SUM(M810:R810)</f>
        <v/>
      </c>
      <c r="AA810">
        <f>RAND()</f>
        <v/>
      </c>
      <c r="AB810">
        <f>RAND()</f>
        <v/>
      </c>
      <c r="AC810">
        <f>RAND()</f>
        <v/>
      </c>
      <c r="AD810">
        <f>RAND()</f>
        <v/>
      </c>
      <c r="AE810">
        <f>RAND()</f>
        <v/>
      </c>
      <c r="AF810">
        <f>RAND()</f>
        <v/>
      </c>
    </row>
    <row r="811">
      <c r="M811" s="14">
        <f>_xlfn.BETA.INV($AA811,1+4*($D$5-$C$5)/($E$5-$C$5),1+4*($E$5-$D$5)/($E$5-$C$5),$C$5,$E$5)</f>
        <v/>
      </c>
      <c r="N811" s="14">
        <f>IF($AB811&lt;($D$6-$C$6)/($E$6-$C$6),$C$6+SQRT($AB811*($E$6-$C$6)*($D$6-$C$6)),$E$6-SQRT((1-$AB811)*($E$6-$C$6)*($E$6-$D$6)))</f>
        <v/>
      </c>
      <c r="O811" s="14">
        <f>_xlfn.NORM.INV($AC811,$C$7,$D$7)</f>
        <v/>
      </c>
      <c r="P811" s="14">
        <f>$C$8+($D$8-$C$8)*$AD811</f>
        <v/>
      </c>
      <c r="Q811" s="14">
        <f>$C$9</f>
        <v/>
      </c>
      <c r="R811" s="14">
        <f>_xlfn.LOGNORM.INV($AF811,LN($C$10)-0.5*LN(1+($D$10/$C$10)^2),SQRT(LN(1+($D$10/$C$10)^2)))</f>
        <v/>
      </c>
      <c r="S811" s="14">
        <f>SUM(M811:R811)</f>
        <v/>
      </c>
      <c r="AA811">
        <f>RAND()</f>
        <v/>
      </c>
      <c r="AB811">
        <f>RAND()</f>
        <v/>
      </c>
      <c r="AC811">
        <f>RAND()</f>
        <v/>
      </c>
      <c r="AD811">
        <f>RAND()</f>
        <v/>
      </c>
      <c r="AE811">
        <f>RAND()</f>
        <v/>
      </c>
      <c r="AF811">
        <f>RAND()</f>
        <v/>
      </c>
    </row>
    <row r="812">
      <c r="M812" s="14">
        <f>_xlfn.BETA.INV($AA812,1+4*($D$5-$C$5)/($E$5-$C$5),1+4*($E$5-$D$5)/($E$5-$C$5),$C$5,$E$5)</f>
        <v/>
      </c>
      <c r="N812" s="14">
        <f>IF($AB812&lt;($D$6-$C$6)/($E$6-$C$6),$C$6+SQRT($AB812*($E$6-$C$6)*($D$6-$C$6)),$E$6-SQRT((1-$AB812)*($E$6-$C$6)*($E$6-$D$6)))</f>
        <v/>
      </c>
      <c r="O812" s="14">
        <f>_xlfn.NORM.INV($AC812,$C$7,$D$7)</f>
        <v/>
      </c>
      <c r="P812" s="14">
        <f>$C$8+($D$8-$C$8)*$AD812</f>
        <v/>
      </c>
      <c r="Q812" s="14">
        <f>$C$9</f>
        <v/>
      </c>
      <c r="R812" s="14">
        <f>_xlfn.LOGNORM.INV($AF812,LN($C$10)-0.5*LN(1+($D$10/$C$10)^2),SQRT(LN(1+($D$10/$C$10)^2)))</f>
        <v/>
      </c>
      <c r="S812" s="14">
        <f>SUM(M812:R812)</f>
        <v/>
      </c>
      <c r="AA812">
        <f>RAND()</f>
        <v/>
      </c>
      <c r="AB812">
        <f>RAND()</f>
        <v/>
      </c>
      <c r="AC812">
        <f>RAND()</f>
        <v/>
      </c>
      <c r="AD812">
        <f>RAND()</f>
        <v/>
      </c>
      <c r="AE812">
        <f>RAND()</f>
        <v/>
      </c>
      <c r="AF812">
        <f>RAND()</f>
        <v/>
      </c>
    </row>
    <row r="813">
      <c r="M813" s="14">
        <f>_xlfn.BETA.INV($AA813,1+4*($D$5-$C$5)/($E$5-$C$5),1+4*($E$5-$D$5)/($E$5-$C$5),$C$5,$E$5)</f>
        <v/>
      </c>
      <c r="N813" s="14">
        <f>IF($AB813&lt;($D$6-$C$6)/($E$6-$C$6),$C$6+SQRT($AB813*($E$6-$C$6)*($D$6-$C$6)),$E$6-SQRT((1-$AB813)*($E$6-$C$6)*($E$6-$D$6)))</f>
        <v/>
      </c>
      <c r="O813" s="14">
        <f>_xlfn.NORM.INV($AC813,$C$7,$D$7)</f>
        <v/>
      </c>
      <c r="P813" s="14">
        <f>$C$8+($D$8-$C$8)*$AD813</f>
        <v/>
      </c>
      <c r="Q813" s="14">
        <f>$C$9</f>
        <v/>
      </c>
      <c r="R813" s="14">
        <f>_xlfn.LOGNORM.INV($AF813,LN($C$10)-0.5*LN(1+($D$10/$C$10)^2),SQRT(LN(1+($D$10/$C$10)^2)))</f>
        <v/>
      </c>
      <c r="S813" s="14">
        <f>SUM(M813:R813)</f>
        <v/>
      </c>
      <c r="AA813">
        <f>RAND()</f>
        <v/>
      </c>
      <c r="AB813">
        <f>RAND()</f>
        <v/>
      </c>
      <c r="AC813">
        <f>RAND()</f>
        <v/>
      </c>
      <c r="AD813">
        <f>RAND()</f>
        <v/>
      </c>
      <c r="AE813">
        <f>RAND()</f>
        <v/>
      </c>
      <c r="AF813">
        <f>RAND()</f>
        <v/>
      </c>
    </row>
    <row r="814">
      <c r="M814" s="14">
        <f>_xlfn.BETA.INV($AA814,1+4*($D$5-$C$5)/($E$5-$C$5),1+4*($E$5-$D$5)/($E$5-$C$5),$C$5,$E$5)</f>
        <v/>
      </c>
      <c r="N814" s="14">
        <f>IF($AB814&lt;($D$6-$C$6)/($E$6-$C$6),$C$6+SQRT($AB814*($E$6-$C$6)*($D$6-$C$6)),$E$6-SQRT((1-$AB814)*($E$6-$C$6)*($E$6-$D$6)))</f>
        <v/>
      </c>
      <c r="O814" s="14">
        <f>_xlfn.NORM.INV($AC814,$C$7,$D$7)</f>
        <v/>
      </c>
      <c r="P814" s="14">
        <f>$C$8+($D$8-$C$8)*$AD814</f>
        <v/>
      </c>
      <c r="Q814" s="14">
        <f>$C$9</f>
        <v/>
      </c>
      <c r="R814" s="14">
        <f>_xlfn.LOGNORM.INV($AF814,LN($C$10)-0.5*LN(1+($D$10/$C$10)^2),SQRT(LN(1+($D$10/$C$10)^2)))</f>
        <v/>
      </c>
      <c r="S814" s="14">
        <f>SUM(M814:R814)</f>
        <v/>
      </c>
      <c r="AA814">
        <f>RAND()</f>
        <v/>
      </c>
      <c r="AB814">
        <f>RAND()</f>
        <v/>
      </c>
      <c r="AC814">
        <f>RAND()</f>
        <v/>
      </c>
      <c r="AD814">
        <f>RAND()</f>
        <v/>
      </c>
      <c r="AE814">
        <f>RAND()</f>
        <v/>
      </c>
      <c r="AF814">
        <f>RAND()</f>
        <v/>
      </c>
    </row>
    <row r="815">
      <c r="M815" s="14">
        <f>_xlfn.BETA.INV($AA815,1+4*($D$5-$C$5)/($E$5-$C$5),1+4*($E$5-$D$5)/($E$5-$C$5),$C$5,$E$5)</f>
        <v/>
      </c>
      <c r="N815" s="14">
        <f>IF($AB815&lt;($D$6-$C$6)/($E$6-$C$6),$C$6+SQRT($AB815*($E$6-$C$6)*($D$6-$C$6)),$E$6-SQRT((1-$AB815)*($E$6-$C$6)*($E$6-$D$6)))</f>
        <v/>
      </c>
      <c r="O815" s="14">
        <f>_xlfn.NORM.INV($AC815,$C$7,$D$7)</f>
        <v/>
      </c>
      <c r="P815" s="14">
        <f>$C$8+($D$8-$C$8)*$AD815</f>
        <v/>
      </c>
      <c r="Q815" s="14">
        <f>$C$9</f>
        <v/>
      </c>
      <c r="R815" s="14">
        <f>_xlfn.LOGNORM.INV($AF815,LN($C$10)-0.5*LN(1+($D$10/$C$10)^2),SQRT(LN(1+($D$10/$C$10)^2)))</f>
        <v/>
      </c>
      <c r="S815" s="14">
        <f>SUM(M815:R815)</f>
        <v/>
      </c>
      <c r="AA815">
        <f>RAND()</f>
        <v/>
      </c>
      <c r="AB815">
        <f>RAND()</f>
        <v/>
      </c>
      <c r="AC815">
        <f>RAND()</f>
        <v/>
      </c>
      <c r="AD815">
        <f>RAND()</f>
        <v/>
      </c>
      <c r="AE815">
        <f>RAND()</f>
        <v/>
      </c>
      <c r="AF815">
        <f>RAND()</f>
        <v/>
      </c>
    </row>
    <row r="816">
      <c r="M816" s="14">
        <f>_xlfn.BETA.INV($AA816,1+4*($D$5-$C$5)/($E$5-$C$5),1+4*($E$5-$D$5)/($E$5-$C$5),$C$5,$E$5)</f>
        <v/>
      </c>
      <c r="N816" s="14">
        <f>IF($AB816&lt;($D$6-$C$6)/($E$6-$C$6),$C$6+SQRT($AB816*($E$6-$C$6)*($D$6-$C$6)),$E$6-SQRT((1-$AB816)*($E$6-$C$6)*($E$6-$D$6)))</f>
        <v/>
      </c>
      <c r="O816" s="14">
        <f>_xlfn.NORM.INV($AC816,$C$7,$D$7)</f>
        <v/>
      </c>
      <c r="P816" s="14">
        <f>$C$8+($D$8-$C$8)*$AD816</f>
        <v/>
      </c>
      <c r="Q816" s="14">
        <f>$C$9</f>
        <v/>
      </c>
      <c r="R816" s="14">
        <f>_xlfn.LOGNORM.INV($AF816,LN($C$10)-0.5*LN(1+($D$10/$C$10)^2),SQRT(LN(1+($D$10/$C$10)^2)))</f>
        <v/>
      </c>
      <c r="S816" s="14">
        <f>SUM(M816:R816)</f>
        <v/>
      </c>
      <c r="AA816">
        <f>RAND()</f>
        <v/>
      </c>
      <c r="AB816">
        <f>RAND()</f>
        <v/>
      </c>
      <c r="AC816">
        <f>RAND()</f>
        <v/>
      </c>
      <c r="AD816">
        <f>RAND()</f>
        <v/>
      </c>
      <c r="AE816">
        <f>RAND()</f>
        <v/>
      </c>
      <c r="AF816">
        <f>RAND()</f>
        <v/>
      </c>
    </row>
    <row r="817">
      <c r="M817" s="14">
        <f>_xlfn.BETA.INV($AA817,1+4*($D$5-$C$5)/($E$5-$C$5),1+4*($E$5-$D$5)/($E$5-$C$5),$C$5,$E$5)</f>
        <v/>
      </c>
      <c r="N817" s="14">
        <f>IF($AB817&lt;($D$6-$C$6)/($E$6-$C$6),$C$6+SQRT($AB817*($E$6-$C$6)*($D$6-$C$6)),$E$6-SQRT((1-$AB817)*($E$6-$C$6)*($E$6-$D$6)))</f>
        <v/>
      </c>
      <c r="O817" s="14">
        <f>_xlfn.NORM.INV($AC817,$C$7,$D$7)</f>
        <v/>
      </c>
      <c r="P817" s="14">
        <f>$C$8+($D$8-$C$8)*$AD817</f>
        <v/>
      </c>
      <c r="Q817" s="14">
        <f>$C$9</f>
        <v/>
      </c>
      <c r="R817" s="14">
        <f>_xlfn.LOGNORM.INV($AF817,LN($C$10)-0.5*LN(1+($D$10/$C$10)^2),SQRT(LN(1+($D$10/$C$10)^2)))</f>
        <v/>
      </c>
      <c r="S817" s="14">
        <f>SUM(M817:R817)</f>
        <v/>
      </c>
      <c r="AA817">
        <f>RAND()</f>
        <v/>
      </c>
      <c r="AB817">
        <f>RAND()</f>
        <v/>
      </c>
      <c r="AC817">
        <f>RAND()</f>
        <v/>
      </c>
      <c r="AD817">
        <f>RAND()</f>
        <v/>
      </c>
      <c r="AE817">
        <f>RAND()</f>
        <v/>
      </c>
      <c r="AF817">
        <f>RAND()</f>
        <v/>
      </c>
    </row>
    <row r="818">
      <c r="M818" s="14">
        <f>_xlfn.BETA.INV($AA818,1+4*($D$5-$C$5)/($E$5-$C$5),1+4*($E$5-$D$5)/($E$5-$C$5),$C$5,$E$5)</f>
        <v/>
      </c>
      <c r="N818" s="14">
        <f>IF($AB818&lt;($D$6-$C$6)/($E$6-$C$6),$C$6+SQRT($AB818*($E$6-$C$6)*($D$6-$C$6)),$E$6-SQRT((1-$AB818)*($E$6-$C$6)*($E$6-$D$6)))</f>
        <v/>
      </c>
      <c r="O818" s="14">
        <f>_xlfn.NORM.INV($AC818,$C$7,$D$7)</f>
        <v/>
      </c>
      <c r="P818" s="14">
        <f>$C$8+($D$8-$C$8)*$AD818</f>
        <v/>
      </c>
      <c r="Q818" s="14">
        <f>$C$9</f>
        <v/>
      </c>
      <c r="R818" s="14">
        <f>_xlfn.LOGNORM.INV($AF818,LN($C$10)-0.5*LN(1+($D$10/$C$10)^2),SQRT(LN(1+($D$10/$C$10)^2)))</f>
        <v/>
      </c>
      <c r="S818" s="14">
        <f>SUM(M818:R818)</f>
        <v/>
      </c>
      <c r="AA818">
        <f>RAND()</f>
        <v/>
      </c>
      <c r="AB818">
        <f>RAND()</f>
        <v/>
      </c>
      <c r="AC818">
        <f>RAND()</f>
        <v/>
      </c>
      <c r="AD818">
        <f>RAND()</f>
        <v/>
      </c>
      <c r="AE818">
        <f>RAND()</f>
        <v/>
      </c>
      <c r="AF818">
        <f>RAND()</f>
        <v/>
      </c>
    </row>
    <row r="819">
      <c r="M819" s="14">
        <f>_xlfn.BETA.INV($AA819,1+4*($D$5-$C$5)/($E$5-$C$5),1+4*($E$5-$D$5)/($E$5-$C$5),$C$5,$E$5)</f>
        <v/>
      </c>
      <c r="N819" s="14">
        <f>IF($AB819&lt;($D$6-$C$6)/($E$6-$C$6),$C$6+SQRT($AB819*($E$6-$C$6)*($D$6-$C$6)),$E$6-SQRT((1-$AB819)*($E$6-$C$6)*($E$6-$D$6)))</f>
        <v/>
      </c>
      <c r="O819" s="14">
        <f>_xlfn.NORM.INV($AC819,$C$7,$D$7)</f>
        <v/>
      </c>
      <c r="P819" s="14">
        <f>$C$8+($D$8-$C$8)*$AD819</f>
        <v/>
      </c>
      <c r="Q819" s="14">
        <f>$C$9</f>
        <v/>
      </c>
      <c r="R819" s="14">
        <f>_xlfn.LOGNORM.INV($AF819,LN($C$10)-0.5*LN(1+($D$10/$C$10)^2),SQRT(LN(1+($D$10/$C$10)^2)))</f>
        <v/>
      </c>
      <c r="S819" s="14">
        <f>SUM(M819:R819)</f>
        <v/>
      </c>
      <c r="AA819">
        <f>RAND()</f>
        <v/>
      </c>
      <c r="AB819">
        <f>RAND()</f>
        <v/>
      </c>
      <c r="AC819">
        <f>RAND()</f>
        <v/>
      </c>
      <c r="AD819">
        <f>RAND()</f>
        <v/>
      </c>
      <c r="AE819">
        <f>RAND()</f>
        <v/>
      </c>
      <c r="AF819">
        <f>RAND()</f>
        <v/>
      </c>
    </row>
    <row r="820">
      <c r="M820" s="14">
        <f>_xlfn.BETA.INV($AA820,1+4*($D$5-$C$5)/($E$5-$C$5),1+4*($E$5-$D$5)/($E$5-$C$5),$C$5,$E$5)</f>
        <v/>
      </c>
      <c r="N820" s="14">
        <f>IF($AB820&lt;($D$6-$C$6)/($E$6-$C$6),$C$6+SQRT($AB820*($E$6-$C$6)*($D$6-$C$6)),$E$6-SQRT((1-$AB820)*($E$6-$C$6)*($E$6-$D$6)))</f>
        <v/>
      </c>
      <c r="O820" s="14">
        <f>_xlfn.NORM.INV($AC820,$C$7,$D$7)</f>
        <v/>
      </c>
      <c r="P820" s="14">
        <f>$C$8+($D$8-$C$8)*$AD820</f>
        <v/>
      </c>
      <c r="Q820" s="14">
        <f>$C$9</f>
        <v/>
      </c>
      <c r="R820" s="14">
        <f>_xlfn.LOGNORM.INV($AF820,LN($C$10)-0.5*LN(1+($D$10/$C$10)^2),SQRT(LN(1+($D$10/$C$10)^2)))</f>
        <v/>
      </c>
      <c r="S820" s="14">
        <f>SUM(M820:R820)</f>
        <v/>
      </c>
      <c r="AA820">
        <f>RAND()</f>
        <v/>
      </c>
      <c r="AB820">
        <f>RAND()</f>
        <v/>
      </c>
      <c r="AC820">
        <f>RAND()</f>
        <v/>
      </c>
      <c r="AD820">
        <f>RAND()</f>
        <v/>
      </c>
      <c r="AE820">
        <f>RAND()</f>
        <v/>
      </c>
      <c r="AF820">
        <f>RAND()</f>
        <v/>
      </c>
    </row>
    <row r="821">
      <c r="M821" s="14">
        <f>_xlfn.BETA.INV($AA821,1+4*($D$5-$C$5)/($E$5-$C$5),1+4*($E$5-$D$5)/($E$5-$C$5),$C$5,$E$5)</f>
        <v/>
      </c>
      <c r="N821" s="14">
        <f>IF($AB821&lt;($D$6-$C$6)/($E$6-$C$6),$C$6+SQRT($AB821*($E$6-$C$6)*($D$6-$C$6)),$E$6-SQRT((1-$AB821)*($E$6-$C$6)*($E$6-$D$6)))</f>
        <v/>
      </c>
      <c r="O821" s="14">
        <f>_xlfn.NORM.INV($AC821,$C$7,$D$7)</f>
        <v/>
      </c>
      <c r="P821" s="14">
        <f>$C$8+($D$8-$C$8)*$AD821</f>
        <v/>
      </c>
      <c r="Q821" s="14">
        <f>$C$9</f>
        <v/>
      </c>
      <c r="R821" s="14">
        <f>_xlfn.LOGNORM.INV($AF821,LN($C$10)-0.5*LN(1+($D$10/$C$10)^2),SQRT(LN(1+($D$10/$C$10)^2)))</f>
        <v/>
      </c>
      <c r="S821" s="14">
        <f>SUM(M821:R821)</f>
        <v/>
      </c>
      <c r="AA821">
        <f>RAND()</f>
        <v/>
      </c>
      <c r="AB821">
        <f>RAND()</f>
        <v/>
      </c>
      <c r="AC821">
        <f>RAND()</f>
        <v/>
      </c>
      <c r="AD821">
        <f>RAND()</f>
        <v/>
      </c>
      <c r="AE821">
        <f>RAND()</f>
        <v/>
      </c>
      <c r="AF821">
        <f>RAND()</f>
        <v/>
      </c>
    </row>
    <row r="822">
      <c r="M822" s="14">
        <f>_xlfn.BETA.INV($AA822,1+4*($D$5-$C$5)/($E$5-$C$5),1+4*($E$5-$D$5)/($E$5-$C$5),$C$5,$E$5)</f>
        <v/>
      </c>
      <c r="N822" s="14">
        <f>IF($AB822&lt;($D$6-$C$6)/($E$6-$C$6),$C$6+SQRT($AB822*($E$6-$C$6)*($D$6-$C$6)),$E$6-SQRT((1-$AB822)*($E$6-$C$6)*($E$6-$D$6)))</f>
        <v/>
      </c>
      <c r="O822" s="14">
        <f>_xlfn.NORM.INV($AC822,$C$7,$D$7)</f>
        <v/>
      </c>
      <c r="P822" s="14">
        <f>$C$8+($D$8-$C$8)*$AD822</f>
        <v/>
      </c>
      <c r="Q822" s="14">
        <f>$C$9</f>
        <v/>
      </c>
      <c r="R822" s="14">
        <f>_xlfn.LOGNORM.INV($AF822,LN($C$10)-0.5*LN(1+($D$10/$C$10)^2),SQRT(LN(1+($D$10/$C$10)^2)))</f>
        <v/>
      </c>
      <c r="S822" s="14">
        <f>SUM(M822:R822)</f>
        <v/>
      </c>
      <c r="AA822">
        <f>RAND()</f>
        <v/>
      </c>
      <c r="AB822">
        <f>RAND()</f>
        <v/>
      </c>
      <c r="AC822">
        <f>RAND()</f>
        <v/>
      </c>
      <c r="AD822">
        <f>RAND()</f>
        <v/>
      </c>
      <c r="AE822">
        <f>RAND()</f>
        <v/>
      </c>
      <c r="AF822">
        <f>RAND()</f>
        <v/>
      </c>
    </row>
    <row r="823">
      <c r="M823" s="14">
        <f>_xlfn.BETA.INV($AA823,1+4*($D$5-$C$5)/($E$5-$C$5),1+4*($E$5-$D$5)/($E$5-$C$5),$C$5,$E$5)</f>
        <v/>
      </c>
      <c r="N823" s="14">
        <f>IF($AB823&lt;($D$6-$C$6)/($E$6-$C$6),$C$6+SQRT($AB823*($E$6-$C$6)*($D$6-$C$6)),$E$6-SQRT((1-$AB823)*($E$6-$C$6)*($E$6-$D$6)))</f>
        <v/>
      </c>
      <c r="O823" s="14">
        <f>_xlfn.NORM.INV($AC823,$C$7,$D$7)</f>
        <v/>
      </c>
      <c r="P823" s="14">
        <f>$C$8+($D$8-$C$8)*$AD823</f>
        <v/>
      </c>
      <c r="Q823" s="14">
        <f>$C$9</f>
        <v/>
      </c>
      <c r="R823" s="14">
        <f>_xlfn.LOGNORM.INV($AF823,LN($C$10)-0.5*LN(1+($D$10/$C$10)^2),SQRT(LN(1+($D$10/$C$10)^2)))</f>
        <v/>
      </c>
      <c r="S823" s="14">
        <f>SUM(M823:R823)</f>
        <v/>
      </c>
      <c r="AA823">
        <f>RAND()</f>
        <v/>
      </c>
      <c r="AB823">
        <f>RAND()</f>
        <v/>
      </c>
      <c r="AC823">
        <f>RAND()</f>
        <v/>
      </c>
      <c r="AD823">
        <f>RAND()</f>
        <v/>
      </c>
      <c r="AE823">
        <f>RAND()</f>
        <v/>
      </c>
      <c r="AF823">
        <f>RAND()</f>
        <v/>
      </c>
    </row>
    <row r="824">
      <c r="M824" s="14">
        <f>_xlfn.BETA.INV($AA824,1+4*($D$5-$C$5)/($E$5-$C$5),1+4*($E$5-$D$5)/($E$5-$C$5),$C$5,$E$5)</f>
        <v/>
      </c>
      <c r="N824" s="14">
        <f>IF($AB824&lt;($D$6-$C$6)/($E$6-$C$6),$C$6+SQRT($AB824*($E$6-$C$6)*($D$6-$C$6)),$E$6-SQRT((1-$AB824)*($E$6-$C$6)*($E$6-$D$6)))</f>
        <v/>
      </c>
      <c r="O824" s="14">
        <f>_xlfn.NORM.INV($AC824,$C$7,$D$7)</f>
        <v/>
      </c>
      <c r="P824" s="14">
        <f>$C$8+($D$8-$C$8)*$AD824</f>
        <v/>
      </c>
      <c r="Q824" s="14">
        <f>$C$9</f>
        <v/>
      </c>
      <c r="R824" s="14">
        <f>_xlfn.LOGNORM.INV($AF824,LN($C$10)-0.5*LN(1+($D$10/$C$10)^2),SQRT(LN(1+($D$10/$C$10)^2)))</f>
        <v/>
      </c>
      <c r="S824" s="14">
        <f>SUM(M824:R824)</f>
        <v/>
      </c>
      <c r="AA824">
        <f>RAND()</f>
        <v/>
      </c>
      <c r="AB824">
        <f>RAND()</f>
        <v/>
      </c>
      <c r="AC824">
        <f>RAND()</f>
        <v/>
      </c>
      <c r="AD824">
        <f>RAND()</f>
        <v/>
      </c>
      <c r="AE824">
        <f>RAND()</f>
        <v/>
      </c>
      <c r="AF824">
        <f>RAND()</f>
        <v/>
      </c>
    </row>
    <row r="825">
      <c r="M825" s="14">
        <f>_xlfn.BETA.INV($AA825,1+4*($D$5-$C$5)/($E$5-$C$5),1+4*($E$5-$D$5)/($E$5-$C$5),$C$5,$E$5)</f>
        <v/>
      </c>
      <c r="N825" s="14">
        <f>IF($AB825&lt;($D$6-$C$6)/($E$6-$C$6),$C$6+SQRT($AB825*($E$6-$C$6)*($D$6-$C$6)),$E$6-SQRT((1-$AB825)*($E$6-$C$6)*($E$6-$D$6)))</f>
        <v/>
      </c>
      <c r="O825" s="14">
        <f>_xlfn.NORM.INV($AC825,$C$7,$D$7)</f>
        <v/>
      </c>
      <c r="P825" s="14">
        <f>$C$8+($D$8-$C$8)*$AD825</f>
        <v/>
      </c>
      <c r="Q825" s="14">
        <f>$C$9</f>
        <v/>
      </c>
      <c r="R825" s="14">
        <f>_xlfn.LOGNORM.INV($AF825,LN($C$10)-0.5*LN(1+($D$10/$C$10)^2),SQRT(LN(1+($D$10/$C$10)^2)))</f>
        <v/>
      </c>
      <c r="S825" s="14">
        <f>SUM(M825:R825)</f>
        <v/>
      </c>
      <c r="AA825">
        <f>RAND()</f>
        <v/>
      </c>
      <c r="AB825">
        <f>RAND()</f>
        <v/>
      </c>
      <c r="AC825">
        <f>RAND()</f>
        <v/>
      </c>
      <c r="AD825">
        <f>RAND()</f>
        <v/>
      </c>
      <c r="AE825">
        <f>RAND()</f>
        <v/>
      </c>
      <c r="AF825">
        <f>RAND()</f>
        <v/>
      </c>
    </row>
    <row r="826">
      <c r="M826" s="14">
        <f>_xlfn.BETA.INV($AA826,1+4*($D$5-$C$5)/($E$5-$C$5),1+4*($E$5-$D$5)/($E$5-$C$5),$C$5,$E$5)</f>
        <v/>
      </c>
      <c r="N826" s="14">
        <f>IF($AB826&lt;($D$6-$C$6)/($E$6-$C$6),$C$6+SQRT($AB826*($E$6-$C$6)*($D$6-$C$6)),$E$6-SQRT((1-$AB826)*($E$6-$C$6)*($E$6-$D$6)))</f>
        <v/>
      </c>
      <c r="O826" s="14">
        <f>_xlfn.NORM.INV($AC826,$C$7,$D$7)</f>
        <v/>
      </c>
      <c r="P826" s="14">
        <f>$C$8+($D$8-$C$8)*$AD826</f>
        <v/>
      </c>
      <c r="Q826" s="14">
        <f>$C$9</f>
        <v/>
      </c>
      <c r="R826" s="14">
        <f>_xlfn.LOGNORM.INV($AF826,LN($C$10)-0.5*LN(1+($D$10/$C$10)^2),SQRT(LN(1+($D$10/$C$10)^2)))</f>
        <v/>
      </c>
      <c r="S826" s="14">
        <f>SUM(M826:R826)</f>
        <v/>
      </c>
      <c r="AA826">
        <f>RAND()</f>
        <v/>
      </c>
      <c r="AB826">
        <f>RAND()</f>
        <v/>
      </c>
      <c r="AC826">
        <f>RAND()</f>
        <v/>
      </c>
      <c r="AD826">
        <f>RAND()</f>
        <v/>
      </c>
      <c r="AE826">
        <f>RAND()</f>
        <v/>
      </c>
      <c r="AF826">
        <f>RAND()</f>
        <v/>
      </c>
    </row>
    <row r="827">
      <c r="M827" s="14">
        <f>_xlfn.BETA.INV($AA827,1+4*($D$5-$C$5)/($E$5-$C$5),1+4*($E$5-$D$5)/($E$5-$C$5),$C$5,$E$5)</f>
        <v/>
      </c>
      <c r="N827" s="14">
        <f>IF($AB827&lt;($D$6-$C$6)/($E$6-$C$6),$C$6+SQRT($AB827*($E$6-$C$6)*($D$6-$C$6)),$E$6-SQRT((1-$AB827)*($E$6-$C$6)*($E$6-$D$6)))</f>
        <v/>
      </c>
      <c r="O827" s="14">
        <f>_xlfn.NORM.INV($AC827,$C$7,$D$7)</f>
        <v/>
      </c>
      <c r="P827" s="14">
        <f>$C$8+($D$8-$C$8)*$AD827</f>
        <v/>
      </c>
      <c r="Q827" s="14">
        <f>$C$9</f>
        <v/>
      </c>
      <c r="R827" s="14">
        <f>_xlfn.LOGNORM.INV($AF827,LN($C$10)-0.5*LN(1+($D$10/$C$10)^2),SQRT(LN(1+($D$10/$C$10)^2)))</f>
        <v/>
      </c>
      <c r="S827" s="14">
        <f>SUM(M827:R827)</f>
        <v/>
      </c>
      <c r="AA827">
        <f>RAND()</f>
        <v/>
      </c>
      <c r="AB827">
        <f>RAND()</f>
        <v/>
      </c>
      <c r="AC827">
        <f>RAND()</f>
        <v/>
      </c>
      <c r="AD827">
        <f>RAND()</f>
        <v/>
      </c>
      <c r="AE827">
        <f>RAND()</f>
        <v/>
      </c>
      <c r="AF827">
        <f>RAND()</f>
        <v/>
      </c>
    </row>
    <row r="828">
      <c r="M828" s="14">
        <f>_xlfn.BETA.INV($AA828,1+4*($D$5-$C$5)/($E$5-$C$5),1+4*($E$5-$D$5)/($E$5-$C$5),$C$5,$E$5)</f>
        <v/>
      </c>
      <c r="N828" s="14">
        <f>IF($AB828&lt;($D$6-$C$6)/($E$6-$C$6),$C$6+SQRT($AB828*($E$6-$C$6)*($D$6-$C$6)),$E$6-SQRT((1-$AB828)*($E$6-$C$6)*($E$6-$D$6)))</f>
        <v/>
      </c>
      <c r="O828" s="14">
        <f>_xlfn.NORM.INV($AC828,$C$7,$D$7)</f>
        <v/>
      </c>
      <c r="P828" s="14">
        <f>$C$8+($D$8-$C$8)*$AD828</f>
        <v/>
      </c>
      <c r="Q828" s="14">
        <f>$C$9</f>
        <v/>
      </c>
      <c r="R828" s="14">
        <f>_xlfn.LOGNORM.INV($AF828,LN($C$10)-0.5*LN(1+($D$10/$C$10)^2),SQRT(LN(1+($D$10/$C$10)^2)))</f>
        <v/>
      </c>
      <c r="S828" s="14">
        <f>SUM(M828:R828)</f>
        <v/>
      </c>
      <c r="AA828">
        <f>RAND()</f>
        <v/>
      </c>
      <c r="AB828">
        <f>RAND()</f>
        <v/>
      </c>
      <c r="AC828">
        <f>RAND()</f>
        <v/>
      </c>
      <c r="AD828">
        <f>RAND()</f>
        <v/>
      </c>
      <c r="AE828">
        <f>RAND()</f>
        <v/>
      </c>
      <c r="AF828">
        <f>RAND()</f>
        <v/>
      </c>
    </row>
    <row r="829">
      <c r="M829" s="14">
        <f>_xlfn.BETA.INV($AA829,1+4*($D$5-$C$5)/($E$5-$C$5),1+4*($E$5-$D$5)/($E$5-$C$5),$C$5,$E$5)</f>
        <v/>
      </c>
      <c r="N829" s="14">
        <f>IF($AB829&lt;($D$6-$C$6)/($E$6-$C$6),$C$6+SQRT($AB829*($E$6-$C$6)*($D$6-$C$6)),$E$6-SQRT((1-$AB829)*($E$6-$C$6)*($E$6-$D$6)))</f>
        <v/>
      </c>
      <c r="O829" s="14">
        <f>_xlfn.NORM.INV($AC829,$C$7,$D$7)</f>
        <v/>
      </c>
      <c r="P829" s="14">
        <f>$C$8+($D$8-$C$8)*$AD829</f>
        <v/>
      </c>
      <c r="Q829" s="14">
        <f>$C$9</f>
        <v/>
      </c>
      <c r="R829" s="14">
        <f>_xlfn.LOGNORM.INV($AF829,LN($C$10)-0.5*LN(1+($D$10/$C$10)^2),SQRT(LN(1+($D$10/$C$10)^2)))</f>
        <v/>
      </c>
      <c r="S829" s="14">
        <f>SUM(M829:R829)</f>
        <v/>
      </c>
      <c r="AA829">
        <f>RAND()</f>
        <v/>
      </c>
      <c r="AB829">
        <f>RAND()</f>
        <v/>
      </c>
      <c r="AC829">
        <f>RAND()</f>
        <v/>
      </c>
      <c r="AD829">
        <f>RAND()</f>
        <v/>
      </c>
      <c r="AE829">
        <f>RAND()</f>
        <v/>
      </c>
      <c r="AF829">
        <f>RAND()</f>
        <v/>
      </c>
    </row>
    <row r="830">
      <c r="M830" s="14">
        <f>_xlfn.BETA.INV($AA830,1+4*($D$5-$C$5)/($E$5-$C$5),1+4*($E$5-$D$5)/($E$5-$C$5),$C$5,$E$5)</f>
        <v/>
      </c>
      <c r="N830" s="14">
        <f>IF($AB830&lt;($D$6-$C$6)/($E$6-$C$6),$C$6+SQRT($AB830*($E$6-$C$6)*($D$6-$C$6)),$E$6-SQRT((1-$AB830)*($E$6-$C$6)*($E$6-$D$6)))</f>
        <v/>
      </c>
      <c r="O830" s="14">
        <f>_xlfn.NORM.INV($AC830,$C$7,$D$7)</f>
        <v/>
      </c>
      <c r="P830" s="14">
        <f>$C$8+($D$8-$C$8)*$AD830</f>
        <v/>
      </c>
      <c r="Q830" s="14">
        <f>$C$9</f>
        <v/>
      </c>
      <c r="R830" s="14">
        <f>_xlfn.LOGNORM.INV($AF830,LN($C$10)-0.5*LN(1+($D$10/$C$10)^2),SQRT(LN(1+($D$10/$C$10)^2)))</f>
        <v/>
      </c>
      <c r="S830" s="14">
        <f>SUM(M830:R830)</f>
        <v/>
      </c>
      <c r="AA830">
        <f>RAND()</f>
        <v/>
      </c>
      <c r="AB830">
        <f>RAND()</f>
        <v/>
      </c>
      <c r="AC830">
        <f>RAND()</f>
        <v/>
      </c>
      <c r="AD830">
        <f>RAND()</f>
        <v/>
      </c>
      <c r="AE830">
        <f>RAND()</f>
        <v/>
      </c>
      <c r="AF830">
        <f>RAND()</f>
        <v/>
      </c>
    </row>
    <row r="831">
      <c r="M831" s="14">
        <f>_xlfn.BETA.INV($AA831,1+4*($D$5-$C$5)/($E$5-$C$5),1+4*($E$5-$D$5)/($E$5-$C$5),$C$5,$E$5)</f>
        <v/>
      </c>
      <c r="N831" s="14">
        <f>IF($AB831&lt;($D$6-$C$6)/($E$6-$C$6),$C$6+SQRT($AB831*($E$6-$C$6)*($D$6-$C$6)),$E$6-SQRT((1-$AB831)*($E$6-$C$6)*($E$6-$D$6)))</f>
        <v/>
      </c>
      <c r="O831" s="14">
        <f>_xlfn.NORM.INV($AC831,$C$7,$D$7)</f>
        <v/>
      </c>
      <c r="P831" s="14">
        <f>$C$8+($D$8-$C$8)*$AD831</f>
        <v/>
      </c>
      <c r="Q831" s="14">
        <f>$C$9</f>
        <v/>
      </c>
      <c r="R831" s="14">
        <f>_xlfn.LOGNORM.INV($AF831,LN($C$10)-0.5*LN(1+($D$10/$C$10)^2),SQRT(LN(1+($D$10/$C$10)^2)))</f>
        <v/>
      </c>
      <c r="S831" s="14">
        <f>SUM(M831:R831)</f>
        <v/>
      </c>
      <c r="AA831">
        <f>RAND()</f>
        <v/>
      </c>
      <c r="AB831">
        <f>RAND()</f>
        <v/>
      </c>
      <c r="AC831">
        <f>RAND()</f>
        <v/>
      </c>
      <c r="AD831">
        <f>RAND()</f>
        <v/>
      </c>
      <c r="AE831">
        <f>RAND()</f>
        <v/>
      </c>
      <c r="AF831">
        <f>RAND()</f>
        <v/>
      </c>
    </row>
    <row r="832">
      <c r="M832" s="14">
        <f>_xlfn.BETA.INV($AA832,1+4*($D$5-$C$5)/($E$5-$C$5),1+4*($E$5-$D$5)/($E$5-$C$5),$C$5,$E$5)</f>
        <v/>
      </c>
      <c r="N832" s="14">
        <f>IF($AB832&lt;($D$6-$C$6)/($E$6-$C$6),$C$6+SQRT($AB832*($E$6-$C$6)*($D$6-$C$6)),$E$6-SQRT((1-$AB832)*($E$6-$C$6)*($E$6-$D$6)))</f>
        <v/>
      </c>
      <c r="O832" s="14">
        <f>_xlfn.NORM.INV($AC832,$C$7,$D$7)</f>
        <v/>
      </c>
      <c r="P832" s="14">
        <f>$C$8+($D$8-$C$8)*$AD832</f>
        <v/>
      </c>
      <c r="Q832" s="14">
        <f>$C$9</f>
        <v/>
      </c>
      <c r="R832" s="14">
        <f>_xlfn.LOGNORM.INV($AF832,LN($C$10)-0.5*LN(1+($D$10/$C$10)^2),SQRT(LN(1+($D$10/$C$10)^2)))</f>
        <v/>
      </c>
      <c r="S832" s="14">
        <f>SUM(M832:R832)</f>
        <v/>
      </c>
      <c r="AA832">
        <f>RAND()</f>
        <v/>
      </c>
      <c r="AB832">
        <f>RAND()</f>
        <v/>
      </c>
      <c r="AC832">
        <f>RAND()</f>
        <v/>
      </c>
      <c r="AD832">
        <f>RAND()</f>
        <v/>
      </c>
      <c r="AE832">
        <f>RAND()</f>
        <v/>
      </c>
      <c r="AF832">
        <f>RAND()</f>
        <v/>
      </c>
    </row>
    <row r="833">
      <c r="M833" s="14">
        <f>_xlfn.BETA.INV($AA833,1+4*($D$5-$C$5)/($E$5-$C$5),1+4*($E$5-$D$5)/($E$5-$C$5),$C$5,$E$5)</f>
        <v/>
      </c>
      <c r="N833" s="14">
        <f>IF($AB833&lt;($D$6-$C$6)/($E$6-$C$6),$C$6+SQRT($AB833*($E$6-$C$6)*($D$6-$C$6)),$E$6-SQRT((1-$AB833)*($E$6-$C$6)*($E$6-$D$6)))</f>
        <v/>
      </c>
      <c r="O833" s="14">
        <f>_xlfn.NORM.INV($AC833,$C$7,$D$7)</f>
        <v/>
      </c>
      <c r="P833" s="14">
        <f>$C$8+($D$8-$C$8)*$AD833</f>
        <v/>
      </c>
      <c r="Q833" s="14">
        <f>$C$9</f>
        <v/>
      </c>
      <c r="R833" s="14">
        <f>_xlfn.LOGNORM.INV($AF833,LN($C$10)-0.5*LN(1+($D$10/$C$10)^2),SQRT(LN(1+($D$10/$C$10)^2)))</f>
        <v/>
      </c>
      <c r="S833" s="14">
        <f>SUM(M833:R833)</f>
        <v/>
      </c>
      <c r="AA833">
        <f>RAND()</f>
        <v/>
      </c>
      <c r="AB833">
        <f>RAND()</f>
        <v/>
      </c>
      <c r="AC833">
        <f>RAND()</f>
        <v/>
      </c>
      <c r="AD833">
        <f>RAND()</f>
        <v/>
      </c>
      <c r="AE833">
        <f>RAND()</f>
        <v/>
      </c>
      <c r="AF833">
        <f>RAND()</f>
        <v/>
      </c>
    </row>
    <row r="834">
      <c r="M834" s="14">
        <f>_xlfn.BETA.INV($AA834,1+4*($D$5-$C$5)/($E$5-$C$5),1+4*($E$5-$D$5)/($E$5-$C$5),$C$5,$E$5)</f>
        <v/>
      </c>
      <c r="N834" s="14">
        <f>IF($AB834&lt;($D$6-$C$6)/($E$6-$C$6),$C$6+SQRT($AB834*($E$6-$C$6)*($D$6-$C$6)),$E$6-SQRT((1-$AB834)*($E$6-$C$6)*($E$6-$D$6)))</f>
        <v/>
      </c>
      <c r="O834" s="14">
        <f>_xlfn.NORM.INV($AC834,$C$7,$D$7)</f>
        <v/>
      </c>
      <c r="P834" s="14">
        <f>$C$8+($D$8-$C$8)*$AD834</f>
        <v/>
      </c>
      <c r="Q834" s="14">
        <f>$C$9</f>
        <v/>
      </c>
      <c r="R834" s="14">
        <f>_xlfn.LOGNORM.INV($AF834,LN($C$10)-0.5*LN(1+($D$10/$C$10)^2),SQRT(LN(1+($D$10/$C$10)^2)))</f>
        <v/>
      </c>
      <c r="S834" s="14">
        <f>SUM(M834:R834)</f>
        <v/>
      </c>
      <c r="AA834">
        <f>RAND()</f>
        <v/>
      </c>
      <c r="AB834">
        <f>RAND()</f>
        <v/>
      </c>
      <c r="AC834">
        <f>RAND()</f>
        <v/>
      </c>
      <c r="AD834">
        <f>RAND()</f>
        <v/>
      </c>
      <c r="AE834">
        <f>RAND()</f>
        <v/>
      </c>
      <c r="AF834">
        <f>RAND()</f>
        <v/>
      </c>
    </row>
    <row r="835">
      <c r="M835" s="14">
        <f>_xlfn.BETA.INV($AA835,1+4*($D$5-$C$5)/($E$5-$C$5),1+4*($E$5-$D$5)/($E$5-$C$5),$C$5,$E$5)</f>
        <v/>
      </c>
      <c r="N835" s="14">
        <f>IF($AB835&lt;($D$6-$C$6)/($E$6-$C$6),$C$6+SQRT($AB835*($E$6-$C$6)*($D$6-$C$6)),$E$6-SQRT((1-$AB835)*($E$6-$C$6)*($E$6-$D$6)))</f>
        <v/>
      </c>
      <c r="O835" s="14">
        <f>_xlfn.NORM.INV($AC835,$C$7,$D$7)</f>
        <v/>
      </c>
      <c r="P835" s="14">
        <f>$C$8+($D$8-$C$8)*$AD835</f>
        <v/>
      </c>
      <c r="Q835" s="14">
        <f>$C$9</f>
        <v/>
      </c>
      <c r="R835" s="14">
        <f>_xlfn.LOGNORM.INV($AF835,LN($C$10)-0.5*LN(1+($D$10/$C$10)^2),SQRT(LN(1+($D$10/$C$10)^2)))</f>
        <v/>
      </c>
      <c r="S835" s="14">
        <f>SUM(M835:R835)</f>
        <v/>
      </c>
      <c r="AA835">
        <f>RAND()</f>
        <v/>
      </c>
      <c r="AB835">
        <f>RAND()</f>
        <v/>
      </c>
      <c r="AC835">
        <f>RAND()</f>
        <v/>
      </c>
      <c r="AD835">
        <f>RAND()</f>
        <v/>
      </c>
      <c r="AE835">
        <f>RAND()</f>
        <v/>
      </c>
      <c r="AF835">
        <f>RAND()</f>
        <v/>
      </c>
    </row>
    <row r="836">
      <c r="M836" s="14">
        <f>_xlfn.BETA.INV($AA836,1+4*($D$5-$C$5)/($E$5-$C$5),1+4*($E$5-$D$5)/($E$5-$C$5),$C$5,$E$5)</f>
        <v/>
      </c>
      <c r="N836" s="14">
        <f>IF($AB836&lt;($D$6-$C$6)/($E$6-$C$6),$C$6+SQRT($AB836*($E$6-$C$6)*($D$6-$C$6)),$E$6-SQRT((1-$AB836)*($E$6-$C$6)*($E$6-$D$6)))</f>
        <v/>
      </c>
      <c r="O836" s="14">
        <f>_xlfn.NORM.INV($AC836,$C$7,$D$7)</f>
        <v/>
      </c>
      <c r="P836" s="14">
        <f>$C$8+($D$8-$C$8)*$AD836</f>
        <v/>
      </c>
      <c r="Q836" s="14">
        <f>$C$9</f>
        <v/>
      </c>
      <c r="R836" s="14">
        <f>_xlfn.LOGNORM.INV($AF836,LN($C$10)-0.5*LN(1+($D$10/$C$10)^2),SQRT(LN(1+($D$10/$C$10)^2)))</f>
        <v/>
      </c>
      <c r="S836" s="14">
        <f>SUM(M836:R836)</f>
        <v/>
      </c>
      <c r="AA836">
        <f>RAND()</f>
        <v/>
      </c>
      <c r="AB836">
        <f>RAND()</f>
        <v/>
      </c>
      <c r="AC836">
        <f>RAND()</f>
        <v/>
      </c>
      <c r="AD836">
        <f>RAND()</f>
        <v/>
      </c>
      <c r="AE836">
        <f>RAND()</f>
        <v/>
      </c>
      <c r="AF836">
        <f>RAND()</f>
        <v/>
      </c>
    </row>
    <row r="837">
      <c r="M837" s="14">
        <f>_xlfn.BETA.INV($AA837,1+4*($D$5-$C$5)/($E$5-$C$5),1+4*($E$5-$D$5)/($E$5-$C$5),$C$5,$E$5)</f>
        <v/>
      </c>
      <c r="N837" s="14">
        <f>IF($AB837&lt;($D$6-$C$6)/($E$6-$C$6),$C$6+SQRT($AB837*($E$6-$C$6)*($D$6-$C$6)),$E$6-SQRT((1-$AB837)*($E$6-$C$6)*($E$6-$D$6)))</f>
        <v/>
      </c>
      <c r="O837" s="14">
        <f>_xlfn.NORM.INV($AC837,$C$7,$D$7)</f>
        <v/>
      </c>
      <c r="P837" s="14">
        <f>$C$8+($D$8-$C$8)*$AD837</f>
        <v/>
      </c>
      <c r="Q837" s="14">
        <f>$C$9</f>
        <v/>
      </c>
      <c r="R837" s="14">
        <f>_xlfn.LOGNORM.INV($AF837,LN($C$10)-0.5*LN(1+($D$10/$C$10)^2),SQRT(LN(1+($D$10/$C$10)^2)))</f>
        <v/>
      </c>
      <c r="S837" s="14">
        <f>SUM(M837:R837)</f>
        <v/>
      </c>
      <c r="AA837">
        <f>RAND()</f>
        <v/>
      </c>
      <c r="AB837">
        <f>RAND()</f>
        <v/>
      </c>
      <c r="AC837">
        <f>RAND()</f>
        <v/>
      </c>
      <c r="AD837">
        <f>RAND()</f>
        <v/>
      </c>
      <c r="AE837">
        <f>RAND()</f>
        <v/>
      </c>
      <c r="AF837">
        <f>RAND()</f>
        <v/>
      </c>
    </row>
    <row r="838">
      <c r="M838" s="14">
        <f>_xlfn.BETA.INV($AA838,1+4*($D$5-$C$5)/($E$5-$C$5),1+4*($E$5-$D$5)/($E$5-$C$5),$C$5,$E$5)</f>
        <v/>
      </c>
      <c r="N838" s="14">
        <f>IF($AB838&lt;($D$6-$C$6)/($E$6-$C$6),$C$6+SQRT($AB838*($E$6-$C$6)*($D$6-$C$6)),$E$6-SQRT((1-$AB838)*($E$6-$C$6)*($E$6-$D$6)))</f>
        <v/>
      </c>
      <c r="O838" s="14">
        <f>_xlfn.NORM.INV($AC838,$C$7,$D$7)</f>
        <v/>
      </c>
      <c r="P838" s="14">
        <f>$C$8+($D$8-$C$8)*$AD838</f>
        <v/>
      </c>
      <c r="Q838" s="14">
        <f>$C$9</f>
        <v/>
      </c>
      <c r="R838" s="14">
        <f>_xlfn.LOGNORM.INV($AF838,LN($C$10)-0.5*LN(1+($D$10/$C$10)^2),SQRT(LN(1+($D$10/$C$10)^2)))</f>
        <v/>
      </c>
      <c r="S838" s="14">
        <f>SUM(M838:R838)</f>
        <v/>
      </c>
      <c r="AA838">
        <f>RAND()</f>
        <v/>
      </c>
      <c r="AB838">
        <f>RAND()</f>
        <v/>
      </c>
      <c r="AC838">
        <f>RAND()</f>
        <v/>
      </c>
      <c r="AD838">
        <f>RAND()</f>
        <v/>
      </c>
      <c r="AE838">
        <f>RAND()</f>
        <v/>
      </c>
      <c r="AF838">
        <f>RAND()</f>
        <v/>
      </c>
    </row>
    <row r="839">
      <c r="M839" s="14">
        <f>_xlfn.BETA.INV($AA839,1+4*($D$5-$C$5)/($E$5-$C$5),1+4*($E$5-$D$5)/($E$5-$C$5),$C$5,$E$5)</f>
        <v/>
      </c>
      <c r="N839" s="14">
        <f>IF($AB839&lt;($D$6-$C$6)/($E$6-$C$6),$C$6+SQRT($AB839*($E$6-$C$6)*($D$6-$C$6)),$E$6-SQRT((1-$AB839)*($E$6-$C$6)*($E$6-$D$6)))</f>
        <v/>
      </c>
      <c r="O839" s="14">
        <f>_xlfn.NORM.INV($AC839,$C$7,$D$7)</f>
        <v/>
      </c>
      <c r="P839" s="14">
        <f>$C$8+($D$8-$C$8)*$AD839</f>
        <v/>
      </c>
      <c r="Q839" s="14">
        <f>$C$9</f>
        <v/>
      </c>
      <c r="R839" s="14">
        <f>_xlfn.LOGNORM.INV($AF839,LN($C$10)-0.5*LN(1+($D$10/$C$10)^2),SQRT(LN(1+($D$10/$C$10)^2)))</f>
        <v/>
      </c>
      <c r="S839" s="14">
        <f>SUM(M839:R839)</f>
        <v/>
      </c>
      <c r="AA839">
        <f>RAND()</f>
        <v/>
      </c>
      <c r="AB839">
        <f>RAND()</f>
        <v/>
      </c>
      <c r="AC839">
        <f>RAND()</f>
        <v/>
      </c>
      <c r="AD839">
        <f>RAND()</f>
        <v/>
      </c>
      <c r="AE839">
        <f>RAND()</f>
        <v/>
      </c>
      <c r="AF839">
        <f>RAND()</f>
        <v/>
      </c>
    </row>
    <row r="840">
      <c r="M840" s="14">
        <f>_xlfn.BETA.INV($AA840,1+4*($D$5-$C$5)/($E$5-$C$5),1+4*($E$5-$D$5)/($E$5-$C$5),$C$5,$E$5)</f>
        <v/>
      </c>
      <c r="N840" s="14">
        <f>IF($AB840&lt;($D$6-$C$6)/($E$6-$C$6),$C$6+SQRT($AB840*($E$6-$C$6)*($D$6-$C$6)),$E$6-SQRT((1-$AB840)*($E$6-$C$6)*($E$6-$D$6)))</f>
        <v/>
      </c>
      <c r="O840" s="14">
        <f>_xlfn.NORM.INV($AC840,$C$7,$D$7)</f>
        <v/>
      </c>
      <c r="P840" s="14">
        <f>$C$8+($D$8-$C$8)*$AD840</f>
        <v/>
      </c>
      <c r="Q840" s="14">
        <f>$C$9</f>
        <v/>
      </c>
      <c r="R840" s="14">
        <f>_xlfn.LOGNORM.INV($AF840,LN($C$10)-0.5*LN(1+($D$10/$C$10)^2),SQRT(LN(1+($D$10/$C$10)^2)))</f>
        <v/>
      </c>
      <c r="S840" s="14">
        <f>SUM(M840:R840)</f>
        <v/>
      </c>
      <c r="AA840">
        <f>RAND()</f>
        <v/>
      </c>
      <c r="AB840">
        <f>RAND()</f>
        <v/>
      </c>
      <c r="AC840">
        <f>RAND()</f>
        <v/>
      </c>
      <c r="AD840">
        <f>RAND()</f>
        <v/>
      </c>
      <c r="AE840">
        <f>RAND()</f>
        <v/>
      </c>
      <c r="AF840">
        <f>RAND()</f>
        <v/>
      </c>
    </row>
    <row r="841">
      <c r="M841" s="14">
        <f>_xlfn.BETA.INV($AA841,1+4*($D$5-$C$5)/($E$5-$C$5),1+4*($E$5-$D$5)/($E$5-$C$5),$C$5,$E$5)</f>
        <v/>
      </c>
      <c r="N841" s="14">
        <f>IF($AB841&lt;($D$6-$C$6)/($E$6-$C$6),$C$6+SQRT($AB841*($E$6-$C$6)*($D$6-$C$6)),$E$6-SQRT((1-$AB841)*($E$6-$C$6)*($E$6-$D$6)))</f>
        <v/>
      </c>
      <c r="O841" s="14">
        <f>_xlfn.NORM.INV($AC841,$C$7,$D$7)</f>
        <v/>
      </c>
      <c r="P841" s="14">
        <f>$C$8+($D$8-$C$8)*$AD841</f>
        <v/>
      </c>
      <c r="Q841" s="14">
        <f>$C$9</f>
        <v/>
      </c>
      <c r="R841" s="14">
        <f>_xlfn.LOGNORM.INV($AF841,LN($C$10)-0.5*LN(1+($D$10/$C$10)^2),SQRT(LN(1+($D$10/$C$10)^2)))</f>
        <v/>
      </c>
      <c r="S841" s="14">
        <f>SUM(M841:R841)</f>
        <v/>
      </c>
      <c r="AA841">
        <f>RAND()</f>
        <v/>
      </c>
      <c r="AB841">
        <f>RAND()</f>
        <v/>
      </c>
      <c r="AC841">
        <f>RAND()</f>
        <v/>
      </c>
      <c r="AD841">
        <f>RAND()</f>
        <v/>
      </c>
      <c r="AE841">
        <f>RAND()</f>
        <v/>
      </c>
      <c r="AF841">
        <f>RAND()</f>
        <v/>
      </c>
    </row>
    <row r="842">
      <c r="M842" s="14">
        <f>_xlfn.BETA.INV($AA842,1+4*($D$5-$C$5)/($E$5-$C$5),1+4*($E$5-$D$5)/($E$5-$C$5),$C$5,$E$5)</f>
        <v/>
      </c>
      <c r="N842" s="14">
        <f>IF($AB842&lt;($D$6-$C$6)/($E$6-$C$6),$C$6+SQRT($AB842*($E$6-$C$6)*($D$6-$C$6)),$E$6-SQRT((1-$AB842)*($E$6-$C$6)*($E$6-$D$6)))</f>
        <v/>
      </c>
      <c r="O842" s="14">
        <f>_xlfn.NORM.INV($AC842,$C$7,$D$7)</f>
        <v/>
      </c>
      <c r="P842" s="14">
        <f>$C$8+($D$8-$C$8)*$AD842</f>
        <v/>
      </c>
      <c r="Q842" s="14">
        <f>$C$9</f>
        <v/>
      </c>
      <c r="R842" s="14">
        <f>_xlfn.LOGNORM.INV($AF842,LN($C$10)-0.5*LN(1+($D$10/$C$10)^2),SQRT(LN(1+($D$10/$C$10)^2)))</f>
        <v/>
      </c>
      <c r="S842" s="14">
        <f>SUM(M842:R842)</f>
        <v/>
      </c>
      <c r="AA842">
        <f>RAND()</f>
        <v/>
      </c>
      <c r="AB842">
        <f>RAND()</f>
        <v/>
      </c>
      <c r="AC842">
        <f>RAND()</f>
        <v/>
      </c>
      <c r="AD842">
        <f>RAND()</f>
        <v/>
      </c>
      <c r="AE842">
        <f>RAND()</f>
        <v/>
      </c>
      <c r="AF842">
        <f>RAND()</f>
        <v/>
      </c>
    </row>
    <row r="843">
      <c r="M843" s="14">
        <f>_xlfn.BETA.INV($AA843,1+4*($D$5-$C$5)/($E$5-$C$5),1+4*($E$5-$D$5)/($E$5-$C$5),$C$5,$E$5)</f>
        <v/>
      </c>
      <c r="N843" s="14">
        <f>IF($AB843&lt;($D$6-$C$6)/($E$6-$C$6),$C$6+SQRT($AB843*($E$6-$C$6)*($D$6-$C$6)),$E$6-SQRT((1-$AB843)*($E$6-$C$6)*($E$6-$D$6)))</f>
        <v/>
      </c>
      <c r="O843" s="14">
        <f>_xlfn.NORM.INV($AC843,$C$7,$D$7)</f>
        <v/>
      </c>
      <c r="P843" s="14">
        <f>$C$8+($D$8-$C$8)*$AD843</f>
        <v/>
      </c>
      <c r="Q843" s="14">
        <f>$C$9</f>
        <v/>
      </c>
      <c r="R843" s="14">
        <f>_xlfn.LOGNORM.INV($AF843,LN($C$10)-0.5*LN(1+($D$10/$C$10)^2),SQRT(LN(1+($D$10/$C$10)^2)))</f>
        <v/>
      </c>
      <c r="S843" s="14">
        <f>SUM(M843:R843)</f>
        <v/>
      </c>
      <c r="AA843">
        <f>RAND()</f>
        <v/>
      </c>
      <c r="AB843">
        <f>RAND()</f>
        <v/>
      </c>
      <c r="AC843">
        <f>RAND()</f>
        <v/>
      </c>
      <c r="AD843">
        <f>RAND()</f>
        <v/>
      </c>
      <c r="AE843">
        <f>RAND()</f>
        <v/>
      </c>
      <c r="AF843">
        <f>RAND()</f>
        <v/>
      </c>
    </row>
    <row r="844">
      <c r="M844" s="14">
        <f>_xlfn.BETA.INV($AA844,1+4*($D$5-$C$5)/($E$5-$C$5),1+4*($E$5-$D$5)/($E$5-$C$5),$C$5,$E$5)</f>
        <v/>
      </c>
      <c r="N844" s="14">
        <f>IF($AB844&lt;($D$6-$C$6)/($E$6-$C$6),$C$6+SQRT($AB844*($E$6-$C$6)*($D$6-$C$6)),$E$6-SQRT((1-$AB844)*($E$6-$C$6)*($E$6-$D$6)))</f>
        <v/>
      </c>
      <c r="O844" s="14">
        <f>_xlfn.NORM.INV($AC844,$C$7,$D$7)</f>
        <v/>
      </c>
      <c r="P844" s="14">
        <f>$C$8+($D$8-$C$8)*$AD844</f>
        <v/>
      </c>
      <c r="Q844" s="14">
        <f>$C$9</f>
        <v/>
      </c>
      <c r="R844" s="14">
        <f>_xlfn.LOGNORM.INV($AF844,LN($C$10)-0.5*LN(1+($D$10/$C$10)^2),SQRT(LN(1+($D$10/$C$10)^2)))</f>
        <v/>
      </c>
      <c r="S844" s="14">
        <f>SUM(M844:R844)</f>
        <v/>
      </c>
      <c r="AA844">
        <f>RAND()</f>
        <v/>
      </c>
      <c r="AB844">
        <f>RAND()</f>
        <v/>
      </c>
      <c r="AC844">
        <f>RAND()</f>
        <v/>
      </c>
      <c r="AD844">
        <f>RAND()</f>
        <v/>
      </c>
      <c r="AE844">
        <f>RAND()</f>
        <v/>
      </c>
      <c r="AF844">
        <f>RAND()</f>
        <v/>
      </c>
    </row>
    <row r="845">
      <c r="M845" s="14">
        <f>_xlfn.BETA.INV($AA845,1+4*($D$5-$C$5)/($E$5-$C$5),1+4*($E$5-$D$5)/($E$5-$C$5),$C$5,$E$5)</f>
        <v/>
      </c>
      <c r="N845" s="14">
        <f>IF($AB845&lt;($D$6-$C$6)/($E$6-$C$6),$C$6+SQRT($AB845*($E$6-$C$6)*($D$6-$C$6)),$E$6-SQRT((1-$AB845)*($E$6-$C$6)*($E$6-$D$6)))</f>
        <v/>
      </c>
      <c r="O845" s="14">
        <f>_xlfn.NORM.INV($AC845,$C$7,$D$7)</f>
        <v/>
      </c>
      <c r="P845" s="14">
        <f>$C$8+($D$8-$C$8)*$AD845</f>
        <v/>
      </c>
      <c r="Q845" s="14">
        <f>$C$9</f>
        <v/>
      </c>
      <c r="R845" s="14">
        <f>_xlfn.LOGNORM.INV($AF845,LN($C$10)-0.5*LN(1+($D$10/$C$10)^2),SQRT(LN(1+($D$10/$C$10)^2)))</f>
        <v/>
      </c>
      <c r="S845" s="14">
        <f>SUM(M845:R845)</f>
        <v/>
      </c>
      <c r="AA845">
        <f>RAND()</f>
        <v/>
      </c>
      <c r="AB845">
        <f>RAND()</f>
        <v/>
      </c>
      <c r="AC845">
        <f>RAND()</f>
        <v/>
      </c>
      <c r="AD845">
        <f>RAND()</f>
        <v/>
      </c>
      <c r="AE845">
        <f>RAND()</f>
        <v/>
      </c>
      <c r="AF845">
        <f>RAND()</f>
        <v/>
      </c>
    </row>
    <row r="846">
      <c r="M846" s="14">
        <f>_xlfn.BETA.INV($AA846,1+4*($D$5-$C$5)/($E$5-$C$5),1+4*($E$5-$D$5)/($E$5-$C$5),$C$5,$E$5)</f>
        <v/>
      </c>
      <c r="N846" s="14">
        <f>IF($AB846&lt;($D$6-$C$6)/($E$6-$C$6),$C$6+SQRT($AB846*($E$6-$C$6)*($D$6-$C$6)),$E$6-SQRT((1-$AB846)*($E$6-$C$6)*($E$6-$D$6)))</f>
        <v/>
      </c>
      <c r="O846" s="14">
        <f>_xlfn.NORM.INV($AC846,$C$7,$D$7)</f>
        <v/>
      </c>
      <c r="P846" s="14">
        <f>$C$8+($D$8-$C$8)*$AD846</f>
        <v/>
      </c>
      <c r="Q846" s="14">
        <f>$C$9</f>
        <v/>
      </c>
      <c r="R846" s="14">
        <f>_xlfn.LOGNORM.INV($AF846,LN($C$10)-0.5*LN(1+($D$10/$C$10)^2),SQRT(LN(1+($D$10/$C$10)^2)))</f>
        <v/>
      </c>
      <c r="S846" s="14">
        <f>SUM(M846:R846)</f>
        <v/>
      </c>
      <c r="AA846">
        <f>RAND()</f>
        <v/>
      </c>
      <c r="AB846">
        <f>RAND()</f>
        <v/>
      </c>
      <c r="AC846">
        <f>RAND()</f>
        <v/>
      </c>
      <c r="AD846">
        <f>RAND()</f>
        <v/>
      </c>
      <c r="AE846">
        <f>RAND()</f>
        <v/>
      </c>
      <c r="AF846">
        <f>RAND()</f>
        <v/>
      </c>
    </row>
    <row r="847">
      <c r="M847" s="14">
        <f>_xlfn.BETA.INV($AA847,1+4*($D$5-$C$5)/($E$5-$C$5),1+4*($E$5-$D$5)/($E$5-$C$5),$C$5,$E$5)</f>
        <v/>
      </c>
      <c r="N847" s="14">
        <f>IF($AB847&lt;($D$6-$C$6)/($E$6-$C$6),$C$6+SQRT($AB847*($E$6-$C$6)*($D$6-$C$6)),$E$6-SQRT((1-$AB847)*($E$6-$C$6)*($E$6-$D$6)))</f>
        <v/>
      </c>
      <c r="O847" s="14">
        <f>_xlfn.NORM.INV($AC847,$C$7,$D$7)</f>
        <v/>
      </c>
      <c r="P847" s="14">
        <f>$C$8+($D$8-$C$8)*$AD847</f>
        <v/>
      </c>
      <c r="Q847" s="14">
        <f>$C$9</f>
        <v/>
      </c>
      <c r="R847" s="14">
        <f>_xlfn.LOGNORM.INV($AF847,LN($C$10)-0.5*LN(1+($D$10/$C$10)^2),SQRT(LN(1+($D$10/$C$10)^2)))</f>
        <v/>
      </c>
      <c r="S847" s="14">
        <f>SUM(M847:R847)</f>
        <v/>
      </c>
      <c r="AA847">
        <f>RAND()</f>
        <v/>
      </c>
      <c r="AB847">
        <f>RAND()</f>
        <v/>
      </c>
      <c r="AC847">
        <f>RAND()</f>
        <v/>
      </c>
      <c r="AD847">
        <f>RAND()</f>
        <v/>
      </c>
      <c r="AE847">
        <f>RAND()</f>
        <v/>
      </c>
      <c r="AF847">
        <f>RAND()</f>
        <v/>
      </c>
    </row>
    <row r="848">
      <c r="M848" s="14">
        <f>_xlfn.BETA.INV($AA848,1+4*($D$5-$C$5)/($E$5-$C$5),1+4*($E$5-$D$5)/($E$5-$C$5),$C$5,$E$5)</f>
        <v/>
      </c>
      <c r="N848" s="14">
        <f>IF($AB848&lt;($D$6-$C$6)/($E$6-$C$6),$C$6+SQRT($AB848*($E$6-$C$6)*($D$6-$C$6)),$E$6-SQRT((1-$AB848)*($E$6-$C$6)*($E$6-$D$6)))</f>
        <v/>
      </c>
      <c r="O848" s="14">
        <f>_xlfn.NORM.INV($AC848,$C$7,$D$7)</f>
        <v/>
      </c>
      <c r="P848" s="14">
        <f>$C$8+($D$8-$C$8)*$AD848</f>
        <v/>
      </c>
      <c r="Q848" s="14">
        <f>$C$9</f>
        <v/>
      </c>
      <c r="R848" s="14">
        <f>_xlfn.LOGNORM.INV($AF848,LN($C$10)-0.5*LN(1+($D$10/$C$10)^2),SQRT(LN(1+($D$10/$C$10)^2)))</f>
        <v/>
      </c>
      <c r="S848" s="14">
        <f>SUM(M848:R848)</f>
        <v/>
      </c>
      <c r="AA848">
        <f>RAND()</f>
        <v/>
      </c>
      <c r="AB848">
        <f>RAND()</f>
        <v/>
      </c>
      <c r="AC848">
        <f>RAND()</f>
        <v/>
      </c>
      <c r="AD848">
        <f>RAND()</f>
        <v/>
      </c>
      <c r="AE848">
        <f>RAND()</f>
        <v/>
      </c>
      <c r="AF848">
        <f>RAND()</f>
        <v/>
      </c>
    </row>
    <row r="849">
      <c r="M849" s="14">
        <f>_xlfn.BETA.INV($AA849,1+4*($D$5-$C$5)/($E$5-$C$5),1+4*($E$5-$D$5)/($E$5-$C$5),$C$5,$E$5)</f>
        <v/>
      </c>
      <c r="N849" s="14">
        <f>IF($AB849&lt;($D$6-$C$6)/($E$6-$C$6),$C$6+SQRT($AB849*($E$6-$C$6)*($D$6-$C$6)),$E$6-SQRT((1-$AB849)*($E$6-$C$6)*($E$6-$D$6)))</f>
        <v/>
      </c>
      <c r="O849" s="14">
        <f>_xlfn.NORM.INV($AC849,$C$7,$D$7)</f>
        <v/>
      </c>
      <c r="P849" s="14">
        <f>$C$8+($D$8-$C$8)*$AD849</f>
        <v/>
      </c>
      <c r="Q849" s="14">
        <f>$C$9</f>
        <v/>
      </c>
      <c r="R849" s="14">
        <f>_xlfn.LOGNORM.INV($AF849,LN($C$10)-0.5*LN(1+($D$10/$C$10)^2),SQRT(LN(1+($D$10/$C$10)^2)))</f>
        <v/>
      </c>
      <c r="S849" s="14">
        <f>SUM(M849:R849)</f>
        <v/>
      </c>
      <c r="AA849">
        <f>RAND()</f>
        <v/>
      </c>
      <c r="AB849">
        <f>RAND()</f>
        <v/>
      </c>
      <c r="AC849">
        <f>RAND()</f>
        <v/>
      </c>
      <c r="AD849">
        <f>RAND()</f>
        <v/>
      </c>
      <c r="AE849">
        <f>RAND()</f>
        <v/>
      </c>
      <c r="AF849">
        <f>RAND()</f>
        <v/>
      </c>
    </row>
    <row r="850">
      <c r="M850" s="14">
        <f>_xlfn.BETA.INV($AA850,1+4*($D$5-$C$5)/($E$5-$C$5),1+4*($E$5-$D$5)/($E$5-$C$5),$C$5,$E$5)</f>
        <v/>
      </c>
      <c r="N850" s="14">
        <f>IF($AB850&lt;($D$6-$C$6)/($E$6-$C$6),$C$6+SQRT($AB850*($E$6-$C$6)*($D$6-$C$6)),$E$6-SQRT((1-$AB850)*($E$6-$C$6)*($E$6-$D$6)))</f>
        <v/>
      </c>
      <c r="O850" s="14">
        <f>_xlfn.NORM.INV($AC850,$C$7,$D$7)</f>
        <v/>
      </c>
      <c r="P850" s="14">
        <f>$C$8+($D$8-$C$8)*$AD850</f>
        <v/>
      </c>
      <c r="Q850" s="14">
        <f>$C$9</f>
        <v/>
      </c>
      <c r="R850" s="14">
        <f>_xlfn.LOGNORM.INV($AF850,LN($C$10)-0.5*LN(1+($D$10/$C$10)^2),SQRT(LN(1+($D$10/$C$10)^2)))</f>
        <v/>
      </c>
      <c r="S850" s="14">
        <f>SUM(M850:R850)</f>
        <v/>
      </c>
      <c r="AA850">
        <f>RAND()</f>
        <v/>
      </c>
      <c r="AB850">
        <f>RAND()</f>
        <v/>
      </c>
      <c r="AC850">
        <f>RAND()</f>
        <v/>
      </c>
      <c r="AD850">
        <f>RAND()</f>
        <v/>
      </c>
      <c r="AE850">
        <f>RAND()</f>
        <v/>
      </c>
      <c r="AF850">
        <f>RAND()</f>
        <v/>
      </c>
    </row>
    <row r="851">
      <c r="M851" s="14">
        <f>_xlfn.BETA.INV($AA851,1+4*($D$5-$C$5)/($E$5-$C$5),1+4*($E$5-$D$5)/($E$5-$C$5),$C$5,$E$5)</f>
        <v/>
      </c>
      <c r="N851" s="14">
        <f>IF($AB851&lt;($D$6-$C$6)/($E$6-$C$6),$C$6+SQRT($AB851*($E$6-$C$6)*($D$6-$C$6)),$E$6-SQRT((1-$AB851)*($E$6-$C$6)*($E$6-$D$6)))</f>
        <v/>
      </c>
      <c r="O851" s="14">
        <f>_xlfn.NORM.INV($AC851,$C$7,$D$7)</f>
        <v/>
      </c>
      <c r="P851" s="14">
        <f>$C$8+($D$8-$C$8)*$AD851</f>
        <v/>
      </c>
      <c r="Q851" s="14">
        <f>$C$9</f>
        <v/>
      </c>
      <c r="R851" s="14">
        <f>_xlfn.LOGNORM.INV($AF851,LN($C$10)-0.5*LN(1+($D$10/$C$10)^2),SQRT(LN(1+($D$10/$C$10)^2)))</f>
        <v/>
      </c>
      <c r="S851" s="14">
        <f>SUM(M851:R851)</f>
        <v/>
      </c>
      <c r="AA851">
        <f>RAND()</f>
        <v/>
      </c>
      <c r="AB851">
        <f>RAND()</f>
        <v/>
      </c>
      <c r="AC851">
        <f>RAND()</f>
        <v/>
      </c>
      <c r="AD851">
        <f>RAND()</f>
        <v/>
      </c>
      <c r="AE851">
        <f>RAND()</f>
        <v/>
      </c>
      <c r="AF851">
        <f>RAND()</f>
        <v/>
      </c>
    </row>
    <row r="852">
      <c r="M852" s="14">
        <f>_xlfn.BETA.INV($AA852,1+4*($D$5-$C$5)/($E$5-$C$5),1+4*($E$5-$D$5)/($E$5-$C$5),$C$5,$E$5)</f>
        <v/>
      </c>
      <c r="N852" s="14">
        <f>IF($AB852&lt;($D$6-$C$6)/($E$6-$C$6),$C$6+SQRT($AB852*($E$6-$C$6)*($D$6-$C$6)),$E$6-SQRT((1-$AB852)*($E$6-$C$6)*($E$6-$D$6)))</f>
        <v/>
      </c>
      <c r="O852" s="14">
        <f>_xlfn.NORM.INV($AC852,$C$7,$D$7)</f>
        <v/>
      </c>
      <c r="P852" s="14">
        <f>$C$8+($D$8-$C$8)*$AD852</f>
        <v/>
      </c>
      <c r="Q852" s="14">
        <f>$C$9</f>
        <v/>
      </c>
      <c r="R852" s="14">
        <f>_xlfn.LOGNORM.INV($AF852,LN($C$10)-0.5*LN(1+($D$10/$C$10)^2),SQRT(LN(1+($D$10/$C$10)^2)))</f>
        <v/>
      </c>
      <c r="S852" s="14">
        <f>SUM(M852:R852)</f>
        <v/>
      </c>
      <c r="AA852">
        <f>RAND()</f>
        <v/>
      </c>
      <c r="AB852">
        <f>RAND()</f>
        <v/>
      </c>
      <c r="AC852">
        <f>RAND()</f>
        <v/>
      </c>
      <c r="AD852">
        <f>RAND()</f>
        <v/>
      </c>
      <c r="AE852">
        <f>RAND()</f>
        <v/>
      </c>
      <c r="AF852">
        <f>RAND()</f>
        <v/>
      </c>
    </row>
    <row r="853">
      <c r="M853" s="14">
        <f>_xlfn.BETA.INV($AA853,1+4*($D$5-$C$5)/($E$5-$C$5),1+4*($E$5-$D$5)/($E$5-$C$5),$C$5,$E$5)</f>
        <v/>
      </c>
      <c r="N853" s="14">
        <f>IF($AB853&lt;($D$6-$C$6)/($E$6-$C$6),$C$6+SQRT($AB853*($E$6-$C$6)*($D$6-$C$6)),$E$6-SQRT((1-$AB853)*($E$6-$C$6)*($E$6-$D$6)))</f>
        <v/>
      </c>
      <c r="O853" s="14">
        <f>_xlfn.NORM.INV($AC853,$C$7,$D$7)</f>
        <v/>
      </c>
      <c r="P853" s="14">
        <f>$C$8+($D$8-$C$8)*$AD853</f>
        <v/>
      </c>
      <c r="Q853" s="14">
        <f>$C$9</f>
        <v/>
      </c>
      <c r="R853" s="14">
        <f>_xlfn.LOGNORM.INV($AF853,LN($C$10)-0.5*LN(1+($D$10/$C$10)^2),SQRT(LN(1+($D$10/$C$10)^2)))</f>
        <v/>
      </c>
      <c r="S853" s="14">
        <f>SUM(M853:R853)</f>
        <v/>
      </c>
      <c r="AA853">
        <f>RAND()</f>
        <v/>
      </c>
      <c r="AB853">
        <f>RAND()</f>
        <v/>
      </c>
      <c r="AC853">
        <f>RAND()</f>
        <v/>
      </c>
      <c r="AD853">
        <f>RAND()</f>
        <v/>
      </c>
      <c r="AE853">
        <f>RAND()</f>
        <v/>
      </c>
      <c r="AF853">
        <f>RAND()</f>
        <v/>
      </c>
    </row>
    <row r="854">
      <c r="M854" s="14">
        <f>_xlfn.BETA.INV($AA854,1+4*($D$5-$C$5)/($E$5-$C$5),1+4*($E$5-$D$5)/($E$5-$C$5),$C$5,$E$5)</f>
        <v/>
      </c>
      <c r="N854" s="14">
        <f>IF($AB854&lt;($D$6-$C$6)/($E$6-$C$6),$C$6+SQRT($AB854*($E$6-$C$6)*($D$6-$C$6)),$E$6-SQRT((1-$AB854)*($E$6-$C$6)*($E$6-$D$6)))</f>
        <v/>
      </c>
      <c r="O854" s="14">
        <f>_xlfn.NORM.INV($AC854,$C$7,$D$7)</f>
        <v/>
      </c>
      <c r="P854" s="14">
        <f>$C$8+($D$8-$C$8)*$AD854</f>
        <v/>
      </c>
      <c r="Q854" s="14">
        <f>$C$9</f>
        <v/>
      </c>
      <c r="R854" s="14">
        <f>_xlfn.LOGNORM.INV($AF854,LN($C$10)-0.5*LN(1+($D$10/$C$10)^2),SQRT(LN(1+($D$10/$C$10)^2)))</f>
        <v/>
      </c>
      <c r="S854" s="14">
        <f>SUM(M854:R854)</f>
        <v/>
      </c>
      <c r="AA854">
        <f>RAND()</f>
        <v/>
      </c>
      <c r="AB854">
        <f>RAND()</f>
        <v/>
      </c>
      <c r="AC854">
        <f>RAND()</f>
        <v/>
      </c>
      <c r="AD854">
        <f>RAND()</f>
        <v/>
      </c>
      <c r="AE854">
        <f>RAND()</f>
        <v/>
      </c>
      <c r="AF854">
        <f>RAND()</f>
        <v/>
      </c>
    </row>
    <row r="855">
      <c r="M855" s="14">
        <f>_xlfn.BETA.INV($AA855,1+4*($D$5-$C$5)/($E$5-$C$5),1+4*($E$5-$D$5)/($E$5-$C$5),$C$5,$E$5)</f>
        <v/>
      </c>
      <c r="N855" s="14">
        <f>IF($AB855&lt;($D$6-$C$6)/($E$6-$C$6),$C$6+SQRT($AB855*($E$6-$C$6)*($D$6-$C$6)),$E$6-SQRT((1-$AB855)*($E$6-$C$6)*($E$6-$D$6)))</f>
        <v/>
      </c>
      <c r="O855" s="14">
        <f>_xlfn.NORM.INV($AC855,$C$7,$D$7)</f>
        <v/>
      </c>
      <c r="P855" s="14">
        <f>$C$8+($D$8-$C$8)*$AD855</f>
        <v/>
      </c>
      <c r="Q855" s="14">
        <f>$C$9</f>
        <v/>
      </c>
      <c r="R855" s="14">
        <f>_xlfn.LOGNORM.INV($AF855,LN($C$10)-0.5*LN(1+($D$10/$C$10)^2),SQRT(LN(1+($D$10/$C$10)^2)))</f>
        <v/>
      </c>
      <c r="S855" s="14">
        <f>SUM(M855:R855)</f>
        <v/>
      </c>
      <c r="AA855">
        <f>RAND()</f>
        <v/>
      </c>
      <c r="AB855">
        <f>RAND()</f>
        <v/>
      </c>
      <c r="AC855">
        <f>RAND()</f>
        <v/>
      </c>
      <c r="AD855">
        <f>RAND()</f>
        <v/>
      </c>
      <c r="AE855">
        <f>RAND()</f>
        <v/>
      </c>
      <c r="AF855">
        <f>RAND()</f>
        <v/>
      </c>
    </row>
    <row r="856">
      <c r="M856" s="14">
        <f>_xlfn.BETA.INV($AA856,1+4*($D$5-$C$5)/($E$5-$C$5),1+4*($E$5-$D$5)/($E$5-$C$5),$C$5,$E$5)</f>
        <v/>
      </c>
      <c r="N856" s="14">
        <f>IF($AB856&lt;($D$6-$C$6)/($E$6-$C$6),$C$6+SQRT($AB856*($E$6-$C$6)*($D$6-$C$6)),$E$6-SQRT((1-$AB856)*($E$6-$C$6)*($E$6-$D$6)))</f>
        <v/>
      </c>
      <c r="O856" s="14">
        <f>_xlfn.NORM.INV($AC856,$C$7,$D$7)</f>
        <v/>
      </c>
      <c r="P856" s="14">
        <f>$C$8+($D$8-$C$8)*$AD856</f>
        <v/>
      </c>
      <c r="Q856" s="14">
        <f>$C$9</f>
        <v/>
      </c>
      <c r="R856" s="14">
        <f>_xlfn.LOGNORM.INV($AF856,LN($C$10)-0.5*LN(1+($D$10/$C$10)^2),SQRT(LN(1+($D$10/$C$10)^2)))</f>
        <v/>
      </c>
      <c r="S856" s="14">
        <f>SUM(M856:R856)</f>
        <v/>
      </c>
      <c r="AA856">
        <f>RAND()</f>
        <v/>
      </c>
      <c r="AB856">
        <f>RAND()</f>
        <v/>
      </c>
      <c r="AC856">
        <f>RAND()</f>
        <v/>
      </c>
      <c r="AD856">
        <f>RAND()</f>
        <v/>
      </c>
      <c r="AE856">
        <f>RAND()</f>
        <v/>
      </c>
      <c r="AF856">
        <f>RAND()</f>
        <v/>
      </c>
    </row>
    <row r="857">
      <c r="M857" s="14">
        <f>_xlfn.BETA.INV($AA857,1+4*($D$5-$C$5)/($E$5-$C$5),1+4*($E$5-$D$5)/($E$5-$C$5),$C$5,$E$5)</f>
        <v/>
      </c>
      <c r="N857" s="14">
        <f>IF($AB857&lt;($D$6-$C$6)/($E$6-$C$6),$C$6+SQRT($AB857*($E$6-$C$6)*($D$6-$C$6)),$E$6-SQRT((1-$AB857)*($E$6-$C$6)*($E$6-$D$6)))</f>
        <v/>
      </c>
      <c r="O857" s="14">
        <f>_xlfn.NORM.INV($AC857,$C$7,$D$7)</f>
        <v/>
      </c>
      <c r="P857" s="14">
        <f>$C$8+($D$8-$C$8)*$AD857</f>
        <v/>
      </c>
      <c r="Q857" s="14">
        <f>$C$9</f>
        <v/>
      </c>
      <c r="R857" s="14">
        <f>_xlfn.LOGNORM.INV($AF857,LN($C$10)-0.5*LN(1+($D$10/$C$10)^2),SQRT(LN(1+($D$10/$C$10)^2)))</f>
        <v/>
      </c>
      <c r="S857" s="14">
        <f>SUM(M857:R857)</f>
        <v/>
      </c>
      <c r="AA857">
        <f>RAND()</f>
        <v/>
      </c>
      <c r="AB857">
        <f>RAND()</f>
        <v/>
      </c>
      <c r="AC857">
        <f>RAND()</f>
        <v/>
      </c>
      <c r="AD857">
        <f>RAND()</f>
        <v/>
      </c>
      <c r="AE857">
        <f>RAND()</f>
        <v/>
      </c>
      <c r="AF857">
        <f>RAND()</f>
        <v/>
      </c>
    </row>
    <row r="858">
      <c r="M858" s="14">
        <f>_xlfn.BETA.INV($AA858,1+4*($D$5-$C$5)/($E$5-$C$5),1+4*($E$5-$D$5)/($E$5-$C$5),$C$5,$E$5)</f>
        <v/>
      </c>
      <c r="N858" s="14">
        <f>IF($AB858&lt;($D$6-$C$6)/($E$6-$C$6),$C$6+SQRT($AB858*($E$6-$C$6)*($D$6-$C$6)),$E$6-SQRT((1-$AB858)*($E$6-$C$6)*($E$6-$D$6)))</f>
        <v/>
      </c>
      <c r="O858" s="14">
        <f>_xlfn.NORM.INV($AC858,$C$7,$D$7)</f>
        <v/>
      </c>
      <c r="P858" s="14">
        <f>$C$8+($D$8-$C$8)*$AD858</f>
        <v/>
      </c>
      <c r="Q858" s="14">
        <f>$C$9</f>
        <v/>
      </c>
      <c r="R858" s="14">
        <f>_xlfn.LOGNORM.INV($AF858,LN($C$10)-0.5*LN(1+($D$10/$C$10)^2),SQRT(LN(1+($D$10/$C$10)^2)))</f>
        <v/>
      </c>
      <c r="S858" s="14">
        <f>SUM(M858:R858)</f>
        <v/>
      </c>
      <c r="AA858">
        <f>RAND()</f>
        <v/>
      </c>
      <c r="AB858">
        <f>RAND()</f>
        <v/>
      </c>
      <c r="AC858">
        <f>RAND()</f>
        <v/>
      </c>
      <c r="AD858">
        <f>RAND()</f>
        <v/>
      </c>
      <c r="AE858">
        <f>RAND()</f>
        <v/>
      </c>
      <c r="AF858">
        <f>RAND()</f>
        <v/>
      </c>
    </row>
    <row r="859">
      <c r="M859" s="14">
        <f>_xlfn.BETA.INV($AA859,1+4*($D$5-$C$5)/($E$5-$C$5),1+4*($E$5-$D$5)/($E$5-$C$5),$C$5,$E$5)</f>
        <v/>
      </c>
      <c r="N859" s="14">
        <f>IF($AB859&lt;($D$6-$C$6)/($E$6-$C$6),$C$6+SQRT($AB859*($E$6-$C$6)*($D$6-$C$6)),$E$6-SQRT((1-$AB859)*($E$6-$C$6)*($E$6-$D$6)))</f>
        <v/>
      </c>
      <c r="O859" s="14">
        <f>_xlfn.NORM.INV($AC859,$C$7,$D$7)</f>
        <v/>
      </c>
      <c r="P859" s="14">
        <f>$C$8+($D$8-$C$8)*$AD859</f>
        <v/>
      </c>
      <c r="Q859" s="14">
        <f>$C$9</f>
        <v/>
      </c>
      <c r="R859" s="14">
        <f>_xlfn.LOGNORM.INV($AF859,LN($C$10)-0.5*LN(1+($D$10/$C$10)^2),SQRT(LN(1+($D$10/$C$10)^2)))</f>
        <v/>
      </c>
      <c r="S859" s="14">
        <f>SUM(M859:R859)</f>
        <v/>
      </c>
      <c r="AA859">
        <f>RAND()</f>
        <v/>
      </c>
      <c r="AB859">
        <f>RAND()</f>
        <v/>
      </c>
      <c r="AC859">
        <f>RAND()</f>
        <v/>
      </c>
      <c r="AD859">
        <f>RAND()</f>
        <v/>
      </c>
      <c r="AE859">
        <f>RAND()</f>
        <v/>
      </c>
      <c r="AF859">
        <f>RAND()</f>
        <v/>
      </c>
    </row>
    <row r="860">
      <c r="M860" s="14">
        <f>_xlfn.BETA.INV($AA860,1+4*($D$5-$C$5)/($E$5-$C$5),1+4*($E$5-$D$5)/($E$5-$C$5),$C$5,$E$5)</f>
        <v/>
      </c>
      <c r="N860" s="14">
        <f>IF($AB860&lt;($D$6-$C$6)/($E$6-$C$6),$C$6+SQRT($AB860*($E$6-$C$6)*($D$6-$C$6)),$E$6-SQRT((1-$AB860)*($E$6-$C$6)*($E$6-$D$6)))</f>
        <v/>
      </c>
      <c r="O860" s="14">
        <f>_xlfn.NORM.INV($AC860,$C$7,$D$7)</f>
        <v/>
      </c>
      <c r="P860" s="14">
        <f>$C$8+($D$8-$C$8)*$AD860</f>
        <v/>
      </c>
      <c r="Q860" s="14">
        <f>$C$9</f>
        <v/>
      </c>
      <c r="R860" s="14">
        <f>_xlfn.LOGNORM.INV($AF860,LN($C$10)-0.5*LN(1+($D$10/$C$10)^2),SQRT(LN(1+($D$10/$C$10)^2)))</f>
        <v/>
      </c>
      <c r="S860" s="14">
        <f>SUM(M860:R860)</f>
        <v/>
      </c>
      <c r="AA860">
        <f>RAND()</f>
        <v/>
      </c>
      <c r="AB860">
        <f>RAND()</f>
        <v/>
      </c>
      <c r="AC860">
        <f>RAND()</f>
        <v/>
      </c>
      <c r="AD860">
        <f>RAND()</f>
        <v/>
      </c>
      <c r="AE860">
        <f>RAND()</f>
        <v/>
      </c>
      <c r="AF860">
        <f>RAND()</f>
        <v/>
      </c>
    </row>
    <row r="861">
      <c r="M861" s="14">
        <f>_xlfn.BETA.INV($AA861,1+4*($D$5-$C$5)/($E$5-$C$5),1+4*($E$5-$D$5)/($E$5-$C$5),$C$5,$E$5)</f>
        <v/>
      </c>
      <c r="N861" s="14">
        <f>IF($AB861&lt;($D$6-$C$6)/($E$6-$C$6),$C$6+SQRT($AB861*($E$6-$C$6)*($D$6-$C$6)),$E$6-SQRT((1-$AB861)*($E$6-$C$6)*($E$6-$D$6)))</f>
        <v/>
      </c>
      <c r="O861" s="14">
        <f>_xlfn.NORM.INV($AC861,$C$7,$D$7)</f>
        <v/>
      </c>
      <c r="P861" s="14">
        <f>$C$8+($D$8-$C$8)*$AD861</f>
        <v/>
      </c>
      <c r="Q861" s="14">
        <f>$C$9</f>
        <v/>
      </c>
      <c r="R861" s="14">
        <f>_xlfn.LOGNORM.INV($AF861,LN($C$10)-0.5*LN(1+($D$10/$C$10)^2),SQRT(LN(1+($D$10/$C$10)^2)))</f>
        <v/>
      </c>
      <c r="S861" s="14">
        <f>SUM(M861:R861)</f>
        <v/>
      </c>
      <c r="AA861">
        <f>RAND()</f>
        <v/>
      </c>
      <c r="AB861">
        <f>RAND()</f>
        <v/>
      </c>
      <c r="AC861">
        <f>RAND()</f>
        <v/>
      </c>
      <c r="AD861">
        <f>RAND()</f>
        <v/>
      </c>
      <c r="AE861">
        <f>RAND()</f>
        <v/>
      </c>
      <c r="AF861">
        <f>RAND()</f>
        <v/>
      </c>
    </row>
    <row r="862">
      <c r="M862" s="14">
        <f>_xlfn.BETA.INV($AA862,1+4*($D$5-$C$5)/($E$5-$C$5),1+4*($E$5-$D$5)/($E$5-$C$5),$C$5,$E$5)</f>
        <v/>
      </c>
      <c r="N862" s="14">
        <f>IF($AB862&lt;($D$6-$C$6)/($E$6-$C$6),$C$6+SQRT($AB862*($E$6-$C$6)*($D$6-$C$6)),$E$6-SQRT((1-$AB862)*($E$6-$C$6)*($E$6-$D$6)))</f>
        <v/>
      </c>
      <c r="O862" s="14">
        <f>_xlfn.NORM.INV($AC862,$C$7,$D$7)</f>
        <v/>
      </c>
      <c r="P862" s="14">
        <f>$C$8+($D$8-$C$8)*$AD862</f>
        <v/>
      </c>
      <c r="Q862" s="14">
        <f>$C$9</f>
        <v/>
      </c>
      <c r="R862" s="14">
        <f>_xlfn.LOGNORM.INV($AF862,LN($C$10)-0.5*LN(1+($D$10/$C$10)^2),SQRT(LN(1+($D$10/$C$10)^2)))</f>
        <v/>
      </c>
      <c r="S862" s="14">
        <f>SUM(M862:R862)</f>
        <v/>
      </c>
      <c r="AA862">
        <f>RAND()</f>
        <v/>
      </c>
      <c r="AB862">
        <f>RAND()</f>
        <v/>
      </c>
      <c r="AC862">
        <f>RAND()</f>
        <v/>
      </c>
      <c r="AD862">
        <f>RAND()</f>
        <v/>
      </c>
      <c r="AE862">
        <f>RAND()</f>
        <v/>
      </c>
      <c r="AF862">
        <f>RAND()</f>
        <v/>
      </c>
    </row>
    <row r="863">
      <c r="M863" s="14">
        <f>_xlfn.BETA.INV($AA863,1+4*($D$5-$C$5)/($E$5-$C$5),1+4*($E$5-$D$5)/($E$5-$C$5),$C$5,$E$5)</f>
        <v/>
      </c>
      <c r="N863" s="14">
        <f>IF($AB863&lt;($D$6-$C$6)/($E$6-$C$6),$C$6+SQRT($AB863*($E$6-$C$6)*($D$6-$C$6)),$E$6-SQRT((1-$AB863)*($E$6-$C$6)*($E$6-$D$6)))</f>
        <v/>
      </c>
      <c r="O863" s="14">
        <f>_xlfn.NORM.INV($AC863,$C$7,$D$7)</f>
        <v/>
      </c>
      <c r="P863" s="14">
        <f>$C$8+($D$8-$C$8)*$AD863</f>
        <v/>
      </c>
      <c r="Q863" s="14">
        <f>$C$9</f>
        <v/>
      </c>
      <c r="R863" s="14">
        <f>_xlfn.LOGNORM.INV($AF863,LN($C$10)-0.5*LN(1+($D$10/$C$10)^2),SQRT(LN(1+($D$10/$C$10)^2)))</f>
        <v/>
      </c>
      <c r="S863" s="14">
        <f>SUM(M863:R863)</f>
        <v/>
      </c>
      <c r="AA863">
        <f>RAND()</f>
        <v/>
      </c>
      <c r="AB863">
        <f>RAND()</f>
        <v/>
      </c>
      <c r="AC863">
        <f>RAND()</f>
        <v/>
      </c>
      <c r="AD863">
        <f>RAND()</f>
        <v/>
      </c>
      <c r="AE863">
        <f>RAND()</f>
        <v/>
      </c>
      <c r="AF863">
        <f>RAND()</f>
        <v/>
      </c>
    </row>
    <row r="864">
      <c r="M864" s="14">
        <f>_xlfn.BETA.INV($AA864,1+4*($D$5-$C$5)/($E$5-$C$5),1+4*($E$5-$D$5)/($E$5-$C$5),$C$5,$E$5)</f>
        <v/>
      </c>
      <c r="N864" s="14">
        <f>IF($AB864&lt;($D$6-$C$6)/($E$6-$C$6),$C$6+SQRT($AB864*($E$6-$C$6)*($D$6-$C$6)),$E$6-SQRT((1-$AB864)*($E$6-$C$6)*($E$6-$D$6)))</f>
        <v/>
      </c>
      <c r="O864" s="14">
        <f>_xlfn.NORM.INV($AC864,$C$7,$D$7)</f>
        <v/>
      </c>
      <c r="P864" s="14">
        <f>$C$8+($D$8-$C$8)*$AD864</f>
        <v/>
      </c>
      <c r="Q864" s="14">
        <f>$C$9</f>
        <v/>
      </c>
      <c r="R864" s="14">
        <f>_xlfn.LOGNORM.INV($AF864,LN($C$10)-0.5*LN(1+($D$10/$C$10)^2),SQRT(LN(1+($D$10/$C$10)^2)))</f>
        <v/>
      </c>
      <c r="S864" s="14">
        <f>SUM(M864:R864)</f>
        <v/>
      </c>
      <c r="AA864">
        <f>RAND()</f>
        <v/>
      </c>
      <c r="AB864">
        <f>RAND()</f>
        <v/>
      </c>
      <c r="AC864">
        <f>RAND()</f>
        <v/>
      </c>
      <c r="AD864">
        <f>RAND()</f>
        <v/>
      </c>
      <c r="AE864">
        <f>RAND()</f>
        <v/>
      </c>
      <c r="AF864">
        <f>RAND()</f>
        <v/>
      </c>
    </row>
    <row r="865">
      <c r="M865" s="14">
        <f>_xlfn.BETA.INV($AA865,1+4*($D$5-$C$5)/($E$5-$C$5),1+4*($E$5-$D$5)/($E$5-$C$5),$C$5,$E$5)</f>
        <v/>
      </c>
      <c r="N865" s="14">
        <f>IF($AB865&lt;($D$6-$C$6)/($E$6-$C$6),$C$6+SQRT($AB865*($E$6-$C$6)*($D$6-$C$6)),$E$6-SQRT((1-$AB865)*($E$6-$C$6)*($E$6-$D$6)))</f>
        <v/>
      </c>
      <c r="O865" s="14">
        <f>_xlfn.NORM.INV($AC865,$C$7,$D$7)</f>
        <v/>
      </c>
      <c r="P865" s="14">
        <f>$C$8+($D$8-$C$8)*$AD865</f>
        <v/>
      </c>
      <c r="Q865" s="14">
        <f>$C$9</f>
        <v/>
      </c>
      <c r="R865" s="14">
        <f>_xlfn.LOGNORM.INV($AF865,LN($C$10)-0.5*LN(1+($D$10/$C$10)^2),SQRT(LN(1+($D$10/$C$10)^2)))</f>
        <v/>
      </c>
      <c r="S865" s="14">
        <f>SUM(M865:R865)</f>
        <v/>
      </c>
      <c r="AA865">
        <f>RAND()</f>
        <v/>
      </c>
      <c r="AB865">
        <f>RAND()</f>
        <v/>
      </c>
      <c r="AC865">
        <f>RAND()</f>
        <v/>
      </c>
      <c r="AD865">
        <f>RAND()</f>
        <v/>
      </c>
      <c r="AE865">
        <f>RAND()</f>
        <v/>
      </c>
      <c r="AF865">
        <f>RAND()</f>
        <v/>
      </c>
    </row>
    <row r="866">
      <c r="M866" s="14">
        <f>_xlfn.BETA.INV($AA866,1+4*($D$5-$C$5)/($E$5-$C$5),1+4*($E$5-$D$5)/($E$5-$C$5),$C$5,$E$5)</f>
        <v/>
      </c>
      <c r="N866" s="14">
        <f>IF($AB866&lt;($D$6-$C$6)/($E$6-$C$6),$C$6+SQRT($AB866*($E$6-$C$6)*($D$6-$C$6)),$E$6-SQRT((1-$AB866)*($E$6-$C$6)*($E$6-$D$6)))</f>
        <v/>
      </c>
      <c r="O866" s="14">
        <f>_xlfn.NORM.INV($AC866,$C$7,$D$7)</f>
        <v/>
      </c>
      <c r="P866" s="14">
        <f>$C$8+($D$8-$C$8)*$AD866</f>
        <v/>
      </c>
      <c r="Q866" s="14">
        <f>$C$9</f>
        <v/>
      </c>
      <c r="R866" s="14">
        <f>_xlfn.LOGNORM.INV($AF866,LN($C$10)-0.5*LN(1+($D$10/$C$10)^2),SQRT(LN(1+($D$10/$C$10)^2)))</f>
        <v/>
      </c>
      <c r="S866" s="14">
        <f>SUM(M866:R866)</f>
        <v/>
      </c>
      <c r="AA866">
        <f>RAND()</f>
        <v/>
      </c>
      <c r="AB866">
        <f>RAND()</f>
        <v/>
      </c>
      <c r="AC866">
        <f>RAND()</f>
        <v/>
      </c>
      <c r="AD866">
        <f>RAND()</f>
        <v/>
      </c>
      <c r="AE866">
        <f>RAND()</f>
        <v/>
      </c>
      <c r="AF866">
        <f>RAND()</f>
        <v/>
      </c>
    </row>
    <row r="867">
      <c r="M867" s="14">
        <f>_xlfn.BETA.INV($AA867,1+4*($D$5-$C$5)/($E$5-$C$5),1+4*($E$5-$D$5)/($E$5-$C$5),$C$5,$E$5)</f>
        <v/>
      </c>
      <c r="N867" s="14">
        <f>IF($AB867&lt;($D$6-$C$6)/($E$6-$C$6),$C$6+SQRT($AB867*($E$6-$C$6)*($D$6-$C$6)),$E$6-SQRT((1-$AB867)*($E$6-$C$6)*($E$6-$D$6)))</f>
        <v/>
      </c>
      <c r="O867" s="14">
        <f>_xlfn.NORM.INV($AC867,$C$7,$D$7)</f>
        <v/>
      </c>
      <c r="P867" s="14">
        <f>$C$8+($D$8-$C$8)*$AD867</f>
        <v/>
      </c>
      <c r="Q867" s="14">
        <f>$C$9</f>
        <v/>
      </c>
      <c r="R867" s="14">
        <f>_xlfn.LOGNORM.INV($AF867,LN($C$10)-0.5*LN(1+($D$10/$C$10)^2),SQRT(LN(1+($D$10/$C$10)^2)))</f>
        <v/>
      </c>
      <c r="S867" s="14">
        <f>SUM(M867:R867)</f>
        <v/>
      </c>
      <c r="AA867">
        <f>RAND()</f>
        <v/>
      </c>
      <c r="AB867">
        <f>RAND()</f>
        <v/>
      </c>
      <c r="AC867">
        <f>RAND()</f>
        <v/>
      </c>
      <c r="AD867">
        <f>RAND()</f>
        <v/>
      </c>
      <c r="AE867">
        <f>RAND()</f>
        <v/>
      </c>
      <c r="AF867">
        <f>RAND()</f>
        <v/>
      </c>
    </row>
    <row r="868">
      <c r="M868" s="14">
        <f>_xlfn.BETA.INV($AA868,1+4*($D$5-$C$5)/($E$5-$C$5),1+4*($E$5-$D$5)/($E$5-$C$5),$C$5,$E$5)</f>
        <v/>
      </c>
      <c r="N868" s="14">
        <f>IF($AB868&lt;($D$6-$C$6)/($E$6-$C$6),$C$6+SQRT($AB868*($E$6-$C$6)*($D$6-$C$6)),$E$6-SQRT((1-$AB868)*($E$6-$C$6)*($E$6-$D$6)))</f>
        <v/>
      </c>
      <c r="O868" s="14">
        <f>_xlfn.NORM.INV($AC868,$C$7,$D$7)</f>
        <v/>
      </c>
      <c r="P868" s="14">
        <f>$C$8+($D$8-$C$8)*$AD868</f>
        <v/>
      </c>
      <c r="Q868" s="14">
        <f>$C$9</f>
        <v/>
      </c>
      <c r="R868" s="14">
        <f>_xlfn.LOGNORM.INV($AF868,LN($C$10)-0.5*LN(1+($D$10/$C$10)^2),SQRT(LN(1+($D$10/$C$10)^2)))</f>
        <v/>
      </c>
      <c r="S868" s="14">
        <f>SUM(M868:R868)</f>
        <v/>
      </c>
      <c r="AA868">
        <f>RAND()</f>
        <v/>
      </c>
      <c r="AB868">
        <f>RAND()</f>
        <v/>
      </c>
      <c r="AC868">
        <f>RAND()</f>
        <v/>
      </c>
      <c r="AD868">
        <f>RAND()</f>
        <v/>
      </c>
      <c r="AE868">
        <f>RAND()</f>
        <v/>
      </c>
      <c r="AF868">
        <f>RAND()</f>
        <v/>
      </c>
    </row>
    <row r="869">
      <c r="M869" s="14">
        <f>_xlfn.BETA.INV($AA869,1+4*($D$5-$C$5)/($E$5-$C$5),1+4*($E$5-$D$5)/($E$5-$C$5),$C$5,$E$5)</f>
        <v/>
      </c>
      <c r="N869" s="14">
        <f>IF($AB869&lt;($D$6-$C$6)/($E$6-$C$6),$C$6+SQRT($AB869*($E$6-$C$6)*($D$6-$C$6)),$E$6-SQRT((1-$AB869)*($E$6-$C$6)*($E$6-$D$6)))</f>
        <v/>
      </c>
      <c r="O869" s="14">
        <f>_xlfn.NORM.INV($AC869,$C$7,$D$7)</f>
        <v/>
      </c>
      <c r="P869" s="14">
        <f>$C$8+($D$8-$C$8)*$AD869</f>
        <v/>
      </c>
      <c r="Q869" s="14">
        <f>$C$9</f>
        <v/>
      </c>
      <c r="R869" s="14">
        <f>_xlfn.LOGNORM.INV($AF869,LN($C$10)-0.5*LN(1+($D$10/$C$10)^2),SQRT(LN(1+($D$10/$C$10)^2)))</f>
        <v/>
      </c>
      <c r="S869" s="14">
        <f>SUM(M869:R869)</f>
        <v/>
      </c>
      <c r="AA869">
        <f>RAND()</f>
        <v/>
      </c>
      <c r="AB869">
        <f>RAND()</f>
        <v/>
      </c>
      <c r="AC869">
        <f>RAND()</f>
        <v/>
      </c>
      <c r="AD869">
        <f>RAND()</f>
        <v/>
      </c>
      <c r="AE869">
        <f>RAND()</f>
        <v/>
      </c>
      <c r="AF869">
        <f>RAND()</f>
        <v/>
      </c>
    </row>
    <row r="870">
      <c r="M870" s="14">
        <f>_xlfn.BETA.INV($AA870,1+4*($D$5-$C$5)/($E$5-$C$5),1+4*($E$5-$D$5)/($E$5-$C$5),$C$5,$E$5)</f>
        <v/>
      </c>
      <c r="N870" s="14">
        <f>IF($AB870&lt;($D$6-$C$6)/($E$6-$C$6),$C$6+SQRT($AB870*($E$6-$C$6)*($D$6-$C$6)),$E$6-SQRT((1-$AB870)*($E$6-$C$6)*($E$6-$D$6)))</f>
        <v/>
      </c>
      <c r="O870" s="14">
        <f>_xlfn.NORM.INV($AC870,$C$7,$D$7)</f>
        <v/>
      </c>
      <c r="P870" s="14">
        <f>$C$8+($D$8-$C$8)*$AD870</f>
        <v/>
      </c>
      <c r="Q870" s="14">
        <f>$C$9</f>
        <v/>
      </c>
      <c r="R870" s="14">
        <f>_xlfn.LOGNORM.INV($AF870,LN($C$10)-0.5*LN(1+($D$10/$C$10)^2),SQRT(LN(1+($D$10/$C$10)^2)))</f>
        <v/>
      </c>
      <c r="S870" s="14">
        <f>SUM(M870:R870)</f>
        <v/>
      </c>
      <c r="AA870">
        <f>RAND()</f>
        <v/>
      </c>
      <c r="AB870">
        <f>RAND()</f>
        <v/>
      </c>
      <c r="AC870">
        <f>RAND()</f>
        <v/>
      </c>
      <c r="AD870">
        <f>RAND()</f>
        <v/>
      </c>
      <c r="AE870">
        <f>RAND()</f>
        <v/>
      </c>
      <c r="AF870">
        <f>RAND()</f>
        <v/>
      </c>
    </row>
    <row r="871">
      <c r="M871" s="14">
        <f>_xlfn.BETA.INV($AA871,1+4*($D$5-$C$5)/($E$5-$C$5),1+4*($E$5-$D$5)/($E$5-$C$5),$C$5,$E$5)</f>
        <v/>
      </c>
      <c r="N871" s="14">
        <f>IF($AB871&lt;($D$6-$C$6)/($E$6-$C$6),$C$6+SQRT($AB871*($E$6-$C$6)*($D$6-$C$6)),$E$6-SQRT((1-$AB871)*($E$6-$C$6)*($E$6-$D$6)))</f>
        <v/>
      </c>
      <c r="O871" s="14">
        <f>_xlfn.NORM.INV($AC871,$C$7,$D$7)</f>
        <v/>
      </c>
      <c r="P871" s="14">
        <f>$C$8+($D$8-$C$8)*$AD871</f>
        <v/>
      </c>
      <c r="Q871" s="14">
        <f>$C$9</f>
        <v/>
      </c>
      <c r="R871" s="14">
        <f>_xlfn.LOGNORM.INV($AF871,LN($C$10)-0.5*LN(1+($D$10/$C$10)^2),SQRT(LN(1+($D$10/$C$10)^2)))</f>
        <v/>
      </c>
      <c r="S871" s="14">
        <f>SUM(M871:R871)</f>
        <v/>
      </c>
      <c r="AA871">
        <f>RAND()</f>
        <v/>
      </c>
      <c r="AB871">
        <f>RAND()</f>
        <v/>
      </c>
      <c r="AC871">
        <f>RAND()</f>
        <v/>
      </c>
      <c r="AD871">
        <f>RAND()</f>
        <v/>
      </c>
      <c r="AE871">
        <f>RAND()</f>
        <v/>
      </c>
      <c r="AF871">
        <f>RAND()</f>
        <v/>
      </c>
    </row>
    <row r="872">
      <c r="M872" s="14">
        <f>_xlfn.BETA.INV($AA872,1+4*($D$5-$C$5)/($E$5-$C$5),1+4*($E$5-$D$5)/($E$5-$C$5),$C$5,$E$5)</f>
        <v/>
      </c>
      <c r="N872" s="14">
        <f>IF($AB872&lt;($D$6-$C$6)/($E$6-$C$6),$C$6+SQRT($AB872*($E$6-$C$6)*($D$6-$C$6)),$E$6-SQRT((1-$AB872)*($E$6-$C$6)*($E$6-$D$6)))</f>
        <v/>
      </c>
      <c r="O872" s="14">
        <f>_xlfn.NORM.INV($AC872,$C$7,$D$7)</f>
        <v/>
      </c>
      <c r="P872" s="14">
        <f>$C$8+($D$8-$C$8)*$AD872</f>
        <v/>
      </c>
      <c r="Q872" s="14">
        <f>$C$9</f>
        <v/>
      </c>
      <c r="R872" s="14">
        <f>_xlfn.LOGNORM.INV($AF872,LN($C$10)-0.5*LN(1+($D$10/$C$10)^2),SQRT(LN(1+($D$10/$C$10)^2)))</f>
        <v/>
      </c>
      <c r="S872" s="14">
        <f>SUM(M872:R872)</f>
        <v/>
      </c>
      <c r="AA872">
        <f>RAND()</f>
        <v/>
      </c>
      <c r="AB872">
        <f>RAND()</f>
        <v/>
      </c>
      <c r="AC872">
        <f>RAND()</f>
        <v/>
      </c>
      <c r="AD872">
        <f>RAND()</f>
        <v/>
      </c>
      <c r="AE872">
        <f>RAND()</f>
        <v/>
      </c>
      <c r="AF872">
        <f>RAND()</f>
        <v/>
      </c>
    </row>
    <row r="873">
      <c r="M873" s="14">
        <f>_xlfn.BETA.INV($AA873,1+4*($D$5-$C$5)/($E$5-$C$5),1+4*($E$5-$D$5)/($E$5-$C$5),$C$5,$E$5)</f>
        <v/>
      </c>
      <c r="N873" s="14">
        <f>IF($AB873&lt;($D$6-$C$6)/($E$6-$C$6),$C$6+SQRT($AB873*($E$6-$C$6)*($D$6-$C$6)),$E$6-SQRT((1-$AB873)*($E$6-$C$6)*($E$6-$D$6)))</f>
        <v/>
      </c>
      <c r="O873" s="14">
        <f>_xlfn.NORM.INV($AC873,$C$7,$D$7)</f>
        <v/>
      </c>
      <c r="P873" s="14">
        <f>$C$8+($D$8-$C$8)*$AD873</f>
        <v/>
      </c>
      <c r="Q873" s="14">
        <f>$C$9</f>
        <v/>
      </c>
      <c r="R873" s="14">
        <f>_xlfn.LOGNORM.INV($AF873,LN($C$10)-0.5*LN(1+($D$10/$C$10)^2),SQRT(LN(1+($D$10/$C$10)^2)))</f>
        <v/>
      </c>
      <c r="S873" s="14">
        <f>SUM(M873:R873)</f>
        <v/>
      </c>
      <c r="AA873">
        <f>RAND()</f>
        <v/>
      </c>
      <c r="AB873">
        <f>RAND()</f>
        <v/>
      </c>
      <c r="AC873">
        <f>RAND()</f>
        <v/>
      </c>
      <c r="AD873">
        <f>RAND()</f>
        <v/>
      </c>
      <c r="AE873">
        <f>RAND()</f>
        <v/>
      </c>
      <c r="AF873">
        <f>RAND()</f>
        <v/>
      </c>
    </row>
    <row r="874">
      <c r="M874" s="14">
        <f>_xlfn.BETA.INV($AA874,1+4*($D$5-$C$5)/($E$5-$C$5),1+4*($E$5-$D$5)/($E$5-$C$5),$C$5,$E$5)</f>
        <v/>
      </c>
      <c r="N874" s="14">
        <f>IF($AB874&lt;($D$6-$C$6)/($E$6-$C$6),$C$6+SQRT($AB874*($E$6-$C$6)*($D$6-$C$6)),$E$6-SQRT((1-$AB874)*($E$6-$C$6)*($E$6-$D$6)))</f>
        <v/>
      </c>
      <c r="O874" s="14">
        <f>_xlfn.NORM.INV($AC874,$C$7,$D$7)</f>
        <v/>
      </c>
      <c r="P874" s="14">
        <f>$C$8+($D$8-$C$8)*$AD874</f>
        <v/>
      </c>
      <c r="Q874" s="14">
        <f>$C$9</f>
        <v/>
      </c>
      <c r="R874" s="14">
        <f>_xlfn.LOGNORM.INV($AF874,LN($C$10)-0.5*LN(1+($D$10/$C$10)^2),SQRT(LN(1+($D$10/$C$10)^2)))</f>
        <v/>
      </c>
      <c r="S874" s="14">
        <f>SUM(M874:R874)</f>
        <v/>
      </c>
      <c r="AA874">
        <f>RAND()</f>
        <v/>
      </c>
      <c r="AB874">
        <f>RAND()</f>
        <v/>
      </c>
      <c r="AC874">
        <f>RAND()</f>
        <v/>
      </c>
      <c r="AD874">
        <f>RAND()</f>
        <v/>
      </c>
      <c r="AE874">
        <f>RAND()</f>
        <v/>
      </c>
      <c r="AF874">
        <f>RAND()</f>
        <v/>
      </c>
    </row>
    <row r="875">
      <c r="M875" s="14">
        <f>_xlfn.BETA.INV($AA875,1+4*($D$5-$C$5)/($E$5-$C$5),1+4*($E$5-$D$5)/($E$5-$C$5),$C$5,$E$5)</f>
        <v/>
      </c>
      <c r="N875" s="14">
        <f>IF($AB875&lt;($D$6-$C$6)/($E$6-$C$6),$C$6+SQRT($AB875*($E$6-$C$6)*($D$6-$C$6)),$E$6-SQRT((1-$AB875)*($E$6-$C$6)*($E$6-$D$6)))</f>
        <v/>
      </c>
      <c r="O875" s="14">
        <f>_xlfn.NORM.INV($AC875,$C$7,$D$7)</f>
        <v/>
      </c>
      <c r="P875" s="14">
        <f>$C$8+($D$8-$C$8)*$AD875</f>
        <v/>
      </c>
      <c r="Q875" s="14">
        <f>$C$9</f>
        <v/>
      </c>
      <c r="R875" s="14">
        <f>_xlfn.LOGNORM.INV($AF875,LN($C$10)-0.5*LN(1+($D$10/$C$10)^2),SQRT(LN(1+($D$10/$C$10)^2)))</f>
        <v/>
      </c>
      <c r="S875" s="14">
        <f>SUM(M875:R875)</f>
        <v/>
      </c>
      <c r="AA875">
        <f>RAND()</f>
        <v/>
      </c>
      <c r="AB875">
        <f>RAND()</f>
        <v/>
      </c>
      <c r="AC875">
        <f>RAND()</f>
        <v/>
      </c>
      <c r="AD875">
        <f>RAND()</f>
        <v/>
      </c>
      <c r="AE875">
        <f>RAND()</f>
        <v/>
      </c>
      <c r="AF875">
        <f>RAND()</f>
        <v/>
      </c>
    </row>
    <row r="876">
      <c r="M876" s="14">
        <f>_xlfn.BETA.INV($AA876,1+4*($D$5-$C$5)/($E$5-$C$5),1+4*($E$5-$D$5)/($E$5-$C$5),$C$5,$E$5)</f>
        <v/>
      </c>
      <c r="N876" s="14">
        <f>IF($AB876&lt;($D$6-$C$6)/($E$6-$C$6),$C$6+SQRT($AB876*($E$6-$C$6)*($D$6-$C$6)),$E$6-SQRT((1-$AB876)*($E$6-$C$6)*($E$6-$D$6)))</f>
        <v/>
      </c>
      <c r="O876" s="14">
        <f>_xlfn.NORM.INV($AC876,$C$7,$D$7)</f>
        <v/>
      </c>
      <c r="P876" s="14">
        <f>$C$8+($D$8-$C$8)*$AD876</f>
        <v/>
      </c>
      <c r="Q876" s="14">
        <f>$C$9</f>
        <v/>
      </c>
      <c r="R876" s="14">
        <f>_xlfn.LOGNORM.INV($AF876,LN($C$10)-0.5*LN(1+($D$10/$C$10)^2),SQRT(LN(1+($D$10/$C$10)^2)))</f>
        <v/>
      </c>
      <c r="S876" s="14">
        <f>SUM(M876:R876)</f>
        <v/>
      </c>
      <c r="AA876">
        <f>RAND()</f>
        <v/>
      </c>
      <c r="AB876">
        <f>RAND()</f>
        <v/>
      </c>
      <c r="AC876">
        <f>RAND()</f>
        <v/>
      </c>
      <c r="AD876">
        <f>RAND()</f>
        <v/>
      </c>
      <c r="AE876">
        <f>RAND()</f>
        <v/>
      </c>
      <c r="AF876">
        <f>RAND()</f>
        <v/>
      </c>
    </row>
    <row r="877">
      <c r="M877" s="14">
        <f>_xlfn.BETA.INV($AA877,1+4*($D$5-$C$5)/($E$5-$C$5),1+4*($E$5-$D$5)/($E$5-$C$5),$C$5,$E$5)</f>
        <v/>
      </c>
      <c r="N877" s="14">
        <f>IF($AB877&lt;($D$6-$C$6)/($E$6-$C$6),$C$6+SQRT($AB877*($E$6-$C$6)*($D$6-$C$6)),$E$6-SQRT((1-$AB877)*($E$6-$C$6)*($E$6-$D$6)))</f>
        <v/>
      </c>
      <c r="O877" s="14">
        <f>_xlfn.NORM.INV($AC877,$C$7,$D$7)</f>
        <v/>
      </c>
      <c r="P877" s="14">
        <f>$C$8+($D$8-$C$8)*$AD877</f>
        <v/>
      </c>
      <c r="Q877" s="14">
        <f>$C$9</f>
        <v/>
      </c>
      <c r="R877" s="14">
        <f>_xlfn.LOGNORM.INV($AF877,LN($C$10)-0.5*LN(1+($D$10/$C$10)^2),SQRT(LN(1+($D$10/$C$10)^2)))</f>
        <v/>
      </c>
      <c r="S877" s="14">
        <f>SUM(M877:R877)</f>
        <v/>
      </c>
      <c r="AA877">
        <f>RAND()</f>
        <v/>
      </c>
      <c r="AB877">
        <f>RAND()</f>
        <v/>
      </c>
      <c r="AC877">
        <f>RAND()</f>
        <v/>
      </c>
      <c r="AD877">
        <f>RAND()</f>
        <v/>
      </c>
      <c r="AE877">
        <f>RAND()</f>
        <v/>
      </c>
      <c r="AF877">
        <f>RAND()</f>
        <v/>
      </c>
    </row>
    <row r="878">
      <c r="M878" s="14">
        <f>_xlfn.BETA.INV($AA878,1+4*($D$5-$C$5)/($E$5-$C$5),1+4*($E$5-$D$5)/($E$5-$C$5),$C$5,$E$5)</f>
        <v/>
      </c>
      <c r="N878" s="14">
        <f>IF($AB878&lt;($D$6-$C$6)/($E$6-$C$6),$C$6+SQRT($AB878*($E$6-$C$6)*($D$6-$C$6)),$E$6-SQRT((1-$AB878)*($E$6-$C$6)*($E$6-$D$6)))</f>
        <v/>
      </c>
      <c r="O878" s="14">
        <f>_xlfn.NORM.INV($AC878,$C$7,$D$7)</f>
        <v/>
      </c>
      <c r="P878" s="14">
        <f>$C$8+($D$8-$C$8)*$AD878</f>
        <v/>
      </c>
      <c r="Q878" s="14">
        <f>$C$9</f>
        <v/>
      </c>
      <c r="R878" s="14">
        <f>_xlfn.LOGNORM.INV($AF878,LN($C$10)-0.5*LN(1+($D$10/$C$10)^2),SQRT(LN(1+($D$10/$C$10)^2)))</f>
        <v/>
      </c>
      <c r="S878" s="14">
        <f>SUM(M878:R878)</f>
        <v/>
      </c>
      <c r="AA878">
        <f>RAND()</f>
        <v/>
      </c>
      <c r="AB878">
        <f>RAND()</f>
        <v/>
      </c>
      <c r="AC878">
        <f>RAND()</f>
        <v/>
      </c>
      <c r="AD878">
        <f>RAND()</f>
        <v/>
      </c>
      <c r="AE878">
        <f>RAND()</f>
        <v/>
      </c>
      <c r="AF878">
        <f>RAND()</f>
        <v/>
      </c>
    </row>
    <row r="879">
      <c r="M879" s="14">
        <f>_xlfn.BETA.INV($AA879,1+4*($D$5-$C$5)/($E$5-$C$5),1+4*($E$5-$D$5)/($E$5-$C$5),$C$5,$E$5)</f>
        <v/>
      </c>
      <c r="N879" s="14">
        <f>IF($AB879&lt;($D$6-$C$6)/($E$6-$C$6),$C$6+SQRT($AB879*($E$6-$C$6)*($D$6-$C$6)),$E$6-SQRT((1-$AB879)*($E$6-$C$6)*($E$6-$D$6)))</f>
        <v/>
      </c>
      <c r="O879" s="14">
        <f>_xlfn.NORM.INV($AC879,$C$7,$D$7)</f>
        <v/>
      </c>
      <c r="P879" s="14">
        <f>$C$8+($D$8-$C$8)*$AD879</f>
        <v/>
      </c>
      <c r="Q879" s="14">
        <f>$C$9</f>
        <v/>
      </c>
      <c r="R879" s="14">
        <f>_xlfn.LOGNORM.INV($AF879,LN($C$10)-0.5*LN(1+($D$10/$C$10)^2),SQRT(LN(1+($D$10/$C$10)^2)))</f>
        <v/>
      </c>
      <c r="S879" s="14">
        <f>SUM(M879:R879)</f>
        <v/>
      </c>
      <c r="AA879">
        <f>RAND()</f>
        <v/>
      </c>
      <c r="AB879">
        <f>RAND()</f>
        <v/>
      </c>
      <c r="AC879">
        <f>RAND()</f>
        <v/>
      </c>
      <c r="AD879">
        <f>RAND()</f>
        <v/>
      </c>
      <c r="AE879">
        <f>RAND()</f>
        <v/>
      </c>
      <c r="AF879">
        <f>RAND()</f>
        <v/>
      </c>
    </row>
    <row r="880">
      <c r="M880" s="14">
        <f>_xlfn.BETA.INV($AA880,1+4*($D$5-$C$5)/($E$5-$C$5),1+4*($E$5-$D$5)/($E$5-$C$5),$C$5,$E$5)</f>
        <v/>
      </c>
      <c r="N880" s="14">
        <f>IF($AB880&lt;($D$6-$C$6)/($E$6-$C$6),$C$6+SQRT($AB880*($E$6-$C$6)*($D$6-$C$6)),$E$6-SQRT((1-$AB880)*($E$6-$C$6)*($E$6-$D$6)))</f>
        <v/>
      </c>
      <c r="O880" s="14">
        <f>_xlfn.NORM.INV($AC880,$C$7,$D$7)</f>
        <v/>
      </c>
      <c r="P880" s="14">
        <f>$C$8+($D$8-$C$8)*$AD880</f>
        <v/>
      </c>
      <c r="Q880" s="14">
        <f>$C$9</f>
        <v/>
      </c>
      <c r="R880" s="14">
        <f>_xlfn.LOGNORM.INV($AF880,LN($C$10)-0.5*LN(1+($D$10/$C$10)^2),SQRT(LN(1+($D$10/$C$10)^2)))</f>
        <v/>
      </c>
      <c r="S880" s="14">
        <f>SUM(M880:R880)</f>
        <v/>
      </c>
      <c r="AA880">
        <f>RAND()</f>
        <v/>
      </c>
      <c r="AB880">
        <f>RAND()</f>
        <v/>
      </c>
      <c r="AC880">
        <f>RAND()</f>
        <v/>
      </c>
      <c r="AD880">
        <f>RAND()</f>
        <v/>
      </c>
      <c r="AE880">
        <f>RAND()</f>
        <v/>
      </c>
      <c r="AF880">
        <f>RAND()</f>
        <v/>
      </c>
    </row>
    <row r="881">
      <c r="M881" s="14">
        <f>_xlfn.BETA.INV($AA881,1+4*($D$5-$C$5)/($E$5-$C$5),1+4*($E$5-$D$5)/($E$5-$C$5),$C$5,$E$5)</f>
        <v/>
      </c>
      <c r="N881" s="14">
        <f>IF($AB881&lt;($D$6-$C$6)/($E$6-$C$6),$C$6+SQRT($AB881*($E$6-$C$6)*($D$6-$C$6)),$E$6-SQRT((1-$AB881)*($E$6-$C$6)*($E$6-$D$6)))</f>
        <v/>
      </c>
      <c r="O881" s="14">
        <f>_xlfn.NORM.INV($AC881,$C$7,$D$7)</f>
        <v/>
      </c>
      <c r="P881" s="14">
        <f>$C$8+($D$8-$C$8)*$AD881</f>
        <v/>
      </c>
      <c r="Q881" s="14">
        <f>$C$9</f>
        <v/>
      </c>
      <c r="R881" s="14">
        <f>_xlfn.LOGNORM.INV($AF881,LN($C$10)-0.5*LN(1+($D$10/$C$10)^2),SQRT(LN(1+($D$10/$C$10)^2)))</f>
        <v/>
      </c>
      <c r="S881" s="14">
        <f>SUM(M881:R881)</f>
        <v/>
      </c>
      <c r="AA881">
        <f>RAND()</f>
        <v/>
      </c>
      <c r="AB881">
        <f>RAND()</f>
        <v/>
      </c>
      <c r="AC881">
        <f>RAND()</f>
        <v/>
      </c>
      <c r="AD881">
        <f>RAND()</f>
        <v/>
      </c>
      <c r="AE881">
        <f>RAND()</f>
        <v/>
      </c>
      <c r="AF881">
        <f>RAND()</f>
        <v/>
      </c>
    </row>
    <row r="882">
      <c r="M882" s="14">
        <f>_xlfn.BETA.INV($AA882,1+4*($D$5-$C$5)/($E$5-$C$5),1+4*($E$5-$D$5)/($E$5-$C$5),$C$5,$E$5)</f>
        <v/>
      </c>
      <c r="N882" s="14">
        <f>IF($AB882&lt;($D$6-$C$6)/($E$6-$C$6),$C$6+SQRT($AB882*($E$6-$C$6)*($D$6-$C$6)),$E$6-SQRT((1-$AB882)*($E$6-$C$6)*($E$6-$D$6)))</f>
        <v/>
      </c>
      <c r="O882" s="14">
        <f>_xlfn.NORM.INV($AC882,$C$7,$D$7)</f>
        <v/>
      </c>
      <c r="P882" s="14">
        <f>$C$8+($D$8-$C$8)*$AD882</f>
        <v/>
      </c>
      <c r="Q882" s="14">
        <f>$C$9</f>
        <v/>
      </c>
      <c r="R882" s="14">
        <f>_xlfn.LOGNORM.INV($AF882,LN($C$10)-0.5*LN(1+($D$10/$C$10)^2),SQRT(LN(1+($D$10/$C$10)^2)))</f>
        <v/>
      </c>
      <c r="S882" s="14">
        <f>SUM(M882:R882)</f>
        <v/>
      </c>
      <c r="AA882">
        <f>RAND()</f>
        <v/>
      </c>
      <c r="AB882">
        <f>RAND()</f>
        <v/>
      </c>
      <c r="AC882">
        <f>RAND()</f>
        <v/>
      </c>
      <c r="AD882">
        <f>RAND()</f>
        <v/>
      </c>
      <c r="AE882">
        <f>RAND()</f>
        <v/>
      </c>
      <c r="AF882">
        <f>RAND()</f>
        <v/>
      </c>
    </row>
    <row r="883">
      <c r="M883" s="14">
        <f>_xlfn.BETA.INV($AA883,1+4*($D$5-$C$5)/($E$5-$C$5),1+4*($E$5-$D$5)/($E$5-$C$5),$C$5,$E$5)</f>
        <v/>
      </c>
      <c r="N883" s="14">
        <f>IF($AB883&lt;($D$6-$C$6)/($E$6-$C$6),$C$6+SQRT($AB883*($E$6-$C$6)*($D$6-$C$6)),$E$6-SQRT((1-$AB883)*($E$6-$C$6)*($E$6-$D$6)))</f>
        <v/>
      </c>
      <c r="O883" s="14">
        <f>_xlfn.NORM.INV($AC883,$C$7,$D$7)</f>
        <v/>
      </c>
      <c r="P883" s="14">
        <f>$C$8+($D$8-$C$8)*$AD883</f>
        <v/>
      </c>
      <c r="Q883" s="14">
        <f>$C$9</f>
        <v/>
      </c>
      <c r="R883" s="14">
        <f>_xlfn.LOGNORM.INV($AF883,LN($C$10)-0.5*LN(1+($D$10/$C$10)^2),SQRT(LN(1+($D$10/$C$10)^2)))</f>
        <v/>
      </c>
      <c r="S883" s="14">
        <f>SUM(M883:R883)</f>
        <v/>
      </c>
      <c r="AA883">
        <f>RAND()</f>
        <v/>
      </c>
      <c r="AB883">
        <f>RAND()</f>
        <v/>
      </c>
      <c r="AC883">
        <f>RAND()</f>
        <v/>
      </c>
      <c r="AD883">
        <f>RAND()</f>
        <v/>
      </c>
      <c r="AE883">
        <f>RAND()</f>
        <v/>
      </c>
      <c r="AF883">
        <f>RAND()</f>
        <v/>
      </c>
    </row>
    <row r="884">
      <c r="M884" s="14">
        <f>_xlfn.BETA.INV($AA884,1+4*($D$5-$C$5)/($E$5-$C$5),1+4*($E$5-$D$5)/($E$5-$C$5),$C$5,$E$5)</f>
        <v/>
      </c>
      <c r="N884" s="14">
        <f>IF($AB884&lt;($D$6-$C$6)/($E$6-$C$6),$C$6+SQRT($AB884*($E$6-$C$6)*($D$6-$C$6)),$E$6-SQRT((1-$AB884)*($E$6-$C$6)*($E$6-$D$6)))</f>
        <v/>
      </c>
      <c r="O884" s="14">
        <f>_xlfn.NORM.INV($AC884,$C$7,$D$7)</f>
        <v/>
      </c>
      <c r="P884" s="14">
        <f>$C$8+($D$8-$C$8)*$AD884</f>
        <v/>
      </c>
      <c r="Q884" s="14">
        <f>$C$9</f>
        <v/>
      </c>
      <c r="R884" s="14">
        <f>_xlfn.LOGNORM.INV($AF884,LN($C$10)-0.5*LN(1+($D$10/$C$10)^2),SQRT(LN(1+($D$10/$C$10)^2)))</f>
        <v/>
      </c>
      <c r="S884" s="14">
        <f>SUM(M884:R884)</f>
        <v/>
      </c>
      <c r="AA884">
        <f>RAND()</f>
        <v/>
      </c>
      <c r="AB884">
        <f>RAND()</f>
        <v/>
      </c>
      <c r="AC884">
        <f>RAND()</f>
        <v/>
      </c>
      <c r="AD884">
        <f>RAND()</f>
        <v/>
      </c>
      <c r="AE884">
        <f>RAND()</f>
        <v/>
      </c>
      <c r="AF884">
        <f>RAND()</f>
        <v/>
      </c>
    </row>
    <row r="885">
      <c r="M885" s="14">
        <f>_xlfn.BETA.INV($AA885,1+4*($D$5-$C$5)/($E$5-$C$5),1+4*($E$5-$D$5)/($E$5-$C$5),$C$5,$E$5)</f>
        <v/>
      </c>
      <c r="N885" s="14">
        <f>IF($AB885&lt;($D$6-$C$6)/($E$6-$C$6),$C$6+SQRT($AB885*($E$6-$C$6)*($D$6-$C$6)),$E$6-SQRT((1-$AB885)*($E$6-$C$6)*($E$6-$D$6)))</f>
        <v/>
      </c>
      <c r="O885" s="14">
        <f>_xlfn.NORM.INV($AC885,$C$7,$D$7)</f>
        <v/>
      </c>
      <c r="P885" s="14">
        <f>$C$8+($D$8-$C$8)*$AD885</f>
        <v/>
      </c>
      <c r="Q885" s="14">
        <f>$C$9</f>
        <v/>
      </c>
      <c r="R885" s="14">
        <f>_xlfn.LOGNORM.INV($AF885,LN($C$10)-0.5*LN(1+($D$10/$C$10)^2),SQRT(LN(1+($D$10/$C$10)^2)))</f>
        <v/>
      </c>
      <c r="S885" s="14">
        <f>SUM(M885:R885)</f>
        <v/>
      </c>
      <c r="AA885">
        <f>RAND()</f>
        <v/>
      </c>
      <c r="AB885">
        <f>RAND()</f>
        <v/>
      </c>
      <c r="AC885">
        <f>RAND()</f>
        <v/>
      </c>
      <c r="AD885">
        <f>RAND()</f>
        <v/>
      </c>
      <c r="AE885">
        <f>RAND()</f>
        <v/>
      </c>
      <c r="AF885">
        <f>RAND()</f>
        <v/>
      </c>
    </row>
    <row r="886">
      <c r="M886" s="14">
        <f>_xlfn.BETA.INV($AA886,1+4*($D$5-$C$5)/($E$5-$C$5),1+4*($E$5-$D$5)/($E$5-$C$5),$C$5,$E$5)</f>
        <v/>
      </c>
      <c r="N886" s="14">
        <f>IF($AB886&lt;($D$6-$C$6)/($E$6-$C$6),$C$6+SQRT($AB886*($E$6-$C$6)*($D$6-$C$6)),$E$6-SQRT((1-$AB886)*($E$6-$C$6)*($E$6-$D$6)))</f>
        <v/>
      </c>
      <c r="O886" s="14">
        <f>_xlfn.NORM.INV($AC886,$C$7,$D$7)</f>
        <v/>
      </c>
      <c r="P886" s="14">
        <f>$C$8+($D$8-$C$8)*$AD886</f>
        <v/>
      </c>
      <c r="Q886" s="14">
        <f>$C$9</f>
        <v/>
      </c>
      <c r="R886" s="14">
        <f>_xlfn.LOGNORM.INV($AF886,LN($C$10)-0.5*LN(1+($D$10/$C$10)^2),SQRT(LN(1+($D$10/$C$10)^2)))</f>
        <v/>
      </c>
      <c r="S886" s="14">
        <f>SUM(M886:R886)</f>
        <v/>
      </c>
      <c r="AA886">
        <f>RAND()</f>
        <v/>
      </c>
      <c r="AB886">
        <f>RAND()</f>
        <v/>
      </c>
      <c r="AC886">
        <f>RAND()</f>
        <v/>
      </c>
      <c r="AD886">
        <f>RAND()</f>
        <v/>
      </c>
      <c r="AE886">
        <f>RAND()</f>
        <v/>
      </c>
      <c r="AF886">
        <f>RAND()</f>
        <v/>
      </c>
    </row>
    <row r="887">
      <c r="M887" s="14">
        <f>_xlfn.BETA.INV($AA887,1+4*($D$5-$C$5)/($E$5-$C$5),1+4*($E$5-$D$5)/($E$5-$C$5),$C$5,$E$5)</f>
        <v/>
      </c>
      <c r="N887" s="14">
        <f>IF($AB887&lt;($D$6-$C$6)/($E$6-$C$6),$C$6+SQRT($AB887*($E$6-$C$6)*($D$6-$C$6)),$E$6-SQRT((1-$AB887)*($E$6-$C$6)*($E$6-$D$6)))</f>
        <v/>
      </c>
      <c r="O887" s="14">
        <f>_xlfn.NORM.INV($AC887,$C$7,$D$7)</f>
        <v/>
      </c>
      <c r="P887" s="14">
        <f>$C$8+($D$8-$C$8)*$AD887</f>
        <v/>
      </c>
      <c r="Q887" s="14">
        <f>$C$9</f>
        <v/>
      </c>
      <c r="R887" s="14">
        <f>_xlfn.LOGNORM.INV($AF887,LN($C$10)-0.5*LN(1+($D$10/$C$10)^2),SQRT(LN(1+($D$10/$C$10)^2)))</f>
        <v/>
      </c>
      <c r="S887" s="14">
        <f>SUM(M887:R887)</f>
        <v/>
      </c>
      <c r="AA887">
        <f>RAND()</f>
        <v/>
      </c>
      <c r="AB887">
        <f>RAND()</f>
        <v/>
      </c>
      <c r="AC887">
        <f>RAND()</f>
        <v/>
      </c>
      <c r="AD887">
        <f>RAND()</f>
        <v/>
      </c>
      <c r="AE887">
        <f>RAND()</f>
        <v/>
      </c>
      <c r="AF887">
        <f>RAND()</f>
        <v/>
      </c>
    </row>
    <row r="888">
      <c r="M888" s="14">
        <f>_xlfn.BETA.INV($AA888,1+4*($D$5-$C$5)/($E$5-$C$5),1+4*($E$5-$D$5)/($E$5-$C$5),$C$5,$E$5)</f>
        <v/>
      </c>
      <c r="N888" s="14">
        <f>IF($AB888&lt;($D$6-$C$6)/($E$6-$C$6),$C$6+SQRT($AB888*($E$6-$C$6)*($D$6-$C$6)),$E$6-SQRT((1-$AB888)*($E$6-$C$6)*($E$6-$D$6)))</f>
        <v/>
      </c>
      <c r="O888" s="14">
        <f>_xlfn.NORM.INV($AC888,$C$7,$D$7)</f>
        <v/>
      </c>
      <c r="P888" s="14">
        <f>$C$8+($D$8-$C$8)*$AD888</f>
        <v/>
      </c>
      <c r="Q888" s="14">
        <f>$C$9</f>
        <v/>
      </c>
      <c r="R888" s="14">
        <f>_xlfn.LOGNORM.INV($AF888,LN($C$10)-0.5*LN(1+($D$10/$C$10)^2),SQRT(LN(1+($D$10/$C$10)^2)))</f>
        <v/>
      </c>
      <c r="S888" s="14">
        <f>SUM(M888:R888)</f>
        <v/>
      </c>
      <c r="AA888">
        <f>RAND()</f>
        <v/>
      </c>
      <c r="AB888">
        <f>RAND()</f>
        <v/>
      </c>
      <c r="AC888">
        <f>RAND()</f>
        <v/>
      </c>
      <c r="AD888">
        <f>RAND()</f>
        <v/>
      </c>
      <c r="AE888">
        <f>RAND()</f>
        <v/>
      </c>
      <c r="AF888">
        <f>RAND()</f>
        <v/>
      </c>
    </row>
    <row r="889">
      <c r="M889" s="14">
        <f>_xlfn.BETA.INV($AA889,1+4*($D$5-$C$5)/($E$5-$C$5),1+4*($E$5-$D$5)/($E$5-$C$5),$C$5,$E$5)</f>
        <v/>
      </c>
      <c r="N889" s="14">
        <f>IF($AB889&lt;($D$6-$C$6)/($E$6-$C$6),$C$6+SQRT($AB889*($E$6-$C$6)*($D$6-$C$6)),$E$6-SQRT((1-$AB889)*($E$6-$C$6)*($E$6-$D$6)))</f>
        <v/>
      </c>
      <c r="O889" s="14">
        <f>_xlfn.NORM.INV($AC889,$C$7,$D$7)</f>
        <v/>
      </c>
      <c r="P889" s="14">
        <f>$C$8+($D$8-$C$8)*$AD889</f>
        <v/>
      </c>
      <c r="Q889" s="14">
        <f>$C$9</f>
        <v/>
      </c>
      <c r="R889" s="14">
        <f>_xlfn.LOGNORM.INV($AF889,LN($C$10)-0.5*LN(1+($D$10/$C$10)^2),SQRT(LN(1+($D$10/$C$10)^2)))</f>
        <v/>
      </c>
      <c r="S889" s="14">
        <f>SUM(M889:R889)</f>
        <v/>
      </c>
      <c r="AA889">
        <f>RAND()</f>
        <v/>
      </c>
      <c r="AB889">
        <f>RAND()</f>
        <v/>
      </c>
      <c r="AC889">
        <f>RAND()</f>
        <v/>
      </c>
      <c r="AD889">
        <f>RAND()</f>
        <v/>
      </c>
      <c r="AE889">
        <f>RAND()</f>
        <v/>
      </c>
      <c r="AF889">
        <f>RAND()</f>
        <v/>
      </c>
    </row>
    <row r="890">
      <c r="M890" s="14">
        <f>_xlfn.BETA.INV($AA890,1+4*($D$5-$C$5)/($E$5-$C$5),1+4*($E$5-$D$5)/($E$5-$C$5),$C$5,$E$5)</f>
        <v/>
      </c>
      <c r="N890" s="14">
        <f>IF($AB890&lt;($D$6-$C$6)/($E$6-$C$6),$C$6+SQRT($AB890*($E$6-$C$6)*($D$6-$C$6)),$E$6-SQRT((1-$AB890)*($E$6-$C$6)*($E$6-$D$6)))</f>
        <v/>
      </c>
      <c r="O890" s="14">
        <f>_xlfn.NORM.INV($AC890,$C$7,$D$7)</f>
        <v/>
      </c>
      <c r="P890" s="14">
        <f>$C$8+($D$8-$C$8)*$AD890</f>
        <v/>
      </c>
      <c r="Q890" s="14">
        <f>$C$9</f>
        <v/>
      </c>
      <c r="R890" s="14">
        <f>_xlfn.LOGNORM.INV($AF890,LN($C$10)-0.5*LN(1+($D$10/$C$10)^2),SQRT(LN(1+($D$10/$C$10)^2)))</f>
        <v/>
      </c>
      <c r="S890" s="14">
        <f>SUM(M890:R890)</f>
        <v/>
      </c>
      <c r="AA890">
        <f>RAND()</f>
        <v/>
      </c>
      <c r="AB890">
        <f>RAND()</f>
        <v/>
      </c>
      <c r="AC890">
        <f>RAND()</f>
        <v/>
      </c>
      <c r="AD890">
        <f>RAND()</f>
        <v/>
      </c>
      <c r="AE890">
        <f>RAND()</f>
        <v/>
      </c>
      <c r="AF890">
        <f>RAND()</f>
        <v/>
      </c>
    </row>
    <row r="891">
      <c r="M891" s="14">
        <f>_xlfn.BETA.INV($AA891,1+4*($D$5-$C$5)/($E$5-$C$5),1+4*($E$5-$D$5)/($E$5-$C$5),$C$5,$E$5)</f>
        <v/>
      </c>
      <c r="N891" s="14">
        <f>IF($AB891&lt;($D$6-$C$6)/($E$6-$C$6),$C$6+SQRT($AB891*($E$6-$C$6)*($D$6-$C$6)),$E$6-SQRT((1-$AB891)*($E$6-$C$6)*($E$6-$D$6)))</f>
        <v/>
      </c>
      <c r="O891" s="14">
        <f>_xlfn.NORM.INV($AC891,$C$7,$D$7)</f>
        <v/>
      </c>
      <c r="P891" s="14">
        <f>$C$8+($D$8-$C$8)*$AD891</f>
        <v/>
      </c>
      <c r="Q891" s="14">
        <f>$C$9</f>
        <v/>
      </c>
      <c r="R891" s="14">
        <f>_xlfn.LOGNORM.INV($AF891,LN($C$10)-0.5*LN(1+($D$10/$C$10)^2),SQRT(LN(1+($D$10/$C$10)^2)))</f>
        <v/>
      </c>
      <c r="S891" s="14">
        <f>SUM(M891:R891)</f>
        <v/>
      </c>
      <c r="AA891">
        <f>RAND()</f>
        <v/>
      </c>
      <c r="AB891">
        <f>RAND()</f>
        <v/>
      </c>
      <c r="AC891">
        <f>RAND()</f>
        <v/>
      </c>
      <c r="AD891">
        <f>RAND()</f>
        <v/>
      </c>
      <c r="AE891">
        <f>RAND()</f>
        <v/>
      </c>
      <c r="AF891">
        <f>RAND()</f>
        <v/>
      </c>
    </row>
    <row r="892">
      <c r="M892" s="14">
        <f>_xlfn.BETA.INV($AA892,1+4*($D$5-$C$5)/($E$5-$C$5),1+4*($E$5-$D$5)/($E$5-$C$5),$C$5,$E$5)</f>
        <v/>
      </c>
      <c r="N892" s="14">
        <f>IF($AB892&lt;($D$6-$C$6)/($E$6-$C$6),$C$6+SQRT($AB892*($E$6-$C$6)*($D$6-$C$6)),$E$6-SQRT((1-$AB892)*($E$6-$C$6)*($E$6-$D$6)))</f>
        <v/>
      </c>
      <c r="O892" s="14">
        <f>_xlfn.NORM.INV($AC892,$C$7,$D$7)</f>
        <v/>
      </c>
      <c r="P892" s="14">
        <f>$C$8+($D$8-$C$8)*$AD892</f>
        <v/>
      </c>
      <c r="Q892" s="14">
        <f>$C$9</f>
        <v/>
      </c>
      <c r="R892" s="14">
        <f>_xlfn.LOGNORM.INV($AF892,LN($C$10)-0.5*LN(1+($D$10/$C$10)^2),SQRT(LN(1+($D$10/$C$10)^2)))</f>
        <v/>
      </c>
      <c r="S892" s="14">
        <f>SUM(M892:R892)</f>
        <v/>
      </c>
      <c r="AA892">
        <f>RAND()</f>
        <v/>
      </c>
      <c r="AB892">
        <f>RAND()</f>
        <v/>
      </c>
      <c r="AC892">
        <f>RAND()</f>
        <v/>
      </c>
      <c r="AD892">
        <f>RAND()</f>
        <v/>
      </c>
      <c r="AE892">
        <f>RAND()</f>
        <v/>
      </c>
      <c r="AF892">
        <f>RAND()</f>
        <v/>
      </c>
    </row>
    <row r="893">
      <c r="M893" s="14">
        <f>_xlfn.BETA.INV($AA893,1+4*($D$5-$C$5)/($E$5-$C$5),1+4*($E$5-$D$5)/($E$5-$C$5),$C$5,$E$5)</f>
        <v/>
      </c>
      <c r="N893" s="14">
        <f>IF($AB893&lt;($D$6-$C$6)/($E$6-$C$6),$C$6+SQRT($AB893*($E$6-$C$6)*($D$6-$C$6)),$E$6-SQRT((1-$AB893)*($E$6-$C$6)*($E$6-$D$6)))</f>
        <v/>
      </c>
      <c r="O893" s="14">
        <f>_xlfn.NORM.INV($AC893,$C$7,$D$7)</f>
        <v/>
      </c>
      <c r="P893" s="14">
        <f>$C$8+($D$8-$C$8)*$AD893</f>
        <v/>
      </c>
      <c r="Q893" s="14">
        <f>$C$9</f>
        <v/>
      </c>
      <c r="R893" s="14">
        <f>_xlfn.LOGNORM.INV($AF893,LN($C$10)-0.5*LN(1+($D$10/$C$10)^2),SQRT(LN(1+($D$10/$C$10)^2)))</f>
        <v/>
      </c>
      <c r="S893" s="14">
        <f>SUM(M893:R893)</f>
        <v/>
      </c>
      <c r="AA893">
        <f>RAND()</f>
        <v/>
      </c>
      <c r="AB893">
        <f>RAND()</f>
        <v/>
      </c>
      <c r="AC893">
        <f>RAND()</f>
        <v/>
      </c>
      <c r="AD893">
        <f>RAND()</f>
        <v/>
      </c>
      <c r="AE893">
        <f>RAND()</f>
        <v/>
      </c>
      <c r="AF893">
        <f>RAND()</f>
        <v/>
      </c>
    </row>
    <row r="894">
      <c r="M894" s="14">
        <f>_xlfn.BETA.INV($AA894,1+4*($D$5-$C$5)/($E$5-$C$5),1+4*($E$5-$D$5)/($E$5-$C$5),$C$5,$E$5)</f>
        <v/>
      </c>
      <c r="N894" s="14">
        <f>IF($AB894&lt;($D$6-$C$6)/($E$6-$C$6),$C$6+SQRT($AB894*($E$6-$C$6)*($D$6-$C$6)),$E$6-SQRT((1-$AB894)*($E$6-$C$6)*($E$6-$D$6)))</f>
        <v/>
      </c>
      <c r="O894" s="14">
        <f>_xlfn.NORM.INV($AC894,$C$7,$D$7)</f>
        <v/>
      </c>
      <c r="P894" s="14">
        <f>$C$8+($D$8-$C$8)*$AD894</f>
        <v/>
      </c>
      <c r="Q894" s="14">
        <f>$C$9</f>
        <v/>
      </c>
      <c r="R894" s="14">
        <f>_xlfn.LOGNORM.INV($AF894,LN($C$10)-0.5*LN(1+($D$10/$C$10)^2),SQRT(LN(1+($D$10/$C$10)^2)))</f>
        <v/>
      </c>
      <c r="S894" s="14">
        <f>SUM(M894:R894)</f>
        <v/>
      </c>
      <c r="AA894">
        <f>RAND()</f>
        <v/>
      </c>
      <c r="AB894">
        <f>RAND()</f>
        <v/>
      </c>
      <c r="AC894">
        <f>RAND()</f>
        <v/>
      </c>
      <c r="AD894">
        <f>RAND()</f>
        <v/>
      </c>
      <c r="AE894">
        <f>RAND()</f>
        <v/>
      </c>
      <c r="AF894">
        <f>RAND()</f>
        <v/>
      </c>
    </row>
    <row r="895">
      <c r="M895" s="14">
        <f>_xlfn.BETA.INV($AA895,1+4*($D$5-$C$5)/($E$5-$C$5),1+4*($E$5-$D$5)/($E$5-$C$5),$C$5,$E$5)</f>
        <v/>
      </c>
      <c r="N895" s="14">
        <f>IF($AB895&lt;($D$6-$C$6)/($E$6-$C$6),$C$6+SQRT($AB895*($E$6-$C$6)*($D$6-$C$6)),$E$6-SQRT((1-$AB895)*($E$6-$C$6)*($E$6-$D$6)))</f>
        <v/>
      </c>
      <c r="O895" s="14">
        <f>_xlfn.NORM.INV($AC895,$C$7,$D$7)</f>
        <v/>
      </c>
      <c r="P895" s="14">
        <f>$C$8+($D$8-$C$8)*$AD895</f>
        <v/>
      </c>
      <c r="Q895" s="14">
        <f>$C$9</f>
        <v/>
      </c>
      <c r="R895" s="14">
        <f>_xlfn.LOGNORM.INV($AF895,LN($C$10)-0.5*LN(1+($D$10/$C$10)^2),SQRT(LN(1+($D$10/$C$10)^2)))</f>
        <v/>
      </c>
      <c r="S895" s="14">
        <f>SUM(M895:R895)</f>
        <v/>
      </c>
      <c r="AA895">
        <f>RAND()</f>
        <v/>
      </c>
      <c r="AB895">
        <f>RAND()</f>
        <v/>
      </c>
      <c r="AC895">
        <f>RAND()</f>
        <v/>
      </c>
      <c r="AD895">
        <f>RAND()</f>
        <v/>
      </c>
      <c r="AE895">
        <f>RAND()</f>
        <v/>
      </c>
      <c r="AF895">
        <f>RAND()</f>
        <v/>
      </c>
    </row>
    <row r="896">
      <c r="M896" s="14">
        <f>_xlfn.BETA.INV($AA896,1+4*($D$5-$C$5)/($E$5-$C$5),1+4*($E$5-$D$5)/($E$5-$C$5),$C$5,$E$5)</f>
        <v/>
      </c>
      <c r="N896" s="14">
        <f>IF($AB896&lt;($D$6-$C$6)/($E$6-$C$6),$C$6+SQRT($AB896*($E$6-$C$6)*($D$6-$C$6)),$E$6-SQRT((1-$AB896)*($E$6-$C$6)*($E$6-$D$6)))</f>
        <v/>
      </c>
      <c r="O896" s="14">
        <f>_xlfn.NORM.INV($AC896,$C$7,$D$7)</f>
        <v/>
      </c>
      <c r="P896" s="14">
        <f>$C$8+($D$8-$C$8)*$AD896</f>
        <v/>
      </c>
      <c r="Q896" s="14">
        <f>$C$9</f>
        <v/>
      </c>
      <c r="R896" s="14">
        <f>_xlfn.LOGNORM.INV($AF896,LN($C$10)-0.5*LN(1+($D$10/$C$10)^2),SQRT(LN(1+($D$10/$C$10)^2)))</f>
        <v/>
      </c>
      <c r="S896" s="14">
        <f>SUM(M896:R896)</f>
        <v/>
      </c>
      <c r="AA896">
        <f>RAND()</f>
        <v/>
      </c>
      <c r="AB896">
        <f>RAND()</f>
        <v/>
      </c>
      <c r="AC896">
        <f>RAND()</f>
        <v/>
      </c>
      <c r="AD896">
        <f>RAND()</f>
        <v/>
      </c>
      <c r="AE896">
        <f>RAND()</f>
        <v/>
      </c>
      <c r="AF896">
        <f>RAND()</f>
        <v/>
      </c>
    </row>
    <row r="897">
      <c r="M897" s="14">
        <f>_xlfn.BETA.INV($AA897,1+4*($D$5-$C$5)/($E$5-$C$5),1+4*($E$5-$D$5)/($E$5-$C$5),$C$5,$E$5)</f>
        <v/>
      </c>
      <c r="N897" s="14">
        <f>IF($AB897&lt;($D$6-$C$6)/($E$6-$C$6),$C$6+SQRT($AB897*($E$6-$C$6)*($D$6-$C$6)),$E$6-SQRT((1-$AB897)*($E$6-$C$6)*($E$6-$D$6)))</f>
        <v/>
      </c>
      <c r="O897" s="14">
        <f>_xlfn.NORM.INV($AC897,$C$7,$D$7)</f>
        <v/>
      </c>
      <c r="P897" s="14">
        <f>$C$8+($D$8-$C$8)*$AD897</f>
        <v/>
      </c>
      <c r="Q897" s="14">
        <f>$C$9</f>
        <v/>
      </c>
      <c r="R897" s="14">
        <f>_xlfn.LOGNORM.INV($AF897,LN($C$10)-0.5*LN(1+($D$10/$C$10)^2),SQRT(LN(1+($D$10/$C$10)^2)))</f>
        <v/>
      </c>
      <c r="S897" s="14">
        <f>SUM(M897:R897)</f>
        <v/>
      </c>
      <c r="AA897">
        <f>RAND()</f>
        <v/>
      </c>
      <c r="AB897">
        <f>RAND()</f>
        <v/>
      </c>
      <c r="AC897">
        <f>RAND()</f>
        <v/>
      </c>
      <c r="AD897">
        <f>RAND()</f>
        <v/>
      </c>
      <c r="AE897">
        <f>RAND()</f>
        <v/>
      </c>
      <c r="AF897">
        <f>RAND()</f>
        <v/>
      </c>
    </row>
    <row r="898">
      <c r="M898" s="14">
        <f>_xlfn.BETA.INV($AA898,1+4*($D$5-$C$5)/($E$5-$C$5),1+4*($E$5-$D$5)/($E$5-$C$5),$C$5,$E$5)</f>
        <v/>
      </c>
      <c r="N898" s="14">
        <f>IF($AB898&lt;($D$6-$C$6)/($E$6-$C$6),$C$6+SQRT($AB898*($E$6-$C$6)*($D$6-$C$6)),$E$6-SQRT((1-$AB898)*($E$6-$C$6)*($E$6-$D$6)))</f>
        <v/>
      </c>
      <c r="O898" s="14">
        <f>_xlfn.NORM.INV($AC898,$C$7,$D$7)</f>
        <v/>
      </c>
      <c r="P898" s="14">
        <f>$C$8+($D$8-$C$8)*$AD898</f>
        <v/>
      </c>
      <c r="Q898" s="14">
        <f>$C$9</f>
        <v/>
      </c>
      <c r="R898" s="14">
        <f>_xlfn.LOGNORM.INV($AF898,LN($C$10)-0.5*LN(1+($D$10/$C$10)^2),SQRT(LN(1+($D$10/$C$10)^2)))</f>
        <v/>
      </c>
      <c r="S898" s="14">
        <f>SUM(M898:R898)</f>
        <v/>
      </c>
      <c r="AA898">
        <f>RAND()</f>
        <v/>
      </c>
      <c r="AB898">
        <f>RAND()</f>
        <v/>
      </c>
      <c r="AC898">
        <f>RAND()</f>
        <v/>
      </c>
      <c r="AD898">
        <f>RAND()</f>
        <v/>
      </c>
      <c r="AE898">
        <f>RAND()</f>
        <v/>
      </c>
      <c r="AF898">
        <f>RAND()</f>
        <v/>
      </c>
    </row>
    <row r="899">
      <c r="M899" s="14">
        <f>_xlfn.BETA.INV($AA899,1+4*($D$5-$C$5)/($E$5-$C$5),1+4*($E$5-$D$5)/($E$5-$C$5),$C$5,$E$5)</f>
        <v/>
      </c>
      <c r="N899" s="14">
        <f>IF($AB899&lt;($D$6-$C$6)/($E$6-$C$6),$C$6+SQRT($AB899*($E$6-$C$6)*($D$6-$C$6)),$E$6-SQRT((1-$AB899)*($E$6-$C$6)*($E$6-$D$6)))</f>
        <v/>
      </c>
      <c r="O899" s="14">
        <f>_xlfn.NORM.INV($AC899,$C$7,$D$7)</f>
        <v/>
      </c>
      <c r="P899" s="14">
        <f>$C$8+($D$8-$C$8)*$AD899</f>
        <v/>
      </c>
      <c r="Q899" s="14">
        <f>$C$9</f>
        <v/>
      </c>
      <c r="R899" s="14">
        <f>_xlfn.LOGNORM.INV($AF899,LN($C$10)-0.5*LN(1+($D$10/$C$10)^2),SQRT(LN(1+($D$10/$C$10)^2)))</f>
        <v/>
      </c>
      <c r="S899" s="14">
        <f>SUM(M899:R899)</f>
        <v/>
      </c>
      <c r="AA899">
        <f>RAND()</f>
        <v/>
      </c>
      <c r="AB899">
        <f>RAND()</f>
        <v/>
      </c>
      <c r="AC899">
        <f>RAND()</f>
        <v/>
      </c>
      <c r="AD899">
        <f>RAND()</f>
        <v/>
      </c>
      <c r="AE899">
        <f>RAND()</f>
        <v/>
      </c>
      <c r="AF899">
        <f>RAND()</f>
        <v/>
      </c>
    </row>
    <row r="900">
      <c r="M900" s="14">
        <f>_xlfn.BETA.INV($AA900,1+4*($D$5-$C$5)/($E$5-$C$5),1+4*($E$5-$D$5)/($E$5-$C$5),$C$5,$E$5)</f>
        <v/>
      </c>
      <c r="N900" s="14">
        <f>IF($AB900&lt;($D$6-$C$6)/($E$6-$C$6),$C$6+SQRT($AB900*($E$6-$C$6)*($D$6-$C$6)),$E$6-SQRT((1-$AB900)*($E$6-$C$6)*($E$6-$D$6)))</f>
        <v/>
      </c>
      <c r="O900" s="14">
        <f>_xlfn.NORM.INV($AC900,$C$7,$D$7)</f>
        <v/>
      </c>
      <c r="P900" s="14">
        <f>$C$8+($D$8-$C$8)*$AD900</f>
        <v/>
      </c>
      <c r="Q900" s="14">
        <f>$C$9</f>
        <v/>
      </c>
      <c r="R900" s="14">
        <f>_xlfn.LOGNORM.INV($AF900,LN($C$10)-0.5*LN(1+($D$10/$C$10)^2),SQRT(LN(1+($D$10/$C$10)^2)))</f>
        <v/>
      </c>
      <c r="S900" s="14">
        <f>SUM(M900:R900)</f>
        <v/>
      </c>
      <c r="AA900">
        <f>RAND()</f>
        <v/>
      </c>
      <c r="AB900">
        <f>RAND()</f>
        <v/>
      </c>
      <c r="AC900">
        <f>RAND()</f>
        <v/>
      </c>
      <c r="AD900">
        <f>RAND()</f>
        <v/>
      </c>
      <c r="AE900">
        <f>RAND()</f>
        <v/>
      </c>
      <c r="AF900">
        <f>RAND()</f>
        <v/>
      </c>
    </row>
    <row r="901">
      <c r="M901" s="14">
        <f>_xlfn.BETA.INV($AA901,1+4*($D$5-$C$5)/($E$5-$C$5),1+4*($E$5-$D$5)/($E$5-$C$5),$C$5,$E$5)</f>
        <v/>
      </c>
      <c r="N901" s="14">
        <f>IF($AB901&lt;($D$6-$C$6)/($E$6-$C$6),$C$6+SQRT($AB901*($E$6-$C$6)*($D$6-$C$6)),$E$6-SQRT((1-$AB901)*($E$6-$C$6)*($E$6-$D$6)))</f>
        <v/>
      </c>
      <c r="O901" s="14">
        <f>_xlfn.NORM.INV($AC901,$C$7,$D$7)</f>
        <v/>
      </c>
      <c r="P901" s="14">
        <f>$C$8+($D$8-$C$8)*$AD901</f>
        <v/>
      </c>
      <c r="Q901" s="14">
        <f>$C$9</f>
        <v/>
      </c>
      <c r="R901" s="14">
        <f>_xlfn.LOGNORM.INV($AF901,LN($C$10)-0.5*LN(1+($D$10/$C$10)^2),SQRT(LN(1+($D$10/$C$10)^2)))</f>
        <v/>
      </c>
      <c r="S901" s="14">
        <f>SUM(M901:R901)</f>
        <v/>
      </c>
      <c r="AA901">
        <f>RAND()</f>
        <v/>
      </c>
      <c r="AB901">
        <f>RAND()</f>
        <v/>
      </c>
      <c r="AC901">
        <f>RAND()</f>
        <v/>
      </c>
      <c r="AD901">
        <f>RAND()</f>
        <v/>
      </c>
      <c r="AE901">
        <f>RAND()</f>
        <v/>
      </c>
      <c r="AF901">
        <f>RAND()</f>
        <v/>
      </c>
    </row>
    <row r="902">
      <c r="M902" s="14">
        <f>_xlfn.BETA.INV($AA902,1+4*($D$5-$C$5)/($E$5-$C$5),1+4*($E$5-$D$5)/($E$5-$C$5),$C$5,$E$5)</f>
        <v/>
      </c>
      <c r="N902" s="14">
        <f>IF($AB902&lt;($D$6-$C$6)/($E$6-$C$6),$C$6+SQRT($AB902*($E$6-$C$6)*($D$6-$C$6)),$E$6-SQRT((1-$AB902)*($E$6-$C$6)*($E$6-$D$6)))</f>
        <v/>
      </c>
      <c r="O902" s="14">
        <f>_xlfn.NORM.INV($AC902,$C$7,$D$7)</f>
        <v/>
      </c>
      <c r="P902" s="14">
        <f>$C$8+($D$8-$C$8)*$AD902</f>
        <v/>
      </c>
      <c r="Q902" s="14">
        <f>$C$9</f>
        <v/>
      </c>
      <c r="R902" s="14">
        <f>_xlfn.LOGNORM.INV($AF902,LN($C$10)-0.5*LN(1+($D$10/$C$10)^2),SQRT(LN(1+($D$10/$C$10)^2)))</f>
        <v/>
      </c>
      <c r="S902" s="14">
        <f>SUM(M902:R902)</f>
        <v/>
      </c>
      <c r="AA902">
        <f>RAND()</f>
        <v/>
      </c>
      <c r="AB902">
        <f>RAND()</f>
        <v/>
      </c>
      <c r="AC902">
        <f>RAND()</f>
        <v/>
      </c>
      <c r="AD902">
        <f>RAND()</f>
        <v/>
      </c>
      <c r="AE902">
        <f>RAND()</f>
        <v/>
      </c>
      <c r="AF902">
        <f>RAND()</f>
        <v/>
      </c>
    </row>
    <row r="903">
      <c r="M903" s="14">
        <f>_xlfn.BETA.INV($AA903,1+4*($D$5-$C$5)/($E$5-$C$5),1+4*($E$5-$D$5)/($E$5-$C$5),$C$5,$E$5)</f>
        <v/>
      </c>
      <c r="N903" s="14">
        <f>IF($AB903&lt;($D$6-$C$6)/($E$6-$C$6),$C$6+SQRT($AB903*($E$6-$C$6)*($D$6-$C$6)),$E$6-SQRT((1-$AB903)*($E$6-$C$6)*($E$6-$D$6)))</f>
        <v/>
      </c>
      <c r="O903" s="14">
        <f>_xlfn.NORM.INV($AC903,$C$7,$D$7)</f>
        <v/>
      </c>
      <c r="P903" s="14">
        <f>$C$8+($D$8-$C$8)*$AD903</f>
        <v/>
      </c>
      <c r="Q903" s="14">
        <f>$C$9</f>
        <v/>
      </c>
      <c r="R903" s="14">
        <f>_xlfn.LOGNORM.INV($AF903,LN($C$10)-0.5*LN(1+($D$10/$C$10)^2),SQRT(LN(1+($D$10/$C$10)^2)))</f>
        <v/>
      </c>
      <c r="S903" s="14">
        <f>SUM(M903:R903)</f>
        <v/>
      </c>
      <c r="AA903">
        <f>RAND()</f>
        <v/>
      </c>
      <c r="AB903">
        <f>RAND()</f>
        <v/>
      </c>
      <c r="AC903">
        <f>RAND()</f>
        <v/>
      </c>
      <c r="AD903">
        <f>RAND()</f>
        <v/>
      </c>
      <c r="AE903">
        <f>RAND()</f>
        <v/>
      </c>
      <c r="AF903">
        <f>RAND()</f>
        <v/>
      </c>
    </row>
    <row r="904">
      <c r="M904" s="14">
        <f>_xlfn.BETA.INV($AA904,1+4*($D$5-$C$5)/($E$5-$C$5),1+4*($E$5-$D$5)/($E$5-$C$5),$C$5,$E$5)</f>
        <v/>
      </c>
      <c r="N904" s="14">
        <f>IF($AB904&lt;($D$6-$C$6)/($E$6-$C$6),$C$6+SQRT($AB904*($E$6-$C$6)*($D$6-$C$6)),$E$6-SQRT((1-$AB904)*($E$6-$C$6)*($E$6-$D$6)))</f>
        <v/>
      </c>
      <c r="O904" s="14">
        <f>_xlfn.NORM.INV($AC904,$C$7,$D$7)</f>
        <v/>
      </c>
      <c r="P904" s="14">
        <f>$C$8+($D$8-$C$8)*$AD904</f>
        <v/>
      </c>
      <c r="Q904" s="14">
        <f>$C$9</f>
        <v/>
      </c>
      <c r="R904" s="14">
        <f>_xlfn.LOGNORM.INV($AF904,LN($C$10)-0.5*LN(1+($D$10/$C$10)^2),SQRT(LN(1+($D$10/$C$10)^2)))</f>
        <v/>
      </c>
      <c r="S904" s="14">
        <f>SUM(M904:R904)</f>
        <v/>
      </c>
      <c r="AA904">
        <f>RAND()</f>
        <v/>
      </c>
      <c r="AB904">
        <f>RAND()</f>
        <v/>
      </c>
      <c r="AC904">
        <f>RAND()</f>
        <v/>
      </c>
      <c r="AD904">
        <f>RAND()</f>
        <v/>
      </c>
      <c r="AE904">
        <f>RAND()</f>
        <v/>
      </c>
      <c r="AF904">
        <f>RAND()</f>
        <v/>
      </c>
    </row>
    <row r="905">
      <c r="M905" s="14">
        <f>_xlfn.BETA.INV($AA905,1+4*($D$5-$C$5)/($E$5-$C$5),1+4*($E$5-$D$5)/($E$5-$C$5),$C$5,$E$5)</f>
        <v/>
      </c>
      <c r="N905" s="14">
        <f>IF($AB905&lt;($D$6-$C$6)/($E$6-$C$6),$C$6+SQRT($AB905*($E$6-$C$6)*($D$6-$C$6)),$E$6-SQRT((1-$AB905)*($E$6-$C$6)*($E$6-$D$6)))</f>
        <v/>
      </c>
      <c r="O905" s="14">
        <f>_xlfn.NORM.INV($AC905,$C$7,$D$7)</f>
        <v/>
      </c>
      <c r="P905" s="14">
        <f>$C$8+($D$8-$C$8)*$AD905</f>
        <v/>
      </c>
      <c r="Q905" s="14">
        <f>$C$9</f>
        <v/>
      </c>
      <c r="R905" s="14">
        <f>_xlfn.LOGNORM.INV($AF905,LN($C$10)-0.5*LN(1+($D$10/$C$10)^2),SQRT(LN(1+($D$10/$C$10)^2)))</f>
        <v/>
      </c>
      <c r="S905" s="14">
        <f>SUM(M905:R905)</f>
        <v/>
      </c>
      <c r="AA905">
        <f>RAND()</f>
        <v/>
      </c>
      <c r="AB905">
        <f>RAND()</f>
        <v/>
      </c>
      <c r="AC905">
        <f>RAND()</f>
        <v/>
      </c>
      <c r="AD905">
        <f>RAND()</f>
        <v/>
      </c>
      <c r="AE905">
        <f>RAND()</f>
        <v/>
      </c>
      <c r="AF905">
        <f>RAND()</f>
        <v/>
      </c>
    </row>
    <row r="906">
      <c r="M906" s="14">
        <f>_xlfn.BETA.INV($AA906,1+4*($D$5-$C$5)/($E$5-$C$5),1+4*($E$5-$D$5)/($E$5-$C$5),$C$5,$E$5)</f>
        <v/>
      </c>
      <c r="N906" s="14">
        <f>IF($AB906&lt;($D$6-$C$6)/($E$6-$C$6),$C$6+SQRT($AB906*($E$6-$C$6)*($D$6-$C$6)),$E$6-SQRT((1-$AB906)*($E$6-$C$6)*($E$6-$D$6)))</f>
        <v/>
      </c>
      <c r="O906" s="14">
        <f>_xlfn.NORM.INV($AC906,$C$7,$D$7)</f>
        <v/>
      </c>
      <c r="P906" s="14">
        <f>$C$8+($D$8-$C$8)*$AD906</f>
        <v/>
      </c>
      <c r="Q906" s="14">
        <f>$C$9</f>
        <v/>
      </c>
      <c r="R906" s="14">
        <f>_xlfn.LOGNORM.INV($AF906,LN($C$10)-0.5*LN(1+($D$10/$C$10)^2),SQRT(LN(1+($D$10/$C$10)^2)))</f>
        <v/>
      </c>
      <c r="S906" s="14">
        <f>SUM(M906:R906)</f>
        <v/>
      </c>
      <c r="AA906">
        <f>RAND()</f>
        <v/>
      </c>
      <c r="AB906">
        <f>RAND()</f>
        <v/>
      </c>
      <c r="AC906">
        <f>RAND()</f>
        <v/>
      </c>
      <c r="AD906">
        <f>RAND()</f>
        <v/>
      </c>
      <c r="AE906">
        <f>RAND()</f>
        <v/>
      </c>
      <c r="AF906">
        <f>RAND()</f>
        <v/>
      </c>
    </row>
    <row r="907">
      <c r="M907" s="14">
        <f>_xlfn.BETA.INV($AA907,1+4*($D$5-$C$5)/($E$5-$C$5),1+4*($E$5-$D$5)/($E$5-$C$5),$C$5,$E$5)</f>
        <v/>
      </c>
      <c r="N907" s="14">
        <f>IF($AB907&lt;($D$6-$C$6)/($E$6-$C$6),$C$6+SQRT($AB907*($E$6-$C$6)*($D$6-$C$6)),$E$6-SQRT((1-$AB907)*($E$6-$C$6)*($E$6-$D$6)))</f>
        <v/>
      </c>
      <c r="O907" s="14">
        <f>_xlfn.NORM.INV($AC907,$C$7,$D$7)</f>
        <v/>
      </c>
      <c r="P907" s="14">
        <f>$C$8+($D$8-$C$8)*$AD907</f>
        <v/>
      </c>
      <c r="Q907" s="14">
        <f>$C$9</f>
        <v/>
      </c>
      <c r="R907" s="14">
        <f>_xlfn.LOGNORM.INV($AF907,LN($C$10)-0.5*LN(1+($D$10/$C$10)^2),SQRT(LN(1+($D$10/$C$10)^2)))</f>
        <v/>
      </c>
      <c r="S907" s="14">
        <f>SUM(M907:R907)</f>
        <v/>
      </c>
      <c r="AA907">
        <f>RAND()</f>
        <v/>
      </c>
      <c r="AB907">
        <f>RAND()</f>
        <v/>
      </c>
      <c r="AC907">
        <f>RAND()</f>
        <v/>
      </c>
      <c r="AD907">
        <f>RAND()</f>
        <v/>
      </c>
      <c r="AE907">
        <f>RAND()</f>
        <v/>
      </c>
      <c r="AF907">
        <f>RAND()</f>
        <v/>
      </c>
    </row>
    <row r="908">
      <c r="M908" s="14">
        <f>_xlfn.BETA.INV($AA908,1+4*($D$5-$C$5)/($E$5-$C$5),1+4*($E$5-$D$5)/($E$5-$C$5),$C$5,$E$5)</f>
        <v/>
      </c>
      <c r="N908" s="14">
        <f>IF($AB908&lt;($D$6-$C$6)/($E$6-$C$6),$C$6+SQRT($AB908*($E$6-$C$6)*($D$6-$C$6)),$E$6-SQRT((1-$AB908)*($E$6-$C$6)*($E$6-$D$6)))</f>
        <v/>
      </c>
      <c r="O908" s="14">
        <f>_xlfn.NORM.INV($AC908,$C$7,$D$7)</f>
        <v/>
      </c>
      <c r="P908" s="14">
        <f>$C$8+($D$8-$C$8)*$AD908</f>
        <v/>
      </c>
      <c r="Q908" s="14">
        <f>$C$9</f>
        <v/>
      </c>
      <c r="R908" s="14">
        <f>_xlfn.LOGNORM.INV($AF908,LN($C$10)-0.5*LN(1+($D$10/$C$10)^2),SQRT(LN(1+($D$10/$C$10)^2)))</f>
        <v/>
      </c>
      <c r="S908" s="14">
        <f>SUM(M908:R908)</f>
        <v/>
      </c>
      <c r="AA908">
        <f>RAND()</f>
        <v/>
      </c>
      <c r="AB908">
        <f>RAND()</f>
        <v/>
      </c>
      <c r="AC908">
        <f>RAND()</f>
        <v/>
      </c>
      <c r="AD908">
        <f>RAND()</f>
        <v/>
      </c>
      <c r="AE908">
        <f>RAND()</f>
        <v/>
      </c>
      <c r="AF908">
        <f>RAND()</f>
        <v/>
      </c>
    </row>
    <row r="909">
      <c r="M909" s="14">
        <f>_xlfn.BETA.INV($AA909,1+4*($D$5-$C$5)/($E$5-$C$5),1+4*($E$5-$D$5)/($E$5-$C$5),$C$5,$E$5)</f>
        <v/>
      </c>
      <c r="N909" s="14">
        <f>IF($AB909&lt;($D$6-$C$6)/($E$6-$C$6),$C$6+SQRT($AB909*($E$6-$C$6)*($D$6-$C$6)),$E$6-SQRT((1-$AB909)*($E$6-$C$6)*($E$6-$D$6)))</f>
        <v/>
      </c>
      <c r="O909" s="14">
        <f>_xlfn.NORM.INV($AC909,$C$7,$D$7)</f>
        <v/>
      </c>
      <c r="P909" s="14">
        <f>$C$8+($D$8-$C$8)*$AD909</f>
        <v/>
      </c>
      <c r="Q909" s="14">
        <f>$C$9</f>
        <v/>
      </c>
      <c r="R909" s="14">
        <f>_xlfn.LOGNORM.INV($AF909,LN($C$10)-0.5*LN(1+($D$10/$C$10)^2),SQRT(LN(1+($D$10/$C$10)^2)))</f>
        <v/>
      </c>
      <c r="S909" s="14">
        <f>SUM(M909:R909)</f>
        <v/>
      </c>
      <c r="AA909">
        <f>RAND()</f>
        <v/>
      </c>
      <c r="AB909">
        <f>RAND()</f>
        <v/>
      </c>
      <c r="AC909">
        <f>RAND()</f>
        <v/>
      </c>
      <c r="AD909">
        <f>RAND()</f>
        <v/>
      </c>
      <c r="AE909">
        <f>RAND()</f>
        <v/>
      </c>
      <c r="AF909">
        <f>RAND()</f>
        <v/>
      </c>
    </row>
    <row r="910">
      <c r="M910" s="14">
        <f>_xlfn.BETA.INV($AA910,1+4*($D$5-$C$5)/($E$5-$C$5),1+4*($E$5-$D$5)/($E$5-$C$5),$C$5,$E$5)</f>
        <v/>
      </c>
      <c r="N910" s="14">
        <f>IF($AB910&lt;($D$6-$C$6)/($E$6-$C$6),$C$6+SQRT($AB910*($E$6-$C$6)*($D$6-$C$6)),$E$6-SQRT((1-$AB910)*($E$6-$C$6)*($E$6-$D$6)))</f>
        <v/>
      </c>
      <c r="O910" s="14">
        <f>_xlfn.NORM.INV($AC910,$C$7,$D$7)</f>
        <v/>
      </c>
      <c r="P910" s="14">
        <f>$C$8+($D$8-$C$8)*$AD910</f>
        <v/>
      </c>
      <c r="Q910" s="14">
        <f>$C$9</f>
        <v/>
      </c>
      <c r="R910" s="14">
        <f>_xlfn.LOGNORM.INV($AF910,LN($C$10)-0.5*LN(1+($D$10/$C$10)^2),SQRT(LN(1+($D$10/$C$10)^2)))</f>
        <v/>
      </c>
      <c r="S910" s="14">
        <f>SUM(M910:R910)</f>
        <v/>
      </c>
      <c r="AA910">
        <f>RAND()</f>
        <v/>
      </c>
      <c r="AB910">
        <f>RAND()</f>
        <v/>
      </c>
      <c r="AC910">
        <f>RAND()</f>
        <v/>
      </c>
      <c r="AD910">
        <f>RAND()</f>
        <v/>
      </c>
      <c r="AE910">
        <f>RAND()</f>
        <v/>
      </c>
      <c r="AF910">
        <f>RAND()</f>
        <v/>
      </c>
    </row>
    <row r="911">
      <c r="M911" s="14">
        <f>_xlfn.BETA.INV($AA911,1+4*($D$5-$C$5)/($E$5-$C$5),1+4*($E$5-$D$5)/($E$5-$C$5),$C$5,$E$5)</f>
        <v/>
      </c>
      <c r="N911" s="14">
        <f>IF($AB911&lt;($D$6-$C$6)/($E$6-$C$6),$C$6+SQRT($AB911*($E$6-$C$6)*($D$6-$C$6)),$E$6-SQRT((1-$AB911)*($E$6-$C$6)*($E$6-$D$6)))</f>
        <v/>
      </c>
      <c r="O911" s="14">
        <f>_xlfn.NORM.INV($AC911,$C$7,$D$7)</f>
        <v/>
      </c>
      <c r="P911" s="14">
        <f>$C$8+($D$8-$C$8)*$AD911</f>
        <v/>
      </c>
      <c r="Q911" s="14">
        <f>$C$9</f>
        <v/>
      </c>
      <c r="R911" s="14">
        <f>_xlfn.LOGNORM.INV($AF911,LN($C$10)-0.5*LN(1+($D$10/$C$10)^2),SQRT(LN(1+($D$10/$C$10)^2)))</f>
        <v/>
      </c>
      <c r="S911" s="14">
        <f>SUM(M911:R911)</f>
        <v/>
      </c>
      <c r="AA911">
        <f>RAND()</f>
        <v/>
      </c>
      <c r="AB911">
        <f>RAND()</f>
        <v/>
      </c>
      <c r="AC911">
        <f>RAND()</f>
        <v/>
      </c>
      <c r="AD911">
        <f>RAND()</f>
        <v/>
      </c>
      <c r="AE911">
        <f>RAND()</f>
        <v/>
      </c>
      <c r="AF911">
        <f>RAND()</f>
        <v/>
      </c>
    </row>
    <row r="912">
      <c r="M912" s="14">
        <f>_xlfn.BETA.INV($AA912,1+4*($D$5-$C$5)/($E$5-$C$5),1+4*($E$5-$D$5)/($E$5-$C$5),$C$5,$E$5)</f>
        <v/>
      </c>
      <c r="N912" s="14">
        <f>IF($AB912&lt;($D$6-$C$6)/($E$6-$C$6),$C$6+SQRT($AB912*($E$6-$C$6)*($D$6-$C$6)),$E$6-SQRT((1-$AB912)*($E$6-$C$6)*($E$6-$D$6)))</f>
        <v/>
      </c>
      <c r="O912" s="14">
        <f>_xlfn.NORM.INV($AC912,$C$7,$D$7)</f>
        <v/>
      </c>
      <c r="P912" s="14">
        <f>$C$8+($D$8-$C$8)*$AD912</f>
        <v/>
      </c>
      <c r="Q912" s="14">
        <f>$C$9</f>
        <v/>
      </c>
      <c r="R912" s="14">
        <f>_xlfn.LOGNORM.INV($AF912,LN($C$10)-0.5*LN(1+($D$10/$C$10)^2),SQRT(LN(1+($D$10/$C$10)^2)))</f>
        <v/>
      </c>
      <c r="S912" s="14">
        <f>SUM(M912:R912)</f>
        <v/>
      </c>
      <c r="AA912">
        <f>RAND()</f>
        <v/>
      </c>
      <c r="AB912">
        <f>RAND()</f>
        <v/>
      </c>
      <c r="AC912">
        <f>RAND()</f>
        <v/>
      </c>
      <c r="AD912">
        <f>RAND()</f>
        <v/>
      </c>
      <c r="AE912">
        <f>RAND()</f>
        <v/>
      </c>
      <c r="AF912">
        <f>RAND()</f>
        <v/>
      </c>
    </row>
    <row r="913">
      <c r="M913" s="14">
        <f>_xlfn.BETA.INV($AA913,1+4*($D$5-$C$5)/($E$5-$C$5),1+4*($E$5-$D$5)/($E$5-$C$5),$C$5,$E$5)</f>
        <v/>
      </c>
      <c r="N913" s="14">
        <f>IF($AB913&lt;($D$6-$C$6)/($E$6-$C$6),$C$6+SQRT($AB913*($E$6-$C$6)*($D$6-$C$6)),$E$6-SQRT((1-$AB913)*($E$6-$C$6)*($E$6-$D$6)))</f>
        <v/>
      </c>
      <c r="O913" s="14">
        <f>_xlfn.NORM.INV($AC913,$C$7,$D$7)</f>
        <v/>
      </c>
      <c r="P913" s="14">
        <f>$C$8+($D$8-$C$8)*$AD913</f>
        <v/>
      </c>
      <c r="Q913" s="14">
        <f>$C$9</f>
        <v/>
      </c>
      <c r="R913" s="14">
        <f>_xlfn.LOGNORM.INV($AF913,LN($C$10)-0.5*LN(1+($D$10/$C$10)^2),SQRT(LN(1+($D$10/$C$10)^2)))</f>
        <v/>
      </c>
      <c r="S913" s="14">
        <f>SUM(M913:R913)</f>
        <v/>
      </c>
      <c r="AA913">
        <f>RAND()</f>
        <v/>
      </c>
      <c r="AB913">
        <f>RAND()</f>
        <v/>
      </c>
      <c r="AC913">
        <f>RAND()</f>
        <v/>
      </c>
      <c r="AD913">
        <f>RAND()</f>
        <v/>
      </c>
      <c r="AE913">
        <f>RAND()</f>
        <v/>
      </c>
      <c r="AF913">
        <f>RAND()</f>
        <v/>
      </c>
    </row>
    <row r="914">
      <c r="M914" s="14">
        <f>_xlfn.BETA.INV($AA914,1+4*($D$5-$C$5)/($E$5-$C$5),1+4*($E$5-$D$5)/($E$5-$C$5),$C$5,$E$5)</f>
        <v/>
      </c>
      <c r="N914" s="14">
        <f>IF($AB914&lt;($D$6-$C$6)/($E$6-$C$6),$C$6+SQRT($AB914*($E$6-$C$6)*($D$6-$C$6)),$E$6-SQRT((1-$AB914)*($E$6-$C$6)*($E$6-$D$6)))</f>
        <v/>
      </c>
      <c r="O914" s="14">
        <f>_xlfn.NORM.INV($AC914,$C$7,$D$7)</f>
        <v/>
      </c>
      <c r="P914" s="14">
        <f>$C$8+($D$8-$C$8)*$AD914</f>
        <v/>
      </c>
      <c r="Q914" s="14">
        <f>$C$9</f>
        <v/>
      </c>
      <c r="R914" s="14">
        <f>_xlfn.LOGNORM.INV($AF914,LN($C$10)-0.5*LN(1+($D$10/$C$10)^2),SQRT(LN(1+($D$10/$C$10)^2)))</f>
        <v/>
      </c>
      <c r="S914" s="14">
        <f>SUM(M914:R914)</f>
        <v/>
      </c>
      <c r="AA914">
        <f>RAND()</f>
        <v/>
      </c>
      <c r="AB914">
        <f>RAND()</f>
        <v/>
      </c>
      <c r="AC914">
        <f>RAND()</f>
        <v/>
      </c>
      <c r="AD914">
        <f>RAND()</f>
        <v/>
      </c>
      <c r="AE914">
        <f>RAND()</f>
        <v/>
      </c>
      <c r="AF914">
        <f>RAND()</f>
        <v/>
      </c>
    </row>
    <row r="915">
      <c r="M915" s="14">
        <f>_xlfn.BETA.INV($AA915,1+4*($D$5-$C$5)/($E$5-$C$5),1+4*($E$5-$D$5)/($E$5-$C$5),$C$5,$E$5)</f>
        <v/>
      </c>
      <c r="N915" s="14">
        <f>IF($AB915&lt;($D$6-$C$6)/($E$6-$C$6),$C$6+SQRT($AB915*($E$6-$C$6)*($D$6-$C$6)),$E$6-SQRT((1-$AB915)*($E$6-$C$6)*($E$6-$D$6)))</f>
        <v/>
      </c>
      <c r="O915" s="14">
        <f>_xlfn.NORM.INV($AC915,$C$7,$D$7)</f>
        <v/>
      </c>
      <c r="P915" s="14">
        <f>$C$8+($D$8-$C$8)*$AD915</f>
        <v/>
      </c>
      <c r="Q915" s="14">
        <f>$C$9</f>
        <v/>
      </c>
      <c r="R915" s="14">
        <f>_xlfn.LOGNORM.INV($AF915,LN($C$10)-0.5*LN(1+($D$10/$C$10)^2),SQRT(LN(1+($D$10/$C$10)^2)))</f>
        <v/>
      </c>
      <c r="S915" s="14">
        <f>SUM(M915:R915)</f>
        <v/>
      </c>
      <c r="AA915">
        <f>RAND()</f>
        <v/>
      </c>
      <c r="AB915">
        <f>RAND()</f>
        <v/>
      </c>
      <c r="AC915">
        <f>RAND()</f>
        <v/>
      </c>
      <c r="AD915">
        <f>RAND()</f>
        <v/>
      </c>
      <c r="AE915">
        <f>RAND()</f>
        <v/>
      </c>
      <c r="AF915">
        <f>RAND()</f>
        <v/>
      </c>
    </row>
    <row r="916">
      <c r="M916" s="14">
        <f>_xlfn.BETA.INV($AA916,1+4*($D$5-$C$5)/($E$5-$C$5),1+4*($E$5-$D$5)/($E$5-$C$5),$C$5,$E$5)</f>
        <v/>
      </c>
      <c r="N916" s="14">
        <f>IF($AB916&lt;($D$6-$C$6)/($E$6-$C$6),$C$6+SQRT($AB916*($E$6-$C$6)*($D$6-$C$6)),$E$6-SQRT((1-$AB916)*($E$6-$C$6)*($E$6-$D$6)))</f>
        <v/>
      </c>
      <c r="O916" s="14">
        <f>_xlfn.NORM.INV($AC916,$C$7,$D$7)</f>
        <v/>
      </c>
      <c r="P916" s="14">
        <f>$C$8+($D$8-$C$8)*$AD916</f>
        <v/>
      </c>
      <c r="Q916" s="14">
        <f>$C$9</f>
        <v/>
      </c>
      <c r="R916" s="14">
        <f>_xlfn.LOGNORM.INV($AF916,LN($C$10)-0.5*LN(1+($D$10/$C$10)^2),SQRT(LN(1+($D$10/$C$10)^2)))</f>
        <v/>
      </c>
      <c r="S916" s="14">
        <f>SUM(M916:R916)</f>
        <v/>
      </c>
      <c r="AA916">
        <f>RAND()</f>
        <v/>
      </c>
      <c r="AB916">
        <f>RAND()</f>
        <v/>
      </c>
      <c r="AC916">
        <f>RAND()</f>
        <v/>
      </c>
      <c r="AD916">
        <f>RAND()</f>
        <v/>
      </c>
      <c r="AE916">
        <f>RAND()</f>
        <v/>
      </c>
      <c r="AF916">
        <f>RAND()</f>
        <v/>
      </c>
    </row>
    <row r="917">
      <c r="M917" s="14">
        <f>_xlfn.BETA.INV($AA917,1+4*($D$5-$C$5)/($E$5-$C$5),1+4*($E$5-$D$5)/($E$5-$C$5),$C$5,$E$5)</f>
        <v/>
      </c>
      <c r="N917" s="14">
        <f>IF($AB917&lt;($D$6-$C$6)/($E$6-$C$6),$C$6+SQRT($AB917*($E$6-$C$6)*($D$6-$C$6)),$E$6-SQRT((1-$AB917)*($E$6-$C$6)*($E$6-$D$6)))</f>
        <v/>
      </c>
      <c r="O917" s="14">
        <f>_xlfn.NORM.INV($AC917,$C$7,$D$7)</f>
        <v/>
      </c>
      <c r="P917" s="14">
        <f>$C$8+($D$8-$C$8)*$AD917</f>
        <v/>
      </c>
      <c r="Q917" s="14">
        <f>$C$9</f>
        <v/>
      </c>
      <c r="R917" s="14">
        <f>_xlfn.LOGNORM.INV($AF917,LN($C$10)-0.5*LN(1+($D$10/$C$10)^2),SQRT(LN(1+($D$10/$C$10)^2)))</f>
        <v/>
      </c>
      <c r="S917" s="14">
        <f>SUM(M917:R917)</f>
        <v/>
      </c>
      <c r="AA917">
        <f>RAND()</f>
        <v/>
      </c>
      <c r="AB917">
        <f>RAND()</f>
        <v/>
      </c>
      <c r="AC917">
        <f>RAND()</f>
        <v/>
      </c>
      <c r="AD917">
        <f>RAND()</f>
        <v/>
      </c>
      <c r="AE917">
        <f>RAND()</f>
        <v/>
      </c>
      <c r="AF917">
        <f>RAND()</f>
        <v/>
      </c>
    </row>
    <row r="918">
      <c r="M918" s="14">
        <f>_xlfn.BETA.INV($AA918,1+4*($D$5-$C$5)/($E$5-$C$5),1+4*($E$5-$D$5)/($E$5-$C$5),$C$5,$E$5)</f>
        <v/>
      </c>
      <c r="N918" s="14">
        <f>IF($AB918&lt;($D$6-$C$6)/($E$6-$C$6),$C$6+SQRT($AB918*($E$6-$C$6)*($D$6-$C$6)),$E$6-SQRT((1-$AB918)*($E$6-$C$6)*($E$6-$D$6)))</f>
        <v/>
      </c>
      <c r="O918" s="14">
        <f>_xlfn.NORM.INV($AC918,$C$7,$D$7)</f>
        <v/>
      </c>
      <c r="P918" s="14">
        <f>$C$8+($D$8-$C$8)*$AD918</f>
        <v/>
      </c>
      <c r="Q918" s="14">
        <f>$C$9</f>
        <v/>
      </c>
      <c r="R918" s="14">
        <f>_xlfn.LOGNORM.INV($AF918,LN($C$10)-0.5*LN(1+($D$10/$C$10)^2),SQRT(LN(1+($D$10/$C$10)^2)))</f>
        <v/>
      </c>
      <c r="S918" s="14">
        <f>SUM(M918:R918)</f>
        <v/>
      </c>
      <c r="AA918">
        <f>RAND()</f>
        <v/>
      </c>
      <c r="AB918">
        <f>RAND()</f>
        <v/>
      </c>
      <c r="AC918">
        <f>RAND()</f>
        <v/>
      </c>
      <c r="AD918">
        <f>RAND()</f>
        <v/>
      </c>
      <c r="AE918">
        <f>RAND()</f>
        <v/>
      </c>
      <c r="AF918">
        <f>RAND()</f>
        <v/>
      </c>
    </row>
    <row r="919">
      <c r="M919" s="14">
        <f>_xlfn.BETA.INV($AA919,1+4*($D$5-$C$5)/($E$5-$C$5),1+4*($E$5-$D$5)/($E$5-$C$5),$C$5,$E$5)</f>
        <v/>
      </c>
      <c r="N919" s="14">
        <f>IF($AB919&lt;($D$6-$C$6)/($E$6-$C$6),$C$6+SQRT($AB919*($E$6-$C$6)*($D$6-$C$6)),$E$6-SQRT((1-$AB919)*($E$6-$C$6)*($E$6-$D$6)))</f>
        <v/>
      </c>
      <c r="O919" s="14">
        <f>_xlfn.NORM.INV($AC919,$C$7,$D$7)</f>
        <v/>
      </c>
      <c r="P919" s="14">
        <f>$C$8+($D$8-$C$8)*$AD919</f>
        <v/>
      </c>
      <c r="Q919" s="14">
        <f>$C$9</f>
        <v/>
      </c>
      <c r="R919" s="14">
        <f>_xlfn.LOGNORM.INV($AF919,LN($C$10)-0.5*LN(1+($D$10/$C$10)^2),SQRT(LN(1+($D$10/$C$10)^2)))</f>
        <v/>
      </c>
      <c r="S919" s="14">
        <f>SUM(M919:R919)</f>
        <v/>
      </c>
      <c r="AA919">
        <f>RAND()</f>
        <v/>
      </c>
      <c r="AB919">
        <f>RAND()</f>
        <v/>
      </c>
      <c r="AC919">
        <f>RAND()</f>
        <v/>
      </c>
      <c r="AD919">
        <f>RAND()</f>
        <v/>
      </c>
      <c r="AE919">
        <f>RAND()</f>
        <v/>
      </c>
      <c r="AF919">
        <f>RAND()</f>
        <v/>
      </c>
    </row>
    <row r="920">
      <c r="M920" s="14">
        <f>_xlfn.BETA.INV($AA920,1+4*($D$5-$C$5)/($E$5-$C$5),1+4*($E$5-$D$5)/($E$5-$C$5),$C$5,$E$5)</f>
        <v/>
      </c>
      <c r="N920" s="14">
        <f>IF($AB920&lt;($D$6-$C$6)/($E$6-$C$6),$C$6+SQRT($AB920*($E$6-$C$6)*($D$6-$C$6)),$E$6-SQRT((1-$AB920)*($E$6-$C$6)*($E$6-$D$6)))</f>
        <v/>
      </c>
      <c r="O920" s="14">
        <f>_xlfn.NORM.INV($AC920,$C$7,$D$7)</f>
        <v/>
      </c>
      <c r="P920" s="14">
        <f>$C$8+($D$8-$C$8)*$AD920</f>
        <v/>
      </c>
      <c r="Q920" s="14">
        <f>$C$9</f>
        <v/>
      </c>
      <c r="R920" s="14">
        <f>_xlfn.LOGNORM.INV($AF920,LN($C$10)-0.5*LN(1+($D$10/$C$10)^2),SQRT(LN(1+($D$10/$C$10)^2)))</f>
        <v/>
      </c>
      <c r="S920" s="14">
        <f>SUM(M920:R920)</f>
        <v/>
      </c>
      <c r="AA920">
        <f>RAND()</f>
        <v/>
      </c>
      <c r="AB920">
        <f>RAND()</f>
        <v/>
      </c>
      <c r="AC920">
        <f>RAND()</f>
        <v/>
      </c>
      <c r="AD920">
        <f>RAND()</f>
        <v/>
      </c>
      <c r="AE920">
        <f>RAND()</f>
        <v/>
      </c>
      <c r="AF920">
        <f>RAND()</f>
        <v/>
      </c>
    </row>
    <row r="921">
      <c r="M921" s="14">
        <f>_xlfn.BETA.INV($AA921,1+4*($D$5-$C$5)/($E$5-$C$5),1+4*($E$5-$D$5)/($E$5-$C$5),$C$5,$E$5)</f>
        <v/>
      </c>
      <c r="N921" s="14">
        <f>IF($AB921&lt;($D$6-$C$6)/($E$6-$C$6),$C$6+SQRT($AB921*($E$6-$C$6)*($D$6-$C$6)),$E$6-SQRT((1-$AB921)*($E$6-$C$6)*($E$6-$D$6)))</f>
        <v/>
      </c>
      <c r="O921" s="14">
        <f>_xlfn.NORM.INV($AC921,$C$7,$D$7)</f>
        <v/>
      </c>
      <c r="P921" s="14">
        <f>$C$8+($D$8-$C$8)*$AD921</f>
        <v/>
      </c>
      <c r="Q921" s="14">
        <f>$C$9</f>
        <v/>
      </c>
      <c r="R921" s="14">
        <f>_xlfn.LOGNORM.INV($AF921,LN($C$10)-0.5*LN(1+($D$10/$C$10)^2),SQRT(LN(1+($D$10/$C$10)^2)))</f>
        <v/>
      </c>
      <c r="S921" s="14">
        <f>SUM(M921:R921)</f>
        <v/>
      </c>
      <c r="AA921">
        <f>RAND()</f>
        <v/>
      </c>
      <c r="AB921">
        <f>RAND()</f>
        <v/>
      </c>
      <c r="AC921">
        <f>RAND()</f>
        <v/>
      </c>
      <c r="AD921">
        <f>RAND()</f>
        <v/>
      </c>
      <c r="AE921">
        <f>RAND()</f>
        <v/>
      </c>
      <c r="AF921">
        <f>RAND()</f>
        <v/>
      </c>
    </row>
    <row r="922">
      <c r="M922" s="14">
        <f>_xlfn.BETA.INV($AA922,1+4*($D$5-$C$5)/($E$5-$C$5),1+4*($E$5-$D$5)/($E$5-$C$5),$C$5,$E$5)</f>
        <v/>
      </c>
      <c r="N922" s="14">
        <f>IF($AB922&lt;($D$6-$C$6)/($E$6-$C$6),$C$6+SQRT($AB922*($E$6-$C$6)*($D$6-$C$6)),$E$6-SQRT((1-$AB922)*($E$6-$C$6)*($E$6-$D$6)))</f>
        <v/>
      </c>
      <c r="O922" s="14">
        <f>_xlfn.NORM.INV($AC922,$C$7,$D$7)</f>
        <v/>
      </c>
      <c r="P922" s="14">
        <f>$C$8+($D$8-$C$8)*$AD922</f>
        <v/>
      </c>
      <c r="Q922" s="14">
        <f>$C$9</f>
        <v/>
      </c>
      <c r="R922" s="14">
        <f>_xlfn.LOGNORM.INV($AF922,LN($C$10)-0.5*LN(1+($D$10/$C$10)^2),SQRT(LN(1+($D$10/$C$10)^2)))</f>
        <v/>
      </c>
      <c r="S922" s="14">
        <f>SUM(M922:R922)</f>
        <v/>
      </c>
      <c r="AA922">
        <f>RAND()</f>
        <v/>
      </c>
      <c r="AB922">
        <f>RAND()</f>
        <v/>
      </c>
      <c r="AC922">
        <f>RAND()</f>
        <v/>
      </c>
      <c r="AD922">
        <f>RAND()</f>
        <v/>
      </c>
      <c r="AE922">
        <f>RAND()</f>
        <v/>
      </c>
      <c r="AF922">
        <f>RAND()</f>
        <v/>
      </c>
    </row>
    <row r="923">
      <c r="M923" s="14">
        <f>_xlfn.BETA.INV($AA923,1+4*($D$5-$C$5)/($E$5-$C$5),1+4*($E$5-$D$5)/($E$5-$C$5),$C$5,$E$5)</f>
        <v/>
      </c>
      <c r="N923" s="14">
        <f>IF($AB923&lt;($D$6-$C$6)/($E$6-$C$6),$C$6+SQRT($AB923*($E$6-$C$6)*($D$6-$C$6)),$E$6-SQRT((1-$AB923)*($E$6-$C$6)*($E$6-$D$6)))</f>
        <v/>
      </c>
      <c r="O923" s="14">
        <f>_xlfn.NORM.INV($AC923,$C$7,$D$7)</f>
        <v/>
      </c>
      <c r="P923" s="14">
        <f>$C$8+($D$8-$C$8)*$AD923</f>
        <v/>
      </c>
      <c r="Q923" s="14">
        <f>$C$9</f>
        <v/>
      </c>
      <c r="R923" s="14">
        <f>_xlfn.LOGNORM.INV($AF923,LN($C$10)-0.5*LN(1+($D$10/$C$10)^2),SQRT(LN(1+($D$10/$C$10)^2)))</f>
        <v/>
      </c>
      <c r="S923" s="14">
        <f>SUM(M923:R923)</f>
        <v/>
      </c>
      <c r="AA923">
        <f>RAND()</f>
        <v/>
      </c>
      <c r="AB923">
        <f>RAND()</f>
        <v/>
      </c>
      <c r="AC923">
        <f>RAND()</f>
        <v/>
      </c>
      <c r="AD923">
        <f>RAND()</f>
        <v/>
      </c>
      <c r="AE923">
        <f>RAND()</f>
        <v/>
      </c>
      <c r="AF923">
        <f>RAND()</f>
        <v/>
      </c>
    </row>
    <row r="924">
      <c r="M924" s="14">
        <f>_xlfn.BETA.INV($AA924,1+4*($D$5-$C$5)/($E$5-$C$5),1+4*($E$5-$D$5)/($E$5-$C$5),$C$5,$E$5)</f>
        <v/>
      </c>
      <c r="N924" s="14">
        <f>IF($AB924&lt;($D$6-$C$6)/($E$6-$C$6),$C$6+SQRT($AB924*($E$6-$C$6)*($D$6-$C$6)),$E$6-SQRT((1-$AB924)*($E$6-$C$6)*($E$6-$D$6)))</f>
        <v/>
      </c>
      <c r="O924" s="14">
        <f>_xlfn.NORM.INV($AC924,$C$7,$D$7)</f>
        <v/>
      </c>
      <c r="P924" s="14">
        <f>$C$8+($D$8-$C$8)*$AD924</f>
        <v/>
      </c>
      <c r="Q924" s="14">
        <f>$C$9</f>
        <v/>
      </c>
      <c r="R924" s="14">
        <f>_xlfn.LOGNORM.INV($AF924,LN($C$10)-0.5*LN(1+($D$10/$C$10)^2),SQRT(LN(1+($D$10/$C$10)^2)))</f>
        <v/>
      </c>
      <c r="S924" s="14">
        <f>SUM(M924:R924)</f>
        <v/>
      </c>
      <c r="AA924">
        <f>RAND()</f>
        <v/>
      </c>
      <c r="AB924">
        <f>RAND()</f>
        <v/>
      </c>
      <c r="AC924">
        <f>RAND()</f>
        <v/>
      </c>
      <c r="AD924">
        <f>RAND()</f>
        <v/>
      </c>
      <c r="AE924">
        <f>RAND()</f>
        <v/>
      </c>
      <c r="AF924">
        <f>RAND()</f>
        <v/>
      </c>
    </row>
    <row r="925">
      <c r="M925" s="14">
        <f>_xlfn.BETA.INV($AA925,1+4*($D$5-$C$5)/($E$5-$C$5),1+4*($E$5-$D$5)/($E$5-$C$5),$C$5,$E$5)</f>
        <v/>
      </c>
      <c r="N925" s="14">
        <f>IF($AB925&lt;($D$6-$C$6)/($E$6-$C$6),$C$6+SQRT($AB925*($E$6-$C$6)*($D$6-$C$6)),$E$6-SQRT((1-$AB925)*($E$6-$C$6)*($E$6-$D$6)))</f>
        <v/>
      </c>
      <c r="O925" s="14">
        <f>_xlfn.NORM.INV($AC925,$C$7,$D$7)</f>
        <v/>
      </c>
      <c r="P925" s="14">
        <f>$C$8+($D$8-$C$8)*$AD925</f>
        <v/>
      </c>
      <c r="Q925" s="14">
        <f>$C$9</f>
        <v/>
      </c>
      <c r="R925" s="14">
        <f>_xlfn.LOGNORM.INV($AF925,LN($C$10)-0.5*LN(1+($D$10/$C$10)^2),SQRT(LN(1+($D$10/$C$10)^2)))</f>
        <v/>
      </c>
      <c r="S925" s="14">
        <f>SUM(M925:R925)</f>
        <v/>
      </c>
      <c r="AA925">
        <f>RAND()</f>
        <v/>
      </c>
      <c r="AB925">
        <f>RAND()</f>
        <v/>
      </c>
      <c r="AC925">
        <f>RAND()</f>
        <v/>
      </c>
      <c r="AD925">
        <f>RAND()</f>
        <v/>
      </c>
      <c r="AE925">
        <f>RAND()</f>
        <v/>
      </c>
      <c r="AF925">
        <f>RAND()</f>
        <v/>
      </c>
    </row>
    <row r="926">
      <c r="M926" s="14">
        <f>_xlfn.BETA.INV($AA926,1+4*($D$5-$C$5)/($E$5-$C$5),1+4*($E$5-$D$5)/($E$5-$C$5),$C$5,$E$5)</f>
        <v/>
      </c>
      <c r="N926" s="14">
        <f>IF($AB926&lt;($D$6-$C$6)/($E$6-$C$6),$C$6+SQRT($AB926*($E$6-$C$6)*($D$6-$C$6)),$E$6-SQRT((1-$AB926)*($E$6-$C$6)*($E$6-$D$6)))</f>
        <v/>
      </c>
      <c r="O926" s="14">
        <f>_xlfn.NORM.INV($AC926,$C$7,$D$7)</f>
        <v/>
      </c>
      <c r="P926" s="14">
        <f>$C$8+($D$8-$C$8)*$AD926</f>
        <v/>
      </c>
      <c r="Q926" s="14">
        <f>$C$9</f>
        <v/>
      </c>
      <c r="R926" s="14">
        <f>_xlfn.LOGNORM.INV($AF926,LN($C$10)-0.5*LN(1+($D$10/$C$10)^2),SQRT(LN(1+($D$10/$C$10)^2)))</f>
        <v/>
      </c>
      <c r="S926" s="14">
        <f>SUM(M926:R926)</f>
        <v/>
      </c>
      <c r="AA926">
        <f>RAND()</f>
        <v/>
      </c>
      <c r="AB926">
        <f>RAND()</f>
        <v/>
      </c>
      <c r="AC926">
        <f>RAND()</f>
        <v/>
      </c>
      <c r="AD926">
        <f>RAND()</f>
        <v/>
      </c>
      <c r="AE926">
        <f>RAND()</f>
        <v/>
      </c>
      <c r="AF926">
        <f>RAND()</f>
        <v/>
      </c>
    </row>
    <row r="927">
      <c r="M927" s="14">
        <f>_xlfn.BETA.INV($AA927,1+4*($D$5-$C$5)/($E$5-$C$5),1+4*($E$5-$D$5)/($E$5-$C$5),$C$5,$E$5)</f>
        <v/>
      </c>
      <c r="N927" s="14">
        <f>IF($AB927&lt;($D$6-$C$6)/($E$6-$C$6),$C$6+SQRT($AB927*($E$6-$C$6)*($D$6-$C$6)),$E$6-SQRT((1-$AB927)*($E$6-$C$6)*($E$6-$D$6)))</f>
        <v/>
      </c>
      <c r="O927" s="14">
        <f>_xlfn.NORM.INV($AC927,$C$7,$D$7)</f>
        <v/>
      </c>
      <c r="P927" s="14">
        <f>$C$8+($D$8-$C$8)*$AD927</f>
        <v/>
      </c>
      <c r="Q927" s="14">
        <f>$C$9</f>
        <v/>
      </c>
      <c r="R927" s="14">
        <f>_xlfn.LOGNORM.INV($AF927,LN($C$10)-0.5*LN(1+($D$10/$C$10)^2),SQRT(LN(1+($D$10/$C$10)^2)))</f>
        <v/>
      </c>
      <c r="S927" s="14">
        <f>SUM(M927:R927)</f>
        <v/>
      </c>
      <c r="AA927">
        <f>RAND()</f>
        <v/>
      </c>
      <c r="AB927">
        <f>RAND()</f>
        <v/>
      </c>
      <c r="AC927">
        <f>RAND()</f>
        <v/>
      </c>
      <c r="AD927">
        <f>RAND()</f>
        <v/>
      </c>
      <c r="AE927">
        <f>RAND()</f>
        <v/>
      </c>
      <c r="AF927">
        <f>RAND()</f>
        <v/>
      </c>
    </row>
    <row r="928">
      <c r="M928" s="14">
        <f>_xlfn.BETA.INV($AA928,1+4*($D$5-$C$5)/($E$5-$C$5),1+4*($E$5-$D$5)/($E$5-$C$5),$C$5,$E$5)</f>
        <v/>
      </c>
      <c r="N928" s="14">
        <f>IF($AB928&lt;($D$6-$C$6)/($E$6-$C$6),$C$6+SQRT($AB928*($E$6-$C$6)*($D$6-$C$6)),$E$6-SQRT((1-$AB928)*($E$6-$C$6)*($E$6-$D$6)))</f>
        <v/>
      </c>
      <c r="O928" s="14">
        <f>_xlfn.NORM.INV($AC928,$C$7,$D$7)</f>
        <v/>
      </c>
      <c r="P928" s="14">
        <f>$C$8+($D$8-$C$8)*$AD928</f>
        <v/>
      </c>
      <c r="Q928" s="14">
        <f>$C$9</f>
        <v/>
      </c>
      <c r="R928" s="14">
        <f>_xlfn.LOGNORM.INV($AF928,LN($C$10)-0.5*LN(1+($D$10/$C$10)^2),SQRT(LN(1+($D$10/$C$10)^2)))</f>
        <v/>
      </c>
      <c r="S928" s="14">
        <f>SUM(M928:R928)</f>
        <v/>
      </c>
      <c r="AA928">
        <f>RAND()</f>
        <v/>
      </c>
      <c r="AB928">
        <f>RAND()</f>
        <v/>
      </c>
      <c r="AC928">
        <f>RAND()</f>
        <v/>
      </c>
      <c r="AD928">
        <f>RAND()</f>
        <v/>
      </c>
      <c r="AE928">
        <f>RAND()</f>
        <v/>
      </c>
      <c r="AF928">
        <f>RAND()</f>
        <v/>
      </c>
    </row>
    <row r="929">
      <c r="M929" s="14">
        <f>_xlfn.BETA.INV($AA929,1+4*($D$5-$C$5)/($E$5-$C$5),1+4*($E$5-$D$5)/($E$5-$C$5),$C$5,$E$5)</f>
        <v/>
      </c>
      <c r="N929" s="14">
        <f>IF($AB929&lt;($D$6-$C$6)/($E$6-$C$6),$C$6+SQRT($AB929*($E$6-$C$6)*($D$6-$C$6)),$E$6-SQRT((1-$AB929)*($E$6-$C$6)*($E$6-$D$6)))</f>
        <v/>
      </c>
      <c r="O929" s="14">
        <f>_xlfn.NORM.INV($AC929,$C$7,$D$7)</f>
        <v/>
      </c>
      <c r="P929" s="14">
        <f>$C$8+($D$8-$C$8)*$AD929</f>
        <v/>
      </c>
      <c r="Q929" s="14">
        <f>$C$9</f>
        <v/>
      </c>
      <c r="R929" s="14">
        <f>_xlfn.LOGNORM.INV($AF929,LN($C$10)-0.5*LN(1+($D$10/$C$10)^2),SQRT(LN(1+($D$10/$C$10)^2)))</f>
        <v/>
      </c>
      <c r="S929" s="14">
        <f>SUM(M929:R929)</f>
        <v/>
      </c>
      <c r="AA929">
        <f>RAND()</f>
        <v/>
      </c>
      <c r="AB929">
        <f>RAND()</f>
        <v/>
      </c>
      <c r="AC929">
        <f>RAND()</f>
        <v/>
      </c>
      <c r="AD929">
        <f>RAND()</f>
        <v/>
      </c>
      <c r="AE929">
        <f>RAND()</f>
        <v/>
      </c>
      <c r="AF929">
        <f>RAND()</f>
        <v/>
      </c>
    </row>
    <row r="930">
      <c r="M930" s="14">
        <f>_xlfn.BETA.INV($AA930,1+4*($D$5-$C$5)/($E$5-$C$5),1+4*($E$5-$D$5)/($E$5-$C$5),$C$5,$E$5)</f>
        <v/>
      </c>
      <c r="N930" s="14">
        <f>IF($AB930&lt;($D$6-$C$6)/($E$6-$C$6),$C$6+SQRT($AB930*($E$6-$C$6)*($D$6-$C$6)),$E$6-SQRT((1-$AB930)*($E$6-$C$6)*($E$6-$D$6)))</f>
        <v/>
      </c>
      <c r="O930" s="14">
        <f>_xlfn.NORM.INV($AC930,$C$7,$D$7)</f>
        <v/>
      </c>
      <c r="P930" s="14">
        <f>$C$8+($D$8-$C$8)*$AD930</f>
        <v/>
      </c>
      <c r="Q930" s="14">
        <f>$C$9</f>
        <v/>
      </c>
      <c r="R930" s="14">
        <f>_xlfn.LOGNORM.INV($AF930,LN($C$10)-0.5*LN(1+($D$10/$C$10)^2),SQRT(LN(1+($D$10/$C$10)^2)))</f>
        <v/>
      </c>
      <c r="S930" s="14">
        <f>SUM(M930:R930)</f>
        <v/>
      </c>
      <c r="AA930">
        <f>RAND()</f>
        <v/>
      </c>
      <c r="AB930">
        <f>RAND()</f>
        <v/>
      </c>
      <c r="AC930">
        <f>RAND()</f>
        <v/>
      </c>
      <c r="AD930">
        <f>RAND()</f>
        <v/>
      </c>
      <c r="AE930">
        <f>RAND()</f>
        <v/>
      </c>
      <c r="AF930">
        <f>RAND()</f>
        <v/>
      </c>
    </row>
    <row r="931">
      <c r="M931" s="14">
        <f>_xlfn.BETA.INV($AA931,1+4*($D$5-$C$5)/($E$5-$C$5),1+4*($E$5-$D$5)/($E$5-$C$5),$C$5,$E$5)</f>
        <v/>
      </c>
      <c r="N931" s="14">
        <f>IF($AB931&lt;($D$6-$C$6)/($E$6-$C$6),$C$6+SQRT($AB931*($E$6-$C$6)*($D$6-$C$6)),$E$6-SQRT((1-$AB931)*($E$6-$C$6)*($E$6-$D$6)))</f>
        <v/>
      </c>
      <c r="O931" s="14">
        <f>_xlfn.NORM.INV($AC931,$C$7,$D$7)</f>
        <v/>
      </c>
      <c r="P931" s="14">
        <f>$C$8+($D$8-$C$8)*$AD931</f>
        <v/>
      </c>
      <c r="Q931" s="14">
        <f>$C$9</f>
        <v/>
      </c>
      <c r="R931" s="14">
        <f>_xlfn.LOGNORM.INV($AF931,LN($C$10)-0.5*LN(1+($D$10/$C$10)^2),SQRT(LN(1+($D$10/$C$10)^2)))</f>
        <v/>
      </c>
      <c r="S931" s="14">
        <f>SUM(M931:R931)</f>
        <v/>
      </c>
      <c r="AA931">
        <f>RAND()</f>
        <v/>
      </c>
      <c r="AB931">
        <f>RAND()</f>
        <v/>
      </c>
      <c r="AC931">
        <f>RAND()</f>
        <v/>
      </c>
      <c r="AD931">
        <f>RAND()</f>
        <v/>
      </c>
      <c r="AE931">
        <f>RAND()</f>
        <v/>
      </c>
      <c r="AF931">
        <f>RAND()</f>
        <v/>
      </c>
    </row>
    <row r="932">
      <c r="M932" s="14">
        <f>_xlfn.BETA.INV($AA932,1+4*($D$5-$C$5)/($E$5-$C$5),1+4*($E$5-$D$5)/($E$5-$C$5),$C$5,$E$5)</f>
        <v/>
      </c>
      <c r="N932" s="14">
        <f>IF($AB932&lt;($D$6-$C$6)/($E$6-$C$6),$C$6+SQRT($AB932*($E$6-$C$6)*($D$6-$C$6)),$E$6-SQRT((1-$AB932)*($E$6-$C$6)*($E$6-$D$6)))</f>
        <v/>
      </c>
      <c r="O932" s="14">
        <f>_xlfn.NORM.INV($AC932,$C$7,$D$7)</f>
        <v/>
      </c>
      <c r="P932" s="14">
        <f>$C$8+($D$8-$C$8)*$AD932</f>
        <v/>
      </c>
      <c r="Q932" s="14">
        <f>$C$9</f>
        <v/>
      </c>
      <c r="R932" s="14">
        <f>_xlfn.LOGNORM.INV($AF932,LN($C$10)-0.5*LN(1+($D$10/$C$10)^2),SQRT(LN(1+($D$10/$C$10)^2)))</f>
        <v/>
      </c>
      <c r="S932" s="14">
        <f>SUM(M932:R932)</f>
        <v/>
      </c>
      <c r="AA932">
        <f>RAND()</f>
        <v/>
      </c>
      <c r="AB932">
        <f>RAND()</f>
        <v/>
      </c>
      <c r="AC932">
        <f>RAND()</f>
        <v/>
      </c>
      <c r="AD932">
        <f>RAND()</f>
        <v/>
      </c>
      <c r="AE932">
        <f>RAND()</f>
        <v/>
      </c>
      <c r="AF932">
        <f>RAND()</f>
        <v/>
      </c>
    </row>
    <row r="933">
      <c r="M933" s="14">
        <f>_xlfn.BETA.INV($AA933,1+4*($D$5-$C$5)/($E$5-$C$5),1+4*($E$5-$D$5)/($E$5-$C$5),$C$5,$E$5)</f>
        <v/>
      </c>
      <c r="N933" s="14">
        <f>IF($AB933&lt;($D$6-$C$6)/($E$6-$C$6),$C$6+SQRT($AB933*($E$6-$C$6)*($D$6-$C$6)),$E$6-SQRT((1-$AB933)*($E$6-$C$6)*($E$6-$D$6)))</f>
        <v/>
      </c>
      <c r="O933" s="14">
        <f>_xlfn.NORM.INV($AC933,$C$7,$D$7)</f>
        <v/>
      </c>
      <c r="P933" s="14">
        <f>$C$8+($D$8-$C$8)*$AD933</f>
        <v/>
      </c>
      <c r="Q933" s="14">
        <f>$C$9</f>
        <v/>
      </c>
      <c r="R933" s="14">
        <f>_xlfn.LOGNORM.INV($AF933,LN($C$10)-0.5*LN(1+($D$10/$C$10)^2),SQRT(LN(1+($D$10/$C$10)^2)))</f>
        <v/>
      </c>
      <c r="S933" s="14">
        <f>SUM(M933:R933)</f>
        <v/>
      </c>
      <c r="AA933">
        <f>RAND()</f>
        <v/>
      </c>
      <c r="AB933">
        <f>RAND()</f>
        <v/>
      </c>
      <c r="AC933">
        <f>RAND()</f>
        <v/>
      </c>
      <c r="AD933">
        <f>RAND()</f>
        <v/>
      </c>
      <c r="AE933">
        <f>RAND()</f>
        <v/>
      </c>
      <c r="AF933">
        <f>RAND()</f>
        <v/>
      </c>
    </row>
    <row r="934">
      <c r="M934" s="14">
        <f>_xlfn.BETA.INV($AA934,1+4*($D$5-$C$5)/($E$5-$C$5),1+4*($E$5-$D$5)/($E$5-$C$5),$C$5,$E$5)</f>
        <v/>
      </c>
      <c r="N934" s="14">
        <f>IF($AB934&lt;($D$6-$C$6)/($E$6-$C$6),$C$6+SQRT($AB934*($E$6-$C$6)*($D$6-$C$6)),$E$6-SQRT((1-$AB934)*($E$6-$C$6)*($E$6-$D$6)))</f>
        <v/>
      </c>
      <c r="O934" s="14">
        <f>_xlfn.NORM.INV($AC934,$C$7,$D$7)</f>
        <v/>
      </c>
      <c r="P934" s="14">
        <f>$C$8+($D$8-$C$8)*$AD934</f>
        <v/>
      </c>
      <c r="Q934" s="14">
        <f>$C$9</f>
        <v/>
      </c>
      <c r="R934" s="14">
        <f>_xlfn.LOGNORM.INV($AF934,LN($C$10)-0.5*LN(1+($D$10/$C$10)^2),SQRT(LN(1+($D$10/$C$10)^2)))</f>
        <v/>
      </c>
      <c r="S934" s="14">
        <f>SUM(M934:R934)</f>
        <v/>
      </c>
      <c r="AA934">
        <f>RAND()</f>
        <v/>
      </c>
      <c r="AB934">
        <f>RAND()</f>
        <v/>
      </c>
      <c r="AC934">
        <f>RAND()</f>
        <v/>
      </c>
      <c r="AD934">
        <f>RAND()</f>
        <v/>
      </c>
      <c r="AE934">
        <f>RAND()</f>
        <v/>
      </c>
      <c r="AF934">
        <f>RAND()</f>
        <v/>
      </c>
    </row>
    <row r="935">
      <c r="M935" s="14">
        <f>_xlfn.BETA.INV($AA935,1+4*($D$5-$C$5)/($E$5-$C$5),1+4*($E$5-$D$5)/($E$5-$C$5),$C$5,$E$5)</f>
        <v/>
      </c>
      <c r="N935" s="14">
        <f>IF($AB935&lt;($D$6-$C$6)/($E$6-$C$6),$C$6+SQRT($AB935*($E$6-$C$6)*($D$6-$C$6)),$E$6-SQRT((1-$AB935)*($E$6-$C$6)*($E$6-$D$6)))</f>
        <v/>
      </c>
      <c r="O935" s="14">
        <f>_xlfn.NORM.INV($AC935,$C$7,$D$7)</f>
        <v/>
      </c>
      <c r="P935" s="14">
        <f>$C$8+($D$8-$C$8)*$AD935</f>
        <v/>
      </c>
      <c r="Q935" s="14">
        <f>$C$9</f>
        <v/>
      </c>
      <c r="R935" s="14">
        <f>_xlfn.LOGNORM.INV($AF935,LN($C$10)-0.5*LN(1+($D$10/$C$10)^2),SQRT(LN(1+($D$10/$C$10)^2)))</f>
        <v/>
      </c>
      <c r="S935" s="14">
        <f>SUM(M935:R935)</f>
        <v/>
      </c>
      <c r="AA935">
        <f>RAND()</f>
        <v/>
      </c>
      <c r="AB935">
        <f>RAND()</f>
        <v/>
      </c>
      <c r="AC935">
        <f>RAND()</f>
        <v/>
      </c>
      <c r="AD935">
        <f>RAND()</f>
        <v/>
      </c>
      <c r="AE935">
        <f>RAND()</f>
        <v/>
      </c>
      <c r="AF935">
        <f>RAND()</f>
        <v/>
      </c>
    </row>
    <row r="936">
      <c r="M936" s="14">
        <f>_xlfn.BETA.INV($AA936,1+4*($D$5-$C$5)/($E$5-$C$5),1+4*($E$5-$D$5)/($E$5-$C$5),$C$5,$E$5)</f>
        <v/>
      </c>
      <c r="N936" s="14">
        <f>IF($AB936&lt;($D$6-$C$6)/($E$6-$C$6),$C$6+SQRT($AB936*($E$6-$C$6)*($D$6-$C$6)),$E$6-SQRT((1-$AB936)*($E$6-$C$6)*($E$6-$D$6)))</f>
        <v/>
      </c>
      <c r="O936" s="14">
        <f>_xlfn.NORM.INV($AC936,$C$7,$D$7)</f>
        <v/>
      </c>
      <c r="P936" s="14">
        <f>$C$8+($D$8-$C$8)*$AD936</f>
        <v/>
      </c>
      <c r="Q936" s="14">
        <f>$C$9</f>
        <v/>
      </c>
      <c r="R936" s="14">
        <f>_xlfn.LOGNORM.INV($AF936,LN($C$10)-0.5*LN(1+($D$10/$C$10)^2),SQRT(LN(1+($D$10/$C$10)^2)))</f>
        <v/>
      </c>
      <c r="S936" s="14">
        <f>SUM(M936:R936)</f>
        <v/>
      </c>
      <c r="AA936">
        <f>RAND()</f>
        <v/>
      </c>
      <c r="AB936">
        <f>RAND()</f>
        <v/>
      </c>
      <c r="AC936">
        <f>RAND()</f>
        <v/>
      </c>
      <c r="AD936">
        <f>RAND()</f>
        <v/>
      </c>
      <c r="AE936">
        <f>RAND()</f>
        <v/>
      </c>
      <c r="AF936">
        <f>RAND()</f>
        <v/>
      </c>
    </row>
    <row r="937">
      <c r="M937" s="14">
        <f>_xlfn.BETA.INV($AA937,1+4*($D$5-$C$5)/($E$5-$C$5),1+4*($E$5-$D$5)/($E$5-$C$5),$C$5,$E$5)</f>
        <v/>
      </c>
      <c r="N937" s="14">
        <f>IF($AB937&lt;($D$6-$C$6)/($E$6-$C$6),$C$6+SQRT($AB937*($E$6-$C$6)*($D$6-$C$6)),$E$6-SQRT((1-$AB937)*($E$6-$C$6)*($E$6-$D$6)))</f>
        <v/>
      </c>
      <c r="O937" s="14">
        <f>_xlfn.NORM.INV($AC937,$C$7,$D$7)</f>
        <v/>
      </c>
      <c r="P937" s="14">
        <f>$C$8+($D$8-$C$8)*$AD937</f>
        <v/>
      </c>
      <c r="Q937" s="14">
        <f>$C$9</f>
        <v/>
      </c>
      <c r="R937" s="14">
        <f>_xlfn.LOGNORM.INV($AF937,LN($C$10)-0.5*LN(1+($D$10/$C$10)^2),SQRT(LN(1+($D$10/$C$10)^2)))</f>
        <v/>
      </c>
      <c r="S937" s="14">
        <f>SUM(M937:R937)</f>
        <v/>
      </c>
      <c r="AA937">
        <f>RAND()</f>
        <v/>
      </c>
      <c r="AB937">
        <f>RAND()</f>
        <v/>
      </c>
      <c r="AC937">
        <f>RAND()</f>
        <v/>
      </c>
      <c r="AD937">
        <f>RAND()</f>
        <v/>
      </c>
      <c r="AE937">
        <f>RAND()</f>
        <v/>
      </c>
      <c r="AF937">
        <f>RAND()</f>
        <v/>
      </c>
    </row>
    <row r="938">
      <c r="M938" s="14">
        <f>_xlfn.BETA.INV($AA938,1+4*($D$5-$C$5)/($E$5-$C$5),1+4*($E$5-$D$5)/($E$5-$C$5),$C$5,$E$5)</f>
        <v/>
      </c>
      <c r="N938" s="14">
        <f>IF($AB938&lt;($D$6-$C$6)/($E$6-$C$6),$C$6+SQRT($AB938*($E$6-$C$6)*($D$6-$C$6)),$E$6-SQRT((1-$AB938)*($E$6-$C$6)*($E$6-$D$6)))</f>
        <v/>
      </c>
      <c r="O938" s="14">
        <f>_xlfn.NORM.INV($AC938,$C$7,$D$7)</f>
        <v/>
      </c>
      <c r="P938" s="14">
        <f>$C$8+($D$8-$C$8)*$AD938</f>
        <v/>
      </c>
      <c r="Q938" s="14">
        <f>$C$9</f>
        <v/>
      </c>
      <c r="R938" s="14">
        <f>_xlfn.LOGNORM.INV($AF938,LN($C$10)-0.5*LN(1+($D$10/$C$10)^2),SQRT(LN(1+($D$10/$C$10)^2)))</f>
        <v/>
      </c>
      <c r="S938" s="14">
        <f>SUM(M938:R938)</f>
        <v/>
      </c>
      <c r="AA938">
        <f>RAND()</f>
        <v/>
      </c>
      <c r="AB938">
        <f>RAND()</f>
        <v/>
      </c>
      <c r="AC938">
        <f>RAND()</f>
        <v/>
      </c>
      <c r="AD938">
        <f>RAND()</f>
        <v/>
      </c>
      <c r="AE938">
        <f>RAND()</f>
        <v/>
      </c>
      <c r="AF938">
        <f>RAND()</f>
        <v/>
      </c>
    </row>
    <row r="939">
      <c r="M939" s="14">
        <f>_xlfn.BETA.INV($AA939,1+4*($D$5-$C$5)/($E$5-$C$5),1+4*($E$5-$D$5)/($E$5-$C$5),$C$5,$E$5)</f>
        <v/>
      </c>
      <c r="N939" s="14">
        <f>IF($AB939&lt;($D$6-$C$6)/($E$6-$C$6),$C$6+SQRT($AB939*($E$6-$C$6)*($D$6-$C$6)),$E$6-SQRT((1-$AB939)*($E$6-$C$6)*($E$6-$D$6)))</f>
        <v/>
      </c>
      <c r="O939" s="14">
        <f>_xlfn.NORM.INV($AC939,$C$7,$D$7)</f>
        <v/>
      </c>
      <c r="P939" s="14">
        <f>$C$8+($D$8-$C$8)*$AD939</f>
        <v/>
      </c>
      <c r="Q939" s="14">
        <f>$C$9</f>
        <v/>
      </c>
      <c r="R939" s="14">
        <f>_xlfn.LOGNORM.INV($AF939,LN($C$10)-0.5*LN(1+($D$10/$C$10)^2),SQRT(LN(1+($D$10/$C$10)^2)))</f>
        <v/>
      </c>
      <c r="S939" s="14">
        <f>SUM(M939:R939)</f>
        <v/>
      </c>
      <c r="AA939">
        <f>RAND()</f>
        <v/>
      </c>
      <c r="AB939">
        <f>RAND()</f>
        <v/>
      </c>
      <c r="AC939">
        <f>RAND()</f>
        <v/>
      </c>
      <c r="AD939">
        <f>RAND()</f>
        <v/>
      </c>
      <c r="AE939">
        <f>RAND()</f>
        <v/>
      </c>
      <c r="AF939">
        <f>RAND()</f>
        <v/>
      </c>
    </row>
    <row r="940">
      <c r="M940" s="14">
        <f>_xlfn.BETA.INV($AA940,1+4*($D$5-$C$5)/($E$5-$C$5),1+4*($E$5-$D$5)/($E$5-$C$5),$C$5,$E$5)</f>
        <v/>
      </c>
      <c r="N940" s="14">
        <f>IF($AB940&lt;($D$6-$C$6)/($E$6-$C$6),$C$6+SQRT($AB940*($E$6-$C$6)*($D$6-$C$6)),$E$6-SQRT((1-$AB940)*($E$6-$C$6)*($E$6-$D$6)))</f>
        <v/>
      </c>
      <c r="O940" s="14">
        <f>_xlfn.NORM.INV($AC940,$C$7,$D$7)</f>
        <v/>
      </c>
      <c r="P940" s="14">
        <f>$C$8+($D$8-$C$8)*$AD940</f>
        <v/>
      </c>
      <c r="Q940" s="14">
        <f>$C$9</f>
        <v/>
      </c>
      <c r="R940" s="14">
        <f>_xlfn.LOGNORM.INV($AF940,LN($C$10)-0.5*LN(1+($D$10/$C$10)^2),SQRT(LN(1+($D$10/$C$10)^2)))</f>
        <v/>
      </c>
      <c r="S940" s="14">
        <f>SUM(M940:R940)</f>
        <v/>
      </c>
      <c r="AA940">
        <f>RAND()</f>
        <v/>
      </c>
      <c r="AB940">
        <f>RAND()</f>
        <v/>
      </c>
      <c r="AC940">
        <f>RAND()</f>
        <v/>
      </c>
      <c r="AD940">
        <f>RAND()</f>
        <v/>
      </c>
      <c r="AE940">
        <f>RAND()</f>
        <v/>
      </c>
      <c r="AF940">
        <f>RAND()</f>
        <v/>
      </c>
    </row>
    <row r="941">
      <c r="M941" s="14">
        <f>_xlfn.BETA.INV($AA941,1+4*($D$5-$C$5)/($E$5-$C$5),1+4*($E$5-$D$5)/($E$5-$C$5),$C$5,$E$5)</f>
        <v/>
      </c>
      <c r="N941" s="14">
        <f>IF($AB941&lt;($D$6-$C$6)/($E$6-$C$6),$C$6+SQRT($AB941*($E$6-$C$6)*($D$6-$C$6)),$E$6-SQRT((1-$AB941)*($E$6-$C$6)*($E$6-$D$6)))</f>
        <v/>
      </c>
      <c r="O941" s="14">
        <f>_xlfn.NORM.INV($AC941,$C$7,$D$7)</f>
        <v/>
      </c>
      <c r="P941" s="14">
        <f>$C$8+($D$8-$C$8)*$AD941</f>
        <v/>
      </c>
      <c r="Q941" s="14">
        <f>$C$9</f>
        <v/>
      </c>
      <c r="R941" s="14">
        <f>_xlfn.LOGNORM.INV($AF941,LN($C$10)-0.5*LN(1+($D$10/$C$10)^2),SQRT(LN(1+($D$10/$C$10)^2)))</f>
        <v/>
      </c>
      <c r="S941" s="14">
        <f>SUM(M941:R941)</f>
        <v/>
      </c>
      <c r="AA941">
        <f>RAND()</f>
        <v/>
      </c>
      <c r="AB941">
        <f>RAND()</f>
        <v/>
      </c>
      <c r="AC941">
        <f>RAND()</f>
        <v/>
      </c>
      <c r="AD941">
        <f>RAND()</f>
        <v/>
      </c>
      <c r="AE941">
        <f>RAND()</f>
        <v/>
      </c>
      <c r="AF941">
        <f>RAND()</f>
        <v/>
      </c>
    </row>
    <row r="942">
      <c r="M942" s="14">
        <f>_xlfn.BETA.INV($AA942,1+4*($D$5-$C$5)/($E$5-$C$5),1+4*($E$5-$D$5)/($E$5-$C$5),$C$5,$E$5)</f>
        <v/>
      </c>
      <c r="N942" s="14">
        <f>IF($AB942&lt;($D$6-$C$6)/($E$6-$C$6),$C$6+SQRT($AB942*($E$6-$C$6)*($D$6-$C$6)),$E$6-SQRT((1-$AB942)*($E$6-$C$6)*($E$6-$D$6)))</f>
        <v/>
      </c>
      <c r="O942" s="14">
        <f>_xlfn.NORM.INV($AC942,$C$7,$D$7)</f>
        <v/>
      </c>
      <c r="P942" s="14">
        <f>$C$8+($D$8-$C$8)*$AD942</f>
        <v/>
      </c>
      <c r="Q942" s="14">
        <f>$C$9</f>
        <v/>
      </c>
      <c r="R942" s="14">
        <f>_xlfn.LOGNORM.INV($AF942,LN($C$10)-0.5*LN(1+($D$10/$C$10)^2),SQRT(LN(1+($D$10/$C$10)^2)))</f>
        <v/>
      </c>
      <c r="S942" s="14">
        <f>SUM(M942:R942)</f>
        <v/>
      </c>
      <c r="AA942">
        <f>RAND()</f>
        <v/>
      </c>
      <c r="AB942">
        <f>RAND()</f>
        <v/>
      </c>
      <c r="AC942">
        <f>RAND()</f>
        <v/>
      </c>
      <c r="AD942">
        <f>RAND()</f>
        <v/>
      </c>
      <c r="AE942">
        <f>RAND()</f>
        <v/>
      </c>
      <c r="AF942">
        <f>RAND()</f>
        <v/>
      </c>
    </row>
    <row r="943">
      <c r="M943" s="14">
        <f>_xlfn.BETA.INV($AA943,1+4*($D$5-$C$5)/($E$5-$C$5),1+4*($E$5-$D$5)/($E$5-$C$5),$C$5,$E$5)</f>
        <v/>
      </c>
      <c r="N943" s="14">
        <f>IF($AB943&lt;($D$6-$C$6)/($E$6-$C$6),$C$6+SQRT($AB943*($E$6-$C$6)*($D$6-$C$6)),$E$6-SQRT((1-$AB943)*($E$6-$C$6)*($E$6-$D$6)))</f>
        <v/>
      </c>
      <c r="O943" s="14">
        <f>_xlfn.NORM.INV($AC943,$C$7,$D$7)</f>
        <v/>
      </c>
      <c r="P943" s="14">
        <f>$C$8+($D$8-$C$8)*$AD943</f>
        <v/>
      </c>
      <c r="Q943" s="14">
        <f>$C$9</f>
        <v/>
      </c>
      <c r="R943" s="14">
        <f>_xlfn.LOGNORM.INV($AF943,LN($C$10)-0.5*LN(1+($D$10/$C$10)^2),SQRT(LN(1+($D$10/$C$10)^2)))</f>
        <v/>
      </c>
      <c r="S943" s="14">
        <f>SUM(M943:R943)</f>
        <v/>
      </c>
      <c r="AA943">
        <f>RAND()</f>
        <v/>
      </c>
      <c r="AB943">
        <f>RAND()</f>
        <v/>
      </c>
      <c r="AC943">
        <f>RAND()</f>
        <v/>
      </c>
      <c r="AD943">
        <f>RAND()</f>
        <v/>
      </c>
      <c r="AE943">
        <f>RAND()</f>
        <v/>
      </c>
      <c r="AF943">
        <f>RAND()</f>
        <v/>
      </c>
    </row>
    <row r="944">
      <c r="M944" s="14">
        <f>_xlfn.BETA.INV($AA944,1+4*($D$5-$C$5)/($E$5-$C$5),1+4*($E$5-$D$5)/($E$5-$C$5),$C$5,$E$5)</f>
        <v/>
      </c>
      <c r="N944" s="14">
        <f>IF($AB944&lt;($D$6-$C$6)/($E$6-$C$6),$C$6+SQRT($AB944*($E$6-$C$6)*($D$6-$C$6)),$E$6-SQRT((1-$AB944)*($E$6-$C$6)*($E$6-$D$6)))</f>
        <v/>
      </c>
      <c r="O944" s="14">
        <f>_xlfn.NORM.INV($AC944,$C$7,$D$7)</f>
        <v/>
      </c>
      <c r="P944" s="14">
        <f>$C$8+($D$8-$C$8)*$AD944</f>
        <v/>
      </c>
      <c r="Q944" s="14">
        <f>$C$9</f>
        <v/>
      </c>
      <c r="R944" s="14">
        <f>_xlfn.LOGNORM.INV($AF944,LN($C$10)-0.5*LN(1+($D$10/$C$10)^2),SQRT(LN(1+($D$10/$C$10)^2)))</f>
        <v/>
      </c>
      <c r="S944" s="14">
        <f>SUM(M944:R944)</f>
        <v/>
      </c>
      <c r="AA944">
        <f>RAND()</f>
        <v/>
      </c>
      <c r="AB944">
        <f>RAND()</f>
        <v/>
      </c>
      <c r="AC944">
        <f>RAND()</f>
        <v/>
      </c>
      <c r="AD944">
        <f>RAND()</f>
        <v/>
      </c>
      <c r="AE944">
        <f>RAND()</f>
        <v/>
      </c>
      <c r="AF944">
        <f>RAND()</f>
        <v/>
      </c>
    </row>
    <row r="945">
      <c r="M945" s="14">
        <f>_xlfn.BETA.INV($AA945,1+4*($D$5-$C$5)/($E$5-$C$5),1+4*($E$5-$D$5)/($E$5-$C$5),$C$5,$E$5)</f>
        <v/>
      </c>
      <c r="N945" s="14">
        <f>IF($AB945&lt;($D$6-$C$6)/($E$6-$C$6),$C$6+SQRT($AB945*($E$6-$C$6)*($D$6-$C$6)),$E$6-SQRT((1-$AB945)*($E$6-$C$6)*($E$6-$D$6)))</f>
        <v/>
      </c>
      <c r="O945" s="14">
        <f>_xlfn.NORM.INV($AC945,$C$7,$D$7)</f>
        <v/>
      </c>
      <c r="P945" s="14">
        <f>$C$8+($D$8-$C$8)*$AD945</f>
        <v/>
      </c>
      <c r="Q945" s="14">
        <f>$C$9</f>
        <v/>
      </c>
      <c r="R945" s="14">
        <f>_xlfn.LOGNORM.INV($AF945,LN($C$10)-0.5*LN(1+($D$10/$C$10)^2),SQRT(LN(1+($D$10/$C$10)^2)))</f>
        <v/>
      </c>
      <c r="S945" s="14">
        <f>SUM(M945:R945)</f>
        <v/>
      </c>
      <c r="AA945">
        <f>RAND()</f>
        <v/>
      </c>
      <c r="AB945">
        <f>RAND()</f>
        <v/>
      </c>
      <c r="AC945">
        <f>RAND()</f>
        <v/>
      </c>
      <c r="AD945">
        <f>RAND()</f>
        <v/>
      </c>
      <c r="AE945">
        <f>RAND()</f>
        <v/>
      </c>
      <c r="AF945">
        <f>RAND()</f>
        <v/>
      </c>
    </row>
    <row r="946">
      <c r="M946" s="14">
        <f>_xlfn.BETA.INV($AA946,1+4*($D$5-$C$5)/($E$5-$C$5),1+4*($E$5-$D$5)/($E$5-$C$5),$C$5,$E$5)</f>
        <v/>
      </c>
      <c r="N946" s="14">
        <f>IF($AB946&lt;($D$6-$C$6)/($E$6-$C$6),$C$6+SQRT($AB946*($E$6-$C$6)*($D$6-$C$6)),$E$6-SQRT((1-$AB946)*($E$6-$C$6)*($E$6-$D$6)))</f>
        <v/>
      </c>
      <c r="O946" s="14">
        <f>_xlfn.NORM.INV($AC946,$C$7,$D$7)</f>
        <v/>
      </c>
      <c r="P946" s="14">
        <f>$C$8+($D$8-$C$8)*$AD946</f>
        <v/>
      </c>
      <c r="Q946" s="14">
        <f>$C$9</f>
        <v/>
      </c>
      <c r="R946" s="14">
        <f>_xlfn.LOGNORM.INV($AF946,LN($C$10)-0.5*LN(1+($D$10/$C$10)^2),SQRT(LN(1+($D$10/$C$10)^2)))</f>
        <v/>
      </c>
      <c r="S946" s="14">
        <f>SUM(M946:R946)</f>
        <v/>
      </c>
      <c r="AA946">
        <f>RAND()</f>
        <v/>
      </c>
      <c r="AB946">
        <f>RAND()</f>
        <v/>
      </c>
      <c r="AC946">
        <f>RAND()</f>
        <v/>
      </c>
      <c r="AD946">
        <f>RAND()</f>
        <v/>
      </c>
      <c r="AE946">
        <f>RAND()</f>
        <v/>
      </c>
      <c r="AF946">
        <f>RAND()</f>
        <v/>
      </c>
    </row>
    <row r="947">
      <c r="M947" s="14">
        <f>_xlfn.BETA.INV($AA947,1+4*($D$5-$C$5)/($E$5-$C$5),1+4*($E$5-$D$5)/($E$5-$C$5),$C$5,$E$5)</f>
        <v/>
      </c>
      <c r="N947" s="14">
        <f>IF($AB947&lt;($D$6-$C$6)/($E$6-$C$6),$C$6+SQRT($AB947*($E$6-$C$6)*($D$6-$C$6)),$E$6-SQRT((1-$AB947)*($E$6-$C$6)*($E$6-$D$6)))</f>
        <v/>
      </c>
      <c r="O947" s="14">
        <f>_xlfn.NORM.INV($AC947,$C$7,$D$7)</f>
        <v/>
      </c>
      <c r="P947" s="14">
        <f>$C$8+($D$8-$C$8)*$AD947</f>
        <v/>
      </c>
      <c r="Q947" s="14">
        <f>$C$9</f>
        <v/>
      </c>
      <c r="R947" s="14">
        <f>_xlfn.LOGNORM.INV($AF947,LN($C$10)-0.5*LN(1+($D$10/$C$10)^2),SQRT(LN(1+($D$10/$C$10)^2)))</f>
        <v/>
      </c>
      <c r="S947" s="14">
        <f>SUM(M947:R947)</f>
        <v/>
      </c>
      <c r="AA947">
        <f>RAND()</f>
        <v/>
      </c>
      <c r="AB947">
        <f>RAND()</f>
        <v/>
      </c>
      <c r="AC947">
        <f>RAND()</f>
        <v/>
      </c>
      <c r="AD947">
        <f>RAND()</f>
        <v/>
      </c>
      <c r="AE947">
        <f>RAND()</f>
        <v/>
      </c>
      <c r="AF947">
        <f>RAND()</f>
        <v/>
      </c>
    </row>
    <row r="948">
      <c r="M948" s="14">
        <f>_xlfn.BETA.INV($AA948,1+4*($D$5-$C$5)/($E$5-$C$5),1+4*($E$5-$D$5)/($E$5-$C$5),$C$5,$E$5)</f>
        <v/>
      </c>
      <c r="N948" s="14">
        <f>IF($AB948&lt;($D$6-$C$6)/($E$6-$C$6),$C$6+SQRT($AB948*($E$6-$C$6)*($D$6-$C$6)),$E$6-SQRT((1-$AB948)*($E$6-$C$6)*($E$6-$D$6)))</f>
        <v/>
      </c>
      <c r="O948" s="14">
        <f>_xlfn.NORM.INV($AC948,$C$7,$D$7)</f>
        <v/>
      </c>
      <c r="P948" s="14">
        <f>$C$8+($D$8-$C$8)*$AD948</f>
        <v/>
      </c>
      <c r="Q948" s="14">
        <f>$C$9</f>
        <v/>
      </c>
      <c r="R948" s="14">
        <f>_xlfn.LOGNORM.INV($AF948,LN($C$10)-0.5*LN(1+($D$10/$C$10)^2),SQRT(LN(1+($D$10/$C$10)^2)))</f>
        <v/>
      </c>
      <c r="S948" s="14">
        <f>SUM(M948:R948)</f>
        <v/>
      </c>
      <c r="AA948">
        <f>RAND()</f>
        <v/>
      </c>
      <c r="AB948">
        <f>RAND()</f>
        <v/>
      </c>
      <c r="AC948">
        <f>RAND()</f>
        <v/>
      </c>
      <c r="AD948">
        <f>RAND()</f>
        <v/>
      </c>
      <c r="AE948">
        <f>RAND()</f>
        <v/>
      </c>
      <c r="AF948">
        <f>RAND()</f>
        <v/>
      </c>
    </row>
    <row r="949">
      <c r="M949" s="14">
        <f>_xlfn.BETA.INV($AA949,1+4*($D$5-$C$5)/($E$5-$C$5),1+4*($E$5-$D$5)/($E$5-$C$5),$C$5,$E$5)</f>
        <v/>
      </c>
      <c r="N949" s="14">
        <f>IF($AB949&lt;($D$6-$C$6)/($E$6-$C$6),$C$6+SQRT($AB949*($E$6-$C$6)*($D$6-$C$6)),$E$6-SQRT((1-$AB949)*($E$6-$C$6)*($E$6-$D$6)))</f>
        <v/>
      </c>
      <c r="O949" s="14">
        <f>_xlfn.NORM.INV($AC949,$C$7,$D$7)</f>
        <v/>
      </c>
      <c r="P949" s="14">
        <f>$C$8+($D$8-$C$8)*$AD949</f>
        <v/>
      </c>
      <c r="Q949" s="14">
        <f>$C$9</f>
        <v/>
      </c>
      <c r="R949" s="14">
        <f>_xlfn.LOGNORM.INV($AF949,LN($C$10)-0.5*LN(1+($D$10/$C$10)^2),SQRT(LN(1+($D$10/$C$10)^2)))</f>
        <v/>
      </c>
      <c r="S949" s="14">
        <f>SUM(M949:R949)</f>
        <v/>
      </c>
      <c r="AA949">
        <f>RAND()</f>
        <v/>
      </c>
      <c r="AB949">
        <f>RAND()</f>
        <v/>
      </c>
      <c r="AC949">
        <f>RAND()</f>
        <v/>
      </c>
      <c r="AD949">
        <f>RAND()</f>
        <v/>
      </c>
      <c r="AE949">
        <f>RAND()</f>
        <v/>
      </c>
      <c r="AF949">
        <f>RAND()</f>
        <v/>
      </c>
    </row>
    <row r="950">
      <c r="M950" s="14">
        <f>_xlfn.BETA.INV($AA950,1+4*($D$5-$C$5)/($E$5-$C$5),1+4*($E$5-$D$5)/($E$5-$C$5),$C$5,$E$5)</f>
        <v/>
      </c>
      <c r="N950" s="14">
        <f>IF($AB950&lt;($D$6-$C$6)/($E$6-$C$6),$C$6+SQRT($AB950*($E$6-$C$6)*($D$6-$C$6)),$E$6-SQRT((1-$AB950)*($E$6-$C$6)*($E$6-$D$6)))</f>
        <v/>
      </c>
      <c r="O950" s="14">
        <f>_xlfn.NORM.INV($AC950,$C$7,$D$7)</f>
        <v/>
      </c>
      <c r="P950" s="14">
        <f>$C$8+($D$8-$C$8)*$AD950</f>
        <v/>
      </c>
      <c r="Q950" s="14">
        <f>$C$9</f>
        <v/>
      </c>
      <c r="R950" s="14">
        <f>_xlfn.LOGNORM.INV($AF950,LN($C$10)-0.5*LN(1+($D$10/$C$10)^2),SQRT(LN(1+($D$10/$C$10)^2)))</f>
        <v/>
      </c>
      <c r="S950" s="14">
        <f>SUM(M950:R950)</f>
        <v/>
      </c>
      <c r="AA950">
        <f>RAND()</f>
        <v/>
      </c>
      <c r="AB950">
        <f>RAND()</f>
        <v/>
      </c>
      <c r="AC950">
        <f>RAND()</f>
        <v/>
      </c>
      <c r="AD950">
        <f>RAND()</f>
        <v/>
      </c>
      <c r="AE950">
        <f>RAND()</f>
        <v/>
      </c>
      <c r="AF950">
        <f>RAND()</f>
        <v/>
      </c>
    </row>
    <row r="951">
      <c r="M951" s="14">
        <f>_xlfn.BETA.INV($AA951,1+4*($D$5-$C$5)/($E$5-$C$5),1+4*($E$5-$D$5)/($E$5-$C$5),$C$5,$E$5)</f>
        <v/>
      </c>
      <c r="N951" s="14">
        <f>IF($AB951&lt;($D$6-$C$6)/($E$6-$C$6),$C$6+SQRT($AB951*($E$6-$C$6)*($D$6-$C$6)),$E$6-SQRT((1-$AB951)*($E$6-$C$6)*($E$6-$D$6)))</f>
        <v/>
      </c>
      <c r="O951" s="14">
        <f>_xlfn.NORM.INV($AC951,$C$7,$D$7)</f>
        <v/>
      </c>
      <c r="P951" s="14">
        <f>$C$8+($D$8-$C$8)*$AD951</f>
        <v/>
      </c>
      <c r="Q951" s="14">
        <f>$C$9</f>
        <v/>
      </c>
      <c r="R951" s="14">
        <f>_xlfn.LOGNORM.INV($AF951,LN($C$10)-0.5*LN(1+($D$10/$C$10)^2),SQRT(LN(1+($D$10/$C$10)^2)))</f>
        <v/>
      </c>
      <c r="S951" s="14">
        <f>SUM(M951:R951)</f>
        <v/>
      </c>
      <c r="AA951">
        <f>RAND()</f>
        <v/>
      </c>
      <c r="AB951">
        <f>RAND()</f>
        <v/>
      </c>
      <c r="AC951">
        <f>RAND()</f>
        <v/>
      </c>
      <c r="AD951">
        <f>RAND()</f>
        <v/>
      </c>
      <c r="AE951">
        <f>RAND()</f>
        <v/>
      </c>
      <c r="AF951">
        <f>RAND()</f>
        <v/>
      </c>
    </row>
    <row r="952">
      <c r="M952" s="14">
        <f>_xlfn.BETA.INV($AA952,1+4*($D$5-$C$5)/($E$5-$C$5),1+4*($E$5-$D$5)/($E$5-$C$5),$C$5,$E$5)</f>
        <v/>
      </c>
      <c r="N952" s="14">
        <f>IF($AB952&lt;($D$6-$C$6)/($E$6-$C$6),$C$6+SQRT($AB952*($E$6-$C$6)*($D$6-$C$6)),$E$6-SQRT((1-$AB952)*($E$6-$C$6)*($E$6-$D$6)))</f>
        <v/>
      </c>
      <c r="O952" s="14">
        <f>_xlfn.NORM.INV($AC952,$C$7,$D$7)</f>
        <v/>
      </c>
      <c r="P952" s="14">
        <f>$C$8+($D$8-$C$8)*$AD952</f>
        <v/>
      </c>
      <c r="Q952" s="14">
        <f>$C$9</f>
        <v/>
      </c>
      <c r="R952" s="14">
        <f>_xlfn.LOGNORM.INV($AF952,LN($C$10)-0.5*LN(1+($D$10/$C$10)^2),SQRT(LN(1+($D$10/$C$10)^2)))</f>
        <v/>
      </c>
      <c r="S952" s="14">
        <f>SUM(M952:R952)</f>
        <v/>
      </c>
      <c r="AA952">
        <f>RAND()</f>
        <v/>
      </c>
      <c r="AB952">
        <f>RAND()</f>
        <v/>
      </c>
      <c r="AC952">
        <f>RAND()</f>
        <v/>
      </c>
      <c r="AD952">
        <f>RAND()</f>
        <v/>
      </c>
      <c r="AE952">
        <f>RAND()</f>
        <v/>
      </c>
      <c r="AF952">
        <f>RAND()</f>
        <v/>
      </c>
    </row>
    <row r="953">
      <c r="M953" s="14">
        <f>_xlfn.BETA.INV($AA953,1+4*($D$5-$C$5)/($E$5-$C$5),1+4*($E$5-$D$5)/($E$5-$C$5),$C$5,$E$5)</f>
        <v/>
      </c>
      <c r="N953" s="14">
        <f>IF($AB953&lt;($D$6-$C$6)/($E$6-$C$6),$C$6+SQRT($AB953*($E$6-$C$6)*($D$6-$C$6)),$E$6-SQRT((1-$AB953)*($E$6-$C$6)*($E$6-$D$6)))</f>
        <v/>
      </c>
      <c r="O953" s="14">
        <f>_xlfn.NORM.INV($AC953,$C$7,$D$7)</f>
        <v/>
      </c>
      <c r="P953" s="14">
        <f>$C$8+($D$8-$C$8)*$AD953</f>
        <v/>
      </c>
      <c r="Q953" s="14">
        <f>$C$9</f>
        <v/>
      </c>
      <c r="R953" s="14">
        <f>_xlfn.LOGNORM.INV($AF953,LN($C$10)-0.5*LN(1+($D$10/$C$10)^2),SQRT(LN(1+($D$10/$C$10)^2)))</f>
        <v/>
      </c>
      <c r="S953" s="14">
        <f>SUM(M953:R953)</f>
        <v/>
      </c>
      <c r="AA953">
        <f>RAND()</f>
        <v/>
      </c>
      <c r="AB953">
        <f>RAND()</f>
        <v/>
      </c>
      <c r="AC953">
        <f>RAND()</f>
        <v/>
      </c>
      <c r="AD953">
        <f>RAND()</f>
        <v/>
      </c>
      <c r="AE953">
        <f>RAND()</f>
        <v/>
      </c>
      <c r="AF953">
        <f>RAND()</f>
        <v/>
      </c>
    </row>
    <row r="954">
      <c r="M954" s="14">
        <f>_xlfn.BETA.INV($AA954,1+4*($D$5-$C$5)/($E$5-$C$5),1+4*($E$5-$D$5)/($E$5-$C$5),$C$5,$E$5)</f>
        <v/>
      </c>
      <c r="N954" s="14">
        <f>IF($AB954&lt;($D$6-$C$6)/($E$6-$C$6),$C$6+SQRT($AB954*($E$6-$C$6)*($D$6-$C$6)),$E$6-SQRT((1-$AB954)*($E$6-$C$6)*($E$6-$D$6)))</f>
        <v/>
      </c>
      <c r="O954" s="14">
        <f>_xlfn.NORM.INV($AC954,$C$7,$D$7)</f>
        <v/>
      </c>
      <c r="P954" s="14">
        <f>$C$8+($D$8-$C$8)*$AD954</f>
        <v/>
      </c>
      <c r="Q954" s="14">
        <f>$C$9</f>
        <v/>
      </c>
      <c r="R954" s="14">
        <f>_xlfn.LOGNORM.INV($AF954,LN($C$10)-0.5*LN(1+($D$10/$C$10)^2),SQRT(LN(1+($D$10/$C$10)^2)))</f>
        <v/>
      </c>
      <c r="S954" s="14">
        <f>SUM(M954:R954)</f>
        <v/>
      </c>
      <c r="AA954">
        <f>RAND()</f>
        <v/>
      </c>
      <c r="AB954">
        <f>RAND()</f>
        <v/>
      </c>
      <c r="AC954">
        <f>RAND()</f>
        <v/>
      </c>
      <c r="AD954">
        <f>RAND()</f>
        <v/>
      </c>
      <c r="AE954">
        <f>RAND()</f>
        <v/>
      </c>
      <c r="AF954">
        <f>RAND()</f>
        <v/>
      </c>
    </row>
    <row r="955">
      <c r="M955" s="14">
        <f>_xlfn.BETA.INV($AA955,1+4*($D$5-$C$5)/($E$5-$C$5),1+4*($E$5-$D$5)/($E$5-$C$5),$C$5,$E$5)</f>
        <v/>
      </c>
      <c r="N955" s="14">
        <f>IF($AB955&lt;($D$6-$C$6)/($E$6-$C$6),$C$6+SQRT($AB955*($E$6-$C$6)*($D$6-$C$6)),$E$6-SQRT((1-$AB955)*($E$6-$C$6)*($E$6-$D$6)))</f>
        <v/>
      </c>
      <c r="O955" s="14">
        <f>_xlfn.NORM.INV($AC955,$C$7,$D$7)</f>
        <v/>
      </c>
      <c r="P955" s="14">
        <f>$C$8+($D$8-$C$8)*$AD955</f>
        <v/>
      </c>
      <c r="Q955" s="14">
        <f>$C$9</f>
        <v/>
      </c>
      <c r="R955" s="14">
        <f>_xlfn.LOGNORM.INV($AF955,LN($C$10)-0.5*LN(1+($D$10/$C$10)^2),SQRT(LN(1+($D$10/$C$10)^2)))</f>
        <v/>
      </c>
      <c r="S955" s="14">
        <f>SUM(M955:R955)</f>
        <v/>
      </c>
      <c r="AA955">
        <f>RAND()</f>
        <v/>
      </c>
      <c r="AB955">
        <f>RAND()</f>
        <v/>
      </c>
      <c r="AC955">
        <f>RAND()</f>
        <v/>
      </c>
      <c r="AD955">
        <f>RAND()</f>
        <v/>
      </c>
      <c r="AE955">
        <f>RAND()</f>
        <v/>
      </c>
      <c r="AF955">
        <f>RAND()</f>
        <v/>
      </c>
    </row>
    <row r="956">
      <c r="M956" s="14">
        <f>_xlfn.BETA.INV($AA956,1+4*($D$5-$C$5)/($E$5-$C$5),1+4*($E$5-$D$5)/($E$5-$C$5),$C$5,$E$5)</f>
        <v/>
      </c>
      <c r="N956" s="14">
        <f>IF($AB956&lt;($D$6-$C$6)/($E$6-$C$6),$C$6+SQRT($AB956*($E$6-$C$6)*($D$6-$C$6)),$E$6-SQRT((1-$AB956)*($E$6-$C$6)*($E$6-$D$6)))</f>
        <v/>
      </c>
      <c r="O956" s="14">
        <f>_xlfn.NORM.INV($AC956,$C$7,$D$7)</f>
        <v/>
      </c>
      <c r="P956" s="14">
        <f>$C$8+($D$8-$C$8)*$AD956</f>
        <v/>
      </c>
      <c r="Q956" s="14">
        <f>$C$9</f>
        <v/>
      </c>
      <c r="R956" s="14">
        <f>_xlfn.LOGNORM.INV($AF956,LN($C$10)-0.5*LN(1+($D$10/$C$10)^2),SQRT(LN(1+($D$10/$C$10)^2)))</f>
        <v/>
      </c>
      <c r="S956" s="14">
        <f>SUM(M956:R956)</f>
        <v/>
      </c>
      <c r="AA956">
        <f>RAND()</f>
        <v/>
      </c>
      <c r="AB956">
        <f>RAND()</f>
        <v/>
      </c>
      <c r="AC956">
        <f>RAND()</f>
        <v/>
      </c>
      <c r="AD956">
        <f>RAND()</f>
        <v/>
      </c>
      <c r="AE956">
        <f>RAND()</f>
        <v/>
      </c>
      <c r="AF956">
        <f>RAND()</f>
        <v/>
      </c>
    </row>
    <row r="957">
      <c r="M957" s="14">
        <f>_xlfn.BETA.INV($AA957,1+4*($D$5-$C$5)/($E$5-$C$5),1+4*($E$5-$D$5)/($E$5-$C$5),$C$5,$E$5)</f>
        <v/>
      </c>
      <c r="N957" s="14">
        <f>IF($AB957&lt;($D$6-$C$6)/($E$6-$C$6),$C$6+SQRT($AB957*($E$6-$C$6)*($D$6-$C$6)),$E$6-SQRT((1-$AB957)*($E$6-$C$6)*($E$6-$D$6)))</f>
        <v/>
      </c>
      <c r="O957" s="14">
        <f>_xlfn.NORM.INV($AC957,$C$7,$D$7)</f>
        <v/>
      </c>
      <c r="P957" s="14">
        <f>$C$8+($D$8-$C$8)*$AD957</f>
        <v/>
      </c>
      <c r="Q957" s="14">
        <f>$C$9</f>
        <v/>
      </c>
      <c r="R957" s="14">
        <f>_xlfn.LOGNORM.INV($AF957,LN($C$10)-0.5*LN(1+($D$10/$C$10)^2),SQRT(LN(1+($D$10/$C$10)^2)))</f>
        <v/>
      </c>
      <c r="S957" s="14">
        <f>SUM(M957:R957)</f>
        <v/>
      </c>
      <c r="AA957">
        <f>RAND()</f>
        <v/>
      </c>
      <c r="AB957">
        <f>RAND()</f>
        <v/>
      </c>
      <c r="AC957">
        <f>RAND()</f>
        <v/>
      </c>
      <c r="AD957">
        <f>RAND()</f>
        <v/>
      </c>
      <c r="AE957">
        <f>RAND()</f>
        <v/>
      </c>
      <c r="AF957">
        <f>RAND()</f>
        <v/>
      </c>
    </row>
    <row r="958">
      <c r="M958" s="14">
        <f>_xlfn.BETA.INV($AA958,1+4*($D$5-$C$5)/($E$5-$C$5),1+4*($E$5-$D$5)/($E$5-$C$5),$C$5,$E$5)</f>
        <v/>
      </c>
      <c r="N958" s="14">
        <f>IF($AB958&lt;($D$6-$C$6)/($E$6-$C$6),$C$6+SQRT($AB958*($E$6-$C$6)*($D$6-$C$6)),$E$6-SQRT((1-$AB958)*($E$6-$C$6)*($E$6-$D$6)))</f>
        <v/>
      </c>
      <c r="O958" s="14">
        <f>_xlfn.NORM.INV($AC958,$C$7,$D$7)</f>
        <v/>
      </c>
      <c r="P958" s="14">
        <f>$C$8+($D$8-$C$8)*$AD958</f>
        <v/>
      </c>
      <c r="Q958" s="14">
        <f>$C$9</f>
        <v/>
      </c>
      <c r="R958" s="14">
        <f>_xlfn.LOGNORM.INV($AF958,LN($C$10)-0.5*LN(1+($D$10/$C$10)^2),SQRT(LN(1+($D$10/$C$10)^2)))</f>
        <v/>
      </c>
      <c r="S958" s="14">
        <f>SUM(M958:R958)</f>
        <v/>
      </c>
      <c r="AA958">
        <f>RAND()</f>
        <v/>
      </c>
      <c r="AB958">
        <f>RAND()</f>
        <v/>
      </c>
      <c r="AC958">
        <f>RAND()</f>
        <v/>
      </c>
      <c r="AD958">
        <f>RAND()</f>
        <v/>
      </c>
      <c r="AE958">
        <f>RAND()</f>
        <v/>
      </c>
      <c r="AF958">
        <f>RAND()</f>
        <v/>
      </c>
    </row>
    <row r="959">
      <c r="M959" s="14">
        <f>_xlfn.BETA.INV($AA959,1+4*($D$5-$C$5)/($E$5-$C$5),1+4*($E$5-$D$5)/($E$5-$C$5),$C$5,$E$5)</f>
        <v/>
      </c>
      <c r="N959" s="14">
        <f>IF($AB959&lt;($D$6-$C$6)/($E$6-$C$6),$C$6+SQRT($AB959*($E$6-$C$6)*($D$6-$C$6)),$E$6-SQRT((1-$AB959)*($E$6-$C$6)*($E$6-$D$6)))</f>
        <v/>
      </c>
      <c r="O959" s="14">
        <f>_xlfn.NORM.INV($AC959,$C$7,$D$7)</f>
        <v/>
      </c>
      <c r="P959" s="14">
        <f>$C$8+($D$8-$C$8)*$AD959</f>
        <v/>
      </c>
      <c r="Q959" s="14">
        <f>$C$9</f>
        <v/>
      </c>
      <c r="R959" s="14">
        <f>_xlfn.LOGNORM.INV($AF959,LN($C$10)-0.5*LN(1+($D$10/$C$10)^2),SQRT(LN(1+($D$10/$C$10)^2)))</f>
        <v/>
      </c>
      <c r="S959" s="14">
        <f>SUM(M959:R959)</f>
        <v/>
      </c>
      <c r="AA959">
        <f>RAND()</f>
        <v/>
      </c>
      <c r="AB959">
        <f>RAND()</f>
        <v/>
      </c>
      <c r="AC959">
        <f>RAND()</f>
        <v/>
      </c>
      <c r="AD959">
        <f>RAND()</f>
        <v/>
      </c>
      <c r="AE959">
        <f>RAND()</f>
        <v/>
      </c>
      <c r="AF959">
        <f>RAND()</f>
        <v/>
      </c>
    </row>
    <row r="960">
      <c r="M960" s="14">
        <f>_xlfn.BETA.INV($AA960,1+4*($D$5-$C$5)/($E$5-$C$5),1+4*($E$5-$D$5)/($E$5-$C$5),$C$5,$E$5)</f>
        <v/>
      </c>
      <c r="N960" s="14">
        <f>IF($AB960&lt;($D$6-$C$6)/($E$6-$C$6),$C$6+SQRT($AB960*($E$6-$C$6)*($D$6-$C$6)),$E$6-SQRT((1-$AB960)*($E$6-$C$6)*($E$6-$D$6)))</f>
        <v/>
      </c>
      <c r="O960" s="14">
        <f>_xlfn.NORM.INV($AC960,$C$7,$D$7)</f>
        <v/>
      </c>
      <c r="P960" s="14">
        <f>$C$8+($D$8-$C$8)*$AD960</f>
        <v/>
      </c>
      <c r="Q960" s="14">
        <f>$C$9</f>
        <v/>
      </c>
      <c r="R960" s="14">
        <f>_xlfn.LOGNORM.INV($AF960,LN($C$10)-0.5*LN(1+($D$10/$C$10)^2),SQRT(LN(1+($D$10/$C$10)^2)))</f>
        <v/>
      </c>
      <c r="S960" s="14">
        <f>SUM(M960:R960)</f>
        <v/>
      </c>
      <c r="AA960">
        <f>RAND()</f>
        <v/>
      </c>
      <c r="AB960">
        <f>RAND()</f>
        <v/>
      </c>
      <c r="AC960">
        <f>RAND()</f>
        <v/>
      </c>
      <c r="AD960">
        <f>RAND()</f>
        <v/>
      </c>
      <c r="AE960">
        <f>RAND()</f>
        <v/>
      </c>
      <c r="AF960">
        <f>RAND()</f>
        <v/>
      </c>
    </row>
    <row r="961">
      <c r="M961" s="14">
        <f>_xlfn.BETA.INV($AA961,1+4*($D$5-$C$5)/($E$5-$C$5),1+4*($E$5-$D$5)/($E$5-$C$5),$C$5,$E$5)</f>
        <v/>
      </c>
      <c r="N961" s="14">
        <f>IF($AB961&lt;($D$6-$C$6)/($E$6-$C$6),$C$6+SQRT($AB961*($E$6-$C$6)*($D$6-$C$6)),$E$6-SQRT((1-$AB961)*($E$6-$C$6)*($E$6-$D$6)))</f>
        <v/>
      </c>
      <c r="O961" s="14">
        <f>_xlfn.NORM.INV($AC961,$C$7,$D$7)</f>
        <v/>
      </c>
      <c r="P961" s="14">
        <f>$C$8+($D$8-$C$8)*$AD961</f>
        <v/>
      </c>
      <c r="Q961" s="14">
        <f>$C$9</f>
        <v/>
      </c>
      <c r="R961" s="14">
        <f>_xlfn.LOGNORM.INV($AF961,LN($C$10)-0.5*LN(1+($D$10/$C$10)^2),SQRT(LN(1+($D$10/$C$10)^2)))</f>
        <v/>
      </c>
      <c r="S961" s="14">
        <f>SUM(M961:R961)</f>
        <v/>
      </c>
      <c r="AA961">
        <f>RAND()</f>
        <v/>
      </c>
      <c r="AB961">
        <f>RAND()</f>
        <v/>
      </c>
      <c r="AC961">
        <f>RAND()</f>
        <v/>
      </c>
      <c r="AD961">
        <f>RAND()</f>
        <v/>
      </c>
      <c r="AE961">
        <f>RAND()</f>
        <v/>
      </c>
      <c r="AF961">
        <f>RAND()</f>
        <v/>
      </c>
    </row>
    <row r="962">
      <c r="M962" s="14">
        <f>_xlfn.BETA.INV($AA962,1+4*($D$5-$C$5)/($E$5-$C$5),1+4*($E$5-$D$5)/($E$5-$C$5),$C$5,$E$5)</f>
        <v/>
      </c>
      <c r="N962" s="14">
        <f>IF($AB962&lt;($D$6-$C$6)/($E$6-$C$6),$C$6+SQRT($AB962*($E$6-$C$6)*($D$6-$C$6)),$E$6-SQRT((1-$AB962)*($E$6-$C$6)*($E$6-$D$6)))</f>
        <v/>
      </c>
      <c r="O962" s="14">
        <f>_xlfn.NORM.INV($AC962,$C$7,$D$7)</f>
        <v/>
      </c>
      <c r="P962" s="14">
        <f>$C$8+($D$8-$C$8)*$AD962</f>
        <v/>
      </c>
      <c r="Q962" s="14">
        <f>$C$9</f>
        <v/>
      </c>
      <c r="R962" s="14">
        <f>_xlfn.LOGNORM.INV($AF962,LN($C$10)-0.5*LN(1+($D$10/$C$10)^2),SQRT(LN(1+($D$10/$C$10)^2)))</f>
        <v/>
      </c>
      <c r="S962" s="14">
        <f>SUM(M962:R962)</f>
        <v/>
      </c>
      <c r="AA962">
        <f>RAND()</f>
        <v/>
      </c>
      <c r="AB962">
        <f>RAND()</f>
        <v/>
      </c>
      <c r="AC962">
        <f>RAND()</f>
        <v/>
      </c>
      <c r="AD962">
        <f>RAND()</f>
        <v/>
      </c>
      <c r="AE962">
        <f>RAND()</f>
        <v/>
      </c>
      <c r="AF962">
        <f>RAND()</f>
        <v/>
      </c>
    </row>
    <row r="963">
      <c r="M963" s="14">
        <f>_xlfn.BETA.INV($AA963,1+4*($D$5-$C$5)/($E$5-$C$5),1+4*($E$5-$D$5)/($E$5-$C$5),$C$5,$E$5)</f>
        <v/>
      </c>
      <c r="N963" s="14">
        <f>IF($AB963&lt;($D$6-$C$6)/($E$6-$C$6),$C$6+SQRT($AB963*($E$6-$C$6)*($D$6-$C$6)),$E$6-SQRT((1-$AB963)*($E$6-$C$6)*($E$6-$D$6)))</f>
        <v/>
      </c>
      <c r="O963" s="14">
        <f>_xlfn.NORM.INV($AC963,$C$7,$D$7)</f>
        <v/>
      </c>
      <c r="P963" s="14">
        <f>$C$8+($D$8-$C$8)*$AD963</f>
        <v/>
      </c>
      <c r="Q963" s="14">
        <f>$C$9</f>
        <v/>
      </c>
      <c r="R963" s="14">
        <f>_xlfn.LOGNORM.INV($AF963,LN($C$10)-0.5*LN(1+($D$10/$C$10)^2),SQRT(LN(1+($D$10/$C$10)^2)))</f>
        <v/>
      </c>
      <c r="S963" s="14">
        <f>SUM(M963:R963)</f>
        <v/>
      </c>
      <c r="AA963">
        <f>RAND()</f>
        <v/>
      </c>
      <c r="AB963">
        <f>RAND()</f>
        <v/>
      </c>
      <c r="AC963">
        <f>RAND()</f>
        <v/>
      </c>
      <c r="AD963">
        <f>RAND()</f>
        <v/>
      </c>
      <c r="AE963">
        <f>RAND()</f>
        <v/>
      </c>
      <c r="AF963">
        <f>RAND()</f>
        <v/>
      </c>
    </row>
    <row r="964">
      <c r="M964" s="14">
        <f>_xlfn.BETA.INV($AA964,1+4*($D$5-$C$5)/($E$5-$C$5),1+4*($E$5-$D$5)/($E$5-$C$5),$C$5,$E$5)</f>
        <v/>
      </c>
      <c r="N964" s="14">
        <f>IF($AB964&lt;($D$6-$C$6)/($E$6-$C$6),$C$6+SQRT($AB964*($E$6-$C$6)*($D$6-$C$6)),$E$6-SQRT((1-$AB964)*($E$6-$C$6)*($E$6-$D$6)))</f>
        <v/>
      </c>
      <c r="O964" s="14">
        <f>_xlfn.NORM.INV($AC964,$C$7,$D$7)</f>
        <v/>
      </c>
      <c r="P964" s="14">
        <f>$C$8+($D$8-$C$8)*$AD964</f>
        <v/>
      </c>
      <c r="Q964" s="14">
        <f>$C$9</f>
        <v/>
      </c>
      <c r="R964" s="14">
        <f>_xlfn.LOGNORM.INV($AF964,LN($C$10)-0.5*LN(1+($D$10/$C$10)^2),SQRT(LN(1+($D$10/$C$10)^2)))</f>
        <v/>
      </c>
      <c r="S964" s="14">
        <f>SUM(M964:R964)</f>
        <v/>
      </c>
      <c r="AA964">
        <f>RAND()</f>
        <v/>
      </c>
      <c r="AB964">
        <f>RAND()</f>
        <v/>
      </c>
      <c r="AC964">
        <f>RAND()</f>
        <v/>
      </c>
      <c r="AD964">
        <f>RAND()</f>
        <v/>
      </c>
      <c r="AE964">
        <f>RAND()</f>
        <v/>
      </c>
      <c r="AF964">
        <f>RAND()</f>
        <v/>
      </c>
    </row>
    <row r="965">
      <c r="M965" s="14">
        <f>_xlfn.BETA.INV($AA965,1+4*($D$5-$C$5)/($E$5-$C$5),1+4*($E$5-$D$5)/($E$5-$C$5),$C$5,$E$5)</f>
        <v/>
      </c>
      <c r="N965" s="14">
        <f>IF($AB965&lt;($D$6-$C$6)/($E$6-$C$6),$C$6+SQRT($AB965*($E$6-$C$6)*($D$6-$C$6)),$E$6-SQRT((1-$AB965)*($E$6-$C$6)*($E$6-$D$6)))</f>
        <v/>
      </c>
      <c r="O965" s="14">
        <f>_xlfn.NORM.INV($AC965,$C$7,$D$7)</f>
        <v/>
      </c>
      <c r="P965" s="14">
        <f>$C$8+($D$8-$C$8)*$AD965</f>
        <v/>
      </c>
      <c r="Q965" s="14">
        <f>$C$9</f>
        <v/>
      </c>
      <c r="R965" s="14">
        <f>_xlfn.LOGNORM.INV($AF965,LN($C$10)-0.5*LN(1+($D$10/$C$10)^2),SQRT(LN(1+($D$10/$C$10)^2)))</f>
        <v/>
      </c>
      <c r="S965" s="14">
        <f>SUM(M965:R965)</f>
        <v/>
      </c>
      <c r="AA965">
        <f>RAND()</f>
        <v/>
      </c>
      <c r="AB965">
        <f>RAND()</f>
        <v/>
      </c>
      <c r="AC965">
        <f>RAND()</f>
        <v/>
      </c>
      <c r="AD965">
        <f>RAND()</f>
        <v/>
      </c>
      <c r="AE965">
        <f>RAND()</f>
        <v/>
      </c>
      <c r="AF965">
        <f>RAND()</f>
        <v/>
      </c>
    </row>
    <row r="966">
      <c r="M966" s="14">
        <f>_xlfn.BETA.INV($AA966,1+4*($D$5-$C$5)/($E$5-$C$5),1+4*($E$5-$D$5)/($E$5-$C$5),$C$5,$E$5)</f>
        <v/>
      </c>
      <c r="N966" s="14">
        <f>IF($AB966&lt;($D$6-$C$6)/($E$6-$C$6),$C$6+SQRT($AB966*($E$6-$C$6)*($D$6-$C$6)),$E$6-SQRT((1-$AB966)*($E$6-$C$6)*($E$6-$D$6)))</f>
        <v/>
      </c>
      <c r="O966" s="14">
        <f>_xlfn.NORM.INV($AC966,$C$7,$D$7)</f>
        <v/>
      </c>
      <c r="P966" s="14">
        <f>$C$8+($D$8-$C$8)*$AD966</f>
        <v/>
      </c>
      <c r="Q966" s="14">
        <f>$C$9</f>
        <v/>
      </c>
      <c r="R966" s="14">
        <f>_xlfn.LOGNORM.INV($AF966,LN($C$10)-0.5*LN(1+($D$10/$C$10)^2),SQRT(LN(1+($D$10/$C$10)^2)))</f>
        <v/>
      </c>
      <c r="S966" s="14">
        <f>SUM(M966:R966)</f>
        <v/>
      </c>
      <c r="AA966">
        <f>RAND()</f>
        <v/>
      </c>
      <c r="AB966">
        <f>RAND()</f>
        <v/>
      </c>
      <c r="AC966">
        <f>RAND()</f>
        <v/>
      </c>
      <c r="AD966">
        <f>RAND()</f>
        <v/>
      </c>
      <c r="AE966">
        <f>RAND()</f>
        <v/>
      </c>
      <c r="AF966">
        <f>RAND()</f>
        <v/>
      </c>
    </row>
    <row r="967">
      <c r="M967" s="14">
        <f>_xlfn.BETA.INV($AA967,1+4*($D$5-$C$5)/($E$5-$C$5),1+4*($E$5-$D$5)/($E$5-$C$5),$C$5,$E$5)</f>
        <v/>
      </c>
      <c r="N967" s="14">
        <f>IF($AB967&lt;($D$6-$C$6)/($E$6-$C$6),$C$6+SQRT($AB967*($E$6-$C$6)*($D$6-$C$6)),$E$6-SQRT((1-$AB967)*($E$6-$C$6)*($E$6-$D$6)))</f>
        <v/>
      </c>
      <c r="O967" s="14">
        <f>_xlfn.NORM.INV($AC967,$C$7,$D$7)</f>
        <v/>
      </c>
      <c r="P967" s="14">
        <f>$C$8+($D$8-$C$8)*$AD967</f>
        <v/>
      </c>
      <c r="Q967" s="14">
        <f>$C$9</f>
        <v/>
      </c>
      <c r="R967" s="14">
        <f>_xlfn.LOGNORM.INV($AF967,LN($C$10)-0.5*LN(1+($D$10/$C$10)^2),SQRT(LN(1+($D$10/$C$10)^2)))</f>
        <v/>
      </c>
      <c r="S967" s="14">
        <f>SUM(M967:R967)</f>
        <v/>
      </c>
      <c r="AA967">
        <f>RAND()</f>
        <v/>
      </c>
      <c r="AB967">
        <f>RAND()</f>
        <v/>
      </c>
      <c r="AC967">
        <f>RAND()</f>
        <v/>
      </c>
      <c r="AD967">
        <f>RAND()</f>
        <v/>
      </c>
      <c r="AE967">
        <f>RAND()</f>
        <v/>
      </c>
      <c r="AF967">
        <f>RAND()</f>
        <v/>
      </c>
    </row>
    <row r="968">
      <c r="M968" s="14">
        <f>_xlfn.BETA.INV($AA968,1+4*($D$5-$C$5)/($E$5-$C$5),1+4*($E$5-$D$5)/($E$5-$C$5),$C$5,$E$5)</f>
        <v/>
      </c>
      <c r="N968" s="14">
        <f>IF($AB968&lt;($D$6-$C$6)/($E$6-$C$6),$C$6+SQRT($AB968*($E$6-$C$6)*($D$6-$C$6)),$E$6-SQRT((1-$AB968)*($E$6-$C$6)*($E$6-$D$6)))</f>
        <v/>
      </c>
      <c r="O968" s="14">
        <f>_xlfn.NORM.INV($AC968,$C$7,$D$7)</f>
        <v/>
      </c>
      <c r="P968" s="14">
        <f>$C$8+($D$8-$C$8)*$AD968</f>
        <v/>
      </c>
      <c r="Q968" s="14">
        <f>$C$9</f>
        <v/>
      </c>
      <c r="R968" s="14">
        <f>_xlfn.LOGNORM.INV($AF968,LN($C$10)-0.5*LN(1+($D$10/$C$10)^2),SQRT(LN(1+($D$10/$C$10)^2)))</f>
        <v/>
      </c>
      <c r="S968" s="14">
        <f>SUM(M968:R968)</f>
        <v/>
      </c>
      <c r="AA968">
        <f>RAND()</f>
        <v/>
      </c>
      <c r="AB968">
        <f>RAND()</f>
        <v/>
      </c>
      <c r="AC968">
        <f>RAND()</f>
        <v/>
      </c>
      <c r="AD968">
        <f>RAND()</f>
        <v/>
      </c>
      <c r="AE968">
        <f>RAND()</f>
        <v/>
      </c>
      <c r="AF968">
        <f>RAND()</f>
        <v/>
      </c>
    </row>
    <row r="969">
      <c r="M969" s="14">
        <f>_xlfn.BETA.INV($AA969,1+4*($D$5-$C$5)/($E$5-$C$5),1+4*($E$5-$D$5)/($E$5-$C$5),$C$5,$E$5)</f>
        <v/>
      </c>
      <c r="N969" s="14">
        <f>IF($AB969&lt;($D$6-$C$6)/($E$6-$C$6),$C$6+SQRT($AB969*($E$6-$C$6)*($D$6-$C$6)),$E$6-SQRT((1-$AB969)*($E$6-$C$6)*($E$6-$D$6)))</f>
        <v/>
      </c>
      <c r="O969" s="14">
        <f>_xlfn.NORM.INV($AC969,$C$7,$D$7)</f>
        <v/>
      </c>
      <c r="P969" s="14">
        <f>$C$8+($D$8-$C$8)*$AD969</f>
        <v/>
      </c>
      <c r="Q969" s="14">
        <f>$C$9</f>
        <v/>
      </c>
      <c r="R969" s="14">
        <f>_xlfn.LOGNORM.INV($AF969,LN($C$10)-0.5*LN(1+($D$10/$C$10)^2),SQRT(LN(1+($D$10/$C$10)^2)))</f>
        <v/>
      </c>
      <c r="S969" s="14">
        <f>SUM(M969:R969)</f>
        <v/>
      </c>
      <c r="AA969">
        <f>RAND()</f>
        <v/>
      </c>
      <c r="AB969">
        <f>RAND()</f>
        <v/>
      </c>
      <c r="AC969">
        <f>RAND()</f>
        <v/>
      </c>
      <c r="AD969">
        <f>RAND()</f>
        <v/>
      </c>
      <c r="AE969">
        <f>RAND()</f>
        <v/>
      </c>
      <c r="AF969">
        <f>RAND()</f>
        <v/>
      </c>
    </row>
    <row r="970">
      <c r="M970" s="14">
        <f>_xlfn.BETA.INV($AA970,1+4*($D$5-$C$5)/($E$5-$C$5),1+4*($E$5-$D$5)/($E$5-$C$5),$C$5,$E$5)</f>
        <v/>
      </c>
      <c r="N970" s="14">
        <f>IF($AB970&lt;($D$6-$C$6)/($E$6-$C$6),$C$6+SQRT($AB970*($E$6-$C$6)*($D$6-$C$6)),$E$6-SQRT((1-$AB970)*($E$6-$C$6)*($E$6-$D$6)))</f>
        <v/>
      </c>
      <c r="O970" s="14">
        <f>_xlfn.NORM.INV($AC970,$C$7,$D$7)</f>
        <v/>
      </c>
      <c r="P970" s="14">
        <f>$C$8+($D$8-$C$8)*$AD970</f>
        <v/>
      </c>
      <c r="Q970" s="14">
        <f>$C$9</f>
        <v/>
      </c>
      <c r="R970" s="14">
        <f>_xlfn.LOGNORM.INV($AF970,LN($C$10)-0.5*LN(1+($D$10/$C$10)^2),SQRT(LN(1+($D$10/$C$10)^2)))</f>
        <v/>
      </c>
      <c r="S970" s="14">
        <f>SUM(M970:R970)</f>
        <v/>
      </c>
      <c r="AA970">
        <f>RAND()</f>
        <v/>
      </c>
      <c r="AB970">
        <f>RAND()</f>
        <v/>
      </c>
      <c r="AC970">
        <f>RAND()</f>
        <v/>
      </c>
      <c r="AD970">
        <f>RAND()</f>
        <v/>
      </c>
      <c r="AE970">
        <f>RAND()</f>
        <v/>
      </c>
      <c r="AF970">
        <f>RAND()</f>
        <v/>
      </c>
    </row>
    <row r="971">
      <c r="M971" s="14">
        <f>_xlfn.BETA.INV($AA971,1+4*($D$5-$C$5)/($E$5-$C$5),1+4*($E$5-$D$5)/($E$5-$C$5),$C$5,$E$5)</f>
        <v/>
      </c>
      <c r="N971" s="14">
        <f>IF($AB971&lt;($D$6-$C$6)/($E$6-$C$6),$C$6+SQRT($AB971*($E$6-$C$6)*($D$6-$C$6)),$E$6-SQRT((1-$AB971)*($E$6-$C$6)*($E$6-$D$6)))</f>
        <v/>
      </c>
      <c r="O971" s="14">
        <f>_xlfn.NORM.INV($AC971,$C$7,$D$7)</f>
        <v/>
      </c>
      <c r="P971" s="14">
        <f>$C$8+($D$8-$C$8)*$AD971</f>
        <v/>
      </c>
      <c r="Q971" s="14">
        <f>$C$9</f>
        <v/>
      </c>
      <c r="R971" s="14">
        <f>_xlfn.LOGNORM.INV($AF971,LN($C$10)-0.5*LN(1+($D$10/$C$10)^2),SQRT(LN(1+($D$10/$C$10)^2)))</f>
        <v/>
      </c>
      <c r="S971" s="14">
        <f>SUM(M971:R971)</f>
        <v/>
      </c>
      <c r="AA971">
        <f>RAND()</f>
        <v/>
      </c>
      <c r="AB971">
        <f>RAND()</f>
        <v/>
      </c>
      <c r="AC971">
        <f>RAND()</f>
        <v/>
      </c>
      <c r="AD971">
        <f>RAND()</f>
        <v/>
      </c>
      <c r="AE971">
        <f>RAND()</f>
        <v/>
      </c>
      <c r="AF971">
        <f>RAND()</f>
        <v/>
      </c>
    </row>
    <row r="972">
      <c r="M972" s="14">
        <f>_xlfn.BETA.INV($AA972,1+4*($D$5-$C$5)/($E$5-$C$5),1+4*($E$5-$D$5)/($E$5-$C$5),$C$5,$E$5)</f>
        <v/>
      </c>
      <c r="N972" s="14">
        <f>IF($AB972&lt;($D$6-$C$6)/($E$6-$C$6),$C$6+SQRT($AB972*($E$6-$C$6)*($D$6-$C$6)),$E$6-SQRT((1-$AB972)*($E$6-$C$6)*($E$6-$D$6)))</f>
        <v/>
      </c>
      <c r="O972" s="14">
        <f>_xlfn.NORM.INV($AC972,$C$7,$D$7)</f>
        <v/>
      </c>
      <c r="P972" s="14">
        <f>$C$8+($D$8-$C$8)*$AD972</f>
        <v/>
      </c>
      <c r="Q972" s="14">
        <f>$C$9</f>
        <v/>
      </c>
      <c r="R972" s="14">
        <f>_xlfn.LOGNORM.INV($AF972,LN($C$10)-0.5*LN(1+($D$10/$C$10)^2),SQRT(LN(1+($D$10/$C$10)^2)))</f>
        <v/>
      </c>
      <c r="S972" s="14">
        <f>SUM(M972:R972)</f>
        <v/>
      </c>
      <c r="AA972">
        <f>RAND()</f>
        <v/>
      </c>
      <c r="AB972">
        <f>RAND()</f>
        <v/>
      </c>
      <c r="AC972">
        <f>RAND()</f>
        <v/>
      </c>
      <c r="AD972">
        <f>RAND()</f>
        <v/>
      </c>
      <c r="AE972">
        <f>RAND()</f>
        <v/>
      </c>
      <c r="AF972">
        <f>RAND()</f>
        <v/>
      </c>
    </row>
    <row r="973">
      <c r="M973" s="14">
        <f>_xlfn.BETA.INV($AA973,1+4*($D$5-$C$5)/($E$5-$C$5),1+4*($E$5-$D$5)/($E$5-$C$5),$C$5,$E$5)</f>
        <v/>
      </c>
      <c r="N973" s="14">
        <f>IF($AB973&lt;($D$6-$C$6)/($E$6-$C$6),$C$6+SQRT($AB973*($E$6-$C$6)*($D$6-$C$6)),$E$6-SQRT((1-$AB973)*($E$6-$C$6)*($E$6-$D$6)))</f>
        <v/>
      </c>
      <c r="O973" s="14">
        <f>_xlfn.NORM.INV($AC973,$C$7,$D$7)</f>
        <v/>
      </c>
      <c r="P973" s="14">
        <f>$C$8+($D$8-$C$8)*$AD973</f>
        <v/>
      </c>
      <c r="Q973" s="14">
        <f>$C$9</f>
        <v/>
      </c>
      <c r="R973" s="14">
        <f>_xlfn.LOGNORM.INV($AF973,LN($C$10)-0.5*LN(1+($D$10/$C$10)^2),SQRT(LN(1+($D$10/$C$10)^2)))</f>
        <v/>
      </c>
      <c r="S973" s="14">
        <f>SUM(M973:R973)</f>
        <v/>
      </c>
      <c r="AA973">
        <f>RAND()</f>
        <v/>
      </c>
      <c r="AB973">
        <f>RAND()</f>
        <v/>
      </c>
      <c r="AC973">
        <f>RAND()</f>
        <v/>
      </c>
      <c r="AD973">
        <f>RAND()</f>
        <v/>
      </c>
      <c r="AE973">
        <f>RAND()</f>
        <v/>
      </c>
      <c r="AF973">
        <f>RAND()</f>
        <v/>
      </c>
    </row>
    <row r="974">
      <c r="M974" s="14">
        <f>_xlfn.BETA.INV($AA974,1+4*($D$5-$C$5)/($E$5-$C$5),1+4*($E$5-$D$5)/($E$5-$C$5),$C$5,$E$5)</f>
        <v/>
      </c>
      <c r="N974" s="14">
        <f>IF($AB974&lt;($D$6-$C$6)/($E$6-$C$6),$C$6+SQRT($AB974*($E$6-$C$6)*($D$6-$C$6)),$E$6-SQRT((1-$AB974)*($E$6-$C$6)*($E$6-$D$6)))</f>
        <v/>
      </c>
      <c r="O974" s="14">
        <f>_xlfn.NORM.INV($AC974,$C$7,$D$7)</f>
        <v/>
      </c>
      <c r="P974" s="14">
        <f>$C$8+($D$8-$C$8)*$AD974</f>
        <v/>
      </c>
      <c r="Q974" s="14">
        <f>$C$9</f>
        <v/>
      </c>
      <c r="R974" s="14">
        <f>_xlfn.LOGNORM.INV($AF974,LN($C$10)-0.5*LN(1+($D$10/$C$10)^2),SQRT(LN(1+($D$10/$C$10)^2)))</f>
        <v/>
      </c>
      <c r="S974" s="14">
        <f>SUM(M974:R974)</f>
        <v/>
      </c>
      <c r="AA974">
        <f>RAND()</f>
        <v/>
      </c>
      <c r="AB974">
        <f>RAND()</f>
        <v/>
      </c>
      <c r="AC974">
        <f>RAND()</f>
        <v/>
      </c>
      <c r="AD974">
        <f>RAND()</f>
        <v/>
      </c>
      <c r="AE974">
        <f>RAND()</f>
        <v/>
      </c>
      <c r="AF974">
        <f>RAND()</f>
        <v/>
      </c>
    </row>
    <row r="975">
      <c r="M975" s="14">
        <f>_xlfn.BETA.INV($AA975,1+4*($D$5-$C$5)/($E$5-$C$5),1+4*($E$5-$D$5)/($E$5-$C$5),$C$5,$E$5)</f>
        <v/>
      </c>
      <c r="N975" s="14">
        <f>IF($AB975&lt;($D$6-$C$6)/($E$6-$C$6),$C$6+SQRT($AB975*($E$6-$C$6)*($D$6-$C$6)),$E$6-SQRT((1-$AB975)*($E$6-$C$6)*($E$6-$D$6)))</f>
        <v/>
      </c>
      <c r="O975" s="14">
        <f>_xlfn.NORM.INV($AC975,$C$7,$D$7)</f>
        <v/>
      </c>
      <c r="P975" s="14">
        <f>$C$8+($D$8-$C$8)*$AD975</f>
        <v/>
      </c>
      <c r="Q975" s="14">
        <f>$C$9</f>
        <v/>
      </c>
      <c r="R975" s="14">
        <f>_xlfn.LOGNORM.INV($AF975,LN($C$10)-0.5*LN(1+($D$10/$C$10)^2),SQRT(LN(1+($D$10/$C$10)^2)))</f>
        <v/>
      </c>
      <c r="S975" s="14">
        <f>SUM(M975:R975)</f>
        <v/>
      </c>
      <c r="AA975">
        <f>RAND()</f>
        <v/>
      </c>
      <c r="AB975">
        <f>RAND()</f>
        <v/>
      </c>
      <c r="AC975">
        <f>RAND()</f>
        <v/>
      </c>
      <c r="AD975">
        <f>RAND()</f>
        <v/>
      </c>
      <c r="AE975">
        <f>RAND()</f>
        <v/>
      </c>
      <c r="AF975">
        <f>RAND()</f>
        <v/>
      </c>
    </row>
    <row r="976">
      <c r="M976" s="14">
        <f>_xlfn.BETA.INV($AA976,1+4*($D$5-$C$5)/($E$5-$C$5),1+4*($E$5-$D$5)/($E$5-$C$5),$C$5,$E$5)</f>
        <v/>
      </c>
      <c r="N976" s="14">
        <f>IF($AB976&lt;($D$6-$C$6)/($E$6-$C$6),$C$6+SQRT($AB976*($E$6-$C$6)*($D$6-$C$6)),$E$6-SQRT((1-$AB976)*($E$6-$C$6)*($E$6-$D$6)))</f>
        <v/>
      </c>
      <c r="O976" s="14">
        <f>_xlfn.NORM.INV($AC976,$C$7,$D$7)</f>
        <v/>
      </c>
      <c r="P976" s="14">
        <f>$C$8+($D$8-$C$8)*$AD976</f>
        <v/>
      </c>
      <c r="Q976" s="14">
        <f>$C$9</f>
        <v/>
      </c>
      <c r="R976" s="14">
        <f>_xlfn.LOGNORM.INV($AF976,LN($C$10)-0.5*LN(1+($D$10/$C$10)^2),SQRT(LN(1+($D$10/$C$10)^2)))</f>
        <v/>
      </c>
      <c r="S976" s="14">
        <f>SUM(M976:R976)</f>
        <v/>
      </c>
      <c r="AA976">
        <f>RAND()</f>
        <v/>
      </c>
      <c r="AB976">
        <f>RAND()</f>
        <v/>
      </c>
      <c r="AC976">
        <f>RAND()</f>
        <v/>
      </c>
      <c r="AD976">
        <f>RAND()</f>
        <v/>
      </c>
      <c r="AE976">
        <f>RAND()</f>
        <v/>
      </c>
      <c r="AF976">
        <f>RAND()</f>
        <v/>
      </c>
    </row>
    <row r="977">
      <c r="M977" s="14">
        <f>_xlfn.BETA.INV($AA977,1+4*($D$5-$C$5)/($E$5-$C$5),1+4*($E$5-$D$5)/($E$5-$C$5),$C$5,$E$5)</f>
        <v/>
      </c>
      <c r="N977" s="14">
        <f>IF($AB977&lt;($D$6-$C$6)/($E$6-$C$6),$C$6+SQRT($AB977*($E$6-$C$6)*($D$6-$C$6)),$E$6-SQRT((1-$AB977)*($E$6-$C$6)*($E$6-$D$6)))</f>
        <v/>
      </c>
      <c r="O977" s="14">
        <f>_xlfn.NORM.INV($AC977,$C$7,$D$7)</f>
        <v/>
      </c>
      <c r="P977" s="14">
        <f>$C$8+($D$8-$C$8)*$AD977</f>
        <v/>
      </c>
      <c r="Q977" s="14">
        <f>$C$9</f>
        <v/>
      </c>
      <c r="R977" s="14">
        <f>_xlfn.LOGNORM.INV($AF977,LN($C$10)-0.5*LN(1+($D$10/$C$10)^2),SQRT(LN(1+($D$10/$C$10)^2)))</f>
        <v/>
      </c>
      <c r="S977" s="14">
        <f>SUM(M977:R977)</f>
        <v/>
      </c>
      <c r="AA977">
        <f>RAND()</f>
        <v/>
      </c>
      <c r="AB977">
        <f>RAND()</f>
        <v/>
      </c>
      <c r="AC977">
        <f>RAND()</f>
        <v/>
      </c>
      <c r="AD977">
        <f>RAND()</f>
        <v/>
      </c>
      <c r="AE977">
        <f>RAND()</f>
        <v/>
      </c>
      <c r="AF977">
        <f>RAND()</f>
        <v/>
      </c>
    </row>
    <row r="978">
      <c r="M978" s="14">
        <f>_xlfn.BETA.INV($AA978,1+4*($D$5-$C$5)/($E$5-$C$5),1+4*($E$5-$D$5)/($E$5-$C$5),$C$5,$E$5)</f>
        <v/>
      </c>
      <c r="N978" s="14">
        <f>IF($AB978&lt;($D$6-$C$6)/($E$6-$C$6),$C$6+SQRT($AB978*($E$6-$C$6)*($D$6-$C$6)),$E$6-SQRT((1-$AB978)*($E$6-$C$6)*($E$6-$D$6)))</f>
        <v/>
      </c>
      <c r="O978" s="14">
        <f>_xlfn.NORM.INV($AC978,$C$7,$D$7)</f>
        <v/>
      </c>
      <c r="P978" s="14">
        <f>$C$8+($D$8-$C$8)*$AD978</f>
        <v/>
      </c>
      <c r="Q978" s="14">
        <f>$C$9</f>
        <v/>
      </c>
      <c r="R978" s="14">
        <f>_xlfn.LOGNORM.INV($AF978,LN($C$10)-0.5*LN(1+($D$10/$C$10)^2),SQRT(LN(1+($D$10/$C$10)^2)))</f>
        <v/>
      </c>
      <c r="S978" s="14">
        <f>SUM(M978:R978)</f>
        <v/>
      </c>
      <c r="AA978">
        <f>RAND()</f>
        <v/>
      </c>
      <c r="AB978">
        <f>RAND()</f>
        <v/>
      </c>
      <c r="AC978">
        <f>RAND()</f>
        <v/>
      </c>
      <c r="AD978">
        <f>RAND()</f>
        <v/>
      </c>
      <c r="AE978">
        <f>RAND()</f>
        <v/>
      </c>
      <c r="AF978">
        <f>RAND()</f>
        <v/>
      </c>
    </row>
    <row r="979">
      <c r="M979" s="14">
        <f>_xlfn.BETA.INV($AA979,1+4*($D$5-$C$5)/($E$5-$C$5),1+4*($E$5-$D$5)/($E$5-$C$5),$C$5,$E$5)</f>
        <v/>
      </c>
      <c r="N979" s="14">
        <f>IF($AB979&lt;($D$6-$C$6)/($E$6-$C$6),$C$6+SQRT($AB979*($E$6-$C$6)*($D$6-$C$6)),$E$6-SQRT((1-$AB979)*($E$6-$C$6)*($E$6-$D$6)))</f>
        <v/>
      </c>
      <c r="O979" s="14">
        <f>_xlfn.NORM.INV($AC979,$C$7,$D$7)</f>
        <v/>
      </c>
      <c r="P979" s="14">
        <f>$C$8+($D$8-$C$8)*$AD979</f>
        <v/>
      </c>
      <c r="Q979" s="14">
        <f>$C$9</f>
        <v/>
      </c>
      <c r="R979" s="14">
        <f>_xlfn.LOGNORM.INV($AF979,LN($C$10)-0.5*LN(1+($D$10/$C$10)^2),SQRT(LN(1+($D$10/$C$10)^2)))</f>
        <v/>
      </c>
      <c r="S979" s="14">
        <f>SUM(M979:R979)</f>
        <v/>
      </c>
      <c r="AA979">
        <f>RAND()</f>
        <v/>
      </c>
      <c r="AB979">
        <f>RAND()</f>
        <v/>
      </c>
      <c r="AC979">
        <f>RAND()</f>
        <v/>
      </c>
      <c r="AD979">
        <f>RAND()</f>
        <v/>
      </c>
      <c r="AE979">
        <f>RAND()</f>
        <v/>
      </c>
      <c r="AF979">
        <f>RAND()</f>
        <v/>
      </c>
    </row>
    <row r="980">
      <c r="M980" s="14">
        <f>_xlfn.BETA.INV($AA980,1+4*($D$5-$C$5)/($E$5-$C$5),1+4*($E$5-$D$5)/($E$5-$C$5),$C$5,$E$5)</f>
        <v/>
      </c>
      <c r="N980" s="14">
        <f>IF($AB980&lt;($D$6-$C$6)/($E$6-$C$6),$C$6+SQRT($AB980*($E$6-$C$6)*($D$6-$C$6)),$E$6-SQRT((1-$AB980)*($E$6-$C$6)*($E$6-$D$6)))</f>
        <v/>
      </c>
      <c r="O980" s="14">
        <f>_xlfn.NORM.INV($AC980,$C$7,$D$7)</f>
        <v/>
      </c>
      <c r="P980" s="14">
        <f>$C$8+($D$8-$C$8)*$AD980</f>
        <v/>
      </c>
      <c r="Q980" s="14">
        <f>$C$9</f>
        <v/>
      </c>
      <c r="R980" s="14">
        <f>_xlfn.LOGNORM.INV($AF980,LN($C$10)-0.5*LN(1+($D$10/$C$10)^2),SQRT(LN(1+($D$10/$C$10)^2)))</f>
        <v/>
      </c>
      <c r="S980" s="14">
        <f>SUM(M980:R980)</f>
        <v/>
      </c>
      <c r="AA980">
        <f>RAND()</f>
        <v/>
      </c>
      <c r="AB980">
        <f>RAND()</f>
        <v/>
      </c>
      <c r="AC980">
        <f>RAND()</f>
        <v/>
      </c>
      <c r="AD980">
        <f>RAND()</f>
        <v/>
      </c>
      <c r="AE980">
        <f>RAND()</f>
        <v/>
      </c>
      <c r="AF980">
        <f>RAND()</f>
        <v/>
      </c>
    </row>
    <row r="981">
      <c r="M981" s="14">
        <f>_xlfn.BETA.INV($AA981,1+4*($D$5-$C$5)/($E$5-$C$5),1+4*($E$5-$D$5)/($E$5-$C$5),$C$5,$E$5)</f>
        <v/>
      </c>
      <c r="N981" s="14">
        <f>IF($AB981&lt;($D$6-$C$6)/($E$6-$C$6),$C$6+SQRT($AB981*($E$6-$C$6)*($D$6-$C$6)),$E$6-SQRT((1-$AB981)*($E$6-$C$6)*($E$6-$D$6)))</f>
        <v/>
      </c>
      <c r="O981" s="14">
        <f>_xlfn.NORM.INV($AC981,$C$7,$D$7)</f>
        <v/>
      </c>
      <c r="P981" s="14">
        <f>$C$8+($D$8-$C$8)*$AD981</f>
        <v/>
      </c>
      <c r="Q981" s="14">
        <f>$C$9</f>
        <v/>
      </c>
      <c r="R981" s="14">
        <f>_xlfn.LOGNORM.INV($AF981,LN($C$10)-0.5*LN(1+($D$10/$C$10)^2),SQRT(LN(1+($D$10/$C$10)^2)))</f>
        <v/>
      </c>
      <c r="S981" s="14">
        <f>SUM(M981:R981)</f>
        <v/>
      </c>
      <c r="AA981">
        <f>RAND()</f>
        <v/>
      </c>
      <c r="AB981">
        <f>RAND()</f>
        <v/>
      </c>
      <c r="AC981">
        <f>RAND()</f>
        <v/>
      </c>
      <c r="AD981">
        <f>RAND()</f>
        <v/>
      </c>
      <c r="AE981">
        <f>RAND()</f>
        <v/>
      </c>
      <c r="AF981">
        <f>RAND()</f>
        <v/>
      </c>
    </row>
    <row r="982">
      <c r="M982" s="14">
        <f>_xlfn.BETA.INV($AA982,1+4*($D$5-$C$5)/($E$5-$C$5),1+4*($E$5-$D$5)/($E$5-$C$5),$C$5,$E$5)</f>
        <v/>
      </c>
      <c r="N982" s="14">
        <f>IF($AB982&lt;($D$6-$C$6)/($E$6-$C$6),$C$6+SQRT($AB982*($E$6-$C$6)*($D$6-$C$6)),$E$6-SQRT((1-$AB982)*($E$6-$C$6)*($E$6-$D$6)))</f>
        <v/>
      </c>
      <c r="O982" s="14">
        <f>_xlfn.NORM.INV($AC982,$C$7,$D$7)</f>
        <v/>
      </c>
      <c r="P982" s="14">
        <f>$C$8+($D$8-$C$8)*$AD982</f>
        <v/>
      </c>
      <c r="Q982" s="14">
        <f>$C$9</f>
        <v/>
      </c>
      <c r="R982" s="14">
        <f>_xlfn.LOGNORM.INV($AF982,LN($C$10)-0.5*LN(1+($D$10/$C$10)^2),SQRT(LN(1+($D$10/$C$10)^2)))</f>
        <v/>
      </c>
      <c r="S982" s="14">
        <f>SUM(M982:R982)</f>
        <v/>
      </c>
      <c r="AA982">
        <f>RAND()</f>
        <v/>
      </c>
      <c r="AB982">
        <f>RAND()</f>
        <v/>
      </c>
      <c r="AC982">
        <f>RAND()</f>
        <v/>
      </c>
      <c r="AD982">
        <f>RAND()</f>
        <v/>
      </c>
      <c r="AE982">
        <f>RAND()</f>
        <v/>
      </c>
      <c r="AF982">
        <f>RAND()</f>
        <v/>
      </c>
    </row>
    <row r="983">
      <c r="M983" s="14">
        <f>_xlfn.BETA.INV($AA983,1+4*($D$5-$C$5)/($E$5-$C$5),1+4*($E$5-$D$5)/($E$5-$C$5),$C$5,$E$5)</f>
        <v/>
      </c>
      <c r="N983" s="14">
        <f>IF($AB983&lt;($D$6-$C$6)/($E$6-$C$6),$C$6+SQRT($AB983*($E$6-$C$6)*($D$6-$C$6)),$E$6-SQRT((1-$AB983)*($E$6-$C$6)*($E$6-$D$6)))</f>
        <v/>
      </c>
      <c r="O983" s="14">
        <f>_xlfn.NORM.INV($AC983,$C$7,$D$7)</f>
        <v/>
      </c>
      <c r="P983" s="14">
        <f>$C$8+($D$8-$C$8)*$AD983</f>
        <v/>
      </c>
      <c r="Q983" s="14">
        <f>$C$9</f>
        <v/>
      </c>
      <c r="R983" s="14">
        <f>_xlfn.LOGNORM.INV($AF983,LN($C$10)-0.5*LN(1+($D$10/$C$10)^2),SQRT(LN(1+($D$10/$C$10)^2)))</f>
        <v/>
      </c>
      <c r="S983" s="14">
        <f>SUM(M983:R983)</f>
        <v/>
      </c>
      <c r="AA983">
        <f>RAND()</f>
        <v/>
      </c>
      <c r="AB983">
        <f>RAND()</f>
        <v/>
      </c>
      <c r="AC983">
        <f>RAND()</f>
        <v/>
      </c>
      <c r="AD983">
        <f>RAND()</f>
        <v/>
      </c>
      <c r="AE983">
        <f>RAND()</f>
        <v/>
      </c>
      <c r="AF983">
        <f>RAND()</f>
        <v/>
      </c>
    </row>
    <row r="984">
      <c r="M984" s="14">
        <f>_xlfn.BETA.INV($AA984,1+4*($D$5-$C$5)/($E$5-$C$5),1+4*($E$5-$D$5)/($E$5-$C$5),$C$5,$E$5)</f>
        <v/>
      </c>
      <c r="N984" s="14">
        <f>IF($AB984&lt;($D$6-$C$6)/($E$6-$C$6),$C$6+SQRT($AB984*($E$6-$C$6)*($D$6-$C$6)),$E$6-SQRT((1-$AB984)*($E$6-$C$6)*($E$6-$D$6)))</f>
        <v/>
      </c>
      <c r="O984" s="14">
        <f>_xlfn.NORM.INV($AC984,$C$7,$D$7)</f>
        <v/>
      </c>
      <c r="P984" s="14">
        <f>$C$8+($D$8-$C$8)*$AD984</f>
        <v/>
      </c>
      <c r="Q984" s="14">
        <f>$C$9</f>
        <v/>
      </c>
      <c r="R984" s="14">
        <f>_xlfn.LOGNORM.INV($AF984,LN($C$10)-0.5*LN(1+($D$10/$C$10)^2),SQRT(LN(1+($D$10/$C$10)^2)))</f>
        <v/>
      </c>
      <c r="S984" s="14">
        <f>SUM(M984:R984)</f>
        <v/>
      </c>
      <c r="AA984">
        <f>RAND()</f>
        <v/>
      </c>
      <c r="AB984">
        <f>RAND()</f>
        <v/>
      </c>
      <c r="AC984">
        <f>RAND()</f>
        <v/>
      </c>
      <c r="AD984">
        <f>RAND()</f>
        <v/>
      </c>
      <c r="AE984">
        <f>RAND()</f>
        <v/>
      </c>
      <c r="AF984">
        <f>RAND()</f>
        <v/>
      </c>
    </row>
    <row r="985">
      <c r="M985" s="14">
        <f>_xlfn.BETA.INV($AA985,1+4*($D$5-$C$5)/($E$5-$C$5),1+4*($E$5-$D$5)/($E$5-$C$5),$C$5,$E$5)</f>
        <v/>
      </c>
      <c r="N985" s="14">
        <f>IF($AB985&lt;($D$6-$C$6)/($E$6-$C$6),$C$6+SQRT($AB985*($E$6-$C$6)*($D$6-$C$6)),$E$6-SQRT((1-$AB985)*($E$6-$C$6)*($E$6-$D$6)))</f>
        <v/>
      </c>
      <c r="O985" s="14">
        <f>_xlfn.NORM.INV($AC985,$C$7,$D$7)</f>
        <v/>
      </c>
      <c r="P985" s="14">
        <f>$C$8+($D$8-$C$8)*$AD985</f>
        <v/>
      </c>
      <c r="Q985" s="14">
        <f>$C$9</f>
        <v/>
      </c>
      <c r="R985" s="14">
        <f>_xlfn.LOGNORM.INV($AF985,LN($C$10)-0.5*LN(1+($D$10/$C$10)^2),SQRT(LN(1+($D$10/$C$10)^2)))</f>
        <v/>
      </c>
      <c r="S985" s="14">
        <f>SUM(M985:R985)</f>
        <v/>
      </c>
      <c r="AA985">
        <f>RAND()</f>
        <v/>
      </c>
      <c r="AB985">
        <f>RAND()</f>
        <v/>
      </c>
      <c r="AC985">
        <f>RAND()</f>
        <v/>
      </c>
      <c r="AD985">
        <f>RAND()</f>
        <v/>
      </c>
      <c r="AE985">
        <f>RAND()</f>
        <v/>
      </c>
      <c r="AF985">
        <f>RAND()</f>
        <v/>
      </c>
    </row>
    <row r="986">
      <c r="M986" s="14">
        <f>_xlfn.BETA.INV($AA986,1+4*($D$5-$C$5)/($E$5-$C$5),1+4*($E$5-$D$5)/($E$5-$C$5),$C$5,$E$5)</f>
        <v/>
      </c>
      <c r="N986" s="14">
        <f>IF($AB986&lt;($D$6-$C$6)/($E$6-$C$6),$C$6+SQRT($AB986*($E$6-$C$6)*($D$6-$C$6)),$E$6-SQRT((1-$AB986)*($E$6-$C$6)*($E$6-$D$6)))</f>
        <v/>
      </c>
      <c r="O986" s="14">
        <f>_xlfn.NORM.INV($AC986,$C$7,$D$7)</f>
        <v/>
      </c>
      <c r="P986" s="14">
        <f>$C$8+($D$8-$C$8)*$AD986</f>
        <v/>
      </c>
      <c r="Q986" s="14">
        <f>$C$9</f>
        <v/>
      </c>
      <c r="R986" s="14">
        <f>_xlfn.LOGNORM.INV($AF986,LN($C$10)-0.5*LN(1+($D$10/$C$10)^2),SQRT(LN(1+($D$10/$C$10)^2)))</f>
        <v/>
      </c>
      <c r="S986" s="14">
        <f>SUM(M986:R986)</f>
        <v/>
      </c>
      <c r="AA986">
        <f>RAND()</f>
        <v/>
      </c>
      <c r="AB986">
        <f>RAND()</f>
        <v/>
      </c>
      <c r="AC986">
        <f>RAND()</f>
        <v/>
      </c>
      <c r="AD986">
        <f>RAND()</f>
        <v/>
      </c>
      <c r="AE986">
        <f>RAND()</f>
        <v/>
      </c>
      <c r="AF986">
        <f>RAND()</f>
        <v/>
      </c>
    </row>
    <row r="987">
      <c r="M987" s="14">
        <f>_xlfn.BETA.INV($AA987,1+4*($D$5-$C$5)/($E$5-$C$5),1+4*($E$5-$D$5)/($E$5-$C$5),$C$5,$E$5)</f>
        <v/>
      </c>
      <c r="N987" s="14">
        <f>IF($AB987&lt;($D$6-$C$6)/($E$6-$C$6),$C$6+SQRT($AB987*($E$6-$C$6)*($D$6-$C$6)),$E$6-SQRT((1-$AB987)*($E$6-$C$6)*($E$6-$D$6)))</f>
        <v/>
      </c>
      <c r="O987" s="14">
        <f>_xlfn.NORM.INV($AC987,$C$7,$D$7)</f>
        <v/>
      </c>
      <c r="P987" s="14">
        <f>$C$8+($D$8-$C$8)*$AD987</f>
        <v/>
      </c>
      <c r="Q987" s="14">
        <f>$C$9</f>
        <v/>
      </c>
      <c r="R987" s="14">
        <f>_xlfn.LOGNORM.INV($AF987,LN($C$10)-0.5*LN(1+($D$10/$C$10)^2),SQRT(LN(1+($D$10/$C$10)^2)))</f>
        <v/>
      </c>
      <c r="S987" s="14">
        <f>SUM(M987:R987)</f>
        <v/>
      </c>
      <c r="AA987">
        <f>RAND()</f>
        <v/>
      </c>
      <c r="AB987">
        <f>RAND()</f>
        <v/>
      </c>
      <c r="AC987">
        <f>RAND()</f>
        <v/>
      </c>
      <c r="AD987">
        <f>RAND()</f>
        <v/>
      </c>
      <c r="AE987">
        <f>RAND()</f>
        <v/>
      </c>
      <c r="AF987">
        <f>RAND()</f>
        <v/>
      </c>
    </row>
    <row r="988">
      <c r="M988" s="14">
        <f>_xlfn.BETA.INV($AA988,1+4*($D$5-$C$5)/($E$5-$C$5),1+4*($E$5-$D$5)/($E$5-$C$5),$C$5,$E$5)</f>
        <v/>
      </c>
      <c r="N988" s="14">
        <f>IF($AB988&lt;($D$6-$C$6)/($E$6-$C$6),$C$6+SQRT($AB988*($E$6-$C$6)*($D$6-$C$6)),$E$6-SQRT((1-$AB988)*($E$6-$C$6)*($E$6-$D$6)))</f>
        <v/>
      </c>
      <c r="O988" s="14">
        <f>_xlfn.NORM.INV($AC988,$C$7,$D$7)</f>
        <v/>
      </c>
      <c r="P988" s="14">
        <f>$C$8+($D$8-$C$8)*$AD988</f>
        <v/>
      </c>
      <c r="Q988" s="14">
        <f>$C$9</f>
        <v/>
      </c>
      <c r="R988" s="14">
        <f>_xlfn.LOGNORM.INV($AF988,LN($C$10)-0.5*LN(1+($D$10/$C$10)^2),SQRT(LN(1+($D$10/$C$10)^2)))</f>
        <v/>
      </c>
      <c r="S988" s="14">
        <f>SUM(M988:R988)</f>
        <v/>
      </c>
      <c r="AA988">
        <f>RAND()</f>
        <v/>
      </c>
      <c r="AB988">
        <f>RAND()</f>
        <v/>
      </c>
      <c r="AC988">
        <f>RAND()</f>
        <v/>
      </c>
      <c r="AD988">
        <f>RAND()</f>
        <v/>
      </c>
      <c r="AE988">
        <f>RAND()</f>
        <v/>
      </c>
      <c r="AF988">
        <f>RAND()</f>
        <v/>
      </c>
    </row>
    <row r="989">
      <c r="M989" s="14">
        <f>_xlfn.BETA.INV($AA989,1+4*($D$5-$C$5)/($E$5-$C$5),1+4*($E$5-$D$5)/($E$5-$C$5),$C$5,$E$5)</f>
        <v/>
      </c>
      <c r="N989" s="14">
        <f>IF($AB989&lt;($D$6-$C$6)/($E$6-$C$6),$C$6+SQRT($AB989*($E$6-$C$6)*($D$6-$C$6)),$E$6-SQRT((1-$AB989)*($E$6-$C$6)*($E$6-$D$6)))</f>
        <v/>
      </c>
      <c r="O989" s="14">
        <f>_xlfn.NORM.INV($AC989,$C$7,$D$7)</f>
        <v/>
      </c>
      <c r="P989" s="14">
        <f>$C$8+($D$8-$C$8)*$AD989</f>
        <v/>
      </c>
      <c r="Q989" s="14">
        <f>$C$9</f>
        <v/>
      </c>
      <c r="R989" s="14">
        <f>_xlfn.LOGNORM.INV($AF989,LN($C$10)-0.5*LN(1+($D$10/$C$10)^2),SQRT(LN(1+($D$10/$C$10)^2)))</f>
        <v/>
      </c>
      <c r="S989" s="14">
        <f>SUM(M989:R989)</f>
        <v/>
      </c>
      <c r="AA989">
        <f>RAND()</f>
        <v/>
      </c>
      <c r="AB989">
        <f>RAND()</f>
        <v/>
      </c>
      <c r="AC989">
        <f>RAND()</f>
        <v/>
      </c>
      <c r="AD989">
        <f>RAND()</f>
        <v/>
      </c>
      <c r="AE989">
        <f>RAND()</f>
        <v/>
      </c>
      <c r="AF989">
        <f>RAND()</f>
        <v/>
      </c>
    </row>
    <row r="990">
      <c r="M990" s="14">
        <f>_xlfn.BETA.INV($AA990,1+4*($D$5-$C$5)/($E$5-$C$5),1+4*($E$5-$D$5)/($E$5-$C$5),$C$5,$E$5)</f>
        <v/>
      </c>
      <c r="N990" s="14">
        <f>IF($AB990&lt;($D$6-$C$6)/($E$6-$C$6),$C$6+SQRT($AB990*($E$6-$C$6)*($D$6-$C$6)),$E$6-SQRT((1-$AB990)*($E$6-$C$6)*($E$6-$D$6)))</f>
        <v/>
      </c>
      <c r="O990" s="14">
        <f>_xlfn.NORM.INV($AC990,$C$7,$D$7)</f>
        <v/>
      </c>
      <c r="P990" s="14">
        <f>$C$8+($D$8-$C$8)*$AD990</f>
        <v/>
      </c>
      <c r="Q990" s="14">
        <f>$C$9</f>
        <v/>
      </c>
      <c r="R990" s="14">
        <f>_xlfn.LOGNORM.INV($AF990,LN($C$10)-0.5*LN(1+($D$10/$C$10)^2),SQRT(LN(1+($D$10/$C$10)^2)))</f>
        <v/>
      </c>
      <c r="S990" s="14">
        <f>SUM(M990:R990)</f>
        <v/>
      </c>
      <c r="AA990">
        <f>RAND()</f>
        <v/>
      </c>
      <c r="AB990">
        <f>RAND()</f>
        <v/>
      </c>
      <c r="AC990">
        <f>RAND()</f>
        <v/>
      </c>
      <c r="AD990">
        <f>RAND()</f>
        <v/>
      </c>
      <c r="AE990">
        <f>RAND()</f>
        <v/>
      </c>
      <c r="AF990">
        <f>RAND()</f>
        <v/>
      </c>
    </row>
    <row r="991">
      <c r="M991" s="14">
        <f>_xlfn.BETA.INV($AA991,1+4*($D$5-$C$5)/($E$5-$C$5),1+4*($E$5-$D$5)/($E$5-$C$5),$C$5,$E$5)</f>
        <v/>
      </c>
      <c r="N991" s="14">
        <f>IF($AB991&lt;($D$6-$C$6)/($E$6-$C$6),$C$6+SQRT($AB991*($E$6-$C$6)*($D$6-$C$6)),$E$6-SQRT((1-$AB991)*($E$6-$C$6)*($E$6-$D$6)))</f>
        <v/>
      </c>
      <c r="O991" s="14">
        <f>_xlfn.NORM.INV($AC991,$C$7,$D$7)</f>
        <v/>
      </c>
      <c r="P991" s="14">
        <f>$C$8+($D$8-$C$8)*$AD991</f>
        <v/>
      </c>
      <c r="Q991" s="14">
        <f>$C$9</f>
        <v/>
      </c>
      <c r="R991" s="14">
        <f>_xlfn.LOGNORM.INV($AF991,LN($C$10)-0.5*LN(1+($D$10/$C$10)^2),SQRT(LN(1+($D$10/$C$10)^2)))</f>
        <v/>
      </c>
      <c r="S991" s="14">
        <f>SUM(M991:R991)</f>
        <v/>
      </c>
      <c r="AA991">
        <f>RAND()</f>
        <v/>
      </c>
      <c r="AB991">
        <f>RAND()</f>
        <v/>
      </c>
      <c r="AC991">
        <f>RAND()</f>
        <v/>
      </c>
      <c r="AD991">
        <f>RAND()</f>
        <v/>
      </c>
      <c r="AE991">
        <f>RAND()</f>
        <v/>
      </c>
      <c r="AF991">
        <f>RAND()</f>
        <v/>
      </c>
    </row>
    <row r="992">
      <c r="M992" s="14">
        <f>_xlfn.BETA.INV($AA992,1+4*($D$5-$C$5)/($E$5-$C$5),1+4*($E$5-$D$5)/($E$5-$C$5),$C$5,$E$5)</f>
        <v/>
      </c>
      <c r="N992" s="14">
        <f>IF($AB992&lt;($D$6-$C$6)/($E$6-$C$6),$C$6+SQRT($AB992*($E$6-$C$6)*($D$6-$C$6)),$E$6-SQRT((1-$AB992)*($E$6-$C$6)*($E$6-$D$6)))</f>
        <v/>
      </c>
      <c r="O992" s="14">
        <f>_xlfn.NORM.INV($AC992,$C$7,$D$7)</f>
        <v/>
      </c>
      <c r="P992" s="14">
        <f>$C$8+($D$8-$C$8)*$AD992</f>
        <v/>
      </c>
      <c r="Q992" s="14">
        <f>$C$9</f>
        <v/>
      </c>
      <c r="R992" s="14">
        <f>_xlfn.LOGNORM.INV($AF992,LN($C$10)-0.5*LN(1+($D$10/$C$10)^2),SQRT(LN(1+($D$10/$C$10)^2)))</f>
        <v/>
      </c>
      <c r="S992" s="14">
        <f>SUM(M992:R992)</f>
        <v/>
      </c>
      <c r="AA992">
        <f>RAND()</f>
        <v/>
      </c>
      <c r="AB992">
        <f>RAND()</f>
        <v/>
      </c>
      <c r="AC992">
        <f>RAND()</f>
        <v/>
      </c>
      <c r="AD992">
        <f>RAND()</f>
        <v/>
      </c>
      <c r="AE992">
        <f>RAND()</f>
        <v/>
      </c>
      <c r="AF992">
        <f>RAND()</f>
        <v/>
      </c>
    </row>
    <row r="993">
      <c r="M993" s="14">
        <f>_xlfn.BETA.INV($AA993,1+4*($D$5-$C$5)/($E$5-$C$5),1+4*($E$5-$D$5)/($E$5-$C$5),$C$5,$E$5)</f>
        <v/>
      </c>
      <c r="N993" s="14">
        <f>IF($AB993&lt;($D$6-$C$6)/($E$6-$C$6),$C$6+SQRT($AB993*($E$6-$C$6)*($D$6-$C$6)),$E$6-SQRT((1-$AB993)*($E$6-$C$6)*($E$6-$D$6)))</f>
        <v/>
      </c>
      <c r="O993" s="14">
        <f>_xlfn.NORM.INV($AC993,$C$7,$D$7)</f>
        <v/>
      </c>
      <c r="P993" s="14">
        <f>$C$8+($D$8-$C$8)*$AD993</f>
        <v/>
      </c>
      <c r="Q993" s="14">
        <f>$C$9</f>
        <v/>
      </c>
      <c r="R993" s="14">
        <f>_xlfn.LOGNORM.INV($AF993,LN($C$10)-0.5*LN(1+($D$10/$C$10)^2),SQRT(LN(1+($D$10/$C$10)^2)))</f>
        <v/>
      </c>
      <c r="S993" s="14">
        <f>SUM(M993:R993)</f>
        <v/>
      </c>
      <c r="AA993">
        <f>RAND()</f>
        <v/>
      </c>
      <c r="AB993">
        <f>RAND()</f>
        <v/>
      </c>
      <c r="AC993">
        <f>RAND()</f>
        <v/>
      </c>
      <c r="AD993">
        <f>RAND()</f>
        <v/>
      </c>
      <c r="AE993">
        <f>RAND()</f>
        <v/>
      </c>
      <c r="AF993">
        <f>RAND()</f>
        <v/>
      </c>
    </row>
    <row r="994">
      <c r="M994" s="14">
        <f>_xlfn.BETA.INV($AA994,1+4*($D$5-$C$5)/($E$5-$C$5),1+4*($E$5-$D$5)/($E$5-$C$5),$C$5,$E$5)</f>
        <v/>
      </c>
      <c r="N994" s="14">
        <f>IF($AB994&lt;($D$6-$C$6)/($E$6-$C$6),$C$6+SQRT($AB994*($E$6-$C$6)*($D$6-$C$6)),$E$6-SQRT((1-$AB994)*($E$6-$C$6)*($E$6-$D$6)))</f>
        <v/>
      </c>
      <c r="O994" s="14">
        <f>_xlfn.NORM.INV($AC994,$C$7,$D$7)</f>
        <v/>
      </c>
      <c r="P994" s="14">
        <f>$C$8+($D$8-$C$8)*$AD994</f>
        <v/>
      </c>
      <c r="Q994" s="14">
        <f>$C$9</f>
        <v/>
      </c>
      <c r="R994" s="14">
        <f>_xlfn.LOGNORM.INV($AF994,LN($C$10)-0.5*LN(1+($D$10/$C$10)^2),SQRT(LN(1+($D$10/$C$10)^2)))</f>
        <v/>
      </c>
      <c r="S994" s="14">
        <f>SUM(M994:R994)</f>
        <v/>
      </c>
      <c r="AA994">
        <f>RAND()</f>
        <v/>
      </c>
      <c r="AB994">
        <f>RAND()</f>
        <v/>
      </c>
      <c r="AC994">
        <f>RAND()</f>
        <v/>
      </c>
      <c r="AD994">
        <f>RAND()</f>
        <v/>
      </c>
      <c r="AE994">
        <f>RAND()</f>
        <v/>
      </c>
      <c r="AF994">
        <f>RAND()</f>
        <v/>
      </c>
    </row>
    <row r="995">
      <c r="M995" s="14">
        <f>_xlfn.BETA.INV($AA995,1+4*($D$5-$C$5)/($E$5-$C$5),1+4*($E$5-$D$5)/($E$5-$C$5),$C$5,$E$5)</f>
        <v/>
      </c>
      <c r="N995" s="14">
        <f>IF($AB995&lt;($D$6-$C$6)/($E$6-$C$6),$C$6+SQRT($AB995*($E$6-$C$6)*($D$6-$C$6)),$E$6-SQRT((1-$AB995)*($E$6-$C$6)*($E$6-$D$6)))</f>
        <v/>
      </c>
      <c r="O995" s="14">
        <f>_xlfn.NORM.INV($AC995,$C$7,$D$7)</f>
        <v/>
      </c>
      <c r="P995" s="14">
        <f>$C$8+($D$8-$C$8)*$AD995</f>
        <v/>
      </c>
      <c r="Q995" s="14">
        <f>$C$9</f>
        <v/>
      </c>
      <c r="R995" s="14">
        <f>_xlfn.LOGNORM.INV($AF995,LN($C$10)-0.5*LN(1+($D$10/$C$10)^2),SQRT(LN(1+($D$10/$C$10)^2)))</f>
        <v/>
      </c>
      <c r="S995" s="14">
        <f>SUM(M995:R995)</f>
        <v/>
      </c>
      <c r="AA995">
        <f>RAND()</f>
        <v/>
      </c>
      <c r="AB995">
        <f>RAND()</f>
        <v/>
      </c>
      <c r="AC995">
        <f>RAND()</f>
        <v/>
      </c>
      <c r="AD995">
        <f>RAND()</f>
        <v/>
      </c>
      <c r="AE995">
        <f>RAND()</f>
        <v/>
      </c>
      <c r="AF995">
        <f>RAND()</f>
        <v/>
      </c>
    </row>
    <row r="996">
      <c r="M996" s="14">
        <f>_xlfn.BETA.INV($AA996,1+4*($D$5-$C$5)/($E$5-$C$5),1+4*($E$5-$D$5)/($E$5-$C$5),$C$5,$E$5)</f>
        <v/>
      </c>
      <c r="N996" s="14">
        <f>IF($AB996&lt;($D$6-$C$6)/($E$6-$C$6),$C$6+SQRT($AB996*($E$6-$C$6)*($D$6-$C$6)),$E$6-SQRT((1-$AB996)*($E$6-$C$6)*($E$6-$D$6)))</f>
        <v/>
      </c>
      <c r="O996" s="14">
        <f>_xlfn.NORM.INV($AC996,$C$7,$D$7)</f>
        <v/>
      </c>
      <c r="P996" s="14">
        <f>$C$8+($D$8-$C$8)*$AD996</f>
        <v/>
      </c>
      <c r="Q996" s="14">
        <f>$C$9</f>
        <v/>
      </c>
      <c r="R996" s="14">
        <f>_xlfn.LOGNORM.INV($AF996,LN($C$10)-0.5*LN(1+($D$10/$C$10)^2),SQRT(LN(1+($D$10/$C$10)^2)))</f>
        <v/>
      </c>
      <c r="S996" s="14">
        <f>SUM(M996:R996)</f>
        <v/>
      </c>
      <c r="AA996">
        <f>RAND()</f>
        <v/>
      </c>
      <c r="AB996">
        <f>RAND()</f>
        <v/>
      </c>
      <c r="AC996">
        <f>RAND()</f>
        <v/>
      </c>
      <c r="AD996">
        <f>RAND()</f>
        <v/>
      </c>
      <c r="AE996">
        <f>RAND()</f>
        <v/>
      </c>
      <c r="AF996">
        <f>RAND()</f>
        <v/>
      </c>
    </row>
    <row r="997">
      <c r="M997" s="14">
        <f>_xlfn.BETA.INV($AA997,1+4*($D$5-$C$5)/($E$5-$C$5),1+4*($E$5-$D$5)/($E$5-$C$5),$C$5,$E$5)</f>
        <v/>
      </c>
      <c r="N997" s="14">
        <f>IF($AB997&lt;($D$6-$C$6)/($E$6-$C$6),$C$6+SQRT($AB997*($E$6-$C$6)*($D$6-$C$6)),$E$6-SQRT((1-$AB997)*($E$6-$C$6)*($E$6-$D$6)))</f>
        <v/>
      </c>
      <c r="O997" s="14">
        <f>_xlfn.NORM.INV($AC997,$C$7,$D$7)</f>
        <v/>
      </c>
      <c r="P997" s="14">
        <f>$C$8+($D$8-$C$8)*$AD997</f>
        <v/>
      </c>
      <c r="Q997" s="14">
        <f>$C$9</f>
        <v/>
      </c>
      <c r="R997" s="14">
        <f>_xlfn.LOGNORM.INV($AF997,LN($C$10)-0.5*LN(1+($D$10/$C$10)^2),SQRT(LN(1+($D$10/$C$10)^2)))</f>
        <v/>
      </c>
      <c r="S997" s="14">
        <f>SUM(M997:R997)</f>
        <v/>
      </c>
      <c r="AA997">
        <f>RAND()</f>
        <v/>
      </c>
      <c r="AB997">
        <f>RAND()</f>
        <v/>
      </c>
      <c r="AC997">
        <f>RAND()</f>
        <v/>
      </c>
      <c r="AD997">
        <f>RAND()</f>
        <v/>
      </c>
      <c r="AE997">
        <f>RAND()</f>
        <v/>
      </c>
      <c r="AF997">
        <f>RAND()</f>
        <v/>
      </c>
    </row>
    <row r="998">
      <c r="M998" s="14">
        <f>_xlfn.BETA.INV($AA998,1+4*($D$5-$C$5)/($E$5-$C$5),1+4*($E$5-$D$5)/($E$5-$C$5),$C$5,$E$5)</f>
        <v/>
      </c>
      <c r="N998" s="14">
        <f>IF($AB998&lt;($D$6-$C$6)/($E$6-$C$6),$C$6+SQRT($AB998*($E$6-$C$6)*($D$6-$C$6)),$E$6-SQRT((1-$AB998)*($E$6-$C$6)*($E$6-$D$6)))</f>
        <v/>
      </c>
      <c r="O998" s="14">
        <f>_xlfn.NORM.INV($AC998,$C$7,$D$7)</f>
        <v/>
      </c>
      <c r="P998" s="14">
        <f>$C$8+($D$8-$C$8)*$AD998</f>
        <v/>
      </c>
      <c r="Q998" s="14">
        <f>$C$9</f>
        <v/>
      </c>
      <c r="R998" s="14">
        <f>_xlfn.LOGNORM.INV($AF998,LN($C$10)-0.5*LN(1+($D$10/$C$10)^2),SQRT(LN(1+($D$10/$C$10)^2)))</f>
        <v/>
      </c>
      <c r="S998" s="14">
        <f>SUM(M998:R998)</f>
        <v/>
      </c>
      <c r="AA998">
        <f>RAND()</f>
        <v/>
      </c>
      <c r="AB998">
        <f>RAND()</f>
        <v/>
      </c>
      <c r="AC998">
        <f>RAND()</f>
        <v/>
      </c>
      <c r="AD998">
        <f>RAND()</f>
        <v/>
      </c>
      <c r="AE998">
        <f>RAND()</f>
        <v/>
      </c>
      <c r="AF998">
        <f>RAND()</f>
        <v/>
      </c>
    </row>
    <row r="999">
      <c r="M999" s="14">
        <f>_xlfn.BETA.INV($AA999,1+4*($D$5-$C$5)/($E$5-$C$5),1+4*($E$5-$D$5)/($E$5-$C$5),$C$5,$E$5)</f>
        <v/>
      </c>
      <c r="N999" s="14">
        <f>IF($AB999&lt;($D$6-$C$6)/($E$6-$C$6),$C$6+SQRT($AB999*($E$6-$C$6)*($D$6-$C$6)),$E$6-SQRT((1-$AB999)*($E$6-$C$6)*($E$6-$D$6)))</f>
        <v/>
      </c>
      <c r="O999" s="14">
        <f>_xlfn.NORM.INV($AC999,$C$7,$D$7)</f>
        <v/>
      </c>
      <c r="P999" s="14">
        <f>$C$8+($D$8-$C$8)*$AD999</f>
        <v/>
      </c>
      <c r="Q999" s="14">
        <f>$C$9</f>
        <v/>
      </c>
      <c r="R999" s="14">
        <f>_xlfn.LOGNORM.INV($AF999,LN($C$10)-0.5*LN(1+($D$10/$C$10)^2),SQRT(LN(1+($D$10/$C$10)^2)))</f>
        <v/>
      </c>
      <c r="S999" s="14">
        <f>SUM(M999:R999)</f>
        <v/>
      </c>
      <c r="AA999">
        <f>RAND()</f>
        <v/>
      </c>
      <c r="AB999">
        <f>RAND()</f>
        <v/>
      </c>
      <c r="AC999">
        <f>RAND()</f>
        <v/>
      </c>
      <c r="AD999">
        <f>RAND()</f>
        <v/>
      </c>
      <c r="AE999">
        <f>RAND()</f>
        <v/>
      </c>
      <c r="AF999">
        <f>RAND()</f>
        <v/>
      </c>
    </row>
    <row r="1000">
      <c r="M1000" s="14">
        <f>_xlfn.BETA.INV($AA1000,1+4*($D$5-$C$5)/($E$5-$C$5),1+4*($E$5-$D$5)/($E$5-$C$5),$C$5,$E$5)</f>
        <v/>
      </c>
      <c r="N1000" s="14">
        <f>IF($AB1000&lt;($D$6-$C$6)/($E$6-$C$6),$C$6+SQRT($AB1000*($E$6-$C$6)*($D$6-$C$6)),$E$6-SQRT((1-$AB1000)*($E$6-$C$6)*($E$6-$D$6)))</f>
        <v/>
      </c>
      <c r="O1000" s="14">
        <f>_xlfn.NORM.INV($AC1000,$C$7,$D$7)</f>
        <v/>
      </c>
      <c r="P1000" s="14">
        <f>$C$8+($D$8-$C$8)*$AD1000</f>
        <v/>
      </c>
      <c r="Q1000" s="14">
        <f>$C$9</f>
        <v/>
      </c>
      <c r="R1000" s="14">
        <f>_xlfn.LOGNORM.INV($AF1000,LN($C$10)-0.5*LN(1+($D$10/$C$10)^2),SQRT(LN(1+($D$10/$C$10)^2)))</f>
        <v/>
      </c>
      <c r="S1000" s="14">
        <f>SUM(M1000:R1000)</f>
        <v/>
      </c>
      <c r="AA1000">
        <f>RAND()</f>
        <v/>
      </c>
      <c r="AB1000">
        <f>RAND()</f>
        <v/>
      </c>
      <c r="AC1000">
        <f>RAND()</f>
        <v/>
      </c>
      <c r="AD1000">
        <f>RAND()</f>
        <v/>
      </c>
      <c r="AE1000">
        <f>RAND()</f>
        <v/>
      </c>
      <c r="AF1000">
        <f>RAND()</f>
        <v/>
      </c>
    </row>
    <row r="1001">
      <c r="M1001" s="14">
        <f>_xlfn.BETA.INV($AA1001,1+4*($D$5-$C$5)/($E$5-$C$5),1+4*($E$5-$D$5)/($E$5-$C$5),$C$5,$E$5)</f>
        <v/>
      </c>
      <c r="N1001" s="14">
        <f>IF($AB1001&lt;($D$6-$C$6)/($E$6-$C$6),$C$6+SQRT($AB1001*($E$6-$C$6)*($D$6-$C$6)),$E$6-SQRT((1-$AB1001)*($E$6-$C$6)*($E$6-$D$6)))</f>
        <v/>
      </c>
      <c r="O1001" s="14">
        <f>_xlfn.NORM.INV($AC1001,$C$7,$D$7)</f>
        <v/>
      </c>
      <c r="P1001" s="14">
        <f>$C$8+($D$8-$C$8)*$AD1001</f>
        <v/>
      </c>
      <c r="Q1001" s="14">
        <f>$C$9</f>
        <v/>
      </c>
      <c r="R1001" s="14">
        <f>_xlfn.LOGNORM.INV($AF1001,LN($C$10)-0.5*LN(1+($D$10/$C$10)^2),SQRT(LN(1+($D$10/$C$10)^2)))</f>
        <v/>
      </c>
      <c r="S1001" s="14">
        <f>SUM(M1001:R1001)</f>
        <v/>
      </c>
      <c r="AA1001">
        <f>RAND()</f>
        <v/>
      </c>
      <c r="AB1001">
        <f>RAND()</f>
        <v/>
      </c>
      <c r="AC1001">
        <f>RAND()</f>
        <v/>
      </c>
      <c r="AD1001">
        <f>RAND()</f>
        <v/>
      </c>
      <c r="AE1001">
        <f>RAND()</f>
        <v/>
      </c>
      <c r="AF1001">
        <f>RAND()</f>
        <v/>
      </c>
    </row>
    <row r="1002">
      <c r="M1002" s="14">
        <f>_xlfn.BETA.INV($AA1002,1+4*($D$5-$C$5)/($E$5-$C$5),1+4*($E$5-$D$5)/($E$5-$C$5),$C$5,$E$5)</f>
        <v/>
      </c>
      <c r="N1002" s="14">
        <f>IF($AB1002&lt;($D$6-$C$6)/($E$6-$C$6),$C$6+SQRT($AB1002*($E$6-$C$6)*($D$6-$C$6)),$E$6-SQRT((1-$AB1002)*($E$6-$C$6)*($E$6-$D$6)))</f>
        <v/>
      </c>
      <c r="O1002" s="14">
        <f>_xlfn.NORM.INV($AC1002,$C$7,$D$7)</f>
        <v/>
      </c>
      <c r="P1002" s="14">
        <f>$C$8+($D$8-$C$8)*$AD1002</f>
        <v/>
      </c>
      <c r="Q1002" s="14">
        <f>$C$9</f>
        <v/>
      </c>
      <c r="R1002" s="14">
        <f>_xlfn.LOGNORM.INV($AF1002,LN($C$10)-0.5*LN(1+($D$10/$C$10)^2),SQRT(LN(1+($D$10/$C$10)^2)))</f>
        <v/>
      </c>
      <c r="S1002" s="14">
        <f>SUM(M1002:R1002)</f>
        <v/>
      </c>
      <c r="AA1002">
        <f>RAND()</f>
        <v/>
      </c>
      <c r="AB1002">
        <f>RAND()</f>
        <v/>
      </c>
      <c r="AC1002">
        <f>RAND()</f>
        <v/>
      </c>
      <c r="AD1002">
        <f>RAND()</f>
        <v/>
      </c>
      <c r="AE1002">
        <f>RAND()</f>
        <v/>
      </c>
      <c r="AF1002">
        <f>RAND()</f>
        <v/>
      </c>
    </row>
    <row r="1003">
      <c r="M1003" s="14">
        <f>_xlfn.BETA.INV($AA1003,1+4*($D$5-$C$5)/($E$5-$C$5),1+4*($E$5-$D$5)/($E$5-$C$5),$C$5,$E$5)</f>
        <v/>
      </c>
      <c r="N1003" s="14">
        <f>IF($AB1003&lt;($D$6-$C$6)/($E$6-$C$6),$C$6+SQRT($AB1003*($E$6-$C$6)*($D$6-$C$6)),$E$6-SQRT((1-$AB1003)*($E$6-$C$6)*($E$6-$D$6)))</f>
        <v/>
      </c>
      <c r="O1003" s="14">
        <f>_xlfn.NORM.INV($AC1003,$C$7,$D$7)</f>
        <v/>
      </c>
      <c r="P1003" s="14">
        <f>$C$8+($D$8-$C$8)*$AD1003</f>
        <v/>
      </c>
      <c r="Q1003" s="14">
        <f>$C$9</f>
        <v/>
      </c>
      <c r="R1003" s="14">
        <f>_xlfn.LOGNORM.INV($AF1003,LN($C$10)-0.5*LN(1+($D$10/$C$10)^2),SQRT(LN(1+($D$10/$C$10)^2)))</f>
        <v/>
      </c>
      <c r="S1003" s="14">
        <f>SUM(M1003:R1003)</f>
        <v/>
      </c>
      <c r="AA1003">
        <f>RAND()</f>
        <v/>
      </c>
      <c r="AB1003">
        <f>RAND()</f>
        <v/>
      </c>
      <c r="AC1003">
        <f>RAND()</f>
        <v/>
      </c>
      <c r="AD1003">
        <f>RAND()</f>
        <v/>
      </c>
      <c r="AE1003">
        <f>RAND()</f>
        <v/>
      </c>
      <c r="AF1003">
        <f>RAND()</f>
        <v/>
      </c>
    </row>
    <row r="1004">
      <c r="M1004" s="14">
        <f>_xlfn.BETA.INV($AA1004,1+4*($D$5-$C$5)/($E$5-$C$5),1+4*($E$5-$D$5)/($E$5-$C$5),$C$5,$E$5)</f>
        <v/>
      </c>
      <c r="N1004" s="14">
        <f>IF($AB1004&lt;($D$6-$C$6)/($E$6-$C$6),$C$6+SQRT($AB1004*($E$6-$C$6)*($D$6-$C$6)),$E$6-SQRT((1-$AB1004)*($E$6-$C$6)*($E$6-$D$6)))</f>
        <v/>
      </c>
      <c r="O1004" s="14">
        <f>_xlfn.NORM.INV($AC1004,$C$7,$D$7)</f>
        <v/>
      </c>
      <c r="P1004" s="14">
        <f>$C$8+($D$8-$C$8)*$AD1004</f>
        <v/>
      </c>
      <c r="Q1004" s="14">
        <f>$C$9</f>
        <v/>
      </c>
      <c r="R1004" s="14">
        <f>_xlfn.LOGNORM.INV($AF1004,LN($C$10)-0.5*LN(1+($D$10/$C$10)^2),SQRT(LN(1+($D$10/$C$10)^2)))</f>
        <v/>
      </c>
      <c r="S1004" s="14">
        <f>SUM(M1004:R1004)</f>
        <v/>
      </c>
      <c r="AA1004">
        <f>RAND()</f>
        <v/>
      </c>
      <c r="AB1004">
        <f>RAND()</f>
        <v/>
      </c>
      <c r="AC1004">
        <f>RAND()</f>
        <v/>
      </c>
      <c r="AD1004">
        <f>RAND()</f>
        <v/>
      </c>
      <c r="AE1004">
        <f>RAND()</f>
        <v/>
      </c>
      <c r="AF1004">
        <f>RAND()</f>
        <v/>
      </c>
    </row>
    <row r="1005">
      <c r="M1005" s="14">
        <f>_xlfn.BETA.INV($AA1005,1+4*($D$5-$C$5)/($E$5-$C$5),1+4*($E$5-$D$5)/($E$5-$C$5),$C$5,$E$5)</f>
        <v/>
      </c>
      <c r="N1005" s="14">
        <f>IF($AB1005&lt;($D$6-$C$6)/($E$6-$C$6),$C$6+SQRT($AB1005*($E$6-$C$6)*($D$6-$C$6)),$E$6-SQRT((1-$AB1005)*($E$6-$C$6)*($E$6-$D$6)))</f>
        <v/>
      </c>
      <c r="O1005" s="14">
        <f>_xlfn.NORM.INV($AC1005,$C$7,$D$7)</f>
        <v/>
      </c>
      <c r="P1005" s="14">
        <f>$C$8+($D$8-$C$8)*$AD1005</f>
        <v/>
      </c>
      <c r="Q1005" s="14">
        <f>$C$9</f>
        <v/>
      </c>
      <c r="R1005" s="14">
        <f>_xlfn.LOGNORM.INV($AF1005,LN($C$10)-0.5*LN(1+($D$10/$C$10)^2),SQRT(LN(1+($D$10/$C$10)^2)))</f>
        <v/>
      </c>
      <c r="S1005" s="14">
        <f>SUM(M1005:R1005)</f>
        <v/>
      </c>
      <c r="AA1005">
        <f>RAND()</f>
        <v/>
      </c>
      <c r="AB1005">
        <f>RAND()</f>
        <v/>
      </c>
      <c r="AC1005">
        <f>RAND()</f>
        <v/>
      </c>
      <c r="AD1005">
        <f>RAND()</f>
        <v/>
      </c>
      <c r="AE1005">
        <f>RAND()</f>
        <v/>
      </c>
      <c r="AF1005">
        <f>RAND()</f>
        <v/>
      </c>
    </row>
    <row r="1006">
      <c r="M1006" s="14">
        <f>_xlfn.BETA.INV($AA1006,1+4*($D$5-$C$5)/($E$5-$C$5),1+4*($E$5-$D$5)/($E$5-$C$5),$C$5,$E$5)</f>
        <v/>
      </c>
      <c r="N1006" s="14">
        <f>IF($AB1006&lt;($D$6-$C$6)/($E$6-$C$6),$C$6+SQRT($AB1006*($E$6-$C$6)*($D$6-$C$6)),$E$6-SQRT((1-$AB1006)*($E$6-$C$6)*($E$6-$D$6)))</f>
        <v/>
      </c>
      <c r="O1006" s="14">
        <f>_xlfn.NORM.INV($AC1006,$C$7,$D$7)</f>
        <v/>
      </c>
      <c r="P1006" s="14">
        <f>$C$8+($D$8-$C$8)*$AD1006</f>
        <v/>
      </c>
      <c r="Q1006" s="14">
        <f>$C$9</f>
        <v/>
      </c>
      <c r="R1006" s="14">
        <f>_xlfn.LOGNORM.INV($AF1006,LN($C$10)-0.5*LN(1+($D$10/$C$10)^2),SQRT(LN(1+($D$10/$C$10)^2)))</f>
        <v/>
      </c>
      <c r="S1006" s="14">
        <f>SUM(M1006:R1006)</f>
        <v/>
      </c>
      <c r="AA1006">
        <f>RAND()</f>
        <v/>
      </c>
      <c r="AB1006">
        <f>RAND()</f>
        <v/>
      </c>
      <c r="AC1006">
        <f>RAND()</f>
        <v/>
      </c>
      <c r="AD1006">
        <f>RAND()</f>
        <v/>
      </c>
      <c r="AE1006">
        <f>RAND()</f>
        <v/>
      </c>
      <c r="AF1006">
        <f>RAND()</f>
        <v/>
      </c>
    </row>
    <row r="1007">
      <c r="M1007" s="14">
        <f>_xlfn.BETA.INV($AA1007,1+4*($D$5-$C$5)/($E$5-$C$5),1+4*($E$5-$D$5)/($E$5-$C$5),$C$5,$E$5)</f>
        <v/>
      </c>
      <c r="N1007" s="14">
        <f>IF($AB1007&lt;($D$6-$C$6)/($E$6-$C$6),$C$6+SQRT($AB1007*($E$6-$C$6)*($D$6-$C$6)),$E$6-SQRT((1-$AB1007)*($E$6-$C$6)*($E$6-$D$6)))</f>
        <v/>
      </c>
      <c r="O1007" s="14">
        <f>_xlfn.NORM.INV($AC1007,$C$7,$D$7)</f>
        <v/>
      </c>
      <c r="P1007" s="14">
        <f>$C$8+($D$8-$C$8)*$AD1007</f>
        <v/>
      </c>
      <c r="Q1007" s="14">
        <f>$C$9</f>
        <v/>
      </c>
      <c r="R1007" s="14">
        <f>_xlfn.LOGNORM.INV($AF1007,LN($C$10)-0.5*LN(1+($D$10/$C$10)^2),SQRT(LN(1+($D$10/$C$10)^2)))</f>
        <v/>
      </c>
      <c r="S1007" s="14">
        <f>SUM(M1007:R1007)</f>
        <v/>
      </c>
      <c r="AA1007">
        <f>RAND()</f>
        <v/>
      </c>
      <c r="AB1007">
        <f>RAND()</f>
        <v/>
      </c>
      <c r="AC1007">
        <f>RAND()</f>
        <v/>
      </c>
      <c r="AD1007">
        <f>RAND()</f>
        <v/>
      </c>
      <c r="AE1007">
        <f>RAND()</f>
        <v/>
      </c>
      <c r="AF1007">
        <f>RAND()</f>
        <v/>
      </c>
    </row>
    <row r="1008">
      <c r="M1008" s="14">
        <f>_xlfn.BETA.INV($AA1008,1+4*($D$5-$C$5)/($E$5-$C$5),1+4*($E$5-$D$5)/($E$5-$C$5),$C$5,$E$5)</f>
        <v/>
      </c>
      <c r="N1008" s="14">
        <f>IF($AB1008&lt;($D$6-$C$6)/($E$6-$C$6),$C$6+SQRT($AB1008*($E$6-$C$6)*($D$6-$C$6)),$E$6-SQRT((1-$AB1008)*($E$6-$C$6)*($E$6-$D$6)))</f>
        <v/>
      </c>
      <c r="O1008" s="14">
        <f>_xlfn.NORM.INV($AC1008,$C$7,$D$7)</f>
        <v/>
      </c>
      <c r="P1008" s="14">
        <f>$C$8+($D$8-$C$8)*$AD1008</f>
        <v/>
      </c>
      <c r="Q1008" s="14">
        <f>$C$9</f>
        <v/>
      </c>
      <c r="R1008" s="14">
        <f>_xlfn.LOGNORM.INV($AF1008,LN($C$10)-0.5*LN(1+($D$10/$C$10)^2),SQRT(LN(1+($D$10/$C$10)^2)))</f>
        <v/>
      </c>
      <c r="S1008" s="14">
        <f>SUM(M1008:R1008)</f>
        <v/>
      </c>
      <c r="AA1008">
        <f>RAND()</f>
        <v/>
      </c>
      <c r="AB1008">
        <f>RAND()</f>
        <v/>
      </c>
      <c r="AC1008">
        <f>RAND()</f>
        <v/>
      </c>
      <c r="AD1008">
        <f>RAND()</f>
        <v/>
      </c>
      <c r="AE1008">
        <f>RAND()</f>
        <v/>
      </c>
      <c r="AF1008">
        <f>RAND()</f>
        <v/>
      </c>
    </row>
    <row r="1009">
      <c r="M1009" s="14">
        <f>_xlfn.BETA.INV($AA1009,1+4*($D$5-$C$5)/($E$5-$C$5),1+4*($E$5-$D$5)/($E$5-$C$5),$C$5,$E$5)</f>
        <v/>
      </c>
      <c r="N1009" s="14">
        <f>IF($AB1009&lt;($D$6-$C$6)/($E$6-$C$6),$C$6+SQRT($AB1009*($E$6-$C$6)*($D$6-$C$6)),$E$6-SQRT((1-$AB1009)*($E$6-$C$6)*($E$6-$D$6)))</f>
        <v/>
      </c>
      <c r="O1009" s="14">
        <f>_xlfn.NORM.INV($AC1009,$C$7,$D$7)</f>
        <v/>
      </c>
      <c r="P1009" s="14">
        <f>$C$8+($D$8-$C$8)*$AD1009</f>
        <v/>
      </c>
      <c r="Q1009" s="14">
        <f>$C$9</f>
        <v/>
      </c>
      <c r="R1009" s="14">
        <f>_xlfn.LOGNORM.INV($AF1009,LN($C$10)-0.5*LN(1+($D$10/$C$10)^2),SQRT(LN(1+($D$10/$C$10)^2)))</f>
        <v/>
      </c>
      <c r="S1009" s="14">
        <f>SUM(M1009:R1009)</f>
        <v/>
      </c>
      <c r="AA1009">
        <f>RAND()</f>
        <v/>
      </c>
      <c r="AB1009">
        <f>RAND()</f>
        <v/>
      </c>
      <c r="AC1009">
        <f>RAND()</f>
        <v/>
      </c>
      <c r="AD1009">
        <f>RAND()</f>
        <v/>
      </c>
      <c r="AE1009">
        <f>RAND()</f>
        <v/>
      </c>
      <c r="AF1009">
        <f>RAND()</f>
        <v/>
      </c>
    </row>
    <row r="1010">
      <c r="M1010" s="14">
        <f>_xlfn.BETA.INV($AA1010,1+4*($D$5-$C$5)/($E$5-$C$5),1+4*($E$5-$D$5)/($E$5-$C$5),$C$5,$E$5)</f>
        <v/>
      </c>
      <c r="N1010" s="14">
        <f>IF($AB1010&lt;($D$6-$C$6)/($E$6-$C$6),$C$6+SQRT($AB1010*($E$6-$C$6)*($D$6-$C$6)),$E$6-SQRT((1-$AB1010)*($E$6-$C$6)*($E$6-$D$6)))</f>
        <v/>
      </c>
      <c r="O1010" s="14">
        <f>_xlfn.NORM.INV($AC1010,$C$7,$D$7)</f>
        <v/>
      </c>
      <c r="P1010" s="14">
        <f>$C$8+($D$8-$C$8)*$AD1010</f>
        <v/>
      </c>
      <c r="Q1010" s="14">
        <f>$C$9</f>
        <v/>
      </c>
      <c r="R1010" s="14">
        <f>_xlfn.LOGNORM.INV($AF1010,LN($C$10)-0.5*LN(1+($D$10/$C$10)^2),SQRT(LN(1+($D$10/$C$10)^2)))</f>
        <v/>
      </c>
      <c r="S1010" s="14">
        <f>SUM(M1010:R1010)</f>
        <v/>
      </c>
      <c r="AA1010">
        <f>RAND()</f>
        <v/>
      </c>
      <c r="AB1010">
        <f>RAND()</f>
        <v/>
      </c>
      <c r="AC1010">
        <f>RAND()</f>
        <v/>
      </c>
      <c r="AD1010">
        <f>RAND()</f>
        <v/>
      </c>
      <c r="AE1010">
        <f>RAND()</f>
        <v/>
      </c>
      <c r="AF1010">
        <f>RAND()</f>
        <v/>
      </c>
    </row>
    <row r="1011">
      <c r="M1011" s="14">
        <f>_xlfn.BETA.INV($AA1011,1+4*($D$5-$C$5)/($E$5-$C$5),1+4*($E$5-$D$5)/($E$5-$C$5),$C$5,$E$5)</f>
        <v/>
      </c>
      <c r="N1011" s="14">
        <f>IF($AB1011&lt;($D$6-$C$6)/($E$6-$C$6),$C$6+SQRT($AB1011*($E$6-$C$6)*($D$6-$C$6)),$E$6-SQRT((1-$AB1011)*($E$6-$C$6)*($E$6-$D$6)))</f>
        <v/>
      </c>
      <c r="O1011" s="14">
        <f>_xlfn.NORM.INV($AC1011,$C$7,$D$7)</f>
        <v/>
      </c>
      <c r="P1011" s="14">
        <f>$C$8+($D$8-$C$8)*$AD1011</f>
        <v/>
      </c>
      <c r="Q1011" s="14">
        <f>$C$9</f>
        <v/>
      </c>
      <c r="R1011" s="14">
        <f>_xlfn.LOGNORM.INV($AF1011,LN($C$10)-0.5*LN(1+($D$10/$C$10)^2),SQRT(LN(1+($D$10/$C$10)^2)))</f>
        <v/>
      </c>
      <c r="S1011" s="14">
        <f>SUM(M1011:R1011)</f>
        <v/>
      </c>
      <c r="AA1011">
        <f>RAND()</f>
        <v/>
      </c>
      <c r="AB1011">
        <f>RAND()</f>
        <v/>
      </c>
      <c r="AC1011">
        <f>RAND()</f>
        <v/>
      </c>
      <c r="AD1011">
        <f>RAND()</f>
        <v/>
      </c>
      <c r="AE1011">
        <f>RAND()</f>
        <v/>
      </c>
      <c r="AF1011">
        <f>RAND()</f>
        <v/>
      </c>
    </row>
    <row r="1012">
      <c r="M1012" s="14">
        <f>_xlfn.BETA.INV($AA1012,1+4*($D$5-$C$5)/($E$5-$C$5),1+4*($E$5-$D$5)/($E$5-$C$5),$C$5,$E$5)</f>
        <v/>
      </c>
      <c r="N1012" s="14">
        <f>IF($AB1012&lt;($D$6-$C$6)/($E$6-$C$6),$C$6+SQRT($AB1012*($E$6-$C$6)*($D$6-$C$6)),$E$6-SQRT((1-$AB1012)*($E$6-$C$6)*($E$6-$D$6)))</f>
        <v/>
      </c>
      <c r="O1012" s="14">
        <f>_xlfn.NORM.INV($AC1012,$C$7,$D$7)</f>
        <v/>
      </c>
      <c r="P1012" s="14">
        <f>$C$8+($D$8-$C$8)*$AD1012</f>
        <v/>
      </c>
      <c r="Q1012" s="14">
        <f>$C$9</f>
        <v/>
      </c>
      <c r="R1012" s="14">
        <f>_xlfn.LOGNORM.INV($AF1012,LN($C$10)-0.5*LN(1+($D$10/$C$10)^2),SQRT(LN(1+($D$10/$C$10)^2)))</f>
        <v/>
      </c>
      <c r="S1012" s="14">
        <f>SUM(M1012:R1012)</f>
        <v/>
      </c>
      <c r="AA1012">
        <f>RAND()</f>
        <v/>
      </c>
      <c r="AB1012">
        <f>RAND()</f>
        <v/>
      </c>
      <c r="AC1012">
        <f>RAND()</f>
        <v/>
      </c>
      <c r="AD1012">
        <f>RAND()</f>
        <v/>
      </c>
      <c r="AE1012">
        <f>RAND()</f>
        <v/>
      </c>
      <c r="AF1012">
        <f>RAND()</f>
        <v/>
      </c>
    </row>
    <row r="1013">
      <c r="M1013" s="14">
        <f>_xlfn.BETA.INV($AA1013,1+4*($D$5-$C$5)/($E$5-$C$5),1+4*($E$5-$D$5)/($E$5-$C$5),$C$5,$E$5)</f>
        <v/>
      </c>
      <c r="N1013" s="14">
        <f>IF($AB1013&lt;($D$6-$C$6)/($E$6-$C$6),$C$6+SQRT($AB1013*($E$6-$C$6)*($D$6-$C$6)),$E$6-SQRT((1-$AB1013)*($E$6-$C$6)*($E$6-$D$6)))</f>
        <v/>
      </c>
      <c r="O1013" s="14">
        <f>_xlfn.NORM.INV($AC1013,$C$7,$D$7)</f>
        <v/>
      </c>
      <c r="P1013" s="14">
        <f>$C$8+($D$8-$C$8)*$AD1013</f>
        <v/>
      </c>
      <c r="Q1013" s="14">
        <f>$C$9</f>
        <v/>
      </c>
      <c r="R1013" s="14">
        <f>_xlfn.LOGNORM.INV($AF1013,LN($C$10)-0.5*LN(1+($D$10/$C$10)^2),SQRT(LN(1+($D$10/$C$10)^2)))</f>
        <v/>
      </c>
      <c r="S1013" s="14">
        <f>SUM(M1013:R1013)</f>
        <v/>
      </c>
      <c r="AA1013">
        <f>RAND()</f>
        <v/>
      </c>
      <c r="AB1013">
        <f>RAND()</f>
        <v/>
      </c>
      <c r="AC1013">
        <f>RAND()</f>
        <v/>
      </c>
      <c r="AD1013">
        <f>RAND()</f>
        <v/>
      </c>
      <c r="AE1013">
        <f>RAND()</f>
        <v/>
      </c>
      <c r="AF1013">
        <f>RAND()</f>
        <v/>
      </c>
    </row>
    <row r="1014">
      <c r="M1014" s="14">
        <f>_xlfn.BETA.INV($AA1014,1+4*($D$5-$C$5)/($E$5-$C$5),1+4*($E$5-$D$5)/($E$5-$C$5),$C$5,$E$5)</f>
        <v/>
      </c>
      <c r="N1014" s="14">
        <f>IF($AB1014&lt;($D$6-$C$6)/($E$6-$C$6),$C$6+SQRT($AB1014*($E$6-$C$6)*($D$6-$C$6)),$E$6-SQRT((1-$AB1014)*($E$6-$C$6)*($E$6-$D$6)))</f>
        <v/>
      </c>
      <c r="O1014" s="14">
        <f>_xlfn.NORM.INV($AC1014,$C$7,$D$7)</f>
        <v/>
      </c>
      <c r="P1014" s="14">
        <f>$C$8+($D$8-$C$8)*$AD1014</f>
        <v/>
      </c>
      <c r="Q1014" s="14">
        <f>$C$9</f>
        <v/>
      </c>
      <c r="R1014" s="14">
        <f>_xlfn.LOGNORM.INV($AF1014,LN($C$10)-0.5*LN(1+($D$10/$C$10)^2),SQRT(LN(1+($D$10/$C$10)^2)))</f>
        <v/>
      </c>
      <c r="S1014" s="14">
        <f>SUM(M1014:R1014)</f>
        <v/>
      </c>
      <c r="AA1014">
        <f>RAND()</f>
        <v/>
      </c>
      <c r="AB1014">
        <f>RAND()</f>
        <v/>
      </c>
      <c r="AC1014">
        <f>RAND()</f>
        <v/>
      </c>
      <c r="AD1014">
        <f>RAND()</f>
        <v/>
      </c>
      <c r="AE1014">
        <f>RAND()</f>
        <v/>
      </c>
      <c r="AF1014">
        <f>RAND()</f>
        <v/>
      </c>
    </row>
    <row r="1015">
      <c r="M1015" s="14">
        <f>_xlfn.BETA.INV($AA1015,1+4*($D$5-$C$5)/($E$5-$C$5),1+4*($E$5-$D$5)/($E$5-$C$5),$C$5,$E$5)</f>
        <v/>
      </c>
      <c r="N1015" s="14">
        <f>IF($AB1015&lt;($D$6-$C$6)/($E$6-$C$6),$C$6+SQRT($AB1015*($E$6-$C$6)*($D$6-$C$6)),$E$6-SQRT((1-$AB1015)*($E$6-$C$6)*($E$6-$D$6)))</f>
        <v/>
      </c>
      <c r="O1015" s="14">
        <f>_xlfn.NORM.INV($AC1015,$C$7,$D$7)</f>
        <v/>
      </c>
      <c r="P1015" s="14">
        <f>$C$8+($D$8-$C$8)*$AD1015</f>
        <v/>
      </c>
      <c r="Q1015" s="14">
        <f>$C$9</f>
        <v/>
      </c>
      <c r="R1015" s="14">
        <f>_xlfn.LOGNORM.INV($AF1015,LN($C$10)-0.5*LN(1+($D$10/$C$10)^2),SQRT(LN(1+($D$10/$C$10)^2)))</f>
        <v/>
      </c>
      <c r="S1015" s="14">
        <f>SUM(M1015:R1015)</f>
        <v/>
      </c>
      <c r="AA1015">
        <f>RAND()</f>
        <v/>
      </c>
      <c r="AB1015">
        <f>RAND()</f>
        <v/>
      </c>
      <c r="AC1015">
        <f>RAND()</f>
        <v/>
      </c>
      <c r="AD1015">
        <f>RAND()</f>
        <v/>
      </c>
      <c r="AE1015">
        <f>RAND()</f>
        <v/>
      </c>
      <c r="AF1015">
        <f>RAND()</f>
        <v/>
      </c>
    </row>
    <row r="1016">
      <c r="M1016" s="14">
        <f>_xlfn.BETA.INV($AA1016,1+4*($D$5-$C$5)/($E$5-$C$5),1+4*($E$5-$D$5)/($E$5-$C$5),$C$5,$E$5)</f>
        <v/>
      </c>
      <c r="N1016" s="14">
        <f>IF($AB1016&lt;($D$6-$C$6)/($E$6-$C$6),$C$6+SQRT($AB1016*($E$6-$C$6)*($D$6-$C$6)),$E$6-SQRT((1-$AB1016)*($E$6-$C$6)*($E$6-$D$6)))</f>
        <v/>
      </c>
      <c r="O1016" s="14">
        <f>_xlfn.NORM.INV($AC1016,$C$7,$D$7)</f>
        <v/>
      </c>
      <c r="P1016" s="14">
        <f>$C$8+($D$8-$C$8)*$AD1016</f>
        <v/>
      </c>
      <c r="Q1016" s="14">
        <f>$C$9</f>
        <v/>
      </c>
      <c r="R1016" s="14">
        <f>_xlfn.LOGNORM.INV($AF1016,LN($C$10)-0.5*LN(1+($D$10/$C$10)^2),SQRT(LN(1+($D$10/$C$10)^2)))</f>
        <v/>
      </c>
      <c r="S1016" s="14">
        <f>SUM(M1016:R1016)</f>
        <v/>
      </c>
      <c r="AA1016">
        <f>RAND()</f>
        <v/>
      </c>
      <c r="AB1016">
        <f>RAND()</f>
        <v/>
      </c>
      <c r="AC1016">
        <f>RAND()</f>
        <v/>
      </c>
      <c r="AD1016">
        <f>RAND()</f>
        <v/>
      </c>
      <c r="AE1016">
        <f>RAND()</f>
        <v/>
      </c>
      <c r="AF1016">
        <f>RAND()</f>
        <v/>
      </c>
    </row>
    <row r="1017">
      <c r="M1017" s="14">
        <f>_xlfn.BETA.INV($AA1017,1+4*($D$5-$C$5)/($E$5-$C$5),1+4*($E$5-$D$5)/($E$5-$C$5),$C$5,$E$5)</f>
        <v/>
      </c>
      <c r="N1017" s="14">
        <f>IF($AB1017&lt;($D$6-$C$6)/($E$6-$C$6),$C$6+SQRT($AB1017*($E$6-$C$6)*($D$6-$C$6)),$E$6-SQRT((1-$AB1017)*($E$6-$C$6)*($E$6-$D$6)))</f>
        <v/>
      </c>
      <c r="O1017" s="14">
        <f>_xlfn.NORM.INV($AC1017,$C$7,$D$7)</f>
        <v/>
      </c>
      <c r="P1017" s="14">
        <f>$C$8+($D$8-$C$8)*$AD1017</f>
        <v/>
      </c>
      <c r="Q1017" s="14">
        <f>$C$9</f>
        <v/>
      </c>
      <c r="R1017" s="14">
        <f>_xlfn.LOGNORM.INV($AF1017,LN($C$10)-0.5*LN(1+($D$10/$C$10)^2),SQRT(LN(1+($D$10/$C$10)^2)))</f>
        <v/>
      </c>
      <c r="S1017" s="14">
        <f>SUM(M1017:R1017)</f>
        <v/>
      </c>
      <c r="AA1017">
        <f>RAND()</f>
        <v/>
      </c>
      <c r="AB1017">
        <f>RAND()</f>
        <v/>
      </c>
      <c r="AC1017">
        <f>RAND()</f>
        <v/>
      </c>
      <c r="AD1017">
        <f>RAND()</f>
        <v/>
      </c>
      <c r="AE1017">
        <f>RAND()</f>
        <v/>
      </c>
      <c r="AF1017">
        <f>RAND()</f>
        <v/>
      </c>
    </row>
    <row r="1018">
      <c r="M1018" s="14">
        <f>_xlfn.BETA.INV($AA1018,1+4*($D$5-$C$5)/($E$5-$C$5),1+4*($E$5-$D$5)/($E$5-$C$5),$C$5,$E$5)</f>
        <v/>
      </c>
      <c r="N1018" s="14">
        <f>IF($AB1018&lt;($D$6-$C$6)/($E$6-$C$6),$C$6+SQRT($AB1018*($E$6-$C$6)*($D$6-$C$6)),$E$6-SQRT((1-$AB1018)*($E$6-$C$6)*($E$6-$D$6)))</f>
        <v/>
      </c>
      <c r="O1018" s="14">
        <f>_xlfn.NORM.INV($AC1018,$C$7,$D$7)</f>
        <v/>
      </c>
      <c r="P1018" s="14">
        <f>$C$8+($D$8-$C$8)*$AD1018</f>
        <v/>
      </c>
      <c r="Q1018" s="14">
        <f>$C$9</f>
        <v/>
      </c>
      <c r="R1018" s="14">
        <f>_xlfn.LOGNORM.INV($AF1018,LN($C$10)-0.5*LN(1+($D$10/$C$10)^2),SQRT(LN(1+($D$10/$C$10)^2)))</f>
        <v/>
      </c>
      <c r="S1018" s="14">
        <f>SUM(M1018:R1018)</f>
        <v/>
      </c>
      <c r="AA1018">
        <f>RAND()</f>
        <v/>
      </c>
      <c r="AB1018">
        <f>RAND()</f>
        <v/>
      </c>
      <c r="AC1018">
        <f>RAND()</f>
        <v/>
      </c>
      <c r="AD1018">
        <f>RAND()</f>
        <v/>
      </c>
      <c r="AE1018">
        <f>RAND()</f>
        <v/>
      </c>
      <c r="AF1018">
        <f>RAND()</f>
        <v/>
      </c>
    </row>
    <row r="1019">
      <c r="M1019" s="14">
        <f>_xlfn.BETA.INV($AA1019,1+4*($D$5-$C$5)/($E$5-$C$5),1+4*($E$5-$D$5)/($E$5-$C$5),$C$5,$E$5)</f>
        <v/>
      </c>
      <c r="N1019" s="14">
        <f>IF($AB1019&lt;($D$6-$C$6)/($E$6-$C$6),$C$6+SQRT($AB1019*($E$6-$C$6)*($D$6-$C$6)),$E$6-SQRT((1-$AB1019)*($E$6-$C$6)*($E$6-$D$6)))</f>
        <v/>
      </c>
      <c r="O1019" s="14">
        <f>_xlfn.NORM.INV($AC1019,$C$7,$D$7)</f>
        <v/>
      </c>
      <c r="P1019" s="14">
        <f>$C$8+($D$8-$C$8)*$AD1019</f>
        <v/>
      </c>
      <c r="Q1019" s="14">
        <f>$C$9</f>
        <v/>
      </c>
      <c r="R1019" s="14">
        <f>_xlfn.LOGNORM.INV($AF1019,LN($C$10)-0.5*LN(1+($D$10/$C$10)^2),SQRT(LN(1+($D$10/$C$10)^2)))</f>
        <v/>
      </c>
      <c r="S1019" s="14">
        <f>SUM(M1019:R1019)</f>
        <v/>
      </c>
      <c r="AA1019">
        <f>RAND()</f>
        <v/>
      </c>
      <c r="AB1019">
        <f>RAND()</f>
        <v/>
      </c>
      <c r="AC1019">
        <f>RAND()</f>
        <v/>
      </c>
      <c r="AD1019">
        <f>RAND()</f>
        <v/>
      </c>
      <c r="AE1019">
        <f>RAND()</f>
        <v/>
      </c>
      <c r="AF1019">
        <f>RAND()</f>
        <v/>
      </c>
    </row>
    <row r="1020">
      <c r="M1020" s="14">
        <f>_xlfn.BETA.INV($AA1020,1+4*($D$5-$C$5)/($E$5-$C$5),1+4*($E$5-$D$5)/($E$5-$C$5),$C$5,$E$5)</f>
        <v/>
      </c>
      <c r="N1020" s="14">
        <f>IF($AB1020&lt;($D$6-$C$6)/($E$6-$C$6),$C$6+SQRT($AB1020*($E$6-$C$6)*($D$6-$C$6)),$E$6-SQRT((1-$AB1020)*($E$6-$C$6)*($E$6-$D$6)))</f>
        <v/>
      </c>
      <c r="O1020" s="14">
        <f>_xlfn.NORM.INV($AC1020,$C$7,$D$7)</f>
        <v/>
      </c>
      <c r="P1020" s="14">
        <f>$C$8+($D$8-$C$8)*$AD1020</f>
        <v/>
      </c>
      <c r="Q1020" s="14">
        <f>$C$9</f>
        <v/>
      </c>
      <c r="R1020" s="14">
        <f>_xlfn.LOGNORM.INV($AF1020,LN($C$10)-0.5*LN(1+($D$10/$C$10)^2),SQRT(LN(1+($D$10/$C$10)^2)))</f>
        <v/>
      </c>
      <c r="S1020" s="14">
        <f>SUM(M1020:R1020)</f>
        <v/>
      </c>
      <c r="AA1020">
        <f>RAND()</f>
        <v/>
      </c>
      <c r="AB1020">
        <f>RAND()</f>
        <v/>
      </c>
      <c r="AC1020">
        <f>RAND()</f>
        <v/>
      </c>
      <c r="AD1020">
        <f>RAND()</f>
        <v/>
      </c>
      <c r="AE1020">
        <f>RAND()</f>
        <v/>
      </c>
      <c r="AF1020">
        <f>RAND()</f>
        <v/>
      </c>
    </row>
    <row r="1021">
      <c r="M1021" s="14">
        <f>_xlfn.BETA.INV($AA1021,1+4*($D$5-$C$5)/($E$5-$C$5),1+4*($E$5-$D$5)/($E$5-$C$5),$C$5,$E$5)</f>
        <v/>
      </c>
      <c r="N1021" s="14">
        <f>IF($AB1021&lt;($D$6-$C$6)/($E$6-$C$6),$C$6+SQRT($AB1021*($E$6-$C$6)*($D$6-$C$6)),$E$6-SQRT((1-$AB1021)*($E$6-$C$6)*($E$6-$D$6)))</f>
        <v/>
      </c>
      <c r="O1021" s="14">
        <f>_xlfn.NORM.INV($AC1021,$C$7,$D$7)</f>
        <v/>
      </c>
      <c r="P1021" s="14">
        <f>$C$8+($D$8-$C$8)*$AD1021</f>
        <v/>
      </c>
      <c r="Q1021" s="14">
        <f>$C$9</f>
        <v/>
      </c>
      <c r="R1021" s="14">
        <f>_xlfn.LOGNORM.INV($AF1021,LN($C$10)-0.5*LN(1+($D$10/$C$10)^2),SQRT(LN(1+($D$10/$C$10)^2)))</f>
        <v/>
      </c>
      <c r="S1021" s="14">
        <f>SUM(M1021:R1021)</f>
        <v/>
      </c>
      <c r="AA1021">
        <f>RAND()</f>
        <v/>
      </c>
      <c r="AB1021">
        <f>RAND()</f>
        <v/>
      </c>
      <c r="AC1021">
        <f>RAND()</f>
        <v/>
      </c>
      <c r="AD1021">
        <f>RAND()</f>
        <v/>
      </c>
      <c r="AE1021">
        <f>RAND()</f>
        <v/>
      </c>
      <c r="AF1021">
        <f>RAND()</f>
        <v/>
      </c>
    </row>
    <row r="1022">
      <c r="M1022" s="14">
        <f>_xlfn.BETA.INV($AA1022,1+4*($D$5-$C$5)/($E$5-$C$5),1+4*($E$5-$D$5)/($E$5-$C$5),$C$5,$E$5)</f>
        <v/>
      </c>
      <c r="N1022" s="14">
        <f>IF($AB1022&lt;($D$6-$C$6)/($E$6-$C$6),$C$6+SQRT($AB1022*($E$6-$C$6)*($D$6-$C$6)),$E$6-SQRT((1-$AB1022)*($E$6-$C$6)*($E$6-$D$6)))</f>
        <v/>
      </c>
      <c r="O1022" s="14">
        <f>_xlfn.NORM.INV($AC1022,$C$7,$D$7)</f>
        <v/>
      </c>
      <c r="P1022" s="14">
        <f>$C$8+($D$8-$C$8)*$AD1022</f>
        <v/>
      </c>
      <c r="Q1022" s="14">
        <f>$C$9</f>
        <v/>
      </c>
      <c r="R1022" s="14">
        <f>_xlfn.LOGNORM.INV($AF1022,LN($C$10)-0.5*LN(1+($D$10/$C$10)^2),SQRT(LN(1+($D$10/$C$10)^2)))</f>
        <v/>
      </c>
      <c r="S1022" s="14">
        <f>SUM(M1022:R1022)</f>
        <v/>
      </c>
      <c r="AA1022">
        <f>RAND()</f>
        <v/>
      </c>
      <c r="AB1022">
        <f>RAND()</f>
        <v/>
      </c>
      <c r="AC1022">
        <f>RAND()</f>
        <v/>
      </c>
      <c r="AD1022">
        <f>RAND()</f>
        <v/>
      </c>
      <c r="AE1022">
        <f>RAND()</f>
        <v/>
      </c>
      <c r="AF1022">
        <f>RAND()</f>
        <v/>
      </c>
    </row>
    <row r="1023">
      <c r="M1023" s="14">
        <f>_xlfn.BETA.INV($AA1023,1+4*($D$5-$C$5)/($E$5-$C$5),1+4*($E$5-$D$5)/($E$5-$C$5),$C$5,$E$5)</f>
        <v/>
      </c>
      <c r="N1023" s="14">
        <f>IF($AB1023&lt;($D$6-$C$6)/($E$6-$C$6),$C$6+SQRT($AB1023*($E$6-$C$6)*($D$6-$C$6)),$E$6-SQRT((1-$AB1023)*($E$6-$C$6)*($E$6-$D$6)))</f>
        <v/>
      </c>
      <c r="O1023" s="14">
        <f>_xlfn.NORM.INV($AC1023,$C$7,$D$7)</f>
        <v/>
      </c>
      <c r="P1023" s="14">
        <f>$C$8+($D$8-$C$8)*$AD1023</f>
        <v/>
      </c>
      <c r="Q1023" s="14">
        <f>$C$9</f>
        <v/>
      </c>
      <c r="R1023" s="14">
        <f>_xlfn.LOGNORM.INV($AF1023,LN($C$10)-0.5*LN(1+($D$10/$C$10)^2),SQRT(LN(1+($D$10/$C$10)^2)))</f>
        <v/>
      </c>
      <c r="S1023" s="14">
        <f>SUM(M1023:R1023)</f>
        <v/>
      </c>
      <c r="AA1023">
        <f>RAND()</f>
        <v/>
      </c>
      <c r="AB1023">
        <f>RAND()</f>
        <v/>
      </c>
      <c r="AC1023">
        <f>RAND()</f>
        <v/>
      </c>
      <c r="AD1023">
        <f>RAND()</f>
        <v/>
      </c>
      <c r="AE1023">
        <f>RAND()</f>
        <v/>
      </c>
      <c r="AF1023">
        <f>RAND()</f>
        <v/>
      </c>
    </row>
    <row r="1024">
      <c r="M1024" s="14">
        <f>_xlfn.BETA.INV($AA1024,1+4*($D$5-$C$5)/($E$5-$C$5),1+4*($E$5-$D$5)/($E$5-$C$5),$C$5,$E$5)</f>
        <v/>
      </c>
      <c r="N1024" s="14">
        <f>IF($AB1024&lt;($D$6-$C$6)/($E$6-$C$6),$C$6+SQRT($AB1024*($E$6-$C$6)*($D$6-$C$6)),$E$6-SQRT((1-$AB1024)*($E$6-$C$6)*($E$6-$D$6)))</f>
        <v/>
      </c>
      <c r="O1024" s="14">
        <f>_xlfn.NORM.INV($AC1024,$C$7,$D$7)</f>
        <v/>
      </c>
      <c r="P1024" s="14">
        <f>$C$8+($D$8-$C$8)*$AD1024</f>
        <v/>
      </c>
      <c r="Q1024" s="14">
        <f>$C$9</f>
        <v/>
      </c>
      <c r="R1024" s="14">
        <f>_xlfn.LOGNORM.INV($AF1024,LN($C$10)-0.5*LN(1+($D$10/$C$10)^2),SQRT(LN(1+($D$10/$C$10)^2)))</f>
        <v/>
      </c>
      <c r="S1024" s="14">
        <f>SUM(M1024:R1024)</f>
        <v/>
      </c>
      <c r="AA1024">
        <f>RAND()</f>
        <v/>
      </c>
      <c r="AB1024">
        <f>RAND()</f>
        <v/>
      </c>
      <c r="AC1024">
        <f>RAND()</f>
        <v/>
      </c>
      <c r="AD1024">
        <f>RAND()</f>
        <v/>
      </c>
      <c r="AE1024">
        <f>RAND()</f>
        <v/>
      </c>
      <c r="AF1024">
        <f>RAND()</f>
        <v/>
      </c>
    </row>
    <row r="1025">
      <c r="M1025" s="14">
        <f>_xlfn.BETA.INV($AA1025,1+4*($D$5-$C$5)/($E$5-$C$5),1+4*($E$5-$D$5)/($E$5-$C$5),$C$5,$E$5)</f>
        <v/>
      </c>
      <c r="N1025" s="14">
        <f>IF($AB1025&lt;($D$6-$C$6)/($E$6-$C$6),$C$6+SQRT($AB1025*($E$6-$C$6)*($D$6-$C$6)),$E$6-SQRT((1-$AB1025)*($E$6-$C$6)*($E$6-$D$6)))</f>
        <v/>
      </c>
      <c r="O1025" s="14">
        <f>_xlfn.NORM.INV($AC1025,$C$7,$D$7)</f>
        <v/>
      </c>
      <c r="P1025" s="14">
        <f>$C$8+($D$8-$C$8)*$AD1025</f>
        <v/>
      </c>
      <c r="Q1025" s="14">
        <f>$C$9</f>
        <v/>
      </c>
      <c r="R1025" s="14">
        <f>_xlfn.LOGNORM.INV($AF1025,LN($C$10)-0.5*LN(1+($D$10/$C$10)^2),SQRT(LN(1+($D$10/$C$10)^2)))</f>
        <v/>
      </c>
      <c r="S1025" s="14">
        <f>SUM(M1025:R1025)</f>
        <v/>
      </c>
      <c r="AA1025">
        <f>RAND()</f>
        <v/>
      </c>
      <c r="AB1025">
        <f>RAND()</f>
        <v/>
      </c>
      <c r="AC1025">
        <f>RAND()</f>
        <v/>
      </c>
      <c r="AD1025">
        <f>RAND()</f>
        <v/>
      </c>
      <c r="AE1025">
        <f>RAND()</f>
        <v/>
      </c>
      <c r="AF1025">
        <f>RAND()</f>
        <v/>
      </c>
    </row>
    <row r="1026">
      <c r="M1026" s="14">
        <f>_xlfn.BETA.INV($AA1026,1+4*($D$5-$C$5)/($E$5-$C$5),1+4*($E$5-$D$5)/($E$5-$C$5),$C$5,$E$5)</f>
        <v/>
      </c>
      <c r="N1026" s="14">
        <f>IF($AB1026&lt;($D$6-$C$6)/($E$6-$C$6),$C$6+SQRT($AB1026*($E$6-$C$6)*($D$6-$C$6)),$E$6-SQRT((1-$AB1026)*($E$6-$C$6)*($E$6-$D$6)))</f>
        <v/>
      </c>
      <c r="O1026" s="14">
        <f>_xlfn.NORM.INV($AC1026,$C$7,$D$7)</f>
        <v/>
      </c>
      <c r="P1026" s="14">
        <f>$C$8+($D$8-$C$8)*$AD1026</f>
        <v/>
      </c>
      <c r="Q1026" s="14">
        <f>$C$9</f>
        <v/>
      </c>
      <c r="R1026" s="14">
        <f>_xlfn.LOGNORM.INV($AF1026,LN($C$10)-0.5*LN(1+($D$10/$C$10)^2),SQRT(LN(1+($D$10/$C$10)^2)))</f>
        <v/>
      </c>
      <c r="S1026" s="14">
        <f>SUM(M1026:R1026)</f>
        <v/>
      </c>
      <c r="AA1026">
        <f>RAND()</f>
        <v/>
      </c>
      <c r="AB1026">
        <f>RAND()</f>
        <v/>
      </c>
      <c r="AC1026">
        <f>RAND()</f>
        <v/>
      </c>
      <c r="AD1026">
        <f>RAND()</f>
        <v/>
      </c>
      <c r="AE1026">
        <f>RAND()</f>
        <v/>
      </c>
      <c r="AF1026">
        <f>RAND()</f>
        <v/>
      </c>
    </row>
    <row r="1027">
      <c r="M1027" s="14">
        <f>_xlfn.BETA.INV($AA1027,1+4*($D$5-$C$5)/($E$5-$C$5),1+4*($E$5-$D$5)/($E$5-$C$5),$C$5,$E$5)</f>
        <v/>
      </c>
      <c r="N1027" s="14">
        <f>IF($AB1027&lt;($D$6-$C$6)/($E$6-$C$6),$C$6+SQRT($AB1027*($E$6-$C$6)*($D$6-$C$6)),$E$6-SQRT((1-$AB1027)*($E$6-$C$6)*($E$6-$D$6)))</f>
        <v/>
      </c>
      <c r="O1027" s="14">
        <f>_xlfn.NORM.INV($AC1027,$C$7,$D$7)</f>
        <v/>
      </c>
      <c r="P1027" s="14">
        <f>$C$8+($D$8-$C$8)*$AD1027</f>
        <v/>
      </c>
      <c r="Q1027" s="14">
        <f>$C$9</f>
        <v/>
      </c>
      <c r="R1027" s="14">
        <f>_xlfn.LOGNORM.INV($AF1027,LN($C$10)-0.5*LN(1+($D$10/$C$10)^2),SQRT(LN(1+($D$10/$C$10)^2)))</f>
        <v/>
      </c>
      <c r="S1027" s="14">
        <f>SUM(M1027:R1027)</f>
        <v/>
      </c>
      <c r="AA1027">
        <f>RAND()</f>
        <v/>
      </c>
      <c r="AB1027">
        <f>RAND()</f>
        <v/>
      </c>
      <c r="AC1027">
        <f>RAND()</f>
        <v/>
      </c>
      <c r="AD1027">
        <f>RAND()</f>
        <v/>
      </c>
      <c r="AE1027">
        <f>RAND()</f>
        <v/>
      </c>
      <c r="AF1027">
        <f>RAND()</f>
        <v/>
      </c>
    </row>
    <row r="1028">
      <c r="M1028" s="14">
        <f>_xlfn.BETA.INV($AA1028,1+4*($D$5-$C$5)/($E$5-$C$5),1+4*($E$5-$D$5)/($E$5-$C$5),$C$5,$E$5)</f>
        <v/>
      </c>
      <c r="N1028" s="14">
        <f>IF($AB1028&lt;($D$6-$C$6)/($E$6-$C$6),$C$6+SQRT($AB1028*($E$6-$C$6)*($D$6-$C$6)),$E$6-SQRT((1-$AB1028)*($E$6-$C$6)*($E$6-$D$6)))</f>
        <v/>
      </c>
      <c r="O1028" s="14">
        <f>_xlfn.NORM.INV($AC1028,$C$7,$D$7)</f>
        <v/>
      </c>
      <c r="P1028" s="14">
        <f>$C$8+($D$8-$C$8)*$AD1028</f>
        <v/>
      </c>
      <c r="Q1028" s="14">
        <f>$C$9</f>
        <v/>
      </c>
      <c r="R1028" s="14">
        <f>_xlfn.LOGNORM.INV($AF1028,LN($C$10)-0.5*LN(1+($D$10/$C$10)^2),SQRT(LN(1+($D$10/$C$10)^2)))</f>
        <v/>
      </c>
      <c r="S1028" s="14">
        <f>SUM(M1028:R1028)</f>
        <v/>
      </c>
      <c r="AA1028">
        <f>RAND()</f>
        <v/>
      </c>
      <c r="AB1028">
        <f>RAND()</f>
        <v/>
      </c>
      <c r="AC1028">
        <f>RAND()</f>
        <v/>
      </c>
      <c r="AD1028">
        <f>RAND()</f>
        <v/>
      </c>
      <c r="AE1028">
        <f>RAND()</f>
        <v/>
      </c>
      <c r="AF1028">
        <f>RAND()</f>
        <v/>
      </c>
    </row>
    <row r="1029">
      <c r="M1029" s="14">
        <f>_xlfn.BETA.INV($AA1029,1+4*($D$5-$C$5)/($E$5-$C$5),1+4*($E$5-$D$5)/($E$5-$C$5),$C$5,$E$5)</f>
        <v/>
      </c>
      <c r="N1029" s="14">
        <f>IF($AB1029&lt;($D$6-$C$6)/($E$6-$C$6),$C$6+SQRT($AB1029*($E$6-$C$6)*($D$6-$C$6)),$E$6-SQRT((1-$AB1029)*($E$6-$C$6)*($E$6-$D$6)))</f>
        <v/>
      </c>
      <c r="O1029" s="14">
        <f>_xlfn.NORM.INV($AC1029,$C$7,$D$7)</f>
        <v/>
      </c>
      <c r="P1029" s="14">
        <f>$C$8+($D$8-$C$8)*$AD1029</f>
        <v/>
      </c>
      <c r="Q1029" s="14">
        <f>$C$9</f>
        <v/>
      </c>
      <c r="R1029" s="14">
        <f>_xlfn.LOGNORM.INV($AF1029,LN($C$10)-0.5*LN(1+($D$10/$C$10)^2),SQRT(LN(1+($D$10/$C$10)^2)))</f>
        <v/>
      </c>
      <c r="S1029" s="14">
        <f>SUM(M1029:R1029)</f>
        <v/>
      </c>
      <c r="AA1029">
        <f>RAND()</f>
        <v/>
      </c>
      <c r="AB1029">
        <f>RAND()</f>
        <v/>
      </c>
      <c r="AC1029">
        <f>RAND()</f>
        <v/>
      </c>
      <c r="AD1029">
        <f>RAND()</f>
        <v/>
      </c>
      <c r="AE1029">
        <f>RAND()</f>
        <v/>
      </c>
      <c r="AF1029">
        <f>RAND()</f>
        <v/>
      </c>
    </row>
    <row r="1030">
      <c r="M1030" s="14">
        <f>_xlfn.BETA.INV($AA1030,1+4*($D$5-$C$5)/($E$5-$C$5),1+4*($E$5-$D$5)/($E$5-$C$5),$C$5,$E$5)</f>
        <v/>
      </c>
      <c r="N1030" s="14">
        <f>IF($AB1030&lt;($D$6-$C$6)/($E$6-$C$6),$C$6+SQRT($AB1030*($E$6-$C$6)*($D$6-$C$6)),$E$6-SQRT((1-$AB1030)*($E$6-$C$6)*($E$6-$D$6)))</f>
        <v/>
      </c>
      <c r="O1030" s="14">
        <f>_xlfn.NORM.INV($AC1030,$C$7,$D$7)</f>
        <v/>
      </c>
      <c r="P1030" s="14">
        <f>$C$8+($D$8-$C$8)*$AD1030</f>
        <v/>
      </c>
      <c r="Q1030" s="14">
        <f>$C$9</f>
        <v/>
      </c>
      <c r="R1030" s="14">
        <f>_xlfn.LOGNORM.INV($AF1030,LN($C$10)-0.5*LN(1+($D$10/$C$10)^2),SQRT(LN(1+($D$10/$C$10)^2)))</f>
        <v/>
      </c>
      <c r="S1030" s="14">
        <f>SUM(M1030:R1030)</f>
        <v/>
      </c>
      <c r="AA1030">
        <f>RAND()</f>
        <v/>
      </c>
      <c r="AB1030">
        <f>RAND()</f>
        <v/>
      </c>
      <c r="AC1030">
        <f>RAND()</f>
        <v/>
      </c>
      <c r="AD1030">
        <f>RAND()</f>
        <v/>
      </c>
      <c r="AE1030">
        <f>RAND()</f>
        <v/>
      </c>
      <c r="AF1030">
        <f>RAND()</f>
        <v/>
      </c>
    </row>
    <row r="1031">
      <c r="M1031" s="14">
        <f>_xlfn.BETA.INV($AA1031,1+4*($D$5-$C$5)/($E$5-$C$5),1+4*($E$5-$D$5)/($E$5-$C$5),$C$5,$E$5)</f>
        <v/>
      </c>
      <c r="N1031" s="14">
        <f>IF($AB1031&lt;($D$6-$C$6)/($E$6-$C$6),$C$6+SQRT($AB1031*($E$6-$C$6)*($D$6-$C$6)),$E$6-SQRT((1-$AB1031)*($E$6-$C$6)*($E$6-$D$6)))</f>
        <v/>
      </c>
      <c r="O1031" s="14">
        <f>_xlfn.NORM.INV($AC1031,$C$7,$D$7)</f>
        <v/>
      </c>
      <c r="P1031" s="14">
        <f>$C$8+($D$8-$C$8)*$AD1031</f>
        <v/>
      </c>
      <c r="Q1031" s="14">
        <f>$C$9</f>
        <v/>
      </c>
      <c r="R1031" s="14">
        <f>_xlfn.LOGNORM.INV($AF1031,LN($C$10)-0.5*LN(1+($D$10/$C$10)^2),SQRT(LN(1+($D$10/$C$10)^2)))</f>
        <v/>
      </c>
      <c r="S1031" s="14">
        <f>SUM(M1031:R1031)</f>
        <v/>
      </c>
      <c r="AA1031">
        <f>RAND()</f>
        <v/>
      </c>
      <c r="AB1031">
        <f>RAND()</f>
        <v/>
      </c>
      <c r="AC1031">
        <f>RAND()</f>
        <v/>
      </c>
      <c r="AD1031">
        <f>RAND()</f>
        <v/>
      </c>
      <c r="AE1031">
        <f>RAND()</f>
        <v/>
      </c>
      <c r="AF1031">
        <f>RAND()</f>
        <v/>
      </c>
    </row>
    <row r="1032">
      <c r="M1032" s="14">
        <f>_xlfn.BETA.INV($AA1032,1+4*($D$5-$C$5)/($E$5-$C$5),1+4*($E$5-$D$5)/($E$5-$C$5),$C$5,$E$5)</f>
        <v/>
      </c>
      <c r="N1032" s="14">
        <f>IF($AB1032&lt;($D$6-$C$6)/($E$6-$C$6),$C$6+SQRT($AB1032*($E$6-$C$6)*($D$6-$C$6)),$E$6-SQRT((1-$AB1032)*($E$6-$C$6)*($E$6-$D$6)))</f>
        <v/>
      </c>
      <c r="O1032" s="14">
        <f>_xlfn.NORM.INV($AC1032,$C$7,$D$7)</f>
        <v/>
      </c>
      <c r="P1032" s="14">
        <f>$C$8+($D$8-$C$8)*$AD1032</f>
        <v/>
      </c>
      <c r="Q1032" s="14">
        <f>$C$9</f>
        <v/>
      </c>
      <c r="R1032" s="14">
        <f>_xlfn.LOGNORM.INV($AF1032,LN($C$10)-0.5*LN(1+($D$10/$C$10)^2),SQRT(LN(1+($D$10/$C$10)^2)))</f>
        <v/>
      </c>
      <c r="S1032" s="14">
        <f>SUM(M1032:R1032)</f>
        <v/>
      </c>
      <c r="AA1032">
        <f>RAND()</f>
        <v/>
      </c>
      <c r="AB1032">
        <f>RAND()</f>
        <v/>
      </c>
      <c r="AC1032">
        <f>RAND()</f>
        <v/>
      </c>
      <c r="AD1032">
        <f>RAND()</f>
        <v/>
      </c>
      <c r="AE1032">
        <f>RAND()</f>
        <v/>
      </c>
      <c r="AF1032">
        <f>RAND()</f>
        <v/>
      </c>
    </row>
    <row r="1033">
      <c r="M1033" s="14">
        <f>_xlfn.BETA.INV($AA1033,1+4*($D$5-$C$5)/($E$5-$C$5),1+4*($E$5-$D$5)/($E$5-$C$5),$C$5,$E$5)</f>
        <v/>
      </c>
      <c r="N1033" s="14">
        <f>IF($AB1033&lt;($D$6-$C$6)/($E$6-$C$6),$C$6+SQRT($AB1033*($E$6-$C$6)*($D$6-$C$6)),$E$6-SQRT((1-$AB1033)*($E$6-$C$6)*($E$6-$D$6)))</f>
        <v/>
      </c>
      <c r="O1033" s="14">
        <f>_xlfn.NORM.INV($AC1033,$C$7,$D$7)</f>
        <v/>
      </c>
      <c r="P1033" s="14">
        <f>$C$8+($D$8-$C$8)*$AD1033</f>
        <v/>
      </c>
      <c r="Q1033" s="14">
        <f>$C$9</f>
        <v/>
      </c>
      <c r="R1033" s="14">
        <f>_xlfn.LOGNORM.INV($AF1033,LN($C$10)-0.5*LN(1+($D$10/$C$10)^2),SQRT(LN(1+($D$10/$C$10)^2)))</f>
        <v/>
      </c>
      <c r="S1033" s="14">
        <f>SUM(M1033:R1033)</f>
        <v/>
      </c>
      <c r="AA1033">
        <f>RAND()</f>
        <v/>
      </c>
      <c r="AB1033">
        <f>RAND()</f>
        <v/>
      </c>
      <c r="AC1033">
        <f>RAND()</f>
        <v/>
      </c>
      <c r="AD1033">
        <f>RAND()</f>
        <v/>
      </c>
      <c r="AE1033">
        <f>RAND()</f>
        <v/>
      </c>
      <c r="AF1033">
        <f>RAND()</f>
        <v/>
      </c>
    </row>
    <row r="1034">
      <c r="M1034" s="14">
        <f>_xlfn.BETA.INV($AA1034,1+4*($D$5-$C$5)/($E$5-$C$5),1+4*($E$5-$D$5)/($E$5-$C$5),$C$5,$E$5)</f>
        <v/>
      </c>
      <c r="N1034" s="14">
        <f>IF($AB1034&lt;($D$6-$C$6)/($E$6-$C$6),$C$6+SQRT($AB1034*($E$6-$C$6)*($D$6-$C$6)),$E$6-SQRT((1-$AB1034)*($E$6-$C$6)*($E$6-$D$6)))</f>
        <v/>
      </c>
      <c r="O1034" s="14">
        <f>_xlfn.NORM.INV($AC1034,$C$7,$D$7)</f>
        <v/>
      </c>
      <c r="P1034" s="14">
        <f>$C$8+($D$8-$C$8)*$AD1034</f>
        <v/>
      </c>
      <c r="Q1034" s="14">
        <f>$C$9</f>
        <v/>
      </c>
      <c r="R1034" s="14">
        <f>_xlfn.LOGNORM.INV($AF1034,LN($C$10)-0.5*LN(1+($D$10/$C$10)^2),SQRT(LN(1+($D$10/$C$10)^2)))</f>
        <v/>
      </c>
      <c r="S1034" s="14">
        <f>SUM(M1034:R1034)</f>
        <v/>
      </c>
      <c r="AA1034">
        <f>RAND()</f>
        <v/>
      </c>
      <c r="AB1034">
        <f>RAND()</f>
        <v/>
      </c>
      <c r="AC1034">
        <f>RAND()</f>
        <v/>
      </c>
      <c r="AD1034">
        <f>RAND()</f>
        <v/>
      </c>
      <c r="AE1034">
        <f>RAND()</f>
        <v/>
      </c>
      <c r="AF1034">
        <f>RAND()</f>
        <v/>
      </c>
    </row>
    <row r="1035">
      <c r="M1035" s="14">
        <f>_xlfn.BETA.INV($AA1035,1+4*($D$5-$C$5)/($E$5-$C$5),1+4*($E$5-$D$5)/($E$5-$C$5),$C$5,$E$5)</f>
        <v/>
      </c>
      <c r="N1035" s="14">
        <f>IF($AB1035&lt;($D$6-$C$6)/($E$6-$C$6),$C$6+SQRT($AB1035*($E$6-$C$6)*($D$6-$C$6)),$E$6-SQRT((1-$AB1035)*($E$6-$C$6)*($E$6-$D$6)))</f>
        <v/>
      </c>
      <c r="O1035" s="14">
        <f>_xlfn.NORM.INV($AC1035,$C$7,$D$7)</f>
        <v/>
      </c>
      <c r="P1035" s="14">
        <f>$C$8+($D$8-$C$8)*$AD1035</f>
        <v/>
      </c>
      <c r="Q1035" s="14">
        <f>$C$9</f>
        <v/>
      </c>
      <c r="R1035" s="14">
        <f>_xlfn.LOGNORM.INV($AF1035,LN($C$10)-0.5*LN(1+($D$10/$C$10)^2),SQRT(LN(1+($D$10/$C$10)^2)))</f>
        <v/>
      </c>
      <c r="S1035" s="14">
        <f>SUM(M1035:R1035)</f>
        <v/>
      </c>
      <c r="AA1035">
        <f>RAND()</f>
        <v/>
      </c>
      <c r="AB1035">
        <f>RAND()</f>
        <v/>
      </c>
      <c r="AC1035">
        <f>RAND()</f>
        <v/>
      </c>
      <c r="AD1035">
        <f>RAND()</f>
        <v/>
      </c>
      <c r="AE1035">
        <f>RAND()</f>
        <v/>
      </c>
      <c r="AF1035">
        <f>RAND()</f>
        <v/>
      </c>
    </row>
    <row r="1036">
      <c r="M1036" s="14">
        <f>_xlfn.BETA.INV($AA1036,1+4*($D$5-$C$5)/($E$5-$C$5),1+4*($E$5-$D$5)/($E$5-$C$5),$C$5,$E$5)</f>
        <v/>
      </c>
      <c r="N1036" s="14">
        <f>IF($AB1036&lt;($D$6-$C$6)/($E$6-$C$6),$C$6+SQRT($AB1036*($E$6-$C$6)*($D$6-$C$6)),$E$6-SQRT((1-$AB1036)*($E$6-$C$6)*($E$6-$D$6)))</f>
        <v/>
      </c>
      <c r="O1036" s="14">
        <f>_xlfn.NORM.INV($AC1036,$C$7,$D$7)</f>
        <v/>
      </c>
      <c r="P1036" s="14">
        <f>$C$8+($D$8-$C$8)*$AD1036</f>
        <v/>
      </c>
      <c r="Q1036" s="14">
        <f>$C$9</f>
        <v/>
      </c>
      <c r="R1036" s="14">
        <f>_xlfn.LOGNORM.INV($AF1036,LN($C$10)-0.5*LN(1+($D$10/$C$10)^2),SQRT(LN(1+($D$10/$C$10)^2)))</f>
        <v/>
      </c>
      <c r="S1036" s="14">
        <f>SUM(M1036:R1036)</f>
        <v/>
      </c>
      <c r="AA1036">
        <f>RAND()</f>
        <v/>
      </c>
      <c r="AB1036">
        <f>RAND()</f>
        <v/>
      </c>
      <c r="AC1036">
        <f>RAND()</f>
        <v/>
      </c>
      <c r="AD1036">
        <f>RAND()</f>
        <v/>
      </c>
      <c r="AE1036">
        <f>RAND()</f>
        <v/>
      </c>
      <c r="AF1036">
        <f>RAND()</f>
        <v/>
      </c>
    </row>
    <row r="1037">
      <c r="M1037" s="14">
        <f>_xlfn.BETA.INV($AA1037,1+4*($D$5-$C$5)/($E$5-$C$5),1+4*($E$5-$D$5)/($E$5-$C$5),$C$5,$E$5)</f>
        <v/>
      </c>
      <c r="N1037" s="14">
        <f>IF($AB1037&lt;($D$6-$C$6)/($E$6-$C$6),$C$6+SQRT($AB1037*($E$6-$C$6)*($D$6-$C$6)),$E$6-SQRT((1-$AB1037)*($E$6-$C$6)*($E$6-$D$6)))</f>
        <v/>
      </c>
      <c r="O1037" s="14">
        <f>_xlfn.NORM.INV($AC1037,$C$7,$D$7)</f>
        <v/>
      </c>
      <c r="P1037" s="14">
        <f>$C$8+($D$8-$C$8)*$AD1037</f>
        <v/>
      </c>
      <c r="Q1037" s="14">
        <f>$C$9</f>
        <v/>
      </c>
      <c r="R1037" s="14">
        <f>_xlfn.LOGNORM.INV($AF1037,LN($C$10)-0.5*LN(1+($D$10/$C$10)^2),SQRT(LN(1+($D$10/$C$10)^2)))</f>
        <v/>
      </c>
      <c r="S1037" s="14">
        <f>SUM(M1037:R1037)</f>
        <v/>
      </c>
      <c r="AA1037">
        <f>RAND()</f>
        <v/>
      </c>
      <c r="AB1037">
        <f>RAND()</f>
        <v/>
      </c>
      <c r="AC1037">
        <f>RAND()</f>
        <v/>
      </c>
      <c r="AD1037">
        <f>RAND()</f>
        <v/>
      </c>
      <c r="AE1037">
        <f>RAND()</f>
        <v/>
      </c>
      <c r="AF1037">
        <f>RAND()</f>
        <v/>
      </c>
    </row>
    <row r="1038">
      <c r="M1038" s="14">
        <f>_xlfn.BETA.INV($AA1038,1+4*($D$5-$C$5)/($E$5-$C$5),1+4*($E$5-$D$5)/($E$5-$C$5),$C$5,$E$5)</f>
        <v/>
      </c>
      <c r="N1038" s="14">
        <f>IF($AB1038&lt;($D$6-$C$6)/($E$6-$C$6),$C$6+SQRT($AB1038*($E$6-$C$6)*($D$6-$C$6)),$E$6-SQRT((1-$AB1038)*($E$6-$C$6)*($E$6-$D$6)))</f>
        <v/>
      </c>
      <c r="O1038" s="14">
        <f>_xlfn.NORM.INV($AC1038,$C$7,$D$7)</f>
        <v/>
      </c>
      <c r="P1038" s="14">
        <f>$C$8+($D$8-$C$8)*$AD1038</f>
        <v/>
      </c>
      <c r="Q1038" s="14">
        <f>$C$9</f>
        <v/>
      </c>
      <c r="R1038" s="14">
        <f>_xlfn.LOGNORM.INV($AF1038,LN($C$10)-0.5*LN(1+($D$10/$C$10)^2),SQRT(LN(1+($D$10/$C$10)^2)))</f>
        <v/>
      </c>
      <c r="S1038" s="14">
        <f>SUM(M1038:R1038)</f>
        <v/>
      </c>
      <c r="AA1038">
        <f>RAND()</f>
        <v/>
      </c>
      <c r="AB1038">
        <f>RAND()</f>
        <v/>
      </c>
      <c r="AC1038">
        <f>RAND()</f>
        <v/>
      </c>
      <c r="AD1038">
        <f>RAND()</f>
        <v/>
      </c>
      <c r="AE1038">
        <f>RAND()</f>
        <v/>
      </c>
      <c r="AF1038">
        <f>RAND()</f>
        <v/>
      </c>
    </row>
    <row r="1039">
      <c r="M1039" s="14">
        <f>_xlfn.BETA.INV($AA1039,1+4*($D$5-$C$5)/($E$5-$C$5),1+4*($E$5-$D$5)/($E$5-$C$5),$C$5,$E$5)</f>
        <v/>
      </c>
      <c r="N1039" s="14">
        <f>IF($AB1039&lt;($D$6-$C$6)/($E$6-$C$6),$C$6+SQRT($AB1039*($E$6-$C$6)*($D$6-$C$6)),$E$6-SQRT((1-$AB1039)*($E$6-$C$6)*($E$6-$D$6)))</f>
        <v/>
      </c>
      <c r="O1039" s="14">
        <f>_xlfn.NORM.INV($AC1039,$C$7,$D$7)</f>
        <v/>
      </c>
      <c r="P1039" s="14">
        <f>$C$8+($D$8-$C$8)*$AD1039</f>
        <v/>
      </c>
      <c r="Q1039" s="14">
        <f>$C$9</f>
        <v/>
      </c>
      <c r="R1039" s="14">
        <f>_xlfn.LOGNORM.INV($AF1039,LN($C$10)-0.5*LN(1+($D$10/$C$10)^2),SQRT(LN(1+($D$10/$C$10)^2)))</f>
        <v/>
      </c>
      <c r="S1039" s="14">
        <f>SUM(M1039:R1039)</f>
        <v/>
      </c>
      <c r="AA1039">
        <f>RAND()</f>
        <v/>
      </c>
      <c r="AB1039">
        <f>RAND()</f>
        <v/>
      </c>
      <c r="AC1039">
        <f>RAND()</f>
        <v/>
      </c>
      <c r="AD1039">
        <f>RAND()</f>
        <v/>
      </c>
      <c r="AE1039">
        <f>RAND()</f>
        <v/>
      </c>
      <c r="AF1039">
        <f>RAND()</f>
        <v/>
      </c>
    </row>
    <row r="1040">
      <c r="M1040" s="14">
        <f>_xlfn.BETA.INV($AA1040,1+4*($D$5-$C$5)/($E$5-$C$5),1+4*($E$5-$D$5)/($E$5-$C$5),$C$5,$E$5)</f>
        <v/>
      </c>
      <c r="N1040" s="14">
        <f>IF($AB1040&lt;($D$6-$C$6)/($E$6-$C$6),$C$6+SQRT($AB1040*($E$6-$C$6)*($D$6-$C$6)),$E$6-SQRT((1-$AB1040)*($E$6-$C$6)*($E$6-$D$6)))</f>
        <v/>
      </c>
      <c r="O1040" s="14">
        <f>_xlfn.NORM.INV($AC1040,$C$7,$D$7)</f>
        <v/>
      </c>
      <c r="P1040" s="14">
        <f>$C$8+($D$8-$C$8)*$AD1040</f>
        <v/>
      </c>
      <c r="Q1040" s="14">
        <f>$C$9</f>
        <v/>
      </c>
      <c r="R1040" s="14">
        <f>_xlfn.LOGNORM.INV($AF1040,LN($C$10)-0.5*LN(1+($D$10/$C$10)^2),SQRT(LN(1+($D$10/$C$10)^2)))</f>
        <v/>
      </c>
      <c r="S1040" s="14">
        <f>SUM(M1040:R1040)</f>
        <v/>
      </c>
      <c r="AA1040">
        <f>RAND()</f>
        <v/>
      </c>
      <c r="AB1040">
        <f>RAND()</f>
        <v/>
      </c>
      <c r="AC1040">
        <f>RAND()</f>
        <v/>
      </c>
      <c r="AD1040">
        <f>RAND()</f>
        <v/>
      </c>
      <c r="AE1040">
        <f>RAND()</f>
        <v/>
      </c>
      <c r="AF1040">
        <f>RAND()</f>
        <v/>
      </c>
    </row>
    <row r="1041">
      <c r="M1041" s="14">
        <f>_xlfn.BETA.INV($AA1041,1+4*($D$5-$C$5)/($E$5-$C$5),1+4*($E$5-$D$5)/($E$5-$C$5),$C$5,$E$5)</f>
        <v/>
      </c>
      <c r="N1041" s="14">
        <f>IF($AB1041&lt;($D$6-$C$6)/($E$6-$C$6),$C$6+SQRT($AB1041*($E$6-$C$6)*($D$6-$C$6)),$E$6-SQRT((1-$AB1041)*($E$6-$C$6)*($E$6-$D$6)))</f>
        <v/>
      </c>
      <c r="O1041" s="14">
        <f>_xlfn.NORM.INV($AC1041,$C$7,$D$7)</f>
        <v/>
      </c>
      <c r="P1041" s="14">
        <f>$C$8+($D$8-$C$8)*$AD1041</f>
        <v/>
      </c>
      <c r="Q1041" s="14">
        <f>$C$9</f>
        <v/>
      </c>
      <c r="R1041" s="14">
        <f>_xlfn.LOGNORM.INV($AF1041,LN($C$10)-0.5*LN(1+($D$10/$C$10)^2),SQRT(LN(1+($D$10/$C$10)^2)))</f>
        <v/>
      </c>
      <c r="S1041" s="14">
        <f>SUM(M1041:R1041)</f>
        <v/>
      </c>
      <c r="AA1041">
        <f>RAND()</f>
        <v/>
      </c>
      <c r="AB1041">
        <f>RAND()</f>
        <v/>
      </c>
      <c r="AC1041">
        <f>RAND()</f>
        <v/>
      </c>
      <c r="AD1041">
        <f>RAND()</f>
        <v/>
      </c>
      <c r="AE1041">
        <f>RAND()</f>
        <v/>
      </c>
      <c r="AF1041">
        <f>RAND()</f>
        <v/>
      </c>
    </row>
    <row r="1042">
      <c r="M1042" s="14">
        <f>_xlfn.BETA.INV($AA1042,1+4*($D$5-$C$5)/($E$5-$C$5),1+4*($E$5-$D$5)/($E$5-$C$5),$C$5,$E$5)</f>
        <v/>
      </c>
      <c r="N1042" s="14">
        <f>IF($AB1042&lt;($D$6-$C$6)/($E$6-$C$6),$C$6+SQRT($AB1042*($E$6-$C$6)*($D$6-$C$6)),$E$6-SQRT((1-$AB1042)*($E$6-$C$6)*($E$6-$D$6)))</f>
        <v/>
      </c>
      <c r="O1042" s="14">
        <f>_xlfn.NORM.INV($AC1042,$C$7,$D$7)</f>
        <v/>
      </c>
      <c r="P1042" s="14">
        <f>$C$8+($D$8-$C$8)*$AD1042</f>
        <v/>
      </c>
      <c r="Q1042" s="14">
        <f>$C$9</f>
        <v/>
      </c>
      <c r="R1042" s="14">
        <f>_xlfn.LOGNORM.INV($AF1042,LN($C$10)-0.5*LN(1+($D$10/$C$10)^2),SQRT(LN(1+($D$10/$C$10)^2)))</f>
        <v/>
      </c>
      <c r="S1042" s="14">
        <f>SUM(M1042:R1042)</f>
        <v/>
      </c>
      <c r="AA1042">
        <f>RAND()</f>
        <v/>
      </c>
      <c r="AB1042">
        <f>RAND()</f>
        <v/>
      </c>
      <c r="AC1042">
        <f>RAND()</f>
        <v/>
      </c>
      <c r="AD1042">
        <f>RAND()</f>
        <v/>
      </c>
      <c r="AE1042">
        <f>RAND()</f>
        <v/>
      </c>
      <c r="AF1042">
        <f>RAND()</f>
        <v/>
      </c>
    </row>
    <row r="1043">
      <c r="M1043" s="14">
        <f>_xlfn.BETA.INV($AA1043,1+4*($D$5-$C$5)/($E$5-$C$5),1+4*($E$5-$D$5)/($E$5-$C$5),$C$5,$E$5)</f>
        <v/>
      </c>
      <c r="N1043" s="14">
        <f>IF($AB1043&lt;($D$6-$C$6)/($E$6-$C$6),$C$6+SQRT($AB1043*($E$6-$C$6)*($D$6-$C$6)),$E$6-SQRT((1-$AB1043)*($E$6-$C$6)*($E$6-$D$6)))</f>
        <v/>
      </c>
      <c r="O1043" s="14">
        <f>_xlfn.NORM.INV($AC1043,$C$7,$D$7)</f>
        <v/>
      </c>
      <c r="P1043" s="14">
        <f>$C$8+($D$8-$C$8)*$AD1043</f>
        <v/>
      </c>
      <c r="Q1043" s="14">
        <f>$C$9</f>
        <v/>
      </c>
      <c r="R1043" s="14">
        <f>_xlfn.LOGNORM.INV($AF1043,LN($C$10)-0.5*LN(1+($D$10/$C$10)^2),SQRT(LN(1+($D$10/$C$10)^2)))</f>
        <v/>
      </c>
      <c r="S1043" s="14">
        <f>SUM(M1043:R1043)</f>
        <v/>
      </c>
      <c r="AA1043">
        <f>RAND()</f>
        <v/>
      </c>
      <c r="AB1043">
        <f>RAND()</f>
        <v/>
      </c>
      <c r="AC1043">
        <f>RAND()</f>
        <v/>
      </c>
      <c r="AD1043">
        <f>RAND()</f>
        <v/>
      </c>
      <c r="AE1043">
        <f>RAND()</f>
        <v/>
      </c>
      <c r="AF1043">
        <f>RAND()</f>
        <v/>
      </c>
    </row>
    <row r="1044">
      <c r="M1044" s="14">
        <f>_xlfn.BETA.INV($AA1044,1+4*($D$5-$C$5)/($E$5-$C$5),1+4*($E$5-$D$5)/($E$5-$C$5),$C$5,$E$5)</f>
        <v/>
      </c>
      <c r="N1044" s="14">
        <f>IF($AB1044&lt;($D$6-$C$6)/($E$6-$C$6),$C$6+SQRT($AB1044*($E$6-$C$6)*($D$6-$C$6)),$E$6-SQRT((1-$AB1044)*($E$6-$C$6)*($E$6-$D$6)))</f>
        <v/>
      </c>
      <c r="O1044" s="14">
        <f>_xlfn.NORM.INV($AC1044,$C$7,$D$7)</f>
        <v/>
      </c>
      <c r="P1044" s="14">
        <f>$C$8+($D$8-$C$8)*$AD1044</f>
        <v/>
      </c>
      <c r="Q1044" s="14">
        <f>$C$9</f>
        <v/>
      </c>
      <c r="R1044" s="14">
        <f>_xlfn.LOGNORM.INV($AF1044,LN($C$10)-0.5*LN(1+($D$10/$C$10)^2),SQRT(LN(1+($D$10/$C$10)^2)))</f>
        <v/>
      </c>
      <c r="S1044" s="14">
        <f>SUM(M1044:R1044)</f>
        <v/>
      </c>
      <c r="AA1044">
        <f>RAND()</f>
        <v/>
      </c>
      <c r="AB1044">
        <f>RAND()</f>
        <v/>
      </c>
      <c r="AC1044">
        <f>RAND()</f>
        <v/>
      </c>
      <c r="AD1044">
        <f>RAND()</f>
        <v/>
      </c>
      <c r="AE1044">
        <f>RAND()</f>
        <v/>
      </c>
      <c r="AF1044">
        <f>RAND()</f>
        <v/>
      </c>
    </row>
    <row r="1045">
      <c r="M1045" s="14">
        <f>_xlfn.BETA.INV($AA1045,1+4*($D$5-$C$5)/($E$5-$C$5),1+4*($E$5-$D$5)/($E$5-$C$5),$C$5,$E$5)</f>
        <v/>
      </c>
      <c r="N1045" s="14">
        <f>IF($AB1045&lt;($D$6-$C$6)/($E$6-$C$6),$C$6+SQRT($AB1045*($E$6-$C$6)*($D$6-$C$6)),$E$6-SQRT((1-$AB1045)*($E$6-$C$6)*($E$6-$D$6)))</f>
        <v/>
      </c>
      <c r="O1045" s="14">
        <f>_xlfn.NORM.INV($AC1045,$C$7,$D$7)</f>
        <v/>
      </c>
      <c r="P1045" s="14">
        <f>$C$8+($D$8-$C$8)*$AD1045</f>
        <v/>
      </c>
      <c r="Q1045" s="14">
        <f>$C$9</f>
        <v/>
      </c>
      <c r="R1045" s="14">
        <f>_xlfn.LOGNORM.INV($AF1045,LN($C$10)-0.5*LN(1+($D$10/$C$10)^2),SQRT(LN(1+($D$10/$C$10)^2)))</f>
        <v/>
      </c>
      <c r="S1045" s="14">
        <f>SUM(M1045:R1045)</f>
        <v/>
      </c>
      <c r="AA1045">
        <f>RAND()</f>
        <v/>
      </c>
      <c r="AB1045">
        <f>RAND()</f>
        <v/>
      </c>
      <c r="AC1045">
        <f>RAND()</f>
        <v/>
      </c>
      <c r="AD1045">
        <f>RAND()</f>
        <v/>
      </c>
      <c r="AE1045">
        <f>RAND()</f>
        <v/>
      </c>
      <c r="AF1045">
        <f>RAND()</f>
        <v/>
      </c>
    </row>
    <row r="1046">
      <c r="M1046" s="14">
        <f>_xlfn.BETA.INV($AA1046,1+4*($D$5-$C$5)/($E$5-$C$5),1+4*($E$5-$D$5)/($E$5-$C$5),$C$5,$E$5)</f>
        <v/>
      </c>
      <c r="N1046" s="14">
        <f>IF($AB1046&lt;($D$6-$C$6)/($E$6-$C$6),$C$6+SQRT($AB1046*($E$6-$C$6)*($D$6-$C$6)),$E$6-SQRT((1-$AB1046)*($E$6-$C$6)*($E$6-$D$6)))</f>
        <v/>
      </c>
      <c r="O1046" s="14">
        <f>_xlfn.NORM.INV($AC1046,$C$7,$D$7)</f>
        <v/>
      </c>
      <c r="P1046" s="14">
        <f>$C$8+($D$8-$C$8)*$AD1046</f>
        <v/>
      </c>
      <c r="Q1046" s="14">
        <f>$C$9</f>
        <v/>
      </c>
      <c r="R1046" s="14">
        <f>_xlfn.LOGNORM.INV($AF1046,LN($C$10)-0.5*LN(1+($D$10/$C$10)^2),SQRT(LN(1+($D$10/$C$10)^2)))</f>
        <v/>
      </c>
      <c r="S1046" s="14">
        <f>SUM(M1046:R1046)</f>
        <v/>
      </c>
      <c r="AA1046">
        <f>RAND()</f>
        <v/>
      </c>
      <c r="AB1046">
        <f>RAND()</f>
        <v/>
      </c>
      <c r="AC1046">
        <f>RAND()</f>
        <v/>
      </c>
      <c r="AD1046">
        <f>RAND()</f>
        <v/>
      </c>
      <c r="AE1046">
        <f>RAND()</f>
        <v/>
      </c>
      <c r="AF1046">
        <f>RAND()</f>
        <v/>
      </c>
    </row>
    <row r="1047">
      <c r="M1047" s="14">
        <f>_xlfn.BETA.INV($AA1047,1+4*($D$5-$C$5)/($E$5-$C$5),1+4*($E$5-$D$5)/($E$5-$C$5),$C$5,$E$5)</f>
        <v/>
      </c>
      <c r="N1047" s="14">
        <f>IF($AB1047&lt;($D$6-$C$6)/($E$6-$C$6),$C$6+SQRT($AB1047*($E$6-$C$6)*($D$6-$C$6)),$E$6-SQRT((1-$AB1047)*($E$6-$C$6)*($E$6-$D$6)))</f>
        <v/>
      </c>
      <c r="O1047" s="14">
        <f>_xlfn.NORM.INV($AC1047,$C$7,$D$7)</f>
        <v/>
      </c>
      <c r="P1047" s="14">
        <f>$C$8+($D$8-$C$8)*$AD1047</f>
        <v/>
      </c>
      <c r="Q1047" s="14">
        <f>$C$9</f>
        <v/>
      </c>
      <c r="R1047" s="14">
        <f>_xlfn.LOGNORM.INV($AF1047,LN($C$10)-0.5*LN(1+($D$10/$C$10)^2),SQRT(LN(1+($D$10/$C$10)^2)))</f>
        <v/>
      </c>
      <c r="S1047" s="14">
        <f>SUM(M1047:R1047)</f>
        <v/>
      </c>
      <c r="AA1047">
        <f>RAND()</f>
        <v/>
      </c>
      <c r="AB1047">
        <f>RAND()</f>
        <v/>
      </c>
      <c r="AC1047">
        <f>RAND()</f>
        <v/>
      </c>
      <c r="AD1047">
        <f>RAND()</f>
        <v/>
      </c>
      <c r="AE1047">
        <f>RAND()</f>
        <v/>
      </c>
      <c r="AF1047">
        <f>RAND()</f>
        <v/>
      </c>
    </row>
    <row r="1048">
      <c r="M1048" s="14">
        <f>_xlfn.BETA.INV($AA1048,1+4*($D$5-$C$5)/($E$5-$C$5),1+4*($E$5-$D$5)/($E$5-$C$5),$C$5,$E$5)</f>
        <v/>
      </c>
      <c r="N1048" s="14">
        <f>IF($AB1048&lt;($D$6-$C$6)/($E$6-$C$6),$C$6+SQRT($AB1048*($E$6-$C$6)*($D$6-$C$6)),$E$6-SQRT((1-$AB1048)*($E$6-$C$6)*($E$6-$D$6)))</f>
        <v/>
      </c>
      <c r="O1048" s="14">
        <f>_xlfn.NORM.INV($AC1048,$C$7,$D$7)</f>
        <v/>
      </c>
      <c r="P1048" s="14">
        <f>$C$8+($D$8-$C$8)*$AD1048</f>
        <v/>
      </c>
      <c r="Q1048" s="14">
        <f>$C$9</f>
        <v/>
      </c>
      <c r="R1048" s="14">
        <f>_xlfn.LOGNORM.INV($AF1048,LN($C$10)-0.5*LN(1+($D$10/$C$10)^2),SQRT(LN(1+($D$10/$C$10)^2)))</f>
        <v/>
      </c>
      <c r="S1048" s="14">
        <f>SUM(M1048:R1048)</f>
        <v/>
      </c>
      <c r="AA1048">
        <f>RAND()</f>
        <v/>
      </c>
      <c r="AB1048">
        <f>RAND()</f>
        <v/>
      </c>
      <c r="AC1048">
        <f>RAND()</f>
        <v/>
      </c>
      <c r="AD1048">
        <f>RAND()</f>
        <v/>
      </c>
      <c r="AE1048">
        <f>RAND()</f>
        <v/>
      </c>
      <c r="AF1048">
        <f>RAND()</f>
        <v/>
      </c>
    </row>
    <row r="1049">
      <c r="M1049" s="14">
        <f>_xlfn.BETA.INV($AA1049,1+4*($D$5-$C$5)/($E$5-$C$5),1+4*($E$5-$D$5)/($E$5-$C$5),$C$5,$E$5)</f>
        <v/>
      </c>
      <c r="N1049" s="14">
        <f>IF($AB1049&lt;($D$6-$C$6)/($E$6-$C$6),$C$6+SQRT($AB1049*($E$6-$C$6)*($D$6-$C$6)),$E$6-SQRT((1-$AB1049)*($E$6-$C$6)*($E$6-$D$6)))</f>
        <v/>
      </c>
      <c r="O1049" s="14">
        <f>_xlfn.NORM.INV($AC1049,$C$7,$D$7)</f>
        <v/>
      </c>
      <c r="P1049" s="14">
        <f>$C$8+($D$8-$C$8)*$AD1049</f>
        <v/>
      </c>
      <c r="Q1049" s="14">
        <f>$C$9</f>
        <v/>
      </c>
      <c r="R1049" s="14">
        <f>_xlfn.LOGNORM.INV($AF1049,LN($C$10)-0.5*LN(1+($D$10/$C$10)^2),SQRT(LN(1+($D$10/$C$10)^2)))</f>
        <v/>
      </c>
      <c r="S1049" s="14">
        <f>SUM(M1049:R1049)</f>
        <v/>
      </c>
      <c r="AA1049">
        <f>RAND()</f>
        <v/>
      </c>
      <c r="AB1049">
        <f>RAND()</f>
        <v/>
      </c>
      <c r="AC1049">
        <f>RAND()</f>
        <v/>
      </c>
      <c r="AD1049">
        <f>RAND()</f>
        <v/>
      </c>
      <c r="AE1049">
        <f>RAND()</f>
        <v/>
      </c>
      <c r="AF1049">
        <f>RAND()</f>
        <v/>
      </c>
    </row>
    <row r="1050">
      <c r="M1050" s="14">
        <f>_xlfn.BETA.INV($AA1050,1+4*($D$5-$C$5)/($E$5-$C$5),1+4*($E$5-$D$5)/($E$5-$C$5),$C$5,$E$5)</f>
        <v/>
      </c>
      <c r="N1050" s="14">
        <f>IF($AB1050&lt;($D$6-$C$6)/($E$6-$C$6),$C$6+SQRT($AB1050*($E$6-$C$6)*($D$6-$C$6)),$E$6-SQRT((1-$AB1050)*($E$6-$C$6)*($E$6-$D$6)))</f>
        <v/>
      </c>
      <c r="O1050" s="14">
        <f>_xlfn.NORM.INV($AC1050,$C$7,$D$7)</f>
        <v/>
      </c>
      <c r="P1050" s="14">
        <f>$C$8+($D$8-$C$8)*$AD1050</f>
        <v/>
      </c>
      <c r="Q1050" s="14">
        <f>$C$9</f>
        <v/>
      </c>
      <c r="R1050" s="14">
        <f>_xlfn.LOGNORM.INV($AF1050,LN($C$10)-0.5*LN(1+($D$10/$C$10)^2),SQRT(LN(1+($D$10/$C$10)^2)))</f>
        <v/>
      </c>
      <c r="S1050" s="14">
        <f>SUM(M1050:R1050)</f>
        <v/>
      </c>
      <c r="AA1050">
        <f>RAND()</f>
        <v/>
      </c>
      <c r="AB1050">
        <f>RAND()</f>
        <v/>
      </c>
      <c r="AC1050">
        <f>RAND()</f>
        <v/>
      </c>
      <c r="AD1050">
        <f>RAND()</f>
        <v/>
      </c>
      <c r="AE1050">
        <f>RAND()</f>
        <v/>
      </c>
      <c r="AF1050">
        <f>RAND()</f>
        <v/>
      </c>
    </row>
    <row r="1051">
      <c r="M1051" s="14">
        <f>_xlfn.BETA.INV($AA1051,1+4*($D$5-$C$5)/($E$5-$C$5),1+4*($E$5-$D$5)/($E$5-$C$5),$C$5,$E$5)</f>
        <v/>
      </c>
      <c r="N1051" s="14">
        <f>IF($AB1051&lt;($D$6-$C$6)/($E$6-$C$6),$C$6+SQRT($AB1051*($E$6-$C$6)*($D$6-$C$6)),$E$6-SQRT((1-$AB1051)*($E$6-$C$6)*($E$6-$D$6)))</f>
        <v/>
      </c>
      <c r="O1051" s="14">
        <f>_xlfn.NORM.INV($AC1051,$C$7,$D$7)</f>
        <v/>
      </c>
      <c r="P1051" s="14">
        <f>$C$8+($D$8-$C$8)*$AD1051</f>
        <v/>
      </c>
      <c r="Q1051" s="14">
        <f>$C$9</f>
        <v/>
      </c>
      <c r="R1051" s="14">
        <f>_xlfn.LOGNORM.INV($AF1051,LN($C$10)-0.5*LN(1+($D$10/$C$10)^2),SQRT(LN(1+($D$10/$C$10)^2)))</f>
        <v/>
      </c>
      <c r="S1051" s="14">
        <f>SUM(M1051:R1051)</f>
        <v/>
      </c>
      <c r="AA1051">
        <f>RAND()</f>
        <v/>
      </c>
      <c r="AB1051">
        <f>RAND()</f>
        <v/>
      </c>
      <c r="AC1051">
        <f>RAND()</f>
        <v/>
      </c>
      <c r="AD1051">
        <f>RAND()</f>
        <v/>
      </c>
      <c r="AE1051">
        <f>RAND()</f>
        <v/>
      </c>
      <c r="AF1051">
        <f>RAND()</f>
        <v/>
      </c>
    </row>
    <row r="1052">
      <c r="M1052" s="14">
        <f>_xlfn.BETA.INV($AA1052,1+4*($D$5-$C$5)/($E$5-$C$5),1+4*($E$5-$D$5)/($E$5-$C$5),$C$5,$E$5)</f>
        <v/>
      </c>
      <c r="N1052" s="14">
        <f>IF($AB1052&lt;($D$6-$C$6)/($E$6-$C$6),$C$6+SQRT($AB1052*($E$6-$C$6)*($D$6-$C$6)),$E$6-SQRT((1-$AB1052)*($E$6-$C$6)*($E$6-$D$6)))</f>
        <v/>
      </c>
      <c r="O1052" s="14">
        <f>_xlfn.NORM.INV($AC1052,$C$7,$D$7)</f>
        <v/>
      </c>
      <c r="P1052" s="14">
        <f>$C$8+($D$8-$C$8)*$AD1052</f>
        <v/>
      </c>
      <c r="Q1052" s="14">
        <f>$C$9</f>
        <v/>
      </c>
      <c r="R1052" s="14">
        <f>_xlfn.LOGNORM.INV($AF1052,LN($C$10)-0.5*LN(1+($D$10/$C$10)^2),SQRT(LN(1+($D$10/$C$10)^2)))</f>
        <v/>
      </c>
      <c r="S1052" s="14">
        <f>SUM(M1052:R1052)</f>
        <v/>
      </c>
      <c r="AA1052">
        <f>RAND()</f>
        <v/>
      </c>
      <c r="AB1052">
        <f>RAND()</f>
        <v/>
      </c>
      <c r="AC1052">
        <f>RAND()</f>
        <v/>
      </c>
      <c r="AD1052">
        <f>RAND()</f>
        <v/>
      </c>
      <c r="AE1052">
        <f>RAND()</f>
        <v/>
      </c>
      <c r="AF1052">
        <f>RAND()</f>
        <v/>
      </c>
    </row>
    <row r="1053">
      <c r="M1053" s="14">
        <f>_xlfn.BETA.INV($AA1053,1+4*($D$5-$C$5)/($E$5-$C$5),1+4*($E$5-$D$5)/($E$5-$C$5),$C$5,$E$5)</f>
        <v/>
      </c>
      <c r="N1053" s="14">
        <f>IF($AB1053&lt;($D$6-$C$6)/($E$6-$C$6),$C$6+SQRT($AB1053*($E$6-$C$6)*($D$6-$C$6)),$E$6-SQRT((1-$AB1053)*($E$6-$C$6)*($E$6-$D$6)))</f>
        <v/>
      </c>
      <c r="O1053" s="14">
        <f>_xlfn.NORM.INV($AC1053,$C$7,$D$7)</f>
        <v/>
      </c>
      <c r="P1053" s="14">
        <f>$C$8+($D$8-$C$8)*$AD1053</f>
        <v/>
      </c>
      <c r="Q1053" s="14">
        <f>$C$9</f>
        <v/>
      </c>
      <c r="R1053" s="14">
        <f>_xlfn.LOGNORM.INV($AF1053,LN($C$10)-0.5*LN(1+($D$10/$C$10)^2),SQRT(LN(1+($D$10/$C$10)^2)))</f>
        <v/>
      </c>
      <c r="S1053" s="14">
        <f>SUM(M1053:R1053)</f>
        <v/>
      </c>
      <c r="AA1053">
        <f>RAND()</f>
        <v/>
      </c>
      <c r="AB1053">
        <f>RAND()</f>
        <v/>
      </c>
      <c r="AC1053">
        <f>RAND()</f>
        <v/>
      </c>
      <c r="AD1053">
        <f>RAND()</f>
        <v/>
      </c>
      <c r="AE1053">
        <f>RAND()</f>
        <v/>
      </c>
      <c r="AF1053">
        <f>RAND()</f>
        <v/>
      </c>
    </row>
    <row r="1054">
      <c r="M1054" s="14">
        <f>_xlfn.BETA.INV($AA1054,1+4*($D$5-$C$5)/($E$5-$C$5),1+4*($E$5-$D$5)/($E$5-$C$5),$C$5,$E$5)</f>
        <v/>
      </c>
      <c r="N1054" s="14">
        <f>IF($AB1054&lt;($D$6-$C$6)/($E$6-$C$6),$C$6+SQRT($AB1054*($E$6-$C$6)*($D$6-$C$6)),$E$6-SQRT((1-$AB1054)*($E$6-$C$6)*($E$6-$D$6)))</f>
        <v/>
      </c>
      <c r="O1054" s="14">
        <f>_xlfn.NORM.INV($AC1054,$C$7,$D$7)</f>
        <v/>
      </c>
      <c r="P1054" s="14">
        <f>$C$8+($D$8-$C$8)*$AD1054</f>
        <v/>
      </c>
      <c r="Q1054" s="14">
        <f>$C$9</f>
        <v/>
      </c>
      <c r="R1054" s="14">
        <f>_xlfn.LOGNORM.INV($AF1054,LN($C$10)-0.5*LN(1+($D$10/$C$10)^2),SQRT(LN(1+($D$10/$C$10)^2)))</f>
        <v/>
      </c>
      <c r="S1054" s="14">
        <f>SUM(M1054:R1054)</f>
        <v/>
      </c>
      <c r="AA1054">
        <f>RAND()</f>
        <v/>
      </c>
      <c r="AB1054">
        <f>RAND()</f>
        <v/>
      </c>
      <c r="AC1054">
        <f>RAND()</f>
        <v/>
      </c>
      <c r="AD1054">
        <f>RAND()</f>
        <v/>
      </c>
      <c r="AE1054">
        <f>RAND()</f>
        <v/>
      </c>
      <c r="AF1054">
        <f>RAND()</f>
        <v/>
      </c>
    </row>
    <row r="1055">
      <c r="M1055" s="14">
        <f>_xlfn.BETA.INV($AA1055,1+4*($D$5-$C$5)/($E$5-$C$5),1+4*($E$5-$D$5)/($E$5-$C$5),$C$5,$E$5)</f>
        <v/>
      </c>
      <c r="N1055" s="14">
        <f>IF($AB1055&lt;($D$6-$C$6)/($E$6-$C$6),$C$6+SQRT($AB1055*($E$6-$C$6)*($D$6-$C$6)),$E$6-SQRT((1-$AB1055)*($E$6-$C$6)*($E$6-$D$6)))</f>
        <v/>
      </c>
      <c r="O1055" s="14">
        <f>_xlfn.NORM.INV($AC1055,$C$7,$D$7)</f>
        <v/>
      </c>
      <c r="P1055" s="14">
        <f>$C$8+($D$8-$C$8)*$AD1055</f>
        <v/>
      </c>
      <c r="Q1055" s="14">
        <f>$C$9</f>
        <v/>
      </c>
      <c r="R1055" s="14">
        <f>_xlfn.LOGNORM.INV($AF1055,LN($C$10)-0.5*LN(1+($D$10/$C$10)^2),SQRT(LN(1+($D$10/$C$10)^2)))</f>
        <v/>
      </c>
      <c r="S1055" s="14">
        <f>SUM(M1055:R1055)</f>
        <v/>
      </c>
      <c r="AA1055">
        <f>RAND()</f>
        <v/>
      </c>
      <c r="AB1055">
        <f>RAND()</f>
        <v/>
      </c>
      <c r="AC1055">
        <f>RAND()</f>
        <v/>
      </c>
      <c r="AD1055">
        <f>RAND()</f>
        <v/>
      </c>
      <c r="AE1055">
        <f>RAND()</f>
        <v/>
      </c>
      <c r="AF1055">
        <f>RAND()</f>
        <v/>
      </c>
    </row>
    <row r="1056">
      <c r="M1056" s="14">
        <f>_xlfn.BETA.INV($AA1056,1+4*($D$5-$C$5)/($E$5-$C$5),1+4*($E$5-$D$5)/($E$5-$C$5),$C$5,$E$5)</f>
        <v/>
      </c>
      <c r="N1056" s="14">
        <f>IF($AB1056&lt;($D$6-$C$6)/($E$6-$C$6),$C$6+SQRT($AB1056*($E$6-$C$6)*($D$6-$C$6)),$E$6-SQRT((1-$AB1056)*($E$6-$C$6)*($E$6-$D$6)))</f>
        <v/>
      </c>
      <c r="O1056" s="14">
        <f>_xlfn.NORM.INV($AC1056,$C$7,$D$7)</f>
        <v/>
      </c>
      <c r="P1056" s="14">
        <f>$C$8+($D$8-$C$8)*$AD1056</f>
        <v/>
      </c>
      <c r="Q1056" s="14">
        <f>$C$9</f>
        <v/>
      </c>
      <c r="R1056" s="14">
        <f>_xlfn.LOGNORM.INV($AF1056,LN($C$10)-0.5*LN(1+($D$10/$C$10)^2),SQRT(LN(1+($D$10/$C$10)^2)))</f>
        <v/>
      </c>
      <c r="S1056" s="14">
        <f>SUM(M1056:R1056)</f>
        <v/>
      </c>
      <c r="AA1056">
        <f>RAND()</f>
        <v/>
      </c>
      <c r="AB1056">
        <f>RAND()</f>
        <v/>
      </c>
      <c r="AC1056">
        <f>RAND()</f>
        <v/>
      </c>
      <c r="AD1056">
        <f>RAND()</f>
        <v/>
      </c>
      <c r="AE1056">
        <f>RAND()</f>
        <v/>
      </c>
      <c r="AF1056">
        <f>RAND()</f>
        <v/>
      </c>
    </row>
    <row r="1057">
      <c r="M1057" s="14">
        <f>_xlfn.BETA.INV($AA1057,1+4*($D$5-$C$5)/($E$5-$C$5),1+4*($E$5-$D$5)/($E$5-$C$5),$C$5,$E$5)</f>
        <v/>
      </c>
      <c r="N1057" s="14">
        <f>IF($AB1057&lt;($D$6-$C$6)/($E$6-$C$6),$C$6+SQRT($AB1057*($E$6-$C$6)*($D$6-$C$6)),$E$6-SQRT((1-$AB1057)*($E$6-$C$6)*($E$6-$D$6)))</f>
        <v/>
      </c>
      <c r="O1057" s="14">
        <f>_xlfn.NORM.INV($AC1057,$C$7,$D$7)</f>
        <v/>
      </c>
      <c r="P1057" s="14">
        <f>$C$8+($D$8-$C$8)*$AD1057</f>
        <v/>
      </c>
      <c r="Q1057" s="14">
        <f>$C$9</f>
        <v/>
      </c>
      <c r="R1057" s="14">
        <f>_xlfn.LOGNORM.INV($AF1057,LN($C$10)-0.5*LN(1+($D$10/$C$10)^2),SQRT(LN(1+($D$10/$C$10)^2)))</f>
        <v/>
      </c>
      <c r="S1057" s="14">
        <f>SUM(M1057:R1057)</f>
        <v/>
      </c>
      <c r="AA1057">
        <f>RAND()</f>
        <v/>
      </c>
      <c r="AB1057">
        <f>RAND()</f>
        <v/>
      </c>
      <c r="AC1057">
        <f>RAND()</f>
        <v/>
      </c>
      <c r="AD1057">
        <f>RAND()</f>
        <v/>
      </c>
      <c r="AE1057">
        <f>RAND()</f>
        <v/>
      </c>
      <c r="AF1057">
        <f>RAND()</f>
        <v/>
      </c>
    </row>
    <row r="1058">
      <c r="M1058" s="14">
        <f>_xlfn.BETA.INV($AA1058,1+4*($D$5-$C$5)/($E$5-$C$5),1+4*($E$5-$D$5)/($E$5-$C$5),$C$5,$E$5)</f>
        <v/>
      </c>
      <c r="N1058" s="14">
        <f>IF($AB1058&lt;($D$6-$C$6)/($E$6-$C$6),$C$6+SQRT($AB1058*($E$6-$C$6)*($D$6-$C$6)),$E$6-SQRT((1-$AB1058)*($E$6-$C$6)*($E$6-$D$6)))</f>
        <v/>
      </c>
      <c r="O1058" s="14">
        <f>_xlfn.NORM.INV($AC1058,$C$7,$D$7)</f>
        <v/>
      </c>
      <c r="P1058" s="14">
        <f>$C$8+($D$8-$C$8)*$AD1058</f>
        <v/>
      </c>
      <c r="Q1058" s="14">
        <f>$C$9</f>
        <v/>
      </c>
      <c r="R1058" s="14">
        <f>_xlfn.LOGNORM.INV($AF1058,LN($C$10)-0.5*LN(1+($D$10/$C$10)^2),SQRT(LN(1+($D$10/$C$10)^2)))</f>
        <v/>
      </c>
      <c r="S1058" s="14">
        <f>SUM(M1058:R1058)</f>
        <v/>
      </c>
      <c r="AA1058">
        <f>RAND()</f>
        <v/>
      </c>
      <c r="AB1058">
        <f>RAND()</f>
        <v/>
      </c>
      <c r="AC1058">
        <f>RAND()</f>
        <v/>
      </c>
      <c r="AD1058">
        <f>RAND()</f>
        <v/>
      </c>
      <c r="AE1058">
        <f>RAND()</f>
        <v/>
      </c>
      <c r="AF1058">
        <f>RAND()</f>
        <v/>
      </c>
    </row>
    <row r="1059">
      <c r="M1059" s="14">
        <f>_xlfn.BETA.INV($AA1059,1+4*($D$5-$C$5)/($E$5-$C$5),1+4*($E$5-$D$5)/($E$5-$C$5),$C$5,$E$5)</f>
        <v/>
      </c>
      <c r="N1059" s="14">
        <f>IF($AB1059&lt;($D$6-$C$6)/($E$6-$C$6),$C$6+SQRT($AB1059*($E$6-$C$6)*($D$6-$C$6)),$E$6-SQRT((1-$AB1059)*($E$6-$C$6)*($E$6-$D$6)))</f>
        <v/>
      </c>
      <c r="O1059" s="14">
        <f>_xlfn.NORM.INV($AC1059,$C$7,$D$7)</f>
        <v/>
      </c>
      <c r="P1059" s="14">
        <f>$C$8+($D$8-$C$8)*$AD1059</f>
        <v/>
      </c>
      <c r="Q1059" s="14">
        <f>$C$9</f>
        <v/>
      </c>
      <c r="R1059" s="14">
        <f>_xlfn.LOGNORM.INV($AF1059,LN($C$10)-0.5*LN(1+($D$10/$C$10)^2),SQRT(LN(1+($D$10/$C$10)^2)))</f>
        <v/>
      </c>
      <c r="S1059" s="14">
        <f>SUM(M1059:R1059)</f>
        <v/>
      </c>
      <c r="AA1059">
        <f>RAND()</f>
        <v/>
      </c>
      <c r="AB1059">
        <f>RAND()</f>
        <v/>
      </c>
      <c r="AC1059">
        <f>RAND()</f>
        <v/>
      </c>
      <c r="AD1059">
        <f>RAND()</f>
        <v/>
      </c>
      <c r="AE1059">
        <f>RAND()</f>
        <v/>
      </c>
      <c r="AF1059">
        <f>RAND()</f>
        <v/>
      </c>
    </row>
    <row r="1060">
      <c r="M1060" s="14">
        <f>_xlfn.BETA.INV($AA1060,1+4*($D$5-$C$5)/($E$5-$C$5),1+4*($E$5-$D$5)/($E$5-$C$5),$C$5,$E$5)</f>
        <v/>
      </c>
      <c r="N1060" s="14">
        <f>IF($AB1060&lt;($D$6-$C$6)/($E$6-$C$6),$C$6+SQRT($AB1060*($E$6-$C$6)*($D$6-$C$6)),$E$6-SQRT((1-$AB1060)*($E$6-$C$6)*($E$6-$D$6)))</f>
        <v/>
      </c>
      <c r="O1060" s="14">
        <f>_xlfn.NORM.INV($AC1060,$C$7,$D$7)</f>
        <v/>
      </c>
      <c r="P1060" s="14">
        <f>$C$8+($D$8-$C$8)*$AD1060</f>
        <v/>
      </c>
      <c r="Q1060" s="14">
        <f>$C$9</f>
        <v/>
      </c>
      <c r="R1060" s="14">
        <f>_xlfn.LOGNORM.INV($AF1060,LN($C$10)-0.5*LN(1+($D$10/$C$10)^2),SQRT(LN(1+($D$10/$C$10)^2)))</f>
        <v/>
      </c>
      <c r="S1060" s="14">
        <f>SUM(M1060:R1060)</f>
        <v/>
      </c>
      <c r="AA1060">
        <f>RAND()</f>
        <v/>
      </c>
      <c r="AB1060">
        <f>RAND()</f>
        <v/>
      </c>
      <c r="AC1060">
        <f>RAND()</f>
        <v/>
      </c>
      <c r="AD1060">
        <f>RAND()</f>
        <v/>
      </c>
      <c r="AE1060">
        <f>RAND()</f>
        <v/>
      </c>
      <c r="AF1060">
        <f>RAND()</f>
        <v/>
      </c>
    </row>
    <row r="1061">
      <c r="M1061" s="14">
        <f>_xlfn.BETA.INV($AA1061,1+4*($D$5-$C$5)/($E$5-$C$5),1+4*($E$5-$D$5)/($E$5-$C$5),$C$5,$E$5)</f>
        <v/>
      </c>
      <c r="N1061" s="14">
        <f>IF($AB1061&lt;($D$6-$C$6)/($E$6-$C$6),$C$6+SQRT($AB1061*($E$6-$C$6)*($D$6-$C$6)),$E$6-SQRT((1-$AB1061)*($E$6-$C$6)*($E$6-$D$6)))</f>
        <v/>
      </c>
      <c r="O1061" s="14">
        <f>_xlfn.NORM.INV($AC1061,$C$7,$D$7)</f>
        <v/>
      </c>
      <c r="P1061" s="14">
        <f>$C$8+($D$8-$C$8)*$AD1061</f>
        <v/>
      </c>
      <c r="Q1061" s="14">
        <f>$C$9</f>
        <v/>
      </c>
      <c r="R1061" s="14">
        <f>_xlfn.LOGNORM.INV($AF1061,LN($C$10)-0.5*LN(1+($D$10/$C$10)^2),SQRT(LN(1+($D$10/$C$10)^2)))</f>
        <v/>
      </c>
      <c r="S1061" s="14">
        <f>SUM(M1061:R1061)</f>
        <v/>
      </c>
      <c r="AA1061">
        <f>RAND()</f>
        <v/>
      </c>
      <c r="AB1061">
        <f>RAND()</f>
        <v/>
      </c>
      <c r="AC1061">
        <f>RAND()</f>
        <v/>
      </c>
      <c r="AD1061">
        <f>RAND()</f>
        <v/>
      </c>
      <c r="AE1061">
        <f>RAND()</f>
        <v/>
      </c>
      <c r="AF1061">
        <f>RAND()</f>
        <v/>
      </c>
    </row>
    <row r="1062">
      <c r="M1062" s="14">
        <f>_xlfn.BETA.INV($AA1062,1+4*($D$5-$C$5)/($E$5-$C$5),1+4*($E$5-$D$5)/($E$5-$C$5),$C$5,$E$5)</f>
        <v/>
      </c>
      <c r="N1062" s="14">
        <f>IF($AB1062&lt;($D$6-$C$6)/($E$6-$C$6),$C$6+SQRT($AB1062*($E$6-$C$6)*($D$6-$C$6)),$E$6-SQRT((1-$AB1062)*($E$6-$C$6)*($E$6-$D$6)))</f>
        <v/>
      </c>
      <c r="O1062" s="14">
        <f>_xlfn.NORM.INV($AC1062,$C$7,$D$7)</f>
        <v/>
      </c>
      <c r="P1062" s="14">
        <f>$C$8+($D$8-$C$8)*$AD1062</f>
        <v/>
      </c>
      <c r="Q1062" s="14">
        <f>$C$9</f>
        <v/>
      </c>
      <c r="R1062" s="14">
        <f>_xlfn.LOGNORM.INV($AF1062,LN($C$10)-0.5*LN(1+($D$10/$C$10)^2),SQRT(LN(1+($D$10/$C$10)^2)))</f>
        <v/>
      </c>
      <c r="S1062" s="14">
        <f>SUM(M1062:R1062)</f>
        <v/>
      </c>
      <c r="AA1062">
        <f>RAND()</f>
        <v/>
      </c>
      <c r="AB1062">
        <f>RAND()</f>
        <v/>
      </c>
      <c r="AC1062">
        <f>RAND()</f>
        <v/>
      </c>
      <c r="AD1062">
        <f>RAND()</f>
        <v/>
      </c>
      <c r="AE1062">
        <f>RAND()</f>
        <v/>
      </c>
      <c r="AF1062">
        <f>RAND()</f>
        <v/>
      </c>
    </row>
    <row r="1063">
      <c r="M1063" s="14">
        <f>_xlfn.BETA.INV($AA1063,1+4*($D$5-$C$5)/($E$5-$C$5),1+4*($E$5-$D$5)/($E$5-$C$5),$C$5,$E$5)</f>
        <v/>
      </c>
      <c r="N1063" s="14">
        <f>IF($AB1063&lt;($D$6-$C$6)/($E$6-$C$6),$C$6+SQRT($AB1063*($E$6-$C$6)*($D$6-$C$6)),$E$6-SQRT((1-$AB1063)*($E$6-$C$6)*($E$6-$D$6)))</f>
        <v/>
      </c>
      <c r="O1063" s="14">
        <f>_xlfn.NORM.INV($AC1063,$C$7,$D$7)</f>
        <v/>
      </c>
      <c r="P1063" s="14">
        <f>$C$8+($D$8-$C$8)*$AD1063</f>
        <v/>
      </c>
      <c r="Q1063" s="14">
        <f>$C$9</f>
        <v/>
      </c>
      <c r="R1063" s="14">
        <f>_xlfn.LOGNORM.INV($AF1063,LN($C$10)-0.5*LN(1+($D$10/$C$10)^2),SQRT(LN(1+($D$10/$C$10)^2)))</f>
        <v/>
      </c>
      <c r="S1063" s="14">
        <f>SUM(M1063:R1063)</f>
        <v/>
      </c>
      <c r="AA1063">
        <f>RAND()</f>
        <v/>
      </c>
      <c r="AB1063">
        <f>RAND()</f>
        <v/>
      </c>
      <c r="AC1063">
        <f>RAND()</f>
        <v/>
      </c>
      <c r="AD1063">
        <f>RAND()</f>
        <v/>
      </c>
      <c r="AE1063">
        <f>RAND()</f>
        <v/>
      </c>
      <c r="AF1063">
        <f>RAND()</f>
        <v/>
      </c>
    </row>
    <row r="1064">
      <c r="M1064" s="14">
        <f>_xlfn.BETA.INV($AA1064,1+4*($D$5-$C$5)/($E$5-$C$5),1+4*($E$5-$D$5)/($E$5-$C$5),$C$5,$E$5)</f>
        <v/>
      </c>
      <c r="N1064" s="14">
        <f>IF($AB1064&lt;($D$6-$C$6)/($E$6-$C$6),$C$6+SQRT($AB1064*($E$6-$C$6)*($D$6-$C$6)),$E$6-SQRT((1-$AB1064)*($E$6-$C$6)*($E$6-$D$6)))</f>
        <v/>
      </c>
      <c r="O1064" s="14">
        <f>_xlfn.NORM.INV($AC1064,$C$7,$D$7)</f>
        <v/>
      </c>
      <c r="P1064" s="14">
        <f>$C$8+($D$8-$C$8)*$AD1064</f>
        <v/>
      </c>
      <c r="Q1064" s="14">
        <f>$C$9</f>
        <v/>
      </c>
      <c r="R1064" s="14">
        <f>_xlfn.LOGNORM.INV($AF1064,LN($C$10)-0.5*LN(1+($D$10/$C$10)^2),SQRT(LN(1+($D$10/$C$10)^2)))</f>
        <v/>
      </c>
      <c r="S1064" s="14">
        <f>SUM(M1064:R1064)</f>
        <v/>
      </c>
      <c r="AA1064">
        <f>RAND()</f>
        <v/>
      </c>
      <c r="AB1064">
        <f>RAND()</f>
        <v/>
      </c>
      <c r="AC1064">
        <f>RAND()</f>
        <v/>
      </c>
      <c r="AD1064">
        <f>RAND()</f>
        <v/>
      </c>
      <c r="AE1064">
        <f>RAND()</f>
        <v/>
      </c>
      <c r="AF1064">
        <f>RAND()</f>
        <v/>
      </c>
    </row>
    <row r="1065">
      <c r="M1065" s="14">
        <f>_xlfn.BETA.INV($AA1065,1+4*($D$5-$C$5)/($E$5-$C$5),1+4*($E$5-$D$5)/($E$5-$C$5),$C$5,$E$5)</f>
        <v/>
      </c>
      <c r="N1065" s="14">
        <f>IF($AB1065&lt;($D$6-$C$6)/($E$6-$C$6),$C$6+SQRT($AB1065*($E$6-$C$6)*($D$6-$C$6)),$E$6-SQRT((1-$AB1065)*($E$6-$C$6)*($E$6-$D$6)))</f>
        <v/>
      </c>
      <c r="O1065" s="14">
        <f>_xlfn.NORM.INV($AC1065,$C$7,$D$7)</f>
        <v/>
      </c>
      <c r="P1065" s="14">
        <f>$C$8+($D$8-$C$8)*$AD1065</f>
        <v/>
      </c>
      <c r="Q1065" s="14">
        <f>$C$9</f>
        <v/>
      </c>
      <c r="R1065" s="14">
        <f>_xlfn.LOGNORM.INV($AF1065,LN($C$10)-0.5*LN(1+($D$10/$C$10)^2),SQRT(LN(1+($D$10/$C$10)^2)))</f>
        <v/>
      </c>
      <c r="S1065" s="14">
        <f>SUM(M1065:R1065)</f>
        <v/>
      </c>
      <c r="AA1065">
        <f>RAND()</f>
        <v/>
      </c>
      <c r="AB1065">
        <f>RAND()</f>
        <v/>
      </c>
      <c r="AC1065">
        <f>RAND()</f>
        <v/>
      </c>
      <c r="AD1065">
        <f>RAND()</f>
        <v/>
      </c>
      <c r="AE1065">
        <f>RAND()</f>
        <v/>
      </c>
      <c r="AF1065">
        <f>RAND()</f>
        <v/>
      </c>
    </row>
    <row r="1066">
      <c r="M1066" s="14">
        <f>_xlfn.BETA.INV($AA1066,1+4*($D$5-$C$5)/($E$5-$C$5),1+4*($E$5-$D$5)/($E$5-$C$5),$C$5,$E$5)</f>
        <v/>
      </c>
      <c r="N1066" s="14">
        <f>IF($AB1066&lt;($D$6-$C$6)/($E$6-$C$6),$C$6+SQRT($AB1066*($E$6-$C$6)*($D$6-$C$6)),$E$6-SQRT((1-$AB1066)*($E$6-$C$6)*($E$6-$D$6)))</f>
        <v/>
      </c>
      <c r="O1066" s="14">
        <f>_xlfn.NORM.INV($AC1066,$C$7,$D$7)</f>
        <v/>
      </c>
      <c r="P1066" s="14">
        <f>$C$8+($D$8-$C$8)*$AD1066</f>
        <v/>
      </c>
      <c r="Q1066" s="14">
        <f>$C$9</f>
        <v/>
      </c>
      <c r="R1066" s="14">
        <f>_xlfn.LOGNORM.INV($AF1066,LN($C$10)-0.5*LN(1+($D$10/$C$10)^2),SQRT(LN(1+($D$10/$C$10)^2)))</f>
        <v/>
      </c>
      <c r="S1066" s="14">
        <f>SUM(M1066:R1066)</f>
        <v/>
      </c>
      <c r="AA1066">
        <f>RAND()</f>
        <v/>
      </c>
      <c r="AB1066">
        <f>RAND()</f>
        <v/>
      </c>
      <c r="AC1066">
        <f>RAND()</f>
        <v/>
      </c>
      <c r="AD1066">
        <f>RAND()</f>
        <v/>
      </c>
      <c r="AE1066">
        <f>RAND()</f>
        <v/>
      </c>
      <c r="AF1066">
        <f>RAND()</f>
        <v/>
      </c>
    </row>
    <row r="1067">
      <c r="M1067" s="14">
        <f>_xlfn.BETA.INV($AA1067,1+4*($D$5-$C$5)/($E$5-$C$5),1+4*($E$5-$D$5)/($E$5-$C$5),$C$5,$E$5)</f>
        <v/>
      </c>
      <c r="N1067" s="14">
        <f>IF($AB1067&lt;($D$6-$C$6)/($E$6-$C$6),$C$6+SQRT($AB1067*($E$6-$C$6)*($D$6-$C$6)),$E$6-SQRT((1-$AB1067)*($E$6-$C$6)*($E$6-$D$6)))</f>
        <v/>
      </c>
      <c r="O1067" s="14">
        <f>_xlfn.NORM.INV($AC1067,$C$7,$D$7)</f>
        <v/>
      </c>
      <c r="P1067" s="14">
        <f>$C$8+($D$8-$C$8)*$AD1067</f>
        <v/>
      </c>
      <c r="Q1067" s="14">
        <f>$C$9</f>
        <v/>
      </c>
      <c r="R1067" s="14">
        <f>_xlfn.LOGNORM.INV($AF1067,LN($C$10)-0.5*LN(1+($D$10/$C$10)^2),SQRT(LN(1+($D$10/$C$10)^2)))</f>
        <v/>
      </c>
      <c r="S1067" s="14">
        <f>SUM(M1067:R1067)</f>
        <v/>
      </c>
      <c r="AA1067">
        <f>RAND()</f>
        <v/>
      </c>
      <c r="AB1067">
        <f>RAND()</f>
        <v/>
      </c>
      <c r="AC1067">
        <f>RAND()</f>
        <v/>
      </c>
      <c r="AD1067">
        <f>RAND()</f>
        <v/>
      </c>
      <c r="AE1067">
        <f>RAND()</f>
        <v/>
      </c>
      <c r="AF1067">
        <f>RAND()</f>
        <v/>
      </c>
    </row>
    <row r="1068">
      <c r="M1068" s="14">
        <f>_xlfn.BETA.INV($AA1068,1+4*($D$5-$C$5)/($E$5-$C$5),1+4*($E$5-$D$5)/($E$5-$C$5),$C$5,$E$5)</f>
        <v/>
      </c>
      <c r="N1068" s="14">
        <f>IF($AB1068&lt;($D$6-$C$6)/($E$6-$C$6),$C$6+SQRT($AB1068*($E$6-$C$6)*($D$6-$C$6)),$E$6-SQRT((1-$AB1068)*($E$6-$C$6)*($E$6-$D$6)))</f>
        <v/>
      </c>
      <c r="O1068" s="14">
        <f>_xlfn.NORM.INV($AC1068,$C$7,$D$7)</f>
        <v/>
      </c>
      <c r="P1068" s="14">
        <f>$C$8+($D$8-$C$8)*$AD1068</f>
        <v/>
      </c>
      <c r="Q1068" s="14">
        <f>$C$9</f>
        <v/>
      </c>
      <c r="R1068" s="14">
        <f>_xlfn.LOGNORM.INV($AF1068,LN($C$10)-0.5*LN(1+($D$10/$C$10)^2),SQRT(LN(1+($D$10/$C$10)^2)))</f>
        <v/>
      </c>
      <c r="S1068" s="14">
        <f>SUM(M1068:R1068)</f>
        <v/>
      </c>
      <c r="AA1068">
        <f>RAND()</f>
        <v/>
      </c>
      <c r="AB1068">
        <f>RAND()</f>
        <v/>
      </c>
      <c r="AC1068">
        <f>RAND()</f>
        <v/>
      </c>
      <c r="AD1068">
        <f>RAND()</f>
        <v/>
      </c>
      <c r="AE1068">
        <f>RAND()</f>
        <v/>
      </c>
      <c r="AF1068">
        <f>RAND()</f>
        <v/>
      </c>
    </row>
    <row r="1069">
      <c r="M1069" s="14">
        <f>_xlfn.BETA.INV($AA1069,1+4*($D$5-$C$5)/($E$5-$C$5),1+4*($E$5-$D$5)/($E$5-$C$5),$C$5,$E$5)</f>
        <v/>
      </c>
      <c r="N1069" s="14">
        <f>IF($AB1069&lt;($D$6-$C$6)/($E$6-$C$6),$C$6+SQRT($AB1069*($E$6-$C$6)*($D$6-$C$6)),$E$6-SQRT((1-$AB1069)*($E$6-$C$6)*($E$6-$D$6)))</f>
        <v/>
      </c>
      <c r="O1069" s="14">
        <f>_xlfn.NORM.INV($AC1069,$C$7,$D$7)</f>
        <v/>
      </c>
      <c r="P1069" s="14">
        <f>$C$8+($D$8-$C$8)*$AD1069</f>
        <v/>
      </c>
      <c r="Q1069" s="14">
        <f>$C$9</f>
        <v/>
      </c>
      <c r="R1069" s="14">
        <f>_xlfn.LOGNORM.INV($AF1069,LN($C$10)-0.5*LN(1+($D$10/$C$10)^2),SQRT(LN(1+($D$10/$C$10)^2)))</f>
        <v/>
      </c>
      <c r="S1069" s="14">
        <f>SUM(M1069:R1069)</f>
        <v/>
      </c>
      <c r="AA1069">
        <f>RAND()</f>
        <v/>
      </c>
      <c r="AB1069">
        <f>RAND()</f>
        <v/>
      </c>
      <c r="AC1069">
        <f>RAND()</f>
        <v/>
      </c>
      <c r="AD1069">
        <f>RAND()</f>
        <v/>
      </c>
      <c r="AE1069">
        <f>RAND()</f>
        <v/>
      </c>
      <c r="AF1069">
        <f>RAND()</f>
        <v/>
      </c>
    </row>
    <row r="1070">
      <c r="M1070" s="14">
        <f>_xlfn.BETA.INV($AA1070,1+4*($D$5-$C$5)/($E$5-$C$5),1+4*($E$5-$D$5)/($E$5-$C$5),$C$5,$E$5)</f>
        <v/>
      </c>
      <c r="N1070" s="14">
        <f>IF($AB1070&lt;($D$6-$C$6)/($E$6-$C$6),$C$6+SQRT($AB1070*($E$6-$C$6)*($D$6-$C$6)),$E$6-SQRT((1-$AB1070)*($E$6-$C$6)*($E$6-$D$6)))</f>
        <v/>
      </c>
      <c r="O1070" s="14">
        <f>_xlfn.NORM.INV($AC1070,$C$7,$D$7)</f>
        <v/>
      </c>
      <c r="P1070" s="14">
        <f>$C$8+($D$8-$C$8)*$AD1070</f>
        <v/>
      </c>
      <c r="Q1070" s="14">
        <f>$C$9</f>
        <v/>
      </c>
      <c r="R1070" s="14">
        <f>_xlfn.LOGNORM.INV($AF1070,LN($C$10)-0.5*LN(1+($D$10/$C$10)^2),SQRT(LN(1+($D$10/$C$10)^2)))</f>
        <v/>
      </c>
      <c r="S1070" s="14">
        <f>SUM(M1070:R1070)</f>
        <v/>
      </c>
      <c r="AA1070">
        <f>RAND()</f>
        <v/>
      </c>
      <c r="AB1070">
        <f>RAND()</f>
        <v/>
      </c>
      <c r="AC1070">
        <f>RAND()</f>
        <v/>
      </c>
      <c r="AD1070">
        <f>RAND()</f>
        <v/>
      </c>
      <c r="AE1070">
        <f>RAND()</f>
        <v/>
      </c>
      <c r="AF1070">
        <f>RAND()</f>
        <v/>
      </c>
    </row>
    <row r="1071">
      <c r="M1071" s="14">
        <f>_xlfn.BETA.INV($AA1071,1+4*($D$5-$C$5)/($E$5-$C$5),1+4*($E$5-$D$5)/($E$5-$C$5),$C$5,$E$5)</f>
        <v/>
      </c>
      <c r="N1071" s="14">
        <f>IF($AB1071&lt;($D$6-$C$6)/($E$6-$C$6),$C$6+SQRT($AB1071*($E$6-$C$6)*($D$6-$C$6)),$E$6-SQRT((1-$AB1071)*($E$6-$C$6)*($E$6-$D$6)))</f>
        <v/>
      </c>
      <c r="O1071" s="14">
        <f>_xlfn.NORM.INV($AC1071,$C$7,$D$7)</f>
        <v/>
      </c>
      <c r="P1071" s="14">
        <f>$C$8+($D$8-$C$8)*$AD1071</f>
        <v/>
      </c>
      <c r="Q1071" s="14">
        <f>$C$9</f>
        <v/>
      </c>
      <c r="R1071" s="14">
        <f>_xlfn.LOGNORM.INV($AF1071,LN($C$10)-0.5*LN(1+($D$10/$C$10)^2),SQRT(LN(1+($D$10/$C$10)^2)))</f>
        <v/>
      </c>
      <c r="S1071" s="14">
        <f>SUM(M1071:R1071)</f>
        <v/>
      </c>
      <c r="AA1071">
        <f>RAND()</f>
        <v/>
      </c>
      <c r="AB1071">
        <f>RAND()</f>
        <v/>
      </c>
      <c r="AC1071">
        <f>RAND()</f>
        <v/>
      </c>
      <c r="AD1071">
        <f>RAND()</f>
        <v/>
      </c>
      <c r="AE1071">
        <f>RAND()</f>
        <v/>
      </c>
      <c r="AF1071">
        <f>RAND()</f>
        <v/>
      </c>
    </row>
    <row r="1072">
      <c r="M1072" s="14">
        <f>_xlfn.BETA.INV($AA1072,1+4*($D$5-$C$5)/($E$5-$C$5),1+4*($E$5-$D$5)/($E$5-$C$5),$C$5,$E$5)</f>
        <v/>
      </c>
      <c r="N1072" s="14">
        <f>IF($AB1072&lt;($D$6-$C$6)/($E$6-$C$6),$C$6+SQRT($AB1072*($E$6-$C$6)*($D$6-$C$6)),$E$6-SQRT((1-$AB1072)*($E$6-$C$6)*($E$6-$D$6)))</f>
        <v/>
      </c>
      <c r="O1072" s="14">
        <f>_xlfn.NORM.INV($AC1072,$C$7,$D$7)</f>
        <v/>
      </c>
      <c r="P1072" s="14">
        <f>$C$8+($D$8-$C$8)*$AD1072</f>
        <v/>
      </c>
      <c r="Q1072" s="14">
        <f>$C$9</f>
        <v/>
      </c>
      <c r="R1072" s="14">
        <f>_xlfn.LOGNORM.INV($AF1072,LN($C$10)-0.5*LN(1+($D$10/$C$10)^2),SQRT(LN(1+($D$10/$C$10)^2)))</f>
        <v/>
      </c>
      <c r="S1072" s="14">
        <f>SUM(M1072:R1072)</f>
        <v/>
      </c>
      <c r="AA1072">
        <f>RAND()</f>
        <v/>
      </c>
      <c r="AB1072">
        <f>RAND()</f>
        <v/>
      </c>
      <c r="AC1072">
        <f>RAND()</f>
        <v/>
      </c>
      <c r="AD1072">
        <f>RAND()</f>
        <v/>
      </c>
      <c r="AE1072">
        <f>RAND()</f>
        <v/>
      </c>
      <c r="AF1072">
        <f>RAND()</f>
        <v/>
      </c>
    </row>
    <row r="1073">
      <c r="M1073" s="14">
        <f>_xlfn.BETA.INV($AA1073,1+4*($D$5-$C$5)/($E$5-$C$5),1+4*($E$5-$D$5)/($E$5-$C$5),$C$5,$E$5)</f>
        <v/>
      </c>
      <c r="N1073" s="14">
        <f>IF($AB1073&lt;($D$6-$C$6)/($E$6-$C$6),$C$6+SQRT($AB1073*($E$6-$C$6)*($D$6-$C$6)),$E$6-SQRT((1-$AB1073)*($E$6-$C$6)*($E$6-$D$6)))</f>
        <v/>
      </c>
      <c r="O1073" s="14">
        <f>_xlfn.NORM.INV($AC1073,$C$7,$D$7)</f>
        <v/>
      </c>
      <c r="P1073" s="14">
        <f>$C$8+($D$8-$C$8)*$AD1073</f>
        <v/>
      </c>
      <c r="Q1073" s="14">
        <f>$C$9</f>
        <v/>
      </c>
      <c r="R1073" s="14">
        <f>_xlfn.LOGNORM.INV($AF1073,LN($C$10)-0.5*LN(1+($D$10/$C$10)^2),SQRT(LN(1+($D$10/$C$10)^2)))</f>
        <v/>
      </c>
      <c r="S1073" s="14">
        <f>SUM(M1073:R1073)</f>
        <v/>
      </c>
      <c r="AA1073">
        <f>RAND()</f>
        <v/>
      </c>
      <c r="AB1073">
        <f>RAND()</f>
        <v/>
      </c>
      <c r="AC1073">
        <f>RAND()</f>
        <v/>
      </c>
      <c r="AD1073">
        <f>RAND()</f>
        <v/>
      </c>
      <c r="AE1073">
        <f>RAND()</f>
        <v/>
      </c>
      <c r="AF1073">
        <f>RAND()</f>
        <v/>
      </c>
    </row>
    <row r="1074">
      <c r="M1074" s="14">
        <f>_xlfn.BETA.INV($AA1074,1+4*($D$5-$C$5)/($E$5-$C$5),1+4*($E$5-$D$5)/($E$5-$C$5),$C$5,$E$5)</f>
        <v/>
      </c>
      <c r="N1074" s="14">
        <f>IF($AB1074&lt;($D$6-$C$6)/($E$6-$C$6),$C$6+SQRT($AB1074*($E$6-$C$6)*($D$6-$C$6)),$E$6-SQRT((1-$AB1074)*($E$6-$C$6)*($E$6-$D$6)))</f>
        <v/>
      </c>
      <c r="O1074" s="14">
        <f>_xlfn.NORM.INV($AC1074,$C$7,$D$7)</f>
        <v/>
      </c>
      <c r="P1074" s="14">
        <f>$C$8+($D$8-$C$8)*$AD1074</f>
        <v/>
      </c>
      <c r="Q1074" s="14">
        <f>$C$9</f>
        <v/>
      </c>
      <c r="R1074" s="14">
        <f>_xlfn.LOGNORM.INV($AF1074,LN($C$10)-0.5*LN(1+($D$10/$C$10)^2),SQRT(LN(1+($D$10/$C$10)^2)))</f>
        <v/>
      </c>
      <c r="S1074" s="14">
        <f>SUM(M1074:R1074)</f>
        <v/>
      </c>
      <c r="AA1074">
        <f>RAND()</f>
        <v/>
      </c>
      <c r="AB1074">
        <f>RAND()</f>
        <v/>
      </c>
      <c r="AC1074">
        <f>RAND()</f>
        <v/>
      </c>
      <c r="AD1074">
        <f>RAND()</f>
        <v/>
      </c>
      <c r="AE1074">
        <f>RAND()</f>
        <v/>
      </c>
      <c r="AF1074">
        <f>RAND()</f>
        <v/>
      </c>
    </row>
    <row r="1075">
      <c r="M1075" s="14">
        <f>_xlfn.BETA.INV($AA1075,1+4*($D$5-$C$5)/($E$5-$C$5),1+4*($E$5-$D$5)/($E$5-$C$5),$C$5,$E$5)</f>
        <v/>
      </c>
      <c r="N1075" s="14">
        <f>IF($AB1075&lt;($D$6-$C$6)/($E$6-$C$6),$C$6+SQRT($AB1075*($E$6-$C$6)*($D$6-$C$6)),$E$6-SQRT((1-$AB1075)*($E$6-$C$6)*($E$6-$D$6)))</f>
        <v/>
      </c>
      <c r="O1075" s="14">
        <f>_xlfn.NORM.INV($AC1075,$C$7,$D$7)</f>
        <v/>
      </c>
      <c r="P1075" s="14">
        <f>$C$8+($D$8-$C$8)*$AD1075</f>
        <v/>
      </c>
      <c r="Q1075" s="14">
        <f>$C$9</f>
        <v/>
      </c>
      <c r="R1075" s="14">
        <f>_xlfn.LOGNORM.INV($AF1075,LN($C$10)-0.5*LN(1+($D$10/$C$10)^2),SQRT(LN(1+($D$10/$C$10)^2)))</f>
        <v/>
      </c>
      <c r="S1075" s="14">
        <f>SUM(M1075:R1075)</f>
        <v/>
      </c>
      <c r="AA1075">
        <f>RAND()</f>
        <v/>
      </c>
      <c r="AB1075">
        <f>RAND()</f>
        <v/>
      </c>
      <c r="AC1075">
        <f>RAND()</f>
        <v/>
      </c>
      <c r="AD1075">
        <f>RAND()</f>
        <v/>
      </c>
      <c r="AE1075">
        <f>RAND()</f>
        <v/>
      </c>
      <c r="AF1075">
        <f>RAND()</f>
        <v/>
      </c>
    </row>
    <row r="1076">
      <c r="M1076" s="14">
        <f>_xlfn.BETA.INV($AA1076,1+4*($D$5-$C$5)/($E$5-$C$5),1+4*($E$5-$D$5)/($E$5-$C$5),$C$5,$E$5)</f>
        <v/>
      </c>
      <c r="N1076" s="14">
        <f>IF($AB1076&lt;($D$6-$C$6)/($E$6-$C$6),$C$6+SQRT($AB1076*($E$6-$C$6)*($D$6-$C$6)),$E$6-SQRT((1-$AB1076)*($E$6-$C$6)*($E$6-$D$6)))</f>
        <v/>
      </c>
      <c r="O1076" s="14">
        <f>_xlfn.NORM.INV($AC1076,$C$7,$D$7)</f>
        <v/>
      </c>
      <c r="P1076" s="14">
        <f>$C$8+($D$8-$C$8)*$AD1076</f>
        <v/>
      </c>
      <c r="Q1076" s="14">
        <f>$C$9</f>
        <v/>
      </c>
      <c r="R1076" s="14">
        <f>_xlfn.LOGNORM.INV($AF1076,LN($C$10)-0.5*LN(1+($D$10/$C$10)^2),SQRT(LN(1+($D$10/$C$10)^2)))</f>
        <v/>
      </c>
      <c r="S1076" s="14">
        <f>SUM(M1076:R1076)</f>
        <v/>
      </c>
      <c r="AA1076">
        <f>RAND()</f>
        <v/>
      </c>
      <c r="AB1076">
        <f>RAND()</f>
        <v/>
      </c>
      <c r="AC1076">
        <f>RAND()</f>
        <v/>
      </c>
      <c r="AD1076">
        <f>RAND()</f>
        <v/>
      </c>
      <c r="AE1076">
        <f>RAND()</f>
        <v/>
      </c>
      <c r="AF1076">
        <f>RAND()</f>
        <v/>
      </c>
    </row>
    <row r="1077">
      <c r="M1077" s="14">
        <f>_xlfn.BETA.INV($AA1077,1+4*($D$5-$C$5)/($E$5-$C$5),1+4*($E$5-$D$5)/($E$5-$C$5),$C$5,$E$5)</f>
        <v/>
      </c>
      <c r="N1077" s="14">
        <f>IF($AB1077&lt;($D$6-$C$6)/($E$6-$C$6),$C$6+SQRT($AB1077*($E$6-$C$6)*($D$6-$C$6)),$E$6-SQRT((1-$AB1077)*($E$6-$C$6)*($E$6-$D$6)))</f>
        <v/>
      </c>
      <c r="O1077" s="14">
        <f>_xlfn.NORM.INV($AC1077,$C$7,$D$7)</f>
        <v/>
      </c>
      <c r="P1077" s="14">
        <f>$C$8+($D$8-$C$8)*$AD1077</f>
        <v/>
      </c>
      <c r="Q1077" s="14">
        <f>$C$9</f>
        <v/>
      </c>
      <c r="R1077" s="14">
        <f>_xlfn.LOGNORM.INV($AF1077,LN($C$10)-0.5*LN(1+($D$10/$C$10)^2),SQRT(LN(1+($D$10/$C$10)^2)))</f>
        <v/>
      </c>
      <c r="S1077" s="14">
        <f>SUM(M1077:R1077)</f>
        <v/>
      </c>
      <c r="AA1077">
        <f>RAND()</f>
        <v/>
      </c>
      <c r="AB1077">
        <f>RAND()</f>
        <v/>
      </c>
      <c r="AC1077">
        <f>RAND()</f>
        <v/>
      </c>
      <c r="AD1077">
        <f>RAND()</f>
        <v/>
      </c>
      <c r="AE1077">
        <f>RAND()</f>
        <v/>
      </c>
      <c r="AF1077">
        <f>RAND()</f>
        <v/>
      </c>
    </row>
    <row r="1078">
      <c r="M1078" s="14">
        <f>_xlfn.BETA.INV($AA1078,1+4*($D$5-$C$5)/($E$5-$C$5),1+4*($E$5-$D$5)/($E$5-$C$5),$C$5,$E$5)</f>
        <v/>
      </c>
      <c r="N1078" s="14">
        <f>IF($AB1078&lt;($D$6-$C$6)/($E$6-$C$6),$C$6+SQRT($AB1078*($E$6-$C$6)*($D$6-$C$6)),$E$6-SQRT((1-$AB1078)*($E$6-$C$6)*($E$6-$D$6)))</f>
        <v/>
      </c>
      <c r="O1078" s="14">
        <f>_xlfn.NORM.INV($AC1078,$C$7,$D$7)</f>
        <v/>
      </c>
      <c r="P1078" s="14">
        <f>$C$8+($D$8-$C$8)*$AD1078</f>
        <v/>
      </c>
      <c r="Q1078" s="14">
        <f>$C$9</f>
        <v/>
      </c>
      <c r="R1078" s="14">
        <f>_xlfn.LOGNORM.INV($AF1078,LN($C$10)-0.5*LN(1+($D$10/$C$10)^2),SQRT(LN(1+($D$10/$C$10)^2)))</f>
        <v/>
      </c>
      <c r="S1078" s="14">
        <f>SUM(M1078:R1078)</f>
        <v/>
      </c>
      <c r="AA1078">
        <f>RAND()</f>
        <v/>
      </c>
      <c r="AB1078">
        <f>RAND()</f>
        <v/>
      </c>
      <c r="AC1078">
        <f>RAND()</f>
        <v/>
      </c>
      <c r="AD1078">
        <f>RAND()</f>
        <v/>
      </c>
      <c r="AE1078">
        <f>RAND()</f>
        <v/>
      </c>
      <c r="AF1078">
        <f>RAND()</f>
        <v/>
      </c>
    </row>
    <row r="1079">
      <c r="M1079" s="14">
        <f>_xlfn.BETA.INV($AA1079,1+4*($D$5-$C$5)/($E$5-$C$5),1+4*($E$5-$D$5)/($E$5-$C$5),$C$5,$E$5)</f>
        <v/>
      </c>
      <c r="N1079" s="14">
        <f>IF($AB1079&lt;($D$6-$C$6)/($E$6-$C$6),$C$6+SQRT($AB1079*($E$6-$C$6)*($D$6-$C$6)),$E$6-SQRT((1-$AB1079)*($E$6-$C$6)*($E$6-$D$6)))</f>
        <v/>
      </c>
      <c r="O1079" s="14">
        <f>_xlfn.NORM.INV($AC1079,$C$7,$D$7)</f>
        <v/>
      </c>
      <c r="P1079" s="14">
        <f>$C$8+($D$8-$C$8)*$AD1079</f>
        <v/>
      </c>
      <c r="Q1079" s="14">
        <f>$C$9</f>
        <v/>
      </c>
      <c r="R1079" s="14">
        <f>_xlfn.LOGNORM.INV($AF1079,LN($C$10)-0.5*LN(1+($D$10/$C$10)^2),SQRT(LN(1+($D$10/$C$10)^2)))</f>
        <v/>
      </c>
      <c r="S1079" s="14">
        <f>SUM(M1079:R1079)</f>
        <v/>
      </c>
      <c r="AA1079">
        <f>RAND()</f>
        <v/>
      </c>
      <c r="AB1079">
        <f>RAND()</f>
        <v/>
      </c>
      <c r="AC1079">
        <f>RAND()</f>
        <v/>
      </c>
      <c r="AD1079">
        <f>RAND()</f>
        <v/>
      </c>
      <c r="AE1079">
        <f>RAND()</f>
        <v/>
      </c>
      <c r="AF1079">
        <f>RAND()</f>
        <v/>
      </c>
    </row>
    <row r="1080">
      <c r="M1080" s="14">
        <f>_xlfn.BETA.INV($AA1080,1+4*($D$5-$C$5)/($E$5-$C$5),1+4*($E$5-$D$5)/($E$5-$C$5),$C$5,$E$5)</f>
        <v/>
      </c>
      <c r="N1080" s="14">
        <f>IF($AB1080&lt;($D$6-$C$6)/($E$6-$C$6),$C$6+SQRT($AB1080*($E$6-$C$6)*($D$6-$C$6)),$E$6-SQRT((1-$AB1080)*($E$6-$C$6)*($E$6-$D$6)))</f>
        <v/>
      </c>
      <c r="O1080" s="14">
        <f>_xlfn.NORM.INV($AC1080,$C$7,$D$7)</f>
        <v/>
      </c>
      <c r="P1080" s="14">
        <f>$C$8+($D$8-$C$8)*$AD1080</f>
        <v/>
      </c>
      <c r="Q1080" s="14">
        <f>$C$9</f>
        <v/>
      </c>
      <c r="R1080" s="14">
        <f>_xlfn.LOGNORM.INV($AF1080,LN($C$10)-0.5*LN(1+($D$10/$C$10)^2),SQRT(LN(1+($D$10/$C$10)^2)))</f>
        <v/>
      </c>
      <c r="S1080" s="14">
        <f>SUM(M1080:R1080)</f>
        <v/>
      </c>
      <c r="AA1080">
        <f>RAND()</f>
        <v/>
      </c>
      <c r="AB1080">
        <f>RAND()</f>
        <v/>
      </c>
      <c r="AC1080">
        <f>RAND()</f>
        <v/>
      </c>
      <c r="AD1080">
        <f>RAND()</f>
        <v/>
      </c>
      <c r="AE1080">
        <f>RAND()</f>
        <v/>
      </c>
      <c r="AF1080">
        <f>RAND()</f>
        <v/>
      </c>
    </row>
    <row r="1081">
      <c r="M1081" s="14">
        <f>_xlfn.BETA.INV($AA1081,1+4*($D$5-$C$5)/($E$5-$C$5),1+4*($E$5-$D$5)/($E$5-$C$5),$C$5,$E$5)</f>
        <v/>
      </c>
      <c r="N1081" s="14">
        <f>IF($AB1081&lt;($D$6-$C$6)/($E$6-$C$6),$C$6+SQRT($AB1081*($E$6-$C$6)*($D$6-$C$6)),$E$6-SQRT((1-$AB1081)*($E$6-$C$6)*($E$6-$D$6)))</f>
        <v/>
      </c>
      <c r="O1081" s="14">
        <f>_xlfn.NORM.INV($AC1081,$C$7,$D$7)</f>
        <v/>
      </c>
      <c r="P1081" s="14">
        <f>$C$8+($D$8-$C$8)*$AD1081</f>
        <v/>
      </c>
      <c r="Q1081" s="14">
        <f>$C$9</f>
        <v/>
      </c>
      <c r="R1081" s="14">
        <f>_xlfn.LOGNORM.INV($AF1081,LN($C$10)-0.5*LN(1+($D$10/$C$10)^2),SQRT(LN(1+($D$10/$C$10)^2)))</f>
        <v/>
      </c>
      <c r="S1081" s="14">
        <f>SUM(M1081:R1081)</f>
        <v/>
      </c>
      <c r="AA1081">
        <f>RAND()</f>
        <v/>
      </c>
      <c r="AB1081">
        <f>RAND()</f>
        <v/>
      </c>
      <c r="AC1081">
        <f>RAND()</f>
        <v/>
      </c>
      <c r="AD1081">
        <f>RAND()</f>
        <v/>
      </c>
      <c r="AE1081">
        <f>RAND()</f>
        <v/>
      </c>
      <c r="AF1081">
        <f>RAND()</f>
        <v/>
      </c>
    </row>
    <row r="1082">
      <c r="M1082" s="14">
        <f>_xlfn.BETA.INV($AA1082,1+4*($D$5-$C$5)/($E$5-$C$5),1+4*($E$5-$D$5)/($E$5-$C$5),$C$5,$E$5)</f>
        <v/>
      </c>
      <c r="N1082" s="14">
        <f>IF($AB1082&lt;($D$6-$C$6)/($E$6-$C$6),$C$6+SQRT($AB1082*($E$6-$C$6)*($D$6-$C$6)),$E$6-SQRT((1-$AB1082)*($E$6-$C$6)*($E$6-$D$6)))</f>
        <v/>
      </c>
      <c r="O1082" s="14">
        <f>_xlfn.NORM.INV($AC1082,$C$7,$D$7)</f>
        <v/>
      </c>
      <c r="P1082" s="14">
        <f>$C$8+($D$8-$C$8)*$AD1082</f>
        <v/>
      </c>
      <c r="Q1082" s="14">
        <f>$C$9</f>
        <v/>
      </c>
      <c r="R1082" s="14">
        <f>_xlfn.LOGNORM.INV($AF1082,LN($C$10)-0.5*LN(1+($D$10/$C$10)^2),SQRT(LN(1+($D$10/$C$10)^2)))</f>
        <v/>
      </c>
      <c r="S1082" s="14">
        <f>SUM(M1082:R1082)</f>
        <v/>
      </c>
      <c r="AA1082">
        <f>RAND()</f>
        <v/>
      </c>
      <c r="AB1082">
        <f>RAND()</f>
        <v/>
      </c>
      <c r="AC1082">
        <f>RAND()</f>
        <v/>
      </c>
      <c r="AD1082">
        <f>RAND()</f>
        <v/>
      </c>
      <c r="AE1082">
        <f>RAND()</f>
        <v/>
      </c>
      <c r="AF1082">
        <f>RAND()</f>
        <v/>
      </c>
    </row>
    <row r="1083">
      <c r="M1083" s="14">
        <f>_xlfn.BETA.INV($AA1083,1+4*($D$5-$C$5)/($E$5-$C$5),1+4*($E$5-$D$5)/($E$5-$C$5),$C$5,$E$5)</f>
        <v/>
      </c>
      <c r="N1083" s="14">
        <f>IF($AB1083&lt;($D$6-$C$6)/($E$6-$C$6),$C$6+SQRT($AB1083*($E$6-$C$6)*($D$6-$C$6)),$E$6-SQRT((1-$AB1083)*($E$6-$C$6)*($E$6-$D$6)))</f>
        <v/>
      </c>
      <c r="O1083" s="14">
        <f>_xlfn.NORM.INV($AC1083,$C$7,$D$7)</f>
        <v/>
      </c>
      <c r="P1083" s="14">
        <f>$C$8+($D$8-$C$8)*$AD1083</f>
        <v/>
      </c>
      <c r="Q1083" s="14">
        <f>$C$9</f>
        <v/>
      </c>
      <c r="R1083" s="14">
        <f>_xlfn.LOGNORM.INV($AF1083,LN($C$10)-0.5*LN(1+($D$10/$C$10)^2),SQRT(LN(1+($D$10/$C$10)^2)))</f>
        <v/>
      </c>
      <c r="S1083" s="14">
        <f>SUM(M1083:R1083)</f>
        <v/>
      </c>
      <c r="AA1083">
        <f>RAND()</f>
        <v/>
      </c>
      <c r="AB1083">
        <f>RAND()</f>
        <v/>
      </c>
      <c r="AC1083">
        <f>RAND()</f>
        <v/>
      </c>
      <c r="AD1083">
        <f>RAND()</f>
        <v/>
      </c>
      <c r="AE1083">
        <f>RAND()</f>
        <v/>
      </c>
      <c r="AF1083">
        <f>RAND()</f>
        <v/>
      </c>
    </row>
    <row r="1084">
      <c r="M1084" s="14">
        <f>_xlfn.BETA.INV($AA1084,1+4*($D$5-$C$5)/($E$5-$C$5),1+4*($E$5-$D$5)/($E$5-$C$5),$C$5,$E$5)</f>
        <v/>
      </c>
      <c r="N1084" s="14">
        <f>IF($AB1084&lt;($D$6-$C$6)/($E$6-$C$6),$C$6+SQRT($AB1084*($E$6-$C$6)*($D$6-$C$6)),$E$6-SQRT((1-$AB1084)*($E$6-$C$6)*($E$6-$D$6)))</f>
        <v/>
      </c>
      <c r="O1084" s="14">
        <f>_xlfn.NORM.INV($AC1084,$C$7,$D$7)</f>
        <v/>
      </c>
      <c r="P1084" s="14">
        <f>$C$8+($D$8-$C$8)*$AD1084</f>
        <v/>
      </c>
      <c r="Q1084" s="14">
        <f>$C$9</f>
        <v/>
      </c>
      <c r="R1084" s="14">
        <f>_xlfn.LOGNORM.INV($AF1084,LN($C$10)-0.5*LN(1+($D$10/$C$10)^2),SQRT(LN(1+($D$10/$C$10)^2)))</f>
        <v/>
      </c>
      <c r="S1084" s="14">
        <f>SUM(M1084:R1084)</f>
        <v/>
      </c>
      <c r="AA1084">
        <f>RAND()</f>
        <v/>
      </c>
      <c r="AB1084">
        <f>RAND()</f>
        <v/>
      </c>
      <c r="AC1084">
        <f>RAND()</f>
        <v/>
      </c>
      <c r="AD1084">
        <f>RAND()</f>
        <v/>
      </c>
      <c r="AE1084">
        <f>RAND()</f>
        <v/>
      </c>
      <c r="AF1084">
        <f>RAND()</f>
        <v/>
      </c>
    </row>
    <row r="1085">
      <c r="M1085" s="14">
        <f>_xlfn.BETA.INV($AA1085,1+4*($D$5-$C$5)/($E$5-$C$5),1+4*($E$5-$D$5)/($E$5-$C$5),$C$5,$E$5)</f>
        <v/>
      </c>
      <c r="N1085" s="14">
        <f>IF($AB1085&lt;($D$6-$C$6)/($E$6-$C$6),$C$6+SQRT($AB1085*($E$6-$C$6)*($D$6-$C$6)),$E$6-SQRT((1-$AB1085)*($E$6-$C$6)*($E$6-$D$6)))</f>
        <v/>
      </c>
      <c r="O1085" s="14">
        <f>_xlfn.NORM.INV($AC1085,$C$7,$D$7)</f>
        <v/>
      </c>
      <c r="P1085" s="14">
        <f>$C$8+($D$8-$C$8)*$AD1085</f>
        <v/>
      </c>
      <c r="Q1085" s="14">
        <f>$C$9</f>
        <v/>
      </c>
      <c r="R1085" s="14">
        <f>_xlfn.LOGNORM.INV($AF1085,LN($C$10)-0.5*LN(1+($D$10/$C$10)^2),SQRT(LN(1+($D$10/$C$10)^2)))</f>
        <v/>
      </c>
      <c r="S1085" s="14">
        <f>SUM(M1085:R1085)</f>
        <v/>
      </c>
      <c r="AA1085">
        <f>RAND()</f>
        <v/>
      </c>
      <c r="AB1085">
        <f>RAND()</f>
        <v/>
      </c>
      <c r="AC1085">
        <f>RAND()</f>
        <v/>
      </c>
      <c r="AD1085">
        <f>RAND()</f>
        <v/>
      </c>
      <c r="AE1085">
        <f>RAND()</f>
        <v/>
      </c>
      <c r="AF1085">
        <f>RAND()</f>
        <v/>
      </c>
    </row>
    <row r="1086">
      <c r="M1086" s="14">
        <f>_xlfn.BETA.INV($AA1086,1+4*($D$5-$C$5)/($E$5-$C$5),1+4*($E$5-$D$5)/($E$5-$C$5),$C$5,$E$5)</f>
        <v/>
      </c>
      <c r="N1086" s="14">
        <f>IF($AB1086&lt;($D$6-$C$6)/($E$6-$C$6),$C$6+SQRT($AB1086*($E$6-$C$6)*($D$6-$C$6)),$E$6-SQRT((1-$AB1086)*($E$6-$C$6)*($E$6-$D$6)))</f>
        <v/>
      </c>
      <c r="O1086" s="14">
        <f>_xlfn.NORM.INV($AC1086,$C$7,$D$7)</f>
        <v/>
      </c>
      <c r="P1086" s="14">
        <f>$C$8+($D$8-$C$8)*$AD1086</f>
        <v/>
      </c>
      <c r="Q1086" s="14">
        <f>$C$9</f>
        <v/>
      </c>
      <c r="R1086" s="14">
        <f>_xlfn.LOGNORM.INV($AF1086,LN($C$10)-0.5*LN(1+($D$10/$C$10)^2),SQRT(LN(1+($D$10/$C$10)^2)))</f>
        <v/>
      </c>
      <c r="S1086" s="14">
        <f>SUM(M1086:R1086)</f>
        <v/>
      </c>
      <c r="AA1086">
        <f>RAND()</f>
        <v/>
      </c>
      <c r="AB1086">
        <f>RAND()</f>
        <v/>
      </c>
      <c r="AC1086">
        <f>RAND()</f>
        <v/>
      </c>
      <c r="AD1086">
        <f>RAND()</f>
        <v/>
      </c>
      <c r="AE1086">
        <f>RAND()</f>
        <v/>
      </c>
      <c r="AF1086">
        <f>RAND()</f>
        <v/>
      </c>
    </row>
    <row r="1087">
      <c r="M1087" s="14">
        <f>_xlfn.BETA.INV($AA1087,1+4*($D$5-$C$5)/($E$5-$C$5),1+4*($E$5-$D$5)/($E$5-$C$5),$C$5,$E$5)</f>
        <v/>
      </c>
      <c r="N1087" s="14">
        <f>IF($AB1087&lt;($D$6-$C$6)/($E$6-$C$6),$C$6+SQRT($AB1087*($E$6-$C$6)*($D$6-$C$6)),$E$6-SQRT((1-$AB1087)*($E$6-$C$6)*($E$6-$D$6)))</f>
        <v/>
      </c>
      <c r="O1087" s="14">
        <f>_xlfn.NORM.INV($AC1087,$C$7,$D$7)</f>
        <v/>
      </c>
      <c r="P1087" s="14">
        <f>$C$8+($D$8-$C$8)*$AD1087</f>
        <v/>
      </c>
      <c r="Q1087" s="14">
        <f>$C$9</f>
        <v/>
      </c>
      <c r="R1087" s="14">
        <f>_xlfn.LOGNORM.INV($AF1087,LN($C$10)-0.5*LN(1+($D$10/$C$10)^2),SQRT(LN(1+($D$10/$C$10)^2)))</f>
        <v/>
      </c>
      <c r="S1087" s="14">
        <f>SUM(M1087:R1087)</f>
        <v/>
      </c>
      <c r="AA1087">
        <f>RAND()</f>
        <v/>
      </c>
      <c r="AB1087">
        <f>RAND()</f>
        <v/>
      </c>
      <c r="AC1087">
        <f>RAND()</f>
        <v/>
      </c>
      <c r="AD1087">
        <f>RAND()</f>
        <v/>
      </c>
      <c r="AE1087">
        <f>RAND()</f>
        <v/>
      </c>
      <c r="AF1087">
        <f>RAND()</f>
        <v/>
      </c>
    </row>
    <row r="1088">
      <c r="M1088" s="14">
        <f>_xlfn.BETA.INV($AA1088,1+4*($D$5-$C$5)/($E$5-$C$5),1+4*($E$5-$D$5)/($E$5-$C$5),$C$5,$E$5)</f>
        <v/>
      </c>
      <c r="N1088" s="14">
        <f>IF($AB1088&lt;($D$6-$C$6)/($E$6-$C$6),$C$6+SQRT($AB1088*($E$6-$C$6)*($D$6-$C$6)),$E$6-SQRT((1-$AB1088)*($E$6-$C$6)*($E$6-$D$6)))</f>
        <v/>
      </c>
      <c r="O1088" s="14">
        <f>_xlfn.NORM.INV($AC1088,$C$7,$D$7)</f>
        <v/>
      </c>
      <c r="P1088" s="14">
        <f>$C$8+($D$8-$C$8)*$AD1088</f>
        <v/>
      </c>
      <c r="Q1088" s="14">
        <f>$C$9</f>
        <v/>
      </c>
      <c r="R1088" s="14">
        <f>_xlfn.LOGNORM.INV($AF1088,LN($C$10)-0.5*LN(1+($D$10/$C$10)^2),SQRT(LN(1+($D$10/$C$10)^2)))</f>
        <v/>
      </c>
      <c r="S1088" s="14">
        <f>SUM(M1088:R1088)</f>
        <v/>
      </c>
      <c r="AA1088">
        <f>RAND()</f>
        <v/>
      </c>
      <c r="AB1088">
        <f>RAND()</f>
        <v/>
      </c>
      <c r="AC1088">
        <f>RAND()</f>
        <v/>
      </c>
      <c r="AD1088">
        <f>RAND()</f>
        <v/>
      </c>
      <c r="AE1088">
        <f>RAND()</f>
        <v/>
      </c>
      <c r="AF1088">
        <f>RAND()</f>
        <v/>
      </c>
    </row>
    <row r="1089">
      <c r="M1089" s="14">
        <f>_xlfn.BETA.INV($AA1089,1+4*($D$5-$C$5)/($E$5-$C$5),1+4*($E$5-$D$5)/($E$5-$C$5),$C$5,$E$5)</f>
        <v/>
      </c>
      <c r="N1089" s="14">
        <f>IF($AB1089&lt;($D$6-$C$6)/($E$6-$C$6),$C$6+SQRT($AB1089*($E$6-$C$6)*($D$6-$C$6)),$E$6-SQRT((1-$AB1089)*($E$6-$C$6)*($E$6-$D$6)))</f>
        <v/>
      </c>
      <c r="O1089" s="14">
        <f>_xlfn.NORM.INV($AC1089,$C$7,$D$7)</f>
        <v/>
      </c>
      <c r="P1089" s="14">
        <f>$C$8+($D$8-$C$8)*$AD1089</f>
        <v/>
      </c>
      <c r="Q1089" s="14">
        <f>$C$9</f>
        <v/>
      </c>
      <c r="R1089" s="14">
        <f>_xlfn.LOGNORM.INV($AF1089,LN($C$10)-0.5*LN(1+($D$10/$C$10)^2),SQRT(LN(1+($D$10/$C$10)^2)))</f>
        <v/>
      </c>
      <c r="S1089" s="14">
        <f>SUM(M1089:R1089)</f>
        <v/>
      </c>
      <c r="AA1089">
        <f>RAND()</f>
        <v/>
      </c>
      <c r="AB1089">
        <f>RAND()</f>
        <v/>
      </c>
      <c r="AC1089">
        <f>RAND()</f>
        <v/>
      </c>
      <c r="AD1089">
        <f>RAND()</f>
        <v/>
      </c>
      <c r="AE1089">
        <f>RAND()</f>
        <v/>
      </c>
      <c r="AF1089">
        <f>RAND()</f>
        <v/>
      </c>
    </row>
    <row r="1090">
      <c r="M1090" s="14">
        <f>_xlfn.BETA.INV($AA1090,1+4*($D$5-$C$5)/($E$5-$C$5),1+4*($E$5-$D$5)/($E$5-$C$5),$C$5,$E$5)</f>
        <v/>
      </c>
      <c r="N1090" s="14">
        <f>IF($AB1090&lt;($D$6-$C$6)/($E$6-$C$6),$C$6+SQRT($AB1090*($E$6-$C$6)*($D$6-$C$6)),$E$6-SQRT((1-$AB1090)*($E$6-$C$6)*($E$6-$D$6)))</f>
        <v/>
      </c>
      <c r="O1090" s="14">
        <f>_xlfn.NORM.INV($AC1090,$C$7,$D$7)</f>
        <v/>
      </c>
      <c r="P1090" s="14">
        <f>$C$8+($D$8-$C$8)*$AD1090</f>
        <v/>
      </c>
      <c r="Q1090" s="14">
        <f>$C$9</f>
        <v/>
      </c>
      <c r="R1090" s="14">
        <f>_xlfn.LOGNORM.INV($AF1090,LN($C$10)-0.5*LN(1+($D$10/$C$10)^2),SQRT(LN(1+($D$10/$C$10)^2)))</f>
        <v/>
      </c>
      <c r="S1090" s="14">
        <f>SUM(M1090:R1090)</f>
        <v/>
      </c>
      <c r="AA1090">
        <f>RAND()</f>
        <v/>
      </c>
      <c r="AB1090">
        <f>RAND()</f>
        <v/>
      </c>
      <c r="AC1090">
        <f>RAND()</f>
        <v/>
      </c>
      <c r="AD1090">
        <f>RAND()</f>
        <v/>
      </c>
      <c r="AE1090">
        <f>RAND()</f>
        <v/>
      </c>
      <c r="AF1090">
        <f>RAND()</f>
        <v/>
      </c>
    </row>
    <row r="1091">
      <c r="M1091" s="14">
        <f>_xlfn.BETA.INV($AA1091,1+4*($D$5-$C$5)/($E$5-$C$5),1+4*($E$5-$D$5)/($E$5-$C$5),$C$5,$E$5)</f>
        <v/>
      </c>
      <c r="N1091" s="14">
        <f>IF($AB1091&lt;($D$6-$C$6)/($E$6-$C$6),$C$6+SQRT($AB1091*($E$6-$C$6)*($D$6-$C$6)),$E$6-SQRT((1-$AB1091)*($E$6-$C$6)*($E$6-$D$6)))</f>
        <v/>
      </c>
      <c r="O1091" s="14">
        <f>_xlfn.NORM.INV($AC1091,$C$7,$D$7)</f>
        <v/>
      </c>
      <c r="P1091" s="14">
        <f>$C$8+($D$8-$C$8)*$AD1091</f>
        <v/>
      </c>
      <c r="Q1091" s="14">
        <f>$C$9</f>
        <v/>
      </c>
      <c r="R1091" s="14">
        <f>_xlfn.LOGNORM.INV($AF1091,LN($C$10)-0.5*LN(1+($D$10/$C$10)^2),SQRT(LN(1+($D$10/$C$10)^2)))</f>
        <v/>
      </c>
      <c r="S1091" s="14">
        <f>SUM(M1091:R1091)</f>
        <v/>
      </c>
      <c r="AA1091">
        <f>RAND()</f>
        <v/>
      </c>
      <c r="AB1091">
        <f>RAND()</f>
        <v/>
      </c>
      <c r="AC1091">
        <f>RAND()</f>
        <v/>
      </c>
      <c r="AD1091">
        <f>RAND()</f>
        <v/>
      </c>
      <c r="AE1091">
        <f>RAND()</f>
        <v/>
      </c>
      <c r="AF1091">
        <f>RAND()</f>
        <v/>
      </c>
    </row>
    <row r="1092">
      <c r="M1092" s="14">
        <f>_xlfn.BETA.INV($AA1092,1+4*($D$5-$C$5)/($E$5-$C$5),1+4*($E$5-$D$5)/($E$5-$C$5),$C$5,$E$5)</f>
        <v/>
      </c>
      <c r="N1092" s="14">
        <f>IF($AB1092&lt;($D$6-$C$6)/($E$6-$C$6),$C$6+SQRT($AB1092*($E$6-$C$6)*($D$6-$C$6)),$E$6-SQRT((1-$AB1092)*($E$6-$C$6)*($E$6-$D$6)))</f>
        <v/>
      </c>
      <c r="O1092" s="14">
        <f>_xlfn.NORM.INV($AC1092,$C$7,$D$7)</f>
        <v/>
      </c>
      <c r="P1092" s="14">
        <f>$C$8+($D$8-$C$8)*$AD1092</f>
        <v/>
      </c>
      <c r="Q1092" s="14">
        <f>$C$9</f>
        <v/>
      </c>
      <c r="R1092" s="14">
        <f>_xlfn.LOGNORM.INV($AF1092,LN($C$10)-0.5*LN(1+($D$10/$C$10)^2),SQRT(LN(1+($D$10/$C$10)^2)))</f>
        <v/>
      </c>
      <c r="S1092" s="14">
        <f>SUM(M1092:R1092)</f>
        <v/>
      </c>
      <c r="AA1092">
        <f>RAND()</f>
        <v/>
      </c>
      <c r="AB1092">
        <f>RAND()</f>
        <v/>
      </c>
      <c r="AC1092">
        <f>RAND()</f>
        <v/>
      </c>
      <c r="AD1092">
        <f>RAND()</f>
        <v/>
      </c>
      <c r="AE1092">
        <f>RAND()</f>
        <v/>
      </c>
      <c r="AF1092">
        <f>RAND()</f>
        <v/>
      </c>
    </row>
    <row r="1093">
      <c r="M1093" s="14">
        <f>_xlfn.BETA.INV($AA1093,1+4*($D$5-$C$5)/($E$5-$C$5),1+4*($E$5-$D$5)/($E$5-$C$5),$C$5,$E$5)</f>
        <v/>
      </c>
      <c r="N1093" s="14">
        <f>IF($AB1093&lt;($D$6-$C$6)/($E$6-$C$6),$C$6+SQRT($AB1093*($E$6-$C$6)*($D$6-$C$6)),$E$6-SQRT((1-$AB1093)*($E$6-$C$6)*($E$6-$D$6)))</f>
        <v/>
      </c>
      <c r="O1093" s="14">
        <f>_xlfn.NORM.INV($AC1093,$C$7,$D$7)</f>
        <v/>
      </c>
      <c r="P1093" s="14">
        <f>$C$8+($D$8-$C$8)*$AD1093</f>
        <v/>
      </c>
      <c r="Q1093" s="14">
        <f>$C$9</f>
        <v/>
      </c>
      <c r="R1093" s="14">
        <f>_xlfn.LOGNORM.INV($AF1093,LN($C$10)-0.5*LN(1+($D$10/$C$10)^2),SQRT(LN(1+($D$10/$C$10)^2)))</f>
        <v/>
      </c>
      <c r="S1093" s="14">
        <f>SUM(M1093:R1093)</f>
        <v/>
      </c>
      <c r="AA1093">
        <f>RAND()</f>
        <v/>
      </c>
      <c r="AB1093">
        <f>RAND()</f>
        <v/>
      </c>
      <c r="AC1093">
        <f>RAND()</f>
        <v/>
      </c>
      <c r="AD1093">
        <f>RAND()</f>
        <v/>
      </c>
      <c r="AE1093">
        <f>RAND()</f>
        <v/>
      </c>
      <c r="AF1093">
        <f>RAND()</f>
        <v/>
      </c>
    </row>
    <row r="1094">
      <c r="M1094" s="14">
        <f>_xlfn.BETA.INV($AA1094,1+4*($D$5-$C$5)/($E$5-$C$5),1+4*($E$5-$D$5)/($E$5-$C$5),$C$5,$E$5)</f>
        <v/>
      </c>
      <c r="N1094" s="14">
        <f>IF($AB1094&lt;($D$6-$C$6)/($E$6-$C$6),$C$6+SQRT($AB1094*($E$6-$C$6)*($D$6-$C$6)),$E$6-SQRT((1-$AB1094)*($E$6-$C$6)*($E$6-$D$6)))</f>
        <v/>
      </c>
      <c r="O1094" s="14">
        <f>_xlfn.NORM.INV($AC1094,$C$7,$D$7)</f>
        <v/>
      </c>
      <c r="P1094" s="14">
        <f>$C$8+($D$8-$C$8)*$AD1094</f>
        <v/>
      </c>
      <c r="Q1094" s="14">
        <f>$C$9</f>
        <v/>
      </c>
      <c r="R1094" s="14">
        <f>_xlfn.LOGNORM.INV($AF1094,LN($C$10)-0.5*LN(1+($D$10/$C$10)^2),SQRT(LN(1+($D$10/$C$10)^2)))</f>
        <v/>
      </c>
      <c r="S1094" s="14">
        <f>SUM(M1094:R1094)</f>
        <v/>
      </c>
      <c r="AA1094">
        <f>RAND()</f>
        <v/>
      </c>
      <c r="AB1094">
        <f>RAND()</f>
        <v/>
      </c>
      <c r="AC1094">
        <f>RAND()</f>
        <v/>
      </c>
      <c r="AD1094">
        <f>RAND()</f>
        <v/>
      </c>
      <c r="AE1094">
        <f>RAND()</f>
        <v/>
      </c>
      <c r="AF1094">
        <f>RAND()</f>
        <v/>
      </c>
    </row>
    <row r="1095">
      <c r="M1095" s="14">
        <f>_xlfn.BETA.INV($AA1095,1+4*($D$5-$C$5)/($E$5-$C$5),1+4*($E$5-$D$5)/($E$5-$C$5),$C$5,$E$5)</f>
        <v/>
      </c>
      <c r="N1095" s="14">
        <f>IF($AB1095&lt;($D$6-$C$6)/($E$6-$C$6),$C$6+SQRT($AB1095*($E$6-$C$6)*($D$6-$C$6)),$E$6-SQRT((1-$AB1095)*($E$6-$C$6)*($E$6-$D$6)))</f>
        <v/>
      </c>
      <c r="O1095" s="14">
        <f>_xlfn.NORM.INV($AC1095,$C$7,$D$7)</f>
        <v/>
      </c>
      <c r="P1095" s="14">
        <f>$C$8+($D$8-$C$8)*$AD1095</f>
        <v/>
      </c>
      <c r="Q1095" s="14">
        <f>$C$9</f>
        <v/>
      </c>
      <c r="R1095" s="14">
        <f>_xlfn.LOGNORM.INV($AF1095,LN($C$10)-0.5*LN(1+($D$10/$C$10)^2),SQRT(LN(1+($D$10/$C$10)^2)))</f>
        <v/>
      </c>
      <c r="S1095" s="14">
        <f>SUM(M1095:R1095)</f>
        <v/>
      </c>
      <c r="AA1095">
        <f>RAND()</f>
        <v/>
      </c>
      <c r="AB1095">
        <f>RAND()</f>
        <v/>
      </c>
      <c r="AC1095">
        <f>RAND()</f>
        <v/>
      </c>
      <c r="AD1095">
        <f>RAND()</f>
        <v/>
      </c>
      <c r="AE1095">
        <f>RAND()</f>
        <v/>
      </c>
      <c r="AF1095">
        <f>RAND()</f>
        <v/>
      </c>
    </row>
    <row r="1096">
      <c r="M1096" s="14">
        <f>_xlfn.BETA.INV($AA1096,1+4*($D$5-$C$5)/($E$5-$C$5),1+4*($E$5-$D$5)/($E$5-$C$5),$C$5,$E$5)</f>
        <v/>
      </c>
      <c r="N1096" s="14">
        <f>IF($AB1096&lt;($D$6-$C$6)/($E$6-$C$6),$C$6+SQRT($AB1096*($E$6-$C$6)*($D$6-$C$6)),$E$6-SQRT((1-$AB1096)*($E$6-$C$6)*($E$6-$D$6)))</f>
        <v/>
      </c>
      <c r="O1096" s="14">
        <f>_xlfn.NORM.INV($AC1096,$C$7,$D$7)</f>
        <v/>
      </c>
      <c r="P1096" s="14">
        <f>$C$8+($D$8-$C$8)*$AD1096</f>
        <v/>
      </c>
      <c r="Q1096" s="14">
        <f>$C$9</f>
        <v/>
      </c>
      <c r="R1096" s="14">
        <f>_xlfn.LOGNORM.INV($AF1096,LN($C$10)-0.5*LN(1+($D$10/$C$10)^2),SQRT(LN(1+($D$10/$C$10)^2)))</f>
        <v/>
      </c>
      <c r="S1096" s="14">
        <f>SUM(M1096:R1096)</f>
        <v/>
      </c>
      <c r="AA1096">
        <f>RAND()</f>
        <v/>
      </c>
      <c r="AB1096">
        <f>RAND()</f>
        <v/>
      </c>
      <c r="AC1096">
        <f>RAND()</f>
        <v/>
      </c>
      <c r="AD1096">
        <f>RAND()</f>
        <v/>
      </c>
      <c r="AE1096">
        <f>RAND()</f>
        <v/>
      </c>
      <c r="AF1096">
        <f>RAND()</f>
        <v/>
      </c>
    </row>
    <row r="1097">
      <c r="M1097" s="14">
        <f>_xlfn.BETA.INV($AA1097,1+4*($D$5-$C$5)/($E$5-$C$5),1+4*($E$5-$D$5)/($E$5-$C$5),$C$5,$E$5)</f>
        <v/>
      </c>
      <c r="N1097" s="14">
        <f>IF($AB1097&lt;($D$6-$C$6)/($E$6-$C$6),$C$6+SQRT($AB1097*($E$6-$C$6)*($D$6-$C$6)),$E$6-SQRT((1-$AB1097)*($E$6-$C$6)*($E$6-$D$6)))</f>
        <v/>
      </c>
      <c r="O1097" s="14">
        <f>_xlfn.NORM.INV($AC1097,$C$7,$D$7)</f>
        <v/>
      </c>
      <c r="P1097" s="14">
        <f>$C$8+($D$8-$C$8)*$AD1097</f>
        <v/>
      </c>
      <c r="Q1097" s="14">
        <f>$C$9</f>
        <v/>
      </c>
      <c r="R1097" s="14">
        <f>_xlfn.LOGNORM.INV($AF1097,LN($C$10)-0.5*LN(1+($D$10/$C$10)^2),SQRT(LN(1+($D$10/$C$10)^2)))</f>
        <v/>
      </c>
      <c r="S1097" s="14">
        <f>SUM(M1097:R1097)</f>
        <v/>
      </c>
      <c r="AA1097">
        <f>RAND()</f>
        <v/>
      </c>
      <c r="AB1097">
        <f>RAND()</f>
        <v/>
      </c>
      <c r="AC1097">
        <f>RAND()</f>
        <v/>
      </c>
      <c r="AD1097">
        <f>RAND()</f>
        <v/>
      </c>
      <c r="AE1097">
        <f>RAND()</f>
        <v/>
      </c>
      <c r="AF1097">
        <f>RAND()</f>
        <v/>
      </c>
    </row>
    <row r="1098">
      <c r="M1098" s="14">
        <f>_xlfn.BETA.INV($AA1098,1+4*($D$5-$C$5)/($E$5-$C$5),1+4*($E$5-$D$5)/($E$5-$C$5),$C$5,$E$5)</f>
        <v/>
      </c>
      <c r="N1098" s="14">
        <f>IF($AB1098&lt;($D$6-$C$6)/($E$6-$C$6),$C$6+SQRT($AB1098*($E$6-$C$6)*($D$6-$C$6)),$E$6-SQRT((1-$AB1098)*($E$6-$C$6)*($E$6-$D$6)))</f>
        <v/>
      </c>
      <c r="O1098" s="14">
        <f>_xlfn.NORM.INV($AC1098,$C$7,$D$7)</f>
        <v/>
      </c>
      <c r="P1098" s="14">
        <f>$C$8+($D$8-$C$8)*$AD1098</f>
        <v/>
      </c>
      <c r="Q1098" s="14">
        <f>$C$9</f>
        <v/>
      </c>
      <c r="R1098" s="14">
        <f>_xlfn.LOGNORM.INV($AF1098,LN($C$10)-0.5*LN(1+($D$10/$C$10)^2),SQRT(LN(1+($D$10/$C$10)^2)))</f>
        <v/>
      </c>
      <c r="S1098" s="14">
        <f>SUM(M1098:R1098)</f>
        <v/>
      </c>
      <c r="AA1098">
        <f>RAND()</f>
        <v/>
      </c>
      <c r="AB1098">
        <f>RAND()</f>
        <v/>
      </c>
      <c r="AC1098">
        <f>RAND()</f>
        <v/>
      </c>
      <c r="AD1098">
        <f>RAND()</f>
        <v/>
      </c>
      <c r="AE1098">
        <f>RAND()</f>
        <v/>
      </c>
      <c r="AF1098">
        <f>RAND()</f>
        <v/>
      </c>
    </row>
    <row r="1099">
      <c r="M1099" s="14">
        <f>_xlfn.BETA.INV($AA1099,1+4*($D$5-$C$5)/($E$5-$C$5),1+4*($E$5-$D$5)/($E$5-$C$5),$C$5,$E$5)</f>
        <v/>
      </c>
      <c r="N1099" s="14">
        <f>IF($AB1099&lt;($D$6-$C$6)/($E$6-$C$6),$C$6+SQRT($AB1099*($E$6-$C$6)*($D$6-$C$6)),$E$6-SQRT((1-$AB1099)*($E$6-$C$6)*($E$6-$D$6)))</f>
        <v/>
      </c>
      <c r="O1099" s="14">
        <f>_xlfn.NORM.INV($AC1099,$C$7,$D$7)</f>
        <v/>
      </c>
      <c r="P1099" s="14">
        <f>$C$8+($D$8-$C$8)*$AD1099</f>
        <v/>
      </c>
      <c r="Q1099" s="14">
        <f>$C$9</f>
        <v/>
      </c>
      <c r="R1099" s="14">
        <f>_xlfn.LOGNORM.INV($AF1099,LN($C$10)-0.5*LN(1+($D$10/$C$10)^2),SQRT(LN(1+($D$10/$C$10)^2)))</f>
        <v/>
      </c>
      <c r="S1099" s="14">
        <f>SUM(M1099:R1099)</f>
        <v/>
      </c>
      <c r="AA1099">
        <f>RAND()</f>
        <v/>
      </c>
      <c r="AB1099">
        <f>RAND()</f>
        <v/>
      </c>
      <c r="AC1099">
        <f>RAND()</f>
        <v/>
      </c>
      <c r="AD1099">
        <f>RAND()</f>
        <v/>
      </c>
      <c r="AE1099">
        <f>RAND()</f>
        <v/>
      </c>
      <c r="AF1099">
        <f>RAND()</f>
        <v/>
      </c>
    </row>
    <row r="1100">
      <c r="M1100" s="14">
        <f>_xlfn.BETA.INV($AA1100,1+4*($D$5-$C$5)/($E$5-$C$5),1+4*($E$5-$D$5)/($E$5-$C$5),$C$5,$E$5)</f>
        <v/>
      </c>
      <c r="N1100" s="14">
        <f>IF($AB1100&lt;($D$6-$C$6)/($E$6-$C$6),$C$6+SQRT($AB1100*($E$6-$C$6)*($D$6-$C$6)),$E$6-SQRT((1-$AB1100)*($E$6-$C$6)*($E$6-$D$6)))</f>
        <v/>
      </c>
      <c r="O1100" s="14">
        <f>_xlfn.NORM.INV($AC1100,$C$7,$D$7)</f>
        <v/>
      </c>
      <c r="P1100" s="14">
        <f>$C$8+($D$8-$C$8)*$AD1100</f>
        <v/>
      </c>
      <c r="Q1100" s="14">
        <f>$C$9</f>
        <v/>
      </c>
      <c r="R1100" s="14">
        <f>_xlfn.LOGNORM.INV($AF1100,LN($C$10)-0.5*LN(1+($D$10/$C$10)^2),SQRT(LN(1+($D$10/$C$10)^2)))</f>
        <v/>
      </c>
      <c r="S1100" s="14">
        <f>SUM(M1100:R1100)</f>
        <v/>
      </c>
      <c r="AA1100">
        <f>RAND()</f>
        <v/>
      </c>
      <c r="AB1100">
        <f>RAND()</f>
        <v/>
      </c>
      <c r="AC1100">
        <f>RAND()</f>
        <v/>
      </c>
      <c r="AD1100">
        <f>RAND()</f>
        <v/>
      </c>
      <c r="AE1100">
        <f>RAND()</f>
        <v/>
      </c>
      <c r="AF1100">
        <f>RAND()</f>
        <v/>
      </c>
    </row>
    <row r="1101">
      <c r="M1101" s="14">
        <f>_xlfn.BETA.INV($AA1101,1+4*($D$5-$C$5)/($E$5-$C$5),1+4*($E$5-$D$5)/($E$5-$C$5),$C$5,$E$5)</f>
        <v/>
      </c>
      <c r="N1101" s="14">
        <f>IF($AB1101&lt;($D$6-$C$6)/($E$6-$C$6),$C$6+SQRT($AB1101*($E$6-$C$6)*($D$6-$C$6)),$E$6-SQRT((1-$AB1101)*($E$6-$C$6)*($E$6-$D$6)))</f>
        <v/>
      </c>
      <c r="O1101" s="14">
        <f>_xlfn.NORM.INV($AC1101,$C$7,$D$7)</f>
        <v/>
      </c>
      <c r="P1101" s="14">
        <f>$C$8+($D$8-$C$8)*$AD1101</f>
        <v/>
      </c>
      <c r="Q1101" s="14">
        <f>$C$9</f>
        <v/>
      </c>
      <c r="R1101" s="14">
        <f>_xlfn.LOGNORM.INV($AF1101,LN($C$10)-0.5*LN(1+($D$10/$C$10)^2),SQRT(LN(1+($D$10/$C$10)^2)))</f>
        <v/>
      </c>
      <c r="S1101" s="14">
        <f>SUM(M1101:R1101)</f>
        <v/>
      </c>
      <c r="AA1101">
        <f>RAND()</f>
        <v/>
      </c>
      <c r="AB1101">
        <f>RAND()</f>
        <v/>
      </c>
      <c r="AC1101">
        <f>RAND()</f>
        <v/>
      </c>
      <c r="AD1101">
        <f>RAND()</f>
        <v/>
      </c>
      <c r="AE1101">
        <f>RAND()</f>
        <v/>
      </c>
      <c r="AF1101">
        <f>RAND()</f>
        <v/>
      </c>
    </row>
    <row r="1102">
      <c r="M1102" s="14">
        <f>_xlfn.BETA.INV($AA1102,1+4*($D$5-$C$5)/($E$5-$C$5),1+4*($E$5-$D$5)/($E$5-$C$5),$C$5,$E$5)</f>
        <v/>
      </c>
      <c r="N1102" s="14">
        <f>IF($AB1102&lt;($D$6-$C$6)/($E$6-$C$6),$C$6+SQRT($AB1102*($E$6-$C$6)*($D$6-$C$6)),$E$6-SQRT((1-$AB1102)*($E$6-$C$6)*($E$6-$D$6)))</f>
        <v/>
      </c>
      <c r="O1102" s="14">
        <f>_xlfn.NORM.INV($AC1102,$C$7,$D$7)</f>
        <v/>
      </c>
      <c r="P1102" s="14">
        <f>$C$8+($D$8-$C$8)*$AD1102</f>
        <v/>
      </c>
      <c r="Q1102" s="14">
        <f>$C$9</f>
        <v/>
      </c>
      <c r="R1102" s="14">
        <f>_xlfn.LOGNORM.INV($AF1102,LN($C$10)-0.5*LN(1+($D$10/$C$10)^2),SQRT(LN(1+($D$10/$C$10)^2)))</f>
        <v/>
      </c>
      <c r="S1102" s="14">
        <f>SUM(M1102:R1102)</f>
        <v/>
      </c>
      <c r="AA1102">
        <f>RAND()</f>
        <v/>
      </c>
      <c r="AB1102">
        <f>RAND()</f>
        <v/>
      </c>
      <c r="AC1102">
        <f>RAND()</f>
        <v/>
      </c>
      <c r="AD1102">
        <f>RAND()</f>
        <v/>
      </c>
      <c r="AE1102">
        <f>RAND()</f>
        <v/>
      </c>
      <c r="AF1102">
        <f>RAND()</f>
        <v/>
      </c>
    </row>
    <row r="1103">
      <c r="M1103" s="14">
        <f>_xlfn.BETA.INV($AA1103,1+4*($D$5-$C$5)/($E$5-$C$5),1+4*($E$5-$D$5)/($E$5-$C$5),$C$5,$E$5)</f>
        <v/>
      </c>
      <c r="N1103" s="14">
        <f>IF($AB1103&lt;($D$6-$C$6)/($E$6-$C$6),$C$6+SQRT($AB1103*($E$6-$C$6)*($D$6-$C$6)),$E$6-SQRT((1-$AB1103)*($E$6-$C$6)*($E$6-$D$6)))</f>
        <v/>
      </c>
      <c r="O1103" s="14">
        <f>_xlfn.NORM.INV($AC1103,$C$7,$D$7)</f>
        <v/>
      </c>
      <c r="P1103" s="14">
        <f>$C$8+($D$8-$C$8)*$AD1103</f>
        <v/>
      </c>
      <c r="Q1103" s="14">
        <f>$C$9</f>
        <v/>
      </c>
      <c r="R1103" s="14">
        <f>_xlfn.LOGNORM.INV($AF1103,LN($C$10)-0.5*LN(1+($D$10/$C$10)^2),SQRT(LN(1+($D$10/$C$10)^2)))</f>
        <v/>
      </c>
      <c r="S1103" s="14">
        <f>SUM(M1103:R1103)</f>
        <v/>
      </c>
      <c r="AA1103">
        <f>RAND()</f>
        <v/>
      </c>
      <c r="AB1103">
        <f>RAND()</f>
        <v/>
      </c>
      <c r="AC1103">
        <f>RAND()</f>
        <v/>
      </c>
      <c r="AD1103">
        <f>RAND()</f>
        <v/>
      </c>
      <c r="AE1103">
        <f>RAND()</f>
        <v/>
      </c>
      <c r="AF1103">
        <f>RAND()</f>
        <v/>
      </c>
    </row>
    <row r="1104">
      <c r="M1104" s="14">
        <f>_xlfn.BETA.INV($AA1104,1+4*($D$5-$C$5)/($E$5-$C$5),1+4*($E$5-$D$5)/($E$5-$C$5),$C$5,$E$5)</f>
        <v/>
      </c>
      <c r="N1104" s="14">
        <f>IF($AB1104&lt;($D$6-$C$6)/($E$6-$C$6),$C$6+SQRT($AB1104*($E$6-$C$6)*($D$6-$C$6)),$E$6-SQRT((1-$AB1104)*($E$6-$C$6)*($E$6-$D$6)))</f>
        <v/>
      </c>
      <c r="O1104" s="14">
        <f>_xlfn.NORM.INV($AC1104,$C$7,$D$7)</f>
        <v/>
      </c>
      <c r="P1104" s="14">
        <f>$C$8+($D$8-$C$8)*$AD1104</f>
        <v/>
      </c>
      <c r="Q1104" s="14">
        <f>$C$9</f>
        <v/>
      </c>
      <c r="R1104" s="14">
        <f>_xlfn.LOGNORM.INV($AF1104,LN($C$10)-0.5*LN(1+($D$10/$C$10)^2),SQRT(LN(1+($D$10/$C$10)^2)))</f>
        <v/>
      </c>
      <c r="S1104" s="14">
        <f>SUM(M1104:R1104)</f>
        <v/>
      </c>
      <c r="AA1104">
        <f>RAND()</f>
        <v/>
      </c>
      <c r="AB1104">
        <f>RAND()</f>
        <v/>
      </c>
      <c r="AC1104">
        <f>RAND()</f>
        <v/>
      </c>
      <c r="AD1104">
        <f>RAND()</f>
        <v/>
      </c>
      <c r="AE1104">
        <f>RAND()</f>
        <v/>
      </c>
      <c r="AF1104">
        <f>RAND()</f>
        <v/>
      </c>
    </row>
    <row r="1105">
      <c r="M1105" s="14">
        <f>_xlfn.BETA.INV($AA1105,1+4*($D$5-$C$5)/($E$5-$C$5),1+4*($E$5-$D$5)/($E$5-$C$5),$C$5,$E$5)</f>
        <v/>
      </c>
      <c r="N1105" s="14">
        <f>IF($AB1105&lt;($D$6-$C$6)/($E$6-$C$6),$C$6+SQRT($AB1105*($E$6-$C$6)*($D$6-$C$6)),$E$6-SQRT((1-$AB1105)*($E$6-$C$6)*($E$6-$D$6)))</f>
        <v/>
      </c>
      <c r="O1105" s="14">
        <f>_xlfn.NORM.INV($AC1105,$C$7,$D$7)</f>
        <v/>
      </c>
      <c r="P1105" s="14">
        <f>$C$8+($D$8-$C$8)*$AD1105</f>
        <v/>
      </c>
      <c r="Q1105" s="14">
        <f>$C$9</f>
        <v/>
      </c>
      <c r="R1105" s="14">
        <f>_xlfn.LOGNORM.INV($AF1105,LN($C$10)-0.5*LN(1+($D$10/$C$10)^2),SQRT(LN(1+($D$10/$C$10)^2)))</f>
        <v/>
      </c>
      <c r="S1105" s="14">
        <f>SUM(M1105:R1105)</f>
        <v/>
      </c>
      <c r="AA1105">
        <f>RAND()</f>
        <v/>
      </c>
      <c r="AB1105">
        <f>RAND()</f>
        <v/>
      </c>
      <c r="AC1105">
        <f>RAND()</f>
        <v/>
      </c>
      <c r="AD1105">
        <f>RAND()</f>
        <v/>
      </c>
      <c r="AE1105">
        <f>RAND()</f>
        <v/>
      </c>
      <c r="AF1105">
        <f>RAND()</f>
        <v/>
      </c>
    </row>
    <row r="1106">
      <c r="M1106" s="14">
        <f>_xlfn.BETA.INV($AA1106,1+4*($D$5-$C$5)/($E$5-$C$5),1+4*($E$5-$D$5)/($E$5-$C$5),$C$5,$E$5)</f>
        <v/>
      </c>
      <c r="N1106" s="14">
        <f>IF($AB1106&lt;($D$6-$C$6)/($E$6-$C$6),$C$6+SQRT($AB1106*($E$6-$C$6)*($D$6-$C$6)),$E$6-SQRT((1-$AB1106)*($E$6-$C$6)*($E$6-$D$6)))</f>
        <v/>
      </c>
      <c r="O1106" s="14">
        <f>_xlfn.NORM.INV($AC1106,$C$7,$D$7)</f>
        <v/>
      </c>
      <c r="P1106" s="14">
        <f>$C$8+($D$8-$C$8)*$AD1106</f>
        <v/>
      </c>
      <c r="Q1106" s="14">
        <f>$C$9</f>
        <v/>
      </c>
      <c r="R1106" s="14">
        <f>_xlfn.LOGNORM.INV($AF1106,LN($C$10)-0.5*LN(1+($D$10/$C$10)^2),SQRT(LN(1+($D$10/$C$10)^2)))</f>
        <v/>
      </c>
      <c r="S1106" s="14">
        <f>SUM(M1106:R1106)</f>
        <v/>
      </c>
      <c r="AA1106">
        <f>RAND()</f>
        <v/>
      </c>
      <c r="AB1106">
        <f>RAND()</f>
        <v/>
      </c>
      <c r="AC1106">
        <f>RAND()</f>
        <v/>
      </c>
      <c r="AD1106">
        <f>RAND()</f>
        <v/>
      </c>
      <c r="AE1106">
        <f>RAND()</f>
        <v/>
      </c>
      <c r="AF1106">
        <f>RAND()</f>
        <v/>
      </c>
    </row>
    <row r="1107">
      <c r="M1107" s="14">
        <f>_xlfn.BETA.INV($AA1107,1+4*($D$5-$C$5)/($E$5-$C$5),1+4*($E$5-$D$5)/($E$5-$C$5),$C$5,$E$5)</f>
        <v/>
      </c>
      <c r="N1107" s="14">
        <f>IF($AB1107&lt;($D$6-$C$6)/($E$6-$C$6),$C$6+SQRT($AB1107*($E$6-$C$6)*($D$6-$C$6)),$E$6-SQRT((1-$AB1107)*($E$6-$C$6)*($E$6-$D$6)))</f>
        <v/>
      </c>
      <c r="O1107" s="14">
        <f>_xlfn.NORM.INV($AC1107,$C$7,$D$7)</f>
        <v/>
      </c>
      <c r="P1107" s="14">
        <f>$C$8+($D$8-$C$8)*$AD1107</f>
        <v/>
      </c>
      <c r="Q1107" s="14">
        <f>$C$9</f>
        <v/>
      </c>
      <c r="R1107" s="14">
        <f>_xlfn.LOGNORM.INV($AF1107,LN($C$10)-0.5*LN(1+($D$10/$C$10)^2),SQRT(LN(1+($D$10/$C$10)^2)))</f>
        <v/>
      </c>
      <c r="S1107" s="14">
        <f>SUM(M1107:R1107)</f>
        <v/>
      </c>
      <c r="AA1107">
        <f>RAND()</f>
        <v/>
      </c>
      <c r="AB1107">
        <f>RAND()</f>
        <v/>
      </c>
      <c r="AC1107">
        <f>RAND()</f>
        <v/>
      </c>
      <c r="AD1107">
        <f>RAND()</f>
        <v/>
      </c>
      <c r="AE1107">
        <f>RAND()</f>
        <v/>
      </c>
      <c r="AF1107">
        <f>RAND()</f>
        <v/>
      </c>
    </row>
    <row r="1108">
      <c r="M1108" s="14">
        <f>_xlfn.BETA.INV($AA1108,1+4*($D$5-$C$5)/($E$5-$C$5),1+4*($E$5-$D$5)/($E$5-$C$5),$C$5,$E$5)</f>
        <v/>
      </c>
      <c r="N1108" s="14">
        <f>IF($AB1108&lt;($D$6-$C$6)/($E$6-$C$6),$C$6+SQRT($AB1108*($E$6-$C$6)*($D$6-$C$6)),$E$6-SQRT((1-$AB1108)*($E$6-$C$6)*($E$6-$D$6)))</f>
        <v/>
      </c>
      <c r="O1108" s="14">
        <f>_xlfn.NORM.INV($AC1108,$C$7,$D$7)</f>
        <v/>
      </c>
      <c r="P1108" s="14">
        <f>$C$8+($D$8-$C$8)*$AD1108</f>
        <v/>
      </c>
      <c r="Q1108" s="14">
        <f>$C$9</f>
        <v/>
      </c>
      <c r="R1108" s="14">
        <f>_xlfn.LOGNORM.INV($AF1108,LN($C$10)-0.5*LN(1+($D$10/$C$10)^2),SQRT(LN(1+($D$10/$C$10)^2)))</f>
        <v/>
      </c>
      <c r="S1108" s="14">
        <f>SUM(M1108:R1108)</f>
        <v/>
      </c>
      <c r="AA1108">
        <f>RAND()</f>
        <v/>
      </c>
      <c r="AB1108">
        <f>RAND()</f>
        <v/>
      </c>
      <c r="AC1108">
        <f>RAND()</f>
        <v/>
      </c>
      <c r="AD1108">
        <f>RAND()</f>
        <v/>
      </c>
      <c r="AE1108">
        <f>RAND()</f>
        <v/>
      </c>
      <c r="AF1108">
        <f>RAND()</f>
        <v/>
      </c>
    </row>
    <row r="1109">
      <c r="M1109" s="14">
        <f>_xlfn.BETA.INV($AA1109,1+4*($D$5-$C$5)/($E$5-$C$5),1+4*($E$5-$D$5)/($E$5-$C$5),$C$5,$E$5)</f>
        <v/>
      </c>
      <c r="N1109" s="14">
        <f>IF($AB1109&lt;($D$6-$C$6)/($E$6-$C$6),$C$6+SQRT($AB1109*($E$6-$C$6)*($D$6-$C$6)),$E$6-SQRT((1-$AB1109)*($E$6-$C$6)*($E$6-$D$6)))</f>
        <v/>
      </c>
      <c r="O1109" s="14">
        <f>_xlfn.NORM.INV($AC1109,$C$7,$D$7)</f>
        <v/>
      </c>
      <c r="P1109" s="14">
        <f>$C$8+($D$8-$C$8)*$AD1109</f>
        <v/>
      </c>
      <c r="Q1109" s="14">
        <f>$C$9</f>
        <v/>
      </c>
      <c r="R1109" s="14">
        <f>_xlfn.LOGNORM.INV($AF1109,LN($C$10)-0.5*LN(1+($D$10/$C$10)^2),SQRT(LN(1+($D$10/$C$10)^2)))</f>
        <v/>
      </c>
      <c r="S1109" s="14">
        <f>SUM(M1109:R1109)</f>
        <v/>
      </c>
      <c r="AA1109">
        <f>RAND()</f>
        <v/>
      </c>
      <c r="AB1109">
        <f>RAND()</f>
        <v/>
      </c>
      <c r="AC1109">
        <f>RAND()</f>
        <v/>
      </c>
      <c r="AD1109">
        <f>RAND()</f>
        <v/>
      </c>
      <c r="AE1109">
        <f>RAND()</f>
        <v/>
      </c>
      <c r="AF1109">
        <f>RAND()</f>
        <v/>
      </c>
    </row>
    <row r="1110">
      <c r="M1110" s="14">
        <f>_xlfn.BETA.INV($AA1110,1+4*($D$5-$C$5)/($E$5-$C$5),1+4*($E$5-$D$5)/($E$5-$C$5),$C$5,$E$5)</f>
        <v/>
      </c>
      <c r="N1110" s="14">
        <f>IF($AB1110&lt;($D$6-$C$6)/($E$6-$C$6),$C$6+SQRT($AB1110*($E$6-$C$6)*($D$6-$C$6)),$E$6-SQRT((1-$AB1110)*($E$6-$C$6)*($E$6-$D$6)))</f>
        <v/>
      </c>
      <c r="O1110" s="14">
        <f>_xlfn.NORM.INV($AC1110,$C$7,$D$7)</f>
        <v/>
      </c>
      <c r="P1110" s="14">
        <f>$C$8+($D$8-$C$8)*$AD1110</f>
        <v/>
      </c>
      <c r="Q1110" s="14">
        <f>$C$9</f>
        <v/>
      </c>
      <c r="R1110" s="14">
        <f>_xlfn.LOGNORM.INV($AF1110,LN($C$10)-0.5*LN(1+($D$10/$C$10)^2),SQRT(LN(1+($D$10/$C$10)^2)))</f>
        <v/>
      </c>
      <c r="S1110" s="14">
        <f>SUM(M1110:R1110)</f>
        <v/>
      </c>
      <c r="AA1110">
        <f>RAND()</f>
        <v/>
      </c>
      <c r="AB1110">
        <f>RAND()</f>
        <v/>
      </c>
      <c r="AC1110">
        <f>RAND()</f>
        <v/>
      </c>
      <c r="AD1110">
        <f>RAND()</f>
        <v/>
      </c>
      <c r="AE1110">
        <f>RAND()</f>
        <v/>
      </c>
      <c r="AF1110">
        <f>RAND()</f>
        <v/>
      </c>
    </row>
    <row r="1111">
      <c r="M1111" s="14">
        <f>_xlfn.BETA.INV($AA1111,1+4*($D$5-$C$5)/($E$5-$C$5),1+4*($E$5-$D$5)/($E$5-$C$5),$C$5,$E$5)</f>
        <v/>
      </c>
      <c r="N1111" s="14">
        <f>IF($AB1111&lt;($D$6-$C$6)/($E$6-$C$6),$C$6+SQRT($AB1111*($E$6-$C$6)*($D$6-$C$6)),$E$6-SQRT((1-$AB1111)*($E$6-$C$6)*($E$6-$D$6)))</f>
        <v/>
      </c>
      <c r="O1111" s="14">
        <f>_xlfn.NORM.INV($AC1111,$C$7,$D$7)</f>
        <v/>
      </c>
      <c r="P1111" s="14">
        <f>$C$8+($D$8-$C$8)*$AD1111</f>
        <v/>
      </c>
      <c r="Q1111" s="14">
        <f>$C$9</f>
        <v/>
      </c>
      <c r="R1111" s="14">
        <f>_xlfn.LOGNORM.INV($AF1111,LN($C$10)-0.5*LN(1+($D$10/$C$10)^2),SQRT(LN(1+($D$10/$C$10)^2)))</f>
        <v/>
      </c>
      <c r="S1111" s="14">
        <f>SUM(M1111:R1111)</f>
        <v/>
      </c>
      <c r="AA1111">
        <f>RAND()</f>
        <v/>
      </c>
      <c r="AB1111">
        <f>RAND()</f>
        <v/>
      </c>
      <c r="AC1111">
        <f>RAND()</f>
        <v/>
      </c>
      <c r="AD1111">
        <f>RAND()</f>
        <v/>
      </c>
      <c r="AE1111">
        <f>RAND()</f>
        <v/>
      </c>
      <c r="AF1111">
        <f>RAND()</f>
        <v/>
      </c>
    </row>
    <row r="1112">
      <c r="M1112" s="14">
        <f>_xlfn.BETA.INV($AA1112,1+4*($D$5-$C$5)/($E$5-$C$5),1+4*($E$5-$D$5)/($E$5-$C$5),$C$5,$E$5)</f>
        <v/>
      </c>
      <c r="N1112" s="14">
        <f>IF($AB1112&lt;($D$6-$C$6)/($E$6-$C$6),$C$6+SQRT($AB1112*($E$6-$C$6)*($D$6-$C$6)),$E$6-SQRT((1-$AB1112)*($E$6-$C$6)*($E$6-$D$6)))</f>
        <v/>
      </c>
      <c r="O1112" s="14">
        <f>_xlfn.NORM.INV($AC1112,$C$7,$D$7)</f>
        <v/>
      </c>
      <c r="P1112" s="14">
        <f>$C$8+($D$8-$C$8)*$AD1112</f>
        <v/>
      </c>
      <c r="Q1112" s="14">
        <f>$C$9</f>
        <v/>
      </c>
      <c r="R1112" s="14">
        <f>_xlfn.LOGNORM.INV($AF1112,LN($C$10)-0.5*LN(1+($D$10/$C$10)^2),SQRT(LN(1+($D$10/$C$10)^2)))</f>
        <v/>
      </c>
      <c r="S1112" s="14">
        <f>SUM(M1112:R1112)</f>
        <v/>
      </c>
      <c r="AA1112">
        <f>RAND()</f>
        <v/>
      </c>
      <c r="AB1112">
        <f>RAND()</f>
        <v/>
      </c>
      <c r="AC1112">
        <f>RAND()</f>
        <v/>
      </c>
      <c r="AD1112">
        <f>RAND()</f>
        <v/>
      </c>
      <c r="AE1112">
        <f>RAND()</f>
        <v/>
      </c>
      <c r="AF1112">
        <f>RAND()</f>
        <v/>
      </c>
    </row>
    <row r="1113">
      <c r="M1113" s="14">
        <f>_xlfn.BETA.INV($AA1113,1+4*($D$5-$C$5)/($E$5-$C$5),1+4*($E$5-$D$5)/($E$5-$C$5),$C$5,$E$5)</f>
        <v/>
      </c>
      <c r="N1113" s="14">
        <f>IF($AB1113&lt;($D$6-$C$6)/($E$6-$C$6),$C$6+SQRT($AB1113*($E$6-$C$6)*($D$6-$C$6)),$E$6-SQRT((1-$AB1113)*($E$6-$C$6)*($E$6-$D$6)))</f>
        <v/>
      </c>
      <c r="O1113" s="14">
        <f>_xlfn.NORM.INV($AC1113,$C$7,$D$7)</f>
        <v/>
      </c>
      <c r="P1113" s="14">
        <f>$C$8+($D$8-$C$8)*$AD1113</f>
        <v/>
      </c>
      <c r="Q1113" s="14">
        <f>$C$9</f>
        <v/>
      </c>
      <c r="R1113" s="14">
        <f>_xlfn.LOGNORM.INV($AF1113,LN($C$10)-0.5*LN(1+($D$10/$C$10)^2),SQRT(LN(1+($D$10/$C$10)^2)))</f>
        <v/>
      </c>
      <c r="S1113" s="14">
        <f>SUM(M1113:R1113)</f>
        <v/>
      </c>
      <c r="AA1113">
        <f>RAND()</f>
        <v/>
      </c>
      <c r="AB1113">
        <f>RAND()</f>
        <v/>
      </c>
      <c r="AC1113">
        <f>RAND()</f>
        <v/>
      </c>
      <c r="AD1113">
        <f>RAND()</f>
        <v/>
      </c>
      <c r="AE1113">
        <f>RAND()</f>
        <v/>
      </c>
      <c r="AF1113">
        <f>RAND()</f>
        <v/>
      </c>
    </row>
    <row r="1114">
      <c r="M1114" s="14">
        <f>_xlfn.BETA.INV($AA1114,1+4*($D$5-$C$5)/($E$5-$C$5),1+4*($E$5-$D$5)/($E$5-$C$5),$C$5,$E$5)</f>
        <v/>
      </c>
      <c r="N1114" s="14">
        <f>IF($AB1114&lt;($D$6-$C$6)/($E$6-$C$6),$C$6+SQRT($AB1114*($E$6-$C$6)*($D$6-$C$6)),$E$6-SQRT((1-$AB1114)*($E$6-$C$6)*($E$6-$D$6)))</f>
        <v/>
      </c>
      <c r="O1114" s="14">
        <f>_xlfn.NORM.INV($AC1114,$C$7,$D$7)</f>
        <v/>
      </c>
      <c r="P1114" s="14">
        <f>$C$8+($D$8-$C$8)*$AD1114</f>
        <v/>
      </c>
      <c r="Q1114" s="14">
        <f>$C$9</f>
        <v/>
      </c>
      <c r="R1114" s="14">
        <f>_xlfn.LOGNORM.INV($AF1114,LN($C$10)-0.5*LN(1+($D$10/$C$10)^2),SQRT(LN(1+($D$10/$C$10)^2)))</f>
        <v/>
      </c>
      <c r="S1114" s="14">
        <f>SUM(M1114:R1114)</f>
        <v/>
      </c>
      <c r="AA1114">
        <f>RAND()</f>
        <v/>
      </c>
      <c r="AB1114">
        <f>RAND()</f>
        <v/>
      </c>
      <c r="AC1114">
        <f>RAND()</f>
        <v/>
      </c>
      <c r="AD1114">
        <f>RAND()</f>
        <v/>
      </c>
      <c r="AE1114">
        <f>RAND()</f>
        <v/>
      </c>
      <c r="AF1114">
        <f>RAND()</f>
        <v/>
      </c>
    </row>
    <row r="1115">
      <c r="M1115" s="14">
        <f>_xlfn.BETA.INV($AA1115,1+4*($D$5-$C$5)/($E$5-$C$5),1+4*($E$5-$D$5)/($E$5-$C$5),$C$5,$E$5)</f>
        <v/>
      </c>
      <c r="N1115" s="14">
        <f>IF($AB1115&lt;($D$6-$C$6)/($E$6-$C$6),$C$6+SQRT($AB1115*($E$6-$C$6)*($D$6-$C$6)),$E$6-SQRT((1-$AB1115)*($E$6-$C$6)*($E$6-$D$6)))</f>
        <v/>
      </c>
      <c r="O1115" s="14">
        <f>_xlfn.NORM.INV($AC1115,$C$7,$D$7)</f>
        <v/>
      </c>
      <c r="P1115" s="14">
        <f>$C$8+($D$8-$C$8)*$AD1115</f>
        <v/>
      </c>
      <c r="Q1115" s="14">
        <f>$C$9</f>
        <v/>
      </c>
      <c r="R1115" s="14">
        <f>_xlfn.LOGNORM.INV($AF1115,LN($C$10)-0.5*LN(1+($D$10/$C$10)^2),SQRT(LN(1+($D$10/$C$10)^2)))</f>
        <v/>
      </c>
      <c r="S1115" s="14">
        <f>SUM(M1115:R1115)</f>
        <v/>
      </c>
      <c r="AA1115">
        <f>RAND()</f>
        <v/>
      </c>
      <c r="AB1115">
        <f>RAND()</f>
        <v/>
      </c>
      <c r="AC1115">
        <f>RAND()</f>
        <v/>
      </c>
      <c r="AD1115">
        <f>RAND()</f>
        <v/>
      </c>
      <c r="AE1115">
        <f>RAND()</f>
        <v/>
      </c>
      <c r="AF1115">
        <f>RAND()</f>
        <v/>
      </c>
    </row>
    <row r="1116">
      <c r="M1116" s="14">
        <f>_xlfn.BETA.INV($AA1116,1+4*($D$5-$C$5)/($E$5-$C$5),1+4*($E$5-$D$5)/($E$5-$C$5),$C$5,$E$5)</f>
        <v/>
      </c>
      <c r="N1116" s="14">
        <f>IF($AB1116&lt;($D$6-$C$6)/($E$6-$C$6),$C$6+SQRT($AB1116*($E$6-$C$6)*($D$6-$C$6)),$E$6-SQRT((1-$AB1116)*($E$6-$C$6)*($E$6-$D$6)))</f>
        <v/>
      </c>
      <c r="O1116" s="14">
        <f>_xlfn.NORM.INV($AC1116,$C$7,$D$7)</f>
        <v/>
      </c>
      <c r="P1116" s="14">
        <f>$C$8+($D$8-$C$8)*$AD1116</f>
        <v/>
      </c>
      <c r="Q1116" s="14">
        <f>$C$9</f>
        <v/>
      </c>
      <c r="R1116" s="14">
        <f>_xlfn.LOGNORM.INV($AF1116,LN($C$10)-0.5*LN(1+($D$10/$C$10)^2),SQRT(LN(1+($D$10/$C$10)^2)))</f>
        <v/>
      </c>
      <c r="S1116" s="14">
        <f>SUM(M1116:R1116)</f>
        <v/>
      </c>
      <c r="AA1116">
        <f>RAND()</f>
        <v/>
      </c>
      <c r="AB1116">
        <f>RAND()</f>
        <v/>
      </c>
      <c r="AC1116">
        <f>RAND()</f>
        <v/>
      </c>
      <c r="AD1116">
        <f>RAND()</f>
        <v/>
      </c>
      <c r="AE1116">
        <f>RAND()</f>
        <v/>
      </c>
      <c r="AF1116">
        <f>RAND()</f>
        <v/>
      </c>
    </row>
    <row r="1117">
      <c r="M1117" s="14">
        <f>_xlfn.BETA.INV($AA1117,1+4*($D$5-$C$5)/($E$5-$C$5),1+4*($E$5-$D$5)/($E$5-$C$5),$C$5,$E$5)</f>
        <v/>
      </c>
      <c r="N1117" s="14">
        <f>IF($AB1117&lt;($D$6-$C$6)/($E$6-$C$6),$C$6+SQRT($AB1117*($E$6-$C$6)*($D$6-$C$6)),$E$6-SQRT((1-$AB1117)*($E$6-$C$6)*($E$6-$D$6)))</f>
        <v/>
      </c>
      <c r="O1117" s="14">
        <f>_xlfn.NORM.INV($AC1117,$C$7,$D$7)</f>
        <v/>
      </c>
      <c r="P1117" s="14">
        <f>$C$8+($D$8-$C$8)*$AD1117</f>
        <v/>
      </c>
      <c r="Q1117" s="14">
        <f>$C$9</f>
        <v/>
      </c>
      <c r="R1117" s="14">
        <f>_xlfn.LOGNORM.INV($AF1117,LN($C$10)-0.5*LN(1+($D$10/$C$10)^2),SQRT(LN(1+($D$10/$C$10)^2)))</f>
        <v/>
      </c>
      <c r="S1117" s="14">
        <f>SUM(M1117:R1117)</f>
        <v/>
      </c>
      <c r="AA1117">
        <f>RAND()</f>
        <v/>
      </c>
      <c r="AB1117">
        <f>RAND()</f>
        <v/>
      </c>
      <c r="AC1117">
        <f>RAND()</f>
        <v/>
      </c>
      <c r="AD1117">
        <f>RAND()</f>
        <v/>
      </c>
      <c r="AE1117">
        <f>RAND()</f>
        <v/>
      </c>
      <c r="AF1117">
        <f>RAND()</f>
        <v/>
      </c>
    </row>
    <row r="1118">
      <c r="M1118" s="14">
        <f>_xlfn.BETA.INV($AA1118,1+4*($D$5-$C$5)/($E$5-$C$5),1+4*($E$5-$D$5)/($E$5-$C$5),$C$5,$E$5)</f>
        <v/>
      </c>
      <c r="N1118" s="14">
        <f>IF($AB1118&lt;($D$6-$C$6)/($E$6-$C$6),$C$6+SQRT($AB1118*($E$6-$C$6)*($D$6-$C$6)),$E$6-SQRT((1-$AB1118)*($E$6-$C$6)*($E$6-$D$6)))</f>
        <v/>
      </c>
      <c r="O1118" s="14">
        <f>_xlfn.NORM.INV($AC1118,$C$7,$D$7)</f>
        <v/>
      </c>
      <c r="P1118" s="14">
        <f>$C$8+($D$8-$C$8)*$AD1118</f>
        <v/>
      </c>
      <c r="Q1118" s="14">
        <f>$C$9</f>
        <v/>
      </c>
      <c r="R1118" s="14">
        <f>_xlfn.LOGNORM.INV($AF1118,LN($C$10)-0.5*LN(1+($D$10/$C$10)^2),SQRT(LN(1+($D$10/$C$10)^2)))</f>
        <v/>
      </c>
      <c r="S1118" s="14">
        <f>SUM(M1118:R1118)</f>
        <v/>
      </c>
      <c r="AA1118">
        <f>RAND()</f>
        <v/>
      </c>
      <c r="AB1118">
        <f>RAND()</f>
        <v/>
      </c>
      <c r="AC1118">
        <f>RAND()</f>
        <v/>
      </c>
      <c r="AD1118">
        <f>RAND()</f>
        <v/>
      </c>
      <c r="AE1118">
        <f>RAND()</f>
        <v/>
      </c>
      <c r="AF1118">
        <f>RAND()</f>
        <v/>
      </c>
    </row>
    <row r="1119">
      <c r="M1119" s="14">
        <f>_xlfn.BETA.INV($AA1119,1+4*($D$5-$C$5)/($E$5-$C$5),1+4*($E$5-$D$5)/($E$5-$C$5),$C$5,$E$5)</f>
        <v/>
      </c>
      <c r="N1119" s="14">
        <f>IF($AB1119&lt;($D$6-$C$6)/($E$6-$C$6),$C$6+SQRT($AB1119*($E$6-$C$6)*($D$6-$C$6)),$E$6-SQRT((1-$AB1119)*($E$6-$C$6)*($E$6-$D$6)))</f>
        <v/>
      </c>
      <c r="O1119" s="14">
        <f>_xlfn.NORM.INV($AC1119,$C$7,$D$7)</f>
        <v/>
      </c>
      <c r="P1119" s="14">
        <f>$C$8+($D$8-$C$8)*$AD1119</f>
        <v/>
      </c>
      <c r="Q1119" s="14">
        <f>$C$9</f>
        <v/>
      </c>
      <c r="R1119" s="14">
        <f>_xlfn.LOGNORM.INV($AF1119,LN($C$10)-0.5*LN(1+($D$10/$C$10)^2),SQRT(LN(1+($D$10/$C$10)^2)))</f>
        <v/>
      </c>
      <c r="S1119" s="14">
        <f>SUM(M1119:R1119)</f>
        <v/>
      </c>
      <c r="AA1119">
        <f>RAND()</f>
        <v/>
      </c>
      <c r="AB1119">
        <f>RAND()</f>
        <v/>
      </c>
      <c r="AC1119">
        <f>RAND()</f>
        <v/>
      </c>
      <c r="AD1119">
        <f>RAND()</f>
        <v/>
      </c>
      <c r="AE1119">
        <f>RAND()</f>
        <v/>
      </c>
      <c r="AF1119">
        <f>RAND()</f>
        <v/>
      </c>
    </row>
    <row r="1120">
      <c r="M1120" s="14">
        <f>_xlfn.BETA.INV($AA1120,1+4*($D$5-$C$5)/($E$5-$C$5),1+4*($E$5-$D$5)/($E$5-$C$5),$C$5,$E$5)</f>
        <v/>
      </c>
      <c r="N1120" s="14">
        <f>IF($AB1120&lt;($D$6-$C$6)/($E$6-$C$6),$C$6+SQRT($AB1120*($E$6-$C$6)*($D$6-$C$6)),$E$6-SQRT((1-$AB1120)*($E$6-$C$6)*($E$6-$D$6)))</f>
        <v/>
      </c>
      <c r="O1120" s="14">
        <f>_xlfn.NORM.INV($AC1120,$C$7,$D$7)</f>
        <v/>
      </c>
      <c r="P1120" s="14">
        <f>$C$8+($D$8-$C$8)*$AD1120</f>
        <v/>
      </c>
      <c r="Q1120" s="14">
        <f>$C$9</f>
        <v/>
      </c>
      <c r="R1120" s="14">
        <f>_xlfn.LOGNORM.INV($AF1120,LN($C$10)-0.5*LN(1+($D$10/$C$10)^2),SQRT(LN(1+($D$10/$C$10)^2)))</f>
        <v/>
      </c>
      <c r="S1120" s="14">
        <f>SUM(M1120:R1120)</f>
        <v/>
      </c>
      <c r="AA1120">
        <f>RAND()</f>
        <v/>
      </c>
      <c r="AB1120">
        <f>RAND()</f>
        <v/>
      </c>
      <c r="AC1120">
        <f>RAND()</f>
        <v/>
      </c>
      <c r="AD1120">
        <f>RAND()</f>
        <v/>
      </c>
      <c r="AE1120">
        <f>RAND()</f>
        <v/>
      </c>
      <c r="AF1120">
        <f>RAND()</f>
        <v/>
      </c>
    </row>
    <row r="1121">
      <c r="M1121" s="14">
        <f>_xlfn.BETA.INV($AA1121,1+4*($D$5-$C$5)/($E$5-$C$5),1+4*($E$5-$D$5)/($E$5-$C$5),$C$5,$E$5)</f>
        <v/>
      </c>
      <c r="N1121" s="14">
        <f>IF($AB1121&lt;($D$6-$C$6)/($E$6-$C$6),$C$6+SQRT($AB1121*($E$6-$C$6)*($D$6-$C$6)),$E$6-SQRT((1-$AB1121)*($E$6-$C$6)*($E$6-$D$6)))</f>
        <v/>
      </c>
      <c r="O1121" s="14">
        <f>_xlfn.NORM.INV($AC1121,$C$7,$D$7)</f>
        <v/>
      </c>
      <c r="P1121" s="14">
        <f>$C$8+($D$8-$C$8)*$AD1121</f>
        <v/>
      </c>
      <c r="Q1121" s="14">
        <f>$C$9</f>
        <v/>
      </c>
      <c r="R1121" s="14">
        <f>_xlfn.LOGNORM.INV($AF1121,LN($C$10)-0.5*LN(1+($D$10/$C$10)^2),SQRT(LN(1+($D$10/$C$10)^2)))</f>
        <v/>
      </c>
      <c r="S1121" s="14">
        <f>SUM(M1121:R1121)</f>
        <v/>
      </c>
      <c r="AA1121">
        <f>RAND()</f>
        <v/>
      </c>
      <c r="AB1121">
        <f>RAND()</f>
        <v/>
      </c>
      <c r="AC1121">
        <f>RAND()</f>
        <v/>
      </c>
      <c r="AD1121">
        <f>RAND()</f>
        <v/>
      </c>
      <c r="AE1121">
        <f>RAND()</f>
        <v/>
      </c>
      <c r="AF1121">
        <f>RAND()</f>
        <v/>
      </c>
    </row>
    <row r="1122">
      <c r="M1122" s="14">
        <f>_xlfn.BETA.INV($AA1122,1+4*($D$5-$C$5)/($E$5-$C$5),1+4*($E$5-$D$5)/($E$5-$C$5),$C$5,$E$5)</f>
        <v/>
      </c>
      <c r="N1122" s="14">
        <f>IF($AB1122&lt;($D$6-$C$6)/($E$6-$C$6),$C$6+SQRT($AB1122*($E$6-$C$6)*($D$6-$C$6)),$E$6-SQRT((1-$AB1122)*($E$6-$C$6)*($E$6-$D$6)))</f>
        <v/>
      </c>
      <c r="O1122" s="14">
        <f>_xlfn.NORM.INV($AC1122,$C$7,$D$7)</f>
        <v/>
      </c>
      <c r="P1122" s="14">
        <f>$C$8+($D$8-$C$8)*$AD1122</f>
        <v/>
      </c>
      <c r="Q1122" s="14">
        <f>$C$9</f>
        <v/>
      </c>
      <c r="R1122" s="14">
        <f>_xlfn.LOGNORM.INV($AF1122,LN($C$10)-0.5*LN(1+($D$10/$C$10)^2),SQRT(LN(1+($D$10/$C$10)^2)))</f>
        <v/>
      </c>
      <c r="S1122" s="14">
        <f>SUM(M1122:R1122)</f>
        <v/>
      </c>
      <c r="AA1122">
        <f>RAND()</f>
        <v/>
      </c>
      <c r="AB1122">
        <f>RAND()</f>
        <v/>
      </c>
      <c r="AC1122">
        <f>RAND()</f>
        <v/>
      </c>
      <c r="AD1122">
        <f>RAND()</f>
        <v/>
      </c>
      <c r="AE1122">
        <f>RAND()</f>
        <v/>
      </c>
      <c r="AF1122">
        <f>RAND()</f>
        <v/>
      </c>
    </row>
    <row r="1123">
      <c r="M1123" s="14">
        <f>_xlfn.BETA.INV($AA1123,1+4*($D$5-$C$5)/($E$5-$C$5),1+4*($E$5-$D$5)/($E$5-$C$5),$C$5,$E$5)</f>
        <v/>
      </c>
      <c r="N1123" s="14">
        <f>IF($AB1123&lt;($D$6-$C$6)/($E$6-$C$6),$C$6+SQRT($AB1123*($E$6-$C$6)*($D$6-$C$6)),$E$6-SQRT((1-$AB1123)*($E$6-$C$6)*($E$6-$D$6)))</f>
        <v/>
      </c>
      <c r="O1123" s="14">
        <f>_xlfn.NORM.INV($AC1123,$C$7,$D$7)</f>
        <v/>
      </c>
      <c r="P1123" s="14">
        <f>$C$8+($D$8-$C$8)*$AD1123</f>
        <v/>
      </c>
      <c r="Q1123" s="14">
        <f>$C$9</f>
        <v/>
      </c>
      <c r="R1123" s="14">
        <f>_xlfn.LOGNORM.INV($AF1123,LN($C$10)-0.5*LN(1+($D$10/$C$10)^2),SQRT(LN(1+($D$10/$C$10)^2)))</f>
        <v/>
      </c>
      <c r="S1123" s="14">
        <f>SUM(M1123:R1123)</f>
        <v/>
      </c>
      <c r="AA1123">
        <f>RAND()</f>
        <v/>
      </c>
      <c r="AB1123">
        <f>RAND()</f>
        <v/>
      </c>
      <c r="AC1123">
        <f>RAND()</f>
        <v/>
      </c>
      <c r="AD1123">
        <f>RAND()</f>
        <v/>
      </c>
      <c r="AE1123">
        <f>RAND()</f>
        <v/>
      </c>
      <c r="AF1123">
        <f>RAND()</f>
        <v/>
      </c>
    </row>
    <row r="1124">
      <c r="M1124" s="14">
        <f>_xlfn.BETA.INV($AA1124,1+4*($D$5-$C$5)/($E$5-$C$5),1+4*($E$5-$D$5)/($E$5-$C$5),$C$5,$E$5)</f>
        <v/>
      </c>
      <c r="N1124" s="14">
        <f>IF($AB1124&lt;($D$6-$C$6)/($E$6-$C$6),$C$6+SQRT($AB1124*($E$6-$C$6)*($D$6-$C$6)),$E$6-SQRT((1-$AB1124)*($E$6-$C$6)*($E$6-$D$6)))</f>
        <v/>
      </c>
      <c r="O1124" s="14">
        <f>_xlfn.NORM.INV($AC1124,$C$7,$D$7)</f>
        <v/>
      </c>
      <c r="P1124" s="14">
        <f>$C$8+($D$8-$C$8)*$AD1124</f>
        <v/>
      </c>
      <c r="Q1124" s="14">
        <f>$C$9</f>
        <v/>
      </c>
      <c r="R1124" s="14">
        <f>_xlfn.LOGNORM.INV($AF1124,LN($C$10)-0.5*LN(1+($D$10/$C$10)^2),SQRT(LN(1+($D$10/$C$10)^2)))</f>
        <v/>
      </c>
      <c r="S1124" s="14">
        <f>SUM(M1124:R1124)</f>
        <v/>
      </c>
      <c r="AA1124">
        <f>RAND()</f>
        <v/>
      </c>
      <c r="AB1124">
        <f>RAND()</f>
        <v/>
      </c>
      <c r="AC1124">
        <f>RAND()</f>
        <v/>
      </c>
      <c r="AD1124">
        <f>RAND()</f>
        <v/>
      </c>
      <c r="AE1124">
        <f>RAND()</f>
        <v/>
      </c>
      <c r="AF1124">
        <f>RAND()</f>
        <v/>
      </c>
    </row>
    <row r="1125">
      <c r="M1125" s="14">
        <f>_xlfn.BETA.INV($AA1125,1+4*($D$5-$C$5)/($E$5-$C$5),1+4*($E$5-$D$5)/($E$5-$C$5),$C$5,$E$5)</f>
        <v/>
      </c>
      <c r="N1125" s="14">
        <f>IF($AB1125&lt;($D$6-$C$6)/($E$6-$C$6),$C$6+SQRT($AB1125*($E$6-$C$6)*($D$6-$C$6)),$E$6-SQRT((1-$AB1125)*($E$6-$C$6)*($E$6-$D$6)))</f>
        <v/>
      </c>
      <c r="O1125" s="14">
        <f>_xlfn.NORM.INV($AC1125,$C$7,$D$7)</f>
        <v/>
      </c>
      <c r="P1125" s="14">
        <f>$C$8+($D$8-$C$8)*$AD1125</f>
        <v/>
      </c>
      <c r="Q1125" s="14">
        <f>$C$9</f>
        <v/>
      </c>
      <c r="R1125" s="14">
        <f>_xlfn.LOGNORM.INV($AF1125,LN($C$10)-0.5*LN(1+($D$10/$C$10)^2),SQRT(LN(1+($D$10/$C$10)^2)))</f>
        <v/>
      </c>
      <c r="S1125" s="14">
        <f>SUM(M1125:R1125)</f>
        <v/>
      </c>
      <c r="AA1125">
        <f>RAND()</f>
        <v/>
      </c>
      <c r="AB1125">
        <f>RAND()</f>
        <v/>
      </c>
      <c r="AC1125">
        <f>RAND()</f>
        <v/>
      </c>
      <c r="AD1125">
        <f>RAND()</f>
        <v/>
      </c>
      <c r="AE1125">
        <f>RAND()</f>
        <v/>
      </c>
      <c r="AF1125">
        <f>RAND()</f>
        <v/>
      </c>
    </row>
    <row r="1126">
      <c r="M1126" s="14">
        <f>_xlfn.BETA.INV($AA1126,1+4*($D$5-$C$5)/($E$5-$C$5),1+4*($E$5-$D$5)/($E$5-$C$5),$C$5,$E$5)</f>
        <v/>
      </c>
      <c r="N1126" s="14">
        <f>IF($AB1126&lt;($D$6-$C$6)/($E$6-$C$6),$C$6+SQRT($AB1126*($E$6-$C$6)*($D$6-$C$6)),$E$6-SQRT((1-$AB1126)*($E$6-$C$6)*($E$6-$D$6)))</f>
        <v/>
      </c>
      <c r="O1126" s="14">
        <f>_xlfn.NORM.INV($AC1126,$C$7,$D$7)</f>
        <v/>
      </c>
      <c r="P1126" s="14">
        <f>$C$8+($D$8-$C$8)*$AD1126</f>
        <v/>
      </c>
      <c r="Q1126" s="14">
        <f>$C$9</f>
        <v/>
      </c>
      <c r="R1126" s="14">
        <f>_xlfn.LOGNORM.INV($AF1126,LN($C$10)-0.5*LN(1+($D$10/$C$10)^2),SQRT(LN(1+($D$10/$C$10)^2)))</f>
        <v/>
      </c>
      <c r="S1126" s="14">
        <f>SUM(M1126:R1126)</f>
        <v/>
      </c>
      <c r="AA1126">
        <f>RAND()</f>
        <v/>
      </c>
      <c r="AB1126">
        <f>RAND()</f>
        <v/>
      </c>
      <c r="AC1126">
        <f>RAND()</f>
        <v/>
      </c>
      <c r="AD1126">
        <f>RAND()</f>
        <v/>
      </c>
      <c r="AE1126">
        <f>RAND()</f>
        <v/>
      </c>
      <c r="AF1126">
        <f>RAND()</f>
        <v/>
      </c>
    </row>
    <row r="1127">
      <c r="M1127" s="14">
        <f>_xlfn.BETA.INV($AA1127,1+4*($D$5-$C$5)/($E$5-$C$5),1+4*($E$5-$D$5)/($E$5-$C$5),$C$5,$E$5)</f>
        <v/>
      </c>
      <c r="N1127" s="14">
        <f>IF($AB1127&lt;($D$6-$C$6)/($E$6-$C$6),$C$6+SQRT($AB1127*($E$6-$C$6)*($D$6-$C$6)),$E$6-SQRT((1-$AB1127)*($E$6-$C$6)*($E$6-$D$6)))</f>
        <v/>
      </c>
      <c r="O1127" s="14">
        <f>_xlfn.NORM.INV($AC1127,$C$7,$D$7)</f>
        <v/>
      </c>
      <c r="P1127" s="14">
        <f>$C$8+($D$8-$C$8)*$AD1127</f>
        <v/>
      </c>
      <c r="Q1127" s="14">
        <f>$C$9</f>
        <v/>
      </c>
      <c r="R1127" s="14">
        <f>_xlfn.LOGNORM.INV($AF1127,LN($C$10)-0.5*LN(1+($D$10/$C$10)^2),SQRT(LN(1+($D$10/$C$10)^2)))</f>
        <v/>
      </c>
      <c r="S1127" s="14">
        <f>SUM(M1127:R1127)</f>
        <v/>
      </c>
      <c r="AA1127">
        <f>RAND()</f>
        <v/>
      </c>
      <c r="AB1127">
        <f>RAND()</f>
        <v/>
      </c>
      <c r="AC1127">
        <f>RAND()</f>
        <v/>
      </c>
      <c r="AD1127">
        <f>RAND()</f>
        <v/>
      </c>
      <c r="AE1127">
        <f>RAND()</f>
        <v/>
      </c>
      <c r="AF1127">
        <f>RAND()</f>
        <v/>
      </c>
    </row>
    <row r="1128">
      <c r="M1128" s="14">
        <f>_xlfn.BETA.INV($AA1128,1+4*($D$5-$C$5)/($E$5-$C$5),1+4*($E$5-$D$5)/($E$5-$C$5),$C$5,$E$5)</f>
        <v/>
      </c>
      <c r="N1128" s="14">
        <f>IF($AB1128&lt;($D$6-$C$6)/($E$6-$C$6),$C$6+SQRT($AB1128*($E$6-$C$6)*($D$6-$C$6)),$E$6-SQRT((1-$AB1128)*($E$6-$C$6)*($E$6-$D$6)))</f>
        <v/>
      </c>
      <c r="O1128" s="14">
        <f>_xlfn.NORM.INV($AC1128,$C$7,$D$7)</f>
        <v/>
      </c>
      <c r="P1128" s="14">
        <f>$C$8+($D$8-$C$8)*$AD1128</f>
        <v/>
      </c>
      <c r="Q1128" s="14">
        <f>$C$9</f>
        <v/>
      </c>
      <c r="R1128" s="14">
        <f>_xlfn.LOGNORM.INV($AF1128,LN($C$10)-0.5*LN(1+($D$10/$C$10)^2),SQRT(LN(1+($D$10/$C$10)^2)))</f>
        <v/>
      </c>
      <c r="S1128" s="14">
        <f>SUM(M1128:R1128)</f>
        <v/>
      </c>
      <c r="AA1128">
        <f>RAND()</f>
        <v/>
      </c>
      <c r="AB1128">
        <f>RAND()</f>
        <v/>
      </c>
      <c r="AC1128">
        <f>RAND()</f>
        <v/>
      </c>
      <c r="AD1128">
        <f>RAND()</f>
        <v/>
      </c>
      <c r="AE1128">
        <f>RAND()</f>
        <v/>
      </c>
      <c r="AF1128">
        <f>RAND()</f>
        <v/>
      </c>
    </row>
    <row r="1129">
      <c r="M1129" s="14">
        <f>_xlfn.BETA.INV($AA1129,1+4*($D$5-$C$5)/($E$5-$C$5),1+4*($E$5-$D$5)/($E$5-$C$5),$C$5,$E$5)</f>
        <v/>
      </c>
      <c r="N1129" s="14">
        <f>IF($AB1129&lt;($D$6-$C$6)/($E$6-$C$6),$C$6+SQRT($AB1129*($E$6-$C$6)*($D$6-$C$6)),$E$6-SQRT((1-$AB1129)*($E$6-$C$6)*($E$6-$D$6)))</f>
        <v/>
      </c>
      <c r="O1129" s="14">
        <f>_xlfn.NORM.INV($AC1129,$C$7,$D$7)</f>
        <v/>
      </c>
      <c r="P1129" s="14">
        <f>$C$8+($D$8-$C$8)*$AD1129</f>
        <v/>
      </c>
      <c r="Q1129" s="14">
        <f>$C$9</f>
        <v/>
      </c>
      <c r="R1129" s="14">
        <f>_xlfn.LOGNORM.INV($AF1129,LN($C$10)-0.5*LN(1+($D$10/$C$10)^2),SQRT(LN(1+($D$10/$C$10)^2)))</f>
        <v/>
      </c>
      <c r="S1129" s="14">
        <f>SUM(M1129:R1129)</f>
        <v/>
      </c>
      <c r="AA1129">
        <f>RAND()</f>
        <v/>
      </c>
      <c r="AB1129">
        <f>RAND()</f>
        <v/>
      </c>
      <c r="AC1129">
        <f>RAND()</f>
        <v/>
      </c>
      <c r="AD1129">
        <f>RAND()</f>
        <v/>
      </c>
      <c r="AE1129">
        <f>RAND()</f>
        <v/>
      </c>
      <c r="AF1129">
        <f>RAND()</f>
        <v/>
      </c>
    </row>
    <row r="1130">
      <c r="M1130" s="14">
        <f>_xlfn.BETA.INV($AA1130,1+4*($D$5-$C$5)/($E$5-$C$5),1+4*($E$5-$D$5)/($E$5-$C$5),$C$5,$E$5)</f>
        <v/>
      </c>
      <c r="N1130" s="14">
        <f>IF($AB1130&lt;($D$6-$C$6)/($E$6-$C$6),$C$6+SQRT($AB1130*($E$6-$C$6)*($D$6-$C$6)),$E$6-SQRT((1-$AB1130)*($E$6-$C$6)*($E$6-$D$6)))</f>
        <v/>
      </c>
      <c r="O1130" s="14">
        <f>_xlfn.NORM.INV($AC1130,$C$7,$D$7)</f>
        <v/>
      </c>
      <c r="P1130" s="14">
        <f>$C$8+($D$8-$C$8)*$AD1130</f>
        <v/>
      </c>
      <c r="Q1130" s="14">
        <f>$C$9</f>
        <v/>
      </c>
      <c r="R1130" s="14">
        <f>_xlfn.LOGNORM.INV($AF1130,LN($C$10)-0.5*LN(1+($D$10/$C$10)^2),SQRT(LN(1+($D$10/$C$10)^2)))</f>
        <v/>
      </c>
      <c r="S1130" s="14">
        <f>SUM(M1130:R1130)</f>
        <v/>
      </c>
      <c r="AA1130">
        <f>RAND()</f>
        <v/>
      </c>
      <c r="AB1130">
        <f>RAND()</f>
        <v/>
      </c>
      <c r="AC1130">
        <f>RAND()</f>
        <v/>
      </c>
      <c r="AD1130">
        <f>RAND()</f>
        <v/>
      </c>
      <c r="AE1130">
        <f>RAND()</f>
        <v/>
      </c>
      <c r="AF1130">
        <f>RAND()</f>
        <v/>
      </c>
    </row>
    <row r="1131">
      <c r="M1131" s="14">
        <f>_xlfn.BETA.INV($AA1131,1+4*($D$5-$C$5)/($E$5-$C$5),1+4*($E$5-$D$5)/($E$5-$C$5),$C$5,$E$5)</f>
        <v/>
      </c>
      <c r="N1131" s="14">
        <f>IF($AB1131&lt;($D$6-$C$6)/($E$6-$C$6),$C$6+SQRT($AB1131*($E$6-$C$6)*($D$6-$C$6)),$E$6-SQRT((1-$AB1131)*($E$6-$C$6)*($E$6-$D$6)))</f>
        <v/>
      </c>
      <c r="O1131" s="14">
        <f>_xlfn.NORM.INV($AC1131,$C$7,$D$7)</f>
        <v/>
      </c>
      <c r="P1131" s="14">
        <f>$C$8+($D$8-$C$8)*$AD1131</f>
        <v/>
      </c>
      <c r="Q1131" s="14">
        <f>$C$9</f>
        <v/>
      </c>
      <c r="R1131" s="14">
        <f>_xlfn.LOGNORM.INV($AF1131,LN($C$10)-0.5*LN(1+($D$10/$C$10)^2),SQRT(LN(1+($D$10/$C$10)^2)))</f>
        <v/>
      </c>
      <c r="S1131" s="14">
        <f>SUM(M1131:R1131)</f>
        <v/>
      </c>
      <c r="AA1131">
        <f>RAND()</f>
        <v/>
      </c>
      <c r="AB1131">
        <f>RAND()</f>
        <v/>
      </c>
      <c r="AC1131">
        <f>RAND()</f>
        <v/>
      </c>
      <c r="AD1131">
        <f>RAND()</f>
        <v/>
      </c>
      <c r="AE1131">
        <f>RAND()</f>
        <v/>
      </c>
      <c r="AF1131">
        <f>RAND()</f>
        <v/>
      </c>
    </row>
    <row r="1132">
      <c r="M1132" s="14">
        <f>_xlfn.BETA.INV($AA1132,1+4*($D$5-$C$5)/($E$5-$C$5),1+4*($E$5-$D$5)/($E$5-$C$5),$C$5,$E$5)</f>
        <v/>
      </c>
      <c r="N1132" s="14">
        <f>IF($AB1132&lt;($D$6-$C$6)/($E$6-$C$6),$C$6+SQRT($AB1132*($E$6-$C$6)*($D$6-$C$6)),$E$6-SQRT((1-$AB1132)*($E$6-$C$6)*($E$6-$D$6)))</f>
        <v/>
      </c>
      <c r="O1132" s="14">
        <f>_xlfn.NORM.INV($AC1132,$C$7,$D$7)</f>
        <v/>
      </c>
      <c r="P1132" s="14">
        <f>$C$8+($D$8-$C$8)*$AD1132</f>
        <v/>
      </c>
      <c r="Q1132" s="14">
        <f>$C$9</f>
        <v/>
      </c>
      <c r="R1132" s="14">
        <f>_xlfn.LOGNORM.INV($AF1132,LN($C$10)-0.5*LN(1+($D$10/$C$10)^2),SQRT(LN(1+($D$10/$C$10)^2)))</f>
        <v/>
      </c>
      <c r="S1132" s="14">
        <f>SUM(M1132:R1132)</f>
        <v/>
      </c>
      <c r="AA1132">
        <f>RAND()</f>
        <v/>
      </c>
      <c r="AB1132">
        <f>RAND()</f>
        <v/>
      </c>
      <c r="AC1132">
        <f>RAND()</f>
        <v/>
      </c>
      <c r="AD1132">
        <f>RAND()</f>
        <v/>
      </c>
      <c r="AE1132">
        <f>RAND()</f>
        <v/>
      </c>
      <c r="AF1132">
        <f>RAND()</f>
        <v/>
      </c>
    </row>
    <row r="1133">
      <c r="M1133" s="14">
        <f>_xlfn.BETA.INV($AA1133,1+4*($D$5-$C$5)/($E$5-$C$5),1+4*($E$5-$D$5)/($E$5-$C$5),$C$5,$E$5)</f>
        <v/>
      </c>
      <c r="N1133" s="14">
        <f>IF($AB1133&lt;($D$6-$C$6)/($E$6-$C$6),$C$6+SQRT($AB1133*($E$6-$C$6)*($D$6-$C$6)),$E$6-SQRT((1-$AB1133)*($E$6-$C$6)*($E$6-$D$6)))</f>
        <v/>
      </c>
      <c r="O1133" s="14">
        <f>_xlfn.NORM.INV($AC1133,$C$7,$D$7)</f>
        <v/>
      </c>
      <c r="P1133" s="14">
        <f>$C$8+($D$8-$C$8)*$AD1133</f>
        <v/>
      </c>
      <c r="Q1133" s="14">
        <f>$C$9</f>
        <v/>
      </c>
      <c r="R1133" s="14">
        <f>_xlfn.LOGNORM.INV($AF1133,LN($C$10)-0.5*LN(1+($D$10/$C$10)^2),SQRT(LN(1+($D$10/$C$10)^2)))</f>
        <v/>
      </c>
      <c r="S1133" s="14">
        <f>SUM(M1133:R1133)</f>
        <v/>
      </c>
      <c r="AA1133">
        <f>RAND()</f>
        <v/>
      </c>
      <c r="AB1133">
        <f>RAND()</f>
        <v/>
      </c>
      <c r="AC1133">
        <f>RAND()</f>
        <v/>
      </c>
      <c r="AD1133">
        <f>RAND()</f>
        <v/>
      </c>
      <c r="AE1133">
        <f>RAND()</f>
        <v/>
      </c>
      <c r="AF1133">
        <f>RAND()</f>
        <v/>
      </c>
    </row>
    <row r="1134">
      <c r="M1134" s="14">
        <f>_xlfn.BETA.INV($AA1134,1+4*($D$5-$C$5)/($E$5-$C$5),1+4*($E$5-$D$5)/($E$5-$C$5),$C$5,$E$5)</f>
        <v/>
      </c>
      <c r="N1134" s="14">
        <f>IF($AB1134&lt;($D$6-$C$6)/($E$6-$C$6),$C$6+SQRT($AB1134*($E$6-$C$6)*($D$6-$C$6)),$E$6-SQRT((1-$AB1134)*($E$6-$C$6)*($E$6-$D$6)))</f>
        <v/>
      </c>
      <c r="O1134" s="14">
        <f>_xlfn.NORM.INV($AC1134,$C$7,$D$7)</f>
        <v/>
      </c>
      <c r="P1134" s="14">
        <f>$C$8+($D$8-$C$8)*$AD1134</f>
        <v/>
      </c>
      <c r="Q1134" s="14">
        <f>$C$9</f>
        <v/>
      </c>
      <c r="R1134" s="14">
        <f>_xlfn.LOGNORM.INV($AF1134,LN($C$10)-0.5*LN(1+($D$10/$C$10)^2),SQRT(LN(1+($D$10/$C$10)^2)))</f>
        <v/>
      </c>
      <c r="S1134" s="14">
        <f>SUM(M1134:R1134)</f>
        <v/>
      </c>
      <c r="AA1134">
        <f>RAND()</f>
        <v/>
      </c>
      <c r="AB1134">
        <f>RAND()</f>
        <v/>
      </c>
      <c r="AC1134">
        <f>RAND()</f>
        <v/>
      </c>
      <c r="AD1134">
        <f>RAND()</f>
        <v/>
      </c>
      <c r="AE1134">
        <f>RAND()</f>
        <v/>
      </c>
      <c r="AF1134">
        <f>RAND()</f>
        <v/>
      </c>
    </row>
    <row r="1135">
      <c r="M1135" s="14">
        <f>_xlfn.BETA.INV($AA1135,1+4*($D$5-$C$5)/($E$5-$C$5),1+4*($E$5-$D$5)/($E$5-$C$5),$C$5,$E$5)</f>
        <v/>
      </c>
      <c r="N1135" s="14">
        <f>IF($AB1135&lt;($D$6-$C$6)/($E$6-$C$6),$C$6+SQRT($AB1135*($E$6-$C$6)*($D$6-$C$6)),$E$6-SQRT((1-$AB1135)*($E$6-$C$6)*($E$6-$D$6)))</f>
        <v/>
      </c>
      <c r="O1135" s="14">
        <f>_xlfn.NORM.INV($AC1135,$C$7,$D$7)</f>
        <v/>
      </c>
      <c r="P1135" s="14">
        <f>$C$8+($D$8-$C$8)*$AD1135</f>
        <v/>
      </c>
      <c r="Q1135" s="14">
        <f>$C$9</f>
        <v/>
      </c>
      <c r="R1135" s="14">
        <f>_xlfn.LOGNORM.INV($AF1135,LN($C$10)-0.5*LN(1+($D$10/$C$10)^2),SQRT(LN(1+($D$10/$C$10)^2)))</f>
        <v/>
      </c>
      <c r="S1135" s="14">
        <f>SUM(M1135:R1135)</f>
        <v/>
      </c>
      <c r="AA1135">
        <f>RAND()</f>
        <v/>
      </c>
      <c r="AB1135">
        <f>RAND()</f>
        <v/>
      </c>
      <c r="AC1135">
        <f>RAND()</f>
        <v/>
      </c>
      <c r="AD1135">
        <f>RAND()</f>
        <v/>
      </c>
      <c r="AE1135">
        <f>RAND()</f>
        <v/>
      </c>
      <c r="AF1135">
        <f>RAND()</f>
        <v/>
      </c>
    </row>
    <row r="1136">
      <c r="M1136" s="14">
        <f>_xlfn.BETA.INV($AA1136,1+4*($D$5-$C$5)/($E$5-$C$5),1+4*($E$5-$D$5)/($E$5-$C$5),$C$5,$E$5)</f>
        <v/>
      </c>
      <c r="N1136" s="14">
        <f>IF($AB1136&lt;($D$6-$C$6)/($E$6-$C$6),$C$6+SQRT($AB1136*($E$6-$C$6)*($D$6-$C$6)),$E$6-SQRT((1-$AB1136)*($E$6-$C$6)*($E$6-$D$6)))</f>
        <v/>
      </c>
      <c r="O1136" s="14">
        <f>_xlfn.NORM.INV($AC1136,$C$7,$D$7)</f>
        <v/>
      </c>
      <c r="P1136" s="14">
        <f>$C$8+($D$8-$C$8)*$AD1136</f>
        <v/>
      </c>
      <c r="Q1136" s="14">
        <f>$C$9</f>
        <v/>
      </c>
      <c r="R1136" s="14">
        <f>_xlfn.LOGNORM.INV($AF1136,LN($C$10)-0.5*LN(1+($D$10/$C$10)^2),SQRT(LN(1+($D$10/$C$10)^2)))</f>
        <v/>
      </c>
      <c r="S1136" s="14">
        <f>SUM(M1136:R1136)</f>
        <v/>
      </c>
      <c r="AA1136">
        <f>RAND()</f>
        <v/>
      </c>
      <c r="AB1136">
        <f>RAND()</f>
        <v/>
      </c>
      <c r="AC1136">
        <f>RAND()</f>
        <v/>
      </c>
      <c r="AD1136">
        <f>RAND()</f>
        <v/>
      </c>
      <c r="AE1136">
        <f>RAND()</f>
        <v/>
      </c>
      <c r="AF1136">
        <f>RAND()</f>
        <v/>
      </c>
    </row>
    <row r="1137">
      <c r="M1137" s="14">
        <f>_xlfn.BETA.INV($AA1137,1+4*($D$5-$C$5)/($E$5-$C$5),1+4*($E$5-$D$5)/($E$5-$C$5),$C$5,$E$5)</f>
        <v/>
      </c>
      <c r="N1137" s="14">
        <f>IF($AB1137&lt;($D$6-$C$6)/($E$6-$C$6),$C$6+SQRT($AB1137*($E$6-$C$6)*($D$6-$C$6)),$E$6-SQRT((1-$AB1137)*($E$6-$C$6)*($E$6-$D$6)))</f>
        <v/>
      </c>
      <c r="O1137" s="14">
        <f>_xlfn.NORM.INV($AC1137,$C$7,$D$7)</f>
        <v/>
      </c>
      <c r="P1137" s="14">
        <f>$C$8+($D$8-$C$8)*$AD1137</f>
        <v/>
      </c>
      <c r="Q1137" s="14">
        <f>$C$9</f>
        <v/>
      </c>
      <c r="R1137" s="14">
        <f>_xlfn.LOGNORM.INV($AF1137,LN($C$10)-0.5*LN(1+($D$10/$C$10)^2),SQRT(LN(1+($D$10/$C$10)^2)))</f>
        <v/>
      </c>
      <c r="S1137" s="14">
        <f>SUM(M1137:R1137)</f>
        <v/>
      </c>
      <c r="AA1137">
        <f>RAND()</f>
        <v/>
      </c>
      <c r="AB1137">
        <f>RAND()</f>
        <v/>
      </c>
      <c r="AC1137">
        <f>RAND()</f>
        <v/>
      </c>
      <c r="AD1137">
        <f>RAND()</f>
        <v/>
      </c>
      <c r="AE1137">
        <f>RAND()</f>
        <v/>
      </c>
      <c r="AF1137">
        <f>RAND()</f>
        <v/>
      </c>
    </row>
    <row r="1138">
      <c r="M1138" s="14">
        <f>_xlfn.BETA.INV($AA1138,1+4*($D$5-$C$5)/($E$5-$C$5),1+4*($E$5-$D$5)/($E$5-$C$5),$C$5,$E$5)</f>
        <v/>
      </c>
      <c r="N1138" s="14">
        <f>IF($AB1138&lt;($D$6-$C$6)/($E$6-$C$6),$C$6+SQRT($AB1138*($E$6-$C$6)*($D$6-$C$6)),$E$6-SQRT((1-$AB1138)*($E$6-$C$6)*($E$6-$D$6)))</f>
        <v/>
      </c>
      <c r="O1138" s="14">
        <f>_xlfn.NORM.INV($AC1138,$C$7,$D$7)</f>
        <v/>
      </c>
      <c r="P1138" s="14">
        <f>$C$8+($D$8-$C$8)*$AD1138</f>
        <v/>
      </c>
      <c r="Q1138" s="14">
        <f>$C$9</f>
        <v/>
      </c>
      <c r="R1138" s="14">
        <f>_xlfn.LOGNORM.INV($AF1138,LN($C$10)-0.5*LN(1+($D$10/$C$10)^2),SQRT(LN(1+($D$10/$C$10)^2)))</f>
        <v/>
      </c>
      <c r="S1138" s="14">
        <f>SUM(M1138:R1138)</f>
        <v/>
      </c>
      <c r="AA1138">
        <f>RAND()</f>
        <v/>
      </c>
      <c r="AB1138">
        <f>RAND()</f>
        <v/>
      </c>
      <c r="AC1138">
        <f>RAND()</f>
        <v/>
      </c>
      <c r="AD1138">
        <f>RAND()</f>
        <v/>
      </c>
      <c r="AE1138">
        <f>RAND()</f>
        <v/>
      </c>
      <c r="AF1138">
        <f>RAND()</f>
        <v/>
      </c>
    </row>
    <row r="1139">
      <c r="M1139" s="14">
        <f>_xlfn.BETA.INV($AA1139,1+4*($D$5-$C$5)/($E$5-$C$5),1+4*($E$5-$D$5)/($E$5-$C$5),$C$5,$E$5)</f>
        <v/>
      </c>
      <c r="N1139" s="14">
        <f>IF($AB1139&lt;($D$6-$C$6)/($E$6-$C$6),$C$6+SQRT($AB1139*($E$6-$C$6)*($D$6-$C$6)),$E$6-SQRT((1-$AB1139)*($E$6-$C$6)*($E$6-$D$6)))</f>
        <v/>
      </c>
      <c r="O1139" s="14">
        <f>_xlfn.NORM.INV($AC1139,$C$7,$D$7)</f>
        <v/>
      </c>
      <c r="P1139" s="14">
        <f>$C$8+($D$8-$C$8)*$AD1139</f>
        <v/>
      </c>
      <c r="Q1139" s="14">
        <f>$C$9</f>
        <v/>
      </c>
      <c r="R1139" s="14">
        <f>_xlfn.LOGNORM.INV($AF1139,LN($C$10)-0.5*LN(1+($D$10/$C$10)^2),SQRT(LN(1+($D$10/$C$10)^2)))</f>
        <v/>
      </c>
      <c r="S1139" s="14">
        <f>SUM(M1139:R1139)</f>
        <v/>
      </c>
      <c r="AA1139">
        <f>RAND()</f>
        <v/>
      </c>
      <c r="AB1139">
        <f>RAND()</f>
        <v/>
      </c>
      <c r="AC1139">
        <f>RAND()</f>
        <v/>
      </c>
      <c r="AD1139">
        <f>RAND()</f>
        <v/>
      </c>
      <c r="AE1139">
        <f>RAND()</f>
        <v/>
      </c>
      <c r="AF1139">
        <f>RAND()</f>
        <v/>
      </c>
    </row>
    <row r="1140">
      <c r="M1140" s="14">
        <f>_xlfn.BETA.INV($AA1140,1+4*($D$5-$C$5)/($E$5-$C$5),1+4*($E$5-$D$5)/($E$5-$C$5),$C$5,$E$5)</f>
        <v/>
      </c>
      <c r="N1140" s="14">
        <f>IF($AB1140&lt;($D$6-$C$6)/($E$6-$C$6),$C$6+SQRT($AB1140*($E$6-$C$6)*($D$6-$C$6)),$E$6-SQRT((1-$AB1140)*($E$6-$C$6)*($E$6-$D$6)))</f>
        <v/>
      </c>
      <c r="O1140" s="14">
        <f>_xlfn.NORM.INV($AC1140,$C$7,$D$7)</f>
        <v/>
      </c>
      <c r="P1140" s="14">
        <f>$C$8+($D$8-$C$8)*$AD1140</f>
        <v/>
      </c>
      <c r="Q1140" s="14">
        <f>$C$9</f>
        <v/>
      </c>
      <c r="R1140" s="14">
        <f>_xlfn.LOGNORM.INV($AF1140,LN($C$10)-0.5*LN(1+($D$10/$C$10)^2),SQRT(LN(1+($D$10/$C$10)^2)))</f>
        <v/>
      </c>
      <c r="S1140" s="14">
        <f>SUM(M1140:R1140)</f>
        <v/>
      </c>
      <c r="AA1140">
        <f>RAND()</f>
        <v/>
      </c>
      <c r="AB1140">
        <f>RAND()</f>
        <v/>
      </c>
      <c r="AC1140">
        <f>RAND()</f>
        <v/>
      </c>
      <c r="AD1140">
        <f>RAND()</f>
        <v/>
      </c>
      <c r="AE1140">
        <f>RAND()</f>
        <v/>
      </c>
      <c r="AF1140">
        <f>RAND()</f>
        <v/>
      </c>
    </row>
    <row r="1141">
      <c r="M1141" s="14">
        <f>_xlfn.BETA.INV($AA1141,1+4*($D$5-$C$5)/($E$5-$C$5),1+4*($E$5-$D$5)/($E$5-$C$5),$C$5,$E$5)</f>
        <v/>
      </c>
      <c r="N1141" s="14">
        <f>IF($AB1141&lt;($D$6-$C$6)/($E$6-$C$6),$C$6+SQRT($AB1141*($E$6-$C$6)*($D$6-$C$6)),$E$6-SQRT((1-$AB1141)*($E$6-$C$6)*($E$6-$D$6)))</f>
        <v/>
      </c>
      <c r="O1141" s="14">
        <f>_xlfn.NORM.INV($AC1141,$C$7,$D$7)</f>
        <v/>
      </c>
      <c r="P1141" s="14">
        <f>$C$8+($D$8-$C$8)*$AD1141</f>
        <v/>
      </c>
      <c r="Q1141" s="14">
        <f>$C$9</f>
        <v/>
      </c>
      <c r="R1141" s="14">
        <f>_xlfn.LOGNORM.INV($AF1141,LN($C$10)-0.5*LN(1+($D$10/$C$10)^2),SQRT(LN(1+($D$10/$C$10)^2)))</f>
        <v/>
      </c>
      <c r="S1141" s="14">
        <f>SUM(M1141:R1141)</f>
        <v/>
      </c>
      <c r="AA1141">
        <f>RAND()</f>
        <v/>
      </c>
      <c r="AB1141">
        <f>RAND()</f>
        <v/>
      </c>
      <c r="AC1141">
        <f>RAND()</f>
        <v/>
      </c>
      <c r="AD1141">
        <f>RAND()</f>
        <v/>
      </c>
      <c r="AE1141">
        <f>RAND()</f>
        <v/>
      </c>
      <c r="AF1141">
        <f>RAND()</f>
        <v/>
      </c>
    </row>
    <row r="1142">
      <c r="M1142" s="14">
        <f>_xlfn.BETA.INV($AA1142,1+4*($D$5-$C$5)/($E$5-$C$5),1+4*($E$5-$D$5)/($E$5-$C$5),$C$5,$E$5)</f>
        <v/>
      </c>
      <c r="N1142" s="14">
        <f>IF($AB1142&lt;($D$6-$C$6)/($E$6-$C$6),$C$6+SQRT($AB1142*($E$6-$C$6)*($D$6-$C$6)),$E$6-SQRT((1-$AB1142)*($E$6-$C$6)*($E$6-$D$6)))</f>
        <v/>
      </c>
      <c r="O1142" s="14">
        <f>_xlfn.NORM.INV($AC1142,$C$7,$D$7)</f>
        <v/>
      </c>
      <c r="P1142" s="14">
        <f>$C$8+($D$8-$C$8)*$AD1142</f>
        <v/>
      </c>
      <c r="Q1142" s="14">
        <f>$C$9</f>
        <v/>
      </c>
      <c r="R1142" s="14">
        <f>_xlfn.LOGNORM.INV($AF1142,LN($C$10)-0.5*LN(1+($D$10/$C$10)^2),SQRT(LN(1+($D$10/$C$10)^2)))</f>
        <v/>
      </c>
      <c r="S1142" s="14">
        <f>SUM(M1142:R1142)</f>
        <v/>
      </c>
      <c r="AA1142">
        <f>RAND()</f>
        <v/>
      </c>
      <c r="AB1142">
        <f>RAND()</f>
        <v/>
      </c>
      <c r="AC1142">
        <f>RAND()</f>
        <v/>
      </c>
      <c r="AD1142">
        <f>RAND()</f>
        <v/>
      </c>
      <c r="AE1142">
        <f>RAND()</f>
        <v/>
      </c>
      <c r="AF1142">
        <f>RAND()</f>
        <v/>
      </c>
    </row>
    <row r="1143">
      <c r="M1143" s="14">
        <f>_xlfn.BETA.INV($AA1143,1+4*($D$5-$C$5)/($E$5-$C$5),1+4*($E$5-$D$5)/($E$5-$C$5),$C$5,$E$5)</f>
        <v/>
      </c>
      <c r="N1143" s="14">
        <f>IF($AB1143&lt;($D$6-$C$6)/($E$6-$C$6),$C$6+SQRT($AB1143*($E$6-$C$6)*($D$6-$C$6)),$E$6-SQRT((1-$AB1143)*($E$6-$C$6)*($E$6-$D$6)))</f>
        <v/>
      </c>
      <c r="O1143" s="14">
        <f>_xlfn.NORM.INV($AC1143,$C$7,$D$7)</f>
        <v/>
      </c>
      <c r="P1143" s="14">
        <f>$C$8+($D$8-$C$8)*$AD1143</f>
        <v/>
      </c>
      <c r="Q1143" s="14">
        <f>$C$9</f>
        <v/>
      </c>
      <c r="R1143" s="14">
        <f>_xlfn.LOGNORM.INV($AF1143,LN($C$10)-0.5*LN(1+($D$10/$C$10)^2),SQRT(LN(1+($D$10/$C$10)^2)))</f>
        <v/>
      </c>
      <c r="S1143" s="14">
        <f>SUM(M1143:R1143)</f>
        <v/>
      </c>
      <c r="AA1143">
        <f>RAND()</f>
        <v/>
      </c>
      <c r="AB1143">
        <f>RAND()</f>
        <v/>
      </c>
      <c r="AC1143">
        <f>RAND()</f>
        <v/>
      </c>
      <c r="AD1143">
        <f>RAND()</f>
        <v/>
      </c>
      <c r="AE1143">
        <f>RAND()</f>
        <v/>
      </c>
      <c r="AF1143">
        <f>RAND()</f>
        <v/>
      </c>
    </row>
    <row r="1144">
      <c r="M1144" s="14">
        <f>_xlfn.BETA.INV($AA1144,1+4*($D$5-$C$5)/($E$5-$C$5),1+4*($E$5-$D$5)/($E$5-$C$5),$C$5,$E$5)</f>
        <v/>
      </c>
      <c r="N1144" s="14">
        <f>IF($AB1144&lt;($D$6-$C$6)/($E$6-$C$6),$C$6+SQRT($AB1144*($E$6-$C$6)*($D$6-$C$6)),$E$6-SQRT((1-$AB1144)*($E$6-$C$6)*($E$6-$D$6)))</f>
        <v/>
      </c>
      <c r="O1144" s="14">
        <f>_xlfn.NORM.INV($AC1144,$C$7,$D$7)</f>
        <v/>
      </c>
      <c r="P1144" s="14">
        <f>$C$8+($D$8-$C$8)*$AD1144</f>
        <v/>
      </c>
      <c r="Q1144" s="14">
        <f>$C$9</f>
        <v/>
      </c>
      <c r="R1144" s="14">
        <f>_xlfn.LOGNORM.INV($AF1144,LN($C$10)-0.5*LN(1+($D$10/$C$10)^2),SQRT(LN(1+($D$10/$C$10)^2)))</f>
        <v/>
      </c>
      <c r="S1144" s="14">
        <f>SUM(M1144:R1144)</f>
        <v/>
      </c>
      <c r="AA1144">
        <f>RAND()</f>
        <v/>
      </c>
      <c r="AB1144">
        <f>RAND()</f>
        <v/>
      </c>
      <c r="AC1144">
        <f>RAND()</f>
        <v/>
      </c>
      <c r="AD1144">
        <f>RAND()</f>
        <v/>
      </c>
      <c r="AE1144">
        <f>RAND()</f>
        <v/>
      </c>
      <c r="AF1144">
        <f>RAND()</f>
        <v/>
      </c>
    </row>
    <row r="1145">
      <c r="M1145" s="14">
        <f>_xlfn.BETA.INV($AA1145,1+4*($D$5-$C$5)/($E$5-$C$5),1+4*($E$5-$D$5)/($E$5-$C$5),$C$5,$E$5)</f>
        <v/>
      </c>
      <c r="N1145" s="14">
        <f>IF($AB1145&lt;($D$6-$C$6)/($E$6-$C$6),$C$6+SQRT($AB1145*($E$6-$C$6)*($D$6-$C$6)),$E$6-SQRT((1-$AB1145)*($E$6-$C$6)*($E$6-$D$6)))</f>
        <v/>
      </c>
      <c r="O1145" s="14">
        <f>_xlfn.NORM.INV($AC1145,$C$7,$D$7)</f>
        <v/>
      </c>
      <c r="P1145" s="14">
        <f>$C$8+($D$8-$C$8)*$AD1145</f>
        <v/>
      </c>
      <c r="Q1145" s="14">
        <f>$C$9</f>
        <v/>
      </c>
      <c r="R1145" s="14">
        <f>_xlfn.LOGNORM.INV($AF1145,LN($C$10)-0.5*LN(1+($D$10/$C$10)^2),SQRT(LN(1+($D$10/$C$10)^2)))</f>
        <v/>
      </c>
      <c r="S1145" s="14">
        <f>SUM(M1145:R1145)</f>
        <v/>
      </c>
      <c r="AA1145">
        <f>RAND()</f>
        <v/>
      </c>
      <c r="AB1145">
        <f>RAND()</f>
        <v/>
      </c>
      <c r="AC1145">
        <f>RAND()</f>
        <v/>
      </c>
      <c r="AD1145">
        <f>RAND()</f>
        <v/>
      </c>
      <c r="AE1145">
        <f>RAND()</f>
        <v/>
      </c>
      <c r="AF1145">
        <f>RAND()</f>
        <v/>
      </c>
    </row>
    <row r="1146">
      <c r="M1146" s="14">
        <f>_xlfn.BETA.INV($AA1146,1+4*($D$5-$C$5)/($E$5-$C$5),1+4*($E$5-$D$5)/($E$5-$C$5),$C$5,$E$5)</f>
        <v/>
      </c>
      <c r="N1146" s="14">
        <f>IF($AB1146&lt;($D$6-$C$6)/($E$6-$C$6),$C$6+SQRT($AB1146*($E$6-$C$6)*($D$6-$C$6)),$E$6-SQRT((1-$AB1146)*($E$6-$C$6)*($E$6-$D$6)))</f>
        <v/>
      </c>
      <c r="O1146" s="14">
        <f>_xlfn.NORM.INV($AC1146,$C$7,$D$7)</f>
        <v/>
      </c>
      <c r="P1146" s="14">
        <f>$C$8+($D$8-$C$8)*$AD1146</f>
        <v/>
      </c>
      <c r="Q1146" s="14">
        <f>$C$9</f>
        <v/>
      </c>
      <c r="R1146" s="14">
        <f>_xlfn.LOGNORM.INV($AF1146,LN($C$10)-0.5*LN(1+($D$10/$C$10)^2),SQRT(LN(1+($D$10/$C$10)^2)))</f>
        <v/>
      </c>
      <c r="S1146" s="14">
        <f>SUM(M1146:R1146)</f>
        <v/>
      </c>
      <c r="AA1146">
        <f>RAND()</f>
        <v/>
      </c>
      <c r="AB1146">
        <f>RAND()</f>
        <v/>
      </c>
      <c r="AC1146">
        <f>RAND()</f>
        <v/>
      </c>
      <c r="AD1146">
        <f>RAND()</f>
        <v/>
      </c>
      <c r="AE1146">
        <f>RAND()</f>
        <v/>
      </c>
      <c r="AF1146">
        <f>RAND()</f>
        <v/>
      </c>
    </row>
    <row r="1147">
      <c r="M1147" s="14">
        <f>_xlfn.BETA.INV($AA1147,1+4*($D$5-$C$5)/($E$5-$C$5),1+4*($E$5-$D$5)/($E$5-$C$5),$C$5,$E$5)</f>
        <v/>
      </c>
      <c r="N1147" s="14">
        <f>IF($AB1147&lt;($D$6-$C$6)/($E$6-$C$6),$C$6+SQRT($AB1147*($E$6-$C$6)*($D$6-$C$6)),$E$6-SQRT((1-$AB1147)*($E$6-$C$6)*($E$6-$D$6)))</f>
        <v/>
      </c>
      <c r="O1147" s="14">
        <f>_xlfn.NORM.INV($AC1147,$C$7,$D$7)</f>
        <v/>
      </c>
      <c r="P1147" s="14">
        <f>$C$8+($D$8-$C$8)*$AD1147</f>
        <v/>
      </c>
      <c r="Q1147" s="14">
        <f>$C$9</f>
        <v/>
      </c>
      <c r="R1147" s="14">
        <f>_xlfn.LOGNORM.INV($AF1147,LN($C$10)-0.5*LN(1+($D$10/$C$10)^2),SQRT(LN(1+($D$10/$C$10)^2)))</f>
        <v/>
      </c>
      <c r="S1147" s="14">
        <f>SUM(M1147:R1147)</f>
        <v/>
      </c>
      <c r="AA1147">
        <f>RAND()</f>
        <v/>
      </c>
      <c r="AB1147">
        <f>RAND()</f>
        <v/>
      </c>
      <c r="AC1147">
        <f>RAND()</f>
        <v/>
      </c>
      <c r="AD1147">
        <f>RAND()</f>
        <v/>
      </c>
      <c r="AE1147">
        <f>RAND()</f>
        <v/>
      </c>
      <c r="AF1147">
        <f>RAND()</f>
        <v/>
      </c>
    </row>
    <row r="1148">
      <c r="M1148" s="14">
        <f>_xlfn.BETA.INV($AA1148,1+4*($D$5-$C$5)/($E$5-$C$5),1+4*($E$5-$D$5)/($E$5-$C$5),$C$5,$E$5)</f>
        <v/>
      </c>
      <c r="N1148" s="14">
        <f>IF($AB1148&lt;($D$6-$C$6)/($E$6-$C$6),$C$6+SQRT($AB1148*($E$6-$C$6)*($D$6-$C$6)),$E$6-SQRT((1-$AB1148)*($E$6-$C$6)*($E$6-$D$6)))</f>
        <v/>
      </c>
      <c r="O1148" s="14">
        <f>_xlfn.NORM.INV($AC1148,$C$7,$D$7)</f>
        <v/>
      </c>
      <c r="P1148" s="14">
        <f>$C$8+($D$8-$C$8)*$AD1148</f>
        <v/>
      </c>
      <c r="Q1148" s="14">
        <f>$C$9</f>
        <v/>
      </c>
      <c r="R1148" s="14">
        <f>_xlfn.LOGNORM.INV($AF1148,LN($C$10)-0.5*LN(1+($D$10/$C$10)^2),SQRT(LN(1+($D$10/$C$10)^2)))</f>
        <v/>
      </c>
      <c r="S1148" s="14">
        <f>SUM(M1148:R1148)</f>
        <v/>
      </c>
      <c r="AA1148">
        <f>RAND()</f>
        <v/>
      </c>
      <c r="AB1148">
        <f>RAND()</f>
        <v/>
      </c>
      <c r="AC1148">
        <f>RAND()</f>
        <v/>
      </c>
      <c r="AD1148">
        <f>RAND()</f>
        <v/>
      </c>
      <c r="AE1148">
        <f>RAND()</f>
        <v/>
      </c>
      <c r="AF1148">
        <f>RAND()</f>
        <v/>
      </c>
    </row>
    <row r="1149">
      <c r="M1149" s="14">
        <f>_xlfn.BETA.INV($AA1149,1+4*($D$5-$C$5)/($E$5-$C$5),1+4*($E$5-$D$5)/($E$5-$C$5),$C$5,$E$5)</f>
        <v/>
      </c>
      <c r="N1149" s="14">
        <f>IF($AB1149&lt;($D$6-$C$6)/($E$6-$C$6),$C$6+SQRT($AB1149*($E$6-$C$6)*($D$6-$C$6)),$E$6-SQRT((1-$AB1149)*($E$6-$C$6)*($E$6-$D$6)))</f>
        <v/>
      </c>
      <c r="O1149" s="14">
        <f>_xlfn.NORM.INV($AC1149,$C$7,$D$7)</f>
        <v/>
      </c>
      <c r="P1149" s="14">
        <f>$C$8+($D$8-$C$8)*$AD1149</f>
        <v/>
      </c>
      <c r="Q1149" s="14">
        <f>$C$9</f>
        <v/>
      </c>
      <c r="R1149" s="14">
        <f>_xlfn.LOGNORM.INV($AF1149,LN($C$10)-0.5*LN(1+($D$10/$C$10)^2),SQRT(LN(1+($D$10/$C$10)^2)))</f>
        <v/>
      </c>
      <c r="S1149" s="14">
        <f>SUM(M1149:R1149)</f>
        <v/>
      </c>
      <c r="AA1149">
        <f>RAND()</f>
        <v/>
      </c>
      <c r="AB1149">
        <f>RAND()</f>
        <v/>
      </c>
      <c r="AC1149">
        <f>RAND()</f>
        <v/>
      </c>
      <c r="AD1149">
        <f>RAND()</f>
        <v/>
      </c>
      <c r="AE1149">
        <f>RAND()</f>
        <v/>
      </c>
      <c r="AF1149">
        <f>RAND()</f>
        <v/>
      </c>
    </row>
    <row r="1150">
      <c r="M1150" s="14">
        <f>_xlfn.BETA.INV($AA1150,1+4*($D$5-$C$5)/($E$5-$C$5),1+4*($E$5-$D$5)/($E$5-$C$5),$C$5,$E$5)</f>
        <v/>
      </c>
      <c r="N1150" s="14">
        <f>IF($AB1150&lt;($D$6-$C$6)/($E$6-$C$6),$C$6+SQRT($AB1150*($E$6-$C$6)*($D$6-$C$6)),$E$6-SQRT((1-$AB1150)*($E$6-$C$6)*($E$6-$D$6)))</f>
        <v/>
      </c>
      <c r="O1150" s="14">
        <f>_xlfn.NORM.INV($AC1150,$C$7,$D$7)</f>
        <v/>
      </c>
      <c r="P1150" s="14">
        <f>$C$8+($D$8-$C$8)*$AD1150</f>
        <v/>
      </c>
      <c r="Q1150" s="14">
        <f>$C$9</f>
        <v/>
      </c>
      <c r="R1150" s="14">
        <f>_xlfn.LOGNORM.INV($AF1150,LN($C$10)-0.5*LN(1+($D$10/$C$10)^2),SQRT(LN(1+($D$10/$C$10)^2)))</f>
        <v/>
      </c>
      <c r="S1150" s="14">
        <f>SUM(M1150:R1150)</f>
        <v/>
      </c>
      <c r="AA1150">
        <f>RAND()</f>
        <v/>
      </c>
      <c r="AB1150">
        <f>RAND()</f>
        <v/>
      </c>
      <c r="AC1150">
        <f>RAND()</f>
        <v/>
      </c>
      <c r="AD1150">
        <f>RAND()</f>
        <v/>
      </c>
      <c r="AE1150">
        <f>RAND()</f>
        <v/>
      </c>
      <c r="AF1150">
        <f>RAND()</f>
        <v/>
      </c>
    </row>
    <row r="1151">
      <c r="M1151" s="14">
        <f>_xlfn.BETA.INV($AA1151,1+4*($D$5-$C$5)/($E$5-$C$5),1+4*($E$5-$D$5)/($E$5-$C$5),$C$5,$E$5)</f>
        <v/>
      </c>
      <c r="N1151" s="14">
        <f>IF($AB1151&lt;($D$6-$C$6)/($E$6-$C$6),$C$6+SQRT($AB1151*($E$6-$C$6)*($D$6-$C$6)),$E$6-SQRT((1-$AB1151)*($E$6-$C$6)*($E$6-$D$6)))</f>
        <v/>
      </c>
      <c r="O1151" s="14">
        <f>_xlfn.NORM.INV($AC1151,$C$7,$D$7)</f>
        <v/>
      </c>
      <c r="P1151" s="14">
        <f>$C$8+($D$8-$C$8)*$AD1151</f>
        <v/>
      </c>
      <c r="Q1151" s="14">
        <f>$C$9</f>
        <v/>
      </c>
      <c r="R1151" s="14">
        <f>_xlfn.LOGNORM.INV($AF1151,LN($C$10)-0.5*LN(1+($D$10/$C$10)^2),SQRT(LN(1+($D$10/$C$10)^2)))</f>
        <v/>
      </c>
      <c r="S1151" s="14">
        <f>SUM(M1151:R1151)</f>
        <v/>
      </c>
      <c r="AA1151">
        <f>RAND()</f>
        <v/>
      </c>
      <c r="AB1151">
        <f>RAND()</f>
        <v/>
      </c>
      <c r="AC1151">
        <f>RAND()</f>
        <v/>
      </c>
      <c r="AD1151">
        <f>RAND()</f>
        <v/>
      </c>
      <c r="AE1151">
        <f>RAND()</f>
        <v/>
      </c>
      <c r="AF1151">
        <f>RAND()</f>
        <v/>
      </c>
    </row>
    <row r="1152">
      <c r="M1152" s="14">
        <f>_xlfn.BETA.INV($AA1152,1+4*($D$5-$C$5)/($E$5-$C$5),1+4*($E$5-$D$5)/($E$5-$C$5),$C$5,$E$5)</f>
        <v/>
      </c>
      <c r="N1152" s="14">
        <f>IF($AB1152&lt;($D$6-$C$6)/($E$6-$C$6),$C$6+SQRT($AB1152*($E$6-$C$6)*($D$6-$C$6)),$E$6-SQRT((1-$AB1152)*($E$6-$C$6)*($E$6-$D$6)))</f>
        <v/>
      </c>
      <c r="O1152" s="14">
        <f>_xlfn.NORM.INV($AC1152,$C$7,$D$7)</f>
        <v/>
      </c>
      <c r="P1152" s="14">
        <f>$C$8+($D$8-$C$8)*$AD1152</f>
        <v/>
      </c>
      <c r="Q1152" s="14">
        <f>$C$9</f>
        <v/>
      </c>
      <c r="R1152" s="14">
        <f>_xlfn.LOGNORM.INV($AF1152,LN($C$10)-0.5*LN(1+($D$10/$C$10)^2),SQRT(LN(1+($D$10/$C$10)^2)))</f>
        <v/>
      </c>
      <c r="S1152" s="14">
        <f>SUM(M1152:R1152)</f>
        <v/>
      </c>
      <c r="AA1152">
        <f>RAND()</f>
        <v/>
      </c>
      <c r="AB1152">
        <f>RAND()</f>
        <v/>
      </c>
      <c r="AC1152">
        <f>RAND()</f>
        <v/>
      </c>
      <c r="AD1152">
        <f>RAND()</f>
        <v/>
      </c>
      <c r="AE1152">
        <f>RAND()</f>
        <v/>
      </c>
      <c r="AF1152">
        <f>RAND()</f>
        <v/>
      </c>
    </row>
    <row r="1153">
      <c r="M1153" s="14">
        <f>_xlfn.BETA.INV($AA1153,1+4*($D$5-$C$5)/($E$5-$C$5),1+4*($E$5-$D$5)/($E$5-$C$5),$C$5,$E$5)</f>
        <v/>
      </c>
      <c r="N1153" s="14">
        <f>IF($AB1153&lt;($D$6-$C$6)/($E$6-$C$6),$C$6+SQRT($AB1153*($E$6-$C$6)*($D$6-$C$6)),$E$6-SQRT((1-$AB1153)*($E$6-$C$6)*($E$6-$D$6)))</f>
        <v/>
      </c>
      <c r="O1153" s="14">
        <f>_xlfn.NORM.INV($AC1153,$C$7,$D$7)</f>
        <v/>
      </c>
      <c r="P1153" s="14">
        <f>$C$8+($D$8-$C$8)*$AD1153</f>
        <v/>
      </c>
      <c r="Q1153" s="14">
        <f>$C$9</f>
        <v/>
      </c>
      <c r="R1153" s="14">
        <f>_xlfn.LOGNORM.INV($AF1153,LN($C$10)-0.5*LN(1+($D$10/$C$10)^2),SQRT(LN(1+($D$10/$C$10)^2)))</f>
        <v/>
      </c>
      <c r="S1153" s="14">
        <f>SUM(M1153:R1153)</f>
        <v/>
      </c>
      <c r="AA1153">
        <f>RAND()</f>
        <v/>
      </c>
      <c r="AB1153">
        <f>RAND()</f>
        <v/>
      </c>
      <c r="AC1153">
        <f>RAND()</f>
        <v/>
      </c>
      <c r="AD1153">
        <f>RAND()</f>
        <v/>
      </c>
      <c r="AE1153">
        <f>RAND()</f>
        <v/>
      </c>
      <c r="AF1153">
        <f>RAND()</f>
        <v/>
      </c>
    </row>
    <row r="1154">
      <c r="M1154" s="14">
        <f>_xlfn.BETA.INV($AA1154,1+4*($D$5-$C$5)/($E$5-$C$5),1+4*($E$5-$D$5)/($E$5-$C$5),$C$5,$E$5)</f>
        <v/>
      </c>
      <c r="N1154" s="14">
        <f>IF($AB1154&lt;($D$6-$C$6)/($E$6-$C$6),$C$6+SQRT($AB1154*($E$6-$C$6)*($D$6-$C$6)),$E$6-SQRT((1-$AB1154)*($E$6-$C$6)*($E$6-$D$6)))</f>
        <v/>
      </c>
      <c r="O1154" s="14">
        <f>_xlfn.NORM.INV($AC1154,$C$7,$D$7)</f>
        <v/>
      </c>
      <c r="P1154" s="14">
        <f>$C$8+($D$8-$C$8)*$AD1154</f>
        <v/>
      </c>
      <c r="Q1154" s="14">
        <f>$C$9</f>
        <v/>
      </c>
      <c r="R1154" s="14">
        <f>_xlfn.LOGNORM.INV($AF1154,LN($C$10)-0.5*LN(1+($D$10/$C$10)^2),SQRT(LN(1+($D$10/$C$10)^2)))</f>
        <v/>
      </c>
      <c r="S1154" s="14">
        <f>SUM(M1154:R1154)</f>
        <v/>
      </c>
      <c r="AA1154">
        <f>RAND()</f>
        <v/>
      </c>
      <c r="AB1154">
        <f>RAND()</f>
        <v/>
      </c>
      <c r="AC1154">
        <f>RAND()</f>
        <v/>
      </c>
      <c r="AD1154">
        <f>RAND()</f>
        <v/>
      </c>
      <c r="AE1154">
        <f>RAND()</f>
        <v/>
      </c>
      <c r="AF1154">
        <f>RAND()</f>
        <v/>
      </c>
    </row>
    <row r="1155">
      <c r="M1155" s="14">
        <f>_xlfn.BETA.INV($AA1155,1+4*($D$5-$C$5)/($E$5-$C$5),1+4*($E$5-$D$5)/($E$5-$C$5),$C$5,$E$5)</f>
        <v/>
      </c>
      <c r="N1155" s="14">
        <f>IF($AB1155&lt;($D$6-$C$6)/($E$6-$C$6),$C$6+SQRT($AB1155*($E$6-$C$6)*($D$6-$C$6)),$E$6-SQRT((1-$AB1155)*($E$6-$C$6)*($E$6-$D$6)))</f>
        <v/>
      </c>
      <c r="O1155" s="14">
        <f>_xlfn.NORM.INV($AC1155,$C$7,$D$7)</f>
        <v/>
      </c>
      <c r="P1155" s="14">
        <f>$C$8+($D$8-$C$8)*$AD1155</f>
        <v/>
      </c>
      <c r="Q1155" s="14">
        <f>$C$9</f>
        <v/>
      </c>
      <c r="R1155" s="14">
        <f>_xlfn.LOGNORM.INV($AF1155,LN($C$10)-0.5*LN(1+($D$10/$C$10)^2),SQRT(LN(1+($D$10/$C$10)^2)))</f>
        <v/>
      </c>
      <c r="S1155" s="14">
        <f>SUM(M1155:R1155)</f>
        <v/>
      </c>
      <c r="AA1155">
        <f>RAND()</f>
        <v/>
      </c>
      <c r="AB1155">
        <f>RAND()</f>
        <v/>
      </c>
      <c r="AC1155">
        <f>RAND()</f>
        <v/>
      </c>
      <c r="AD1155">
        <f>RAND()</f>
        <v/>
      </c>
      <c r="AE1155">
        <f>RAND()</f>
        <v/>
      </c>
      <c r="AF1155">
        <f>RAND()</f>
        <v/>
      </c>
    </row>
    <row r="1156">
      <c r="M1156" s="14">
        <f>_xlfn.BETA.INV($AA1156,1+4*($D$5-$C$5)/($E$5-$C$5),1+4*($E$5-$D$5)/($E$5-$C$5),$C$5,$E$5)</f>
        <v/>
      </c>
      <c r="N1156" s="14">
        <f>IF($AB1156&lt;($D$6-$C$6)/($E$6-$C$6),$C$6+SQRT($AB1156*($E$6-$C$6)*($D$6-$C$6)),$E$6-SQRT((1-$AB1156)*($E$6-$C$6)*($E$6-$D$6)))</f>
        <v/>
      </c>
      <c r="O1156" s="14">
        <f>_xlfn.NORM.INV($AC1156,$C$7,$D$7)</f>
        <v/>
      </c>
      <c r="P1156" s="14">
        <f>$C$8+($D$8-$C$8)*$AD1156</f>
        <v/>
      </c>
      <c r="Q1156" s="14">
        <f>$C$9</f>
        <v/>
      </c>
      <c r="R1156" s="14">
        <f>_xlfn.LOGNORM.INV($AF1156,LN($C$10)-0.5*LN(1+($D$10/$C$10)^2),SQRT(LN(1+($D$10/$C$10)^2)))</f>
        <v/>
      </c>
      <c r="S1156" s="14">
        <f>SUM(M1156:R1156)</f>
        <v/>
      </c>
      <c r="AA1156">
        <f>RAND()</f>
        <v/>
      </c>
      <c r="AB1156">
        <f>RAND()</f>
        <v/>
      </c>
      <c r="AC1156">
        <f>RAND()</f>
        <v/>
      </c>
      <c r="AD1156">
        <f>RAND()</f>
        <v/>
      </c>
      <c r="AE1156">
        <f>RAND()</f>
        <v/>
      </c>
      <c r="AF1156">
        <f>RAND()</f>
        <v/>
      </c>
    </row>
    <row r="1157">
      <c r="M1157" s="14">
        <f>_xlfn.BETA.INV($AA1157,1+4*($D$5-$C$5)/($E$5-$C$5),1+4*($E$5-$D$5)/($E$5-$C$5),$C$5,$E$5)</f>
        <v/>
      </c>
      <c r="N1157" s="14">
        <f>IF($AB1157&lt;($D$6-$C$6)/($E$6-$C$6),$C$6+SQRT($AB1157*($E$6-$C$6)*($D$6-$C$6)),$E$6-SQRT((1-$AB1157)*($E$6-$C$6)*($E$6-$D$6)))</f>
        <v/>
      </c>
      <c r="O1157" s="14">
        <f>_xlfn.NORM.INV($AC1157,$C$7,$D$7)</f>
        <v/>
      </c>
      <c r="P1157" s="14">
        <f>$C$8+($D$8-$C$8)*$AD1157</f>
        <v/>
      </c>
      <c r="Q1157" s="14">
        <f>$C$9</f>
        <v/>
      </c>
      <c r="R1157" s="14">
        <f>_xlfn.LOGNORM.INV($AF1157,LN($C$10)-0.5*LN(1+($D$10/$C$10)^2),SQRT(LN(1+($D$10/$C$10)^2)))</f>
        <v/>
      </c>
      <c r="S1157" s="14">
        <f>SUM(M1157:R1157)</f>
        <v/>
      </c>
      <c r="AA1157">
        <f>RAND()</f>
        <v/>
      </c>
      <c r="AB1157">
        <f>RAND()</f>
        <v/>
      </c>
      <c r="AC1157">
        <f>RAND()</f>
        <v/>
      </c>
      <c r="AD1157">
        <f>RAND()</f>
        <v/>
      </c>
      <c r="AE1157">
        <f>RAND()</f>
        <v/>
      </c>
      <c r="AF1157">
        <f>RAND()</f>
        <v/>
      </c>
    </row>
    <row r="1158">
      <c r="M1158" s="14">
        <f>_xlfn.BETA.INV($AA1158,1+4*($D$5-$C$5)/($E$5-$C$5),1+4*($E$5-$D$5)/($E$5-$C$5),$C$5,$E$5)</f>
        <v/>
      </c>
      <c r="N1158" s="14">
        <f>IF($AB1158&lt;($D$6-$C$6)/($E$6-$C$6),$C$6+SQRT($AB1158*($E$6-$C$6)*($D$6-$C$6)),$E$6-SQRT((1-$AB1158)*($E$6-$C$6)*($E$6-$D$6)))</f>
        <v/>
      </c>
      <c r="O1158" s="14">
        <f>_xlfn.NORM.INV($AC1158,$C$7,$D$7)</f>
        <v/>
      </c>
      <c r="P1158" s="14">
        <f>$C$8+($D$8-$C$8)*$AD1158</f>
        <v/>
      </c>
      <c r="Q1158" s="14">
        <f>$C$9</f>
        <v/>
      </c>
      <c r="R1158" s="14">
        <f>_xlfn.LOGNORM.INV($AF1158,LN($C$10)-0.5*LN(1+($D$10/$C$10)^2),SQRT(LN(1+($D$10/$C$10)^2)))</f>
        <v/>
      </c>
      <c r="S1158" s="14">
        <f>SUM(M1158:R1158)</f>
        <v/>
      </c>
      <c r="AA1158">
        <f>RAND()</f>
        <v/>
      </c>
      <c r="AB1158">
        <f>RAND()</f>
        <v/>
      </c>
      <c r="AC1158">
        <f>RAND()</f>
        <v/>
      </c>
      <c r="AD1158">
        <f>RAND()</f>
        <v/>
      </c>
      <c r="AE1158">
        <f>RAND()</f>
        <v/>
      </c>
      <c r="AF1158">
        <f>RAND()</f>
        <v/>
      </c>
    </row>
    <row r="1159">
      <c r="M1159" s="14">
        <f>_xlfn.BETA.INV($AA1159,1+4*($D$5-$C$5)/($E$5-$C$5),1+4*($E$5-$D$5)/($E$5-$C$5),$C$5,$E$5)</f>
        <v/>
      </c>
      <c r="N1159" s="14">
        <f>IF($AB1159&lt;($D$6-$C$6)/($E$6-$C$6),$C$6+SQRT($AB1159*($E$6-$C$6)*($D$6-$C$6)),$E$6-SQRT((1-$AB1159)*($E$6-$C$6)*($E$6-$D$6)))</f>
        <v/>
      </c>
      <c r="O1159" s="14">
        <f>_xlfn.NORM.INV($AC1159,$C$7,$D$7)</f>
        <v/>
      </c>
      <c r="P1159" s="14">
        <f>$C$8+($D$8-$C$8)*$AD1159</f>
        <v/>
      </c>
      <c r="Q1159" s="14">
        <f>$C$9</f>
        <v/>
      </c>
      <c r="R1159" s="14">
        <f>_xlfn.LOGNORM.INV($AF1159,LN($C$10)-0.5*LN(1+($D$10/$C$10)^2),SQRT(LN(1+($D$10/$C$10)^2)))</f>
        <v/>
      </c>
      <c r="S1159" s="14">
        <f>SUM(M1159:R1159)</f>
        <v/>
      </c>
      <c r="AA1159">
        <f>RAND()</f>
        <v/>
      </c>
      <c r="AB1159">
        <f>RAND()</f>
        <v/>
      </c>
      <c r="AC1159">
        <f>RAND()</f>
        <v/>
      </c>
      <c r="AD1159">
        <f>RAND()</f>
        <v/>
      </c>
      <c r="AE1159">
        <f>RAND()</f>
        <v/>
      </c>
      <c r="AF1159">
        <f>RAND()</f>
        <v/>
      </c>
    </row>
    <row r="1160">
      <c r="M1160" s="14">
        <f>_xlfn.BETA.INV($AA1160,1+4*($D$5-$C$5)/($E$5-$C$5),1+4*($E$5-$D$5)/($E$5-$C$5),$C$5,$E$5)</f>
        <v/>
      </c>
      <c r="N1160" s="14">
        <f>IF($AB1160&lt;($D$6-$C$6)/($E$6-$C$6),$C$6+SQRT($AB1160*($E$6-$C$6)*($D$6-$C$6)),$E$6-SQRT((1-$AB1160)*($E$6-$C$6)*($E$6-$D$6)))</f>
        <v/>
      </c>
      <c r="O1160" s="14">
        <f>_xlfn.NORM.INV($AC1160,$C$7,$D$7)</f>
        <v/>
      </c>
      <c r="P1160" s="14">
        <f>$C$8+($D$8-$C$8)*$AD1160</f>
        <v/>
      </c>
      <c r="Q1160" s="14">
        <f>$C$9</f>
        <v/>
      </c>
      <c r="R1160" s="14">
        <f>_xlfn.LOGNORM.INV($AF1160,LN($C$10)-0.5*LN(1+($D$10/$C$10)^2),SQRT(LN(1+($D$10/$C$10)^2)))</f>
        <v/>
      </c>
      <c r="S1160" s="14">
        <f>SUM(M1160:R1160)</f>
        <v/>
      </c>
      <c r="AA1160">
        <f>RAND()</f>
        <v/>
      </c>
      <c r="AB1160">
        <f>RAND()</f>
        <v/>
      </c>
      <c r="AC1160">
        <f>RAND()</f>
        <v/>
      </c>
      <c r="AD1160">
        <f>RAND()</f>
        <v/>
      </c>
      <c r="AE1160">
        <f>RAND()</f>
        <v/>
      </c>
      <c r="AF1160">
        <f>RAND()</f>
        <v/>
      </c>
    </row>
    <row r="1161">
      <c r="M1161" s="14">
        <f>_xlfn.BETA.INV($AA1161,1+4*($D$5-$C$5)/($E$5-$C$5),1+4*($E$5-$D$5)/($E$5-$C$5),$C$5,$E$5)</f>
        <v/>
      </c>
      <c r="N1161" s="14">
        <f>IF($AB1161&lt;($D$6-$C$6)/($E$6-$C$6),$C$6+SQRT($AB1161*($E$6-$C$6)*($D$6-$C$6)),$E$6-SQRT((1-$AB1161)*($E$6-$C$6)*($E$6-$D$6)))</f>
        <v/>
      </c>
      <c r="O1161" s="14">
        <f>_xlfn.NORM.INV($AC1161,$C$7,$D$7)</f>
        <v/>
      </c>
      <c r="P1161" s="14">
        <f>$C$8+($D$8-$C$8)*$AD1161</f>
        <v/>
      </c>
      <c r="Q1161" s="14">
        <f>$C$9</f>
        <v/>
      </c>
      <c r="R1161" s="14">
        <f>_xlfn.LOGNORM.INV($AF1161,LN($C$10)-0.5*LN(1+($D$10/$C$10)^2),SQRT(LN(1+($D$10/$C$10)^2)))</f>
        <v/>
      </c>
      <c r="S1161" s="14">
        <f>SUM(M1161:R1161)</f>
        <v/>
      </c>
      <c r="AA1161">
        <f>RAND()</f>
        <v/>
      </c>
      <c r="AB1161">
        <f>RAND()</f>
        <v/>
      </c>
      <c r="AC1161">
        <f>RAND()</f>
        <v/>
      </c>
      <c r="AD1161">
        <f>RAND()</f>
        <v/>
      </c>
      <c r="AE1161">
        <f>RAND()</f>
        <v/>
      </c>
      <c r="AF1161">
        <f>RAND()</f>
        <v/>
      </c>
    </row>
    <row r="1162">
      <c r="M1162" s="14">
        <f>_xlfn.BETA.INV($AA1162,1+4*($D$5-$C$5)/($E$5-$C$5),1+4*($E$5-$D$5)/($E$5-$C$5),$C$5,$E$5)</f>
        <v/>
      </c>
      <c r="N1162" s="14">
        <f>IF($AB1162&lt;($D$6-$C$6)/($E$6-$C$6),$C$6+SQRT($AB1162*($E$6-$C$6)*($D$6-$C$6)),$E$6-SQRT((1-$AB1162)*($E$6-$C$6)*($E$6-$D$6)))</f>
        <v/>
      </c>
      <c r="O1162" s="14">
        <f>_xlfn.NORM.INV($AC1162,$C$7,$D$7)</f>
        <v/>
      </c>
      <c r="P1162" s="14">
        <f>$C$8+($D$8-$C$8)*$AD1162</f>
        <v/>
      </c>
      <c r="Q1162" s="14">
        <f>$C$9</f>
        <v/>
      </c>
      <c r="R1162" s="14">
        <f>_xlfn.LOGNORM.INV($AF1162,LN($C$10)-0.5*LN(1+($D$10/$C$10)^2),SQRT(LN(1+($D$10/$C$10)^2)))</f>
        <v/>
      </c>
      <c r="S1162" s="14">
        <f>SUM(M1162:R1162)</f>
        <v/>
      </c>
      <c r="AA1162">
        <f>RAND()</f>
        <v/>
      </c>
      <c r="AB1162">
        <f>RAND()</f>
        <v/>
      </c>
      <c r="AC1162">
        <f>RAND()</f>
        <v/>
      </c>
      <c r="AD1162">
        <f>RAND()</f>
        <v/>
      </c>
      <c r="AE1162">
        <f>RAND()</f>
        <v/>
      </c>
      <c r="AF1162">
        <f>RAND()</f>
        <v/>
      </c>
    </row>
    <row r="1163">
      <c r="M1163" s="14">
        <f>_xlfn.BETA.INV($AA1163,1+4*($D$5-$C$5)/($E$5-$C$5),1+4*($E$5-$D$5)/($E$5-$C$5),$C$5,$E$5)</f>
        <v/>
      </c>
      <c r="N1163" s="14">
        <f>IF($AB1163&lt;($D$6-$C$6)/($E$6-$C$6),$C$6+SQRT($AB1163*($E$6-$C$6)*($D$6-$C$6)),$E$6-SQRT((1-$AB1163)*($E$6-$C$6)*($E$6-$D$6)))</f>
        <v/>
      </c>
      <c r="O1163" s="14">
        <f>_xlfn.NORM.INV($AC1163,$C$7,$D$7)</f>
        <v/>
      </c>
      <c r="P1163" s="14">
        <f>$C$8+($D$8-$C$8)*$AD1163</f>
        <v/>
      </c>
      <c r="Q1163" s="14">
        <f>$C$9</f>
        <v/>
      </c>
      <c r="R1163" s="14">
        <f>_xlfn.LOGNORM.INV($AF1163,LN($C$10)-0.5*LN(1+($D$10/$C$10)^2),SQRT(LN(1+($D$10/$C$10)^2)))</f>
        <v/>
      </c>
      <c r="S1163" s="14">
        <f>SUM(M1163:R1163)</f>
        <v/>
      </c>
      <c r="AA1163">
        <f>RAND()</f>
        <v/>
      </c>
      <c r="AB1163">
        <f>RAND()</f>
        <v/>
      </c>
      <c r="AC1163">
        <f>RAND()</f>
        <v/>
      </c>
      <c r="AD1163">
        <f>RAND()</f>
        <v/>
      </c>
      <c r="AE1163">
        <f>RAND()</f>
        <v/>
      </c>
      <c r="AF1163">
        <f>RAND()</f>
        <v/>
      </c>
    </row>
    <row r="1164">
      <c r="M1164" s="14">
        <f>_xlfn.BETA.INV($AA1164,1+4*($D$5-$C$5)/($E$5-$C$5),1+4*($E$5-$D$5)/($E$5-$C$5),$C$5,$E$5)</f>
        <v/>
      </c>
      <c r="N1164" s="14">
        <f>IF($AB1164&lt;($D$6-$C$6)/($E$6-$C$6),$C$6+SQRT($AB1164*($E$6-$C$6)*($D$6-$C$6)),$E$6-SQRT((1-$AB1164)*($E$6-$C$6)*($E$6-$D$6)))</f>
        <v/>
      </c>
      <c r="O1164" s="14">
        <f>_xlfn.NORM.INV($AC1164,$C$7,$D$7)</f>
        <v/>
      </c>
      <c r="P1164" s="14">
        <f>$C$8+($D$8-$C$8)*$AD1164</f>
        <v/>
      </c>
      <c r="Q1164" s="14">
        <f>$C$9</f>
        <v/>
      </c>
      <c r="R1164" s="14">
        <f>_xlfn.LOGNORM.INV($AF1164,LN($C$10)-0.5*LN(1+($D$10/$C$10)^2),SQRT(LN(1+($D$10/$C$10)^2)))</f>
        <v/>
      </c>
      <c r="S1164" s="14">
        <f>SUM(M1164:R1164)</f>
        <v/>
      </c>
      <c r="AA1164">
        <f>RAND()</f>
        <v/>
      </c>
      <c r="AB1164">
        <f>RAND()</f>
        <v/>
      </c>
      <c r="AC1164">
        <f>RAND()</f>
        <v/>
      </c>
      <c r="AD1164">
        <f>RAND()</f>
        <v/>
      </c>
      <c r="AE1164">
        <f>RAND()</f>
        <v/>
      </c>
      <c r="AF1164">
        <f>RAND()</f>
        <v/>
      </c>
    </row>
    <row r="1165">
      <c r="M1165" s="14">
        <f>_xlfn.BETA.INV($AA1165,1+4*($D$5-$C$5)/($E$5-$C$5),1+4*($E$5-$D$5)/($E$5-$C$5),$C$5,$E$5)</f>
        <v/>
      </c>
      <c r="N1165" s="14">
        <f>IF($AB1165&lt;($D$6-$C$6)/($E$6-$C$6),$C$6+SQRT($AB1165*($E$6-$C$6)*($D$6-$C$6)),$E$6-SQRT((1-$AB1165)*($E$6-$C$6)*($E$6-$D$6)))</f>
        <v/>
      </c>
      <c r="O1165" s="14">
        <f>_xlfn.NORM.INV($AC1165,$C$7,$D$7)</f>
        <v/>
      </c>
      <c r="P1165" s="14">
        <f>$C$8+($D$8-$C$8)*$AD1165</f>
        <v/>
      </c>
      <c r="Q1165" s="14">
        <f>$C$9</f>
        <v/>
      </c>
      <c r="R1165" s="14">
        <f>_xlfn.LOGNORM.INV($AF1165,LN($C$10)-0.5*LN(1+($D$10/$C$10)^2),SQRT(LN(1+($D$10/$C$10)^2)))</f>
        <v/>
      </c>
      <c r="S1165" s="14">
        <f>SUM(M1165:R1165)</f>
        <v/>
      </c>
      <c r="AA1165">
        <f>RAND()</f>
        <v/>
      </c>
      <c r="AB1165">
        <f>RAND()</f>
        <v/>
      </c>
      <c r="AC1165">
        <f>RAND()</f>
        <v/>
      </c>
      <c r="AD1165">
        <f>RAND()</f>
        <v/>
      </c>
      <c r="AE1165">
        <f>RAND()</f>
        <v/>
      </c>
      <c r="AF1165">
        <f>RAND()</f>
        <v/>
      </c>
    </row>
    <row r="1166">
      <c r="M1166" s="14">
        <f>_xlfn.BETA.INV($AA1166,1+4*($D$5-$C$5)/($E$5-$C$5),1+4*($E$5-$D$5)/($E$5-$C$5),$C$5,$E$5)</f>
        <v/>
      </c>
      <c r="N1166" s="14">
        <f>IF($AB1166&lt;($D$6-$C$6)/($E$6-$C$6),$C$6+SQRT($AB1166*($E$6-$C$6)*($D$6-$C$6)),$E$6-SQRT((1-$AB1166)*($E$6-$C$6)*($E$6-$D$6)))</f>
        <v/>
      </c>
      <c r="O1166" s="14">
        <f>_xlfn.NORM.INV($AC1166,$C$7,$D$7)</f>
        <v/>
      </c>
      <c r="P1166" s="14">
        <f>$C$8+($D$8-$C$8)*$AD1166</f>
        <v/>
      </c>
      <c r="Q1166" s="14">
        <f>$C$9</f>
        <v/>
      </c>
      <c r="R1166" s="14">
        <f>_xlfn.LOGNORM.INV($AF1166,LN($C$10)-0.5*LN(1+($D$10/$C$10)^2),SQRT(LN(1+($D$10/$C$10)^2)))</f>
        <v/>
      </c>
      <c r="S1166" s="14">
        <f>SUM(M1166:R1166)</f>
        <v/>
      </c>
      <c r="AA1166">
        <f>RAND()</f>
        <v/>
      </c>
      <c r="AB1166">
        <f>RAND()</f>
        <v/>
      </c>
      <c r="AC1166">
        <f>RAND()</f>
        <v/>
      </c>
      <c r="AD1166">
        <f>RAND()</f>
        <v/>
      </c>
      <c r="AE1166">
        <f>RAND()</f>
        <v/>
      </c>
      <c r="AF1166">
        <f>RAND()</f>
        <v/>
      </c>
    </row>
    <row r="1167">
      <c r="M1167" s="14">
        <f>_xlfn.BETA.INV($AA1167,1+4*($D$5-$C$5)/($E$5-$C$5),1+4*($E$5-$D$5)/($E$5-$C$5),$C$5,$E$5)</f>
        <v/>
      </c>
      <c r="N1167" s="14">
        <f>IF($AB1167&lt;($D$6-$C$6)/($E$6-$C$6),$C$6+SQRT($AB1167*($E$6-$C$6)*($D$6-$C$6)),$E$6-SQRT((1-$AB1167)*($E$6-$C$6)*($E$6-$D$6)))</f>
        <v/>
      </c>
      <c r="O1167" s="14">
        <f>_xlfn.NORM.INV($AC1167,$C$7,$D$7)</f>
        <v/>
      </c>
      <c r="P1167" s="14">
        <f>$C$8+($D$8-$C$8)*$AD1167</f>
        <v/>
      </c>
      <c r="Q1167" s="14">
        <f>$C$9</f>
        <v/>
      </c>
      <c r="R1167" s="14">
        <f>_xlfn.LOGNORM.INV($AF1167,LN($C$10)-0.5*LN(1+($D$10/$C$10)^2),SQRT(LN(1+($D$10/$C$10)^2)))</f>
        <v/>
      </c>
      <c r="S1167" s="14">
        <f>SUM(M1167:R1167)</f>
        <v/>
      </c>
      <c r="AA1167">
        <f>RAND()</f>
        <v/>
      </c>
      <c r="AB1167">
        <f>RAND()</f>
        <v/>
      </c>
      <c r="AC1167">
        <f>RAND()</f>
        <v/>
      </c>
      <c r="AD1167">
        <f>RAND()</f>
        <v/>
      </c>
      <c r="AE1167">
        <f>RAND()</f>
        <v/>
      </c>
      <c r="AF1167">
        <f>RAND()</f>
        <v/>
      </c>
    </row>
    <row r="1168">
      <c r="M1168" s="14">
        <f>_xlfn.BETA.INV($AA1168,1+4*($D$5-$C$5)/($E$5-$C$5),1+4*($E$5-$D$5)/($E$5-$C$5),$C$5,$E$5)</f>
        <v/>
      </c>
      <c r="N1168" s="14">
        <f>IF($AB1168&lt;($D$6-$C$6)/($E$6-$C$6),$C$6+SQRT($AB1168*($E$6-$C$6)*($D$6-$C$6)),$E$6-SQRT((1-$AB1168)*($E$6-$C$6)*($E$6-$D$6)))</f>
        <v/>
      </c>
      <c r="O1168" s="14">
        <f>_xlfn.NORM.INV($AC1168,$C$7,$D$7)</f>
        <v/>
      </c>
      <c r="P1168" s="14">
        <f>$C$8+($D$8-$C$8)*$AD1168</f>
        <v/>
      </c>
      <c r="Q1168" s="14">
        <f>$C$9</f>
        <v/>
      </c>
      <c r="R1168" s="14">
        <f>_xlfn.LOGNORM.INV($AF1168,LN($C$10)-0.5*LN(1+($D$10/$C$10)^2),SQRT(LN(1+($D$10/$C$10)^2)))</f>
        <v/>
      </c>
      <c r="S1168" s="14">
        <f>SUM(M1168:R1168)</f>
        <v/>
      </c>
      <c r="AA1168">
        <f>RAND()</f>
        <v/>
      </c>
      <c r="AB1168">
        <f>RAND()</f>
        <v/>
      </c>
      <c r="AC1168">
        <f>RAND()</f>
        <v/>
      </c>
      <c r="AD1168">
        <f>RAND()</f>
        <v/>
      </c>
      <c r="AE1168">
        <f>RAND()</f>
        <v/>
      </c>
      <c r="AF1168">
        <f>RAND()</f>
        <v/>
      </c>
    </row>
    <row r="1169">
      <c r="M1169" s="14">
        <f>_xlfn.BETA.INV($AA1169,1+4*($D$5-$C$5)/($E$5-$C$5),1+4*($E$5-$D$5)/($E$5-$C$5),$C$5,$E$5)</f>
        <v/>
      </c>
      <c r="N1169" s="14">
        <f>IF($AB1169&lt;($D$6-$C$6)/($E$6-$C$6),$C$6+SQRT($AB1169*($E$6-$C$6)*($D$6-$C$6)),$E$6-SQRT((1-$AB1169)*($E$6-$C$6)*($E$6-$D$6)))</f>
        <v/>
      </c>
      <c r="O1169" s="14">
        <f>_xlfn.NORM.INV($AC1169,$C$7,$D$7)</f>
        <v/>
      </c>
      <c r="P1169" s="14">
        <f>$C$8+($D$8-$C$8)*$AD1169</f>
        <v/>
      </c>
      <c r="Q1169" s="14">
        <f>$C$9</f>
        <v/>
      </c>
      <c r="R1169" s="14">
        <f>_xlfn.LOGNORM.INV($AF1169,LN($C$10)-0.5*LN(1+($D$10/$C$10)^2),SQRT(LN(1+($D$10/$C$10)^2)))</f>
        <v/>
      </c>
      <c r="S1169" s="14">
        <f>SUM(M1169:R1169)</f>
        <v/>
      </c>
      <c r="AA1169">
        <f>RAND()</f>
        <v/>
      </c>
      <c r="AB1169">
        <f>RAND()</f>
        <v/>
      </c>
      <c r="AC1169">
        <f>RAND()</f>
        <v/>
      </c>
      <c r="AD1169">
        <f>RAND()</f>
        <v/>
      </c>
      <c r="AE1169">
        <f>RAND()</f>
        <v/>
      </c>
      <c r="AF1169">
        <f>RAND()</f>
        <v/>
      </c>
    </row>
    <row r="1170">
      <c r="M1170" s="14">
        <f>_xlfn.BETA.INV($AA1170,1+4*($D$5-$C$5)/($E$5-$C$5),1+4*($E$5-$D$5)/($E$5-$C$5),$C$5,$E$5)</f>
        <v/>
      </c>
      <c r="N1170" s="14">
        <f>IF($AB1170&lt;($D$6-$C$6)/($E$6-$C$6),$C$6+SQRT($AB1170*($E$6-$C$6)*($D$6-$C$6)),$E$6-SQRT((1-$AB1170)*($E$6-$C$6)*($E$6-$D$6)))</f>
        <v/>
      </c>
      <c r="O1170" s="14">
        <f>_xlfn.NORM.INV($AC1170,$C$7,$D$7)</f>
        <v/>
      </c>
      <c r="P1170" s="14">
        <f>$C$8+($D$8-$C$8)*$AD1170</f>
        <v/>
      </c>
      <c r="Q1170" s="14">
        <f>$C$9</f>
        <v/>
      </c>
      <c r="R1170" s="14">
        <f>_xlfn.LOGNORM.INV($AF1170,LN($C$10)-0.5*LN(1+($D$10/$C$10)^2),SQRT(LN(1+($D$10/$C$10)^2)))</f>
        <v/>
      </c>
      <c r="S1170" s="14">
        <f>SUM(M1170:R1170)</f>
        <v/>
      </c>
      <c r="AA1170">
        <f>RAND()</f>
        <v/>
      </c>
      <c r="AB1170">
        <f>RAND()</f>
        <v/>
      </c>
      <c r="AC1170">
        <f>RAND()</f>
        <v/>
      </c>
      <c r="AD1170">
        <f>RAND()</f>
        <v/>
      </c>
      <c r="AE1170">
        <f>RAND()</f>
        <v/>
      </c>
      <c r="AF1170">
        <f>RAND()</f>
        <v/>
      </c>
    </row>
    <row r="1171">
      <c r="M1171" s="14">
        <f>_xlfn.BETA.INV($AA1171,1+4*($D$5-$C$5)/($E$5-$C$5),1+4*($E$5-$D$5)/($E$5-$C$5),$C$5,$E$5)</f>
        <v/>
      </c>
      <c r="N1171" s="14">
        <f>IF($AB1171&lt;($D$6-$C$6)/($E$6-$C$6),$C$6+SQRT($AB1171*($E$6-$C$6)*($D$6-$C$6)),$E$6-SQRT((1-$AB1171)*($E$6-$C$6)*($E$6-$D$6)))</f>
        <v/>
      </c>
      <c r="O1171" s="14">
        <f>_xlfn.NORM.INV($AC1171,$C$7,$D$7)</f>
        <v/>
      </c>
      <c r="P1171" s="14">
        <f>$C$8+($D$8-$C$8)*$AD1171</f>
        <v/>
      </c>
      <c r="Q1171" s="14">
        <f>$C$9</f>
        <v/>
      </c>
      <c r="R1171" s="14">
        <f>_xlfn.LOGNORM.INV($AF1171,LN($C$10)-0.5*LN(1+($D$10/$C$10)^2),SQRT(LN(1+($D$10/$C$10)^2)))</f>
        <v/>
      </c>
      <c r="S1171" s="14">
        <f>SUM(M1171:R1171)</f>
        <v/>
      </c>
      <c r="AA1171">
        <f>RAND()</f>
        <v/>
      </c>
      <c r="AB1171">
        <f>RAND()</f>
        <v/>
      </c>
      <c r="AC1171">
        <f>RAND()</f>
        <v/>
      </c>
      <c r="AD1171">
        <f>RAND()</f>
        <v/>
      </c>
      <c r="AE1171">
        <f>RAND()</f>
        <v/>
      </c>
      <c r="AF1171">
        <f>RAND()</f>
        <v/>
      </c>
    </row>
    <row r="1172">
      <c r="M1172" s="14">
        <f>_xlfn.BETA.INV($AA1172,1+4*($D$5-$C$5)/($E$5-$C$5),1+4*($E$5-$D$5)/($E$5-$C$5),$C$5,$E$5)</f>
        <v/>
      </c>
      <c r="N1172" s="14">
        <f>IF($AB1172&lt;($D$6-$C$6)/($E$6-$C$6),$C$6+SQRT($AB1172*($E$6-$C$6)*($D$6-$C$6)),$E$6-SQRT((1-$AB1172)*($E$6-$C$6)*($E$6-$D$6)))</f>
        <v/>
      </c>
      <c r="O1172" s="14">
        <f>_xlfn.NORM.INV($AC1172,$C$7,$D$7)</f>
        <v/>
      </c>
      <c r="P1172" s="14">
        <f>$C$8+($D$8-$C$8)*$AD1172</f>
        <v/>
      </c>
      <c r="Q1172" s="14">
        <f>$C$9</f>
        <v/>
      </c>
      <c r="R1172" s="14">
        <f>_xlfn.LOGNORM.INV($AF1172,LN($C$10)-0.5*LN(1+($D$10/$C$10)^2),SQRT(LN(1+($D$10/$C$10)^2)))</f>
        <v/>
      </c>
      <c r="S1172" s="14">
        <f>SUM(M1172:R1172)</f>
        <v/>
      </c>
      <c r="AA1172">
        <f>RAND()</f>
        <v/>
      </c>
      <c r="AB1172">
        <f>RAND()</f>
        <v/>
      </c>
      <c r="AC1172">
        <f>RAND()</f>
        <v/>
      </c>
      <c r="AD1172">
        <f>RAND()</f>
        <v/>
      </c>
      <c r="AE1172">
        <f>RAND()</f>
        <v/>
      </c>
      <c r="AF1172">
        <f>RAND()</f>
        <v/>
      </c>
    </row>
    <row r="1173">
      <c r="M1173" s="14">
        <f>_xlfn.BETA.INV($AA1173,1+4*($D$5-$C$5)/($E$5-$C$5),1+4*($E$5-$D$5)/($E$5-$C$5),$C$5,$E$5)</f>
        <v/>
      </c>
      <c r="N1173" s="14">
        <f>IF($AB1173&lt;($D$6-$C$6)/($E$6-$C$6),$C$6+SQRT($AB1173*($E$6-$C$6)*($D$6-$C$6)),$E$6-SQRT((1-$AB1173)*($E$6-$C$6)*($E$6-$D$6)))</f>
        <v/>
      </c>
      <c r="O1173" s="14">
        <f>_xlfn.NORM.INV($AC1173,$C$7,$D$7)</f>
        <v/>
      </c>
      <c r="P1173" s="14">
        <f>$C$8+($D$8-$C$8)*$AD1173</f>
        <v/>
      </c>
      <c r="Q1173" s="14">
        <f>$C$9</f>
        <v/>
      </c>
      <c r="R1173" s="14">
        <f>_xlfn.LOGNORM.INV($AF1173,LN($C$10)-0.5*LN(1+($D$10/$C$10)^2),SQRT(LN(1+($D$10/$C$10)^2)))</f>
        <v/>
      </c>
      <c r="S1173" s="14">
        <f>SUM(M1173:R1173)</f>
        <v/>
      </c>
      <c r="AA1173">
        <f>RAND()</f>
        <v/>
      </c>
      <c r="AB1173">
        <f>RAND()</f>
        <v/>
      </c>
      <c r="AC1173">
        <f>RAND()</f>
        <v/>
      </c>
      <c r="AD1173">
        <f>RAND()</f>
        <v/>
      </c>
      <c r="AE1173">
        <f>RAND()</f>
        <v/>
      </c>
      <c r="AF1173">
        <f>RAND()</f>
        <v/>
      </c>
    </row>
    <row r="1174">
      <c r="M1174" s="14">
        <f>_xlfn.BETA.INV($AA1174,1+4*($D$5-$C$5)/($E$5-$C$5),1+4*($E$5-$D$5)/($E$5-$C$5),$C$5,$E$5)</f>
        <v/>
      </c>
      <c r="N1174" s="14">
        <f>IF($AB1174&lt;($D$6-$C$6)/($E$6-$C$6),$C$6+SQRT($AB1174*($E$6-$C$6)*($D$6-$C$6)),$E$6-SQRT((1-$AB1174)*($E$6-$C$6)*($E$6-$D$6)))</f>
        <v/>
      </c>
      <c r="O1174" s="14">
        <f>_xlfn.NORM.INV($AC1174,$C$7,$D$7)</f>
        <v/>
      </c>
      <c r="P1174" s="14">
        <f>$C$8+($D$8-$C$8)*$AD1174</f>
        <v/>
      </c>
      <c r="Q1174" s="14">
        <f>$C$9</f>
        <v/>
      </c>
      <c r="R1174" s="14">
        <f>_xlfn.LOGNORM.INV($AF1174,LN($C$10)-0.5*LN(1+($D$10/$C$10)^2),SQRT(LN(1+($D$10/$C$10)^2)))</f>
        <v/>
      </c>
      <c r="S1174" s="14">
        <f>SUM(M1174:R1174)</f>
        <v/>
      </c>
      <c r="AA1174">
        <f>RAND()</f>
        <v/>
      </c>
      <c r="AB1174">
        <f>RAND()</f>
        <v/>
      </c>
      <c r="AC1174">
        <f>RAND()</f>
        <v/>
      </c>
      <c r="AD1174">
        <f>RAND()</f>
        <v/>
      </c>
      <c r="AE1174">
        <f>RAND()</f>
        <v/>
      </c>
      <c r="AF1174">
        <f>RAND()</f>
        <v/>
      </c>
    </row>
    <row r="1175">
      <c r="M1175" s="14">
        <f>_xlfn.BETA.INV($AA1175,1+4*($D$5-$C$5)/($E$5-$C$5),1+4*($E$5-$D$5)/($E$5-$C$5),$C$5,$E$5)</f>
        <v/>
      </c>
      <c r="N1175" s="14">
        <f>IF($AB1175&lt;($D$6-$C$6)/($E$6-$C$6),$C$6+SQRT($AB1175*($E$6-$C$6)*($D$6-$C$6)),$E$6-SQRT((1-$AB1175)*($E$6-$C$6)*($E$6-$D$6)))</f>
        <v/>
      </c>
      <c r="O1175" s="14">
        <f>_xlfn.NORM.INV($AC1175,$C$7,$D$7)</f>
        <v/>
      </c>
      <c r="P1175" s="14">
        <f>$C$8+($D$8-$C$8)*$AD1175</f>
        <v/>
      </c>
      <c r="Q1175" s="14">
        <f>$C$9</f>
        <v/>
      </c>
      <c r="R1175" s="14">
        <f>_xlfn.LOGNORM.INV($AF1175,LN($C$10)-0.5*LN(1+($D$10/$C$10)^2),SQRT(LN(1+($D$10/$C$10)^2)))</f>
        <v/>
      </c>
      <c r="S1175" s="14">
        <f>SUM(M1175:R1175)</f>
        <v/>
      </c>
      <c r="AA1175">
        <f>RAND()</f>
        <v/>
      </c>
      <c r="AB1175">
        <f>RAND()</f>
        <v/>
      </c>
      <c r="AC1175">
        <f>RAND()</f>
        <v/>
      </c>
      <c r="AD1175">
        <f>RAND()</f>
        <v/>
      </c>
      <c r="AE1175">
        <f>RAND()</f>
        <v/>
      </c>
      <c r="AF1175">
        <f>RAND()</f>
        <v/>
      </c>
    </row>
    <row r="1176">
      <c r="M1176" s="14">
        <f>_xlfn.BETA.INV($AA1176,1+4*($D$5-$C$5)/($E$5-$C$5),1+4*($E$5-$D$5)/($E$5-$C$5),$C$5,$E$5)</f>
        <v/>
      </c>
      <c r="N1176" s="14">
        <f>IF($AB1176&lt;($D$6-$C$6)/($E$6-$C$6),$C$6+SQRT($AB1176*($E$6-$C$6)*($D$6-$C$6)),$E$6-SQRT((1-$AB1176)*($E$6-$C$6)*($E$6-$D$6)))</f>
        <v/>
      </c>
      <c r="O1176" s="14">
        <f>_xlfn.NORM.INV($AC1176,$C$7,$D$7)</f>
        <v/>
      </c>
      <c r="P1176" s="14">
        <f>$C$8+($D$8-$C$8)*$AD1176</f>
        <v/>
      </c>
      <c r="Q1176" s="14">
        <f>$C$9</f>
        <v/>
      </c>
      <c r="R1176" s="14">
        <f>_xlfn.LOGNORM.INV($AF1176,LN($C$10)-0.5*LN(1+($D$10/$C$10)^2),SQRT(LN(1+($D$10/$C$10)^2)))</f>
        <v/>
      </c>
      <c r="S1176" s="14">
        <f>SUM(M1176:R1176)</f>
        <v/>
      </c>
      <c r="AA1176">
        <f>RAND()</f>
        <v/>
      </c>
      <c r="AB1176">
        <f>RAND()</f>
        <v/>
      </c>
      <c r="AC1176">
        <f>RAND()</f>
        <v/>
      </c>
      <c r="AD1176">
        <f>RAND()</f>
        <v/>
      </c>
      <c r="AE1176">
        <f>RAND()</f>
        <v/>
      </c>
      <c r="AF1176">
        <f>RAND()</f>
        <v/>
      </c>
    </row>
    <row r="1177">
      <c r="M1177" s="14">
        <f>_xlfn.BETA.INV($AA1177,1+4*($D$5-$C$5)/($E$5-$C$5),1+4*($E$5-$D$5)/($E$5-$C$5),$C$5,$E$5)</f>
        <v/>
      </c>
      <c r="N1177" s="14">
        <f>IF($AB1177&lt;($D$6-$C$6)/($E$6-$C$6),$C$6+SQRT($AB1177*($E$6-$C$6)*($D$6-$C$6)),$E$6-SQRT((1-$AB1177)*($E$6-$C$6)*($E$6-$D$6)))</f>
        <v/>
      </c>
      <c r="O1177" s="14">
        <f>_xlfn.NORM.INV($AC1177,$C$7,$D$7)</f>
        <v/>
      </c>
      <c r="P1177" s="14">
        <f>$C$8+($D$8-$C$8)*$AD1177</f>
        <v/>
      </c>
      <c r="Q1177" s="14">
        <f>$C$9</f>
        <v/>
      </c>
      <c r="R1177" s="14">
        <f>_xlfn.LOGNORM.INV($AF1177,LN($C$10)-0.5*LN(1+($D$10/$C$10)^2),SQRT(LN(1+($D$10/$C$10)^2)))</f>
        <v/>
      </c>
      <c r="S1177" s="14">
        <f>SUM(M1177:R1177)</f>
        <v/>
      </c>
      <c r="AA1177">
        <f>RAND()</f>
        <v/>
      </c>
      <c r="AB1177">
        <f>RAND()</f>
        <v/>
      </c>
      <c r="AC1177">
        <f>RAND()</f>
        <v/>
      </c>
      <c r="AD1177">
        <f>RAND()</f>
        <v/>
      </c>
      <c r="AE1177">
        <f>RAND()</f>
        <v/>
      </c>
      <c r="AF1177">
        <f>RAND()</f>
        <v/>
      </c>
    </row>
    <row r="1178">
      <c r="M1178" s="14">
        <f>_xlfn.BETA.INV($AA1178,1+4*($D$5-$C$5)/($E$5-$C$5),1+4*($E$5-$D$5)/($E$5-$C$5),$C$5,$E$5)</f>
        <v/>
      </c>
      <c r="N1178" s="14">
        <f>IF($AB1178&lt;($D$6-$C$6)/($E$6-$C$6),$C$6+SQRT($AB1178*($E$6-$C$6)*($D$6-$C$6)),$E$6-SQRT((1-$AB1178)*($E$6-$C$6)*($E$6-$D$6)))</f>
        <v/>
      </c>
      <c r="O1178" s="14">
        <f>_xlfn.NORM.INV($AC1178,$C$7,$D$7)</f>
        <v/>
      </c>
      <c r="P1178" s="14">
        <f>$C$8+($D$8-$C$8)*$AD1178</f>
        <v/>
      </c>
      <c r="Q1178" s="14">
        <f>$C$9</f>
        <v/>
      </c>
      <c r="R1178" s="14">
        <f>_xlfn.LOGNORM.INV($AF1178,LN($C$10)-0.5*LN(1+($D$10/$C$10)^2),SQRT(LN(1+($D$10/$C$10)^2)))</f>
        <v/>
      </c>
      <c r="S1178" s="14">
        <f>SUM(M1178:R1178)</f>
        <v/>
      </c>
      <c r="AA1178">
        <f>RAND()</f>
        <v/>
      </c>
      <c r="AB1178">
        <f>RAND()</f>
        <v/>
      </c>
      <c r="AC1178">
        <f>RAND()</f>
        <v/>
      </c>
      <c r="AD1178">
        <f>RAND()</f>
        <v/>
      </c>
      <c r="AE1178">
        <f>RAND()</f>
        <v/>
      </c>
      <c r="AF1178">
        <f>RAND()</f>
        <v/>
      </c>
    </row>
    <row r="1179">
      <c r="M1179" s="14">
        <f>_xlfn.BETA.INV($AA1179,1+4*($D$5-$C$5)/($E$5-$C$5),1+4*($E$5-$D$5)/($E$5-$C$5),$C$5,$E$5)</f>
        <v/>
      </c>
      <c r="N1179" s="14">
        <f>IF($AB1179&lt;($D$6-$C$6)/($E$6-$C$6),$C$6+SQRT($AB1179*($E$6-$C$6)*($D$6-$C$6)),$E$6-SQRT((1-$AB1179)*($E$6-$C$6)*($E$6-$D$6)))</f>
        <v/>
      </c>
      <c r="O1179" s="14">
        <f>_xlfn.NORM.INV($AC1179,$C$7,$D$7)</f>
        <v/>
      </c>
      <c r="P1179" s="14">
        <f>$C$8+($D$8-$C$8)*$AD1179</f>
        <v/>
      </c>
      <c r="Q1179" s="14">
        <f>$C$9</f>
        <v/>
      </c>
      <c r="R1179" s="14">
        <f>_xlfn.LOGNORM.INV($AF1179,LN($C$10)-0.5*LN(1+($D$10/$C$10)^2),SQRT(LN(1+($D$10/$C$10)^2)))</f>
        <v/>
      </c>
      <c r="S1179" s="14">
        <f>SUM(M1179:R1179)</f>
        <v/>
      </c>
      <c r="AA1179">
        <f>RAND()</f>
        <v/>
      </c>
      <c r="AB1179">
        <f>RAND()</f>
        <v/>
      </c>
      <c r="AC1179">
        <f>RAND()</f>
        <v/>
      </c>
      <c r="AD1179">
        <f>RAND()</f>
        <v/>
      </c>
      <c r="AE1179">
        <f>RAND()</f>
        <v/>
      </c>
      <c r="AF1179">
        <f>RAND()</f>
        <v/>
      </c>
    </row>
    <row r="1180">
      <c r="M1180" s="14">
        <f>_xlfn.BETA.INV($AA1180,1+4*($D$5-$C$5)/($E$5-$C$5),1+4*($E$5-$D$5)/($E$5-$C$5),$C$5,$E$5)</f>
        <v/>
      </c>
      <c r="N1180" s="14">
        <f>IF($AB1180&lt;($D$6-$C$6)/($E$6-$C$6),$C$6+SQRT($AB1180*($E$6-$C$6)*($D$6-$C$6)),$E$6-SQRT((1-$AB1180)*($E$6-$C$6)*($E$6-$D$6)))</f>
        <v/>
      </c>
      <c r="O1180" s="14">
        <f>_xlfn.NORM.INV($AC1180,$C$7,$D$7)</f>
        <v/>
      </c>
      <c r="P1180" s="14">
        <f>$C$8+($D$8-$C$8)*$AD1180</f>
        <v/>
      </c>
      <c r="Q1180" s="14">
        <f>$C$9</f>
        <v/>
      </c>
      <c r="R1180" s="14">
        <f>_xlfn.LOGNORM.INV($AF1180,LN($C$10)-0.5*LN(1+($D$10/$C$10)^2),SQRT(LN(1+($D$10/$C$10)^2)))</f>
        <v/>
      </c>
      <c r="S1180" s="14">
        <f>SUM(M1180:R1180)</f>
        <v/>
      </c>
      <c r="AA1180">
        <f>RAND()</f>
        <v/>
      </c>
      <c r="AB1180">
        <f>RAND()</f>
        <v/>
      </c>
      <c r="AC1180">
        <f>RAND()</f>
        <v/>
      </c>
      <c r="AD1180">
        <f>RAND()</f>
        <v/>
      </c>
      <c r="AE1180">
        <f>RAND()</f>
        <v/>
      </c>
      <c r="AF1180">
        <f>RAND()</f>
        <v/>
      </c>
    </row>
    <row r="1181">
      <c r="M1181" s="14">
        <f>_xlfn.BETA.INV($AA1181,1+4*($D$5-$C$5)/($E$5-$C$5),1+4*($E$5-$D$5)/($E$5-$C$5),$C$5,$E$5)</f>
        <v/>
      </c>
      <c r="N1181" s="14">
        <f>IF($AB1181&lt;($D$6-$C$6)/($E$6-$C$6),$C$6+SQRT($AB1181*($E$6-$C$6)*($D$6-$C$6)),$E$6-SQRT((1-$AB1181)*($E$6-$C$6)*($E$6-$D$6)))</f>
        <v/>
      </c>
      <c r="O1181" s="14">
        <f>_xlfn.NORM.INV($AC1181,$C$7,$D$7)</f>
        <v/>
      </c>
      <c r="P1181" s="14">
        <f>$C$8+($D$8-$C$8)*$AD1181</f>
        <v/>
      </c>
      <c r="Q1181" s="14">
        <f>$C$9</f>
        <v/>
      </c>
      <c r="R1181" s="14">
        <f>_xlfn.LOGNORM.INV($AF1181,LN($C$10)-0.5*LN(1+($D$10/$C$10)^2),SQRT(LN(1+($D$10/$C$10)^2)))</f>
        <v/>
      </c>
      <c r="S1181" s="14">
        <f>SUM(M1181:R1181)</f>
        <v/>
      </c>
      <c r="AA1181">
        <f>RAND()</f>
        <v/>
      </c>
      <c r="AB1181">
        <f>RAND()</f>
        <v/>
      </c>
      <c r="AC1181">
        <f>RAND()</f>
        <v/>
      </c>
      <c r="AD1181">
        <f>RAND()</f>
        <v/>
      </c>
      <c r="AE1181">
        <f>RAND()</f>
        <v/>
      </c>
      <c r="AF1181">
        <f>RAND()</f>
        <v/>
      </c>
    </row>
    <row r="1182">
      <c r="M1182" s="14">
        <f>_xlfn.BETA.INV($AA1182,1+4*($D$5-$C$5)/($E$5-$C$5),1+4*($E$5-$D$5)/($E$5-$C$5),$C$5,$E$5)</f>
        <v/>
      </c>
      <c r="N1182" s="14">
        <f>IF($AB1182&lt;($D$6-$C$6)/($E$6-$C$6),$C$6+SQRT($AB1182*($E$6-$C$6)*($D$6-$C$6)),$E$6-SQRT((1-$AB1182)*($E$6-$C$6)*($E$6-$D$6)))</f>
        <v/>
      </c>
      <c r="O1182" s="14">
        <f>_xlfn.NORM.INV($AC1182,$C$7,$D$7)</f>
        <v/>
      </c>
      <c r="P1182" s="14">
        <f>$C$8+($D$8-$C$8)*$AD1182</f>
        <v/>
      </c>
      <c r="Q1182" s="14">
        <f>$C$9</f>
        <v/>
      </c>
      <c r="R1182" s="14">
        <f>_xlfn.LOGNORM.INV($AF1182,LN($C$10)-0.5*LN(1+($D$10/$C$10)^2),SQRT(LN(1+($D$10/$C$10)^2)))</f>
        <v/>
      </c>
      <c r="S1182" s="14">
        <f>SUM(M1182:R1182)</f>
        <v/>
      </c>
      <c r="AA1182">
        <f>RAND()</f>
        <v/>
      </c>
      <c r="AB1182">
        <f>RAND()</f>
        <v/>
      </c>
      <c r="AC1182">
        <f>RAND()</f>
        <v/>
      </c>
      <c r="AD1182">
        <f>RAND()</f>
        <v/>
      </c>
      <c r="AE1182">
        <f>RAND()</f>
        <v/>
      </c>
      <c r="AF1182">
        <f>RAND()</f>
        <v/>
      </c>
    </row>
    <row r="1183">
      <c r="M1183" s="14">
        <f>_xlfn.BETA.INV($AA1183,1+4*($D$5-$C$5)/($E$5-$C$5),1+4*($E$5-$D$5)/($E$5-$C$5),$C$5,$E$5)</f>
        <v/>
      </c>
      <c r="N1183" s="14">
        <f>IF($AB1183&lt;($D$6-$C$6)/($E$6-$C$6),$C$6+SQRT($AB1183*($E$6-$C$6)*($D$6-$C$6)),$E$6-SQRT((1-$AB1183)*($E$6-$C$6)*($E$6-$D$6)))</f>
        <v/>
      </c>
      <c r="O1183" s="14">
        <f>_xlfn.NORM.INV($AC1183,$C$7,$D$7)</f>
        <v/>
      </c>
      <c r="P1183" s="14">
        <f>$C$8+($D$8-$C$8)*$AD1183</f>
        <v/>
      </c>
      <c r="Q1183" s="14">
        <f>$C$9</f>
        <v/>
      </c>
      <c r="R1183" s="14">
        <f>_xlfn.LOGNORM.INV($AF1183,LN($C$10)-0.5*LN(1+($D$10/$C$10)^2),SQRT(LN(1+($D$10/$C$10)^2)))</f>
        <v/>
      </c>
      <c r="S1183" s="14">
        <f>SUM(M1183:R1183)</f>
        <v/>
      </c>
      <c r="AA1183">
        <f>RAND()</f>
        <v/>
      </c>
      <c r="AB1183">
        <f>RAND()</f>
        <v/>
      </c>
      <c r="AC1183">
        <f>RAND()</f>
        <v/>
      </c>
      <c r="AD1183">
        <f>RAND()</f>
        <v/>
      </c>
      <c r="AE1183">
        <f>RAND()</f>
        <v/>
      </c>
      <c r="AF1183">
        <f>RAND()</f>
        <v/>
      </c>
    </row>
    <row r="1184">
      <c r="M1184" s="14">
        <f>_xlfn.BETA.INV($AA1184,1+4*($D$5-$C$5)/($E$5-$C$5),1+4*($E$5-$D$5)/($E$5-$C$5),$C$5,$E$5)</f>
        <v/>
      </c>
      <c r="N1184" s="14">
        <f>IF($AB1184&lt;($D$6-$C$6)/($E$6-$C$6),$C$6+SQRT($AB1184*($E$6-$C$6)*($D$6-$C$6)),$E$6-SQRT((1-$AB1184)*($E$6-$C$6)*($E$6-$D$6)))</f>
        <v/>
      </c>
      <c r="O1184" s="14">
        <f>_xlfn.NORM.INV($AC1184,$C$7,$D$7)</f>
        <v/>
      </c>
      <c r="P1184" s="14">
        <f>$C$8+($D$8-$C$8)*$AD1184</f>
        <v/>
      </c>
      <c r="Q1184" s="14">
        <f>$C$9</f>
        <v/>
      </c>
      <c r="R1184" s="14">
        <f>_xlfn.LOGNORM.INV($AF1184,LN($C$10)-0.5*LN(1+($D$10/$C$10)^2),SQRT(LN(1+($D$10/$C$10)^2)))</f>
        <v/>
      </c>
      <c r="S1184" s="14">
        <f>SUM(M1184:R1184)</f>
        <v/>
      </c>
      <c r="AA1184">
        <f>RAND()</f>
        <v/>
      </c>
      <c r="AB1184">
        <f>RAND()</f>
        <v/>
      </c>
      <c r="AC1184">
        <f>RAND()</f>
        <v/>
      </c>
      <c r="AD1184">
        <f>RAND()</f>
        <v/>
      </c>
      <c r="AE1184">
        <f>RAND()</f>
        <v/>
      </c>
      <c r="AF1184">
        <f>RAND()</f>
        <v/>
      </c>
    </row>
    <row r="1185">
      <c r="M1185" s="14">
        <f>_xlfn.BETA.INV($AA1185,1+4*($D$5-$C$5)/($E$5-$C$5),1+4*($E$5-$D$5)/($E$5-$C$5),$C$5,$E$5)</f>
        <v/>
      </c>
      <c r="N1185" s="14">
        <f>IF($AB1185&lt;($D$6-$C$6)/($E$6-$C$6),$C$6+SQRT($AB1185*($E$6-$C$6)*($D$6-$C$6)),$E$6-SQRT((1-$AB1185)*($E$6-$C$6)*($E$6-$D$6)))</f>
        <v/>
      </c>
      <c r="O1185" s="14">
        <f>_xlfn.NORM.INV($AC1185,$C$7,$D$7)</f>
        <v/>
      </c>
      <c r="P1185" s="14">
        <f>$C$8+($D$8-$C$8)*$AD1185</f>
        <v/>
      </c>
      <c r="Q1185" s="14">
        <f>$C$9</f>
        <v/>
      </c>
      <c r="R1185" s="14">
        <f>_xlfn.LOGNORM.INV($AF1185,LN($C$10)-0.5*LN(1+($D$10/$C$10)^2),SQRT(LN(1+($D$10/$C$10)^2)))</f>
        <v/>
      </c>
      <c r="S1185" s="14">
        <f>SUM(M1185:R1185)</f>
        <v/>
      </c>
      <c r="AA1185">
        <f>RAND()</f>
        <v/>
      </c>
      <c r="AB1185">
        <f>RAND()</f>
        <v/>
      </c>
      <c r="AC1185">
        <f>RAND()</f>
        <v/>
      </c>
      <c r="AD1185">
        <f>RAND()</f>
        <v/>
      </c>
      <c r="AE1185">
        <f>RAND()</f>
        <v/>
      </c>
      <c r="AF1185">
        <f>RAND()</f>
        <v/>
      </c>
    </row>
    <row r="1186">
      <c r="M1186" s="14">
        <f>_xlfn.BETA.INV($AA1186,1+4*($D$5-$C$5)/($E$5-$C$5),1+4*($E$5-$D$5)/($E$5-$C$5),$C$5,$E$5)</f>
        <v/>
      </c>
      <c r="N1186" s="14">
        <f>IF($AB1186&lt;($D$6-$C$6)/($E$6-$C$6),$C$6+SQRT($AB1186*($E$6-$C$6)*($D$6-$C$6)),$E$6-SQRT((1-$AB1186)*($E$6-$C$6)*($E$6-$D$6)))</f>
        <v/>
      </c>
      <c r="O1186" s="14">
        <f>_xlfn.NORM.INV($AC1186,$C$7,$D$7)</f>
        <v/>
      </c>
      <c r="P1186" s="14">
        <f>$C$8+($D$8-$C$8)*$AD1186</f>
        <v/>
      </c>
      <c r="Q1186" s="14">
        <f>$C$9</f>
        <v/>
      </c>
      <c r="R1186" s="14">
        <f>_xlfn.LOGNORM.INV($AF1186,LN($C$10)-0.5*LN(1+($D$10/$C$10)^2),SQRT(LN(1+($D$10/$C$10)^2)))</f>
        <v/>
      </c>
      <c r="S1186" s="14">
        <f>SUM(M1186:R1186)</f>
        <v/>
      </c>
      <c r="AA1186">
        <f>RAND()</f>
        <v/>
      </c>
      <c r="AB1186">
        <f>RAND()</f>
        <v/>
      </c>
      <c r="AC1186">
        <f>RAND()</f>
        <v/>
      </c>
      <c r="AD1186">
        <f>RAND()</f>
        <v/>
      </c>
      <c r="AE1186">
        <f>RAND()</f>
        <v/>
      </c>
      <c r="AF1186">
        <f>RAND()</f>
        <v/>
      </c>
    </row>
    <row r="1187">
      <c r="M1187" s="14">
        <f>_xlfn.BETA.INV($AA1187,1+4*($D$5-$C$5)/($E$5-$C$5),1+4*($E$5-$D$5)/($E$5-$C$5),$C$5,$E$5)</f>
        <v/>
      </c>
      <c r="N1187" s="14">
        <f>IF($AB1187&lt;($D$6-$C$6)/($E$6-$C$6),$C$6+SQRT($AB1187*($E$6-$C$6)*($D$6-$C$6)),$E$6-SQRT((1-$AB1187)*($E$6-$C$6)*($E$6-$D$6)))</f>
        <v/>
      </c>
      <c r="O1187" s="14">
        <f>_xlfn.NORM.INV($AC1187,$C$7,$D$7)</f>
        <v/>
      </c>
      <c r="P1187" s="14">
        <f>$C$8+($D$8-$C$8)*$AD1187</f>
        <v/>
      </c>
      <c r="Q1187" s="14">
        <f>$C$9</f>
        <v/>
      </c>
      <c r="R1187" s="14">
        <f>_xlfn.LOGNORM.INV($AF1187,LN($C$10)-0.5*LN(1+($D$10/$C$10)^2),SQRT(LN(1+($D$10/$C$10)^2)))</f>
        <v/>
      </c>
      <c r="S1187" s="14">
        <f>SUM(M1187:R1187)</f>
        <v/>
      </c>
      <c r="AA1187">
        <f>RAND()</f>
        <v/>
      </c>
      <c r="AB1187">
        <f>RAND()</f>
        <v/>
      </c>
      <c r="AC1187">
        <f>RAND()</f>
        <v/>
      </c>
      <c r="AD1187">
        <f>RAND()</f>
        <v/>
      </c>
      <c r="AE1187">
        <f>RAND()</f>
        <v/>
      </c>
      <c r="AF1187">
        <f>RAND()</f>
        <v/>
      </c>
    </row>
    <row r="1188">
      <c r="M1188" s="14">
        <f>_xlfn.BETA.INV($AA1188,1+4*($D$5-$C$5)/($E$5-$C$5),1+4*($E$5-$D$5)/($E$5-$C$5),$C$5,$E$5)</f>
        <v/>
      </c>
      <c r="N1188" s="14">
        <f>IF($AB1188&lt;($D$6-$C$6)/($E$6-$C$6),$C$6+SQRT($AB1188*($E$6-$C$6)*($D$6-$C$6)),$E$6-SQRT((1-$AB1188)*($E$6-$C$6)*($E$6-$D$6)))</f>
        <v/>
      </c>
      <c r="O1188" s="14">
        <f>_xlfn.NORM.INV($AC1188,$C$7,$D$7)</f>
        <v/>
      </c>
      <c r="P1188" s="14">
        <f>$C$8+($D$8-$C$8)*$AD1188</f>
        <v/>
      </c>
      <c r="Q1188" s="14">
        <f>$C$9</f>
        <v/>
      </c>
      <c r="R1188" s="14">
        <f>_xlfn.LOGNORM.INV($AF1188,LN($C$10)-0.5*LN(1+($D$10/$C$10)^2),SQRT(LN(1+($D$10/$C$10)^2)))</f>
        <v/>
      </c>
      <c r="S1188" s="14">
        <f>SUM(M1188:R1188)</f>
        <v/>
      </c>
      <c r="AA1188">
        <f>RAND()</f>
        <v/>
      </c>
      <c r="AB1188">
        <f>RAND()</f>
        <v/>
      </c>
      <c r="AC1188">
        <f>RAND()</f>
        <v/>
      </c>
      <c r="AD1188">
        <f>RAND()</f>
        <v/>
      </c>
      <c r="AE1188">
        <f>RAND()</f>
        <v/>
      </c>
      <c r="AF1188">
        <f>RAND()</f>
        <v/>
      </c>
    </row>
    <row r="1189">
      <c r="M1189" s="14">
        <f>_xlfn.BETA.INV($AA1189,1+4*($D$5-$C$5)/($E$5-$C$5),1+4*($E$5-$D$5)/($E$5-$C$5),$C$5,$E$5)</f>
        <v/>
      </c>
      <c r="N1189" s="14">
        <f>IF($AB1189&lt;($D$6-$C$6)/($E$6-$C$6),$C$6+SQRT($AB1189*($E$6-$C$6)*($D$6-$C$6)),$E$6-SQRT((1-$AB1189)*($E$6-$C$6)*($E$6-$D$6)))</f>
        <v/>
      </c>
      <c r="O1189" s="14">
        <f>_xlfn.NORM.INV($AC1189,$C$7,$D$7)</f>
        <v/>
      </c>
      <c r="P1189" s="14">
        <f>$C$8+($D$8-$C$8)*$AD1189</f>
        <v/>
      </c>
      <c r="Q1189" s="14">
        <f>$C$9</f>
        <v/>
      </c>
      <c r="R1189" s="14">
        <f>_xlfn.LOGNORM.INV($AF1189,LN($C$10)-0.5*LN(1+($D$10/$C$10)^2),SQRT(LN(1+($D$10/$C$10)^2)))</f>
        <v/>
      </c>
      <c r="S1189" s="14">
        <f>SUM(M1189:R1189)</f>
        <v/>
      </c>
      <c r="AA1189">
        <f>RAND()</f>
        <v/>
      </c>
      <c r="AB1189">
        <f>RAND()</f>
        <v/>
      </c>
      <c r="AC1189">
        <f>RAND()</f>
        <v/>
      </c>
      <c r="AD1189">
        <f>RAND()</f>
        <v/>
      </c>
      <c r="AE1189">
        <f>RAND()</f>
        <v/>
      </c>
      <c r="AF1189">
        <f>RAND()</f>
        <v/>
      </c>
    </row>
    <row r="1190">
      <c r="M1190" s="14">
        <f>_xlfn.BETA.INV($AA1190,1+4*($D$5-$C$5)/($E$5-$C$5),1+4*($E$5-$D$5)/($E$5-$C$5),$C$5,$E$5)</f>
        <v/>
      </c>
      <c r="N1190" s="14">
        <f>IF($AB1190&lt;($D$6-$C$6)/($E$6-$C$6),$C$6+SQRT($AB1190*($E$6-$C$6)*($D$6-$C$6)),$E$6-SQRT((1-$AB1190)*($E$6-$C$6)*($E$6-$D$6)))</f>
        <v/>
      </c>
      <c r="O1190" s="14">
        <f>_xlfn.NORM.INV($AC1190,$C$7,$D$7)</f>
        <v/>
      </c>
      <c r="P1190" s="14">
        <f>$C$8+($D$8-$C$8)*$AD1190</f>
        <v/>
      </c>
      <c r="Q1190" s="14">
        <f>$C$9</f>
        <v/>
      </c>
      <c r="R1190" s="14">
        <f>_xlfn.LOGNORM.INV($AF1190,LN($C$10)-0.5*LN(1+($D$10/$C$10)^2),SQRT(LN(1+($D$10/$C$10)^2)))</f>
        <v/>
      </c>
      <c r="S1190" s="14">
        <f>SUM(M1190:R1190)</f>
        <v/>
      </c>
      <c r="AA1190">
        <f>RAND()</f>
        <v/>
      </c>
      <c r="AB1190">
        <f>RAND()</f>
        <v/>
      </c>
      <c r="AC1190">
        <f>RAND()</f>
        <v/>
      </c>
      <c r="AD1190">
        <f>RAND()</f>
        <v/>
      </c>
      <c r="AE1190">
        <f>RAND()</f>
        <v/>
      </c>
      <c r="AF1190">
        <f>RAND()</f>
        <v/>
      </c>
    </row>
    <row r="1191">
      <c r="M1191" s="14">
        <f>_xlfn.BETA.INV($AA1191,1+4*($D$5-$C$5)/($E$5-$C$5),1+4*($E$5-$D$5)/($E$5-$C$5),$C$5,$E$5)</f>
        <v/>
      </c>
      <c r="N1191" s="14">
        <f>IF($AB1191&lt;($D$6-$C$6)/($E$6-$C$6),$C$6+SQRT($AB1191*($E$6-$C$6)*($D$6-$C$6)),$E$6-SQRT((1-$AB1191)*($E$6-$C$6)*($E$6-$D$6)))</f>
        <v/>
      </c>
      <c r="O1191" s="14">
        <f>_xlfn.NORM.INV($AC1191,$C$7,$D$7)</f>
        <v/>
      </c>
      <c r="P1191" s="14">
        <f>$C$8+($D$8-$C$8)*$AD1191</f>
        <v/>
      </c>
      <c r="Q1191" s="14">
        <f>$C$9</f>
        <v/>
      </c>
      <c r="R1191" s="14">
        <f>_xlfn.LOGNORM.INV($AF1191,LN($C$10)-0.5*LN(1+($D$10/$C$10)^2),SQRT(LN(1+($D$10/$C$10)^2)))</f>
        <v/>
      </c>
      <c r="S1191" s="14">
        <f>SUM(M1191:R1191)</f>
        <v/>
      </c>
      <c r="AA1191">
        <f>RAND()</f>
        <v/>
      </c>
      <c r="AB1191">
        <f>RAND()</f>
        <v/>
      </c>
      <c r="AC1191">
        <f>RAND()</f>
        <v/>
      </c>
      <c r="AD1191">
        <f>RAND()</f>
        <v/>
      </c>
      <c r="AE1191">
        <f>RAND()</f>
        <v/>
      </c>
      <c r="AF1191">
        <f>RAND()</f>
        <v/>
      </c>
    </row>
    <row r="1192">
      <c r="M1192" s="14">
        <f>_xlfn.BETA.INV($AA1192,1+4*($D$5-$C$5)/($E$5-$C$5),1+4*($E$5-$D$5)/($E$5-$C$5),$C$5,$E$5)</f>
        <v/>
      </c>
      <c r="N1192" s="14">
        <f>IF($AB1192&lt;($D$6-$C$6)/($E$6-$C$6),$C$6+SQRT($AB1192*($E$6-$C$6)*($D$6-$C$6)),$E$6-SQRT((1-$AB1192)*($E$6-$C$6)*($E$6-$D$6)))</f>
        <v/>
      </c>
      <c r="O1192" s="14">
        <f>_xlfn.NORM.INV($AC1192,$C$7,$D$7)</f>
        <v/>
      </c>
      <c r="P1192" s="14">
        <f>$C$8+($D$8-$C$8)*$AD1192</f>
        <v/>
      </c>
      <c r="Q1192" s="14">
        <f>$C$9</f>
        <v/>
      </c>
      <c r="R1192" s="14">
        <f>_xlfn.LOGNORM.INV($AF1192,LN($C$10)-0.5*LN(1+($D$10/$C$10)^2),SQRT(LN(1+($D$10/$C$10)^2)))</f>
        <v/>
      </c>
      <c r="S1192" s="14">
        <f>SUM(M1192:R1192)</f>
        <v/>
      </c>
      <c r="AA1192">
        <f>RAND()</f>
        <v/>
      </c>
      <c r="AB1192">
        <f>RAND()</f>
        <v/>
      </c>
      <c r="AC1192">
        <f>RAND()</f>
        <v/>
      </c>
      <c r="AD1192">
        <f>RAND()</f>
        <v/>
      </c>
      <c r="AE1192">
        <f>RAND()</f>
        <v/>
      </c>
      <c r="AF1192">
        <f>RAND()</f>
        <v/>
      </c>
    </row>
    <row r="1193">
      <c r="M1193" s="14">
        <f>_xlfn.BETA.INV($AA1193,1+4*($D$5-$C$5)/($E$5-$C$5),1+4*($E$5-$D$5)/($E$5-$C$5),$C$5,$E$5)</f>
        <v/>
      </c>
      <c r="N1193" s="14">
        <f>IF($AB1193&lt;($D$6-$C$6)/($E$6-$C$6),$C$6+SQRT($AB1193*($E$6-$C$6)*($D$6-$C$6)),$E$6-SQRT((1-$AB1193)*($E$6-$C$6)*($E$6-$D$6)))</f>
        <v/>
      </c>
      <c r="O1193" s="14">
        <f>_xlfn.NORM.INV($AC1193,$C$7,$D$7)</f>
        <v/>
      </c>
      <c r="P1193" s="14">
        <f>$C$8+($D$8-$C$8)*$AD1193</f>
        <v/>
      </c>
      <c r="Q1193" s="14">
        <f>$C$9</f>
        <v/>
      </c>
      <c r="R1193" s="14">
        <f>_xlfn.LOGNORM.INV($AF1193,LN($C$10)-0.5*LN(1+($D$10/$C$10)^2),SQRT(LN(1+($D$10/$C$10)^2)))</f>
        <v/>
      </c>
      <c r="S1193" s="14">
        <f>SUM(M1193:R1193)</f>
        <v/>
      </c>
      <c r="AA1193">
        <f>RAND()</f>
        <v/>
      </c>
      <c r="AB1193">
        <f>RAND()</f>
        <v/>
      </c>
      <c r="AC1193">
        <f>RAND()</f>
        <v/>
      </c>
      <c r="AD1193">
        <f>RAND()</f>
        <v/>
      </c>
      <c r="AE1193">
        <f>RAND()</f>
        <v/>
      </c>
      <c r="AF1193">
        <f>RAND()</f>
        <v/>
      </c>
    </row>
    <row r="1194">
      <c r="M1194" s="14">
        <f>_xlfn.BETA.INV($AA1194,1+4*($D$5-$C$5)/($E$5-$C$5),1+4*($E$5-$D$5)/($E$5-$C$5),$C$5,$E$5)</f>
        <v/>
      </c>
      <c r="N1194" s="14">
        <f>IF($AB1194&lt;($D$6-$C$6)/($E$6-$C$6),$C$6+SQRT($AB1194*($E$6-$C$6)*($D$6-$C$6)),$E$6-SQRT((1-$AB1194)*($E$6-$C$6)*($E$6-$D$6)))</f>
        <v/>
      </c>
      <c r="O1194" s="14">
        <f>_xlfn.NORM.INV($AC1194,$C$7,$D$7)</f>
        <v/>
      </c>
      <c r="P1194" s="14">
        <f>$C$8+($D$8-$C$8)*$AD1194</f>
        <v/>
      </c>
      <c r="Q1194" s="14">
        <f>$C$9</f>
        <v/>
      </c>
      <c r="R1194" s="14">
        <f>_xlfn.LOGNORM.INV($AF1194,LN($C$10)-0.5*LN(1+($D$10/$C$10)^2),SQRT(LN(1+($D$10/$C$10)^2)))</f>
        <v/>
      </c>
      <c r="S1194" s="14">
        <f>SUM(M1194:R1194)</f>
        <v/>
      </c>
      <c r="AA1194">
        <f>RAND()</f>
        <v/>
      </c>
      <c r="AB1194">
        <f>RAND()</f>
        <v/>
      </c>
      <c r="AC1194">
        <f>RAND()</f>
        <v/>
      </c>
      <c r="AD1194">
        <f>RAND()</f>
        <v/>
      </c>
      <c r="AE1194">
        <f>RAND()</f>
        <v/>
      </c>
      <c r="AF1194">
        <f>RAND()</f>
        <v/>
      </c>
    </row>
    <row r="1195">
      <c r="M1195" s="14">
        <f>_xlfn.BETA.INV($AA1195,1+4*($D$5-$C$5)/($E$5-$C$5),1+4*($E$5-$D$5)/($E$5-$C$5),$C$5,$E$5)</f>
        <v/>
      </c>
      <c r="N1195" s="14">
        <f>IF($AB1195&lt;($D$6-$C$6)/($E$6-$C$6),$C$6+SQRT($AB1195*($E$6-$C$6)*($D$6-$C$6)),$E$6-SQRT((1-$AB1195)*($E$6-$C$6)*($E$6-$D$6)))</f>
        <v/>
      </c>
      <c r="O1195" s="14">
        <f>_xlfn.NORM.INV($AC1195,$C$7,$D$7)</f>
        <v/>
      </c>
      <c r="P1195" s="14">
        <f>$C$8+($D$8-$C$8)*$AD1195</f>
        <v/>
      </c>
      <c r="Q1195" s="14">
        <f>$C$9</f>
        <v/>
      </c>
      <c r="R1195" s="14">
        <f>_xlfn.LOGNORM.INV($AF1195,LN($C$10)-0.5*LN(1+($D$10/$C$10)^2),SQRT(LN(1+($D$10/$C$10)^2)))</f>
        <v/>
      </c>
      <c r="S1195" s="14">
        <f>SUM(M1195:R1195)</f>
        <v/>
      </c>
      <c r="AA1195">
        <f>RAND()</f>
        <v/>
      </c>
      <c r="AB1195">
        <f>RAND()</f>
        <v/>
      </c>
      <c r="AC1195">
        <f>RAND()</f>
        <v/>
      </c>
      <c r="AD1195">
        <f>RAND()</f>
        <v/>
      </c>
      <c r="AE1195">
        <f>RAND()</f>
        <v/>
      </c>
      <c r="AF1195">
        <f>RAND()</f>
        <v/>
      </c>
    </row>
    <row r="1196">
      <c r="M1196" s="14">
        <f>_xlfn.BETA.INV($AA1196,1+4*($D$5-$C$5)/($E$5-$C$5),1+4*($E$5-$D$5)/($E$5-$C$5),$C$5,$E$5)</f>
        <v/>
      </c>
      <c r="N1196" s="14">
        <f>IF($AB1196&lt;($D$6-$C$6)/($E$6-$C$6),$C$6+SQRT($AB1196*($E$6-$C$6)*($D$6-$C$6)),$E$6-SQRT((1-$AB1196)*($E$6-$C$6)*($E$6-$D$6)))</f>
        <v/>
      </c>
      <c r="O1196" s="14">
        <f>_xlfn.NORM.INV($AC1196,$C$7,$D$7)</f>
        <v/>
      </c>
      <c r="P1196" s="14">
        <f>$C$8+($D$8-$C$8)*$AD1196</f>
        <v/>
      </c>
      <c r="Q1196" s="14">
        <f>$C$9</f>
        <v/>
      </c>
      <c r="R1196" s="14">
        <f>_xlfn.LOGNORM.INV($AF1196,LN($C$10)-0.5*LN(1+($D$10/$C$10)^2),SQRT(LN(1+($D$10/$C$10)^2)))</f>
        <v/>
      </c>
      <c r="S1196" s="14">
        <f>SUM(M1196:R1196)</f>
        <v/>
      </c>
      <c r="AA1196">
        <f>RAND()</f>
        <v/>
      </c>
      <c r="AB1196">
        <f>RAND()</f>
        <v/>
      </c>
      <c r="AC1196">
        <f>RAND()</f>
        <v/>
      </c>
      <c r="AD1196">
        <f>RAND()</f>
        <v/>
      </c>
      <c r="AE1196">
        <f>RAND()</f>
        <v/>
      </c>
      <c r="AF1196">
        <f>RAND()</f>
        <v/>
      </c>
    </row>
    <row r="1197">
      <c r="M1197" s="14">
        <f>_xlfn.BETA.INV($AA1197,1+4*($D$5-$C$5)/($E$5-$C$5),1+4*($E$5-$D$5)/($E$5-$C$5),$C$5,$E$5)</f>
        <v/>
      </c>
      <c r="N1197" s="14">
        <f>IF($AB1197&lt;($D$6-$C$6)/($E$6-$C$6),$C$6+SQRT($AB1197*($E$6-$C$6)*($D$6-$C$6)),$E$6-SQRT((1-$AB1197)*($E$6-$C$6)*($E$6-$D$6)))</f>
        <v/>
      </c>
      <c r="O1197" s="14">
        <f>_xlfn.NORM.INV($AC1197,$C$7,$D$7)</f>
        <v/>
      </c>
      <c r="P1197" s="14">
        <f>$C$8+($D$8-$C$8)*$AD1197</f>
        <v/>
      </c>
      <c r="Q1197" s="14">
        <f>$C$9</f>
        <v/>
      </c>
      <c r="R1197" s="14">
        <f>_xlfn.LOGNORM.INV($AF1197,LN($C$10)-0.5*LN(1+($D$10/$C$10)^2),SQRT(LN(1+($D$10/$C$10)^2)))</f>
        <v/>
      </c>
      <c r="S1197" s="14">
        <f>SUM(M1197:R1197)</f>
        <v/>
      </c>
      <c r="AA1197">
        <f>RAND()</f>
        <v/>
      </c>
      <c r="AB1197">
        <f>RAND()</f>
        <v/>
      </c>
      <c r="AC1197">
        <f>RAND()</f>
        <v/>
      </c>
      <c r="AD1197">
        <f>RAND()</f>
        <v/>
      </c>
      <c r="AE1197">
        <f>RAND()</f>
        <v/>
      </c>
      <c r="AF1197">
        <f>RAND()</f>
        <v/>
      </c>
    </row>
    <row r="1198">
      <c r="M1198" s="14">
        <f>_xlfn.BETA.INV($AA1198,1+4*($D$5-$C$5)/($E$5-$C$5),1+4*($E$5-$D$5)/($E$5-$C$5),$C$5,$E$5)</f>
        <v/>
      </c>
      <c r="N1198" s="14">
        <f>IF($AB1198&lt;($D$6-$C$6)/($E$6-$C$6),$C$6+SQRT($AB1198*($E$6-$C$6)*($D$6-$C$6)),$E$6-SQRT((1-$AB1198)*($E$6-$C$6)*($E$6-$D$6)))</f>
        <v/>
      </c>
      <c r="O1198" s="14">
        <f>_xlfn.NORM.INV($AC1198,$C$7,$D$7)</f>
        <v/>
      </c>
      <c r="P1198" s="14">
        <f>$C$8+($D$8-$C$8)*$AD1198</f>
        <v/>
      </c>
      <c r="Q1198" s="14">
        <f>$C$9</f>
        <v/>
      </c>
      <c r="R1198" s="14">
        <f>_xlfn.LOGNORM.INV($AF1198,LN($C$10)-0.5*LN(1+($D$10/$C$10)^2),SQRT(LN(1+($D$10/$C$10)^2)))</f>
        <v/>
      </c>
      <c r="S1198" s="14">
        <f>SUM(M1198:R1198)</f>
        <v/>
      </c>
      <c r="AA1198">
        <f>RAND()</f>
        <v/>
      </c>
      <c r="AB1198">
        <f>RAND()</f>
        <v/>
      </c>
      <c r="AC1198">
        <f>RAND()</f>
        <v/>
      </c>
      <c r="AD1198">
        <f>RAND()</f>
        <v/>
      </c>
      <c r="AE1198">
        <f>RAND()</f>
        <v/>
      </c>
      <c r="AF1198">
        <f>RAND()</f>
        <v/>
      </c>
    </row>
    <row r="1199">
      <c r="M1199" s="14">
        <f>_xlfn.BETA.INV($AA1199,1+4*($D$5-$C$5)/($E$5-$C$5),1+4*($E$5-$D$5)/($E$5-$C$5),$C$5,$E$5)</f>
        <v/>
      </c>
      <c r="N1199" s="14">
        <f>IF($AB1199&lt;($D$6-$C$6)/($E$6-$C$6),$C$6+SQRT($AB1199*($E$6-$C$6)*($D$6-$C$6)),$E$6-SQRT((1-$AB1199)*($E$6-$C$6)*($E$6-$D$6)))</f>
        <v/>
      </c>
      <c r="O1199" s="14">
        <f>_xlfn.NORM.INV($AC1199,$C$7,$D$7)</f>
        <v/>
      </c>
      <c r="P1199" s="14">
        <f>$C$8+($D$8-$C$8)*$AD1199</f>
        <v/>
      </c>
      <c r="Q1199" s="14">
        <f>$C$9</f>
        <v/>
      </c>
      <c r="R1199" s="14">
        <f>_xlfn.LOGNORM.INV($AF1199,LN($C$10)-0.5*LN(1+($D$10/$C$10)^2),SQRT(LN(1+($D$10/$C$10)^2)))</f>
        <v/>
      </c>
      <c r="S1199" s="14">
        <f>SUM(M1199:R1199)</f>
        <v/>
      </c>
      <c r="AA1199">
        <f>RAND()</f>
        <v/>
      </c>
      <c r="AB1199">
        <f>RAND()</f>
        <v/>
      </c>
      <c r="AC1199">
        <f>RAND()</f>
        <v/>
      </c>
      <c r="AD1199">
        <f>RAND()</f>
        <v/>
      </c>
      <c r="AE1199">
        <f>RAND()</f>
        <v/>
      </c>
      <c r="AF1199">
        <f>RAND()</f>
        <v/>
      </c>
    </row>
    <row r="1200">
      <c r="M1200" s="14">
        <f>_xlfn.BETA.INV($AA1200,1+4*($D$5-$C$5)/($E$5-$C$5),1+4*($E$5-$D$5)/($E$5-$C$5),$C$5,$E$5)</f>
        <v/>
      </c>
      <c r="N1200" s="14">
        <f>IF($AB1200&lt;($D$6-$C$6)/($E$6-$C$6),$C$6+SQRT($AB1200*($E$6-$C$6)*($D$6-$C$6)),$E$6-SQRT((1-$AB1200)*($E$6-$C$6)*($E$6-$D$6)))</f>
        <v/>
      </c>
      <c r="O1200" s="14">
        <f>_xlfn.NORM.INV($AC1200,$C$7,$D$7)</f>
        <v/>
      </c>
      <c r="P1200" s="14">
        <f>$C$8+($D$8-$C$8)*$AD1200</f>
        <v/>
      </c>
      <c r="Q1200" s="14">
        <f>$C$9</f>
        <v/>
      </c>
      <c r="R1200" s="14">
        <f>_xlfn.LOGNORM.INV($AF1200,LN($C$10)-0.5*LN(1+($D$10/$C$10)^2),SQRT(LN(1+($D$10/$C$10)^2)))</f>
        <v/>
      </c>
      <c r="S1200" s="14">
        <f>SUM(M1200:R1200)</f>
        <v/>
      </c>
      <c r="AA1200">
        <f>RAND()</f>
        <v/>
      </c>
      <c r="AB1200">
        <f>RAND()</f>
        <v/>
      </c>
      <c r="AC1200">
        <f>RAND()</f>
        <v/>
      </c>
      <c r="AD1200">
        <f>RAND()</f>
        <v/>
      </c>
      <c r="AE1200">
        <f>RAND()</f>
        <v/>
      </c>
      <c r="AF1200">
        <f>RAND()</f>
        <v/>
      </c>
    </row>
    <row r="1201">
      <c r="M1201" s="14">
        <f>_xlfn.BETA.INV($AA1201,1+4*($D$5-$C$5)/($E$5-$C$5),1+4*($E$5-$D$5)/($E$5-$C$5),$C$5,$E$5)</f>
        <v/>
      </c>
      <c r="N1201" s="14">
        <f>IF($AB1201&lt;($D$6-$C$6)/($E$6-$C$6),$C$6+SQRT($AB1201*($E$6-$C$6)*($D$6-$C$6)),$E$6-SQRT((1-$AB1201)*($E$6-$C$6)*($E$6-$D$6)))</f>
        <v/>
      </c>
      <c r="O1201" s="14">
        <f>_xlfn.NORM.INV($AC1201,$C$7,$D$7)</f>
        <v/>
      </c>
      <c r="P1201" s="14">
        <f>$C$8+($D$8-$C$8)*$AD1201</f>
        <v/>
      </c>
      <c r="Q1201" s="14">
        <f>$C$9</f>
        <v/>
      </c>
      <c r="R1201" s="14">
        <f>_xlfn.LOGNORM.INV($AF1201,LN($C$10)-0.5*LN(1+($D$10/$C$10)^2),SQRT(LN(1+($D$10/$C$10)^2)))</f>
        <v/>
      </c>
      <c r="S1201" s="14">
        <f>SUM(M1201:R1201)</f>
        <v/>
      </c>
      <c r="AA1201">
        <f>RAND()</f>
        <v/>
      </c>
      <c r="AB1201">
        <f>RAND()</f>
        <v/>
      </c>
      <c r="AC1201">
        <f>RAND()</f>
        <v/>
      </c>
      <c r="AD1201">
        <f>RAND()</f>
        <v/>
      </c>
      <c r="AE1201">
        <f>RAND()</f>
        <v/>
      </c>
      <c r="AF1201">
        <f>RAND()</f>
        <v/>
      </c>
    </row>
    <row r="1202">
      <c r="M1202" s="14">
        <f>_xlfn.BETA.INV($AA1202,1+4*($D$5-$C$5)/($E$5-$C$5),1+4*($E$5-$D$5)/($E$5-$C$5),$C$5,$E$5)</f>
        <v/>
      </c>
      <c r="N1202" s="14">
        <f>IF($AB1202&lt;($D$6-$C$6)/($E$6-$C$6),$C$6+SQRT($AB1202*($E$6-$C$6)*($D$6-$C$6)),$E$6-SQRT((1-$AB1202)*($E$6-$C$6)*($E$6-$D$6)))</f>
        <v/>
      </c>
      <c r="O1202" s="14">
        <f>_xlfn.NORM.INV($AC1202,$C$7,$D$7)</f>
        <v/>
      </c>
      <c r="P1202" s="14">
        <f>$C$8+($D$8-$C$8)*$AD1202</f>
        <v/>
      </c>
      <c r="Q1202" s="14">
        <f>$C$9</f>
        <v/>
      </c>
      <c r="R1202" s="14">
        <f>_xlfn.LOGNORM.INV($AF1202,LN($C$10)-0.5*LN(1+($D$10/$C$10)^2),SQRT(LN(1+($D$10/$C$10)^2)))</f>
        <v/>
      </c>
      <c r="S1202" s="14">
        <f>SUM(M1202:R1202)</f>
        <v/>
      </c>
      <c r="AA1202">
        <f>RAND()</f>
        <v/>
      </c>
      <c r="AB1202">
        <f>RAND()</f>
        <v/>
      </c>
      <c r="AC1202">
        <f>RAND()</f>
        <v/>
      </c>
      <c r="AD1202">
        <f>RAND()</f>
        <v/>
      </c>
      <c r="AE1202">
        <f>RAND()</f>
        <v/>
      </c>
      <c r="AF1202">
        <f>RAND()</f>
        <v/>
      </c>
    </row>
    <row r="1203">
      <c r="M1203" s="14">
        <f>_xlfn.BETA.INV($AA1203,1+4*($D$5-$C$5)/($E$5-$C$5),1+4*($E$5-$D$5)/($E$5-$C$5),$C$5,$E$5)</f>
        <v/>
      </c>
      <c r="N1203" s="14">
        <f>IF($AB1203&lt;($D$6-$C$6)/($E$6-$C$6),$C$6+SQRT($AB1203*($E$6-$C$6)*($D$6-$C$6)),$E$6-SQRT((1-$AB1203)*($E$6-$C$6)*($E$6-$D$6)))</f>
        <v/>
      </c>
      <c r="O1203" s="14">
        <f>_xlfn.NORM.INV($AC1203,$C$7,$D$7)</f>
        <v/>
      </c>
      <c r="P1203" s="14">
        <f>$C$8+($D$8-$C$8)*$AD1203</f>
        <v/>
      </c>
      <c r="Q1203" s="14">
        <f>$C$9</f>
        <v/>
      </c>
      <c r="R1203" s="14">
        <f>_xlfn.LOGNORM.INV($AF1203,LN($C$10)-0.5*LN(1+($D$10/$C$10)^2),SQRT(LN(1+($D$10/$C$10)^2)))</f>
        <v/>
      </c>
      <c r="S1203" s="14">
        <f>SUM(M1203:R1203)</f>
        <v/>
      </c>
      <c r="AA1203">
        <f>RAND()</f>
        <v/>
      </c>
      <c r="AB1203">
        <f>RAND()</f>
        <v/>
      </c>
      <c r="AC1203">
        <f>RAND()</f>
        <v/>
      </c>
      <c r="AD1203">
        <f>RAND()</f>
        <v/>
      </c>
      <c r="AE1203">
        <f>RAND()</f>
        <v/>
      </c>
      <c r="AF1203">
        <f>RAND()</f>
        <v/>
      </c>
    </row>
    <row r="1204">
      <c r="M1204" s="14">
        <f>_xlfn.BETA.INV($AA1204,1+4*($D$5-$C$5)/($E$5-$C$5),1+4*($E$5-$D$5)/($E$5-$C$5),$C$5,$E$5)</f>
        <v/>
      </c>
      <c r="N1204" s="14">
        <f>IF($AB1204&lt;($D$6-$C$6)/($E$6-$C$6),$C$6+SQRT($AB1204*($E$6-$C$6)*($D$6-$C$6)),$E$6-SQRT((1-$AB1204)*($E$6-$C$6)*($E$6-$D$6)))</f>
        <v/>
      </c>
      <c r="O1204" s="14">
        <f>_xlfn.NORM.INV($AC1204,$C$7,$D$7)</f>
        <v/>
      </c>
      <c r="P1204" s="14">
        <f>$C$8+($D$8-$C$8)*$AD1204</f>
        <v/>
      </c>
      <c r="Q1204" s="14">
        <f>$C$9</f>
        <v/>
      </c>
      <c r="R1204" s="14">
        <f>_xlfn.LOGNORM.INV($AF1204,LN($C$10)-0.5*LN(1+($D$10/$C$10)^2),SQRT(LN(1+($D$10/$C$10)^2)))</f>
        <v/>
      </c>
      <c r="S1204" s="14">
        <f>SUM(M1204:R1204)</f>
        <v/>
      </c>
      <c r="AA1204">
        <f>RAND()</f>
        <v/>
      </c>
      <c r="AB1204">
        <f>RAND()</f>
        <v/>
      </c>
      <c r="AC1204">
        <f>RAND()</f>
        <v/>
      </c>
      <c r="AD1204">
        <f>RAND()</f>
        <v/>
      </c>
      <c r="AE1204">
        <f>RAND()</f>
        <v/>
      </c>
      <c r="AF1204">
        <f>RAND()</f>
        <v/>
      </c>
    </row>
    <row r="1205">
      <c r="M1205" s="14">
        <f>_xlfn.BETA.INV($AA1205,1+4*($D$5-$C$5)/($E$5-$C$5),1+4*($E$5-$D$5)/($E$5-$C$5),$C$5,$E$5)</f>
        <v/>
      </c>
      <c r="N1205" s="14">
        <f>IF($AB1205&lt;($D$6-$C$6)/($E$6-$C$6),$C$6+SQRT($AB1205*($E$6-$C$6)*($D$6-$C$6)),$E$6-SQRT((1-$AB1205)*($E$6-$C$6)*($E$6-$D$6)))</f>
        <v/>
      </c>
      <c r="O1205" s="14">
        <f>_xlfn.NORM.INV($AC1205,$C$7,$D$7)</f>
        <v/>
      </c>
      <c r="P1205" s="14">
        <f>$C$8+($D$8-$C$8)*$AD1205</f>
        <v/>
      </c>
      <c r="Q1205" s="14">
        <f>$C$9</f>
        <v/>
      </c>
      <c r="R1205" s="14">
        <f>_xlfn.LOGNORM.INV($AF1205,LN($C$10)-0.5*LN(1+($D$10/$C$10)^2),SQRT(LN(1+($D$10/$C$10)^2)))</f>
        <v/>
      </c>
      <c r="S1205" s="14">
        <f>SUM(M1205:R1205)</f>
        <v/>
      </c>
      <c r="AA1205">
        <f>RAND()</f>
        <v/>
      </c>
      <c r="AB1205">
        <f>RAND()</f>
        <v/>
      </c>
      <c r="AC1205">
        <f>RAND()</f>
        <v/>
      </c>
      <c r="AD1205">
        <f>RAND()</f>
        <v/>
      </c>
      <c r="AE1205">
        <f>RAND()</f>
        <v/>
      </c>
      <c r="AF1205">
        <f>RAND()</f>
        <v/>
      </c>
    </row>
    <row r="1206">
      <c r="M1206" s="14">
        <f>_xlfn.BETA.INV($AA1206,1+4*($D$5-$C$5)/($E$5-$C$5),1+4*($E$5-$D$5)/($E$5-$C$5),$C$5,$E$5)</f>
        <v/>
      </c>
      <c r="N1206" s="14">
        <f>IF($AB1206&lt;($D$6-$C$6)/($E$6-$C$6),$C$6+SQRT($AB1206*($E$6-$C$6)*($D$6-$C$6)),$E$6-SQRT((1-$AB1206)*($E$6-$C$6)*($E$6-$D$6)))</f>
        <v/>
      </c>
      <c r="O1206" s="14">
        <f>_xlfn.NORM.INV($AC1206,$C$7,$D$7)</f>
        <v/>
      </c>
      <c r="P1206" s="14">
        <f>$C$8+($D$8-$C$8)*$AD1206</f>
        <v/>
      </c>
      <c r="Q1206" s="14">
        <f>$C$9</f>
        <v/>
      </c>
      <c r="R1206" s="14">
        <f>_xlfn.LOGNORM.INV($AF1206,LN($C$10)-0.5*LN(1+($D$10/$C$10)^2),SQRT(LN(1+($D$10/$C$10)^2)))</f>
        <v/>
      </c>
      <c r="S1206" s="14">
        <f>SUM(M1206:R1206)</f>
        <v/>
      </c>
      <c r="AA1206">
        <f>RAND()</f>
        <v/>
      </c>
      <c r="AB1206">
        <f>RAND()</f>
        <v/>
      </c>
      <c r="AC1206">
        <f>RAND()</f>
        <v/>
      </c>
      <c r="AD1206">
        <f>RAND()</f>
        <v/>
      </c>
      <c r="AE1206">
        <f>RAND()</f>
        <v/>
      </c>
      <c r="AF1206">
        <f>RAND()</f>
        <v/>
      </c>
    </row>
    <row r="1207">
      <c r="M1207" s="14">
        <f>_xlfn.BETA.INV($AA1207,1+4*($D$5-$C$5)/($E$5-$C$5),1+4*($E$5-$D$5)/($E$5-$C$5),$C$5,$E$5)</f>
        <v/>
      </c>
      <c r="N1207" s="14">
        <f>IF($AB1207&lt;($D$6-$C$6)/($E$6-$C$6),$C$6+SQRT($AB1207*($E$6-$C$6)*($D$6-$C$6)),$E$6-SQRT((1-$AB1207)*($E$6-$C$6)*($E$6-$D$6)))</f>
        <v/>
      </c>
      <c r="O1207" s="14">
        <f>_xlfn.NORM.INV($AC1207,$C$7,$D$7)</f>
        <v/>
      </c>
      <c r="P1207" s="14">
        <f>$C$8+($D$8-$C$8)*$AD1207</f>
        <v/>
      </c>
      <c r="Q1207" s="14">
        <f>$C$9</f>
        <v/>
      </c>
      <c r="R1207" s="14">
        <f>_xlfn.LOGNORM.INV($AF1207,LN($C$10)-0.5*LN(1+($D$10/$C$10)^2),SQRT(LN(1+($D$10/$C$10)^2)))</f>
        <v/>
      </c>
      <c r="S1207" s="14">
        <f>SUM(M1207:R1207)</f>
        <v/>
      </c>
      <c r="AA1207">
        <f>RAND()</f>
        <v/>
      </c>
      <c r="AB1207">
        <f>RAND()</f>
        <v/>
      </c>
      <c r="AC1207">
        <f>RAND()</f>
        <v/>
      </c>
      <c r="AD1207">
        <f>RAND()</f>
        <v/>
      </c>
      <c r="AE1207">
        <f>RAND()</f>
        <v/>
      </c>
      <c r="AF1207">
        <f>RAND()</f>
        <v/>
      </c>
    </row>
    <row r="1208">
      <c r="M1208" s="14">
        <f>_xlfn.BETA.INV($AA1208,1+4*($D$5-$C$5)/($E$5-$C$5),1+4*($E$5-$D$5)/($E$5-$C$5),$C$5,$E$5)</f>
        <v/>
      </c>
      <c r="N1208" s="14">
        <f>IF($AB1208&lt;($D$6-$C$6)/($E$6-$C$6),$C$6+SQRT($AB1208*($E$6-$C$6)*($D$6-$C$6)),$E$6-SQRT((1-$AB1208)*($E$6-$C$6)*($E$6-$D$6)))</f>
        <v/>
      </c>
      <c r="O1208" s="14">
        <f>_xlfn.NORM.INV($AC1208,$C$7,$D$7)</f>
        <v/>
      </c>
      <c r="P1208" s="14">
        <f>$C$8+($D$8-$C$8)*$AD1208</f>
        <v/>
      </c>
      <c r="Q1208" s="14">
        <f>$C$9</f>
        <v/>
      </c>
      <c r="R1208" s="14">
        <f>_xlfn.LOGNORM.INV($AF1208,LN($C$10)-0.5*LN(1+($D$10/$C$10)^2),SQRT(LN(1+($D$10/$C$10)^2)))</f>
        <v/>
      </c>
      <c r="S1208" s="14">
        <f>SUM(M1208:R1208)</f>
        <v/>
      </c>
      <c r="AA1208">
        <f>RAND()</f>
        <v/>
      </c>
      <c r="AB1208">
        <f>RAND()</f>
        <v/>
      </c>
      <c r="AC1208">
        <f>RAND()</f>
        <v/>
      </c>
      <c r="AD1208">
        <f>RAND()</f>
        <v/>
      </c>
      <c r="AE1208">
        <f>RAND()</f>
        <v/>
      </c>
      <c r="AF1208">
        <f>RAND()</f>
        <v/>
      </c>
    </row>
    <row r="1209">
      <c r="M1209" s="14">
        <f>_xlfn.BETA.INV($AA1209,1+4*($D$5-$C$5)/($E$5-$C$5),1+4*($E$5-$D$5)/($E$5-$C$5),$C$5,$E$5)</f>
        <v/>
      </c>
      <c r="N1209" s="14">
        <f>IF($AB1209&lt;($D$6-$C$6)/($E$6-$C$6),$C$6+SQRT($AB1209*($E$6-$C$6)*($D$6-$C$6)),$E$6-SQRT((1-$AB1209)*($E$6-$C$6)*($E$6-$D$6)))</f>
        <v/>
      </c>
      <c r="O1209" s="14">
        <f>_xlfn.NORM.INV($AC1209,$C$7,$D$7)</f>
        <v/>
      </c>
      <c r="P1209" s="14">
        <f>$C$8+($D$8-$C$8)*$AD1209</f>
        <v/>
      </c>
      <c r="Q1209" s="14">
        <f>$C$9</f>
        <v/>
      </c>
      <c r="R1209" s="14">
        <f>_xlfn.LOGNORM.INV($AF1209,LN($C$10)-0.5*LN(1+($D$10/$C$10)^2),SQRT(LN(1+($D$10/$C$10)^2)))</f>
        <v/>
      </c>
      <c r="S1209" s="14">
        <f>SUM(M1209:R1209)</f>
        <v/>
      </c>
      <c r="AA1209">
        <f>RAND()</f>
        <v/>
      </c>
      <c r="AB1209">
        <f>RAND()</f>
        <v/>
      </c>
      <c r="AC1209">
        <f>RAND()</f>
        <v/>
      </c>
      <c r="AD1209">
        <f>RAND()</f>
        <v/>
      </c>
      <c r="AE1209">
        <f>RAND()</f>
        <v/>
      </c>
      <c r="AF1209">
        <f>RAND()</f>
        <v/>
      </c>
    </row>
    <row r="1210">
      <c r="M1210" s="14">
        <f>_xlfn.BETA.INV($AA1210,1+4*($D$5-$C$5)/($E$5-$C$5),1+4*($E$5-$D$5)/($E$5-$C$5),$C$5,$E$5)</f>
        <v/>
      </c>
      <c r="N1210" s="14">
        <f>IF($AB1210&lt;($D$6-$C$6)/($E$6-$C$6),$C$6+SQRT($AB1210*($E$6-$C$6)*($D$6-$C$6)),$E$6-SQRT((1-$AB1210)*($E$6-$C$6)*($E$6-$D$6)))</f>
        <v/>
      </c>
      <c r="O1210" s="14">
        <f>_xlfn.NORM.INV($AC1210,$C$7,$D$7)</f>
        <v/>
      </c>
      <c r="P1210" s="14">
        <f>$C$8+($D$8-$C$8)*$AD1210</f>
        <v/>
      </c>
      <c r="Q1210" s="14">
        <f>$C$9</f>
        <v/>
      </c>
      <c r="R1210" s="14">
        <f>_xlfn.LOGNORM.INV($AF1210,LN($C$10)-0.5*LN(1+($D$10/$C$10)^2),SQRT(LN(1+($D$10/$C$10)^2)))</f>
        <v/>
      </c>
      <c r="S1210" s="14">
        <f>SUM(M1210:R1210)</f>
        <v/>
      </c>
      <c r="AA1210">
        <f>RAND()</f>
        <v/>
      </c>
      <c r="AB1210">
        <f>RAND()</f>
        <v/>
      </c>
      <c r="AC1210">
        <f>RAND()</f>
        <v/>
      </c>
      <c r="AD1210">
        <f>RAND()</f>
        <v/>
      </c>
      <c r="AE1210">
        <f>RAND()</f>
        <v/>
      </c>
      <c r="AF1210">
        <f>RAND()</f>
        <v/>
      </c>
    </row>
    <row r="1211">
      <c r="M1211" s="14">
        <f>_xlfn.BETA.INV($AA1211,1+4*($D$5-$C$5)/($E$5-$C$5),1+4*($E$5-$D$5)/($E$5-$C$5),$C$5,$E$5)</f>
        <v/>
      </c>
      <c r="N1211" s="14">
        <f>IF($AB1211&lt;($D$6-$C$6)/($E$6-$C$6),$C$6+SQRT($AB1211*($E$6-$C$6)*($D$6-$C$6)),$E$6-SQRT((1-$AB1211)*($E$6-$C$6)*($E$6-$D$6)))</f>
        <v/>
      </c>
      <c r="O1211" s="14">
        <f>_xlfn.NORM.INV($AC1211,$C$7,$D$7)</f>
        <v/>
      </c>
      <c r="P1211" s="14">
        <f>$C$8+($D$8-$C$8)*$AD1211</f>
        <v/>
      </c>
      <c r="Q1211" s="14">
        <f>$C$9</f>
        <v/>
      </c>
      <c r="R1211" s="14">
        <f>_xlfn.LOGNORM.INV($AF1211,LN($C$10)-0.5*LN(1+($D$10/$C$10)^2),SQRT(LN(1+($D$10/$C$10)^2)))</f>
        <v/>
      </c>
      <c r="S1211" s="14">
        <f>SUM(M1211:R1211)</f>
        <v/>
      </c>
      <c r="AA1211">
        <f>RAND()</f>
        <v/>
      </c>
      <c r="AB1211">
        <f>RAND()</f>
        <v/>
      </c>
      <c r="AC1211">
        <f>RAND()</f>
        <v/>
      </c>
      <c r="AD1211">
        <f>RAND()</f>
        <v/>
      </c>
      <c r="AE1211">
        <f>RAND()</f>
        <v/>
      </c>
      <c r="AF1211">
        <f>RAND()</f>
        <v/>
      </c>
    </row>
    <row r="1212">
      <c r="M1212" s="14">
        <f>_xlfn.BETA.INV($AA1212,1+4*($D$5-$C$5)/($E$5-$C$5),1+4*($E$5-$D$5)/($E$5-$C$5),$C$5,$E$5)</f>
        <v/>
      </c>
      <c r="N1212" s="14">
        <f>IF($AB1212&lt;($D$6-$C$6)/($E$6-$C$6),$C$6+SQRT($AB1212*($E$6-$C$6)*($D$6-$C$6)),$E$6-SQRT((1-$AB1212)*($E$6-$C$6)*($E$6-$D$6)))</f>
        <v/>
      </c>
      <c r="O1212" s="14">
        <f>_xlfn.NORM.INV($AC1212,$C$7,$D$7)</f>
        <v/>
      </c>
      <c r="P1212" s="14">
        <f>$C$8+($D$8-$C$8)*$AD1212</f>
        <v/>
      </c>
      <c r="Q1212" s="14">
        <f>$C$9</f>
        <v/>
      </c>
      <c r="R1212" s="14">
        <f>_xlfn.LOGNORM.INV($AF1212,LN($C$10)-0.5*LN(1+($D$10/$C$10)^2),SQRT(LN(1+($D$10/$C$10)^2)))</f>
        <v/>
      </c>
      <c r="S1212" s="14">
        <f>SUM(M1212:R1212)</f>
        <v/>
      </c>
      <c r="AA1212">
        <f>RAND()</f>
        <v/>
      </c>
      <c r="AB1212">
        <f>RAND()</f>
        <v/>
      </c>
      <c r="AC1212">
        <f>RAND()</f>
        <v/>
      </c>
      <c r="AD1212">
        <f>RAND()</f>
        <v/>
      </c>
      <c r="AE1212">
        <f>RAND()</f>
        <v/>
      </c>
      <c r="AF1212">
        <f>RAND()</f>
        <v/>
      </c>
    </row>
    <row r="1213">
      <c r="M1213" s="14">
        <f>_xlfn.BETA.INV($AA1213,1+4*($D$5-$C$5)/($E$5-$C$5),1+4*($E$5-$D$5)/($E$5-$C$5),$C$5,$E$5)</f>
        <v/>
      </c>
      <c r="N1213" s="14">
        <f>IF($AB1213&lt;($D$6-$C$6)/($E$6-$C$6),$C$6+SQRT($AB1213*($E$6-$C$6)*($D$6-$C$6)),$E$6-SQRT((1-$AB1213)*($E$6-$C$6)*($E$6-$D$6)))</f>
        <v/>
      </c>
      <c r="O1213" s="14">
        <f>_xlfn.NORM.INV($AC1213,$C$7,$D$7)</f>
        <v/>
      </c>
      <c r="P1213" s="14">
        <f>$C$8+($D$8-$C$8)*$AD1213</f>
        <v/>
      </c>
      <c r="Q1213" s="14">
        <f>$C$9</f>
        <v/>
      </c>
      <c r="R1213" s="14">
        <f>_xlfn.LOGNORM.INV($AF1213,LN($C$10)-0.5*LN(1+($D$10/$C$10)^2),SQRT(LN(1+($D$10/$C$10)^2)))</f>
        <v/>
      </c>
      <c r="S1213" s="14">
        <f>SUM(M1213:R1213)</f>
        <v/>
      </c>
      <c r="AA1213">
        <f>RAND()</f>
        <v/>
      </c>
      <c r="AB1213">
        <f>RAND()</f>
        <v/>
      </c>
      <c r="AC1213">
        <f>RAND()</f>
        <v/>
      </c>
      <c r="AD1213">
        <f>RAND()</f>
        <v/>
      </c>
      <c r="AE1213">
        <f>RAND()</f>
        <v/>
      </c>
      <c r="AF1213">
        <f>RAND()</f>
        <v/>
      </c>
    </row>
    <row r="1214">
      <c r="M1214" s="14">
        <f>_xlfn.BETA.INV($AA1214,1+4*($D$5-$C$5)/($E$5-$C$5),1+4*($E$5-$D$5)/($E$5-$C$5),$C$5,$E$5)</f>
        <v/>
      </c>
      <c r="N1214" s="14">
        <f>IF($AB1214&lt;($D$6-$C$6)/($E$6-$C$6),$C$6+SQRT($AB1214*($E$6-$C$6)*($D$6-$C$6)),$E$6-SQRT((1-$AB1214)*($E$6-$C$6)*($E$6-$D$6)))</f>
        <v/>
      </c>
      <c r="O1214" s="14">
        <f>_xlfn.NORM.INV($AC1214,$C$7,$D$7)</f>
        <v/>
      </c>
      <c r="P1214" s="14">
        <f>$C$8+($D$8-$C$8)*$AD1214</f>
        <v/>
      </c>
      <c r="Q1214" s="14">
        <f>$C$9</f>
        <v/>
      </c>
      <c r="R1214" s="14">
        <f>_xlfn.LOGNORM.INV($AF1214,LN($C$10)-0.5*LN(1+($D$10/$C$10)^2),SQRT(LN(1+($D$10/$C$10)^2)))</f>
        <v/>
      </c>
      <c r="S1214" s="14">
        <f>SUM(M1214:R1214)</f>
        <v/>
      </c>
      <c r="AA1214">
        <f>RAND()</f>
        <v/>
      </c>
      <c r="AB1214">
        <f>RAND()</f>
        <v/>
      </c>
      <c r="AC1214">
        <f>RAND()</f>
        <v/>
      </c>
      <c r="AD1214">
        <f>RAND()</f>
        <v/>
      </c>
      <c r="AE1214">
        <f>RAND()</f>
        <v/>
      </c>
      <c r="AF1214">
        <f>RAND()</f>
        <v/>
      </c>
    </row>
    <row r="1215">
      <c r="M1215" s="14">
        <f>_xlfn.BETA.INV($AA1215,1+4*($D$5-$C$5)/($E$5-$C$5),1+4*($E$5-$D$5)/($E$5-$C$5),$C$5,$E$5)</f>
        <v/>
      </c>
      <c r="N1215" s="14">
        <f>IF($AB1215&lt;($D$6-$C$6)/($E$6-$C$6),$C$6+SQRT($AB1215*($E$6-$C$6)*($D$6-$C$6)),$E$6-SQRT((1-$AB1215)*($E$6-$C$6)*($E$6-$D$6)))</f>
        <v/>
      </c>
      <c r="O1215" s="14">
        <f>_xlfn.NORM.INV($AC1215,$C$7,$D$7)</f>
        <v/>
      </c>
      <c r="P1215" s="14">
        <f>$C$8+($D$8-$C$8)*$AD1215</f>
        <v/>
      </c>
      <c r="Q1215" s="14">
        <f>$C$9</f>
        <v/>
      </c>
      <c r="R1215" s="14">
        <f>_xlfn.LOGNORM.INV($AF1215,LN($C$10)-0.5*LN(1+($D$10/$C$10)^2),SQRT(LN(1+($D$10/$C$10)^2)))</f>
        <v/>
      </c>
      <c r="S1215" s="14">
        <f>SUM(M1215:R1215)</f>
        <v/>
      </c>
      <c r="AA1215">
        <f>RAND()</f>
        <v/>
      </c>
      <c r="AB1215">
        <f>RAND()</f>
        <v/>
      </c>
      <c r="AC1215">
        <f>RAND()</f>
        <v/>
      </c>
      <c r="AD1215">
        <f>RAND()</f>
        <v/>
      </c>
      <c r="AE1215">
        <f>RAND()</f>
        <v/>
      </c>
      <c r="AF1215">
        <f>RAND()</f>
        <v/>
      </c>
    </row>
    <row r="1216">
      <c r="M1216" s="14">
        <f>_xlfn.BETA.INV($AA1216,1+4*($D$5-$C$5)/($E$5-$C$5),1+4*($E$5-$D$5)/($E$5-$C$5),$C$5,$E$5)</f>
        <v/>
      </c>
      <c r="N1216" s="14">
        <f>IF($AB1216&lt;($D$6-$C$6)/($E$6-$C$6),$C$6+SQRT($AB1216*($E$6-$C$6)*($D$6-$C$6)),$E$6-SQRT((1-$AB1216)*($E$6-$C$6)*($E$6-$D$6)))</f>
        <v/>
      </c>
      <c r="O1216" s="14">
        <f>_xlfn.NORM.INV($AC1216,$C$7,$D$7)</f>
        <v/>
      </c>
      <c r="P1216" s="14">
        <f>$C$8+($D$8-$C$8)*$AD1216</f>
        <v/>
      </c>
      <c r="Q1216" s="14">
        <f>$C$9</f>
        <v/>
      </c>
      <c r="R1216" s="14">
        <f>_xlfn.LOGNORM.INV($AF1216,LN($C$10)-0.5*LN(1+($D$10/$C$10)^2),SQRT(LN(1+($D$10/$C$10)^2)))</f>
        <v/>
      </c>
      <c r="S1216" s="14">
        <f>SUM(M1216:R1216)</f>
        <v/>
      </c>
      <c r="AA1216">
        <f>RAND()</f>
        <v/>
      </c>
      <c r="AB1216">
        <f>RAND()</f>
        <v/>
      </c>
      <c r="AC1216">
        <f>RAND()</f>
        <v/>
      </c>
      <c r="AD1216">
        <f>RAND()</f>
        <v/>
      </c>
      <c r="AE1216">
        <f>RAND()</f>
        <v/>
      </c>
      <c r="AF1216">
        <f>RAND()</f>
        <v/>
      </c>
    </row>
    <row r="1217">
      <c r="M1217" s="14">
        <f>_xlfn.BETA.INV($AA1217,1+4*($D$5-$C$5)/($E$5-$C$5),1+4*($E$5-$D$5)/($E$5-$C$5),$C$5,$E$5)</f>
        <v/>
      </c>
      <c r="N1217" s="14">
        <f>IF($AB1217&lt;($D$6-$C$6)/($E$6-$C$6),$C$6+SQRT($AB1217*($E$6-$C$6)*($D$6-$C$6)),$E$6-SQRT((1-$AB1217)*($E$6-$C$6)*($E$6-$D$6)))</f>
        <v/>
      </c>
      <c r="O1217" s="14">
        <f>_xlfn.NORM.INV($AC1217,$C$7,$D$7)</f>
        <v/>
      </c>
      <c r="P1217" s="14">
        <f>$C$8+($D$8-$C$8)*$AD1217</f>
        <v/>
      </c>
      <c r="Q1217" s="14">
        <f>$C$9</f>
        <v/>
      </c>
      <c r="R1217" s="14">
        <f>_xlfn.LOGNORM.INV($AF1217,LN($C$10)-0.5*LN(1+($D$10/$C$10)^2),SQRT(LN(1+($D$10/$C$10)^2)))</f>
        <v/>
      </c>
      <c r="S1217" s="14">
        <f>SUM(M1217:R1217)</f>
        <v/>
      </c>
      <c r="AA1217">
        <f>RAND()</f>
        <v/>
      </c>
      <c r="AB1217">
        <f>RAND()</f>
        <v/>
      </c>
      <c r="AC1217">
        <f>RAND()</f>
        <v/>
      </c>
      <c r="AD1217">
        <f>RAND()</f>
        <v/>
      </c>
      <c r="AE1217">
        <f>RAND()</f>
        <v/>
      </c>
      <c r="AF1217">
        <f>RAND()</f>
        <v/>
      </c>
    </row>
    <row r="1218">
      <c r="M1218" s="14">
        <f>_xlfn.BETA.INV($AA1218,1+4*($D$5-$C$5)/($E$5-$C$5),1+4*($E$5-$D$5)/($E$5-$C$5),$C$5,$E$5)</f>
        <v/>
      </c>
      <c r="N1218" s="14">
        <f>IF($AB1218&lt;($D$6-$C$6)/($E$6-$C$6),$C$6+SQRT($AB1218*($E$6-$C$6)*($D$6-$C$6)),$E$6-SQRT((1-$AB1218)*($E$6-$C$6)*($E$6-$D$6)))</f>
        <v/>
      </c>
      <c r="O1218" s="14">
        <f>_xlfn.NORM.INV($AC1218,$C$7,$D$7)</f>
        <v/>
      </c>
      <c r="P1218" s="14">
        <f>$C$8+($D$8-$C$8)*$AD1218</f>
        <v/>
      </c>
      <c r="Q1218" s="14">
        <f>$C$9</f>
        <v/>
      </c>
      <c r="R1218" s="14">
        <f>_xlfn.LOGNORM.INV($AF1218,LN($C$10)-0.5*LN(1+($D$10/$C$10)^2),SQRT(LN(1+($D$10/$C$10)^2)))</f>
        <v/>
      </c>
      <c r="S1218" s="14">
        <f>SUM(M1218:R1218)</f>
        <v/>
      </c>
      <c r="AA1218">
        <f>RAND()</f>
        <v/>
      </c>
      <c r="AB1218">
        <f>RAND()</f>
        <v/>
      </c>
      <c r="AC1218">
        <f>RAND()</f>
        <v/>
      </c>
      <c r="AD1218">
        <f>RAND()</f>
        <v/>
      </c>
      <c r="AE1218">
        <f>RAND()</f>
        <v/>
      </c>
      <c r="AF1218">
        <f>RAND()</f>
        <v/>
      </c>
    </row>
    <row r="1219">
      <c r="M1219" s="14">
        <f>_xlfn.BETA.INV($AA1219,1+4*($D$5-$C$5)/($E$5-$C$5),1+4*($E$5-$D$5)/($E$5-$C$5),$C$5,$E$5)</f>
        <v/>
      </c>
      <c r="N1219" s="14">
        <f>IF($AB1219&lt;($D$6-$C$6)/($E$6-$C$6),$C$6+SQRT($AB1219*($E$6-$C$6)*($D$6-$C$6)),$E$6-SQRT((1-$AB1219)*($E$6-$C$6)*($E$6-$D$6)))</f>
        <v/>
      </c>
      <c r="O1219" s="14">
        <f>_xlfn.NORM.INV($AC1219,$C$7,$D$7)</f>
        <v/>
      </c>
      <c r="P1219" s="14">
        <f>$C$8+($D$8-$C$8)*$AD1219</f>
        <v/>
      </c>
      <c r="Q1219" s="14">
        <f>$C$9</f>
        <v/>
      </c>
      <c r="R1219" s="14">
        <f>_xlfn.LOGNORM.INV($AF1219,LN($C$10)-0.5*LN(1+($D$10/$C$10)^2),SQRT(LN(1+($D$10/$C$10)^2)))</f>
        <v/>
      </c>
      <c r="S1219" s="14">
        <f>SUM(M1219:R1219)</f>
        <v/>
      </c>
      <c r="AA1219">
        <f>RAND()</f>
        <v/>
      </c>
      <c r="AB1219">
        <f>RAND()</f>
        <v/>
      </c>
      <c r="AC1219">
        <f>RAND()</f>
        <v/>
      </c>
      <c r="AD1219">
        <f>RAND()</f>
        <v/>
      </c>
      <c r="AE1219">
        <f>RAND()</f>
        <v/>
      </c>
      <c r="AF1219">
        <f>RAND()</f>
        <v/>
      </c>
    </row>
    <row r="1220">
      <c r="M1220" s="14">
        <f>_xlfn.BETA.INV($AA1220,1+4*($D$5-$C$5)/($E$5-$C$5),1+4*($E$5-$D$5)/($E$5-$C$5),$C$5,$E$5)</f>
        <v/>
      </c>
      <c r="N1220" s="14">
        <f>IF($AB1220&lt;($D$6-$C$6)/($E$6-$C$6),$C$6+SQRT($AB1220*($E$6-$C$6)*($D$6-$C$6)),$E$6-SQRT((1-$AB1220)*($E$6-$C$6)*($E$6-$D$6)))</f>
        <v/>
      </c>
      <c r="O1220" s="14">
        <f>_xlfn.NORM.INV($AC1220,$C$7,$D$7)</f>
        <v/>
      </c>
      <c r="P1220" s="14">
        <f>$C$8+($D$8-$C$8)*$AD1220</f>
        <v/>
      </c>
      <c r="Q1220" s="14">
        <f>$C$9</f>
        <v/>
      </c>
      <c r="R1220" s="14">
        <f>_xlfn.LOGNORM.INV($AF1220,LN($C$10)-0.5*LN(1+($D$10/$C$10)^2),SQRT(LN(1+($D$10/$C$10)^2)))</f>
        <v/>
      </c>
      <c r="S1220" s="14">
        <f>SUM(M1220:R1220)</f>
        <v/>
      </c>
      <c r="AA1220">
        <f>RAND()</f>
        <v/>
      </c>
      <c r="AB1220">
        <f>RAND()</f>
        <v/>
      </c>
      <c r="AC1220">
        <f>RAND()</f>
        <v/>
      </c>
      <c r="AD1220">
        <f>RAND()</f>
        <v/>
      </c>
      <c r="AE1220">
        <f>RAND()</f>
        <v/>
      </c>
      <c r="AF1220">
        <f>RAND()</f>
        <v/>
      </c>
    </row>
    <row r="1221">
      <c r="M1221" s="14">
        <f>_xlfn.BETA.INV($AA1221,1+4*($D$5-$C$5)/($E$5-$C$5),1+4*($E$5-$D$5)/($E$5-$C$5),$C$5,$E$5)</f>
        <v/>
      </c>
      <c r="N1221" s="14">
        <f>IF($AB1221&lt;($D$6-$C$6)/($E$6-$C$6),$C$6+SQRT($AB1221*($E$6-$C$6)*($D$6-$C$6)),$E$6-SQRT((1-$AB1221)*($E$6-$C$6)*($E$6-$D$6)))</f>
        <v/>
      </c>
      <c r="O1221" s="14">
        <f>_xlfn.NORM.INV($AC1221,$C$7,$D$7)</f>
        <v/>
      </c>
      <c r="P1221" s="14">
        <f>$C$8+($D$8-$C$8)*$AD1221</f>
        <v/>
      </c>
      <c r="Q1221" s="14">
        <f>$C$9</f>
        <v/>
      </c>
      <c r="R1221" s="14">
        <f>_xlfn.LOGNORM.INV($AF1221,LN($C$10)-0.5*LN(1+($D$10/$C$10)^2),SQRT(LN(1+($D$10/$C$10)^2)))</f>
        <v/>
      </c>
      <c r="S1221" s="14">
        <f>SUM(M1221:R1221)</f>
        <v/>
      </c>
      <c r="AA1221">
        <f>RAND()</f>
        <v/>
      </c>
      <c r="AB1221">
        <f>RAND()</f>
        <v/>
      </c>
      <c r="AC1221">
        <f>RAND()</f>
        <v/>
      </c>
      <c r="AD1221">
        <f>RAND()</f>
        <v/>
      </c>
      <c r="AE1221">
        <f>RAND()</f>
        <v/>
      </c>
      <c r="AF1221">
        <f>RAND()</f>
        <v/>
      </c>
    </row>
    <row r="1222">
      <c r="M1222" s="14">
        <f>_xlfn.BETA.INV($AA1222,1+4*($D$5-$C$5)/($E$5-$C$5),1+4*($E$5-$D$5)/($E$5-$C$5),$C$5,$E$5)</f>
        <v/>
      </c>
      <c r="N1222" s="14">
        <f>IF($AB1222&lt;($D$6-$C$6)/($E$6-$C$6),$C$6+SQRT($AB1222*($E$6-$C$6)*($D$6-$C$6)),$E$6-SQRT((1-$AB1222)*($E$6-$C$6)*($E$6-$D$6)))</f>
        <v/>
      </c>
      <c r="O1222" s="14">
        <f>_xlfn.NORM.INV($AC1222,$C$7,$D$7)</f>
        <v/>
      </c>
      <c r="P1222" s="14">
        <f>$C$8+($D$8-$C$8)*$AD1222</f>
        <v/>
      </c>
      <c r="Q1222" s="14">
        <f>$C$9</f>
        <v/>
      </c>
      <c r="R1222" s="14">
        <f>_xlfn.LOGNORM.INV($AF1222,LN($C$10)-0.5*LN(1+($D$10/$C$10)^2),SQRT(LN(1+($D$10/$C$10)^2)))</f>
        <v/>
      </c>
      <c r="S1222" s="14">
        <f>SUM(M1222:R1222)</f>
        <v/>
      </c>
      <c r="AA1222">
        <f>RAND()</f>
        <v/>
      </c>
      <c r="AB1222">
        <f>RAND()</f>
        <v/>
      </c>
      <c r="AC1222">
        <f>RAND()</f>
        <v/>
      </c>
      <c r="AD1222">
        <f>RAND()</f>
        <v/>
      </c>
      <c r="AE1222">
        <f>RAND()</f>
        <v/>
      </c>
      <c r="AF1222">
        <f>RAND()</f>
        <v/>
      </c>
    </row>
    <row r="1223">
      <c r="M1223" s="14">
        <f>_xlfn.BETA.INV($AA1223,1+4*($D$5-$C$5)/($E$5-$C$5),1+4*($E$5-$D$5)/($E$5-$C$5),$C$5,$E$5)</f>
        <v/>
      </c>
      <c r="N1223" s="14">
        <f>IF($AB1223&lt;($D$6-$C$6)/($E$6-$C$6),$C$6+SQRT($AB1223*($E$6-$C$6)*($D$6-$C$6)),$E$6-SQRT((1-$AB1223)*($E$6-$C$6)*($E$6-$D$6)))</f>
        <v/>
      </c>
      <c r="O1223" s="14">
        <f>_xlfn.NORM.INV($AC1223,$C$7,$D$7)</f>
        <v/>
      </c>
      <c r="P1223" s="14">
        <f>$C$8+($D$8-$C$8)*$AD1223</f>
        <v/>
      </c>
      <c r="Q1223" s="14">
        <f>$C$9</f>
        <v/>
      </c>
      <c r="R1223" s="14">
        <f>_xlfn.LOGNORM.INV($AF1223,LN($C$10)-0.5*LN(1+($D$10/$C$10)^2),SQRT(LN(1+($D$10/$C$10)^2)))</f>
        <v/>
      </c>
      <c r="S1223" s="14">
        <f>SUM(M1223:R1223)</f>
        <v/>
      </c>
      <c r="AA1223">
        <f>RAND()</f>
        <v/>
      </c>
      <c r="AB1223">
        <f>RAND()</f>
        <v/>
      </c>
      <c r="AC1223">
        <f>RAND()</f>
        <v/>
      </c>
      <c r="AD1223">
        <f>RAND()</f>
        <v/>
      </c>
      <c r="AE1223">
        <f>RAND()</f>
        <v/>
      </c>
      <c r="AF1223">
        <f>RAND()</f>
        <v/>
      </c>
    </row>
    <row r="1224">
      <c r="M1224" s="14">
        <f>_xlfn.BETA.INV($AA1224,1+4*($D$5-$C$5)/($E$5-$C$5),1+4*($E$5-$D$5)/($E$5-$C$5),$C$5,$E$5)</f>
        <v/>
      </c>
      <c r="N1224" s="14">
        <f>IF($AB1224&lt;($D$6-$C$6)/($E$6-$C$6),$C$6+SQRT($AB1224*($E$6-$C$6)*($D$6-$C$6)),$E$6-SQRT((1-$AB1224)*($E$6-$C$6)*($E$6-$D$6)))</f>
        <v/>
      </c>
      <c r="O1224" s="14">
        <f>_xlfn.NORM.INV($AC1224,$C$7,$D$7)</f>
        <v/>
      </c>
      <c r="P1224" s="14">
        <f>$C$8+($D$8-$C$8)*$AD1224</f>
        <v/>
      </c>
      <c r="Q1224" s="14">
        <f>$C$9</f>
        <v/>
      </c>
      <c r="R1224" s="14">
        <f>_xlfn.LOGNORM.INV($AF1224,LN($C$10)-0.5*LN(1+($D$10/$C$10)^2),SQRT(LN(1+($D$10/$C$10)^2)))</f>
        <v/>
      </c>
      <c r="S1224" s="14">
        <f>SUM(M1224:R1224)</f>
        <v/>
      </c>
      <c r="AA1224">
        <f>RAND()</f>
        <v/>
      </c>
      <c r="AB1224">
        <f>RAND()</f>
        <v/>
      </c>
      <c r="AC1224">
        <f>RAND()</f>
        <v/>
      </c>
      <c r="AD1224">
        <f>RAND()</f>
        <v/>
      </c>
      <c r="AE1224">
        <f>RAND()</f>
        <v/>
      </c>
      <c r="AF1224">
        <f>RAND()</f>
        <v/>
      </c>
    </row>
    <row r="1225">
      <c r="M1225" s="14">
        <f>_xlfn.BETA.INV($AA1225,1+4*($D$5-$C$5)/($E$5-$C$5),1+4*($E$5-$D$5)/($E$5-$C$5),$C$5,$E$5)</f>
        <v/>
      </c>
      <c r="N1225" s="14">
        <f>IF($AB1225&lt;($D$6-$C$6)/($E$6-$C$6),$C$6+SQRT($AB1225*($E$6-$C$6)*($D$6-$C$6)),$E$6-SQRT((1-$AB1225)*($E$6-$C$6)*($E$6-$D$6)))</f>
        <v/>
      </c>
      <c r="O1225" s="14">
        <f>_xlfn.NORM.INV($AC1225,$C$7,$D$7)</f>
        <v/>
      </c>
      <c r="P1225" s="14">
        <f>$C$8+($D$8-$C$8)*$AD1225</f>
        <v/>
      </c>
      <c r="Q1225" s="14">
        <f>$C$9</f>
        <v/>
      </c>
      <c r="R1225" s="14">
        <f>_xlfn.LOGNORM.INV($AF1225,LN($C$10)-0.5*LN(1+($D$10/$C$10)^2),SQRT(LN(1+($D$10/$C$10)^2)))</f>
        <v/>
      </c>
      <c r="S1225" s="14">
        <f>SUM(M1225:R1225)</f>
        <v/>
      </c>
      <c r="AA1225">
        <f>RAND()</f>
        <v/>
      </c>
      <c r="AB1225">
        <f>RAND()</f>
        <v/>
      </c>
      <c r="AC1225">
        <f>RAND()</f>
        <v/>
      </c>
      <c r="AD1225">
        <f>RAND()</f>
        <v/>
      </c>
      <c r="AE1225">
        <f>RAND()</f>
        <v/>
      </c>
      <c r="AF1225">
        <f>RAND()</f>
        <v/>
      </c>
    </row>
    <row r="1226">
      <c r="M1226" s="14">
        <f>_xlfn.BETA.INV($AA1226,1+4*($D$5-$C$5)/($E$5-$C$5),1+4*($E$5-$D$5)/($E$5-$C$5),$C$5,$E$5)</f>
        <v/>
      </c>
      <c r="N1226" s="14">
        <f>IF($AB1226&lt;($D$6-$C$6)/($E$6-$C$6),$C$6+SQRT($AB1226*($E$6-$C$6)*($D$6-$C$6)),$E$6-SQRT((1-$AB1226)*($E$6-$C$6)*($E$6-$D$6)))</f>
        <v/>
      </c>
      <c r="O1226" s="14">
        <f>_xlfn.NORM.INV($AC1226,$C$7,$D$7)</f>
        <v/>
      </c>
      <c r="P1226" s="14">
        <f>$C$8+($D$8-$C$8)*$AD1226</f>
        <v/>
      </c>
      <c r="Q1226" s="14">
        <f>$C$9</f>
        <v/>
      </c>
      <c r="R1226" s="14">
        <f>_xlfn.LOGNORM.INV($AF1226,LN($C$10)-0.5*LN(1+($D$10/$C$10)^2),SQRT(LN(1+($D$10/$C$10)^2)))</f>
        <v/>
      </c>
      <c r="S1226" s="14">
        <f>SUM(M1226:R1226)</f>
        <v/>
      </c>
      <c r="AA1226">
        <f>RAND()</f>
        <v/>
      </c>
      <c r="AB1226">
        <f>RAND()</f>
        <v/>
      </c>
      <c r="AC1226">
        <f>RAND()</f>
        <v/>
      </c>
      <c r="AD1226">
        <f>RAND()</f>
        <v/>
      </c>
      <c r="AE1226">
        <f>RAND()</f>
        <v/>
      </c>
      <c r="AF1226">
        <f>RAND()</f>
        <v/>
      </c>
    </row>
    <row r="1227">
      <c r="M1227" s="14">
        <f>_xlfn.BETA.INV($AA1227,1+4*($D$5-$C$5)/($E$5-$C$5),1+4*($E$5-$D$5)/($E$5-$C$5),$C$5,$E$5)</f>
        <v/>
      </c>
      <c r="N1227" s="14">
        <f>IF($AB1227&lt;($D$6-$C$6)/($E$6-$C$6),$C$6+SQRT($AB1227*($E$6-$C$6)*($D$6-$C$6)),$E$6-SQRT((1-$AB1227)*($E$6-$C$6)*($E$6-$D$6)))</f>
        <v/>
      </c>
      <c r="O1227" s="14">
        <f>_xlfn.NORM.INV($AC1227,$C$7,$D$7)</f>
        <v/>
      </c>
      <c r="P1227" s="14">
        <f>$C$8+($D$8-$C$8)*$AD1227</f>
        <v/>
      </c>
      <c r="Q1227" s="14">
        <f>$C$9</f>
        <v/>
      </c>
      <c r="R1227" s="14">
        <f>_xlfn.LOGNORM.INV($AF1227,LN($C$10)-0.5*LN(1+($D$10/$C$10)^2),SQRT(LN(1+($D$10/$C$10)^2)))</f>
        <v/>
      </c>
      <c r="S1227" s="14">
        <f>SUM(M1227:R1227)</f>
        <v/>
      </c>
      <c r="AA1227">
        <f>RAND()</f>
        <v/>
      </c>
      <c r="AB1227">
        <f>RAND()</f>
        <v/>
      </c>
      <c r="AC1227">
        <f>RAND()</f>
        <v/>
      </c>
      <c r="AD1227">
        <f>RAND()</f>
        <v/>
      </c>
      <c r="AE1227">
        <f>RAND()</f>
        <v/>
      </c>
      <c r="AF1227">
        <f>RAND()</f>
        <v/>
      </c>
    </row>
    <row r="1228">
      <c r="M1228" s="14">
        <f>_xlfn.BETA.INV($AA1228,1+4*($D$5-$C$5)/($E$5-$C$5),1+4*($E$5-$D$5)/($E$5-$C$5),$C$5,$E$5)</f>
        <v/>
      </c>
      <c r="N1228" s="14">
        <f>IF($AB1228&lt;($D$6-$C$6)/($E$6-$C$6),$C$6+SQRT($AB1228*($E$6-$C$6)*($D$6-$C$6)),$E$6-SQRT((1-$AB1228)*($E$6-$C$6)*($E$6-$D$6)))</f>
        <v/>
      </c>
      <c r="O1228" s="14">
        <f>_xlfn.NORM.INV($AC1228,$C$7,$D$7)</f>
        <v/>
      </c>
      <c r="P1228" s="14">
        <f>$C$8+($D$8-$C$8)*$AD1228</f>
        <v/>
      </c>
      <c r="Q1228" s="14">
        <f>$C$9</f>
        <v/>
      </c>
      <c r="R1228" s="14">
        <f>_xlfn.LOGNORM.INV($AF1228,LN($C$10)-0.5*LN(1+($D$10/$C$10)^2),SQRT(LN(1+($D$10/$C$10)^2)))</f>
        <v/>
      </c>
      <c r="S1228" s="14">
        <f>SUM(M1228:R1228)</f>
        <v/>
      </c>
      <c r="AA1228">
        <f>RAND()</f>
        <v/>
      </c>
      <c r="AB1228">
        <f>RAND()</f>
        <v/>
      </c>
      <c r="AC1228">
        <f>RAND()</f>
        <v/>
      </c>
      <c r="AD1228">
        <f>RAND()</f>
        <v/>
      </c>
      <c r="AE1228">
        <f>RAND()</f>
        <v/>
      </c>
      <c r="AF1228">
        <f>RAND()</f>
        <v/>
      </c>
    </row>
    <row r="1229">
      <c r="M1229" s="14">
        <f>_xlfn.BETA.INV($AA1229,1+4*($D$5-$C$5)/($E$5-$C$5),1+4*($E$5-$D$5)/($E$5-$C$5),$C$5,$E$5)</f>
        <v/>
      </c>
      <c r="N1229" s="14">
        <f>IF($AB1229&lt;($D$6-$C$6)/($E$6-$C$6),$C$6+SQRT($AB1229*($E$6-$C$6)*($D$6-$C$6)),$E$6-SQRT((1-$AB1229)*($E$6-$C$6)*($E$6-$D$6)))</f>
        <v/>
      </c>
      <c r="O1229" s="14">
        <f>_xlfn.NORM.INV($AC1229,$C$7,$D$7)</f>
        <v/>
      </c>
      <c r="P1229" s="14">
        <f>$C$8+($D$8-$C$8)*$AD1229</f>
        <v/>
      </c>
      <c r="Q1229" s="14">
        <f>$C$9</f>
        <v/>
      </c>
      <c r="R1229" s="14">
        <f>_xlfn.LOGNORM.INV($AF1229,LN($C$10)-0.5*LN(1+($D$10/$C$10)^2),SQRT(LN(1+($D$10/$C$10)^2)))</f>
        <v/>
      </c>
      <c r="S1229" s="14">
        <f>SUM(M1229:R1229)</f>
        <v/>
      </c>
      <c r="AA1229">
        <f>RAND()</f>
        <v/>
      </c>
      <c r="AB1229">
        <f>RAND()</f>
        <v/>
      </c>
      <c r="AC1229">
        <f>RAND()</f>
        <v/>
      </c>
      <c r="AD1229">
        <f>RAND()</f>
        <v/>
      </c>
      <c r="AE1229">
        <f>RAND()</f>
        <v/>
      </c>
      <c r="AF1229">
        <f>RAND()</f>
        <v/>
      </c>
    </row>
    <row r="1230">
      <c r="M1230" s="14">
        <f>_xlfn.BETA.INV($AA1230,1+4*($D$5-$C$5)/($E$5-$C$5),1+4*($E$5-$D$5)/($E$5-$C$5),$C$5,$E$5)</f>
        <v/>
      </c>
      <c r="N1230" s="14">
        <f>IF($AB1230&lt;($D$6-$C$6)/($E$6-$C$6),$C$6+SQRT($AB1230*($E$6-$C$6)*($D$6-$C$6)),$E$6-SQRT((1-$AB1230)*($E$6-$C$6)*($E$6-$D$6)))</f>
        <v/>
      </c>
      <c r="O1230" s="14">
        <f>_xlfn.NORM.INV($AC1230,$C$7,$D$7)</f>
        <v/>
      </c>
      <c r="P1230" s="14">
        <f>$C$8+($D$8-$C$8)*$AD1230</f>
        <v/>
      </c>
      <c r="Q1230" s="14">
        <f>$C$9</f>
        <v/>
      </c>
      <c r="R1230" s="14">
        <f>_xlfn.LOGNORM.INV($AF1230,LN($C$10)-0.5*LN(1+($D$10/$C$10)^2),SQRT(LN(1+($D$10/$C$10)^2)))</f>
        <v/>
      </c>
      <c r="S1230" s="14">
        <f>SUM(M1230:R1230)</f>
        <v/>
      </c>
      <c r="AA1230">
        <f>RAND()</f>
        <v/>
      </c>
      <c r="AB1230">
        <f>RAND()</f>
        <v/>
      </c>
      <c r="AC1230">
        <f>RAND()</f>
        <v/>
      </c>
      <c r="AD1230">
        <f>RAND()</f>
        <v/>
      </c>
      <c r="AE1230">
        <f>RAND()</f>
        <v/>
      </c>
      <c r="AF1230">
        <f>RAND()</f>
        <v/>
      </c>
    </row>
    <row r="1231">
      <c r="M1231" s="14">
        <f>_xlfn.BETA.INV($AA1231,1+4*($D$5-$C$5)/($E$5-$C$5),1+4*($E$5-$D$5)/($E$5-$C$5),$C$5,$E$5)</f>
        <v/>
      </c>
      <c r="N1231" s="14">
        <f>IF($AB1231&lt;($D$6-$C$6)/($E$6-$C$6),$C$6+SQRT($AB1231*($E$6-$C$6)*($D$6-$C$6)),$E$6-SQRT((1-$AB1231)*($E$6-$C$6)*($E$6-$D$6)))</f>
        <v/>
      </c>
      <c r="O1231" s="14">
        <f>_xlfn.NORM.INV($AC1231,$C$7,$D$7)</f>
        <v/>
      </c>
      <c r="P1231" s="14">
        <f>$C$8+($D$8-$C$8)*$AD1231</f>
        <v/>
      </c>
      <c r="Q1231" s="14">
        <f>$C$9</f>
        <v/>
      </c>
      <c r="R1231" s="14">
        <f>_xlfn.LOGNORM.INV($AF1231,LN($C$10)-0.5*LN(1+($D$10/$C$10)^2),SQRT(LN(1+($D$10/$C$10)^2)))</f>
        <v/>
      </c>
      <c r="S1231" s="14">
        <f>SUM(M1231:R1231)</f>
        <v/>
      </c>
      <c r="AA1231">
        <f>RAND()</f>
        <v/>
      </c>
      <c r="AB1231">
        <f>RAND()</f>
        <v/>
      </c>
      <c r="AC1231">
        <f>RAND()</f>
        <v/>
      </c>
      <c r="AD1231">
        <f>RAND()</f>
        <v/>
      </c>
      <c r="AE1231">
        <f>RAND()</f>
        <v/>
      </c>
      <c r="AF1231">
        <f>RAND()</f>
        <v/>
      </c>
    </row>
    <row r="1232">
      <c r="M1232" s="14">
        <f>_xlfn.BETA.INV($AA1232,1+4*($D$5-$C$5)/($E$5-$C$5),1+4*($E$5-$D$5)/($E$5-$C$5),$C$5,$E$5)</f>
        <v/>
      </c>
      <c r="N1232" s="14">
        <f>IF($AB1232&lt;($D$6-$C$6)/($E$6-$C$6),$C$6+SQRT($AB1232*($E$6-$C$6)*($D$6-$C$6)),$E$6-SQRT((1-$AB1232)*($E$6-$C$6)*($E$6-$D$6)))</f>
        <v/>
      </c>
      <c r="O1232" s="14">
        <f>_xlfn.NORM.INV($AC1232,$C$7,$D$7)</f>
        <v/>
      </c>
      <c r="P1232" s="14">
        <f>$C$8+($D$8-$C$8)*$AD1232</f>
        <v/>
      </c>
      <c r="Q1232" s="14">
        <f>$C$9</f>
        <v/>
      </c>
      <c r="R1232" s="14">
        <f>_xlfn.LOGNORM.INV($AF1232,LN($C$10)-0.5*LN(1+($D$10/$C$10)^2),SQRT(LN(1+($D$10/$C$10)^2)))</f>
        <v/>
      </c>
      <c r="S1232" s="14">
        <f>SUM(M1232:R1232)</f>
        <v/>
      </c>
      <c r="AA1232">
        <f>RAND()</f>
        <v/>
      </c>
      <c r="AB1232">
        <f>RAND()</f>
        <v/>
      </c>
      <c r="AC1232">
        <f>RAND()</f>
        <v/>
      </c>
      <c r="AD1232">
        <f>RAND()</f>
        <v/>
      </c>
      <c r="AE1232">
        <f>RAND()</f>
        <v/>
      </c>
      <c r="AF1232">
        <f>RAND()</f>
        <v/>
      </c>
    </row>
    <row r="1233">
      <c r="M1233" s="14">
        <f>_xlfn.BETA.INV($AA1233,1+4*($D$5-$C$5)/($E$5-$C$5),1+4*($E$5-$D$5)/($E$5-$C$5),$C$5,$E$5)</f>
        <v/>
      </c>
      <c r="N1233" s="14">
        <f>IF($AB1233&lt;($D$6-$C$6)/($E$6-$C$6),$C$6+SQRT($AB1233*($E$6-$C$6)*($D$6-$C$6)),$E$6-SQRT((1-$AB1233)*($E$6-$C$6)*($E$6-$D$6)))</f>
        <v/>
      </c>
      <c r="O1233" s="14">
        <f>_xlfn.NORM.INV($AC1233,$C$7,$D$7)</f>
        <v/>
      </c>
      <c r="P1233" s="14">
        <f>$C$8+($D$8-$C$8)*$AD1233</f>
        <v/>
      </c>
      <c r="Q1233" s="14">
        <f>$C$9</f>
        <v/>
      </c>
      <c r="R1233" s="14">
        <f>_xlfn.LOGNORM.INV($AF1233,LN($C$10)-0.5*LN(1+($D$10/$C$10)^2),SQRT(LN(1+($D$10/$C$10)^2)))</f>
        <v/>
      </c>
      <c r="S1233" s="14">
        <f>SUM(M1233:R1233)</f>
        <v/>
      </c>
      <c r="AA1233">
        <f>RAND()</f>
        <v/>
      </c>
      <c r="AB1233">
        <f>RAND()</f>
        <v/>
      </c>
      <c r="AC1233">
        <f>RAND()</f>
        <v/>
      </c>
      <c r="AD1233">
        <f>RAND()</f>
        <v/>
      </c>
      <c r="AE1233">
        <f>RAND()</f>
        <v/>
      </c>
      <c r="AF1233">
        <f>RAND()</f>
        <v/>
      </c>
    </row>
    <row r="1234">
      <c r="M1234" s="14">
        <f>_xlfn.BETA.INV($AA1234,1+4*($D$5-$C$5)/($E$5-$C$5),1+4*($E$5-$D$5)/($E$5-$C$5),$C$5,$E$5)</f>
        <v/>
      </c>
      <c r="N1234" s="14">
        <f>IF($AB1234&lt;($D$6-$C$6)/($E$6-$C$6),$C$6+SQRT($AB1234*($E$6-$C$6)*($D$6-$C$6)),$E$6-SQRT((1-$AB1234)*($E$6-$C$6)*($E$6-$D$6)))</f>
        <v/>
      </c>
      <c r="O1234" s="14">
        <f>_xlfn.NORM.INV($AC1234,$C$7,$D$7)</f>
        <v/>
      </c>
      <c r="P1234" s="14">
        <f>$C$8+($D$8-$C$8)*$AD1234</f>
        <v/>
      </c>
      <c r="Q1234" s="14">
        <f>$C$9</f>
        <v/>
      </c>
      <c r="R1234" s="14">
        <f>_xlfn.LOGNORM.INV($AF1234,LN($C$10)-0.5*LN(1+($D$10/$C$10)^2),SQRT(LN(1+($D$10/$C$10)^2)))</f>
        <v/>
      </c>
      <c r="S1234" s="14">
        <f>SUM(M1234:R1234)</f>
        <v/>
      </c>
      <c r="AA1234">
        <f>RAND()</f>
        <v/>
      </c>
      <c r="AB1234">
        <f>RAND()</f>
        <v/>
      </c>
      <c r="AC1234">
        <f>RAND()</f>
        <v/>
      </c>
      <c r="AD1234">
        <f>RAND()</f>
        <v/>
      </c>
      <c r="AE1234">
        <f>RAND()</f>
        <v/>
      </c>
      <c r="AF1234">
        <f>RAND()</f>
        <v/>
      </c>
    </row>
    <row r="1235">
      <c r="M1235" s="14">
        <f>_xlfn.BETA.INV($AA1235,1+4*($D$5-$C$5)/($E$5-$C$5),1+4*($E$5-$D$5)/($E$5-$C$5),$C$5,$E$5)</f>
        <v/>
      </c>
      <c r="N1235" s="14">
        <f>IF($AB1235&lt;($D$6-$C$6)/($E$6-$C$6),$C$6+SQRT($AB1235*($E$6-$C$6)*($D$6-$C$6)),$E$6-SQRT((1-$AB1235)*($E$6-$C$6)*($E$6-$D$6)))</f>
        <v/>
      </c>
      <c r="O1235" s="14">
        <f>_xlfn.NORM.INV($AC1235,$C$7,$D$7)</f>
        <v/>
      </c>
      <c r="P1235" s="14">
        <f>$C$8+($D$8-$C$8)*$AD1235</f>
        <v/>
      </c>
      <c r="Q1235" s="14">
        <f>$C$9</f>
        <v/>
      </c>
      <c r="R1235" s="14">
        <f>_xlfn.LOGNORM.INV($AF1235,LN($C$10)-0.5*LN(1+($D$10/$C$10)^2),SQRT(LN(1+($D$10/$C$10)^2)))</f>
        <v/>
      </c>
      <c r="S1235" s="14">
        <f>SUM(M1235:R1235)</f>
        <v/>
      </c>
      <c r="AA1235">
        <f>RAND()</f>
        <v/>
      </c>
      <c r="AB1235">
        <f>RAND()</f>
        <v/>
      </c>
      <c r="AC1235">
        <f>RAND()</f>
        <v/>
      </c>
      <c r="AD1235">
        <f>RAND()</f>
        <v/>
      </c>
      <c r="AE1235">
        <f>RAND()</f>
        <v/>
      </c>
      <c r="AF1235">
        <f>RAND()</f>
        <v/>
      </c>
    </row>
    <row r="1236">
      <c r="M1236" s="14">
        <f>_xlfn.BETA.INV($AA1236,1+4*($D$5-$C$5)/($E$5-$C$5),1+4*($E$5-$D$5)/($E$5-$C$5),$C$5,$E$5)</f>
        <v/>
      </c>
      <c r="N1236" s="14">
        <f>IF($AB1236&lt;($D$6-$C$6)/($E$6-$C$6),$C$6+SQRT($AB1236*($E$6-$C$6)*($D$6-$C$6)),$E$6-SQRT((1-$AB1236)*($E$6-$C$6)*($E$6-$D$6)))</f>
        <v/>
      </c>
      <c r="O1236" s="14">
        <f>_xlfn.NORM.INV($AC1236,$C$7,$D$7)</f>
        <v/>
      </c>
      <c r="P1236" s="14">
        <f>$C$8+($D$8-$C$8)*$AD1236</f>
        <v/>
      </c>
      <c r="Q1236" s="14">
        <f>$C$9</f>
        <v/>
      </c>
      <c r="R1236" s="14">
        <f>_xlfn.LOGNORM.INV($AF1236,LN($C$10)-0.5*LN(1+($D$10/$C$10)^2),SQRT(LN(1+($D$10/$C$10)^2)))</f>
        <v/>
      </c>
      <c r="S1236" s="14">
        <f>SUM(M1236:R1236)</f>
        <v/>
      </c>
      <c r="AA1236">
        <f>RAND()</f>
        <v/>
      </c>
      <c r="AB1236">
        <f>RAND()</f>
        <v/>
      </c>
      <c r="AC1236">
        <f>RAND()</f>
        <v/>
      </c>
      <c r="AD1236">
        <f>RAND()</f>
        <v/>
      </c>
      <c r="AE1236">
        <f>RAND()</f>
        <v/>
      </c>
      <c r="AF1236">
        <f>RAND()</f>
        <v/>
      </c>
    </row>
    <row r="1237">
      <c r="M1237" s="14">
        <f>_xlfn.BETA.INV($AA1237,1+4*($D$5-$C$5)/($E$5-$C$5),1+4*($E$5-$D$5)/($E$5-$C$5),$C$5,$E$5)</f>
        <v/>
      </c>
      <c r="N1237" s="14">
        <f>IF($AB1237&lt;($D$6-$C$6)/($E$6-$C$6),$C$6+SQRT($AB1237*($E$6-$C$6)*($D$6-$C$6)),$E$6-SQRT((1-$AB1237)*($E$6-$C$6)*($E$6-$D$6)))</f>
        <v/>
      </c>
      <c r="O1237" s="14">
        <f>_xlfn.NORM.INV($AC1237,$C$7,$D$7)</f>
        <v/>
      </c>
      <c r="P1237" s="14">
        <f>$C$8+($D$8-$C$8)*$AD1237</f>
        <v/>
      </c>
      <c r="Q1237" s="14">
        <f>$C$9</f>
        <v/>
      </c>
      <c r="R1237" s="14">
        <f>_xlfn.LOGNORM.INV($AF1237,LN($C$10)-0.5*LN(1+($D$10/$C$10)^2),SQRT(LN(1+($D$10/$C$10)^2)))</f>
        <v/>
      </c>
      <c r="S1237" s="14">
        <f>SUM(M1237:R1237)</f>
        <v/>
      </c>
      <c r="AA1237">
        <f>RAND()</f>
        <v/>
      </c>
      <c r="AB1237">
        <f>RAND()</f>
        <v/>
      </c>
      <c r="AC1237">
        <f>RAND()</f>
        <v/>
      </c>
      <c r="AD1237">
        <f>RAND()</f>
        <v/>
      </c>
      <c r="AE1237">
        <f>RAND()</f>
        <v/>
      </c>
      <c r="AF1237">
        <f>RAND()</f>
        <v/>
      </c>
    </row>
    <row r="1238">
      <c r="M1238" s="14">
        <f>_xlfn.BETA.INV($AA1238,1+4*($D$5-$C$5)/($E$5-$C$5),1+4*($E$5-$D$5)/($E$5-$C$5),$C$5,$E$5)</f>
        <v/>
      </c>
      <c r="N1238" s="14">
        <f>IF($AB1238&lt;($D$6-$C$6)/($E$6-$C$6),$C$6+SQRT($AB1238*($E$6-$C$6)*($D$6-$C$6)),$E$6-SQRT((1-$AB1238)*($E$6-$C$6)*($E$6-$D$6)))</f>
        <v/>
      </c>
      <c r="O1238" s="14">
        <f>_xlfn.NORM.INV($AC1238,$C$7,$D$7)</f>
        <v/>
      </c>
      <c r="P1238" s="14">
        <f>$C$8+($D$8-$C$8)*$AD1238</f>
        <v/>
      </c>
      <c r="Q1238" s="14">
        <f>$C$9</f>
        <v/>
      </c>
      <c r="R1238" s="14">
        <f>_xlfn.LOGNORM.INV($AF1238,LN($C$10)-0.5*LN(1+($D$10/$C$10)^2),SQRT(LN(1+($D$10/$C$10)^2)))</f>
        <v/>
      </c>
      <c r="S1238" s="14">
        <f>SUM(M1238:R1238)</f>
        <v/>
      </c>
      <c r="AA1238">
        <f>RAND()</f>
        <v/>
      </c>
      <c r="AB1238">
        <f>RAND()</f>
        <v/>
      </c>
      <c r="AC1238">
        <f>RAND()</f>
        <v/>
      </c>
      <c r="AD1238">
        <f>RAND()</f>
        <v/>
      </c>
      <c r="AE1238">
        <f>RAND()</f>
        <v/>
      </c>
      <c r="AF1238">
        <f>RAND()</f>
        <v/>
      </c>
    </row>
    <row r="1239">
      <c r="M1239" s="14">
        <f>_xlfn.BETA.INV($AA1239,1+4*($D$5-$C$5)/($E$5-$C$5),1+4*($E$5-$D$5)/($E$5-$C$5),$C$5,$E$5)</f>
        <v/>
      </c>
      <c r="N1239" s="14">
        <f>IF($AB1239&lt;($D$6-$C$6)/($E$6-$C$6),$C$6+SQRT($AB1239*($E$6-$C$6)*($D$6-$C$6)),$E$6-SQRT((1-$AB1239)*($E$6-$C$6)*($E$6-$D$6)))</f>
        <v/>
      </c>
      <c r="O1239" s="14">
        <f>_xlfn.NORM.INV($AC1239,$C$7,$D$7)</f>
        <v/>
      </c>
      <c r="P1239" s="14">
        <f>$C$8+($D$8-$C$8)*$AD1239</f>
        <v/>
      </c>
      <c r="Q1239" s="14">
        <f>$C$9</f>
        <v/>
      </c>
      <c r="R1239" s="14">
        <f>_xlfn.LOGNORM.INV($AF1239,LN($C$10)-0.5*LN(1+($D$10/$C$10)^2),SQRT(LN(1+($D$10/$C$10)^2)))</f>
        <v/>
      </c>
      <c r="S1239" s="14">
        <f>SUM(M1239:R1239)</f>
        <v/>
      </c>
      <c r="AA1239">
        <f>RAND()</f>
        <v/>
      </c>
      <c r="AB1239">
        <f>RAND()</f>
        <v/>
      </c>
      <c r="AC1239">
        <f>RAND()</f>
        <v/>
      </c>
      <c r="AD1239">
        <f>RAND()</f>
        <v/>
      </c>
      <c r="AE1239">
        <f>RAND()</f>
        <v/>
      </c>
      <c r="AF1239">
        <f>RAND()</f>
        <v/>
      </c>
    </row>
    <row r="1240">
      <c r="M1240" s="14">
        <f>_xlfn.BETA.INV($AA1240,1+4*($D$5-$C$5)/($E$5-$C$5),1+4*($E$5-$D$5)/($E$5-$C$5),$C$5,$E$5)</f>
        <v/>
      </c>
      <c r="N1240" s="14">
        <f>IF($AB1240&lt;($D$6-$C$6)/($E$6-$C$6),$C$6+SQRT($AB1240*($E$6-$C$6)*($D$6-$C$6)),$E$6-SQRT((1-$AB1240)*($E$6-$C$6)*($E$6-$D$6)))</f>
        <v/>
      </c>
      <c r="O1240" s="14">
        <f>_xlfn.NORM.INV($AC1240,$C$7,$D$7)</f>
        <v/>
      </c>
      <c r="P1240" s="14">
        <f>$C$8+($D$8-$C$8)*$AD1240</f>
        <v/>
      </c>
      <c r="Q1240" s="14">
        <f>$C$9</f>
        <v/>
      </c>
      <c r="R1240" s="14">
        <f>_xlfn.LOGNORM.INV($AF1240,LN($C$10)-0.5*LN(1+($D$10/$C$10)^2),SQRT(LN(1+($D$10/$C$10)^2)))</f>
        <v/>
      </c>
      <c r="S1240" s="14">
        <f>SUM(M1240:R1240)</f>
        <v/>
      </c>
      <c r="AA1240">
        <f>RAND()</f>
        <v/>
      </c>
      <c r="AB1240">
        <f>RAND()</f>
        <v/>
      </c>
      <c r="AC1240">
        <f>RAND()</f>
        <v/>
      </c>
      <c r="AD1240">
        <f>RAND()</f>
        <v/>
      </c>
      <c r="AE1240">
        <f>RAND()</f>
        <v/>
      </c>
      <c r="AF1240">
        <f>RAND()</f>
        <v/>
      </c>
    </row>
    <row r="1241">
      <c r="M1241" s="14">
        <f>_xlfn.BETA.INV($AA1241,1+4*($D$5-$C$5)/($E$5-$C$5),1+4*($E$5-$D$5)/($E$5-$C$5),$C$5,$E$5)</f>
        <v/>
      </c>
      <c r="N1241" s="14">
        <f>IF($AB1241&lt;($D$6-$C$6)/($E$6-$C$6),$C$6+SQRT($AB1241*($E$6-$C$6)*($D$6-$C$6)),$E$6-SQRT((1-$AB1241)*($E$6-$C$6)*($E$6-$D$6)))</f>
        <v/>
      </c>
      <c r="O1241" s="14">
        <f>_xlfn.NORM.INV($AC1241,$C$7,$D$7)</f>
        <v/>
      </c>
      <c r="P1241" s="14">
        <f>$C$8+($D$8-$C$8)*$AD1241</f>
        <v/>
      </c>
      <c r="Q1241" s="14">
        <f>$C$9</f>
        <v/>
      </c>
      <c r="R1241" s="14">
        <f>_xlfn.LOGNORM.INV($AF1241,LN($C$10)-0.5*LN(1+($D$10/$C$10)^2),SQRT(LN(1+($D$10/$C$10)^2)))</f>
        <v/>
      </c>
      <c r="S1241" s="14">
        <f>SUM(M1241:R1241)</f>
        <v/>
      </c>
      <c r="AA1241">
        <f>RAND()</f>
        <v/>
      </c>
      <c r="AB1241">
        <f>RAND()</f>
        <v/>
      </c>
      <c r="AC1241">
        <f>RAND()</f>
        <v/>
      </c>
      <c r="AD1241">
        <f>RAND()</f>
        <v/>
      </c>
      <c r="AE1241">
        <f>RAND()</f>
        <v/>
      </c>
      <c r="AF1241">
        <f>RAND()</f>
        <v/>
      </c>
    </row>
    <row r="1242">
      <c r="M1242" s="14">
        <f>_xlfn.BETA.INV($AA1242,1+4*($D$5-$C$5)/($E$5-$C$5),1+4*($E$5-$D$5)/($E$5-$C$5),$C$5,$E$5)</f>
        <v/>
      </c>
      <c r="N1242" s="14">
        <f>IF($AB1242&lt;($D$6-$C$6)/($E$6-$C$6),$C$6+SQRT($AB1242*($E$6-$C$6)*($D$6-$C$6)),$E$6-SQRT((1-$AB1242)*($E$6-$C$6)*($E$6-$D$6)))</f>
        <v/>
      </c>
      <c r="O1242" s="14">
        <f>_xlfn.NORM.INV($AC1242,$C$7,$D$7)</f>
        <v/>
      </c>
      <c r="P1242" s="14">
        <f>$C$8+($D$8-$C$8)*$AD1242</f>
        <v/>
      </c>
      <c r="Q1242" s="14">
        <f>$C$9</f>
        <v/>
      </c>
      <c r="R1242" s="14">
        <f>_xlfn.LOGNORM.INV($AF1242,LN($C$10)-0.5*LN(1+($D$10/$C$10)^2),SQRT(LN(1+($D$10/$C$10)^2)))</f>
        <v/>
      </c>
      <c r="S1242" s="14">
        <f>SUM(M1242:R1242)</f>
        <v/>
      </c>
      <c r="AA1242">
        <f>RAND()</f>
        <v/>
      </c>
      <c r="AB1242">
        <f>RAND()</f>
        <v/>
      </c>
      <c r="AC1242">
        <f>RAND()</f>
        <v/>
      </c>
      <c r="AD1242">
        <f>RAND()</f>
        <v/>
      </c>
      <c r="AE1242">
        <f>RAND()</f>
        <v/>
      </c>
      <c r="AF1242">
        <f>RAND()</f>
        <v/>
      </c>
    </row>
    <row r="1243">
      <c r="M1243" s="14">
        <f>_xlfn.BETA.INV($AA1243,1+4*($D$5-$C$5)/($E$5-$C$5),1+4*($E$5-$D$5)/($E$5-$C$5),$C$5,$E$5)</f>
        <v/>
      </c>
      <c r="N1243" s="14">
        <f>IF($AB1243&lt;($D$6-$C$6)/($E$6-$C$6),$C$6+SQRT($AB1243*($E$6-$C$6)*($D$6-$C$6)),$E$6-SQRT((1-$AB1243)*($E$6-$C$6)*($E$6-$D$6)))</f>
        <v/>
      </c>
      <c r="O1243" s="14">
        <f>_xlfn.NORM.INV($AC1243,$C$7,$D$7)</f>
        <v/>
      </c>
      <c r="P1243" s="14">
        <f>$C$8+($D$8-$C$8)*$AD1243</f>
        <v/>
      </c>
      <c r="Q1243" s="14">
        <f>$C$9</f>
        <v/>
      </c>
      <c r="R1243" s="14">
        <f>_xlfn.LOGNORM.INV($AF1243,LN($C$10)-0.5*LN(1+($D$10/$C$10)^2),SQRT(LN(1+($D$10/$C$10)^2)))</f>
        <v/>
      </c>
      <c r="S1243" s="14">
        <f>SUM(M1243:R1243)</f>
        <v/>
      </c>
      <c r="AA1243">
        <f>RAND()</f>
        <v/>
      </c>
      <c r="AB1243">
        <f>RAND()</f>
        <v/>
      </c>
      <c r="AC1243">
        <f>RAND()</f>
        <v/>
      </c>
      <c r="AD1243">
        <f>RAND()</f>
        <v/>
      </c>
      <c r="AE1243">
        <f>RAND()</f>
        <v/>
      </c>
      <c r="AF1243">
        <f>RAND()</f>
        <v/>
      </c>
    </row>
    <row r="1244">
      <c r="M1244" s="14">
        <f>_xlfn.BETA.INV($AA1244,1+4*($D$5-$C$5)/($E$5-$C$5),1+4*($E$5-$D$5)/($E$5-$C$5),$C$5,$E$5)</f>
        <v/>
      </c>
      <c r="N1244" s="14">
        <f>IF($AB1244&lt;($D$6-$C$6)/($E$6-$C$6),$C$6+SQRT($AB1244*($E$6-$C$6)*($D$6-$C$6)),$E$6-SQRT((1-$AB1244)*($E$6-$C$6)*($E$6-$D$6)))</f>
        <v/>
      </c>
      <c r="O1244" s="14">
        <f>_xlfn.NORM.INV($AC1244,$C$7,$D$7)</f>
        <v/>
      </c>
      <c r="P1244" s="14">
        <f>$C$8+($D$8-$C$8)*$AD1244</f>
        <v/>
      </c>
      <c r="Q1244" s="14">
        <f>$C$9</f>
        <v/>
      </c>
      <c r="R1244" s="14">
        <f>_xlfn.LOGNORM.INV($AF1244,LN($C$10)-0.5*LN(1+($D$10/$C$10)^2),SQRT(LN(1+($D$10/$C$10)^2)))</f>
        <v/>
      </c>
      <c r="S1244" s="14">
        <f>SUM(M1244:R1244)</f>
        <v/>
      </c>
      <c r="AA1244">
        <f>RAND()</f>
        <v/>
      </c>
      <c r="AB1244">
        <f>RAND()</f>
        <v/>
      </c>
      <c r="AC1244">
        <f>RAND()</f>
        <v/>
      </c>
      <c r="AD1244">
        <f>RAND()</f>
        <v/>
      </c>
      <c r="AE1244">
        <f>RAND()</f>
        <v/>
      </c>
      <c r="AF1244">
        <f>RAND()</f>
        <v/>
      </c>
    </row>
    <row r="1245">
      <c r="M1245" s="14">
        <f>_xlfn.BETA.INV($AA1245,1+4*($D$5-$C$5)/($E$5-$C$5),1+4*($E$5-$D$5)/($E$5-$C$5),$C$5,$E$5)</f>
        <v/>
      </c>
      <c r="N1245" s="14">
        <f>IF($AB1245&lt;($D$6-$C$6)/($E$6-$C$6),$C$6+SQRT($AB1245*($E$6-$C$6)*($D$6-$C$6)),$E$6-SQRT((1-$AB1245)*($E$6-$C$6)*($E$6-$D$6)))</f>
        <v/>
      </c>
      <c r="O1245" s="14">
        <f>_xlfn.NORM.INV($AC1245,$C$7,$D$7)</f>
        <v/>
      </c>
      <c r="P1245" s="14">
        <f>$C$8+($D$8-$C$8)*$AD1245</f>
        <v/>
      </c>
      <c r="Q1245" s="14">
        <f>$C$9</f>
        <v/>
      </c>
      <c r="R1245" s="14">
        <f>_xlfn.LOGNORM.INV($AF1245,LN($C$10)-0.5*LN(1+($D$10/$C$10)^2),SQRT(LN(1+($D$10/$C$10)^2)))</f>
        <v/>
      </c>
      <c r="S1245" s="14">
        <f>SUM(M1245:R1245)</f>
        <v/>
      </c>
      <c r="AA1245">
        <f>RAND()</f>
        <v/>
      </c>
      <c r="AB1245">
        <f>RAND()</f>
        <v/>
      </c>
      <c r="AC1245">
        <f>RAND()</f>
        <v/>
      </c>
      <c r="AD1245">
        <f>RAND()</f>
        <v/>
      </c>
      <c r="AE1245">
        <f>RAND()</f>
        <v/>
      </c>
      <c r="AF1245">
        <f>RAND()</f>
        <v/>
      </c>
    </row>
    <row r="1246">
      <c r="M1246" s="14">
        <f>_xlfn.BETA.INV($AA1246,1+4*($D$5-$C$5)/($E$5-$C$5),1+4*($E$5-$D$5)/($E$5-$C$5),$C$5,$E$5)</f>
        <v/>
      </c>
      <c r="N1246" s="14">
        <f>IF($AB1246&lt;($D$6-$C$6)/($E$6-$C$6),$C$6+SQRT($AB1246*($E$6-$C$6)*($D$6-$C$6)),$E$6-SQRT((1-$AB1246)*($E$6-$C$6)*($E$6-$D$6)))</f>
        <v/>
      </c>
      <c r="O1246" s="14">
        <f>_xlfn.NORM.INV($AC1246,$C$7,$D$7)</f>
        <v/>
      </c>
      <c r="P1246" s="14">
        <f>$C$8+($D$8-$C$8)*$AD1246</f>
        <v/>
      </c>
      <c r="Q1246" s="14">
        <f>$C$9</f>
        <v/>
      </c>
      <c r="R1246" s="14">
        <f>_xlfn.LOGNORM.INV($AF1246,LN($C$10)-0.5*LN(1+($D$10/$C$10)^2),SQRT(LN(1+($D$10/$C$10)^2)))</f>
        <v/>
      </c>
      <c r="S1246" s="14">
        <f>SUM(M1246:R1246)</f>
        <v/>
      </c>
      <c r="AA1246">
        <f>RAND()</f>
        <v/>
      </c>
      <c r="AB1246">
        <f>RAND()</f>
        <v/>
      </c>
      <c r="AC1246">
        <f>RAND()</f>
        <v/>
      </c>
      <c r="AD1246">
        <f>RAND()</f>
        <v/>
      </c>
      <c r="AE1246">
        <f>RAND()</f>
        <v/>
      </c>
      <c r="AF1246">
        <f>RAND()</f>
        <v/>
      </c>
    </row>
    <row r="1247">
      <c r="M1247" s="14">
        <f>_xlfn.BETA.INV($AA1247,1+4*($D$5-$C$5)/($E$5-$C$5),1+4*($E$5-$D$5)/($E$5-$C$5),$C$5,$E$5)</f>
        <v/>
      </c>
      <c r="N1247" s="14">
        <f>IF($AB1247&lt;($D$6-$C$6)/($E$6-$C$6),$C$6+SQRT($AB1247*($E$6-$C$6)*($D$6-$C$6)),$E$6-SQRT((1-$AB1247)*($E$6-$C$6)*($E$6-$D$6)))</f>
        <v/>
      </c>
      <c r="O1247" s="14">
        <f>_xlfn.NORM.INV($AC1247,$C$7,$D$7)</f>
        <v/>
      </c>
      <c r="P1247" s="14">
        <f>$C$8+($D$8-$C$8)*$AD1247</f>
        <v/>
      </c>
      <c r="Q1247" s="14">
        <f>$C$9</f>
        <v/>
      </c>
      <c r="R1247" s="14">
        <f>_xlfn.LOGNORM.INV($AF1247,LN($C$10)-0.5*LN(1+($D$10/$C$10)^2),SQRT(LN(1+($D$10/$C$10)^2)))</f>
        <v/>
      </c>
      <c r="S1247" s="14">
        <f>SUM(M1247:R1247)</f>
        <v/>
      </c>
      <c r="AA1247">
        <f>RAND()</f>
        <v/>
      </c>
      <c r="AB1247">
        <f>RAND()</f>
        <v/>
      </c>
      <c r="AC1247">
        <f>RAND()</f>
        <v/>
      </c>
      <c r="AD1247">
        <f>RAND()</f>
        <v/>
      </c>
      <c r="AE1247">
        <f>RAND()</f>
        <v/>
      </c>
      <c r="AF1247">
        <f>RAND()</f>
        <v/>
      </c>
    </row>
    <row r="1248">
      <c r="M1248" s="14">
        <f>_xlfn.BETA.INV($AA1248,1+4*($D$5-$C$5)/($E$5-$C$5),1+4*($E$5-$D$5)/($E$5-$C$5),$C$5,$E$5)</f>
        <v/>
      </c>
      <c r="N1248" s="14">
        <f>IF($AB1248&lt;($D$6-$C$6)/($E$6-$C$6),$C$6+SQRT($AB1248*($E$6-$C$6)*($D$6-$C$6)),$E$6-SQRT((1-$AB1248)*($E$6-$C$6)*($E$6-$D$6)))</f>
        <v/>
      </c>
      <c r="O1248" s="14">
        <f>_xlfn.NORM.INV($AC1248,$C$7,$D$7)</f>
        <v/>
      </c>
      <c r="P1248" s="14">
        <f>$C$8+($D$8-$C$8)*$AD1248</f>
        <v/>
      </c>
      <c r="Q1248" s="14">
        <f>$C$9</f>
        <v/>
      </c>
      <c r="R1248" s="14">
        <f>_xlfn.LOGNORM.INV($AF1248,LN($C$10)-0.5*LN(1+($D$10/$C$10)^2),SQRT(LN(1+($D$10/$C$10)^2)))</f>
        <v/>
      </c>
      <c r="S1248" s="14">
        <f>SUM(M1248:R1248)</f>
        <v/>
      </c>
      <c r="AA1248">
        <f>RAND()</f>
        <v/>
      </c>
      <c r="AB1248">
        <f>RAND()</f>
        <v/>
      </c>
      <c r="AC1248">
        <f>RAND()</f>
        <v/>
      </c>
      <c r="AD1248">
        <f>RAND()</f>
        <v/>
      </c>
      <c r="AE1248">
        <f>RAND()</f>
        <v/>
      </c>
      <c r="AF1248">
        <f>RAND()</f>
        <v/>
      </c>
    </row>
    <row r="1249">
      <c r="M1249" s="14">
        <f>_xlfn.BETA.INV($AA1249,1+4*($D$5-$C$5)/($E$5-$C$5),1+4*($E$5-$D$5)/($E$5-$C$5),$C$5,$E$5)</f>
        <v/>
      </c>
      <c r="N1249" s="14">
        <f>IF($AB1249&lt;($D$6-$C$6)/($E$6-$C$6),$C$6+SQRT($AB1249*($E$6-$C$6)*($D$6-$C$6)),$E$6-SQRT((1-$AB1249)*($E$6-$C$6)*($E$6-$D$6)))</f>
        <v/>
      </c>
      <c r="O1249" s="14">
        <f>_xlfn.NORM.INV($AC1249,$C$7,$D$7)</f>
        <v/>
      </c>
      <c r="P1249" s="14">
        <f>$C$8+($D$8-$C$8)*$AD1249</f>
        <v/>
      </c>
      <c r="Q1249" s="14">
        <f>$C$9</f>
        <v/>
      </c>
      <c r="R1249" s="14">
        <f>_xlfn.LOGNORM.INV($AF1249,LN($C$10)-0.5*LN(1+($D$10/$C$10)^2),SQRT(LN(1+($D$10/$C$10)^2)))</f>
        <v/>
      </c>
      <c r="S1249" s="14">
        <f>SUM(M1249:R1249)</f>
        <v/>
      </c>
      <c r="AA1249">
        <f>RAND()</f>
        <v/>
      </c>
      <c r="AB1249">
        <f>RAND()</f>
        <v/>
      </c>
      <c r="AC1249">
        <f>RAND()</f>
        <v/>
      </c>
      <c r="AD1249">
        <f>RAND()</f>
        <v/>
      </c>
      <c r="AE1249">
        <f>RAND()</f>
        <v/>
      </c>
      <c r="AF1249">
        <f>RAND()</f>
        <v/>
      </c>
    </row>
    <row r="1250">
      <c r="M1250" s="14">
        <f>_xlfn.BETA.INV($AA1250,1+4*($D$5-$C$5)/($E$5-$C$5),1+4*($E$5-$D$5)/($E$5-$C$5),$C$5,$E$5)</f>
        <v/>
      </c>
      <c r="N1250" s="14">
        <f>IF($AB1250&lt;($D$6-$C$6)/($E$6-$C$6),$C$6+SQRT($AB1250*($E$6-$C$6)*($D$6-$C$6)),$E$6-SQRT((1-$AB1250)*($E$6-$C$6)*($E$6-$D$6)))</f>
        <v/>
      </c>
      <c r="O1250" s="14">
        <f>_xlfn.NORM.INV($AC1250,$C$7,$D$7)</f>
        <v/>
      </c>
      <c r="P1250" s="14">
        <f>$C$8+($D$8-$C$8)*$AD1250</f>
        <v/>
      </c>
      <c r="Q1250" s="14">
        <f>$C$9</f>
        <v/>
      </c>
      <c r="R1250" s="14">
        <f>_xlfn.LOGNORM.INV($AF1250,LN($C$10)-0.5*LN(1+($D$10/$C$10)^2),SQRT(LN(1+($D$10/$C$10)^2)))</f>
        <v/>
      </c>
      <c r="S1250" s="14">
        <f>SUM(M1250:R1250)</f>
        <v/>
      </c>
      <c r="AA1250">
        <f>RAND()</f>
        <v/>
      </c>
      <c r="AB1250">
        <f>RAND()</f>
        <v/>
      </c>
      <c r="AC1250">
        <f>RAND()</f>
        <v/>
      </c>
      <c r="AD1250">
        <f>RAND()</f>
        <v/>
      </c>
      <c r="AE1250">
        <f>RAND()</f>
        <v/>
      </c>
      <c r="AF1250">
        <f>RAND()</f>
        <v/>
      </c>
    </row>
    <row r="1251">
      <c r="M1251" s="14">
        <f>_xlfn.BETA.INV($AA1251,1+4*($D$5-$C$5)/($E$5-$C$5),1+4*($E$5-$D$5)/($E$5-$C$5),$C$5,$E$5)</f>
        <v/>
      </c>
      <c r="N1251" s="14">
        <f>IF($AB1251&lt;($D$6-$C$6)/($E$6-$C$6),$C$6+SQRT($AB1251*($E$6-$C$6)*($D$6-$C$6)),$E$6-SQRT((1-$AB1251)*($E$6-$C$6)*($E$6-$D$6)))</f>
        <v/>
      </c>
      <c r="O1251" s="14">
        <f>_xlfn.NORM.INV($AC1251,$C$7,$D$7)</f>
        <v/>
      </c>
      <c r="P1251" s="14">
        <f>$C$8+($D$8-$C$8)*$AD1251</f>
        <v/>
      </c>
      <c r="Q1251" s="14">
        <f>$C$9</f>
        <v/>
      </c>
      <c r="R1251" s="14">
        <f>_xlfn.LOGNORM.INV($AF1251,LN($C$10)-0.5*LN(1+($D$10/$C$10)^2),SQRT(LN(1+($D$10/$C$10)^2)))</f>
        <v/>
      </c>
      <c r="S1251" s="14">
        <f>SUM(M1251:R1251)</f>
        <v/>
      </c>
      <c r="AA1251">
        <f>RAND()</f>
        <v/>
      </c>
      <c r="AB1251">
        <f>RAND()</f>
        <v/>
      </c>
      <c r="AC1251">
        <f>RAND()</f>
        <v/>
      </c>
      <c r="AD1251">
        <f>RAND()</f>
        <v/>
      </c>
      <c r="AE1251">
        <f>RAND()</f>
        <v/>
      </c>
      <c r="AF1251">
        <f>RAND()</f>
        <v/>
      </c>
    </row>
    <row r="1252">
      <c r="M1252" s="14">
        <f>_xlfn.BETA.INV($AA1252,1+4*($D$5-$C$5)/($E$5-$C$5),1+4*($E$5-$D$5)/($E$5-$C$5),$C$5,$E$5)</f>
        <v/>
      </c>
      <c r="N1252" s="14">
        <f>IF($AB1252&lt;($D$6-$C$6)/($E$6-$C$6),$C$6+SQRT($AB1252*($E$6-$C$6)*($D$6-$C$6)),$E$6-SQRT((1-$AB1252)*($E$6-$C$6)*($E$6-$D$6)))</f>
        <v/>
      </c>
      <c r="O1252" s="14">
        <f>_xlfn.NORM.INV($AC1252,$C$7,$D$7)</f>
        <v/>
      </c>
      <c r="P1252" s="14">
        <f>$C$8+($D$8-$C$8)*$AD1252</f>
        <v/>
      </c>
      <c r="Q1252" s="14">
        <f>$C$9</f>
        <v/>
      </c>
      <c r="R1252" s="14">
        <f>_xlfn.LOGNORM.INV($AF1252,LN($C$10)-0.5*LN(1+($D$10/$C$10)^2),SQRT(LN(1+($D$10/$C$10)^2)))</f>
        <v/>
      </c>
      <c r="S1252" s="14">
        <f>SUM(M1252:R1252)</f>
        <v/>
      </c>
      <c r="AA1252">
        <f>RAND()</f>
        <v/>
      </c>
      <c r="AB1252">
        <f>RAND()</f>
        <v/>
      </c>
      <c r="AC1252">
        <f>RAND()</f>
        <v/>
      </c>
      <c r="AD1252">
        <f>RAND()</f>
        <v/>
      </c>
      <c r="AE1252">
        <f>RAND()</f>
        <v/>
      </c>
      <c r="AF1252">
        <f>RAND()</f>
        <v/>
      </c>
    </row>
    <row r="1253">
      <c r="M1253" s="14">
        <f>_xlfn.BETA.INV($AA1253,1+4*($D$5-$C$5)/($E$5-$C$5),1+4*($E$5-$D$5)/($E$5-$C$5),$C$5,$E$5)</f>
        <v/>
      </c>
      <c r="N1253" s="14">
        <f>IF($AB1253&lt;($D$6-$C$6)/($E$6-$C$6),$C$6+SQRT($AB1253*($E$6-$C$6)*($D$6-$C$6)),$E$6-SQRT((1-$AB1253)*($E$6-$C$6)*($E$6-$D$6)))</f>
        <v/>
      </c>
      <c r="O1253" s="14">
        <f>_xlfn.NORM.INV($AC1253,$C$7,$D$7)</f>
        <v/>
      </c>
      <c r="P1253" s="14">
        <f>$C$8+($D$8-$C$8)*$AD1253</f>
        <v/>
      </c>
      <c r="Q1253" s="14">
        <f>$C$9</f>
        <v/>
      </c>
      <c r="R1253" s="14">
        <f>_xlfn.LOGNORM.INV($AF1253,LN($C$10)-0.5*LN(1+($D$10/$C$10)^2),SQRT(LN(1+($D$10/$C$10)^2)))</f>
        <v/>
      </c>
      <c r="S1253" s="14">
        <f>SUM(M1253:R1253)</f>
        <v/>
      </c>
      <c r="AA1253">
        <f>RAND()</f>
        <v/>
      </c>
      <c r="AB1253">
        <f>RAND()</f>
        <v/>
      </c>
      <c r="AC1253">
        <f>RAND()</f>
        <v/>
      </c>
      <c r="AD1253">
        <f>RAND()</f>
        <v/>
      </c>
      <c r="AE1253">
        <f>RAND()</f>
        <v/>
      </c>
      <c r="AF1253">
        <f>RAND()</f>
        <v/>
      </c>
    </row>
    <row r="1254">
      <c r="M1254" s="14">
        <f>_xlfn.BETA.INV($AA1254,1+4*($D$5-$C$5)/($E$5-$C$5),1+4*($E$5-$D$5)/($E$5-$C$5),$C$5,$E$5)</f>
        <v/>
      </c>
      <c r="N1254" s="14">
        <f>IF($AB1254&lt;($D$6-$C$6)/($E$6-$C$6),$C$6+SQRT($AB1254*($E$6-$C$6)*($D$6-$C$6)),$E$6-SQRT((1-$AB1254)*($E$6-$C$6)*($E$6-$D$6)))</f>
        <v/>
      </c>
      <c r="O1254" s="14">
        <f>_xlfn.NORM.INV($AC1254,$C$7,$D$7)</f>
        <v/>
      </c>
      <c r="P1254" s="14">
        <f>$C$8+($D$8-$C$8)*$AD1254</f>
        <v/>
      </c>
      <c r="Q1254" s="14">
        <f>$C$9</f>
        <v/>
      </c>
      <c r="R1254" s="14">
        <f>_xlfn.LOGNORM.INV($AF1254,LN($C$10)-0.5*LN(1+($D$10/$C$10)^2),SQRT(LN(1+($D$10/$C$10)^2)))</f>
        <v/>
      </c>
      <c r="S1254" s="14">
        <f>SUM(M1254:R1254)</f>
        <v/>
      </c>
      <c r="AA1254">
        <f>RAND()</f>
        <v/>
      </c>
      <c r="AB1254">
        <f>RAND()</f>
        <v/>
      </c>
      <c r="AC1254">
        <f>RAND()</f>
        <v/>
      </c>
      <c r="AD1254">
        <f>RAND()</f>
        <v/>
      </c>
      <c r="AE1254">
        <f>RAND()</f>
        <v/>
      </c>
      <c r="AF1254">
        <f>RAND()</f>
        <v/>
      </c>
    </row>
    <row r="1255">
      <c r="M1255" s="14">
        <f>_xlfn.BETA.INV($AA1255,1+4*($D$5-$C$5)/($E$5-$C$5),1+4*($E$5-$D$5)/($E$5-$C$5),$C$5,$E$5)</f>
        <v/>
      </c>
      <c r="N1255" s="14">
        <f>IF($AB1255&lt;($D$6-$C$6)/($E$6-$C$6),$C$6+SQRT($AB1255*($E$6-$C$6)*($D$6-$C$6)),$E$6-SQRT((1-$AB1255)*($E$6-$C$6)*($E$6-$D$6)))</f>
        <v/>
      </c>
      <c r="O1255" s="14">
        <f>_xlfn.NORM.INV($AC1255,$C$7,$D$7)</f>
        <v/>
      </c>
      <c r="P1255" s="14">
        <f>$C$8+($D$8-$C$8)*$AD1255</f>
        <v/>
      </c>
      <c r="Q1255" s="14">
        <f>$C$9</f>
        <v/>
      </c>
      <c r="R1255" s="14">
        <f>_xlfn.LOGNORM.INV($AF1255,LN($C$10)-0.5*LN(1+($D$10/$C$10)^2),SQRT(LN(1+($D$10/$C$10)^2)))</f>
        <v/>
      </c>
      <c r="S1255" s="14">
        <f>SUM(M1255:R1255)</f>
        <v/>
      </c>
      <c r="AA1255">
        <f>RAND()</f>
        <v/>
      </c>
      <c r="AB1255">
        <f>RAND()</f>
        <v/>
      </c>
      <c r="AC1255">
        <f>RAND()</f>
        <v/>
      </c>
      <c r="AD1255">
        <f>RAND()</f>
        <v/>
      </c>
      <c r="AE1255">
        <f>RAND()</f>
        <v/>
      </c>
      <c r="AF1255">
        <f>RAND()</f>
        <v/>
      </c>
    </row>
    <row r="1256">
      <c r="M1256" s="14">
        <f>_xlfn.BETA.INV($AA1256,1+4*($D$5-$C$5)/($E$5-$C$5),1+4*($E$5-$D$5)/($E$5-$C$5),$C$5,$E$5)</f>
        <v/>
      </c>
      <c r="N1256" s="14">
        <f>IF($AB1256&lt;($D$6-$C$6)/($E$6-$C$6),$C$6+SQRT($AB1256*($E$6-$C$6)*($D$6-$C$6)),$E$6-SQRT((1-$AB1256)*($E$6-$C$6)*($E$6-$D$6)))</f>
        <v/>
      </c>
      <c r="O1256" s="14">
        <f>_xlfn.NORM.INV($AC1256,$C$7,$D$7)</f>
        <v/>
      </c>
      <c r="P1256" s="14">
        <f>$C$8+($D$8-$C$8)*$AD1256</f>
        <v/>
      </c>
      <c r="Q1256" s="14">
        <f>$C$9</f>
        <v/>
      </c>
      <c r="R1256" s="14">
        <f>_xlfn.LOGNORM.INV($AF1256,LN($C$10)-0.5*LN(1+($D$10/$C$10)^2),SQRT(LN(1+($D$10/$C$10)^2)))</f>
        <v/>
      </c>
      <c r="S1256" s="14">
        <f>SUM(M1256:R1256)</f>
        <v/>
      </c>
      <c r="AA1256">
        <f>RAND()</f>
        <v/>
      </c>
      <c r="AB1256">
        <f>RAND()</f>
        <v/>
      </c>
      <c r="AC1256">
        <f>RAND()</f>
        <v/>
      </c>
      <c r="AD1256">
        <f>RAND()</f>
        <v/>
      </c>
      <c r="AE1256">
        <f>RAND()</f>
        <v/>
      </c>
      <c r="AF1256">
        <f>RAND()</f>
        <v/>
      </c>
    </row>
    <row r="1257">
      <c r="M1257" s="14">
        <f>_xlfn.BETA.INV($AA1257,1+4*($D$5-$C$5)/($E$5-$C$5),1+4*($E$5-$D$5)/($E$5-$C$5),$C$5,$E$5)</f>
        <v/>
      </c>
      <c r="N1257" s="14">
        <f>IF($AB1257&lt;($D$6-$C$6)/($E$6-$C$6),$C$6+SQRT($AB1257*($E$6-$C$6)*($D$6-$C$6)),$E$6-SQRT((1-$AB1257)*($E$6-$C$6)*($E$6-$D$6)))</f>
        <v/>
      </c>
      <c r="O1257" s="14">
        <f>_xlfn.NORM.INV($AC1257,$C$7,$D$7)</f>
        <v/>
      </c>
      <c r="P1257" s="14">
        <f>$C$8+($D$8-$C$8)*$AD1257</f>
        <v/>
      </c>
      <c r="Q1257" s="14">
        <f>$C$9</f>
        <v/>
      </c>
      <c r="R1257" s="14">
        <f>_xlfn.LOGNORM.INV($AF1257,LN($C$10)-0.5*LN(1+($D$10/$C$10)^2),SQRT(LN(1+($D$10/$C$10)^2)))</f>
        <v/>
      </c>
      <c r="S1257" s="14">
        <f>SUM(M1257:R1257)</f>
        <v/>
      </c>
      <c r="AA1257">
        <f>RAND()</f>
        <v/>
      </c>
      <c r="AB1257">
        <f>RAND()</f>
        <v/>
      </c>
      <c r="AC1257">
        <f>RAND()</f>
        <v/>
      </c>
      <c r="AD1257">
        <f>RAND()</f>
        <v/>
      </c>
      <c r="AE1257">
        <f>RAND()</f>
        <v/>
      </c>
      <c r="AF1257">
        <f>RAND()</f>
        <v/>
      </c>
    </row>
    <row r="1258">
      <c r="M1258" s="14">
        <f>_xlfn.BETA.INV($AA1258,1+4*($D$5-$C$5)/($E$5-$C$5),1+4*($E$5-$D$5)/($E$5-$C$5),$C$5,$E$5)</f>
        <v/>
      </c>
      <c r="N1258" s="14">
        <f>IF($AB1258&lt;($D$6-$C$6)/($E$6-$C$6),$C$6+SQRT($AB1258*($E$6-$C$6)*($D$6-$C$6)),$E$6-SQRT((1-$AB1258)*($E$6-$C$6)*($E$6-$D$6)))</f>
        <v/>
      </c>
      <c r="O1258" s="14">
        <f>_xlfn.NORM.INV($AC1258,$C$7,$D$7)</f>
        <v/>
      </c>
      <c r="P1258" s="14">
        <f>$C$8+($D$8-$C$8)*$AD1258</f>
        <v/>
      </c>
      <c r="Q1258" s="14">
        <f>$C$9</f>
        <v/>
      </c>
      <c r="R1258" s="14">
        <f>_xlfn.LOGNORM.INV($AF1258,LN($C$10)-0.5*LN(1+($D$10/$C$10)^2),SQRT(LN(1+($D$10/$C$10)^2)))</f>
        <v/>
      </c>
      <c r="S1258" s="14">
        <f>SUM(M1258:R1258)</f>
        <v/>
      </c>
      <c r="AA1258">
        <f>RAND()</f>
        <v/>
      </c>
      <c r="AB1258">
        <f>RAND()</f>
        <v/>
      </c>
      <c r="AC1258">
        <f>RAND()</f>
        <v/>
      </c>
      <c r="AD1258">
        <f>RAND()</f>
        <v/>
      </c>
      <c r="AE1258">
        <f>RAND()</f>
        <v/>
      </c>
      <c r="AF1258">
        <f>RAND()</f>
        <v/>
      </c>
    </row>
    <row r="1259">
      <c r="M1259" s="14">
        <f>_xlfn.BETA.INV($AA1259,1+4*($D$5-$C$5)/($E$5-$C$5),1+4*($E$5-$D$5)/($E$5-$C$5),$C$5,$E$5)</f>
        <v/>
      </c>
      <c r="N1259" s="14">
        <f>IF($AB1259&lt;($D$6-$C$6)/($E$6-$C$6),$C$6+SQRT($AB1259*($E$6-$C$6)*($D$6-$C$6)),$E$6-SQRT((1-$AB1259)*($E$6-$C$6)*($E$6-$D$6)))</f>
        <v/>
      </c>
      <c r="O1259" s="14">
        <f>_xlfn.NORM.INV($AC1259,$C$7,$D$7)</f>
        <v/>
      </c>
      <c r="P1259" s="14">
        <f>$C$8+($D$8-$C$8)*$AD1259</f>
        <v/>
      </c>
      <c r="Q1259" s="14">
        <f>$C$9</f>
        <v/>
      </c>
      <c r="R1259" s="14">
        <f>_xlfn.LOGNORM.INV($AF1259,LN($C$10)-0.5*LN(1+($D$10/$C$10)^2),SQRT(LN(1+($D$10/$C$10)^2)))</f>
        <v/>
      </c>
      <c r="S1259" s="14">
        <f>SUM(M1259:R1259)</f>
        <v/>
      </c>
      <c r="AA1259">
        <f>RAND()</f>
        <v/>
      </c>
      <c r="AB1259">
        <f>RAND()</f>
        <v/>
      </c>
      <c r="AC1259">
        <f>RAND()</f>
        <v/>
      </c>
      <c r="AD1259">
        <f>RAND()</f>
        <v/>
      </c>
      <c r="AE1259">
        <f>RAND()</f>
        <v/>
      </c>
      <c r="AF1259">
        <f>RAND()</f>
        <v/>
      </c>
    </row>
    <row r="1260">
      <c r="M1260" s="14">
        <f>_xlfn.BETA.INV($AA1260,1+4*($D$5-$C$5)/($E$5-$C$5),1+4*($E$5-$D$5)/($E$5-$C$5),$C$5,$E$5)</f>
        <v/>
      </c>
      <c r="N1260" s="14">
        <f>IF($AB1260&lt;($D$6-$C$6)/($E$6-$C$6),$C$6+SQRT($AB1260*($E$6-$C$6)*($D$6-$C$6)),$E$6-SQRT((1-$AB1260)*($E$6-$C$6)*($E$6-$D$6)))</f>
        <v/>
      </c>
      <c r="O1260" s="14">
        <f>_xlfn.NORM.INV($AC1260,$C$7,$D$7)</f>
        <v/>
      </c>
      <c r="P1260" s="14">
        <f>$C$8+($D$8-$C$8)*$AD1260</f>
        <v/>
      </c>
      <c r="Q1260" s="14">
        <f>$C$9</f>
        <v/>
      </c>
      <c r="R1260" s="14">
        <f>_xlfn.LOGNORM.INV($AF1260,LN($C$10)-0.5*LN(1+($D$10/$C$10)^2),SQRT(LN(1+($D$10/$C$10)^2)))</f>
        <v/>
      </c>
      <c r="S1260" s="14">
        <f>SUM(M1260:R1260)</f>
        <v/>
      </c>
      <c r="AA1260">
        <f>RAND()</f>
        <v/>
      </c>
      <c r="AB1260">
        <f>RAND()</f>
        <v/>
      </c>
      <c r="AC1260">
        <f>RAND()</f>
        <v/>
      </c>
      <c r="AD1260">
        <f>RAND()</f>
        <v/>
      </c>
      <c r="AE1260">
        <f>RAND()</f>
        <v/>
      </c>
      <c r="AF1260">
        <f>RAND()</f>
        <v/>
      </c>
    </row>
    <row r="1261">
      <c r="M1261" s="14">
        <f>_xlfn.BETA.INV($AA1261,1+4*($D$5-$C$5)/($E$5-$C$5),1+4*($E$5-$D$5)/($E$5-$C$5),$C$5,$E$5)</f>
        <v/>
      </c>
      <c r="N1261" s="14">
        <f>IF($AB1261&lt;($D$6-$C$6)/($E$6-$C$6),$C$6+SQRT($AB1261*($E$6-$C$6)*($D$6-$C$6)),$E$6-SQRT((1-$AB1261)*($E$6-$C$6)*($E$6-$D$6)))</f>
        <v/>
      </c>
      <c r="O1261" s="14">
        <f>_xlfn.NORM.INV($AC1261,$C$7,$D$7)</f>
        <v/>
      </c>
      <c r="P1261" s="14">
        <f>$C$8+($D$8-$C$8)*$AD1261</f>
        <v/>
      </c>
      <c r="Q1261" s="14">
        <f>$C$9</f>
        <v/>
      </c>
      <c r="R1261" s="14">
        <f>_xlfn.LOGNORM.INV($AF1261,LN($C$10)-0.5*LN(1+($D$10/$C$10)^2),SQRT(LN(1+($D$10/$C$10)^2)))</f>
        <v/>
      </c>
      <c r="S1261" s="14">
        <f>SUM(M1261:R1261)</f>
        <v/>
      </c>
      <c r="AA1261">
        <f>RAND()</f>
        <v/>
      </c>
      <c r="AB1261">
        <f>RAND()</f>
        <v/>
      </c>
      <c r="AC1261">
        <f>RAND()</f>
        <v/>
      </c>
      <c r="AD1261">
        <f>RAND()</f>
        <v/>
      </c>
      <c r="AE1261">
        <f>RAND()</f>
        <v/>
      </c>
      <c r="AF1261">
        <f>RAND()</f>
        <v/>
      </c>
    </row>
    <row r="1262">
      <c r="M1262" s="14">
        <f>_xlfn.BETA.INV($AA1262,1+4*($D$5-$C$5)/($E$5-$C$5),1+4*($E$5-$D$5)/($E$5-$C$5),$C$5,$E$5)</f>
        <v/>
      </c>
      <c r="N1262" s="14">
        <f>IF($AB1262&lt;($D$6-$C$6)/($E$6-$C$6),$C$6+SQRT($AB1262*($E$6-$C$6)*($D$6-$C$6)),$E$6-SQRT((1-$AB1262)*($E$6-$C$6)*($E$6-$D$6)))</f>
        <v/>
      </c>
      <c r="O1262" s="14">
        <f>_xlfn.NORM.INV($AC1262,$C$7,$D$7)</f>
        <v/>
      </c>
      <c r="P1262" s="14">
        <f>$C$8+($D$8-$C$8)*$AD1262</f>
        <v/>
      </c>
      <c r="Q1262" s="14">
        <f>$C$9</f>
        <v/>
      </c>
      <c r="R1262" s="14">
        <f>_xlfn.LOGNORM.INV($AF1262,LN($C$10)-0.5*LN(1+($D$10/$C$10)^2),SQRT(LN(1+($D$10/$C$10)^2)))</f>
        <v/>
      </c>
      <c r="S1262" s="14">
        <f>SUM(M1262:R1262)</f>
        <v/>
      </c>
      <c r="AA1262">
        <f>RAND()</f>
        <v/>
      </c>
      <c r="AB1262">
        <f>RAND()</f>
        <v/>
      </c>
      <c r="AC1262">
        <f>RAND()</f>
        <v/>
      </c>
      <c r="AD1262">
        <f>RAND()</f>
        <v/>
      </c>
      <c r="AE1262">
        <f>RAND()</f>
        <v/>
      </c>
      <c r="AF1262">
        <f>RAND()</f>
        <v/>
      </c>
    </row>
    <row r="1263">
      <c r="M1263" s="14">
        <f>_xlfn.BETA.INV($AA1263,1+4*($D$5-$C$5)/($E$5-$C$5),1+4*($E$5-$D$5)/($E$5-$C$5),$C$5,$E$5)</f>
        <v/>
      </c>
      <c r="N1263" s="14">
        <f>IF($AB1263&lt;($D$6-$C$6)/($E$6-$C$6),$C$6+SQRT($AB1263*($E$6-$C$6)*($D$6-$C$6)),$E$6-SQRT((1-$AB1263)*($E$6-$C$6)*($E$6-$D$6)))</f>
        <v/>
      </c>
      <c r="O1263" s="14">
        <f>_xlfn.NORM.INV($AC1263,$C$7,$D$7)</f>
        <v/>
      </c>
      <c r="P1263" s="14">
        <f>$C$8+($D$8-$C$8)*$AD1263</f>
        <v/>
      </c>
      <c r="Q1263" s="14">
        <f>$C$9</f>
        <v/>
      </c>
      <c r="R1263" s="14">
        <f>_xlfn.LOGNORM.INV($AF1263,LN($C$10)-0.5*LN(1+($D$10/$C$10)^2),SQRT(LN(1+($D$10/$C$10)^2)))</f>
        <v/>
      </c>
      <c r="S1263" s="14">
        <f>SUM(M1263:R1263)</f>
        <v/>
      </c>
      <c r="AA1263">
        <f>RAND()</f>
        <v/>
      </c>
      <c r="AB1263">
        <f>RAND()</f>
        <v/>
      </c>
      <c r="AC1263">
        <f>RAND()</f>
        <v/>
      </c>
      <c r="AD1263">
        <f>RAND()</f>
        <v/>
      </c>
      <c r="AE1263">
        <f>RAND()</f>
        <v/>
      </c>
      <c r="AF1263">
        <f>RAND()</f>
        <v/>
      </c>
    </row>
    <row r="1264">
      <c r="M1264" s="14">
        <f>_xlfn.BETA.INV($AA1264,1+4*($D$5-$C$5)/($E$5-$C$5),1+4*($E$5-$D$5)/($E$5-$C$5),$C$5,$E$5)</f>
        <v/>
      </c>
      <c r="N1264" s="14">
        <f>IF($AB1264&lt;($D$6-$C$6)/($E$6-$C$6),$C$6+SQRT($AB1264*($E$6-$C$6)*($D$6-$C$6)),$E$6-SQRT((1-$AB1264)*($E$6-$C$6)*($E$6-$D$6)))</f>
        <v/>
      </c>
      <c r="O1264" s="14">
        <f>_xlfn.NORM.INV($AC1264,$C$7,$D$7)</f>
        <v/>
      </c>
      <c r="P1264" s="14">
        <f>$C$8+($D$8-$C$8)*$AD1264</f>
        <v/>
      </c>
      <c r="Q1264" s="14">
        <f>$C$9</f>
        <v/>
      </c>
      <c r="R1264" s="14">
        <f>_xlfn.LOGNORM.INV($AF1264,LN($C$10)-0.5*LN(1+($D$10/$C$10)^2),SQRT(LN(1+($D$10/$C$10)^2)))</f>
        <v/>
      </c>
      <c r="S1264" s="14">
        <f>SUM(M1264:R1264)</f>
        <v/>
      </c>
      <c r="AA1264">
        <f>RAND()</f>
        <v/>
      </c>
      <c r="AB1264">
        <f>RAND()</f>
        <v/>
      </c>
      <c r="AC1264">
        <f>RAND()</f>
        <v/>
      </c>
      <c r="AD1264">
        <f>RAND()</f>
        <v/>
      </c>
      <c r="AE1264">
        <f>RAND()</f>
        <v/>
      </c>
      <c r="AF1264">
        <f>RAND()</f>
        <v/>
      </c>
    </row>
    <row r="1265">
      <c r="M1265" s="14">
        <f>_xlfn.BETA.INV($AA1265,1+4*($D$5-$C$5)/($E$5-$C$5),1+4*($E$5-$D$5)/($E$5-$C$5),$C$5,$E$5)</f>
        <v/>
      </c>
      <c r="N1265" s="14">
        <f>IF($AB1265&lt;($D$6-$C$6)/($E$6-$C$6),$C$6+SQRT($AB1265*($E$6-$C$6)*($D$6-$C$6)),$E$6-SQRT((1-$AB1265)*($E$6-$C$6)*($E$6-$D$6)))</f>
        <v/>
      </c>
      <c r="O1265" s="14">
        <f>_xlfn.NORM.INV($AC1265,$C$7,$D$7)</f>
        <v/>
      </c>
      <c r="P1265" s="14">
        <f>$C$8+($D$8-$C$8)*$AD1265</f>
        <v/>
      </c>
      <c r="Q1265" s="14">
        <f>$C$9</f>
        <v/>
      </c>
      <c r="R1265" s="14">
        <f>_xlfn.LOGNORM.INV($AF1265,LN($C$10)-0.5*LN(1+($D$10/$C$10)^2),SQRT(LN(1+($D$10/$C$10)^2)))</f>
        <v/>
      </c>
      <c r="S1265" s="14">
        <f>SUM(M1265:R1265)</f>
        <v/>
      </c>
      <c r="AA1265">
        <f>RAND()</f>
        <v/>
      </c>
      <c r="AB1265">
        <f>RAND()</f>
        <v/>
      </c>
      <c r="AC1265">
        <f>RAND()</f>
        <v/>
      </c>
      <c r="AD1265">
        <f>RAND()</f>
        <v/>
      </c>
      <c r="AE1265">
        <f>RAND()</f>
        <v/>
      </c>
      <c r="AF1265">
        <f>RAND()</f>
        <v/>
      </c>
    </row>
    <row r="1266">
      <c r="M1266" s="14">
        <f>_xlfn.BETA.INV($AA1266,1+4*($D$5-$C$5)/($E$5-$C$5),1+4*($E$5-$D$5)/($E$5-$C$5),$C$5,$E$5)</f>
        <v/>
      </c>
      <c r="N1266" s="14">
        <f>IF($AB1266&lt;($D$6-$C$6)/($E$6-$C$6),$C$6+SQRT($AB1266*($E$6-$C$6)*($D$6-$C$6)),$E$6-SQRT((1-$AB1266)*($E$6-$C$6)*($E$6-$D$6)))</f>
        <v/>
      </c>
      <c r="O1266" s="14">
        <f>_xlfn.NORM.INV($AC1266,$C$7,$D$7)</f>
        <v/>
      </c>
      <c r="P1266" s="14">
        <f>$C$8+($D$8-$C$8)*$AD1266</f>
        <v/>
      </c>
      <c r="Q1266" s="14">
        <f>$C$9</f>
        <v/>
      </c>
      <c r="R1266" s="14">
        <f>_xlfn.LOGNORM.INV($AF1266,LN($C$10)-0.5*LN(1+($D$10/$C$10)^2),SQRT(LN(1+($D$10/$C$10)^2)))</f>
        <v/>
      </c>
      <c r="S1266" s="14">
        <f>SUM(M1266:R1266)</f>
        <v/>
      </c>
      <c r="AA1266">
        <f>RAND()</f>
        <v/>
      </c>
      <c r="AB1266">
        <f>RAND()</f>
        <v/>
      </c>
      <c r="AC1266">
        <f>RAND()</f>
        <v/>
      </c>
      <c r="AD1266">
        <f>RAND()</f>
        <v/>
      </c>
      <c r="AE1266">
        <f>RAND()</f>
        <v/>
      </c>
      <c r="AF1266">
        <f>RAND()</f>
        <v/>
      </c>
    </row>
    <row r="1267">
      <c r="M1267" s="14">
        <f>_xlfn.BETA.INV($AA1267,1+4*($D$5-$C$5)/($E$5-$C$5),1+4*($E$5-$D$5)/($E$5-$C$5),$C$5,$E$5)</f>
        <v/>
      </c>
      <c r="N1267" s="14">
        <f>IF($AB1267&lt;($D$6-$C$6)/($E$6-$C$6),$C$6+SQRT($AB1267*($E$6-$C$6)*($D$6-$C$6)),$E$6-SQRT((1-$AB1267)*($E$6-$C$6)*($E$6-$D$6)))</f>
        <v/>
      </c>
      <c r="O1267" s="14">
        <f>_xlfn.NORM.INV($AC1267,$C$7,$D$7)</f>
        <v/>
      </c>
      <c r="P1267" s="14">
        <f>$C$8+($D$8-$C$8)*$AD1267</f>
        <v/>
      </c>
      <c r="Q1267" s="14">
        <f>$C$9</f>
        <v/>
      </c>
      <c r="R1267" s="14">
        <f>_xlfn.LOGNORM.INV($AF1267,LN($C$10)-0.5*LN(1+($D$10/$C$10)^2),SQRT(LN(1+($D$10/$C$10)^2)))</f>
        <v/>
      </c>
      <c r="S1267" s="14">
        <f>SUM(M1267:R1267)</f>
        <v/>
      </c>
      <c r="AA1267">
        <f>RAND()</f>
        <v/>
      </c>
      <c r="AB1267">
        <f>RAND()</f>
        <v/>
      </c>
      <c r="AC1267">
        <f>RAND()</f>
        <v/>
      </c>
      <c r="AD1267">
        <f>RAND()</f>
        <v/>
      </c>
      <c r="AE1267">
        <f>RAND()</f>
        <v/>
      </c>
      <c r="AF1267">
        <f>RAND()</f>
        <v/>
      </c>
    </row>
    <row r="1268">
      <c r="M1268" s="14">
        <f>_xlfn.BETA.INV($AA1268,1+4*($D$5-$C$5)/($E$5-$C$5),1+4*($E$5-$D$5)/($E$5-$C$5),$C$5,$E$5)</f>
        <v/>
      </c>
      <c r="N1268" s="14">
        <f>IF($AB1268&lt;($D$6-$C$6)/($E$6-$C$6),$C$6+SQRT($AB1268*($E$6-$C$6)*($D$6-$C$6)),$E$6-SQRT((1-$AB1268)*($E$6-$C$6)*($E$6-$D$6)))</f>
        <v/>
      </c>
      <c r="O1268" s="14">
        <f>_xlfn.NORM.INV($AC1268,$C$7,$D$7)</f>
        <v/>
      </c>
      <c r="P1268" s="14">
        <f>$C$8+($D$8-$C$8)*$AD1268</f>
        <v/>
      </c>
      <c r="Q1268" s="14">
        <f>$C$9</f>
        <v/>
      </c>
      <c r="R1268" s="14">
        <f>_xlfn.LOGNORM.INV($AF1268,LN($C$10)-0.5*LN(1+($D$10/$C$10)^2),SQRT(LN(1+($D$10/$C$10)^2)))</f>
        <v/>
      </c>
      <c r="S1268" s="14">
        <f>SUM(M1268:R1268)</f>
        <v/>
      </c>
      <c r="AA1268">
        <f>RAND()</f>
        <v/>
      </c>
      <c r="AB1268">
        <f>RAND()</f>
        <v/>
      </c>
      <c r="AC1268">
        <f>RAND()</f>
        <v/>
      </c>
      <c r="AD1268">
        <f>RAND()</f>
        <v/>
      </c>
      <c r="AE1268">
        <f>RAND()</f>
        <v/>
      </c>
      <c r="AF1268">
        <f>RAND()</f>
        <v/>
      </c>
    </row>
    <row r="1269">
      <c r="M1269" s="14">
        <f>_xlfn.BETA.INV($AA1269,1+4*($D$5-$C$5)/($E$5-$C$5),1+4*($E$5-$D$5)/($E$5-$C$5),$C$5,$E$5)</f>
        <v/>
      </c>
      <c r="N1269" s="14">
        <f>IF($AB1269&lt;($D$6-$C$6)/($E$6-$C$6),$C$6+SQRT($AB1269*($E$6-$C$6)*($D$6-$C$6)),$E$6-SQRT((1-$AB1269)*($E$6-$C$6)*($E$6-$D$6)))</f>
        <v/>
      </c>
      <c r="O1269" s="14">
        <f>_xlfn.NORM.INV($AC1269,$C$7,$D$7)</f>
        <v/>
      </c>
      <c r="P1269" s="14">
        <f>$C$8+($D$8-$C$8)*$AD1269</f>
        <v/>
      </c>
      <c r="Q1269" s="14">
        <f>$C$9</f>
        <v/>
      </c>
      <c r="R1269" s="14">
        <f>_xlfn.LOGNORM.INV($AF1269,LN($C$10)-0.5*LN(1+($D$10/$C$10)^2),SQRT(LN(1+($D$10/$C$10)^2)))</f>
        <v/>
      </c>
      <c r="S1269" s="14">
        <f>SUM(M1269:R1269)</f>
        <v/>
      </c>
      <c r="AA1269">
        <f>RAND()</f>
        <v/>
      </c>
      <c r="AB1269">
        <f>RAND()</f>
        <v/>
      </c>
      <c r="AC1269">
        <f>RAND()</f>
        <v/>
      </c>
      <c r="AD1269">
        <f>RAND()</f>
        <v/>
      </c>
      <c r="AE1269">
        <f>RAND()</f>
        <v/>
      </c>
      <c r="AF1269">
        <f>RAND()</f>
        <v/>
      </c>
    </row>
    <row r="1270">
      <c r="M1270" s="14">
        <f>_xlfn.BETA.INV($AA1270,1+4*($D$5-$C$5)/($E$5-$C$5),1+4*($E$5-$D$5)/($E$5-$C$5),$C$5,$E$5)</f>
        <v/>
      </c>
      <c r="N1270" s="14">
        <f>IF($AB1270&lt;($D$6-$C$6)/($E$6-$C$6),$C$6+SQRT($AB1270*($E$6-$C$6)*($D$6-$C$6)),$E$6-SQRT((1-$AB1270)*($E$6-$C$6)*($E$6-$D$6)))</f>
        <v/>
      </c>
      <c r="O1270" s="14">
        <f>_xlfn.NORM.INV($AC1270,$C$7,$D$7)</f>
        <v/>
      </c>
      <c r="P1270" s="14">
        <f>$C$8+($D$8-$C$8)*$AD1270</f>
        <v/>
      </c>
      <c r="Q1270" s="14">
        <f>$C$9</f>
        <v/>
      </c>
      <c r="R1270" s="14">
        <f>_xlfn.LOGNORM.INV($AF1270,LN($C$10)-0.5*LN(1+($D$10/$C$10)^2),SQRT(LN(1+($D$10/$C$10)^2)))</f>
        <v/>
      </c>
      <c r="S1270" s="14">
        <f>SUM(M1270:R1270)</f>
        <v/>
      </c>
      <c r="AA1270">
        <f>RAND()</f>
        <v/>
      </c>
      <c r="AB1270">
        <f>RAND()</f>
        <v/>
      </c>
      <c r="AC1270">
        <f>RAND()</f>
        <v/>
      </c>
      <c r="AD1270">
        <f>RAND()</f>
        <v/>
      </c>
      <c r="AE1270">
        <f>RAND()</f>
        <v/>
      </c>
      <c r="AF1270">
        <f>RAND()</f>
        <v/>
      </c>
    </row>
    <row r="1271">
      <c r="M1271" s="14">
        <f>_xlfn.BETA.INV($AA1271,1+4*($D$5-$C$5)/($E$5-$C$5),1+4*($E$5-$D$5)/($E$5-$C$5),$C$5,$E$5)</f>
        <v/>
      </c>
      <c r="N1271" s="14">
        <f>IF($AB1271&lt;($D$6-$C$6)/($E$6-$C$6),$C$6+SQRT($AB1271*($E$6-$C$6)*($D$6-$C$6)),$E$6-SQRT((1-$AB1271)*($E$6-$C$6)*($E$6-$D$6)))</f>
        <v/>
      </c>
      <c r="O1271" s="14">
        <f>_xlfn.NORM.INV($AC1271,$C$7,$D$7)</f>
        <v/>
      </c>
      <c r="P1271" s="14">
        <f>$C$8+($D$8-$C$8)*$AD1271</f>
        <v/>
      </c>
      <c r="Q1271" s="14">
        <f>$C$9</f>
        <v/>
      </c>
      <c r="R1271" s="14">
        <f>_xlfn.LOGNORM.INV($AF1271,LN($C$10)-0.5*LN(1+($D$10/$C$10)^2),SQRT(LN(1+($D$10/$C$10)^2)))</f>
        <v/>
      </c>
      <c r="S1271" s="14">
        <f>SUM(M1271:R1271)</f>
        <v/>
      </c>
      <c r="AA1271">
        <f>RAND()</f>
        <v/>
      </c>
      <c r="AB1271">
        <f>RAND()</f>
        <v/>
      </c>
      <c r="AC1271">
        <f>RAND()</f>
        <v/>
      </c>
      <c r="AD1271">
        <f>RAND()</f>
        <v/>
      </c>
      <c r="AE1271">
        <f>RAND()</f>
        <v/>
      </c>
      <c r="AF1271">
        <f>RAND()</f>
        <v/>
      </c>
    </row>
    <row r="1272">
      <c r="M1272" s="14">
        <f>_xlfn.BETA.INV($AA1272,1+4*($D$5-$C$5)/($E$5-$C$5),1+4*($E$5-$D$5)/($E$5-$C$5),$C$5,$E$5)</f>
        <v/>
      </c>
      <c r="N1272" s="14">
        <f>IF($AB1272&lt;($D$6-$C$6)/($E$6-$C$6),$C$6+SQRT($AB1272*($E$6-$C$6)*($D$6-$C$6)),$E$6-SQRT((1-$AB1272)*($E$6-$C$6)*($E$6-$D$6)))</f>
        <v/>
      </c>
      <c r="O1272" s="14">
        <f>_xlfn.NORM.INV($AC1272,$C$7,$D$7)</f>
        <v/>
      </c>
      <c r="P1272" s="14">
        <f>$C$8+($D$8-$C$8)*$AD1272</f>
        <v/>
      </c>
      <c r="Q1272" s="14">
        <f>$C$9</f>
        <v/>
      </c>
      <c r="R1272" s="14">
        <f>_xlfn.LOGNORM.INV($AF1272,LN($C$10)-0.5*LN(1+($D$10/$C$10)^2),SQRT(LN(1+($D$10/$C$10)^2)))</f>
        <v/>
      </c>
      <c r="S1272" s="14">
        <f>SUM(M1272:R1272)</f>
        <v/>
      </c>
      <c r="AA1272">
        <f>RAND()</f>
        <v/>
      </c>
      <c r="AB1272">
        <f>RAND()</f>
        <v/>
      </c>
      <c r="AC1272">
        <f>RAND()</f>
        <v/>
      </c>
      <c r="AD1272">
        <f>RAND()</f>
        <v/>
      </c>
      <c r="AE1272">
        <f>RAND()</f>
        <v/>
      </c>
      <c r="AF1272">
        <f>RAND()</f>
        <v/>
      </c>
    </row>
    <row r="1273">
      <c r="M1273" s="14">
        <f>_xlfn.BETA.INV($AA1273,1+4*($D$5-$C$5)/($E$5-$C$5),1+4*($E$5-$D$5)/($E$5-$C$5),$C$5,$E$5)</f>
        <v/>
      </c>
      <c r="N1273" s="14">
        <f>IF($AB1273&lt;($D$6-$C$6)/($E$6-$C$6),$C$6+SQRT($AB1273*($E$6-$C$6)*($D$6-$C$6)),$E$6-SQRT((1-$AB1273)*($E$6-$C$6)*($E$6-$D$6)))</f>
        <v/>
      </c>
      <c r="O1273" s="14">
        <f>_xlfn.NORM.INV($AC1273,$C$7,$D$7)</f>
        <v/>
      </c>
      <c r="P1273" s="14">
        <f>$C$8+($D$8-$C$8)*$AD1273</f>
        <v/>
      </c>
      <c r="Q1273" s="14">
        <f>$C$9</f>
        <v/>
      </c>
      <c r="R1273" s="14">
        <f>_xlfn.LOGNORM.INV($AF1273,LN($C$10)-0.5*LN(1+($D$10/$C$10)^2),SQRT(LN(1+($D$10/$C$10)^2)))</f>
        <v/>
      </c>
      <c r="S1273" s="14">
        <f>SUM(M1273:R1273)</f>
        <v/>
      </c>
      <c r="AA1273">
        <f>RAND()</f>
        <v/>
      </c>
      <c r="AB1273">
        <f>RAND()</f>
        <v/>
      </c>
      <c r="AC1273">
        <f>RAND()</f>
        <v/>
      </c>
      <c r="AD1273">
        <f>RAND()</f>
        <v/>
      </c>
      <c r="AE1273">
        <f>RAND()</f>
        <v/>
      </c>
      <c r="AF1273">
        <f>RAND()</f>
        <v/>
      </c>
    </row>
    <row r="1274">
      <c r="M1274" s="14">
        <f>_xlfn.BETA.INV($AA1274,1+4*($D$5-$C$5)/($E$5-$C$5),1+4*($E$5-$D$5)/($E$5-$C$5),$C$5,$E$5)</f>
        <v/>
      </c>
      <c r="N1274" s="14">
        <f>IF($AB1274&lt;($D$6-$C$6)/($E$6-$C$6),$C$6+SQRT($AB1274*($E$6-$C$6)*($D$6-$C$6)),$E$6-SQRT((1-$AB1274)*($E$6-$C$6)*($E$6-$D$6)))</f>
        <v/>
      </c>
      <c r="O1274" s="14">
        <f>_xlfn.NORM.INV($AC1274,$C$7,$D$7)</f>
        <v/>
      </c>
      <c r="P1274" s="14">
        <f>$C$8+($D$8-$C$8)*$AD1274</f>
        <v/>
      </c>
      <c r="Q1274" s="14">
        <f>$C$9</f>
        <v/>
      </c>
      <c r="R1274" s="14">
        <f>_xlfn.LOGNORM.INV($AF1274,LN($C$10)-0.5*LN(1+($D$10/$C$10)^2),SQRT(LN(1+($D$10/$C$10)^2)))</f>
        <v/>
      </c>
      <c r="S1274" s="14">
        <f>SUM(M1274:R1274)</f>
        <v/>
      </c>
      <c r="AA1274">
        <f>RAND()</f>
        <v/>
      </c>
      <c r="AB1274">
        <f>RAND()</f>
        <v/>
      </c>
      <c r="AC1274">
        <f>RAND()</f>
        <v/>
      </c>
      <c r="AD1274">
        <f>RAND()</f>
        <v/>
      </c>
      <c r="AE1274">
        <f>RAND()</f>
        <v/>
      </c>
      <c r="AF1274">
        <f>RAND()</f>
        <v/>
      </c>
    </row>
    <row r="1275">
      <c r="M1275" s="14">
        <f>_xlfn.BETA.INV($AA1275,1+4*($D$5-$C$5)/($E$5-$C$5),1+4*($E$5-$D$5)/($E$5-$C$5),$C$5,$E$5)</f>
        <v/>
      </c>
      <c r="N1275" s="14">
        <f>IF($AB1275&lt;($D$6-$C$6)/($E$6-$C$6),$C$6+SQRT($AB1275*($E$6-$C$6)*($D$6-$C$6)),$E$6-SQRT((1-$AB1275)*($E$6-$C$6)*($E$6-$D$6)))</f>
        <v/>
      </c>
      <c r="O1275" s="14">
        <f>_xlfn.NORM.INV($AC1275,$C$7,$D$7)</f>
        <v/>
      </c>
      <c r="P1275" s="14">
        <f>$C$8+($D$8-$C$8)*$AD1275</f>
        <v/>
      </c>
      <c r="Q1275" s="14">
        <f>$C$9</f>
        <v/>
      </c>
      <c r="R1275" s="14">
        <f>_xlfn.LOGNORM.INV($AF1275,LN($C$10)-0.5*LN(1+($D$10/$C$10)^2),SQRT(LN(1+($D$10/$C$10)^2)))</f>
        <v/>
      </c>
      <c r="S1275" s="14">
        <f>SUM(M1275:R1275)</f>
        <v/>
      </c>
      <c r="AA1275">
        <f>RAND()</f>
        <v/>
      </c>
      <c r="AB1275">
        <f>RAND()</f>
        <v/>
      </c>
      <c r="AC1275">
        <f>RAND()</f>
        <v/>
      </c>
      <c r="AD1275">
        <f>RAND()</f>
        <v/>
      </c>
      <c r="AE1275">
        <f>RAND()</f>
        <v/>
      </c>
      <c r="AF1275">
        <f>RAND()</f>
        <v/>
      </c>
    </row>
    <row r="1276">
      <c r="M1276" s="14">
        <f>_xlfn.BETA.INV($AA1276,1+4*($D$5-$C$5)/($E$5-$C$5),1+4*($E$5-$D$5)/($E$5-$C$5),$C$5,$E$5)</f>
        <v/>
      </c>
      <c r="N1276" s="14">
        <f>IF($AB1276&lt;($D$6-$C$6)/($E$6-$C$6),$C$6+SQRT($AB1276*($E$6-$C$6)*($D$6-$C$6)),$E$6-SQRT((1-$AB1276)*($E$6-$C$6)*($E$6-$D$6)))</f>
        <v/>
      </c>
      <c r="O1276" s="14">
        <f>_xlfn.NORM.INV($AC1276,$C$7,$D$7)</f>
        <v/>
      </c>
      <c r="P1276" s="14">
        <f>$C$8+($D$8-$C$8)*$AD1276</f>
        <v/>
      </c>
      <c r="Q1276" s="14">
        <f>$C$9</f>
        <v/>
      </c>
      <c r="R1276" s="14">
        <f>_xlfn.LOGNORM.INV($AF1276,LN($C$10)-0.5*LN(1+($D$10/$C$10)^2),SQRT(LN(1+($D$10/$C$10)^2)))</f>
        <v/>
      </c>
      <c r="S1276" s="14">
        <f>SUM(M1276:R1276)</f>
        <v/>
      </c>
      <c r="AA1276">
        <f>RAND()</f>
        <v/>
      </c>
      <c r="AB1276">
        <f>RAND()</f>
        <v/>
      </c>
      <c r="AC1276">
        <f>RAND()</f>
        <v/>
      </c>
      <c r="AD1276">
        <f>RAND()</f>
        <v/>
      </c>
      <c r="AE1276">
        <f>RAND()</f>
        <v/>
      </c>
      <c r="AF1276">
        <f>RAND()</f>
        <v/>
      </c>
    </row>
    <row r="1277">
      <c r="M1277" s="14">
        <f>_xlfn.BETA.INV($AA1277,1+4*($D$5-$C$5)/($E$5-$C$5),1+4*($E$5-$D$5)/($E$5-$C$5),$C$5,$E$5)</f>
        <v/>
      </c>
      <c r="N1277" s="14">
        <f>IF($AB1277&lt;($D$6-$C$6)/($E$6-$C$6),$C$6+SQRT($AB1277*($E$6-$C$6)*($D$6-$C$6)),$E$6-SQRT((1-$AB1277)*($E$6-$C$6)*($E$6-$D$6)))</f>
        <v/>
      </c>
      <c r="O1277" s="14">
        <f>_xlfn.NORM.INV($AC1277,$C$7,$D$7)</f>
        <v/>
      </c>
      <c r="P1277" s="14">
        <f>$C$8+($D$8-$C$8)*$AD1277</f>
        <v/>
      </c>
      <c r="Q1277" s="14">
        <f>$C$9</f>
        <v/>
      </c>
      <c r="R1277" s="14">
        <f>_xlfn.LOGNORM.INV($AF1277,LN($C$10)-0.5*LN(1+($D$10/$C$10)^2),SQRT(LN(1+($D$10/$C$10)^2)))</f>
        <v/>
      </c>
      <c r="S1277" s="14">
        <f>SUM(M1277:R1277)</f>
        <v/>
      </c>
      <c r="AA1277">
        <f>RAND()</f>
        <v/>
      </c>
      <c r="AB1277">
        <f>RAND()</f>
        <v/>
      </c>
      <c r="AC1277">
        <f>RAND()</f>
        <v/>
      </c>
      <c r="AD1277">
        <f>RAND()</f>
        <v/>
      </c>
      <c r="AE1277">
        <f>RAND()</f>
        <v/>
      </c>
      <c r="AF1277">
        <f>RAND()</f>
        <v/>
      </c>
    </row>
    <row r="1278">
      <c r="M1278" s="14">
        <f>_xlfn.BETA.INV($AA1278,1+4*($D$5-$C$5)/($E$5-$C$5),1+4*($E$5-$D$5)/($E$5-$C$5),$C$5,$E$5)</f>
        <v/>
      </c>
      <c r="N1278" s="14">
        <f>IF($AB1278&lt;($D$6-$C$6)/($E$6-$C$6),$C$6+SQRT($AB1278*($E$6-$C$6)*($D$6-$C$6)),$E$6-SQRT((1-$AB1278)*($E$6-$C$6)*($E$6-$D$6)))</f>
        <v/>
      </c>
      <c r="O1278" s="14">
        <f>_xlfn.NORM.INV($AC1278,$C$7,$D$7)</f>
        <v/>
      </c>
      <c r="P1278" s="14">
        <f>$C$8+($D$8-$C$8)*$AD1278</f>
        <v/>
      </c>
      <c r="Q1278" s="14">
        <f>$C$9</f>
        <v/>
      </c>
      <c r="R1278" s="14">
        <f>_xlfn.LOGNORM.INV($AF1278,LN($C$10)-0.5*LN(1+($D$10/$C$10)^2),SQRT(LN(1+($D$10/$C$10)^2)))</f>
        <v/>
      </c>
      <c r="S1278" s="14">
        <f>SUM(M1278:R1278)</f>
        <v/>
      </c>
      <c r="AA1278">
        <f>RAND()</f>
        <v/>
      </c>
      <c r="AB1278">
        <f>RAND()</f>
        <v/>
      </c>
      <c r="AC1278">
        <f>RAND()</f>
        <v/>
      </c>
      <c r="AD1278">
        <f>RAND()</f>
        <v/>
      </c>
      <c r="AE1278">
        <f>RAND()</f>
        <v/>
      </c>
      <c r="AF1278">
        <f>RAND()</f>
        <v/>
      </c>
    </row>
    <row r="1279">
      <c r="M1279" s="14">
        <f>_xlfn.BETA.INV($AA1279,1+4*($D$5-$C$5)/($E$5-$C$5),1+4*($E$5-$D$5)/($E$5-$C$5),$C$5,$E$5)</f>
        <v/>
      </c>
      <c r="N1279" s="14">
        <f>IF($AB1279&lt;($D$6-$C$6)/($E$6-$C$6),$C$6+SQRT($AB1279*($E$6-$C$6)*($D$6-$C$6)),$E$6-SQRT((1-$AB1279)*($E$6-$C$6)*($E$6-$D$6)))</f>
        <v/>
      </c>
      <c r="O1279" s="14">
        <f>_xlfn.NORM.INV($AC1279,$C$7,$D$7)</f>
        <v/>
      </c>
      <c r="P1279" s="14">
        <f>$C$8+($D$8-$C$8)*$AD1279</f>
        <v/>
      </c>
      <c r="Q1279" s="14">
        <f>$C$9</f>
        <v/>
      </c>
      <c r="R1279" s="14">
        <f>_xlfn.LOGNORM.INV($AF1279,LN($C$10)-0.5*LN(1+($D$10/$C$10)^2),SQRT(LN(1+($D$10/$C$10)^2)))</f>
        <v/>
      </c>
      <c r="S1279" s="14">
        <f>SUM(M1279:R1279)</f>
        <v/>
      </c>
      <c r="AA1279">
        <f>RAND()</f>
        <v/>
      </c>
      <c r="AB1279">
        <f>RAND()</f>
        <v/>
      </c>
      <c r="AC1279">
        <f>RAND()</f>
        <v/>
      </c>
      <c r="AD1279">
        <f>RAND()</f>
        <v/>
      </c>
      <c r="AE1279">
        <f>RAND()</f>
        <v/>
      </c>
      <c r="AF1279">
        <f>RAND()</f>
        <v/>
      </c>
    </row>
    <row r="1280">
      <c r="M1280" s="14">
        <f>_xlfn.BETA.INV($AA1280,1+4*($D$5-$C$5)/($E$5-$C$5),1+4*($E$5-$D$5)/($E$5-$C$5),$C$5,$E$5)</f>
        <v/>
      </c>
      <c r="N1280" s="14">
        <f>IF($AB1280&lt;($D$6-$C$6)/($E$6-$C$6),$C$6+SQRT($AB1280*($E$6-$C$6)*($D$6-$C$6)),$E$6-SQRT((1-$AB1280)*($E$6-$C$6)*($E$6-$D$6)))</f>
        <v/>
      </c>
      <c r="O1280" s="14">
        <f>_xlfn.NORM.INV($AC1280,$C$7,$D$7)</f>
        <v/>
      </c>
      <c r="P1280" s="14">
        <f>$C$8+($D$8-$C$8)*$AD1280</f>
        <v/>
      </c>
      <c r="Q1280" s="14">
        <f>$C$9</f>
        <v/>
      </c>
      <c r="R1280" s="14">
        <f>_xlfn.LOGNORM.INV($AF1280,LN($C$10)-0.5*LN(1+($D$10/$C$10)^2),SQRT(LN(1+($D$10/$C$10)^2)))</f>
        <v/>
      </c>
      <c r="S1280" s="14">
        <f>SUM(M1280:R1280)</f>
        <v/>
      </c>
      <c r="AA1280">
        <f>RAND()</f>
        <v/>
      </c>
      <c r="AB1280">
        <f>RAND()</f>
        <v/>
      </c>
      <c r="AC1280">
        <f>RAND()</f>
        <v/>
      </c>
      <c r="AD1280">
        <f>RAND()</f>
        <v/>
      </c>
      <c r="AE1280">
        <f>RAND()</f>
        <v/>
      </c>
      <c r="AF1280">
        <f>RAND()</f>
        <v/>
      </c>
    </row>
    <row r="1281">
      <c r="M1281" s="14">
        <f>_xlfn.BETA.INV($AA1281,1+4*($D$5-$C$5)/($E$5-$C$5),1+4*($E$5-$D$5)/($E$5-$C$5),$C$5,$E$5)</f>
        <v/>
      </c>
      <c r="N1281" s="14">
        <f>IF($AB1281&lt;($D$6-$C$6)/($E$6-$C$6),$C$6+SQRT($AB1281*($E$6-$C$6)*($D$6-$C$6)),$E$6-SQRT((1-$AB1281)*($E$6-$C$6)*($E$6-$D$6)))</f>
        <v/>
      </c>
      <c r="O1281" s="14">
        <f>_xlfn.NORM.INV($AC1281,$C$7,$D$7)</f>
        <v/>
      </c>
      <c r="P1281" s="14">
        <f>$C$8+($D$8-$C$8)*$AD1281</f>
        <v/>
      </c>
      <c r="Q1281" s="14">
        <f>$C$9</f>
        <v/>
      </c>
      <c r="R1281" s="14">
        <f>_xlfn.LOGNORM.INV($AF1281,LN($C$10)-0.5*LN(1+($D$10/$C$10)^2),SQRT(LN(1+($D$10/$C$10)^2)))</f>
        <v/>
      </c>
      <c r="S1281" s="14">
        <f>SUM(M1281:R1281)</f>
        <v/>
      </c>
      <c r="AA1281">
        <f>RAND()</f>
        <v/>
      </c>
      <c r="AB1281">
        <f>RAND()</f>
        <v/>
      </c>
      <c r="AC1281">
        <f>RAND()</f>
        <v/>
      </c>
      <c r="AD1281">
        <f>RAND()</f>
        <v/>
      </c>
      <c r="AE1281">
        <f>RAND()</f>
        <v/>
      </c>
      <c r="AF1281">
        <f>RAND()</f>
        <v/>
      </c>
    </row>
    <row r="1282">
      <c r="M1282" s="14">
        <f>_xlfn.BETA.INV($AA1282,1+4*($D$5-$C$5)/($E$5-$C$5),1+4*($E$5-$D$5)/($E$5-$C$5),$C$5,$E$5)</f>
        <v/>
      </c>
      <c r="N1282" s="14">
        <f>IF($AB1282&lt;($D$6-$C$6)/($E$6-$C$6),$C$6+SQRT($AB1282*($E$6-$C$6)*($D$6-$C$6)),$E$6-SQRT((1-$AB1282)*($E$6-$C$6)*($E$6-$D$6)))</f>
        <v/>
      </c>
      <c r="O1282" s="14">
        <f>_xlfn.NORM.INV($AC1282,$C$7,$D$7)</f>
        <v/>
      </c>
      <c r="P1282" s="14">
        <f>$C$8+($D$8-$C$8)*$AD1282</f>
        <v/>
      </c>
      <c r="Q1282" s="14">
        <f>$C$9</f>
        <v/>
      </c>
      <c r="R1282" s="14">
        <f>_xlfn.LOGNORM.INV($AF1282,LN($C$10)-0.5*LN(1+($D$10/$C$10)^2),SQRT(LN(1+($D$10/$C$10)^2)))</f>
        <v/>
      </c>
      <c r="S1282" s="14">
        <f>SUM(M1282:R1282)</f>
        <v/>
      </c>
      <c r="AA1282">
        <f>RAND()</f>
        <v/>
      </c>
      <c r="AB1282">
        <f>RAND()</f>
        <v/>
      </c>
      <c r="AC1282">
        <f>RAND()</f>
        <v/>
      </c>
      <c r="AD1282">
        <f>RAND()</f>
        <v/>
      </c>
      <c r="AE1282">
        <f>RAND()</f>
        <v/>
      </c>
      <c r="AF1282">
        <f>RAND()</f>
        <v/>
      </c>
    </row>
    <row r="1283">
      <c r="M1283" s="14">
        <f>_xlfn.BETA.INV($AA1283,1+4*($D$5-$C$5)/($E$5-$C$5),1+4*($E$5-$D$5)/($E$5-$C$5),$C$5,$E$5)</f>
        <v/>
      </c>
      <c r="N1283" s="14">
        <f>IF($AB1283&lt;($D$6-$C$6)/($E$6-$C$6),$C$6+SQRT($AB1283*($E$6-$C$6)*($D$6-$C$6)),$E$6-SQRT((1-$AB1283)*($E$6-$C$6)*($E$6-$D$6)))</f>
        <v/>
      </c>
      <c r="O1283" s="14">
        <f>_xlfn.NORM.INV($AC1283,$C$7,$D$7)</f>
        <v/>
      </c>
      <c r="P1283" s="14">
        <f>$C$8+($D$8-$C$8)*$AD1283</f>
        <v/>
      </c>
      <c r="Q1283" s="14">
        <f>$C$9</f>
        <v/>
      </c>
      <c r="R1283" s="14">
        <f>_xlfn.LOGNORM.INV($AF1283,LN($C$10)-0.5*LN(1+($D$10/$C$10)^2),SQRT(LN(1+($D$10/$C$10)^2)))</f>
        <v/>
      </c>
      <c r="S1283" s="14">
        <f>SUM(M1283:R1283)</f>
        <v/>
      </c>
      <c r="AA1283">
        <f>RAND()</f>
        <v/>
      </c>
      <c r="AB1283">
        <f>RAND()</f>
        <v/>
      </c>
      <c r="AC1283">
        <f>RAND()</f>
        <v/>
      </c>
      <c r="AD1283">
        <f>RAND()</f>
        <v/>
      </c>
      <c r="AE1283">
        <f>RAND()</f>
        <v/>
      </c>
      <c r="AF1283">
        <f>RAND()</f>
        <v/>
      </c>
    </row>
    <row r="1284">
      <c r="M1284" s="14">
        <f>_xlfn.BETA.INV($AA1284,1+4*($D$5-$C$5)/($E$5-$C$5),1+4*($E$5-$D$5)/($E$5-$C$5),$C$5,$E$5)</f>
        <v/>
      </c>
      <c r="N1284" s="14">
        <f>IF($AB1284&lt;($D$6-$C$6)/($E$6-$C$6),$C$6+SQRT($AB1284*($E$6-$C$6)*($D$6-$C$6)),$E$6-SQRT((1-$AB1284)*($E$6-$C$6)*($E$6-$D$6)))</f>
        <v/>
      </c>
      <c r="O1284" s="14">
        <f>_xlfn.NORM.INV($AC1284,$C$7,$D$7)</f>
        <v/>
      </c>
      <c r="P1284" s="14">
        <f>$C$8+($D$8-$C$8)*$AD1284</f>
        <v/>
      </c>
      <c r="Q1284" s="14">
        <f>$C$9</f>
        <v/>
      </c>
      <c r="R1284" s="14">
        <f>_xlfn.LOGNORM.INV($AF1284,LN($C$10)-0.5*LN(1+($D$10/$C$10)^2),SQRT(LN(1+($D$10/$C$10)^2)))</f>
        <v/>
      </c>
      <c r="S1284" s="14">
        <f>SUM(M1284:R1284)</f>
        <v/>
      </c>
      <c r="AA1284">
        <f>RAND()</f>
        <v/>
      </c>
      <c r="AB1284">
        <f>RAND()</f>
        <v/>
      </c>
      <c r="AC1284">
        <f>RAND()</f>
        <v/>
      </c>
      <c r="AD1284">
        <f>RAND()</f>
        <v/>
      </c>
      <c r="AE1284">
        <f>RAND()</f>
        <v/>
      </c>
      <c r="AF1284">
        <f>RAND()</f>
        <v/>
      </c>
    </row>
    <row r="1285">
      <c r="M1285" s="14">
        <f>_xlfn.BETA.INV($AA1285,1+4*($D$5-$C$5)/($E$5-$C$5),1+4*($E$5-$D$5)/($E$5-$C$5),$C$5,$E$5)</f>
        <v/>
      </c>
      <c r="N1285" s="14">
        <f>IF($AB1285&lt;($D$6-$C$6)/($E$6-$C$6),$C$6+SQRT($AB1285*($E$6-$C$6)*($D$6-$C$6)),$E$6-SQRT((1-$AB1285)*($E$6-$C$6)*($E$6-$D$6)))</f>
        <v/>
      </c>
      <c r="O1285" s="14">
        <f>_xlfn.NORM.INV($AC1285,$C$7,$D$7)</f>
        <v/>
      </c>
      <c r="P1285" s="14">
        <f>$C$8+($D$8-$C$8)*$AD1285</f>
        <v/>
      </c>
      <c r="Q1285" s="14">
        <f>$C$9</f>
        <v/>
      </c>
      <c r="R1285" s="14">
        <f>_xlfn.LOGNORM.INV($AF1285,LN($C$10)-0.5*LN(1+($D$10/$C$10)^2),SQRT(LN(1+($D$10/$C$10)^2)))</f>
        <v/>
      </c>
      <c r="S1285" s="14">
        <f>SUM(M1285:R1285)</f>
        <v/>
      </c>
      <c r="AA1285">
        <f>RAND()</f>
        <v/>
      </c>
      <c r="AB1285">
        <f>RAND()</f>
        <v/>
      </c>
      <c r="AC1285">
        <f>RAND()</f>
        <v/>
      </c>
      <c r="AD1285">
        <f>RAND()</f>
        <v/>
      </c>
      <c r="AE1285">
        <f>RAND()</f>
        <v/>
      </c>
      <c r="AF1285">
        <f>RAND()</f>
        <v/>
      </c>
    </row>
    <row r="1286">
      <c r="M1286" s="14">
        <f>_xlfn.BETA.INV($AA1286,1+4*($D$5-$C$5)/($E$5-$C$5),1+4*($E$5-$D$5)/($E$5-$C$5),$C$5,$E$5)</f>
        <v/>
      </c>
      <c r="N1286" s="14">
        <f>IF($AB1286&lt;($D$6-$C$6)/($E$6-$C$6),$C$6+SQRT($AB1286*($E$6-$C$6)*($D$6-$C$6)),$E$6-SQRT((1-$AB1286)*($E$6-$C$6)*($E$6-$D$6)))</f>
        <v/>
      </c>
      <c r="O1286" s="14">
        <f>_xlfn.NORM.INV($AC1286,$C$7,$D$7)</f>
        <v/>
      </c>
      <c r="P1286" s="14">
        <f>$C$8+($D$8-$C$8)*$AD1286</f>
        <v/>
      </c>
      <c r="Q1286" s="14">
        <f>$C$9</f>
        <v/>
      </c>
      <c r="R1286" s="14">
        <f>_xlfn.LOGNORM.INV($AF1286,LN($C$10)-0.5*LN(1+($D$10/$C$10)^2),SQRT(LN(1+($D$10/$C$10)^2)))</f>
        <v/>
      </c>
      <c r="S1286" s="14">
        <f>SUM(M1286:R1286)</f>
        <v/>
      </c>
      <c r="AA1286">
        <f>RAND()</f>
        <v/>
      </c>
      <c r="AB1286">
        <f>RAND()</f>
        <v/>
      </c>
      <c r="AC1286">
        <f>RAND()</f>
        <v/>
      </c>
      <c r="AD1286">
        <f>RAND()</f>
        <v/>
      </c>
      <c r="AE1286">
        <f>RAND()</f>
        <v/>
      </c>
      <c r="AF1286">
        <f>RAND()</f>
        <v/>
      </c>
    </row>
    <row r="1287">
      <c r="M1287" s="14">
        <f>_xlfn.BETA.INV($AA1287,1+4*($D$5-$C$5)/($E$5-$C$5),1+4*($E$5-$D$5)/($E$5-$C$5),$C$5,$E$5)</f>
        <v/>
      </c>
      <c r="N1287" s="14">
        <f>IF($AB1287&lt;($D$6-$C$6)/($E$6-$C$6),$C$6+SQRT($AB1287*($E$6-$C$6)*($D$6-$C$6)),$E$6-SQRT((1-$AB1287)*($E$6-$C$6)*($E$6-$D$6)))</f>
        <v/>
      </c>
      <c r="O1287" s="14">
        <f>_xlfn.NORM.INV($AC1287,$C$7,$D$7)</f>
        <v/>
      </c>
      <c r="P1287" s="14">
        <f>$C$8+($D$8-$C$8)*$AD1287</f>
        <v/>
      </c>
      <c r="Q1287" s="14">
        <f>$C$9</f>
        <v/>
      </c>
      <c r="R1287" s="14">
        <f>_xlfn.LOGNORM.INV($AF1287,LN($C$10)-0.5*LN(1+($D$10/$C$10)^2),SQRT(LN(1+($D$10/$C$10)^2)))</f>
        <v/>
      </c>
      <c r="S1287" s="14">
        <f>SUM(M1287:R1287)</f>
        <v/>
      </c>
      <c r="AA1287">
        <f>RAND()</f>
        <v/>
      </c>
      <c r="AB1287">
        <f>RAND()</f>
        <v/>
      </c>
      <c r="AC1287">
        <f>RAND()</f>
        <v/>
      </c>
      <c r="AD1287">
        <f>RAND()</f>
        <v/>
      </c>
      <c r="AE1287">
        <f>RAND()</f>
        <v/>
      </c>
      <c r="AF1287">
        <f>RAND()</f>
        <v/>
      </c>
    </row>
    <row r="1288">
      <c r="M1288" s="14">
        <f>_xlfn.BETA.INV($AA1288,1+4*($D$5-$C$5)/($E$5-$C$5),1+4*($E$5-$D$5)/($E$5-$C$5),$C$5,$E$5)</f>
        <v/>
      </c>
      <c r="N1288" s="14">
        <f>IF($AB1288&lt;($D$6-$C$6)/($E$6-$C$6),$C$6+SQRT($AB1288*($E$6-$C$6)*($D$6-$C$6)),$E$6-SQRT((1-$AB1288)*($E$6-$C$6)*($E$6-$D$6)))</f>
        <v/>
      </c>
      <c r="O1288" s="14">
        <f>_xlfn.NORM.INV($AC1288,$C$7,$D$7)</f>
        <v/>
      </c>
      <c r="P1288" s="14">
        <f>$C$8+($D$8-$C$8)*$AD1288</f>
        <v/>
      </c>
      <c r="Q1288" s="14">
        <f>$C$9</f>
        <v/>
      </c>
      <c r="R1288" s="14">
        <f>_xlfn.LOGNORM.INV($AF1288,LN($C$10)-0.5*LN(1+($D$10/$C$10)^2),SQRT(LN(1+($D$10/$C$10)^2)))</f>
        <v/>
      </c>
      <c r="S1288" s="14">
        <f>SUM(M1288:R1288)</f>
        <v/>
      </c>
      <c r="AA1288">
        <f>RAND()</f>
        <v/>
      </c>
      <c r="AB1288">
        <f>RAND()</f>
        <v/>
      </c>
      <c r="AC1288">
        <f>RAND()</f>
        <v/>
      </c>
      <c r="AD1288">
        <f>RAND()</f>
        <v/>
      </c>
      <c r="AE1288">
        <f>RAND()</f>
        <v/>
      </c>
      <c r="AF1288">
        <f>RAND()</f>
        <v/>
      </c>
    </row>
    <row r="1289">
      <c r="M1289" s="14">
        <f>_xlfn.BETA.INV($AA1289,1+4*($D$5-$C$5)/($E$5-$C$5),1+4*($E$5-$D$5)/($E$5-$C$5),$C$5,$E$5)</f>
        <v/>
      </c>
      <c r="N1289" s="14">
        <f>IF($AB1289&lt;($D$6-$C$6)/($E$6-$C$6),$C$6+SQRT($AB1289*($E$6-$C$6)*($D$6-$C$6)),$E$6-SQRT((1-$AB1289)*($E$6-$C$6)*($E$6-$D$6)))</f>
        <v/>
      </c>
      <c r="O1289" s="14">
        <f>_xlfn.NORM.INV($AC1289,$C$7,$D$7)</f>
        <v/>
      </c>
      <c r="P1289" s="14">
        <f>$C$8+($D$8-$C$8)*$AD1289</f>
        <v/>
      </c>
      <c r="Q1289" s="14">
        <f>$C$9</f>
        <v/>
      </c>
      <c r="R1289" s="14">
        <f>_xlfn.LOGNORM.INV($AF1289,LN($C$10)-0.5*LN(1+($D$10/$C$10)^2),SQRT(LN(1+($D$10/$C$10)^2)))</f>
        <v/>
      </c>
      <c r="S1289" s="14">
        <f>SUM(M1289:R1289)</f>
        <v/>
      </c>
      <c r="AA1289">
        <f>RAND()</f>
        <v/>
      </c>
      <c r="AB1289">
        <f>RAND()</f>
        <v/>
      </c>
      <c r="AC1289">
        <f>RAND()</f>
        <v/>
      </c>
      <c r="AD1289">
        <f>RAND()</f>
        <v/>
      </c>
      <c r="AE1289">
        <f>RAND()</f>
        <v/>
      </c>
      <c r="AF1289">
        <f>RAND()</f>
        <v/>
      </c>
    </row>
    <row r="1290">
      <c r="M1290" s="14">
        <f>_xlfn.BETA.INV($AA1290,1+4*($D$5-$C$5)/($E$5-$C$5),1+4*($E$5-$D$5)/($E$5-$C$5),$C$5,$E$5)</f>
        <v/>
      </c>
      <c r="N1290" s="14">
        <f>IF($AB1290&lt;($D$6-$C$6)/($E$6-$C$6),$C$6+SQRT($AB1290*($E$6-$C$6)*($D$6-$C$6)),$E$6-SQRT((1-$AB1290)*($E$6-$C$6)*($E$6-$D$6)))</f>
        <v/>
      </c>
      <c r="O1290" s="14">
        <f>_xlfn.NORM.INV($AC1290,$C$7,$D$7)</f>
        <v/>
      </c>
      <c r="P1290" s="14">
        <f>$C$8+($D$8-$C$8)*$AD1290</f>
        <v/>
      </c>
      <c r="Q1290" s="14">
        <f>$C$9</f>
        <v/>
      </c>
      <c r="R1290" s="14">
        <f>_xlfn.LOGNORM.INV($AF1290,LN($C$10)-0.5*LN(1+($D$10/$C$10)^2),SQRT(LN(1+($D$10/$C$10)^2)))</f>
        <v/>
      </c>
      <c r="S1290" s="14">
        <f>SUM(M1290:R1290)</f>
        <v/>
      </c>
      <c r="AA1290">
        <f>RAND()</f>
        <v/>
      </c>
      <c r="AB1290">
        <f>RAND()</f>
        <v/>
      </c>
      <c r="AC1290">
        <f>RAND()</f>
        <v/>
      </c>
      <c r="AD1290">
        <f>RAND()</f>
        <v/>
      </c>
      <c r="AE1290">
        <f>RAND()</f>
        <v/>
      </c>
      <c r="AF1290">
        <f>RAND()</f>
        <v/>
      </c>
    </row>
    <row r="1291">
      <c r="M1291" s="14">
        <f>_xlfn.BETA.INV($AA1291,1+4*($D$5-$C$5)/($E$5-$C$5),1+4*($E$5-$D$5)/($E$5-$C$5),$C$5,$E$5)</f>
        <v/>
      </c>
      <c r="N1291" s="14">
        <f>IF($AB1291&lt;($D$6-$C$6)/($E$6-$C$6),$C$6+SQRT($AB1291*($E$6-$C$6)*($D$6-$C$6)),$E$6-SQRT((1-$AB1291)*($E$6-$C$6)*($E$6-$D$6)))</f>
        <v/>
      </c>
      <c r="O1291" s="14">
        <f>_xlfn.NORM.INV($AC1291,$C$7,$D$7)</f>
        <v/>
      </c>
      <c r="P1291" s="14">
        <f>$C$8+($D$8-$C$8)*$AD1291</f>
        <v/>
      </c>
      <c r="Q1291" s="14">
        <f>$C$9</f>
        <v/>
      </c>
      <c r="R1291" s="14">
        <f>_xlfn.LOGNORM.INV($AF1291,LN($C$10)-0.5*LN(1+($D$10/$C$10)^2),SQRT(LN(1+($D$10/$C$10)^2)))</f>
        <v/>
      </c>
      <c r="S1291" s="14">
        <f>SUM(M1291:R1291)</f>
        <v/>
      </c>
      <c r="AA1291">
        <f>RAND()</f>
        <v/>
      </c>
      <c r="AB1291">
        <f>RAND()</f>
        <v/>
      </c>
      <c r="AC1291">
        <f>RAND()</f>
        <v/>
      </c>
      <c r="AD1291">
        <f>RAND()</f>
        <v/>
      </c>
      <c r="AE1291">
        <f>RAND()</f>
        <v/>
      </c>
      <c r="AF1291">
        <f>RAND()</f>
        <v/>
      </c>
    </row>
    <row r="1292">
      <c r="M1292" s="14">
        <f>_xlfn.BETA.INV($AA1292,1+4*($D$5-$C$5)/($E$5-$C$5),1+4*($E$5-$D$5)/($E$5-$C$5),$C$5,$E$5)</f>
        <v/>
      </c>
      <c r="N1292" s="14">
        <f>IF($AB1292&lt;($D$6-$C$6)/($E$6-$C$6),$C$6+SQRT($AB1292*($E$6-$C$6)*($D$6-$C$6)),$E$6-SQRT((1-$AB1292)*($E$6-$C$6)*($E$6-$D$6)))</f>
        <v/>
      </c>
      <c r="O1292" s="14">
        <f>_xlfn.NORM.INV($AC1292,$C$7,$D$7)</f>
        <v/>
      </c>
      <c r="P1292" s="14">
        <f>$C$8+($D$8-$C$8)*$AD1292</f>
        <v/>
      </c>
      <c r="Q1292" s="14">
        <f>$C$9</f>
        <v/>
      </c>
      <c r="R1292" s="14">
        <f>_xlfn.LOGNORM.INV($AF1292,LN($C$10)-0.5*LN(1+($D$10/$C$10)^2),SQRT(LN(1+($D$10/$C$10)^2)))</f>
        <v/>
      </c>
      <c r="S1292" s="14">
        <f>SUM(M1292:R1292)</f>
        <v/>
      </c>
      <c r="AA1292">
        <f>RAND()</f>
        <v/>
      </c>
      <c r="AB1292">
        <f>RAND()</f>
        <v/>
      </c>
      <c r="AC1292">
        <f>RAND()</f>
        <v/>
      </c>
      <c r="AD1292">
        <f>RAND()</f>
        <v/>
      </c>
      <c r="AE1292">
        <f>RAND()</f>
        <v/>
      </c>
      <c r="AF1292">
        <f>RAND()</f>
        <v/>
      </c>
    </row>
    <row r="1293">
      <c r="M1293" s="14">
        <f>_xlfn.BETA.INV($AA1293,1+4*($D$5-$C$5)/($E$5-$C$5),1+4*($E$5-$D$5)/($E$5-$C$5),$C$5,$E$5)</f>
        <v/>
      </c>
      <c r="N1293" s="14">
        <f>IF($AB1293&lt;($D$6-$C$6)/($E$6-$C$6),$C$6+SQRT($AB1293*($E$6-$C$6)*($D$6-$C$6)),$E$6-SQRT((1-$AB1293)*($E$6-$C$6)*($E$6-$D$6)))</f>
        <v/>
      </c>
      <c r="O1293" s="14">
        <f>_xlfn.NORM.INV($AC1293,$C$7,$D$7)</f>
        <v/>
      </c>
      <c r="P1293" s="14">
        <f>$C$8+($D$8-$C$8)*$AD1293</f>
        <v/>
      </c>
      <c r="Q1293" s="14">
        <f>$C$9</f>
        <v/>
      </c>
      <c r="R1293" s="14">
        <f>_xlfn.LOGNORM.INV($AF1293,LN($C$10)-0.5*LN(1+($D$10/$C$10)^2),SQRT(LN(1+($D$10/$C$10)^2)))</f>
        <v/>
      </c>
      <c r="S1293" s="14">
        <f>SUM(M1293:R1293)</f>
        <v/>
      </c>
      <c r="AA1293">
        <f>RAND()</f>
        <v/>
      </c>
      <c r="AB1293">
        <f>RAND()</f>
        <v/>
      </c>
      <c r="AC1293">
        <f>RAND()</f>
        <v/>
      </c>
      <c r="AD1293">
        <f>RAND()</f>
        <v/>
      </c>
      <c r="AE1293">
        <f>RAND()</f>
        <v/>
      </c>
      <c r="AF1293">
        <f>RAND()</f>
        <v/>
      </c>
    </row>
    <row r="1294">
      <c r="M1294" s="14">
        <f>_xlfn.BETA.INV($AA1294,1+4*($D$5-$C$5)/($E$5-$C$5),1+4*($E$5-$D$5)/($E$5-$C$5),$C$5,$E$5)</f>
        <v/>
      </c>
      <c r="N1294" s="14">
        <f>IF($AB1294&lt;($D$6-$C$6)/($E$6-$C$6),$C$6+SQRT($AB1294*($E$6-$C$6)*($D$6-$C$6)),$E$6-SQRT((1-$AB1294)*($E$6-$C$6)*($E$6-$D$6)))</f>
        <v/>
      </c>
      <c r="O1294" s="14">
        <f>_xlfn.NORM.INV($AC1294,$C$7,$D$7)</f>
        <v/>
      </c>
      <c r="P1294" s="14">
        <f>$C$8+($D$8-$C$8)*$AD1294</f>
        <v/>
      </c>
      <c r="Q1294" s="14">
        <f>$C$9</f>
        <v/>
      </c>
      <c r="R1294" s="14">
        <f>_xlfn.LOGNORM.INV($AF1294,LN($C$10)-0.5*LN(1+($D$10/$C$10)^2),SQRT(LN(1+($D$10/$C$10)^2)))</f>
        <v/>
      </c>
      <c r="S1294" s="14">
        <f>SUM(M1294:R1294)</f>
        <v/>
      </c>
      <c r="AA1294">
        <f>RAND()</f>
        <v/>
      </c>
      <c r="AB1294">
        <f>RAND()</f>
        <v/>
      </c>
      <c r="AC1294">
        <f>RAND()</f>
        <v/>
      </c>
      <c r="AD1294">
        <f>RAND()</f>
        <v/>
      </c>
      <c r="AE1294">
        <f>RAND()</f>
        <v/>
      </c>
      <c r="AF1294">
        <f>RAND()</f>
        <v/>
      </c>
    </row>
    <row r="1295">
      <c r="M1295" s="14">
        <f>_xlfn.BETA.INV($AA1295,1+4*($D$5-$C$5)/($E$5-$C$5),1+4*($E$5-$D$5)/($E$5-$C$5),$C$5,$E$5)</f>
        <v/>
      </c>
      <c r="N1295" s="14">
        <f>IF($AB1295&lt;($D$6-$C$6)/($E$6-$C$6),$C$6+SQRT($AB1295*($E$6-$C$6)*($D$6-$C$6)),$E$6-SQRT((1-$AB1295)*($E$6-$C$6)*($E$6-$D$6)))</f>
        <v/>
      </c>
      <c r="O1295" s="14">
        <f>_xlfn.NORM.INV($AC1295,$C$7,$D$7)</f>
        <v/>
      </c>
      <c r="P1295" s="14">
        <f>$C$8+($D$8-$C$8)*$AD1295</f>
        <v/>
      </c>
      <c r="Q1295" s="14">
        <f>$C$9</f>
        <v/>
      </c>
      <c r="R1295" s="14">
        <f>_xlfn.LOGNORM.INV($AF1295,LN($C$10)-0.5*LN(1+($D$10/$C$10)^2),SQRT(LN(1+($D$10/$C$10)^2)))</f>
        <v/>
      </c>
      <c r="S1295" s="14">
        <f>SUM(M1295:R1295)</f>
        <v/>
      </c>
      <c r="AA1295">
        <f>RAND()</f>
        <v/>
      </c>
      <c r="AB1295">
        <f>RAND()</f>
        <v/>
      </c>
      <c r="AC1295">
        <f>RAND()</f>
        <v/>
      </c>
      <c r="AD1295">
        <f>RAND()</f>
        <v/>
      </c>
      <c r="AE1295">
        <f>RAND()</f>
        <v/>
      </c>
      <c r="AF1295">
        <f>RAND()</f>
        <v/>
      </c>
    </row>
    <row r="1296">
      <c r="M1296" s="14">
        <f>_xlfn.BETA.INV($AA1296,1+4*($D$5-$C$5)/($E$5-$C$5),1+4*($E$5-$D$5)/($E$5-$C$5),$C$5,$E$5)</f>
        <v/>
      </c>
      <c r="N1296" s="14">
        <f>IF($AB1296&lt;($D$6-$C$6)/($E$6-$C$6),$C$6+SQRT($AB1296*($E$6-$C$6)*($D$6-$C$6)),$E$6-SQRT((1-$AB1296)*($E$6-$C$6)*($E$6-$D$6)))</f>
        <v/>
      </c>
      <c r="O1296" s="14">
        <f>_xlfn.NORM.INV($AC1296,$C$7,$D$7)</f>
        <v/>
      </c>
      <c r="P1296" s="14">
        <f>$C$8+($D$8-$C$8)*$AD1296</f>
        <v/>
      </c>
      <c r="Q1296" s="14">
        <f>$C$9</f>
        <v/>
      </c>
      <c r="R1296" s="14">
        <f>_xlfn.LOGNORM.INV($AF1296,LN($C$10)-0.5*LN(1+($D$10/$C$10)^2),SQRT(LN(1+($D$10/$C$10)^2)))</f>
        <v/>
      </c>
      <c r="S1296" s="14">
        <f>SUM(M1296:R1296)</f>
        <v/>
      </c>
      <c r="AA1296">
        <f>RAND()</f>
        <v/>
      </c>
      <c r="AB1296">
        <f>RAND()</f>
        <v/>
      </c>
      <c r="AC1296">
        <f>RAND()</f>
        <v/>
      </c>
      <c r="AD1296">
        <f>RAND()</f>
        <v/>
      </c>
      <c r="AE1296">
        <f>RAND()</f>
        <v/>
      </c>
      <c r="AF1296">
        <f>RAND()</f>
        <v/>
      </c>
    </row>
    <row r="1297">
      <c r="M1297" s="14">
        <f>_xlfn.BETA.INV($AA1297,1+4*($D$5-$C$5)/($E$5-$C$5),1+4*($E$5-$D$5)/($E$5-$C$5),$C$5,$E$5)</f>
        <v/>
      </c>
      <c r="N1297" s="14">
        <f>IF($AB1297&lt;($D$6-$C$6)/($E$6-$C$6),$C$6+SQRT($AB1297*($E$6-$C$6)*($D$6-$C$6)),$E$6-SQRT((1-$AB1297)*($E$6-$C$6)*($E$6-$D$6)))</f>
        <v/>
      </c>
      <c r="O1297" s="14">
        <f>_xlfn.NORM.INV($AC1297,$C$7,$D$7)</f>
        <v/>
      </c>
      <c r="P1297" s="14">
        <f>$C$8+($D$8-$C$8)*$AD1297</f>
        <v/>
      </c>
      <c r="Q1297" s="14">
        <f>$C$9</f>
        <v/>
      </c>
      <c r="R1297" s="14">
        <f>_xlfn.LOGNORM.INV($AF1297,LN($C$10)-0.5*LN(1+($D$10/$C$10)^2),SQRT(LN(1+($D$10/$C$10)^2)))</f>
        <v/>
      </c>
      <c r="S1297" s="14">
        <f>SUM(M1297:R1297)</f>
        <v/>
      </c>
      <c r="AA1297">
        <f>RAND()</f>
        <v/>
      </c>
      <c r="AB1297">
        <f>RAND()</f>
        <v/>
      </c>
      <c r="AC1297">
        <f>RAND()</f>
        <v/>
      </c>
      <c r="AD1297">
        <f>RAND()</f>
        <v/>
      </c>
      <c r="AE1297">
        <f>RAND()</f>
        <v/>
      </c>
      <c r="AF1297">
        <f>RAND()</f>
        <v/>
      </c>
    </row>
    <row r="1298">
      <c r="M1298" s="14">
        <f>_xlfn.BETA.INV($AA1298,1+4*($D$5-$C$5)/($E$5-$C$5),1+4*($E$5-$D$5)/($E$5-$C$5),$C$5,$E$5)</f>
        <v/>
      </c>
      <c r="N1298" s="14">
        <f>IF($AB1298&lt;($D$6-$C$6)/($E$6-$C$6),$C$6+SQRT($AB1298*($E$6-$C$6)*($D$6-$C$6)),$E$6-SQRT((1-$AB1298)*($E$6-$C$6)*($E$6-$D$6)))</f>
        <v/>
      </c>
      <c r="O1298" s="14">
        <f>_xlfn.NORM.INV($AC1298,$C$7,$D$7)</f>
        <v/>
      </c>
      <c r="P1298" s="14">
        <f>$C$8+($D$8-$C$8)*$AD1298</f>
        <v/>
      </c>
      <c r="Q1298" s="14">
        <f>$C$9</f>
        <v/>
      </c>
      <c r="R1298" s="14">
        <f>_xlfn.LOGNORM.INV($AF1298,LN($C$10)-0.5*LN(1+($D$10/$C$10)^2),SQRT(LN(1+($D$10/$C$10)^2)))</f>
        <v/>
      </c>
      <c r="S1298" s="14">
        <f>SUM(M1298:R1298)</f>
        <v/>
      </c>
      <c r="AA1298">
        <f>RAND()</f>
        <v/>
      </c>
      <c r="AB1298">
        <f>RAND()</f>
        <v/>
      </c>
      <c r="AC1298">
        <f>RAND()</f>
        <v/>
      </c>
      <c r="AD1298">
        <f>RAND()</f>
        <v/>
      </c>
      <c r="AE1298">
        <f>RAND()</f>
        <v/>
      </c>
      <c r="AF1298">
        <f>RAND()</f>
        <v/>
      </c>
    </row>
    <row r="1299">
      <c r="M1299" s="14">
        <f>_xlfn.BETA.INV($AA1299,1+4*($D$5-$C$5)/($E$5-$C$5),1+4*($E$5-$D$5)/($E$5-$C$5),$C$5,$E$5)</f>
        <v/>
      </c>
      <c r="N1299" s="14">
        <f>IF($AB1299&lt;($D$6-$C$6)/($E$6-$C$6),$C$6+SQRT($AB1299*($E$6-$C$6)*($D$6-$C$6)),$E$6-SQRT((1-$AB1299)*($E$6-$C$6)*($E$6-$D$6)))</f>
        <v/>
      </c>
      <c r="O1299" s="14">
        <f>_xlfn.NORM.INV($AC1299,$C$7,$D$7)</f>
        <v/>
      </c>
      <c r="P1299" s="14">
        <f>$C$8+($D$8-$C$8)*$AD1299</f>
        <v/>
      </c>
      <c r="Q1299" s="14">
        <f>$C$9</f>
        <v/>
      </c>
      <c r="R1299" s="14">
        <f>_xlfn.LOGNORM.INV($AF1299,LN($C$10)-0.5*LN(1+($D$10/$C$10)^2),SQRT(LN(1+($D$10/$C$10)^2)))</f>
        <v/>
      </c>
      <c r="S1299" s="14">
        <f>SUM(M1299:R1299)</f>
        <v/>
      </c>
      <c r="AA1299">
        <f>RAND()</f>
        <v/>
      </c>
      <c r="AB1299">
        <f>RAND()</f>
        <v/>
      </c>
      <c r="AC1299">
        <f>RAND()</f>
        <v/>
      </c>
      <c r="AD1299">
        <f>RAND()</f>
        <v/>
      </c>
      <c r="AE1299">
        <f>RAND()</f>
        <v/>
      </c>
      <c r="AF1299">
        <f>RAND()</f>
        <v/>
      </c>
    </row>
    <row r="1300">
      <c r="M1300" s="14">
        <f>_xlfn.BETA.INV($AA1300,1+4*($D$5-$C$5)/($E$5-$C$5),1+4*($E$5-$D$5)/($E$5-$C$5),$C$5,$E$5)</f>
        <v/>
      </c>
      <c r="N1300" s="14">
        <f>IF($AB1300&lt;($D$6-$C$6)/($E$6-$C$6),$C$6+SQRT($AB1300*($E$6-$C$6)*($D$6-$C$6)),$E$6-SQRT((1-$AB1300)*($E$6-$C$6)*($E$6-$D$6)))</f>
        <v/>
      </c>
      <c r="O1300" s="14">
        <f>_xlfn.NORM.INV($AC1300,$C$7,$D$7)</f>
        <v/>
      </c>
      <c r="P1300" s="14">
        <f>$C$8+($D$8-$C$8)*$AD1300</f>
        <v/>
      </c>
      <c r="Q1300" s="14">
        <f>$C$9</f>
        <v/>
      </c>
      <c r="R1300" s="14">
        <f>_xlfn.LOGNORM.INV($AF1300,LN($C$10)-0.5*LN(1+($D$10/$C$10)^2),SQRT(LN(1+($D$10/$C$10)^2)))</f>
        <v/>
      </c>
      <c r="S1300" s="14">
        <f>SUM(M1300:R1300)</f>
        <v/>
      </c>
      <c r="AA1300">
        <f>RAND()</f>
        <v/>
      </c>
      <c r="AB1300">
        <f>RAND()</f>
        <v/>
      </c>
      <c r="AC1300">
        <f>RAND()</f>
        <v/>
      </c>
      <c r="AD1300">
        <f>RAND()</f>
        <v/>
      </c>
      <c r="AE1300">
        <f>RAND()</f>
        <v/>
      </c>
      <c r="AF1300">
        <f>RAND()</f>
        <v/>
      </c>
    </row>
    <row r="1301">
      <c r="M1301" s="14">
        <f>_xlfn.BETA.INV($AA1301,1+4*($D$5-$C$5)/($E$5-$C$5),1+4*($E$5-$D$5)/($E$5-$C$5),$C$5,$E$5)</f>
        <v/>
      </c>
      <c r="N1301" s="14">
        <f>IF($AB1301&lt;($D$6-$C$6)/($E$6-$C$6),$C$6+SQRT($AB1301*($E$6-$C$6)*($D$6-$C$6)),$E$6-SQRT((1-$AB1301)*($E$6-$C$6)*($E$6-$D$6)))</f>
        <v/>
      </c>
      <c r="O1301" s="14">
        <f>_xlfn.NORM.INV($AC1301,$C$7,$D$7)</f>
        <v/>
      </c>
      <c r="P1301" s="14">
        <f>$C$8+($D$8-$C$8)*$AD1301</f>
        <v/>
      </c>
      <c r="Q1301" s="14">
        <f>$C$9</f>
        <v/>
      </c>
      <c r="R1301" s="14">
        <f>_xlfn.LOGNORM.INV($AF1301,LN($C$10)-0.5*LN(1+($D$10/$C$10)^2),SQRT(LN(1+($D$10/$C$10)^2)))</f>
        <v/>
      </c>
      <c r="S1301" s="14">
        <f>SUM(M1301:R1301)</f>
        <v/>
      </c>
      <c r="AA1301">
        <f>RAND()</f>
        <v/>
      </c>
      <c r="AB1301">
        <f>RAND()</f>
        <v/>
      </c>
      <c r="AC1301">
        <f>RAND()</f>
        <v/>
      </c>
      <c r="AD1301">
        <f>RAND()</f>
        <v/>
      </c>
      <c r="AE1301">
        <f>RAND()</f>
        <v/>
      </c>
      <c r="AF1301">
        <f>RAND()</f>
        <v/>
      </c>
    </row>
    <row r="1302">
      <c r="M1302" s="14">
        <f>_xlfn.BETA.INV($AA1302,1+4*($D$5-$C$5)/($E$5-$C$5),1+4*($E$5-$D$5)/($E$5-$C$5),$C$5,$E$5)</f>
        <v/>
      </c>
      <c r="N1302" s="14">
        <f>IF($AB1302&lt;($D$6-$C$6)/($E$6-$C$6),$C$6+SQRT($AB1302*($E$6-$C$6)*($D$6-$C$6)),$E$6-SQRT((1-$AB1302)*($E$6-$C$6)*($E$6-$D$6)))</f>
        <v/>
      </c>
      <c r="O1302" s="14">
        <f>_xlfn.NORM.INV($AC1302,$C$7,$D$7)</f>
        <v/>
      </c>
      <c r="P1302" s="14">
        <f>$C$8+($D$8-$C$8)*$AD1302</f>
        <v/>
      </c>
      <c r="Q1302" s="14">
        <f>$C$9</f>
        <v/>
      </c>
      <c r="R1302" s="14">
        <f>_xlfn.LOGNORM.INV($AF1302,LN($C$10)-0.5*LN(1+($D$10/$C$10)^2),SQRT(LN(1+($D$10/$C$10)^2)))</f>
        <v/>
      </c>
      <c r="S1302" s="14">
        <f>SUM(M1302:R1302)</f>
        <v/>
      </c>
      <c r="AA1302">
        <f>RAND()</f>
        <v/>
      </c>
      <c r="AB1302">
        <f>RAND()</f>
        <v/>
      </c>
      <c r="AC1302">
        <f>RAND()</f>
        <v/>
      </c>
      <c r="AD1302">
        <f>RAND()</f>
        <v/>
      </c>
      <c r="AE1302">
        <f>RAND()</f>
        <v/>
      </c>
      <c r="AF1302">
        <f>RAND()</f>
        <v/>
      </c>
    </row>
    <row r="1303">
      <c r="M1303" s="14">
        <f>_xlfn.BETA.INV($AA1303,1+4*($D$5-$C$5)/($E$5-$C$5),1+4*($E$5-$D$5)/($E$5-$C$5),$C$5,$E$5)</f>
        <v/>
      </c>
      <c r="N1303" s="14">
        <f>IF($AB1303&lt;($D$6-$C$6)/($E$6-$C$6),$C$6+SQRT($AB1303*($E$6-$C$6)*($D$6-$C$6)),$E$6-SQRT((1-$AB1303)*($E$6-$C$6)*($E$6-$D$6)))</f>
        <v/>
      </c>
      <c r="O1303" s="14">
        <f>_xlfn.NORM.INV($AC1303,$C$7,$D$7)</f>
        <v/>
      </c>
      <c r="P1303" s="14">
        <f>$C$8+($D$8-$C$8)*$AD1303</f>
        <v/>
      </c>
      <c r="Q1303" s="14">
        <f>$C$9</f>
        <v/>
      </c>
      <c r="R1303" s="14">
        <f>_xlfn.LOGNORM.INV($AF1303,LN($C$10)-0.5*LN(1+($D$10/$C$10)^2),SQRT(LN(1+($D$10/$C$10)^2)))</f>
        <v/>
      </c>
      <c r="S1303" s="14">
        <f>SUM(M1303:R1303)</f>
        <v/>
      </c>
      <c r="AA1303">
        <f>RAND()</f>
        <v/>
      </c>
      <c r="AB1303">
        <f>RAND()</f>
        <v/>
      </c>
      <c r="AC1303">
        <f>RAND()</f>
        <v/>
      </c>
      <c r="AD1303">
        <f>RAND()</f>
        <v/>
      </c>
      <c r="AE1303">
        <f>RAND()</f>
        <v/>
      </c>
      <c r="AF1303">
        <f>RAND()</f>
        <v/>
      </c>
    </row>
    <row r="1304">
      <c r="M1304" s="14">
        <f>_xlfn.BETA.INV($AA1304,1+4*($D$5-$C$5)/($E$5-$C$5),1+4*($E$5-$D$5)/($E$5-$C$5),$C$5,$E$5)</f>
        <v/>
      </c>
      <c r="N1304" s="14">
        <f>IF($AB1304&lt;($D$6-$C$6)/($E$6-$C$6),$C$6+SQRT($AB1304*($E$6-$C$6)*($D$6-$C$6)),$E$6-SQRT((1-$AB1304)*($E$6-$C$6)*($E$6-$D$6)))</f>
        <v/>
      </c>
      <c r="O1304" s="14">
        <f>_xlfn.NORM.INV($AC1304,$C$7,$D$7)</f>
        <v/>
      </c>
      <c r="P1304" s="14">
        <f>$C$8+($D$8-$C$8)*$AD1304</f>
        <v/>
      </c>
      <c r="Q1304" s="14">
        <f>$C$9</f>
        <v/>
      </c>
      <c r="R1304" s="14">
        <f>_xlfn.LOGNORM.INV($AF1304,LN($C$10)-0.5*LN(1+($D$10/$C$10)^2),SQRT(LN(1+($D$10/$C$10)^2)))</f>
        <v/>
      </c>
      <c r="S1304" s="14">
        <f>SUM(M1304:R1304)</f>
        <v/>
      </c>
      <c r="AA1304">
        <f>RAND()</f>
        <v/>
      </c>
      <c r="AB1304">
        <f>RAND()</f>
        <v/>
      </c>
      <c r="AC1304">
        <f>RAND()</f>
        <v/>
      </c>
      <c r="AD1304">
        <f>RAND()</f>
        <v/>
      </c>
      <c r="AE1304">
        <f>RAND()</f>
        <v/>
      </c>
      <c r="AF1304">
        <f>RAND()</f>
        <v/>
      </c>
    </row>
    <row r="1305">
      <c r="M1305" s="14">
        <f>_xlfn.BETA.INV($AA1305,1+4*($D$5-$C$5)/($E$5-$C$5),1+4*($E$5-$D$5)/($E$5-$C$5),$C$5,$E$5)</f>
        <v/>
      </c>
      <c r="N1305" s="14">
        <f>IF($AB1305&lt;($D$6-$C$6)/($E$6-$C$6),$C$6+SQRT($AB1305*($E$6-$C$6)*($D$6-$C$6)),$E$6-SQRT((1-$AB1305)*($E$6-$C$6)*($E$6-$D$6)))</f>
        <v/>
      </c>
      <c r="O1305" s="14">
        <f>_xlfn.NORM.INV($AC1305,$C$7,$D$7)</f>
        <v/>
      </c>
      <c r="P1305" s="14">
        <f>$C$8+($D$8-$C$8)*$AD1305</f>
        <v/>
      </c>
      <c r="Q1305" s="14">
        <f>$C$9</f>
        <v/>
      </c>
      <c r="R1305" s="14">
        <f>_xlfn.LOGNORM.INV($AF1305,LN($C$10)-0.5*LN(1+($D$10/$C$10)^2),SQRT(LN(1+($D$10/$C$10)^2)))</f>
        <v/>
      </c>
      <c r="S1305" s="14">
        <f>SUM(M1305:R1305)</f>
        <v/>
      </c>
      <c r="AA1305">
        <f>RAND()</f>
        <v/>
      </c>
      <c r="AB1305">
        <f>RAND()</f>
        <v/>
      </c>
      <c r="AC1305">
        <f>RAND()</f>
        <v/>
      </c>
      <c r="AD1305">
        <f>RAND()</f>
        <v/>
      </c>
      <c r="AE1305">
        <f>RAND()</f>
        <v/>
      </c>
      <c r="AF1305">
        <f>RAND()</f>
        <v/>
      </c>
    </row>
    <row r="1306">
      <c r="M1306" s="14">
        <f>_xlfn.BETA.INV($AA1306,1+4*($D$5-$C$5)/($E$5-$C$5),1+4*($E$5-$D$5)/($E$5-$C$5),$C$5,$E$5)</f>
        <v/>
      </c>
      <c r="N1306" s="14">
        <f>IF($AB1306&lt;($D$6-$C$6)/($E$6-$C$6),$C$6+SQRT($AB1306*($E$6-$C$6)*($D$6-$C$6)),$E$6-SQRT((1-$AB1306)*($E$6-$C$6)*($E$6-$D$6)))</f>
        <v/>
      </c>
      <c r="O1306" s="14">
        <f>_xlfn.NORM.INV($AC1306,$C$7,$D$7)</f>
        <v/>
      </c>
      <c r="P1306" s="14">
        <f>$C$8+($D$8-$C$8)*$AD1306</f>
        <v/>
      </c>
      <c r="Q1306" s="14">
        <f>$C$9</f>
        <v/>
      </c>
      <c r="R1306" s="14">
        <f>_xlfn.LOGNORM.INV($AF1306,LN($C$10)-0.5*LN(1+($D$10/$C$10)^2),SQRT(LN(1+($D$10/$C$10)^2)))</f>
        <v/>
      </c>
      <c r="S1306" s="14">
        <f>SUM(M1306:R1306)</f>
        <v/>
      </c>
      <c r="AA1306">
        <f>RAND()</f>
        <v/>
      </c>
      <c r="AB1306">
        <f>RAND()</f>
        <v/>
      </c>
      <c r="AC1306">
        <f>RAND()</f>
        <v/>
      </c>
      <c r="AD1306">
        <f>RAND()</f>
        <v/>
      </c>
      <c r="AE1306">
        <f>RAND()</f>
        <v/>
      </c>
      <c r="AF1306">
        <f>RAND()</f>
        <v/>
      </c>
    </row>
    <row r="1307">
      <c r="M1307" s="14">
        <f>_xlfn.BETA.INV($AA1307,1+4*($D$5-$C$5)/($E$5-$C$5),1+4*($E$5-$D$5)/($E$5-$C$5),$C$5,$E$5)</f>
        <v/>
      </c>
      <c r="N1307" s="14">
        <f>IF($AB1307&lt;($D$6-$C$6)/($E$6-$C$6),$C$6+SQRT($AB1307*($E$6-$C$6)*($D$6-$C$6)),$E$6-SQRT((1-$AB1307)*($E$6-$C$6)*($E$6-$D$6)))</f>
        <v/>
      </c>
      <c r="O1307" s="14">
        <f>_xlfn.NORM.INV($AC1307,$C$7,$D$7)</f>
        <v/>
      </c>
      <c r="P1307" s="14">
        <f>$C$8+($D$8-$C$8)*$AD1307</f>
        <v/>
      </c>
      <c r="Q1307" s="14">
        <f>$C$9</f>
        <v/>
      </c>
      <c r="R1307" s="14">
        <f>_xlfn.LOGNORM.INV($AF1307,LN($C$10)-0.5*LN(1+($D$10/$C$10)^2),SQRT(LN(1+($D$10/$C$10)^2)))</f>
        <v/>
      </c>
      <c r="S1307" s="14">
        <f>SUM(M1307:R1307)</f>
        <v/>
      </c>
      <c r="AA1307">
        <f>RAND()</f>
        <v/>
      </c>
      <c r="AB1307">
        <f>RAND()</f>
        <v/>
      </c>
      <c r="AC1307">
        <f>RAND()</f>
        <v/>
      </c>
      <c r="AD1307">
        <f>RAND()</f>
        <v/>
      </c>
      <c r="AE1307">
        <f>RAND()</f>
        <v/>
      </c>
      <c r="AF1307">
        <f>RAND()</f>
        <v/>
      </c>
    </row>
    <row r="1308">
      <c r="M1308" s="14">
        <f>_xlfn.BETA.INV($AA1308,1+4*($D$5-$C$5)/($E$5-$C$5),1+4*($E$5-$D$5)/($E$5-$C$5),$C$5,$E$5)</f>
        <v/>
      </c>
      <c r="N1308" s="14">
        <f>IF($AB1308&lt;($D$6-$C$6)/($E$6-$C$6),$C$6+SQRT($AB1308*($E$6-$C$6)*($D$6-$C$6)),$E$6-SQRT((1-$AB1308)*($E$6-$C$6)*($E$6-$D$6)))</f>
        <v/>
      </c>
      <c r="O1308" s="14">
        <f>_xlfn.NORM.INV($AC1308,$C$7,$D$7)</f>
        <v/>
      </c>
      <c r="P1308" s="14">
        <f>$C$8+($D$8-$C$8)*$AD1308</f>
        <v/>
      </c>
      <c r="Q1308" s="14">
        <f>$C$9</f>
        <v/>
      </c>
      <c r="R1308" s="14">
        <f>_xlfn.LOGNORM.INV($AF1308,LN($C$10)-0.5*LN(1+($D$10/$C$10)^2),SQRT(LN(1+($D$10/$C$10)^2)))</f>
        <v/>
      </c>
      <c r="S1308" s="14">
        <f>SUM(M1308:R1308)</f>
        <v/>
      </c>
      <c r="AA1308">
        <f>RAND()</f>
        <v/>
      </c>
      <c r="AB1308">
        <f>RAND()</f>
        <v/>
      </c>
      <c r="AC1308">
        <f>RAND()</f>
        <v/>
      </c>
      <c r="AD1308">
        <f>RAND()</f>
        <v/>
      </c>
      <c r="AE1308">
        <f>RAND()</f>
        <v/>
      </c>
      <c r="AF1308">
        <f>RAND()</f>
        <v/>
      </c>
    </row>
    <row r="1309">
      <c r="M1309" s="14">
        <f>_xlfn.BETA.INV($AA1309,1+4*($D$5-$C$5)/($E$5-$C$5),1+4*($E$5-$D$5)/($E$5-$C$5),$C$5,$E$5)</f>
        <v/>
      </c>
      <c r="N1309" s="14">
        <f>IF($AB1309&lt;($D$6-$C$6)/($E$6-$C$6),$C$6+SQRT($AB1309*($E$6-$C$6)*($D$6-$C$6)),$E$6-SQRT((1-$AB1309)*($E$6-$C$6)*($E$6-$D$6)))</f>
        <v/>
      </c>
      <c r="O1309" s="14">
        <f>_xlfn.NORM.INV($AC1309,$C$7,$D$7)</f>
        <v/>
      </c>
      <c r="P1309" s="14">
        <f>$C$8+($D$8-$C$8)*$AD1309</f>
        <v/>
      </c>
      <c r="Q1309" s="14">
        <f>$C$9</f>
        <v/>
      </c>
      <c r="R1309" s="14">
        <f>_xlfn.LOGNORM.INV($AF1309,LN($C$10)-0.5*LN(1+($D$10/$C$10)^2),SQRT(LN(1+($D$10/$C$10)^2)))</f>
        <v/>
      </c>
      <c r="S1309" s="14">
        <f>SUM(M1309:R1309)</f>
        <v/>
      </c>
      <c r="AA1309">
        <f>RAND()</f>
        <v/>
      </c>
      <c r="AB1309">
        <f>RAND()</f>
        <v/>
      </c>
      <c r="AC1309">
        <f>RAND()</f>
        <v/>
      </c>
      <c r="AD1309">
        <f>RAND()</f>
        <v/>
      </c>
      <c r="AE1309">
        <f>RAND()</f>
        <v/>
      </c>
      <c r="AF1309">
        <f>RAND()</f>
        <v/>
      </c>
    </row>
    <row r="1310">
      <c r="M1310" s="14">
        <f>_xlfn.BETA.INV($AA1310,1+4*($D$5-$C$5)/($E$5-$C$5),1+4*($E$5-$D$5)/($E$5-$C$5),$C$5,$E$5)</f>
        <v/>
      </c>
      <c r="N1310" s="14">
        <f>IF($AB1310&lt;($D$6-$C$6)/($E$6-$C$6),$C$6+SQRT($AB1310*($E$6-$C$6)*($D$6-$C$6)),$E$6-SQRT((1-$AB1310)*($E$6-$C$6)*($E$6-$D$6)))</f>
        <v/>
      </c>
      <c r="O1310" s="14">
        <f>_xlfn.NORM.INV($AC1310,$C$7,$D$7)</f>
        <v/>
      </c>
      <c r="P1310" s="14">
        <f>$C$8+($D$8-$C$8)*$AD1310</f>
        <v/>
      </c>
      <c r="Q1310" s="14">
        <f>$C$9</f>
        <v/>
      </c>
      <c r="R1310" s="14">
        <f>_xlfn.LOGNORM.INV($AF1310,LN($C$10)-0.5*LN(1+($D$10/$C$10)^2),SQRT(LN(1+($D$10/$C$10)^2)))</f>
        <v/>
      </c>
      <c r="S1310" s="14">
        <f>SUM(M1310:R1310)</f>
        <v/>
      </c>
      <c r="AA1310">
        <f>RAND()</f>
        <v/>
      </c>
      <c r="AB1310">
        <f>RAND()</f>
        <v/>
      </c>
      <c r="AC1310">
        <f>RAND()</f>
        <v/>
      </c>
      <c r="AD1310">
        <f>RAND()</f>
        <v/>
      </c>
      <c r="AE1310">
        <f>RAND()</f>
        <v/>
      </c>
      <c r="AF1310">
        <f>RAND()</f>
        <v/>
      </c>
    </row>
    <row r="1311">
      <c r="M1311" s="14">
        <f>_xlfn.BETA.INV($AA1311,1+4*($D$5-$C$5)/($E$5-$C$5),1+4*($E$5-$D$5)/($E$5-$C$5),$C$5,$E$5)</f>
        <v/>
      </c>
      <c r="N1311" s="14">
        <f>IF($AB1311&lt;($D$6-$C$6)/($E$6-$C$6),$C$6+SQRT($AB1311*($E$6-$C$6)*($D$6-$C$6)),$E$6-SQRT((1-$AB1311)*($E$6-$C$6)*($E$6-$D$6)))</f>
        <v/>
      </c>
      <c r="O1311" s="14">
        <f>_xlfn.NORM.INV($AC1311,$C$7,$D$7)</f>
        <v/>
      </c>
      <c r="P1311" s="14">
        <f>$C$8+($D$8-$C$8)*$AD1311</f>
        <v/>
      </c>
      <c r="Q1311" s="14">
        <f>$C$9</f>
        <v/>
      </c>
      <c r="R1311" s="14">
        <f>_xlfn.LOGNORM.INV($AF1311,LN($C$10)-0.5*LN(1+($D$10/$C$10)^2),SQRT(LN(1+($D$10/$C$10)^2)))</f>
        <v/>
      </c>
      <c r="S1311" s="14">
        <f>SUM(M1311:R1311)</f>
        <v/>
      </c>
      <c r="AA1311">
        <f>RAND()</f>
        <v/>
      </c>
      <c r="AB1311">
        <f>RAND()</f>
        <v/>
      </c>
      <c r="AC1311">
        <f>RAND()</f>
        <v/>
      </c>
      <c r="AD1311">
        <f>RAND()</f>
        <v/>
      </c>
      <c r="AE1311">
        <f>RAND()</f>
        <v/>
      </c>
      <c r="AF1311">
        <f>RAND()</f>
        <v/>
      </c>
    </row>
    <row r="1312">
      <c r="M1312" s="14">
        <f>_xlfn.BETA.INV($AA1312,1+4*($D$5-$C$5)/($E$5-$C$5),1+4*($E$5-$D$5)/($E$5-$C$5),$C$5,$E$5)</f>
        <v/>
      </c>
      <c r="N1312" s="14">
        <f>IF($AB1312&lt;($D$6-$C$6)/($E$6-$C$6),$C$6+SQRT($AB1312*($E$6-$C$6)*($D$6-$C$6)),$E$6-SQRT((1-$AB1312)*($E$6-$C$6)*($E$6-$D$6)))</f>
        <v/>
      </c>
      <c r="O1312" s="14">
        <f>_xlfn.NORM.INV($AC1312,$C$7,$D$7)</f>
        <v/>
      </c>
      <c r="P1312" s="14">
        <f>$C$8+($D$8-$C$8)*$AD1312</f>
        <v/>
      </c>
      <c r="Q1312" s="14">
        <f>$C$9</f>
        <v/>
      </c>
      <c r="R1312" s="14">
        <f>_xlfn.LOGNORM.INV($AF1312,LN($C$10)-0.5*LN(1+($D$10/$C$10)^2),SQRT(LN(1+($D$10/$C$10)^2)))</f>
        <v/>
      </c>
      <c r="S1312" s="14">
        <f>SUM(M1312:R1312)</f>
        <v/>
      </c>
      <c r="AA1312">
        <f>RAND()</f>
        <v/>
      </c>
      <c r="AB1312">
        <f>RAND()</f>
        <v/>
      </c>
      <c r="AC1312">
        <f>RAND()</f>
        <v/>
      </c>
      <c r="AD1312">
        <f>RAND()</f>
        <v/>
      </c>
      <c r="AE1312">
        <f>RAND()</f>
        <v/>
      </c>
      <c r="AF1312">
        <f>RAND()</f>
        <v/>
      </c>
    </row>
    <row r="1313">
      <c r="M1313" s="14">
        <f>_xlfn.BETA.INV($AA1313,1+4*($D$5-$C$5)/($E$5-$C$5),1+4*($E$5-$D$5)/($E$5-$C$5),$C$5,$E$5)</f>
        <v/>
      </c>
      <c r="N1313" s="14">
        <f>IF($AB1313&lt;($D$6-$C$6)/($E$6-$C$6),$C$6+SQRT($AB1313*($E$6-$C$6)*($D$6-$C$6)),$E$6-SQRT((1-$AB1313)*($E$6-$C$6)*($E$6-$D$6)))</f>
        <v/>
      </c>
      <c r="O1313" s="14">
        <f>_xlfn.NORM.INV($AC1313,$C$7,$D$7)</f>
        <v/>
      </c>
      <c r="P1313" s="14">
        <f>$C$8+($D$8-$C$8)*$AD1313</f>
        <v/>
      </c>
      <c r="Q1313" s="14">
        <f>$C$9</f>
        <v/>
      </c>
      <c r="R1313" s="14">
        <f>_xlfn.LOGNORM.INV($AF1313,LN($C$10)-0.5*LN(1+($D$10/$C$10)^2),SQRT(LN(1+($D$10/$C$10)^2)))</f>
        <v/>
      </c>
      <c r="S1313" s="14">
        <f>SUM(M1313:R1313)</f>
        <v/>
      </c>
      <c r="AA1313">
        <f>RAND()</f>
        <v/>
      </c>
      <c r="AB1313">
        <f>RAND()</f>
        <v/>
      </c>
      <c r="AC1313">
        <f>RAND()</f>
        <v/>
      </c>
      <c r="AD1313">
        <f>RAND()</f>
        <v/>
      </c>
      <c r="AE1313">
        <f>RAND()</f>
        <v/>
      </c>
      <c r="AF1313">
        <f>RAND()</f>
        <v/>
      </c>
    </row>
    <row r="1314">
      <c r="M1314" s="14">
        <f>_xlfn.BETA.INV($AA1314,1+4*($D$5-$C$5)/($E$5-$C$5),1+4*($E$5-$D$5)/($E$5-$C$5),$C$5,$E$5)</f>
        <v/>
      </c>
      <c r="N1314" s="14">
        <f>IF($AB1314&lt;($D$6-$C$6)/($E$6-$C$6),$C$6+SQRT($AB1314*($E$6-$C$6)*($D$6-$C$6)),$E$6-SQRT((1-$AB1314)*($E$6-$C$6)*($E$6-$D$6)))</f>
        <v/>
      </c>
      <c r="O1314" s="14">
        <f>_xlfn.NORM.INV($AC1314,$C$7,$D$7)</f>
        <v/>
      </c>
      <c r="P1314" s="14">
        <f>$C$8+($D$8-$C$8)*$AD1314</f>
        <v/>
      </c>
      <c r="Q1314" s="14">
        <f>$C$9</f>
        <v/>
      </c>
      <c r="R1314" s="14">
        <f>_xlfn.LOGNORM.INV($AF1314,LN($C$10)-0.5*LN(1+($D$10/$C$10)^2),SQRT(LN(1+($D$10/$C$10)^2)))</f>
        <v/>
      </c>
      <c r="S1314" s="14">
        <f>SUM(M1314:R1314)</f>
        <v/>
      </c>
      <c r="AA1314">
        <f>RAND()</f>
        <v/>
      </c>
      <c r="AB1314">
        <f>RAND()</f>
        <v/>
      </c>
      <c r="AC1314">
        <f>RAND()</f>
        <v/>
      </c>
      <c r="AD1314">
        <f>RAND()</f>
        <v/>
      </c>
      <c r="AE1314">
        <f>RAND()</f>
        <v/>
      </c>
      <c r="AF1314">
        <f>RAND()</f>
        <v/>
      </c>
    </row>
    <row r="1315">
      <c r="M1315" s="14">
        <f>_xlfn.BETA.INV($AA1315,1+4*($D$5-$C$5)/($E$5-$C$5),1+4*($E$5-$D$5)/($E$5-$C$5),$C$5,$E$5)</f>
        <v/>
      </c>
      <c r="N1315" s="14">
        <f>IF($AB1315&lt;($D$6-$C$6)/($E$6-$C$6),$C$6+SQRT($AB1315*($E$6-$C$6)*($D$6-$C$6)),$E$6-SQRT((1-$AB1315)*($E$6-$C$6)*($E$6-$D$6)))</f>
        <v/>
      </c>
      <c r="O1315" s="14">
        <f>_xlfn.NORM.INV($AC1315,$C$7,$D$7)</f>
        <v/>
      </c>
      <c r="P1315" s="14">
        <f>$C$8+($D$8-$C$8)*$AD1315</f>
        <v/>
      </c>
      <c r="Q1315" s="14">
        <f>$C$9</f>
        <v/>
      </c>
      <c r="R1315" s="14">
        <f>_xlfn.LOGNORM.INV($AF1315,LN($C$10)-0.5*LN(1+($D$10/$C$10)^2),SQRT(LN(1+($D$10/$C$10)^2)))</f>
        <v/>
      </c>
      <c r="S1315" s="14">
        <f>SUM(M1315:R1315)</f>
        <v/>
      </c>
      <c r="AA1315">
        <f>RAND()</f>
        <v/>
      </c>
      <c r="AB1315">
        <f>RAND()</f>
        <v/>
      </c>
      <c r="AC1315">
        <f>RAND()</f>
        <v/>
      </c>
      <c r="AD1315">
        <f>RAND()</f>
        <v/>
      </c>
      <c r="AE1315">
        <f>RAND()</f>
        <v/>
      </c>
      <c r="AF1315">
        <f>RAND()</f>
        <v/>
      </c>
    </row>
    <row r="1316">
      <c r="M1316" s="14">
        <f>_xlfn.BETA.INV($AA1316,1+4*($D$5-$C$5)/($E$5-$C$5),1+4*($E$5-$D$5)/($E$5-$C$5),$C$5,$E$5)</f>
        <v/>
      </c>
      <c r="N1316" s="14">
        <f>IF($AB1316&lt;($D$6-$C$6)/($E$6-$C$6),$C$6+SQRT($AB1316*($E$6-$C$6)*($D$6-$C$6)),$E$6-SQRT((1-$AB1316)*($E$6-$C$6)*($E$6-$D$6)))</f>
        <v/>
      </c>
      <c r="O1316" s="14">
        <f>_xlfn.NORM.INV($AC1316,$C$7,$D$7)</f>
        <v/>
      </c>
      <c r="P1316" s="14">
        <f>$C$8+($D$8-$C$8)*$AD1316</f>
        <v/>
      </c>
      <c r="Q1316" s="14">
        <f>$C$9</f>
        <v/>
      </c>
      <c r="R1316" s="14">
        <f>_xlfn.LOGNORM.INV($AF1316,LN($C$10)-0.5*LN(1+($D$10/$C$10)^2),SQRT(LN(1+($D$10/$C$10)^2)))</f>
        <v/>
      </c>
      <c r="S1316" s="14">
        <f>SUM(M1316:R1316)</f>
        <v/>
      </c>
      <c r="AA1316">
        <f>RAND()</f>
        <v/>
      </c>
      <c r="AB1316">
        <f>RAND()</f>
        <v/>
      </c>
      <c r="AC1316">
        <f>RAND()</f>
        <v/>
      </c>
      <c r="AD1316">
        <f>RAND()</f>
        <v/>
      </c>
      <c r="AE1316">
        <f>RAND()</f>
        <v/>
      </c>
      <c r="AF1316">
        <f>RAND()</f>
        <v/>
      </c>
    </row>
    <row r="1317">
      <c r="M1317" s="14">
        <f>_xlfn.BETA.INV($AA1317,1+4*($D$5-$C$5)/($E$5-$C$5),1+4*($E$5-$D$5)/($E$5-$C$5),$C$5,$E$5)</f>
        <v/>
      </c>
      <c r="N1317" s="14">
        <f>IF($AB1317&lt;($D$6-$C$6)/($E$6-$C$6),$C$6+SQRT($AB1317*($E$6-$C$6)*($D$6-$C$6)),$E$6-SQRT((1-$AB1317)*($E$6-$C$6)*($E$6-$D$6)))</f>
        <v/>
      </c>
      <c r="O1317" s="14">
        <f>_xlfn.NORM.INV($AC1317,$C$7,$D$7)</f>
        <v/>
      </c>
      <c r="P1317" s="14">
        <f>$C$8+($D$8-$C$8)*$AD1317</f>
        <v/>
      </c>
      <c r="Q1317" s="14">
        <f>$C$9</f>
        <v/>
      </c>
      <c r="R1317" s="14">
        <f>_xlfn.LOGNORM.INV($AF1317,LN($C$10)-0.5*LN(1+($D$10/$C$10)^2),SQRT(LN(1+($D$10/$C$10)^2)))</f>
        <v/>
      </c>
      <c r="S1317" s="14">
        <f>SUM(M1317:R1317)</f>
        <v/>
      </c>
      <c r="AA1317">
        <f>RAND()</f>
        <v/>
      </c>
      <c r="AB1317">
        <f>RAND()</f>
        <v/>
      </c>
      <c r="AC1317">
        <f>RAND()</f>
        <v/>
      </c>
      <c r="AD1317">
        <f>RAND()</f>
        <v/>
      </c>
      <c r="AE1317">
        <f>RAND()</f>
        <v/>
      </c>
      <c r="AF1317">
        <f>RAND()</f>
        <v/>
      </c>
    </row>
    <row r="1318">
      <c r="M1318" s="14">
        <f>_xlfn.BETA.INV($AA1318,1+4*($D$5-$C$5)/($E$5-$C$5),1+4*($E$5-$D$5)/($E$5-$C$5),$C$5,$E$5)</f>
        <v/>
      </c>
      <c r="N1318" s="14">
        <f>IF($AB1318&lt;($D$6-$C$6)/($E$6-$C$6),$C$6+SQRT($AB1318*($E$6-$C$6)*($D$6-$C$6)),$E$6-SQRT((1-$AB1318)*($E$6-$C$6)*($E$6-$D$6)))</f>
        <v/>
      </c>
      <c r="O1318" s="14">
        <f>_xlfn.NORM.INV($AC1318,$C$7,$D$7)</f>
        <v/>
      </c>
      <c r="P1318" s="14">
        <f>$C$8+($D$8-$C$8)*$AD1318</f>
        <v/>
      </c>
      <c r="Q1318" s="14">
        <f>$C$9</f>
        <v/>
      </c>
      <c r="R1318" s="14">
        <f>_xlfn.LOGNORM.INV($AF1318,LN($C$10)-0.5*LN(1+($D$10/$C$10)^2),SQRT(LN(1+($D$10/$C$10)^2)))</f>
        <v/>
      </c>
      <c r="S1318" s="14">
        <f>SUM(M1318:R1318)</f>
        <v/>
      </c>
      <c r="AA1318">
        <f>RAND()</f>
        <v/>
      </c>
      <c r="AB1318">
        <f>RAND()</f>
        <v/>
      </c>
      <c r="AC1318">
        <f>RAND()</f>
        <v/>
      </c>
      <c r="AD1318">
        <f>RAND()</f>
        <v/>
      </c>
      <c r="AE1318">
        <f>RAND()</f>
        <v/>
      </c>
      <c r="AF1318">
        <f>RAND()</f>
        <v/>
      </c>
    </row>
    <row r="1319">
      <c r="M1319" s="14">
        <f>_xlfn.BETA.INV($AA1319,1+4*($D$5-$C$5)/($E$5-$C$5),1+4*($E$5-$D$5)/($E$5-$C$5),$C$5,$E$5)</f>
        <v/>
      </c>
      <c r="N1319" s="14">
        <f>IF($AB1319&lt;($D$6-$C$6)/($E$6-$C$6),$C$6+SQRT($AB1319*($E$6-$C$6)*($D$6-$C$6)),$E$6-SQRT((1-$AB1319)*($E$6-$C$6)*($E$6-$D$6)))</f>
        <v/>
      </c>
      <c r="O1319" s="14">
        <f>_xlfn.NORM.INV($AC1319,$C$7,$D$7)</f>
        <v/>
      </c>
      <c r="P1319" s="14">
        <f>$C$8+($D$8-$C$8)*$AD1319</f>
        <v/>
      </c>
      <c r="Q1319" s="14">
        <f>$C$9</f>
        <v/>
      </c>
      <c r="R1319" s="14">
        <f>_xlfn.LOGNORM.INV($AF1319,LN($C$10)-0.5*LN(1+($D$10/$C$10)^2),SQRT(LN(1+($D$10/$C$10)^2)))</f>
        <v/>
      </c>
      <c r="S1319" s="14">
        <f>SUM(M1319:R1319)</f>
        <v/>
      </c>
      <c r="AA1319">
        <f>RAND()</f>
        <v/>
      </c>
      <c r="AB1319">
        <f>RAND()</f>
        <v/>
      </c>
      <c r="AC1319">
        <f>RAND()</f>
        <v/>
      </c>
      <c r="AD1319">
        <f>RAND()</f>
        <v/>
      </c>
      <c r="AE1319">
        <f>RAND()</f>
        <v/>
      </c>
      <c r="AF1319">
        <f>RAND()</f>
        <v/>
      </c>
    </row>
    <row r="1320">
      <c r="M1320" s="14">
        <f>_xlfn.BETA.INV($AA1320,1+4*($D$5-$C$5)/($E$5-$C$5),1+4*($E$5-$D$5)/($E$5-$C$5),$C$5,$E$5)</f>
        <v/>
      </c>
      <c r="N1320" s="14">
        <f>IF($AB1320&lt;($D$6-$C$6)/($E$6-$C$6),$C$6+SQRT($AB1320*($E$6-$C$6)*($D$6-$C$6)),$E$6-SQRT((1-$AB1320)*($E$6-$C$6)*($E$6-$D$6)))</f>
        <v/>
      </c>
      <c r="O1320" s="14">
        <f>_xlfn.NORM.INV($AC1320,$C$7,$D$7)</f>
        <v/>
      </c>
      <c r="P1320" s="14">
        <f>$C$8+($D$8-$C$8)*$AD1320</f>
        <v/>
      </c>
      <c r="Q1320" s="14">
        <f>$C$9</f>
        <v/>
      </c>
      <c r="R1320" s="14">
        <f>_xlfn.LOGNORM.INV($AF1320,LN($C$10)-0.5*LN(1+($D$10/$C$10)^2),SQRT(LN(1+($D$10/$C$10)^2)))</f>
        <v/>
      </c>
      <c r="S1320" s="14">
        <f>SUM(M1320:R1320)</f>
        <v/>
      </c>
      <c r="AA1320">
        <f>RAND()</f>
        <v/>
      </c>
      <c r="AB1320">
        <f>RAND()</f>
        <v/>
      </c>
      <c r="AC1320">
        <f>RAND()</f>
        <v/>
      </c>
      <c r="AD1320">
        <f>RAND()</f>
        <v/>
      </c>
      <c r="AE1320">
        <f>RAND()</f>
        <v/>
      </c>
      <c r="AF1320">
        <f>RAND()</f>
        <v/>
      </c>
    </row>
    <row r="1321">
      <c r="M1321" s="14">
        <f>_xlfn.BETA.INV($AA1321,1+4*($D$5-$C$5)/($E$5-$C$5),1+4*($E$5-$D$5)/($E$5-$C$5),$C$5,$E$5)</f>
        <v/>
      </c>
      <c r="N1321" s="14">
        <f>IF($AB1321&lt;($D$6-$C$6)/($E$6-$C$6),$C$6+SQRT($AB1321*($E$6-$C$6)*($D$6-$C$6)),$E$6-SQRT((1-$AB1321)*($E$6-$C$6)*($E$6-$D$6)))</f>
        <v/>
      </c>
      <c r="O1321" s="14">
        <f>_xlfn.NORM.INV($AC1321,$C$7,$D$7)</f>
        <v/>
      </c>
      <c r="P1321" s="14">
        <f>$C$8+($D$8-$C$8)*$AD1321</f>
        <v/>
      </c>
      <c r="Q1321" s="14">
        <f>$C$9</f>
        <v/>
      </c>
      <c r="R1321" s="14">
        <f>_xlfn.LOGNORM.INV($AF1321,LN($C$10)-0.5*LN(1+($D$10/$C$10)^2),SQRT(LN(1+($D$10/$C$10)^2)))</f>
        <v/>
      </c>
      <c r="S1321" s="14">
        <f>SUM(M1321:R1321)</f>
        <v/>
      </c>
      <c r="AA1321">
        <f>RAND()</f>
        <v/>
      </c>
      <c r="AB1321">
        <f>RAND()</f>
        <v/>
      </c>
      <c r="AC1321">
        <f>RAND()</f>
        <v/>
      </c>
      <c r="AD1321">
        <f>RAND()</f>
        <v/>
      </c>
      <c r="AE1321">
        <f>RAND()</f>
        <v/>
      </c>
      <c r="AF1321">
        <f>RAND()</f>
        <v/>
      </c>
    </row>
    <row r="1322">
      <c r="M1322" s="14">
        <f>_xlfn.BETA.INV($AA1322,1+4*($D$5-$C$5)/($E$5-$C$5),1+4*($E$5-$D$5)/($E$5-$C$5),$C$5,$E$5)</f>
        <v/>
      </c>
      <c r="N1322" s="14">
        <f>IF($AB1322&lt;($D$6-$C$6)/($E$6-$C$6),$C$6+SQRT($AB1322*($E$6-$C$6)*($D$6-$C$6)),$E$6-SQRT((1-$AB1322)*($E$6-$C$6)*($E$6-$D$6)))</f>
        <v/>
      </c>
      <c r="O1322" s="14">
        <f>_xlfn.NORM.INV($AC1322,$C$7,$D$7)</f>
        <v/>
      </c>
      <c r="P1322" s="14">
        <f>$C$8+($D$8-$C$8)*$AD1322</f>
        <v/>
      </c>
      <c r="Q1322" s="14">
        <f>$C$9</f>
        <v/>
      </c>
      <c r="R1322" s="14">
        <f>_xlfn.LOGNORM.INV($AF1322,LN($C$10)-0.5*LN(1+($D$10/$C$10)^2),SQRT(LN(1+($D$10/$C$10)^2)))</f>
        <v/>
      </c>
      <c r="S1322" s="14">
        <f>SUM(M1322:R1322)</f>
        <v/>
      </c>
      <c r="AA1322">
        <f>RAND()</f>
        <v/>
      </c>
      <c r="AB1322">
        <f>RAND()</f>
        <v/>
      </c>
      <c r="AC1322">
        <f>RAND()</f>
        <v/>
      </c>
      <c r="AD1322">
        <f>RAND()</f>
        <v/>
      </c>
      <c r="AE1322">
        <f>RAND()</f>
        <v/>
      </c>
      <c r="AF1322">
        <f>RAND()</f>
        <v/>
      </c>
    </row>
    <row r="1323">
      <c r="M1323" s="14">
        <f>_xlfn.BETA.INV($AA1323,1+4*($D$5-$C$5)/($E$5-$C$5),1+4*($E$5-$D$5)/($E$5-$C$5),$C$5,$E$5)</f>
        <v/>
      </c>
      <c r="N1323" s="14">
        <f>IF($AB1323&lt;($D$6-$C$6)/($E$6-$C$6),$C$6+SQRT($AB1323*($E$6-$C$6)*($D$6-$C$6)),$E$6-SQRT((1-$AB1323)*($E$6-$C$6)*($E$6-$D$6)))</f>
        <v/>
      </c>
      <c r="O1323" s="14">
        <f>_xlfn.NORM.INV($AC1323,$C$7,$D$7)</f>
        <v/>
      </c>
      <c r="P1323" s="14">
        <f>$C$8+($D$8-$C$8)*$AD1323</f>
        <v/>
      </c>
      <c r="Q1323" s="14">
        <f>$C$9</f>
        <v/>
      </c>
      <c r="R1323" s="14">
        <f>_xlfn.LOGNORM.INV($AF1323,LN($C$10)-0.5*LN(1+($D$10/$C$10)^2),SQRT(LN(1+($D$10/$C$10)^2)))</f>
        <v/>
      </c>
      <c r="S1323" s="14">
        <f>SUM(M1323:R1323)</f>
        <v/>
      </c>
      <c r="AA1323">
        <f>RAND()</f>
        <v/>
      </c>
      <c r="AB1323">
        <f>RAND()</f>
        <v/>
      </c>
      <c r="AC1323">
        <f>RAND()</f>
        <v/>
      </c>
      <c r="AD1323">
        <f>RAND()</f>
        <v/>
      </c>
      <c r="AE1323">
        <f>RAND()</f>
        <v/>
      </c>
      <c r="AF1323">
        <f>RAND()</f>
        <v/>
      </c>
    </row>
    <row r="1324">
      <c r="M1324" s="14">
        <f>_xlfn.BETA.INV($AA1324,1+4*($D$5-$C$5)/($E$5-$C$5),1+4*($E$5-$D$5)/($E$5-$C$5),$C$5,$E$5)</f>
        <v/>
      </c>
      <c r="N1324" s="14">
        <f>IF($AB1324&lt;($D$6-$C$6)/($E$6-$C$6),$C$6+SQRT($AB1324*($E$6-$C$6)*($D$6-$C$6)),$E$6-SQRT((1-$AB1324)*($E$6-$C$6)*($E$6-$D$6)))</f>
        <v/>
      </c>
      <c r="O1324" s="14">
        <f>_xlfn.NORM.INV($AC1324,$C$7,$D$7)</f>
        <v/>
      </c>
      <c r="P1324" s="14">
        <f>$C$8+($D$8-$C$8)*$AD1324</f>
        <v/>
      </c>
      <c r="Q1324" s="14">
        <f>$C$9</f>
        <v/>
      </c>
      <c r="R1324" s="14">
        <f>_xlfn.LOGNORM.INV($AF1324,LN($C$10)-0.5*LN(1+($D$10/$C$10)^2),SQRT(LN(1+($D$10/$C$10)^2)))</f>
        <v/>
      </c>
      <c r="S1324" s="14">
        <f>SUM(M1324:R1324)</f>
        <v/>
      </c>
      <c r="AA1324">
        <f>RAND()</f>
        <v/>
      </c>
      <c r="AB1324">
        <f>RAND()</f>
        <v/>
      </c>
      <c r="AC1324">
        <f>RAND()</f>
        <v/>
      </c>
      <c r="AD1324">
        <f>RAND()</f>
        <v/>
      </c>
      <c r="AE1324">
        <f>RAND()</f>
        <v/>
      </c>
      <c r="AF1324">
        <f>RAND()</f>
        <v/>
      </c>
    </row>
    <row r="1325">
      <c r="M1325" s="14">
        <f>_xlfn.BETA.INV($AA1325,1+4*($D$5-$C$5)/($E$5-$C$5),1+4*($E$5-$D$5)/($E$5-$C$5),$C$5,$E$5)</f>
        <v/>
      </c>
      <c r="N1325" s="14">
        <f>IF($AB1325&lt;($D$6-$C$6)/($E$6-$C$6),$C$6+SQRT($AB1325*($E$6-$C$6)*($D$6-$C$6)),$E$6-SQRT((1-$AB1325)*($E$6-$C$6)*($E$6-$D$6)))</f>
        <v/>
      </c>
      <c r="O1325" s="14">
        <f>_xlfn.NORM.INV($AC1325,$C$7,$D$7)</f>
        <v/>
      </c>
      <c r="P1325" s="14">
        <f>$C$8+($D$8-$C$8)*$AD1325</f>
        <v/>
      </c>
      <c r="Q1325" s="14">
        <f>$C$9</f>
        <v/>
      </c>
      <c r="R1325" s="14">
        <f>_xlfn.LOGNORM.INV($AF1325,LN($C$10)-0.5*LN(1+($D$10/$C$10)^2),SQRT(LN(1+($D$10/$C$10)^2)))</f>
        <v/>
      </c>
      <c r="S1325" s="14">
        <f>SUM(M1325:R1325)</f>
        <v/>
      </c>
      <c r="AA1325">
        <f>RAND()</f>
        <v/>
      </c>
      <c r="AB1325">
        <f>RAND()</f>
        <v/>
      </c>
      <c r="AC1325">
        <f>RAND()</f>
        <v/>
      </c>
      <c r="AD1325">
        <f>RAND()</f>
        <v/>
      </c>
      <c r="AE1325">
        <f>RAND()</f>
        <v/>
      </c>
      <c r="AF1325">
        <f>RAND()</f>
        <v/>
      </c>
    </row>
    <row r="1326">
      <c r="M1326" s="14">
        <f>_xlfn.BETA.INV($AA1326,1+4*($D$5-$C$5)/($E$5-$C$5),1+4*($E$5-$D$5)/($E$5-$C$5),$C$5,$E$5)</f>
        <v/>
      </c>
      <c r="N1326" s="14">
        <f>IF($AB1326&lt;($D$6-$C$6)/($E$6-$C$6),$C$6+SQRT($AB1326*($E$6-$C$6)*($D$6-$C$6)),$E$6-SQRT((1-$AB1326)*($E$6-$C$6)*($E$6-$D$6)))</f>
        <v/>
      </c>
      <c r="O1326" s="14">
        <f>_xlfn.NORM.INV($AC1326,$C$7,$D$7)</f>
        <v/>
      </c>
      <c r="P1326" s="14">
        <f>$C$8+($D$8-$C$8)*$AD1326</f>
        <v/>
      </c>
      <c r="Q1326" s="14">
        <f>$C$9</f>
        <v/>
      </c>
      <c r="R1326" s="14">
        <f>_xlfn.LOGNORM.INV($AF1326,LN($C$10)-0.5*LN(1+($D$10/$C$10)^2),SQRT(LN(1+($D$10/$C$10)^2)))</f>
        <v/>
      </c>
      <c r="S1326" s="14">
        <f>SUM(M1326:R1326)</f>
        <v/>
      </c>
      <c r="AA1326">
        <f>RAND()</f>
        <v/>
      </c>
      <c r="AB1326">
        <f>RAND()</f>
        <v/>
      </c>
      <c r="AC1326">
        <f>RAND()</f>
        <v/>
      </c>
      <c r="AD1326">
        <f>RAND()</f>
        <v/>
      </c>
      <c r="AE1326">
        <f>RAND()</f>
        <v/>
      </c>
      <c r="AF1326">
        <f>RAND()</f>
        <v/>
      </c>
    </row>
    <row r="1327">
      <c r="M1327" s="14">
        <f>_xlfn.BETA.INV($AA1327,1+4*($D$5-$C$5)/($E$5-$C$5),1+4*($E$5-$D$5)/($E$5-$C$5),$C$5,$E$5)</f>
        <v/>
      </c>
      <c r="N1327" s="14">
        <f>IF($AB1327&lt;($D$6-$C$6)/($E$6-$C$6),$C$6+SQRT($AB1327*($E$6-$C$6)*($D$6-$C$6)),$E$6-SQRT((1-$AB1327)*($E$6-$C$6)*($E$6-$D$6)))</f>
        <v/>
      </c>
      <c r="O1327" s="14">
        <f>_xlfn.NORM.INV($AC1327,$C$7,$D$7)</f>
        <v/>
      </c>
      <c r="P1327" s="14">
        <f>$C$8+($D$8-$C$8)*$AD1327</f>
        <v/>
      </c>
      <c r="Q1327" s="14">
        <f>$C$9</f>
        <v/>
      </c>
      <c r="R1327" s="14">
        <f>_xlfn.LOGNORM.INV($AF1327,LN($C$10)-0.5*LN(1+($D$10/$C$10)^2),SQRT(LN(1+($D$10/$C$10)^2)))</f>
        <v/>
      </c>
      <c r="S1327" s="14">
        <f>SUM(M1327:R1327)</f>
        <v/>
      </c>
      <c r="AA1327">
        <f>RAND()</f>
        <v/>
      </c>
      <c r="AB1327">
        <f>RAND()</f>
        <v/>
      </c>
      <c r="AC1327">
        <f>RAND()</f>
        <v/>
      </c>
      <c r="AD1327">
        <f>RAND()</f>
        <v/>
      </c>
      <c r="AE1327">
        <f>RAND()</f>
        <v/>
      </c>
      <c r="AF1327">
        <f>RAND()</f>
        <v/>
      </c>
    </row>
    <row r="1328">
      <c r="M1328" s="14">
        <f>_xlfn.BETA.INV($AA1328,1+4*($D$5-$C$5)/($E$5-$C$5),1+4*($E$5-$D$5)/($E$5-$C$5),$C$5,$E$5)</f>
        <v/>
      </c>
      <c r="N1328" s="14">
        <f>IF($AB1328&lt;($D$6-$C$6)/($E$6-$C$6),$C$6+SQRT($AB1328*($E$6-$C$6)*($D$6-$C$6)),$E$6-SQRT((1-$AB1328)*($E$6-$C$6)*($E$6-$D$6)))</f>
        <v/>
      </c>
      <c r="O1328" s="14">
        <f>_xlfn.NORM.INV($AC1328,$C$7,$D$7)</f>
        <v/>
      </c>
      <c r="P1328" s="14">
        <f>$C$8+($D$8-$C$8)*$AD1328</f>
        <v/>
      </c>
      <c r="Q1328" s="14">
        <f>$C$9</f>
        <v/>
      </c>
      <c r="R1328" s="14">
        <f>_xlfn.LOGNORM.INV($AF1328,LN($C$10)-0.5*LN(1+($D$10/$C$10)^2),SQRT(LN(1+($D$10/$C$10)^2)))</f>
        <v/>
      </c>
      <c r="S1328" s="14">
        <f>SUM(M1328:R1328)</f>
        <v/>
      </c>
      <c r="AA1328">
        <f>RAND()</f>
        <v/>
      </c>
      <c r="AB1328">
        <f>RAND()</f>
        <v/>
      </c>
      <c r="AC1328">
        <f>RAND()</f>
        <v/>
      </c>
      <c r="AD1328">
        <f>RAND()</f>
        <v/>
      </c>
      <c r="AE1328">
        <f>RAND()</f>
        <v/>
      </c>
      <c r="AF1328">
        <f>RAND()</f>
        <v/>
      </c>
    </row>
    <row r="1329">
      <c r="M1329" s="14">
        <f>_xlfn.BETA.INV($AA1329,1+4*($D$5-$C$5)/($E$5-$C$5),1+4*($E$5-$D$5)/($E$5-$C$5),$C$5,$E$5)</f>
        <v/>
      </c>
      <c r="N1329" s="14">
        <f>IF($AB1329&lt;($D$6-$C$6)/($E$6-$C$6),$C$6+SQRT($AB1329*($E$6-$C$6)*($D$6-$C$6)),$E$6-SQRT((1-$AB1329)*($E$6-$C$6)*($E$6-$D$6)))</f>
        <v/>
      </c>
      <c r="O1329" s="14">
        <f>_xlfn.NORM.INV($AC1329,$C$7,$D$7)</f>
        <v/>
      </c>
      <c r="P1329" s="14">
        <f>$C$8+($D$8-$C$8)*$AD1329</f>
        <v/>
      </c>
      <c r="Q1329" s="14">
        <f>$C$9</f>
        <v/>
      </c>
      <c r="R1329" s="14">
        <f>_xlfn.LOGNORM.INV($AF1329,LN($C$10)-0.5*LN(1+($D$10/$C$10)^2),SQRT(LN(1+($D$10/$C$10)^2)))</f>
        <v/>
      </c>
      <c r="S1329" s="14">
        <f>SUM(M1329:R1329)</f>
        <v/>
      </c>
      <c r="AA1329">
        <f>RAND()</f>
        <v/>
      </c>
      <c r="AB1329">
        <f>RAND()</f>
        <v/>
      </c>
      <c r="AC1329">
        <f>RAND()</f>
        <v/>
      </c>
      <c r="AD1329">
        <f>RAND()</f>
        <v/>
      </c>
      <c r="AE1329">
        <f>RAND()</f>
        <v/>
      </c>
      <c r="AF1329">
        <f>RAND()</f>
        <v/>
      </c>
    </row>
    <row r="1330">
      <c r="M1330" s="14">
        <f>_xlfn.BETA.INV($AA1330,1+4*($D$5-$C$5)/($E$5-$C$5),1+4*($E$5-$D$5)/($E$5-$C$5),$C$5,$E$5)</f>
        <v/>
      </c>
      <c r="N1330" s="14">
        <f>IF($AB1330&lt;($D$6-$C$6)/($E$6-$C$6),$C$6+SQRT($AB1330*($E$6-$C$6)*($D$6-$C$6)),$E$6-SQRT((1-$AB1330)*($E$6-$C$6)*($E$6-$D$6)))</f>
        <v/>
      </c>
      <c r="O1330" s="14">
        <f>_xlfn.NORM.INV($AC1330,$C$7,$D$7)</f>
        <v/>
      </c>
      <c r="P1330" s="14">
        <f>$C$8+($D$8-$C$8)*$AD1330</f>
        <v/>
      </c>
      <c r="Q1330" s="14">
        <f>$C$9</f>
        <v/>
      </c>
      <c r="R1330" s="14">
        <f>_xlfn.LOGNORM.INV($AF1330,LN($C$10)-0.5*LN(1+($D$10/$C$10)^2),SQRT(LN(1+($D$10/$C$10)^2)))</f>
        <v/>
      </c>
      <c r="S1330" s="14">
        <f>SUM(M1330:R1330)</f>
        <v/>
      </c>
      <c r="AA1330">
        <f>RAND()</f>
        <v/>
      </c>
      <c r="AB1330">
        <f>RAND()</f>
        <v/>
      </c>
      <c r="AC1330">
        <f>RAND()</f>
        <v/>
      </c>
      <c r="AD1330">
        <f>RAND()</f>
        <v/>
      </c>
      <c r="AE1330">
        <f>RAND()</f>
        <v/>
      </c>
      <c r="AF1330">
        <f>RAND()</f>
        <v/>
      </c>
    </row>
    <row r="1331">
      <c r="M1331" s="14">
        <f>_xlfn.BETA.INV($AA1331,1+4*($D$5-$C$5)/($E$5-$C$5),1+4*($E$5-$D$5)/($E$5-$C$5),$C$5,$E$5)</f>
        <v/>
      </c>
      <c r="N1331" s="14">
        <f>IF($AB1331&lt;($D$6-$C$6)/($E$6-$C$6),$C$6+SQRT($AB1331*($E$6-$C$6)*($D$6-$C$6)),$E$6-SQRT((1-$AB1331)*($E$6-$C$6)*($E$6-$D$6)))</f>
        <v/>
      </c>
      <c r="O1331" s="14">
        <f>_xlfn.NORM.INV($AC1331,$C$7,$D$7)</f>
        <v/>
      </c>
      <c r="P1331" s="14">
        <f>$C$8+($D$8-$C$8)*$AD1331</f>
        <v/>
      </c>
      <c r="Q1331" s="14">
        <f>$C$9</f>
        <v/>
      </c>
      <c r="R1331" s="14">
        <f>_xlfn.LOGNORM.INV($AF1331,LN($C$10)-0.5*LN(1+($D$10/$C$10)^2),SQRT(LN(1+($D$10/$C$10)^2)))</f>
        <v/>
      </c>
      <c r="S1331" s="14">
        <f>SUM(M1331:R1331)</f>
        <v/>
      </c>
      <c r="AA1331">
        <f>RAND()</f>
        <v/>
      </c>
      <c r="AB1331">
        <f>RAND()</f>
        <v/>
      </c>
      <c r="AC1331">
        <f>RAND()</f>
        <v/>
      </c>
      <c r="AD1331">
        <f>RAND()</f>
        <v/>
      </c>
      <c r="AE1331">
        <f>RAND()</f>
        <v/>
      </c>
      <c r="AF1331">
        <f>RAND()</f>
        <v/>
      </c>
    </row>
    <row r="1332">
      <c r="M1332" s="14">
        <f>_xlfn.BETA.INV($AA1332,1+4*($D$5-$C$5)/($E$5-$C$5),1+4*($E$5-$D$5)/($E$5-$C$5),$C$5,$E$5)</f>
        <v/>
      </c>
      <c r="N1332" s="14">
        <f>IF($AB1332&lt;($D$6-$C$6)/($E$6-$C$6),$C$6+SQRT($AB1332*($E$6-$C$6)*($D$6-$C$6)),$E$6-SQRT((1-$AB1332)*($E$6-$C$6)*($E$6-$D$6)))</f>
        <v/>
      </c>
      <c r="O1332" s="14">
        <f>_xlfn.NORM.INV($AC1332,$C$7,$D$7)</f>
        <v/>
      </c>
      <c r="P1332" s="14">
        <f>$C$8+($D$8-$C$8)*$AD1332</f>
        <v/>
      </c>
      <c r="Q1332" s="14">
        <f>$C$9</f>
        <v/>
      </c>
      <c r="R1332" s="14">
        <f>_xlfn.LOGNORM.INV($AF1332,LN($C$10)-0.5*LN(1+($D$10/$C$10)^2),SQRT(LN(1+($D$10/$C$10)^2)))</f>
        <v/>
      </c>
      <c r="S1332" s="14">
        <f>SUM(M1332:R1332)</f>
        <v/>
      </c>
      <c r="AA1332">
        <f>RAND()</f>
        <v/>
      </c>
      <c r="AB1332">
        <f>RAND()</f>
        <v/>
      </c>
      <c r="AC1332">
        <f>RAND()</f>
        <v/>
      </c>
      <c r="AD1332">
        <f>RAND()</f>
        <v/>
      </c>
      <c r="AE1332">
        <f>RAND()</f>
        <v/>
      </c>
      <c r="AF1332">
        <f>RAND()</f>
        <v/>
      </c>
    </row>
    <row r="1333">
      <c r="M1333" s="14">
        <f>_xlfn.BETA.INV($AA1333,1+4*($D$5-$C$5)/($E$5-$C$5),1+4*($E$5-$D$5)/($E$5-$C$5),$C$5,$E$5)</f>
        <v/>
      </c>
      <c r="N1333" s="14">
        <f>IF($AB1333&lt;($D$6-$C$6)/($E$6-$C$6),$C$6+SQRT($AB1333*($E$6-$C$6)*($D$6-$C$6)),$E$6-SQRT((1-$AB1333)*($E$6-$C$6)*($E$6-$D$6)))</f>
        <v/>
      </c>
      <c r="O1333" s="14">
        <f>_xlfn.NORM.INV($AC1333,$C$7,$D$7)</f>
        <v/>
      </c>
      <c r="P1333" s="14">
        <f>$C$8+($D$8-$C$8)*$AD1333</f>
        <v/>
      </c>
      <c r="Q1333" s="14">
        <f>$C$9</f>
        <v/>
      </c>
      <c r="R1333" s="14">
        <f>_xlfn.LOGNORM.INV($AF1333,LN($C$10)-0.5*LN(1+($D$10/$C$10)^2),SQRT(LN(1+($D$10/$C$10)^2)))</f>
        <v/>
      </c>
      <c r="S1333" s="14">
        <f>SUM(M1333:R1333)</f>
        <v/>
      </c>
      <c r="AA1333">
        <f>RAND()</f>
        <v/>
      </c>
      <c r="AB1333">
        <f>RAND()</f>
        <v/>
      </c>
      <c r="AC1333">
        <f>RAND()</f>
        <v/>
      </c>
      <c r="AD1333">
        <f>RAND()</f>
        <v/>
      </c>
      <c r="AE1333">
        <f>RAND()</f>
        <v/>
      </c>
      <c r="AF1333">
        <f>RAND()</f>
        <v/>
      </c>
    </row>
    <row r="1334">
      <c r="M1334" s="14">
        <f>_xlfn.BETA.INV($AA1334,1+4*($D$5-$C$5)/($E$5-$C$5),1+4*($E$5-$D$5)/($E$5-$C$5),$C$5,$E$5)</f>
        <v/>
      </c>
      <c r="N1334" s="14">
        <f>IF($AB1334&lt;($D$6-$C$6)/($E$6-$C$6),$C$6+SQRT($AB1334*($E$6-$C$6)*($D$6-$C$6)),$E$6-SQRT((1-$AB1334)*($E$6-$C$6)*($E$6-$D$6)))</f>
        <v/>
      </c>
      <c r="O1334" s="14">
        <f>_xlfn.NORM.INV($AC1334,$C$7,$D$7)</f>
        <v/>
      </c>
      <c r="P1334" s="14">
        <f>$C$8+($D$8-$C$8)*$AD1334</f>
        <v/>
      </c>
      <c r="Q1334" s="14">
        <f>$C$9</f>
        <v/>
      </c>
      <c r="R1334" s="14">
        <f>_xlfn.LOGNORM.INV($AF1334,LN($C$10)-0.5*LN(1+($D$10/$C$10)^2),SQRT(LN(1+($D$10/$C$10)^2)))</f>
        <v/>
      </c>
      <c r="S1334" s="14">
        <f>SUM(M1334:R1334)</f>
        <v/>
      </c>
      <c r="AA1334">
        <f>RAND()</f>
        <v/>
      </c>
      <c r="AB1334">
        <f>RAND()</f>
        <v/>
      </c>
      <c r="AC1334">
        <f>RAND()</f>
        <v/>
      </c>
      <c r="AD1334">
        <f>RAND()</f>
        <v/>
      </c>
      <c r="AE1334">
        <f>RAND()</f>
        <v/>
      </c>
      <c r="AF1334">
        <f>RAND()</f>
        <v/>
      </c>
    </row>
    <row r="1335">
      <c r="M1335" s="14">
        <f>_xlfn.BETA.INV($AA1335,1+4*($D$5-$C$5)/($E$5-$C$5),1+4*($E$5-$D$5)/($E$5-$C$5),$C$5,$E$5)</f>
        <v/>
      </c>
      <c r="N1335" s="14">
        <f>IF($AB1335&lt;($D$6-$C$6)/($E$6-$C$6),$C$6+SQRT($AB1335*($E$6-$C$6)*($D$6-$C$6)),$E$6-SQRT((1-$AB1335)*($E$6-$C$6)*($E$6-$D$6)))</f>
        <v/>
      </c>
      <c r="O1335" s="14">
        <f>_xlfn.NORM.INV($AC1335,$C$7,$D$7)</f>
        <v/>
      </c>
      <c r="P1335" s="14">
        <f>$C$8+($D$8-$C$8)*$AD1335</f>
        <v/>
      </c>
      <c r="Q1335" s="14">
        <f>$C$9</f>
        <v/>
      </c>
      <c r="R1335" s="14">
        <f>_xlfn.LOGNORM.INV($AF1335,LN($C$10)-0.5*LN(1+($D$10/$C$10)^2),SQRT(LN(1+($D$10/$C$10)^2)))</f>
        <v/>
      </c>
      <c r="S1335" s="14">
        <f>SUM(M1335:R1335)</f>
        <v/>
      </c>
      <c r="AA1335">
        <f>RAND()</f>
        <v/>
      </c>
      <c r="AB1335">
        <f>RAND()</f>
        <v/>
      </c>
      <c r="AC1335">
        <f>RAND()</f>
        <v/>
      </c>
      <c r="AD1335">
        <f>RAND()</f>
        <v/>
      </c>
      <c r="AE1335">
        <f>RAND()</f>
        <v/>
      </c>
      <c r="AF1335">
        <f>RAND()</f>
        <v/>
      </c>
    </row>
    <row r="1336">
      <c r="M1336" s="14">
        <f>_xlfn.BETA.INV($AA1336,1+4*($D$5-$C$5)/($E$5-$C$5),1+4*($E$5-$D$5)/($E$5-$C$5),$C$5,$E$5)</f>
        <v/>
      </c>
      <c r="N1336" s="14">
        <f>IF($AB1336&lt;($D$6-$C$6)/($E$6-$C$6),$C$6+SQRT($AB1336*($E$6-$C$6)*($D$6-$C$6)),$E$6-SQRT((1-$AB1336)*($E$6-$C$6)*($E$6-$D$6)))</f>
        <v/>
      </c>
      <c r="O1336" s="14">
        <f>_xlfn.NORM.INV($AC1336,$C$7,$D$7)</f>
        <v/>
      </c>
      <c r="P1336" s="14">
        <f>$C$8+($D$8-$C$8)*$AD1336</f>
        <v/>
      </c>
      <c r="Q1336" s="14">
        <f>$C$9</f>
        <v/>
      </c>
      <c r="R1336" s="14">
        <f>_xlfn.LOGNORM.INV($AF1336,LN($C$10)-0.5*LN(1+($D$10/$C$10)^2),SQRT(LN(1+($D$10/$C$10)^2)))</f>
        <v/>
      </c>
      <c r="S1336" s="14">
        <f>SUM(M1336:R1336)</f>
        <v/>
      </c>
      <c r="AA1336">
        <f>RAND()</f>
        <v/>
      </c>
      <c r="AB1336">
        <f>RAND()</f>
        <v/>
      </c>
      <c r="AC1336">
        <f>RAND()</f>
        <v/>
      </c>
      <c r="AD1336">
        <f>RAND()</f>
        <v/>
      </c>
      <c r="AE1336">
        <f>RAND()</f>
        <v/>
      </c>
      <c r="AF1336">
        <f>RAND()</f>
        <v/>
      </c>
    </row>
    <row r="1337">
      <c r="M1337" s="14">
        <f>_xlfn.BETA.INV($AA1337,1+4*($D$5-$C$5)/($E$5-$C$5),1+4*($E$5-$D$5)/($E$5-$C$5),$C$5,$E$5)</f>
        <v/>
      </c>
      <c r="N1337" s="14">
        <f>IF($AB1337&lt;($D$6-$C$6)/($E$6-$C$6),$C$6+SQRT($AB1337*($E$6-$C$6)*($D$6-$C$6)),$E$6-SQRT((1-$AB1337)*($E$6-$C$6)*($E$6-$D$6)))</f>
        <v/>
      </c>
      <c r="O1337" s="14">
        <f>_xlfn.NORM.INV($AC1337,$C$7,$D$7)</f>
        <v/>
      </c>
      <c r="P1337" s="14">
        <f>$C$8+($D$8-$C$8)*$AD1337</f>
        <v/>
      </c>
      <c r="Q1337" s="14">
        <f>$C$9</f>
        <v/>
      </c>
      <c r="R1337" s="14">
        <f>_xlfn.LOGNORM.INV($AF1337,LN($C$10)-0.5*LN(1+($D$10/$C$10)^2),SQRT(LN(1+($D$10/$C$10)^2)))</f>
        <v/>
      </c>
      <c r="S1337" s="14">
        <f>SUM(M1337:R1337)</f>
        <v/>
      </c>
      <c r="AA1337">
        <f>RAND()</f>
        <v/>
      </c>
      <c r="AB1337">
        <f>RAND()</f>
        <v/>
      </c>
      <c r="AC1337">
        <f>RAND()</f>
        <v/>
      </c>
      <c r="AD1337">
        <f>RAND()</f>
        <v/>
      </c>
      <c r="AE1337">
        <f>RAND()</f>
        <v/>
      </c>
      <c r="AF1337">
        <f>RAND()</f>
        <v/>
      </c>
    </row>
    <row r="1338">
      <c r="M1338" s="14">
        <f>_xlfn.BETA.INV($AA1338,1+4*($D$5-$C$5)/($E$5-$C$5),1+4*($E$5-$D$5)/($E$5-$C$5),$C$5,$E$5)</f>
        <v/>
      </c>
      <c r="N1338" s="14">
        <f>IF($AB1338&lt;($D$6-$C$6)/($E$6-$C$6),$C$6+SQRT($AB1338*($E$6-$C$6)*($D$6-$C$6)),$E$6-SQRT((1-$AB1338)*($E$6-$C$6)*($E$6-$D$6)))</f>
        <v/>
      </c>
      <c r="O1338" s="14">
        <f>_xlfn.NORM.INV($AC1338,$C$7,$D$7)</f>
        <v/>
      </c>
      <c r="P1338" s="14">
        <f>$C$8+($D$8-$C$8)*$AD1338</f>
        <v/>
      </c>
      <c r="Q1338" s="14">
        <f>$C$9</f>
        <v/>
      </c>
      <c r="R1338" s="14">
        <f>_xlfn.LOGNORM.INV($AF1338,LN($C$10)-0.5*LN(1+($D$10/$C$10)^2),SQRT(LN(1+($D$10/$C$10)^2)))</f>
        <v/>
      </c>
      <c r="S1338" s="14">
        <f>SUM(M1338:R1338)</f>
        <v/>
      </c>
      <c r="AA1338">
        <f>RAND()</f>
        <v/>
      </c>
      <c r="AB1338">
        <f>RAND()</f>
        <v/>
      </c>
      <c r="AC1338">
        <f>RAND()</f>
        <v/>
      </c>
      <c r="AD1338">
        <f>RAND()</f>
        <v/>
      </c>
      <c r="AE1338">
        <f>RAND()</f>
        <v/>
      </c>
      <c r="AF1338">
        <f>RAND()</f>
        <v/>
      </c>
    </row>
    <row r="1339">
      <c r="M1339" s="14">
        <f>_xlfn.BETA.INV($AA1339,1+4*($D$5-$C$5)/($E$5-$C$5),1+4*($E$5-$D$5)/($E$5-$C$5),$C$5,$E$5)</f>
        <v/>
      </c>
      <c r="N1339" s="14">
        <f>IF($AB1339&lt;($D$6-$C$6)/($E$6-$C$6),$C$6+SQRT($AB1339*($E$6-$C$6)*($D$6-$C$6)),$E$6-SQRT((1-$AB1339)*($E$6-$C$6)*($E$6-$D$6)))</f>
        <v/>
      </c>
      <c r="O1339" s="14">
        <f>_xlfn.NORM.INV($AC1339,$C$7,$D$7)</f>
        <v/>
      </c>
      <c r="P1339" s="14">
        <f>$C$8+($D$8-$C$8)*$AD1339</f>
        <v/>
      </c>
      <c r="Q1339" s="14">
        <f>$C$9</f>
        <v/>
      </c>
      <c r="R1339" s="14">
        <f>_xlfn.LOGNORM.INV($AF1339,LN($C$10)-0.5*LN(1+($D$10/$C$10)^2),SQRT(LN(1+($D$10/$C$10)^2)))</f>
        <v/>
      </c>
      <c r="S1339" s="14">
        <f>SUM(M1339:R1339)</f>
        <v/>
      </c>
      <c r="AA1339">
        <f>RAND()</f>
        <v/>
      </c>
      <c r="AB1339">
        <f>RAND()</f>
        <v/>
      </c>
      <c r="AC1339">
        <f>RAND()</f>
        <v/>
      </c>
      <c r="AD1339">
        <f>RAND()</f>
        <v/>
      </c>
      <c r="AE1339">
        <f>RAND()</f>
        <v/>
      </c>
      <c r="AF1339">
        <f>RAND()</f>
        <v/>
      </c>
    </row>
    <row r="1340">
      <c r="M1340" s="14">
        <f>_xlfn.BETA.INV($AA1340,1+4*($D$5-$C$5)/($E$5-$C$5),1+4*($E$5-$D$5)/($E$5-$C$5),$C$5,$E$5)</f>
        <v/>
      </c>
      <c r="N1340" s="14">
        <f>IF($AB1340&lt;($D$6-$C$6)/($E$6-$C$6),$C$6+SQRT($AB1340*($E$6-$C$6)*($D$6-$C$6)),$E$6-SQRT((1-$AB1340)*($E$6-$C$6)*($E$6-$D$6)))</f>
        <v/>
      </c>
      <c r="O1340" s="14">
        <f>_xlfn.NORM.INV($AC1340,$C$7,$D$7)</f>
        <v/>
      </c>
      <c r="P1340" s="14">
        <f>$C$8+($D$8-$C$8)*$AD1340</f>
        <v/>
      </c>
      <c r="Q1340" s="14">
        <f>$C$9</f>
        <v/>
      </c>
      <c r="R1340" s="14">
        <f>_xlfn.LOGNORM.INV($AF1340,LN($C$10)-0.5*LN(1+($D$10/$C$10)^2),SQRT(LN(1+($D$10/$C$10)^2)))</f>
        <v/>
      </c>
      <c r="S1340" s="14">
        <f>SUM(M1340:R1340)</f>
        <v/>
      </c>
      <c r="AA1340">
        <f>RAND()</f>
        <v/>
      </c>
      <c r="AB1340">
        <f>RAND()</f>
        <v/>
      </c>
      <c r="AC1340">
        <f>RAND()</f>
        <v/>
      </c>
      <c r="AD1340">
        <f>RAND()</f>
        <v/>
      </c>
      <c r="AE1340">
        <f>RAND()</f>
        <v/>
      </c>
      <c r="AF1340">
        <f>RAND()</f>
        <v/>
      </c>
    </row>
    <row r="1341">
      <c r="M1341" s="14">
        <f>_xlfn.BETA.INV($AA1341,1+4*($D$5-$C$5)/($E$5-$C$5),1+4*($E$5-$D$5)/($E$5-$C$5),$C$5,$E$5)</f>
        <v/>
      </c>
      <c r="N1341" s="14">
        <f>IF($AB1341&lt;($D$6-$C$6)/($E$6-$C$6),$C$6+SQRT($AB1341*($E$6-$C$6)*($D$6-$C$6)),$E$6-SQRT((1-$AB1341)*($E$6-$C$6)*($E$6-$D$6)))</f>
        <v/>
      </c>
      <c r="O1341" s="14">
        <f>_xlfn.NORM.INV($AC1341,$C$7,$D$7)</f>
        <v/>
      </c>
      <c r="P1341" s="14">
        <f>$C$8+($D$8-$C$8)*$AD1341</f>
        <v/>
      </c>
      <c r="Q1341" s="14">
        <f>$C$9</f>
        <v/>
      </c>
      <c r="R1341" s="14">
        <f>_xlfn.LOGNORM.INV($AF1341,LN($C$10)-0.5*LN(1+($D$10/$C$10)^2),SQRT(LN(1+($D$10/$C$10)^2)))</f>
        <v/>
      </c>
      <c r="S1341" s="14">
        <f>SUM(M1341:R1341)</f>
        <v/>
      </c>
      <c r="AA1341">
        <f>RAND()</f>
        <v/>
      </c>
      <c r="AB1341">
        <f>RAND()</f>
        <v/>
      </c>
      <c r="AC1341">
        <f>RAND()</f>
        <v/>
      </c>
      <c r="AD1341">
        <f>RAND()</f>
        <v/>
      </c>
      <c r="AE1341">
        <f>RAND()</f>
        <v/>
      </c>
      <c r="AF1341">
        <f>RAND()</f>
        <v/>
      </c>
    </row>
    <row r="1342">
      <c r="M1342" s="14">
        <f>_xlfn.BETA.INV($AA1342,1+4*($D$5-$C$5)/($E$5-$C$5),1+4*($E$5-$D$5)/($E$5-$C$5),$C$5,$E$5)</f>
        <v/>
      </c>
      <c r="N1342" s="14">
        <f>IF($AB1342&lt;($D$6-$C$6)/($E$6-$C$6),$C$6+SQRT($AB1342*($E$6-$C$6)*($D$6-$C$6)),$E$6-SQRT((1-$AB1342)*($E$6-$C$6)*($E$6-$D$6)))</f>
        <v/>
      </c>
      <c r="O1342" s="14">
        <f>_xlfn.NORM.INV($AC1342,$C$7,$D$7)</f>
        <v/>
      </c>
      <c r="P1342" s="14">
        <f>$C$8+($D$8-$C$8)*$AD1342</f>
        <v/>
      </c>
      <c r="Q1342" s="14">
        <f>$C$9</f>
        <v/>
      </c>
      <c r="R1342" s="14">
        <f>_xlfn.LOGNORM.INV($AF1342,LN($C$10)-0.5*LN(1+($D$10/$C$10)^2),SQRT(LN(1+($D$10/$C$10)^2)))</f>
        <v/>
      </c>
      <c r="S1342" s="14">
        <f>SUM(M1342:R1342)</f>
        <v/>
      </c>
      <c r="AA1342">
        <f>RAND()</f>
        <v/>
      </c>
      <c r="AB1342">
        <f>RAND()</f>
        <v/>
      </c>
      <c r="AC1342">
        <f>RAND()</f>
        <v/>
      </c>
      <c r="AD1342">
        <f>RAND()</f>
        <v/>
      </c>
      <c r="AE1342">
        <f>RAND()</f>
        <v/>
      </c>
      <c r="AF1342">
        <f>RAND()</f>
        <v/>
      </c>
    </row>
    <row r="1343">
      <c r="M1343" s="14">
        <f>_xlfn.BETA.INV($AA1343,1+4*($D$5-$C$5)/($E$5-$C$5),1+4*($E$5-$D$5)/($E$5-$C$5),$C$5,$E$5)</f>
        <v/>
      </c>
      <c r="N1343" s="14">
        <f>IF($AB1343&lt;($D$6-$C$6)/($E$6-$C$6),$C$6+SQRT($AB1343*($E$6-$C$6)*($D$6-$C$6)),$E$6-SQRT((1-$AB1343)*($E$6-$C$6)*($E$6-$D$6)))</f>
        <v/>
      </c>
      <c r="O1343" s="14">
        <f>_xlfn.NORM.INV($AC1343,$C$7,$D$7)</f>
        <v/>
      </c>
      <c r="P1343" s="14">
        <f>$C$8+($D$8-$C$8)*$AD1343</f>
        <v/>
      </c>
      <c r="Q1343" s="14">
        <f>$C$9</f>
        <v/>
      </c>
      <c r="R1343" s="14">
        <f>_xlfn.LOGNORM.INV($AF1343,LN($C$10)-0.5*LN(1+($D$10/$C$10)^2),SQRT(LN(1+($D$10/$C$10)^2)))</f>
        <v/>
      </c>
      <c r="S1343" s="14">
        <f>SUM(M1343:R1343)</f>
        <v/>
      </c>
      <c r="AA1343">
        <f>RAND()</f>
        <v/>
      </c>
      <c r="AB1343">
        <f>RAND()</f>
        <v/>
      </c>
      <c r="AC1343">
        <f>RAND()</f>
        <v/>
      </c>
      <c r="AD1343">
        <f>RAND()</f>
        <v/>
      </c>
      <c r="AE1343">
        <f>RAND()</f>
        <v/>
      </c>
      <c r="AF1343">
        <f>RAND()</f>
        <v/>
      </c>
    </row>
    <row r="1344">
      <c r="M1344" s="14">
        <f>_xlfn.BETA.INV($AA1344,1+4*($D$5-$C$5)/($E$5-$C$5),1+4*($E$5-$D$5)/($E$5-$C$5),$C$5,$E$5)</f>
        <v/>
      </c>
      <c r="N1344" s="14">
        <f>IF($AB1344&lt;($D$6-$C$6)/($E$6-$C$6),$C$6+SQRT($AB1344*($E$6-$C$6)*($D$6-$C$6)),$E$6-SQRT((1-$AB1344)*($E$6-$C$6)*($E$6-$D$6)))</f>
        <v/>
      </c>
      <c r="O1344" s="14">
        <f>_xlfn.NORM.INV($AC1344,$C$7,$D$7)</f>
        <v/>
      </c>
      <c r="P1344" s="14">
        <f>$C$8+($D$8-$C$8)*$AD1344</f>
        <v/>
      </c>
      <c r="Q1344" s="14">
        <f>$C$9</f>
        <v/>
      </c>
      <c r="R1344" s="14">
        <f>_xlfn.LOGNORM.INV($AF1344,LN($C$10)-0.5*LN(1+($D$10/$C$10)^2),SQRT(LN(1+($D$10/$C$10)^2)))</f>
        <v/>
      </c>
      <c r="S1344" s="14">
        <f>SUM(M1344:R1344)</f>
        <v/>
      </c>
      <c r="AA1344">
        <f>RAND()</f>
        <v/>
      </c>
      <c r="AB1344">
        <f>RAND()</f>
        <v/>
      </c>
      <c r="AC1344">
        <f>RAND()</f>
        <v/>
      </c>
      <c r="AD1344">
        <f>RAND()</f>
        <v/>
      </c>
      <c r="AE1344">
        <f>RAND()</f>
        <v/>
      </c>
      <c r="AF1344">
        <f>RAND()</f>
        <v/>
      </c>
    </row>
    <row r="1345">
      <c r="M1345" s="14">
        <f>_xlfn.BETA.INV($AA1345,1+4*($D$5-$C$5)/($E$5-$C$5),1+4*($E$5-$D$5)/($E$5-$C$5),$C$5,$E$5)</f>
        <v/>
      </c>
      <c r="N1345" s="14">
        <f>IF($AB1345&lt;($D$6-$C$6)/($E$6-$C$6),$C$6+SQRT($AB1345*($E$6-$C$6)*($D$6-$C$6)),$E$6-SQRT((1-$AB1345)*($E$6-$C$6)*($E$6-$D$6)))</f>
        <v/>
      </c>
      <c r="O1345" s="14">
        <f>_xlfn.NORM.INV($AC1345,$C$7,$D$7)</f>
        <v/>
      </c>
      <c r="P1345" s="14">
        <f>$C$8+($D$8-$C$8)*$AD1345</f>
        <v/>
      </c>
      <c r="Q1345" s="14">
        <f>$C$9</f>
        <v/>
      </c>
      <c r="R1345" s="14">
        <f>_xlfn.LOGNORM.INV($AF1345,LN($C$10)-0.5*LN(1+($D$10/$C$10)^2),SQRT(LN(1+($D$10/$C$10)^2)))</f>
        <v/>
      </c>
      <c r="S1345" s="14">
        <f>SUM(M1345:R1345)</f>
        <v/>
      </c>
      <c r="AA1345">
        <f>RAND()</f>
        <v/>
      </c>
      <c r="AB1345">
        <f>RAND()</f>
        <v/>
      </c>
      <c r="AC1345">
        <f>RAND()</f>
        <v/>
      </c>
      <c r="AD1345">
        <f>RAND()</f>
        <v/>
      </c>
      <c r="AE1345">
        <f>RAND()</f>
        <v/>
      </c>
      <c r="AF1345">
        <f>RAND()</f>
        <v/>
      </c>
    </row>
    <row r="1346">
      <c r="M1346" s="14">
        <f>_xlfn.BETA.INV($AA1346,1+4*($D$5-$C$5)/($E$5-$C$5),1+4*($E$5-$D$5)/($E$5-$C$5),$C$5,$E$5)</f>
        <v/>
      </c>
      <c r="N1346" s="14">
        <f>IF($AB1346&lt;($D$6-$C$6)/($E$6-$C$6),$C$6+SQRT($AB1346*($E$6-$C$6)*($D$6-$C$6)),$E$6-SQRT((1-$AB1346)*($E$6-$C$6)*($E$6-$D$6)))</f>
        <v/>
      </c>
      <c r="O1346" s="14">
        <f>_xlfn.NORM.INV($AC1346,$C$7,$D$7)</f>
        <v/>
      </c>
      <c r="P1346" s="14">
        <f>$C$8+($D$8-$C$8)*$AD1346</f>
        <v/>
      </c>
      <c r="Q1346" s="14">
        <f>$C$9</f>
        <v/>
      </c>
      <c r="R1346" s="14">
        <f>_xlfn.LOGNORM.INV($AF1346,LN($C$10)-0.5*LN(1+($D$10/$C$10)^2),SQRT(LN(1+($D$10/$C$10)^2)))</f>
        <v/>
      </c>
      <c r="S1346" s="14">
        <f>SUM(M1346:R1346)</f>
        <v/>
      </c>
      <c r="AA1346">
        <f>RAND()</f>
        <v/>
      </c>
      <c r="AB1346">
        <f>RAND()</f>
        <v/>
      </c>
      <c r="AC1346">
        <f>RAND()</f>
        <v/>
      </c>
      <c r="AD1346">
        <f>RAND()</f>
        <v/>
      </c>
      <c r="AE1346">
        <f>RAND()</f>
        <v/>
      </c>
      <c r="AF1346">
        <f>RAND()</f>
        <v/>
      </c>
    </row>
    <row r="1347">
      <c r="M1347" s="14">
        <f>_xlfn.BETA.INV($AA1347,1+4*($D$5-$C$5)/($E$5-$C$5),1+4*($E$5-$D$5)/($E$5-$C$5),$C$5,$E$5)</f>
        <v/>
      </c>
      <c r="N1347" s="14">
        <f>IF($AB1347&lt;($D$6-$C$6)/($E$6-$C$6),$C$6+SQRT($AB1347*($E$6-$C$6)*($D$6-$C$6)),$E$6-SQRT((1-$AB1347)*($E$6-$C$6)*($E$6-$D$6)))</f>
        <v/>
      </c>
      <c r="O1347" s="14">
        <f>_xlfn.NORM.INV($AC1347,$C$7,$D$7)</f>
        <v/>
      </c>
      <c r="P1347" s="14">
        <f>$C$8+($D$8-$C$8)*$AD1347</f>
        <v/>
      </c>
      <c r="Q1347" s="14">
        <f>$C$9</f>
        <v/>
      </c>
      <c r="R1347" s="14">
        <f>_xlfn.LOGNORM.INV($AF1347,LN($C$10)-0.5*LN(1+($D$10/$C$10)^2),SQRT(LN(1+($D$10/$C$10)^2)))</f>
        <v/>
      </c>
      <c r="S1347" s="14">
        <f>SUM(M1347:R1347)</f>
        <v/>
      </c>
      <c r="AA1347">
        <f>RAND()</f>
        <v/>
      </c>
      <c r="AB1347">
        <f>RAND()</f>
        <v/>
      </c>
      <c r="AC1347">
        <f>RAND()</f>
        <v/>
      </c>
      <c r="AD1347">
        <f>RAND()</f>
        <v/>
      </c>
      <c r="AE1347">
        <f>RAND()</f>
        <v/>
      </c>
      <c r="AF1347">
        <f>RAND()</f>
        <v/>
      </c>
    </row>
    <row r="1348">
      <c r="M1348" s="14">
        <f>_xlfn.BETA.INV($AA1348,1+4*($D$5-$C$5)/($E$5-$C$5),1+4*($E$5-$D$5)/($E$5-$C$5),$C$5,$E$5)</f>
        <v/>
      </c>
      <c r="N1348" s="14">
        <f>IF($AB1348&lt;($D$6-$C$6)/($E$6-$C$6),$C$6+SQRT($AB1348*($E$6-$C$6)*($D$6-$C$6)),$E$6-SQRT((1-$AB1348)*($E$6-$C$6)*($E$6-$D$6)))</f>
        <v/>
      </c>
      <c r="O1348" s="14">
        <f>_xlfn.NORM.INV($AC1348,$C$7,$D$7)</f>
        <v/>
      </c>
      <c r="P1348" s="14">
        <f>$C$8+($D$8-$C$8)*$AD1348</f>
        <v/>
      </c>
      <c r="Q1348" s="14">
        <f>$C$9</f>
        <v/>
      </c>
      <c r="R1348" s="14">
        <f>_xlfn.LOGNORM.INV($AF1348,LN($C$10)-0.5*LN(1+($D$10/$C$10)^2),SQRT(LN(1+($D$10/$C$10)^2)))</f>
        <v/>
      </c>
      <c r="S1348" s="14">
        <f>SUM(M1348:R1348)</f>
        <v/>
      </c>
      <c r="AA1348">
        <f>RAND()</f>
        <v/>
      </c>
      <c r="AB1348">
        <f>RAND()</f>
        <v/>
      </c>
      <c r="AC1348">
        <f>RAND()</f>
        <v/>
      </c>
      <c r="AD1348">
        <f>RAND()</f>
        <v/>
      </c>
      <c r="AE1348">
        <f>RAND()</f>
        <v/>
      </c>
      <c r="AF1348">
        <f>RAND()</f>
        <v/>
      </c>
    </row>
    <row r="1349">
      <c r="M1349" s="14">
        <f>_xlfn.BETA.INV($AA1349,1+4*($D$5-$C$5)/($E$5-$C$5),1+4*($E$5-$D$5)/($E$5-$C$5),$C$5,$E$5)</f>
        <v/>
      </c>
      <c r="N1349" s="14">
        <f>IF($AB1349&lt;($D$6-$C$6)/($E$6-$C$6),$C$6+SQRT($AB1349*($E$6-$C$6)*($D$6-$C$6)),$E$6-SQRT((1-$AB1349)*($E$6-$C$6)*($E$6-$D$6)))</f>
        <v/>
      </c>
      <c r="O1349" s="14">
        <f>_xlfn.NORM.INV($AC1349,$C$7,$D$7)</f>
        <v/>
      </c>
      <c r="P1349" s="14">
        <f>$C$8+($D$8-$C$8)*$AD1349</f>
        <v/>
      </c>
      <c r="Q1349" s="14">
        <f>$C$9</f>
        <v/>
      </c>
      <c r="R1349" s="14">
        <f>_xlfn.LOGNORM.INV($AF1349,LN($C$10)-0.5*LN(1+($D$10/$C$10)^2),SQRT(LN(1+($D$10/$C$10)^2)))</f>
        <v/>
      </c>
      <c r="S1349" s="14">
        <f>SUM(M1349:R1349)</f>
        <v/>
      </c>
      <c r="AA1349">
        <f>RAND()</f>
        <v/>
      </c>
      <c r="AB1349">
        <f>RAND()</f>
        <v/>
      </c>
      <c r="AC1349">
        <f>RAND()</f>
        <v/>
      </c>
      <c r="AD1349">
        <f>RAND()</f>
        <v/>
      </c>
      <c r="AE1349">
        <f>RAND()</f>
        <v/>
      </c>
      <c r="AF1349">
        <f>RAND()</f>
        <v/>
      </c>
    </row>
    <row r="1350">
      <c r="M1350" s="14">
        <f>_xlfn.BETA.INV($AA1350,1+4*($D$5-$C$5)/($E$5-$C$5),1+4*($E$5-$D$5)/($E$5-$C$5),$C$5,$E$5)</f>
        <v/>
      </c>
      <c r="N1350" s="14">
        <f>IF($AB1350&lt;($D$6-$C$6)/($E$6-$C$6),$C$6+SQRT($AB1350*($E$6-$C$6)*($D$6-$C$6)),$E$6-SQRT((1-$AB1350)*($E$6-$C$6)*($E$6-$D$6)))</f>
        <v/>
      </c>
      <c r="O1350" s="14">
        <f>_xlfn.NORM.INV($AC1350,$C$7,$D$7)</f>
        <v/>
      </c>
      <c r="P1350" s="14">
        <f>$C$8+($D$8-$C$8)*$AD1350</f>
        <v/>
      </c>
      <c r="Q1350" s="14">
        <f>$C$9</f>
        <v/>
      </c>
      <c r="R1350" s="14">
        <f>_xlfn.LOGNORM.INV($AF1350,LN($C$10)-0.5*LN(1+($D$10/$C$10)^2),SQRT(LN(1+($D$10/$C$10)^2)))</f>
        <v/>
      </c>
      <c r="S1350" s="14">
        <f>SUM(M1350:R1350)</f>
        <v/>
      </c>
      <c r="AA1350">
        <f>RAND()</f>
        <v/>
      </c>
      <c r="AB1350">
        <f>RAND()</f>
        <v/>
      </c>
      <c r="AC1350">
        <f>RAND()</f>
        <v/>
      </c>
      <c r="AD1350">
        <f>RAND()</f>
        <v/>
      </c>
      <c r="AE1350">
        <f>RAND()</f>
        <v/>
      </c>
      <c r="AF1350">
        <f>RAND()</f>
        <v/>
      </c>
    </row>
    <row r="1351">
      <c r="M1351" s="14">
        <f>_xlfn.BETA.INV($AA1351,1+4*($D$5-$C$5)/($E$5-$C$5),1+4*($E$5-$D$5)/($E$5-$C$5),$C$5,$E$5)</f>
        <v/>
      </c>
      <c r="N1351" s="14">
        <f>IF($AB1351&lt;($D$6-$C$6)/($E$6-$C$6),$C$6+SQRT($AB1351*($E$6-$C$6)*($D$6-$C$6)),$E$6-SQRT((1-$AB1351)*($E$6-$C$6)*($E$6-$D$6)))</f>
        <v/>
      </c>
      <c r="O1351" s="14">
        <f>_xlfn.NORM.INV($AC1351,$C$7,$D$7)</f>
        <v/>
      </c>
      <c r="P1351" s="14">
        <f>$C$8+($D$8-$C$8)*$AD1351</f>
        <v/>
      </c>
      <c r="Q1351" s="14">
        <f>$C$9</f>
        <v/>
      </c>
      <c r="R1351" s="14">
        <f>_xlfn.LOGNORM.INV($AF1351,LN($C$10)-0.5*LN(1+($D$10/$C$10)^2),SQRT(LN(1+($D$10/$C$10)^2)))</f>
        <v/>
      </c>
      <c r="S1351" s="14">
        <f>SUM(M1351:R1351)</f>
        <v/>
      </c>
      <c r="AA1351">
        <f>RAND()</f>
        <v/>
      </c>
      <c r="AB1351">
        <f>RAND()</f>
        <v/>
      </c>
      <c r="AC1351">
        <f>RAND()</f>
        <v/>
      </c>
      <c r="AD1351">
        <f>RAND()</f>
        <v/>
      </c>
      <c r="AE1351">
        <f>RAND()</f>
        <v/>
      </c>
      <c r="AF1351">
        <f>RAND()</f>
        <v/>
      </c>
    </row>
    <row r="1352">
      <c r="M1352" s="14">
        <f>_xlfn.BETA.INV($AA1352,1+4*($D$5-$C$5)/($E$5-$C$5),1+4*($E$5-$D$5)/($E$5-$C$5),$C$5,$E$5)</f>
        <v/>
      </c>
      <c r="N1352" s="14">
        <f>IF($AB1352&lt;($D$6-$C$6)/($E$6-$C$6),$C$6+SQRT($AB1352*($E$6-$C$6)*($D$6-$C$6)),$E$6-SQRT((1-$AB1352)*($E$6-$C$6)*($E$6-$D$6)))</f>
        <v/>
      </c>
      <c r="O1352" s="14">
        <f>_xlfn.NORM.INV($AC1352,$C$7,$D$7)</f>
        <v/>
      </c>
      <c r="P1352" s="14">
        <f>$C$8+($D$8-$C$8)*$AD1352</f>
        <v/>
      </c>
      <c r="Q1352" s="14">
        <f>$C$9</f>
        <v/>
      </c>
      <c r="R1352" s="14">
        <f>_xlfn.LOGNORM.INV($AF1352,LN($C$10)-0.5*LN(1+($D$10/$C$10)^2),SQRT(LN(1+($D$10/$C$10)^2)))</f>
        <v/>
      </c>
      <c r="S1352" s="14">
        <f>SUM(M1352:R1352)</f>
        <v/>
      </c>
      <c r="AA1352">
        <f>RAND()</f>
        <v/>
      </c>
      <c r="AB1352">
        <f>RAND()</f>
        <v/>
      </c>
      <c r="AC1352">
        <f>RAND()</f>
        <v/>
      </c>
      <c r="AD1352">
        <f>RAND()</f>
        <v/>
      </c>
      <c r="AE1352">
        <f>RAND()</f>
        <v/>
      </c>
      <c r="AF1352">
        <f>RAND()</f>
        <v/>
      </c>
    </row>
    <row r="1353">
      <c r="M1353" s="14">
        <f>_xlfn.BETA.INV($AA1353,1+4*($D$5-$C$5)/($E$5-$C$5),1+4*($E$5-$D$5)/($E$5-$C$5),$C$5,$E$5)</f>
        <v/>
      </c>
      <c r="N1353" s="14">
        <f>IF($AB1353&lt;($D$6-$C$6)/($E$6-$C$6),$C$6+SQRT($AB1353*($E$6-$C$6)*($D$6-$C$6)),$E$6-SQRT((1-$AB1353)*($E$6-$C$6)*($E$6-$D$6)))</f>
        <v/>
      </c>
      <c r="O1353" s="14">
        <f>_xlfn.NORM.INV($AC1353,$C$7,$D$7)</f>
        <v/>
      </c>
      <c r="P1353" s="14">
        <f>$C$8+($D$8-$C$8)*$AD1353</f>
        <v/>
      </c>
      <c r="Q1353" s="14">
        <f>$C$9</f>
        <v/>
      </c>
      <c r="R1353" s="14">
        <f>_xlfn.LOGNORM.INV($AF1353,LN($C$10)-0.5*LN(1+($D$10/$C$10)^2),SQRT(LN(1+($D$10/$C$10)^2)))</f>
        <v/>
      </c>
      <c r="S1353" s="14">
        <f>SUM(M1353:R1353)</f>
        <v/>
      </c>
      <c r="AA1353">
        <f>RAND()</f>
        <v/>
      </c>
      <c r="AB1353">
        <f>RAND()</f>
        <v/>
      </c>
      <c r="AC1353">
        <f>RAND()</f>
        <v/>
      </c>
      <c r="AD1353">
        <f>RAND()</f>
        <v/>
      </c>
      <c r="AE1353">
        <f>RAND()</f>
        <v/>
      </c>
      <c r="AF1353">
        <f>RAND()</f>
        <v/>
      </c>
    </row>
    <row r="1354">
      <c r="M1354" s="14">
        <f>_xlfn.BETA.INV($AA1354,1+4*($D$5-$C$5)/($E$5-$C$5),1+4*($E$5-$D$5)/($E$5-$C$5),$C$5,$E$5)</f>
        <v/>
      </c>
      <c r="N1354" s="14">
        <f>IF($AB1354&lt;($D$6-$C$6)/($E$6-$C$6),$C$6+SQRT($AB1354*($E$6-$C$6)*($D$6-$C$6)),$E$6-SQRT((1-$AB1354)*($E$6-$C$6)*($E$6-$D$6)))</f>
        <v/>
      </c>
      <c r="O1354" s="14">
        <f>_xlfn.NORM.INV($AC1354,$C$7,$D$7)</f>
        <v/>
      </c>
      <c r="P1354" s="14">
        <f>$C$8+($D$8-$C$8)*$AD1354</f>
        <v/>
      </c>
      <c r="Q1354" s="14">
        <f>$C$9</f>
        <v/>
      </c>
      <c r="R1354" s="14">
        <f>_xlfn.LOGNORM.INV($AF1354,LN($C$10)-0.5*LN(1+($D$10/$C$10)^2),SQRT(LN(1+($D$10/$C$10)^2)))</f>
        <v/>
      </c>
      <c r="S1354" s="14">
        <f>SUM(M1354:R1354)</f>
        <v/>
      </c>
      <c r="AA1354">
        <f>RAND()</f>
        <v/>
      </c>
      <c r="AB1354">
        <f>RAND()</f>
        <v/>
      </c>
      <c r="AC1354">
        <f>RAND()</f>
        <v/>
      </c>
      <c r="AD1354">
        <f>RAND()</f>
        <v/>
      </c>
      <c r="AE1354">
        <f>RAND()</f>
        <v/>
      </c>
      <c r="AF1354">
        <f>RAND()</f>
        <v/>
      </c>
    </row>
    <row r="1355">
      <c r="M1355" s="14">
        <f>_xlfn.BETA.INV($AA1355,1+4*($D$5-$C$5)/($E$5-$C$5),1+4*($E$5-$D$5)/($E$5-$C$5),$C$5,$E$5)</f>
        <v/>
      </c>
      <c r="N1355" s="14">
        <f>IF($AB1355&lt;($D$6-$C$6)/($E$6-$C$6),$C$6+SQRT($AB1355*($E$6-$C$6)*($D$6-$C$6)),$E$6-SQRT((1-$AB1355)*($E$6-$C$6)*($E$6-$D$6)))</f>
        <v/>
      </c>
      <c r="O1355" s="14">
        <f>_xlfn.NORM.INV($AC1355,$C$7,$D$7)</f>
        <v/>
      </c>
      <c r="P1355" s="14">
        <f>$C$8+($D$8-$C$8)*$AD1355</f>
        <v/>
      </c>
      <c r="Q1355" s="14">
        <f>$C$9</f>
        <v/>
      </c>
      <c r="R1355" s="14">
        <f>_xlfn.LOGNORM.INV($AF1355,LN($C$10)-0.5*LN(1+($D$10/$C$10)^2),SQRT(LN(1+($D$10/$C$10)^2)))</f>
        <v/>
      </c>
      <c r="S1355" s="14">
        <f>SUM(M1355:R1355)</f>
        <v/>
      </c>
      <c r="AA1355">
        <f>RAND()</f>
        <v/>
      </c>
      <c r="AB1355">
        <f>RAND()</f>
        <v/>
      </c>
      <c r="AC1355">
        <f>RAND()</f>
        <v/>
      </c>
      <c r="AD1355">
        <f>RAND()</f>
        <v/>
      </c>
      <c r="AE1355">
        <f>RAND()</f>
        <v/>
      </c>
      <c r="AF1355">
        <f>RAND()</f>
        <v/>
      </c>
    </row>
    <row r="1356">
      <c r="M1356" s="14">
        <f>_xlfn.BETA.INV($AA1356,1+4*($D$5-$C$5)/($E$5-$C$5),1+4*($E$5-$D$5)/($E$5-$C$5),$C$5,$E$5)</f>
        <v/>
      </c>
      <c r="N1356" s="14">
        <f>IF($AB1356&lt;($D$6-$C$6)/($E$6-$C$6),$C$6+SQRT($AB1356*($E$6-$C$6)*($D$6-$C$6)),$E$6-SQRT((1-$AB1356)*($E$6-$C$6)*($E$6-$D$6)))</f>
        <v/>
      </c>
      <c r="O1356" s="14">
        <f>_xlfn.NORM.INV($AC1356,$C$7,$D$7)</f>
        <v/>
      </c>
      <c r="P1356" s="14">
        <f>$C$8+($D$8-$C$8)*$AD1356</f>
        <v/>
      </c>
      <c r="Q1356" s="14">
        <f>$C$9</f>
        <v/>
      </c>
      <c r="R1356" s="14">
        <f>_xlfn.LOGNORM.INV($AF1356,LN($C$10)-0.5*LN(1+($D$10/$C$10)^2),SQRT(LN(1+($D$10/$C$10)^2)))</f>
        <v/>
      </c>
      <c r="S1356" s="14">
        <f>SUM(M1356:R1356)</f>
        <v/>
      </c>
      <c r="AA1356">
        <f>RAND()</f>
        <v/>
      </c>
      <c r="AB1356">
        <f>RAND()</f>
        <v/>
      </c>
      <c r="AC1356">
        <f>RAND()</f>
        <v/>
      </c>
      <c r="AD1356">
        <f>RAND()</f>
        <v/>
      </c>
      <c r="AE1356">
        <f>RAND()</f>
        <v/>
      </c>
      <c r="AF1356">
        <f>RAND()</f>
        <v/>
      </c>
    </row>
    <row r="1357">
      <c r="M1357" s="14">
        <f>_xlfn.BETA.INV($AA1357,1+4*($D$5-$C$5)/($E$5-$C$5),1+4*($E$5-$D$5)/($E$5-$C$5),$C$5,$E$5)</f>
        <v/>
      </c>
      <c r="N1357" s="14">
        <f>IF($AB1357&lt;($D$6-$C$6)/($E$6-$C$6),$C$6+SQRT($AB1357*($E$6-$C$6)*($D$6-$C$6)),$E$6-SQRT((1-$AB1357)*($E$6-$C$6)*($E$6-$D$6)))</f>
        <v/>
      </c>
      <c r="O1357" s="14">
        <f>_xlfn.NORM.INV($AC1357,$C$7,$D$7)</f>
        <v/>
      </c>
      <c r="P1357" s="14">
        <f>$C$8+($D$8-$C$8)*$AD1357</f>
        <v/>
      </c>
      <c r="Q1357" s="14">
        <f>$C$9</f>
        <v/>
      </c>
      <c r="R1357" s="14">
        <f>_xlfn.LOGNORM.INV($AF1357,LN($C$10)-0.5*LN(1+($D$10/$C$10)^2),SQRT(LN(1+($D$10/$C$10)^2)))</f>
        <v/>
      </c>
      <c r="S1357" s="14">
        <f>SUM(M1357:R1357)</f>
        <v/>
      </c>
      <c r="AA1357">
        <f>RAND()</f>
        <v/>
      </c>
      <c r="AB1357">
        <f>RAND()</f>
        <v/>
      </c>
      <c r="AC1357">
        <f>RAND()</f>
        <v/>
      </c>
      <c r="AD1357">
        <f>RAND()</f>
        <v/>
      </c>
      <c r="AE1357">
        <f>RAND()</f>
        <v/>
      </c>
      <c r="AF1357">
        <f>RAND()</f>
        <v/>
      </c>
    </row>
    <row r="1358">
      <c r="M1358" s="14">
        <f>_xlfn.BETA.INV($AA1358,1+4*($D$5-$C$5)/($E$5-$C$5),1+4*($E$5-$D$5)/($E$5-$C$5),$C$5,$E$5)</f>
        <v/>
      </c>
      <c r="N1358" s="14">
        <f>IF($AB1358&lt;($D$6-$C$6)/($E$6-$C$6),$C$6+SQRT($AB1358*($E$6-$C$6)*($D$6-$C$6)),$E$6-SQRT((1-$AB1358)*($E$6-$C$6)*($E$6-$D$6)))</f>
        <v/>
      </c>
      <c r="O1358" s="14">
        <f>_xlfn.NORM.INV($AC1358,$C$7,$D$7)</f>
        <v/>
      </c>
      <c r="P1358" s="14">
        <f>$C$8+($D$8-$C$8)*$AD1358</f>
        <v/>
      </c>
      <c r="Q1358" s="14">
        <f>$C$9</f>
        <v/>
      </c>
      <c r="R1358" s="14">
        <f>_xlfn.LOGNORM.INV($AF1358,LN($C$10)-0.5*LN(1+($D$10/$C$10)^2),SQRT(LN(1+($D$10/$C$10)^2)))</f>
        <v/>
      </c>
      <c r="S1358" s="14">
        <f>SUM(M1358:R1358)</f>
        <v/>
      </c>
      <c r="AA1358">
        <f>RAND()</f>
        <v/>
      </c>
      <c r="AB1358">
        <f>RAND()</f>
        <v/>
      </c>
      <c r="AC1358">
        <f>RAND()</f>
        <v/>
      </c>
      <c r="AD1358">
        <f>RAND()</f>
        <v/>
      </c>
      <c r="AE1358">
        <f>RAND()</f>
        <v/>
      </c>
      <c r="AF1358">
        <f>RAND()</f>
        <v/>
      </c>
    </row>
    <row r="1359">
      <c r="M1359" s="14">
        <f>_xlfn.BETA.INV($AA1359,1+4*($D$5-$C$5)/($E$5-$C$5),1+4*($E$5-$D$5)/($E$5-$C$5),$C$5,$E$5)</f>
        <v/>
      </c>
      <c r="N1359" s="14">
        <f>IF($AB1359&lt;($D$6-$C$6)/($E$6-$C$6),$C$6+SQRT($AB1359*($E$6-$C$6)*($D$6-$C$6)),$E$6-SQRT((1-$AB1359)*($E$6-$C$6)*($E$6-$D$6)))</f>
        <v/>
      </c>
      <c r="O1359" s="14">
        <f>_xlfn.NORM.INV($AC1359,$C$7,$D$7)</f>
        <v/>
      </c>
      <c r="P1359" s="14">
        <f>$C$8+($D$8-$C$8)*$AD1359</f>
        <v/>
      </c>
      <c r="Q1359" s="14">
        <f>$C$9</f>
        <v/>
      </c>
      <c r="R1359" s="14">
        <f>_xlfn.LOGNORM.INV($AF1359,LN($C$10)-0.5*LN(1+($D$10/$C$10)^2),SQRT(LN(1+($D$10/$C$10)^2)))</f>
        <v/>
      </c>
      <c r="S1359" s="14">
        <f>SUM(M1359:R1359)</f>
        <v/>
      </c>
      <c r="AA1359">
        <f>RAND()</f>
        <v/>
      </c>
      <c r="AB1359">
        <f>RAND()</f>
        <v/>
      </c>
      <c r="AC1359">
        <f>RAND()</f>
        <v/>
      </c>
      <c r="AD1359">
        <f>RAND()</f>
        <v/>
      </c>
      <c r="AE1359">
        <f>RAND()</f>
        <v/>
      </c>
      <c r="AF1359">
        <f>RAND()</f>
        <v/>
      </c>
    </row>
    <row r="1360">
      <c r="M1360" s="14">
        <f>_xlfn.BETA.INV($AA1360,1+4*($D$5-$C$5)/($E$5-$C$5),1+4*($E$5-$D$5)/($E$5-$C$5),$C$5,$E$5)</f>
        <v/>
      </c>
      <c r="N1360" s="14">
        <f>IF($AB1360&lt;($D$6-$C$6)/($E$6-$C$6),$C$6+SQRT($AB1360*($E$6-$C$6)*($D$6-$C$6)),$E$6-SQRT((1-$AB1360)*($E$6-$C$6)*($E$6-$D$6)))</f>
        <v/>
      </c>
      <c r="O1360" s="14">
        <f>_xlfn.NORM.INV($AC1360,$C$7,$D$7)</f>
        <v/>
      </c>
      <c r="P1360" s="14">
        <f>$C$8+($D$8-$C$8)*$AD1360</f>
        <v/>
      </c>
      <c r="Q1360" s="14">
        <f>$C$9</f>
        <v/>
      </c>
      <c r="R1360" s="14">
        <f>_xlfn.LOGNORM.INV($AF1360,LN($C$10)-0.5*LN(1+($D$10/$C$10)^2),SQRT(LN(1+($D$10/$C$10)^2)))</f>
        <v/>
      </c>
      <c r="S1360" s="14">
        <f>SUM(M1360:R1360)</f>
        <v/>
      </c>
      <c r="AA1360">
        <f>RAND()</f>
        <v/>
      </c>
      <c r="AB1360">
        <f>RAND()</f>
        <v/>
      </c>
      <c r="AC1360">
        <f>RAND()</f>
        <v/>
      </c>
      <c r="AD1360">
        <f>RAND()</f>
        <v/>
      </c>
      <c r="AE1360">
        <f>RAND()</f>
        <v/>
      </c>
      <c r="AF1360">
        <f>RAND()</f>
        <v/>
      </c>
    </row>
    <row r="1361">
      <c r="M1361" s="14">
        <f>_xlfn.BETA.INV($AA1361,1+4*($D$5-$C$5)/($E$5-$C$5),1+4*($E$5-$D$5)/($E$5-$C$5),$C$5,$E$5)</f>
        <v/>
      </c>
      <c r="N1361" s="14">
        <f>IF($AB1361&lt;($D$6-$C$6)/($E$6-$C$6),$C$6+SQRT($AB1361*($E$6-$C$6)*($D$6-$C$6)),$E$6-SQRT((1-$AB1361)*($E$6-$C$6)*($E$6-$D$6)))</f>
        <v/>
      </c>
      <c r="O1361" s="14">
        <f>_xlfn.NORM.INV($AC1361,$C$7,$D$7)</f>
        <v/>
      </c>
      <c r="P1361" s="14">
        <f>$C$8+($D$8-$C$8)*$AD1361</f>
        <v/>
      </c>
      <c r="Q1361" s="14">
        <f>$C$9</f>
        <v/>
      </c>
      <c r="R1361" s="14">
        <f>_xlfn.LOGNORM.INV($AF1361,LN($C$10)-0.5*LN(1+($D$10/$C$10)^2),SQRT(LN(1+($D$10/$C$10)^2)))</f>
        <v/>
      </c>
      <c r="S1361" s="14">
        <f>SUM(M1361:R1361)</f>
        <v/>
      </c>
      <c r="AA1361">
        <f>RAND()</f>
        <v/>
      </c>
      <c r="AB1361">
        <f>RAND()</f>
        <v/>
      </c>
      <c r="AC1361">
        <f>RAND()</f>
        <v/>
      </c>
      <c r="AD1361">
        <f>RAND()</f>
        <v/>
      </c>
      <c r="AE1361">
        <f>RAND()</f>
        <v/>
      </c>
      <c r="AF1361">
        <f>RAND()</f>
        <v/>
      </c>
    </row>
    <row r="1362">
      <c r="M1362" s="14">
        <f>_xlfn.BETA.INV($AA1362,1+4*($D$5-$C$5)/($E$5-$C$5),1+4*($E$5-$D$5)/($E$5-$C$5),$C$5,$E$5)</f>
        <v/>
      </c>
      <c r="N1362" s="14">
        <f>IF($AB1362&lt;($D$6-$C$6)/($E$6-$C$6),$C$6+SQRT($AB1362*($E$6-$C$6)*($D$6-$C$6)),$E$6-SQRT((1-$AB1362)*($E$6-$C$6)*($E$6-$D$6)))</f>
        <v/>
      </c>
      <c r="O1362" s="14">
        <f>_xlfn.NORM.INV($AC1362,$C$7,$D$7)</f>
        <v/>
      </c>
      <c r="P1362" s="14">
        <f>$C$8+($D$8-$C$8)*$AD1362</f>
        <v/>
      </c>
      <c r="Q1362" s="14">
        <f>$C$9</f>
        <v/>
      </c>
      <c r="R1362" s="14">
        <f>_xlfn.LOGNORM.INV($AF1362,LN($C$10)-0.5*LN(1+($D$10/$C$10)^2),SQRT(LN(1+($D$10/$C$10)^2)))</f>
        <v/>
      </c>
      <c r="S1362" s="14">
        <f>SUM(M1362:R1362)</f>
        <v/>
      </c>
      <c r="AA1362">
        <f>RAND()</f>
        <v/>
      </c>
      <c r="AB1362">
        <f>RAND()</f>
        <v/>
      </c>
      <c r="AC1362">
        <f>RAND()</f>
        <v/>
      </c>
      <c r="AD1362">
        <f>RAND()</f>
        <v/>
      </c>
      <c r="AE1362">
        <f>RAND()</f>
        <v/>
      </c>
      <c r="AF1362">
        <f>RAND()</f>
        <v/>
      </c>
    </row>
    <row r="1363">
      <c r="M1363" s="14">
        <f>_xlfn.BETA.INV($AA1363,1+4*($D$5-$C$5)/($E$5-$C$5),1+4*($E$5-$D$5)/($E$5-$C$5),$C$5,$E$5)</f>
        <v/>
      </c>
      <c r="N1363" s="14">
        <f>IF($AB1363&lt;($D$6-$C$6)/($E$6-$C$6),$C$6+SQRT($AB1363*($E$6-$C$6)*($D$6-$C$6)),$E$6-SQRT((1-$AB1363)*($E$6-$C$6)*($E$6-$D$6)))</f>
        <v/>
      </c>
      <c r="O1363" s="14">
        <f>_xlfn.NORM.INV($AC1363,$C$7,$D$7)</f>
        <v/>
      </c>
      <c r="P1363" s="14">
        <f>$C$8+($D$8-$C$8)*$AD1363</f>
        <v/>
      </c>
      <c r="Q1363" s="14">
        <f>$C$9</f>
        <v/>
      </c>
      <c r="R1363" s="14">
        <f>_xlfn.LOGNORM.INV($AF1363,LN($C$10)-0.5*LN(1+($D$10/$C$10)^2),SQRT(LN(1+($D$10/$C$10)^2)))</f>
        <v/>
      </c>
      <c r="S1363" s="14">
        <f>SUM(M1363:R1363)</f>
        <v/>
      </c>
      <c r="AA1363">
        <f>RAND()</f>
        <v/>
      </c>
      <c r="AB1363">
        <f>RAND()</f>
        <v/>
      </c>
      <c r="AC1363">
        <f>RAND()</f>
        <v/>
      </c>
      <c r="AD1363">
        <f>RAND()</f>
        <v/>
      </c>
      <c r="AE1363">
        <f>RAND()</f>
        <v/>
      </c>
      <c r="AF1363">
        <f>RAND()</f>
        <v/>
      </c>
    </row>
    <row r="1364">
      <c r="M1364" s="14">
        <f>_xlfn.BETA.INV($AA1364,1+4*($D$5-$C$5)/($E$5-$C$5),1+4*($E$5-$D$5)/($E$5-$C$5),$C$5,$E$5)</f>
        <v/>
      </c>
      <c r="N1364" s="14">
        <f>IF($AB1364&lt;($D$6-$C$6)/($E$6-$C$6),$C$6+SQRT($AB1364*($E$6-$C$6)*($D$6-$C$6)),$E$6-SQRT((1-$AB1364)*($E$6-$C$6)*($E$6-$D$6)))</f>
        <v/>
      </c>
      <c r="O1364" s="14">
        <f>_xlfn.NORM.INV($AC1364,$C$7,$D$7)</f>
        <v/>
      </c>
      <c r="P1364" s="14">
        <f>$C$8+($D$8-$C$8)*$AD1364</f>
        <v/>
      </c>
      <c r="Q1364" s="14">
        <f>$C$9</f>
        <v/>
      </c>
      <c r="R1364" s="14">
        <f>_xlfn.LOGNORM.INV($AF1364,LN($C$10)-0.5*LN(1+($D$10/$C$10)^2),SQRT(LN(1+($D$10/$C$10)^2)))</f>
        <v/>
      </c>
      <c r="S1364" s="14">
        <f>SUM(M1364:R1364)</f>
        <v/>
      </c>
      <c r="AA1364">
        <f>RAND()</f>
        <v/>
      </c>
      <c r="AB1364">
        <f>RAND()</f>
        <v/>
      </c>
      <c r="AC1364">
        <f>RAND()</f>
        <v/>
      </c>
      <c r="AD1364">
        <f>RAND()</f>
        <v/>
      </c>
      <c r="AE1364">
        <f>RAND()</f>
        <v/>
      </c>
      <c r="AF1364">
        <f>RAND()</f>
        <v/>
      </c>
    </row>
    <row r="1365">
      <c r="M1365" s="14">
        <f>_xlfn.BETA.INV($AA1365,1+4*($D$5-$C$5)/($E$5-$C$5),1+4*($E$5-$D$5)/($E$5-$C$5),$C$5,$E$5)</f>
        <v/>
      </c>
      <c r="N1365" s="14">
        <f>IF($AB1365&lt;($D$6-$C$6)/($E$6-$C$6),$C$6+SQRT($AB1365*($E$6-$C$6)*($D$6-$C$6)),$E$6-SQRT((1-$AB1365)*($E$6-$C$6)*($E$6-$D$6)))</f>
        <v/>
      </c>
      <c r="O1365" s="14">
        <f>_xlfn.NORM.INV($AC1365,$C$7,$D$7)</f>
        <v/>
      </c>
      <c r="P1365" s="14">
        <f>$C$8+($D$8-$C$8)*$AD1365</f>
        <v/>
      </c>
      <c r="Q1365" s="14">
        <f>$C$9</f>
        <v/>
      </c>
      <c r="R1365" s="14">
        <f>_xlfn.LOGNORM.INV($AF1365,LN($C$10)-0.5*LN(1+($D$10/$C$10)^2),SQRT(LN(1+($D$10/$C$10)^2)))</f>
        <v/>
      </c>
      <c r="S1365" s="14">
        <f>SUM(M1365:R1365)</f>
        <v/>
      </c>
      <c r="AA1365">
        <f>RAND()</f>
        <v/>
      </c>
      <c r="AB1365">
        <f>RAND()</f>
        <v/>
      </c>
      <c r="AC1365">
        <f>RAND()</f>
        <v/>
      </c>
      <c r="AD1365">
        <f>RAND()</f>
        <v/>
      </c>
      <c r="AE1365">
        <f>RAND()</f>
        <v/>
      </c>
      <c r="AF1365">
        <f>RAND()</f>
        <v/>
      </c>
    </row>
    <row r="1366">
      <c r="M1366" s="14">
        <f>_xlfn.BETA.INV($AA1366,1+4*($D$5-$C$5)/($E$5-$C$5),1+4*($E$5-$D$5)/($E$5-$C$5),$C$5,$E$5)</f>
        <v/>
      </c>
      <c r="N1366" s="14">
        <f>IF($AB1366&lt;($D$6-$C$6)/($E$6-$C$6),$C$6+SQRT($AB1366*($E$6-$C$6)*($D$6-$C$6)),$E$6-SQRT((1-$AB1366)*($E$6-$C$6)*($E$6-$D$6)))</f>
        <v/>
      </c>
      <c r="O1366" s="14">
        <f>_xlfn.NORM.INV($AC1366,$C$7,$D$7)</f>
        <v/>
      </c>
      <c r="P1366" s="14">
        <f>$C$8+($D$8-$C$8)*$AD1366</f>
        <v/>
      </c>
      <c r="Q1366" s="14">
        <f>$C$9</f>
        <v/>
      </c>
      <c r="R1366" s="14">
        <f>_xlfn.LOGNORM.INV($AF1366,LN($C$10)-0.5*LN(1+($D$10/$C$10)^2),SQRT(LN(1+($D$10/$C$10)^2)))</f>
        <v/>
      </c>
      <c r="S1366" s="14">
        <f>SUM(M1366:R1366)</f>
        <v/>
      </c>
      <c r="AA1366">
        <f>RAND()</f>
        <v/>
      </c>
      <c r="AB1366">
        <f>RAND()</f>
        <v/>
      </c>
      <c r="AC1366">
        <f>RAND()</f>
        <v/>
      </c>
      <c r="AD1366">
        <f>RAND()</f>
        <v/>
      </c>
      <c r="AE1366">
        <f>RAND()</f>
        <v/>
      </c>
      <c r="AF1366">
        <f>RAND()</f>
        <v/>
      </c>
    </row>
    <row r="1367">
      <c r="M1367" s="14">
        <f>_xlfn.BETA.INV($AA1367,1+4*($D$5-$C$5)/($E$5-$C$5),1+4*($E$5-$D$5)/($E$5-$C$5),$C$5,$E$5)</f>
        <v/>
      </c>
      <c r="N1367" s="14">
        <f>IF($AB1367&lt;($D$6-$C$6)/($E$6-$C$6),$C$6+SQRT($AB1367*($E$6-$C$6)*($D$6-$C$6)),$E$6-SQRT((1-$AB1367)*($E$6-$C$6)*($E$6-$D$6)))</f>
        <v/>
      </c>
      <c r="O1367" s="14">
        <f>_xlfn.NORM.INV($AC1367,$C$7,$D$7)</f>
        <v/>
      </c>
      <c r="P1367" s="14">
        <f>$C$8+($D$8-$C$8)*$AD1367</f>
        <v/>
      </c>
      <c r="Q1367" s="14">
        <f>$C$9</f>
        <v/>
      </c>
      <c r="R1367" s="14">
        <f>_xlfn.LOGNORM.INV($AF1367,LN($C$10)-0.5*LN(1+($D$10/$C$10)^2),SQRT(LN(1+($D$10/$C$10)^2)))</f>
        <v/>
      </c>
      <c r="S1367" s="14">
        <f>SUM(M1367:R1367)</f>
        <v/>
      </c>
      <c r="AA1367">
        <f>RAND()</f>
        <v/>
      </c>
      <c r="AB1367">
        <f>RAND()</f>
        <v/>
      </c>
      <c r="AC1367">
        <f>RAND()</f>
        <v/>
      </c>
      <c r="AD1367">
        <f>RAND()</f>
        <v/>
      </c>
      <c r="AE1367">
        <f>RAND()</f>
        <v/>
      </c>
      <c r="AF1367">
        <f>RAND()</f>
        <v/>
      </c>
    </row>
    <row r="1368">
      <c r="M1368" s="14">
        <f>_xlfn.BETA.INV($AA1368,1+4*($D$5-$C$5)/($E$5-$C$5),1+4*($E$5-$D$5)/($E$5-$C$5),$C$5,$E$5)</f>
        <v/>
      </c>
      <c r="N1368" s="14">
        <f>IF($AB1368&lt;($D$6-$C$6)/($E$6-$C$6),$C$6+SQRT($AB1368*($E$6-$C$6)*($D$6-$C$6)),$E$6-SQRT((1-$AB1368)*($E$6-$C$6)*($E$6-$D$6)))</f>
        <v/>
      </c>
      <c r="O1368" s="14">
        <f>_xlfn.NORM.INV($AC1368,$C$7,$D$7)</f>
        <v/>
      </c>
      <c r="P1368" s="14">
        <f>$C$8+($D$8-$C$8)*$AD1368</f>
        <v/>
      </c>
      <c r="Q1368" s="14">
        <f>$C$9</f>
        <v/>
      </c>
      <c r="R1368" s="14">
        <f>_xlfn.LOGNORM.INV($AF1368,LN($C$10)-0.5*LN(1+($D$10/$C$10)^2),SQRT(LN(1+($D$10/$C$10)^2)))</f>
        <v/>
      </c>
      <c r="S1368" s="14">
        <f>SUM(M1368:R1368)</f>
        <v/>
      </c>
      <c r="AA1368">
        <f>RAND()</f>
        <v/>
      </c>
      <c r="AB1368">
        <f>RAND()</f>
        <v/>
      </c>
      <c r="AC1368">
        <f>RAND()</f>
        <v/>
      </c>
      <c r="AD1368">
        <f>RAND()</f>
        <v/>
      </c>
      <c r="AE1368">
        <f>RAND()</f>
        <v/>
      </c>
      <c r="AF1368">
        <f>RAND()</f>
        <v/>
      </c>
    </row>
    <row r="1369">
      <c r="M1369" s="14">
        <f>_xlfn.BETA.INV($AA1369,1+4*($D$5-$C$5)/($E$5-$C$5),1+4*($E$5-$D$5)/($E$5-$C$5),$C$5,$E$5)</f>
        <v/>
      </c>
      <c r="N1369" s="14">
        <f>IF($AB1369&lt;($D$6-$C$6)/($E$6-$C$6),$C$6+SQRT($AB1369*($E$6-$C$6)*($D$6-$C$6)),$E$6-SQRT((1-$AB1369)*($E$6-$C$6)*($E$6-$D$6)))</f>
        <v/>
      </c>
      <c r="O1369" s="14">
        <f>_xlfn.NORM.INV($AC1369,$C$7,$D$7)</f>
        <v/>
      </c>
      <c r="P1369" s="14">
        <f>$C$8+($D$8-$C$8)*$AD1369</f>
        <v/>
      </c>
      <c r="Q1369" s="14">
        <f>$C$9</f>
        <v/>
      </c>
      <c r="R1369" s="14">
        <f>_xlfn.LOGNORM.INV($AF1369,LN($C$10)-0.5*LN(1+($D$10/$C$10)^2),SQRT(LN(1+($D$10/$C$10)^2)))</f>
        <v/>
      </c>
      <c r="S1369" s="14">
        <f>SUM(M1369:R1369)</f>
        <v/>
      </c>
      <c r="AA1369">
        <f>RAND()</f>
        <v/>
      </c>
      <c r="AB1369">
        <f>RAND()</f>
        <v/>
      </c>
      <c r="AC1369">
        <f>RAND()</f>
        <v/>
      </c>
      <c r="AD1369">
        <f>RAND()</f>
        <v/>
      </c>
      <c r="AE1369">
        <f>RAND()</f>
        <v/>
      </c>
      <c r="AF1369">
        <f>RAND()</f>
        <v/>
      </c>
    </row>
    <row r="1370">
      <c r="M1370" s="14">
        <f>_xlfn.BETA.INV($AA1370,1+4*($D$5-$C$5)/($E$5-$C$5),1+4*($E$5-$D$5)/($E$5-$C$5),$C$5,$E$5)</f>
        <v/>
      </c>
      <c r="N1370" s="14">
        <f>IF($AB1370&lt;($D$6-$C$6)/($E$6-$C$6),$C$6+SQRT($AB1370*($E$6-$C$6)*($D$6-$C$6)),$E$6-SQRT((1-$AB1370)*($E$6-$C$6)*($E$6-$D$6)))</f>
        <v/>
      </c>
      <c r="O1370" s="14">
        <f>_xlfn.NORM.INV($AC1370,$C$7,$D$7)</f>
        <v/>
      </c>
      <c r="P1370" s="14">
        <f>$C$8+($D$8-$C$8)*$AD1370</f>
        <v/>
      </c>
      <c r="Q1370" s="14">
        <f>$C$9</f>
        <v/>
      </c>
      <c r="R1370" s="14">
        <f>_xlfn.LOGNORM.INV($AF1370,LN($C$10)-0.5*LN(1+($D$10/$C$10)^2),SQRT(LN(1+($D$10/$C$10)^2)))</f>
        <v/>
      </c>
      <c r="S1370" s="14">
        <f>SUM(M1370:R1370)</f>
        <v/>
      </c>
      <c r="AA1370">
        <f>RAND()</f>
        <v/>
      </c>
      <c r="AB1370">
        <f>RAND()</f>
        <v/>
      </c>
      <c r="AC1370">
        <f>RAND()</f>
        <v/>
      </c>
      <c r="AD1370">
        <f>RAND()</f>
        <v/>
      </c>
      <c r="AE1370">
        <f>RAND()</f>
        <v/>
      </c>
      <c r="AF1370">
        <f>RAND()</f>
        <v/>
      </c>
    </row>
    <row r="1371">
      <c r="M1371" s="14">
        <f>_xlfn.BETA.INV($AA1371,1+4*($D$5-$C$5)/($E$5-$C$5),1+4*($E$5-$D$5)/($E$5-$C$5),$C$5,$E$5)</f>
        <v/>
      </c>
      <c r="N1371" s="14">
        <f>IF($AB1371&lt;($D$6-$C$6)/($E$6-$C$6),$C$6+SQRT($AB1371*($E$6-$C$6)*($D$6-$C$6)),$E$6-SQRT((1-$AB1371)*($E$6-$C$6)*($E$6-$D$6)))</f>
        <v/>
      </c>
      <c r="O1371" s="14">
        <f>_xlfn.NORM.INV($AC1371,$C$7,$D$7)</f>
        <v/>
      </c>
      <c r="P1371" s="14">
        <f>$C$8+($D$8-$C$8)*$AD1371</f>
        <v/>
      </c>
      <c r="Q1371" s="14">
        <f>$C$9</f>
        <v/>
      </c>
      <c r="R1371" s="14">
        <f>_xlfn.LOGNORM.INV($AF1371,LN($C$10)-0.5*LN(1+($D$10/$C$10)^2),SQRT(LN(1+($D$10/$C$10)^2)))</f>
        <v/>
      </c>
      <c r="S1371" s="14">
        <f>SUM(M1371:R1371)</f>
        <v/>
      </c>
      <c r="AA1371">
        <f>RAND()</f>
        <v/>
      </c>
      <c r="AB1371">
        <f>RAND()</f>
        <v/>
      </c>
      <c r="AC1371">
        <f>RAND()</f>
        <v/>
      </c>
      <c r="AD1371">
        <f>RAND()</f>
        <v/>
      </c>
      <c r="AE1371">
        <f>RAND()</f>
        <v/>
      </c>
      <c r="AF1371">
        <f>RAND()</f>
        <v/>
      </c>
    </row>
    <row r="1372">
      <c r="M1372" s="14">
        <f>_xlfn.BETA.INV($AA1372,1+4*($D$5-$C$5)/($E$5-$C$5),1+4*($E$5-$D$5)/($E$5-$C$5),$C$5,$E$5)</f>
        <v/>
      </c>
      <c r="N1372" s="14">
        <f>IF($AB1372&lt;($D$6-$C$6)/($E$6-$C$6),$C$6+SQRT($AB1372*($E$6-$C$6)*($D$6-$C$6)),$E$6-SQRT((1-$AB1372)*($E$6-$C$6)*($E$6-$D$6)))</f>
        <v/>
      </c>
      <c r="O1372" s="14">
        <f>_xlfn.NORM.INV($AC1372,$C$7,$D$7)</f>
        <v/>
      </c>
      <c r="P1372" s="14">
        <f>$C$8+($D$8-$C$8)*$AD1372</f>
        <v/>
      </c>
      <c r="Q1372" s="14">
        <f>$C$9</f>
        <v/>
      </c>
      <c r="R1372" s="14">
        <f>_xlfn.LOGNORM.INV($AF1372,LN($C$10)-0.5*LN(1+($D$10/$C$10)^2),SQRT(LN(1+($D$10/$C$10)^2)))</f>
        <v/>
      </c>
      <c r="S1372" s="14">
        <f>SUM(M1372:R1372)</f>
        <v/>
      </c>
      <c r="AA1372">
        <f>RAND()</f>
        <v/>
      </c>
      <c r="AB1372">
        <f>RAND()</f>
        <v/>
      </c>
      <c r="AC1372">
        <f>RAND()</f>
        <v/>
      </c>
      <c r="AD1372">
        <f>RAND()</f>
        <v/>
      </c>
      <c r="AE1372">
        <f>RAND()</f>
        <v/>
      </c>
      <c r="AF1372">
        <f>RAND()</f>
        <v/>
      </c>
    </row>
    <row r="1373">
      <c r="M1373" s="14">
        <f>_xlfn.BETA.INV($AA1373,1+4*($D$5-$C$5)/($E$5-$C$5),1+4*($E$5-$D$5)/($E$5-$C$5),$C$5,$E$5)</f>
        <v/>
      </c>
      <c r="N1373" s="14">
        <f>IF($AB1373&lt;($D$6-$C$6)/($E$6-$C$6),$C$6+SQRT($AB1373*($E$6-$C$6)*($D$6-$C$6)),$E$6-SQRT((1-$AB1373)*($E$6-$C$6)*($E$6-$D$6)))</f>
        <v/>
      </c>
      <c r="O1373" s="14">
        <f>_xlfn.NORM.INV($AC1373,$C$7,$D$7)</f>
        <v/>
      </c>
      <c r="P1373" s="14">
        <f>$C$8+($D$8-$C$8)*$AD1373</f>
        <v/>
      </c>
      <c r="Q1373" s="14">
        <f>$C$9</f>
        <v/>
      </c>
      <c r="R1373" s="14">
        <f>_xlfn.LOGNORM.INV($AF1373,LN($C$10)-0.5*LN(1+($D$10/$C$10)^2),SQRT(LN(1+($D$10/$C$10)^2)))</f>
        <v/>
      </c>
      <c r="S1373" s="14">
        <f>SUM(M1373:R1373)</f>
        <v/>
      </c>
      <c r="AA1373">
        <f>RAND()</f>
        <v/>
      </c>
      <c r="AB1373">
        <f>RAND()</f>
        <v/>
      </c>
      <c r="AC1373">
        <f>RAND()</f>
        <v/>
      </c>
      <c r="AD1373">
        <f>RAND()</f>
        <v/>
      </c>
      <c r="AE1373">
        <f>RAND()</f>
        <v/>
      </c>
      <c r="AF1373">
        <f>RAND()</f>
        <v/>
      </c>
    </row>
    <row r="1374">
      <c r="M1374" s="14">
        <f>_xlfn.BETA.INV($AA1374,1+4*($D$5-$C$5)/($E$5-$C$5),1+4*($E$5-$D$5)/($E$5-$C$5),$C$5,$E$5)</f>
        <v/>
      </c>
      <c r="N1374" s="14">
        <f>IF($AB1374&lt;($D$6-$C$6)/($E$6-$C$6),$C$6+SQRT($AB1374*($E$6-$C$6)*($D$6-$C$6)),$E$6-SQRT((1-$AB1374)*($E$6-$C$6)*($E$6-$D$6)))</f>
        <v/>
      </c>
      <c r="O1374" s="14">
        <f>_xlfn.NORM.INV($AC1374,$C$7,$D$7)</f>
        <v/>
      </c>
      <c r="P1374" s="14">
        <f>$C$8+($D$8-$C$8)*$AD1374</f>
        <v/>
      </c>
      <c r="Q1374" s="14">
        <f>$C$9</f>
        <v/>
      </c>
      <c r="R1374" s="14">
        <f>_xlfn.LOGNORM.INV($AF1374,LN($C$10)-0.5*LN(1+($D$10/$C$10)^2),SQRT(LN(1+($D$10/$C$10)^2)))</f>
        <v/>
      </c>
      <c r="S1374" s="14">
        <f>SUM(M1374:R1374)</f>
        <v/>
      </c>
      <c r="AA1374">
        <f>RAND()</f>
        <v/>
      </c>
      <c r="AB1374">
        <f>RAND()</f>
        <v/>
      </c>
      <c r="AC1374">
        <f>RAND()</f>
        <v/>
      </c>
      <c r="AD1374">
        <f>RAND()</f>
        <v/>
      </c>
      <c r="AE1374">
        <f>RAND()</f>
        <v/>
      </c>
      <c r="AF1374">
        <f>RAND()</f>
        <v/>
      </c>
    </row>
    <row r="1375">
      <c r="M1375" s="14">
        <f>_xlfn.BETA.INV($AA1375,1+4*($D$5-$C$5)/($E$5-$C$5),1+4*($E$5-$D$5)/($E$5-$C$5),$C$5,$E$5)</f>
        <v/>
      </c>
      <c r="N1375" s="14">
        <f>IF($AB1375&lt;($D$6-$C$6)/($E$6-$C$6),$C$6+SQRT($AB1375*($E$6-$C$6)*($D$6-$C$6)),$E$6-SQRT((1-$AB1375)*($E$6-$C$6)*($E$6-$D$6)))</f>
        <v/>
      </c>
      <c r="O1375" s="14">
        <f>_xlfn.NORM.INV($AC1375,$C$7,$D$7)</f>
        <v/>
      </c>
      <c r="P1375" s="14">
        <f>$C$8+($D$8-$C$8)*$AD1375</f>
        <v/>
      </c>
      <c r="Q1375" s="14">
        <f>$C$9</f>
        <v/>
      </c>
      <c r="R1375" s="14">
        <f>_xlfn.LOGNORM.INV($AF1375,LN($C$10)-0.5*LN(1+($D$10/$C$10)^2),SQRT(LN(1+($D$10/$C$10)^2)))</f>
        <v/>
      </c>
      <c r="S1375" s="14">
        <f>SUM(M1375:R1375)</f>
        <v/>
      </c>
      <c r="AA1375">
        <f>RAND()</f>
        <v/>
      </c>
      <c r="AB1375">
        <f>RAND()</f>
        <v/>
      </c>
      <c r="AC1375">
        <f>RAND()</f>
        <v/>
      </c>
      <c r="AD1375">
        <f>RAND()</f>
        <v/>
      </c>
      <c r="AE1375">
        <f>RAND()</f>
        <v/>
      </c>
      <c r="AF1375">
        <f>RAND()</f>
        <v/>
      </c>
    </row>
    <row r="1376">
      <c r="M1376" s="14">
        <f>_xlfn.BETA.INV($AA1376,1+4*($D$5-$C$5)/($E$5-$C$5),1+4*($E$5-$D$5)/($E$5-$C$5),$C$5,$E$5)</f>
        <v/>
      </c>
      <c r="N1376" s="14">
        <f>IF($AB1376&lt;($D$6-$C$6)/($E$6-$C$6),$C$6+SQRT($AB1376*($E$6-$C$6)*($D$6-$C$6)),$E$6-SQRT((1-$AB1376)*($E$6-$C$6)*($E$6-$D$6)))</f>
        <v/>
      </c>
      <c r="O1376" s="14">
        <f>_xlfn.NORM.INV($AC1376,$C$7,$D$7)</f>
        <v/>
      </c>
      <c r="P1376" s="14">
        <f>$C$8+($D$8-$C$8)*$AD1376</f>
        <v/>
      </c>
      <c r="Q1376" s="14">
        <f>$C$9</f>
        <v/>
      </c>
      <c r="R1376" s="14">
        <f>_xlfn.LOGNORM.INV($AF1376,LN($C$10)-0.5*LN(1+($D$10/$C$10)^2),SQRT(LN(1+($D$10/$C$10)^2)))</f>
        <v/>
      </c>
      <c r="S1376" s="14">
        <f>SUM(M1376:R1376)</f>
        <v/>
      </c>
      <c r="AA1376">
        <f>RAND()</f>
        <v/>
      </c>
      <c r="AB1376">
        <f>RAND()</f>
        <v/>
      </c>
      <c r="AC1376">
        <f>RAND()</f>
        <v/>
      </c>
      <c r="AD1376">
        <f>RAND()</f>
        <v/>
      </c>
      <c r="AE1376">
        <f>RAND()</f>
        <v/>
      </c>
      <c r="AF1376">
        <f>RAND()</f>
        <v/>
      </c>
    </row>
    <row r="1377">
      <c r="M1377" s="14">
        <f>_xlfn.BETA.INV($AA1377,1+4*($D$5-$C$5)/($E$5-$C$5),1+4*($E$5-$D$5)/($E$5-$C$5),$C$5,$E$5)</f>
        <v/>
      </c>
      <c r="N1377" s="14">
        <f>IF($AB1377&lt;($D$6-$C$6)/($E$6-$C$6),$C$6+SQRT($AB1377*($E$6-$C$6)*($D$6-$C$6)),$E$6-SQRT((1-$AB1377)*($E$6-$C$6)*($E$6-$D$6)))</f>
        <v/>
      </c>
      <c r="O1377" s="14">
        <f>_xlfn.NORM.INV($AC1377,$C$7,$D$7)</f>
        <v/>
      </c>
      <c r="P1377" s="14">
        <f>$C$8+($D$8-$C$8)*$AD1377</f>
        <v/>
      </c>
      <c r="Q1377" s="14">
        <f>$C$9</f>
        <v/>
      </c>
      <c r="R1377" s="14">
        <f>_xlfn.LOGNORM.INV($AF1377,LN($C$10)-0.5*LN(1+($D$10/$C$10)^2),SQRT(LN(1+($D$10/$C$10)^2)))</f>
        <v/>
      </c>
      <c r="S1377" s="14">
        <f>SUM(M1377:R1377)</f>
        <v/>
      </c>
      <c r="AA1377">
        <f>RAND()</f>
        <v/>
      </c>
      <c r="AB1377">
        <f>RAND()</f>
        <v/>
      </c>
      <c r="AC1377">
        <f>RAND()</f>
        <v/>
      </c>
      <c r="AD1377">
        <f>RAND()</f>
        <v/>
      </c>
      <c r="AE1377">
        <f>RAND()</f>
        <v/>
      </c>
      <c r="AF1377">
        <f>RAND()</f>
        <v/>
      </c>
    </row>
    <row r="1378">
      <c r="M1378" s="14">
        <f>_xlfn.BETA.INV($AA1378,1+4*($D$5-$C$5)/($E$5-$C$5),1+4*($E$5-$D$5)/($E$5-$C$5),$C$5,$E$5)</f>
        <v/>
      </c>
      <c r="N1378" s="14">
        <f>IF($AB1378&lt;($D$6-$C$6)/($E$6-$C$6),$C$6+SQRT($AB1378*($E$6-$C$6)*($D$6-$C$6)),$E$6-SQRT((1-$AB1378)*($E$6-$C$6)*($E$6-$D$6)))</f>
        <v/>
      </c>
      <c r="O1378" s="14">
        <f>_xlfn.NORM.INV($AC1378,$C$7,$D$7)</f>
        <v/>
      </c>
      <c r="P1378" s="14">
        <f>$C$8+($D$8-$C$8)*$AD1378</f>
        <v/>
      </c>
      <c r="Q1378" s="14">
        <f>$C$9</f>
        <v/>
      </c>
      <c r="R1378" s="14">
        <f>_xlfn.LOGNORM.INV($AF1378,LN($C$10)-0.5*LN(1+($D$10/$C$10)^2),SQRT(LN(1+($D$10/$C$10)^2)))</f>
        <v/>
      </c>
      <c r="S1378" s="14">
        <f>SUM(M1378:R1378)</f>
        <v/>
      </c>
      <c r="AA1378">
        <f>RAND()</f>
        <v/>
      </c>
      <c r="AB1378">
        <f>RAND()</f>
        <v/>
      </c>
      <c r="AC1378">
        <f>RAND()</f>
        <v/>
      </c>
      <c r="AD1378">
        <f>RAND()</f>
        <v/>
      </c>
      <c r="AE1378">
        <f>RAND()</f>
        <v/>
      </c>
      <c r="AF1378">
        <f>RAND()</f>
        <v/>
      </c>
    </row>
    <row r="1379">
      <c r="M1379" s="14">
        <f>_xlfn.BETA.INV($AA1379,1+4*($D$5-$C$5)/($E$5-$C$5),1+4*($E$5-$D$5)/($E$5-$C$5),$C$5,$E$5)</f>
        <v/>
      </c>
      <c r="N1379" s="14">
        <f>IF($AB1379&lt;($D$6-$C$6)/($E$6-$C$6),$C$6+SQRT($AB1379*($E$6-$C$6)*($D$6-$C$6)),$E$6-SQRT((1-$AB1379)*($E$6-$C$6)*($E$6-$D$6)))</f>
        <v/>
      </c>
      <c r="O1379" s="14">
        <f>_xlfn.NORM.INV($AC1379,$C$7,$D$7)</f>
        <v/>
      </c>
      <c r="P1379" s="14">
        <f>$C$8+($D$8-$C$8)*$AD1379</f>
        <v/>
      </c>
      <c r="Q1379" s="14">
        <f>$C$9</f>
        <v/>
      </c>
      <c r="R1379" s="14">
        <f>_xlfn.LOGNORM.INV($AF1379,LN($C$10)-0.5*LN(1+($D$10/$C$10)^2),SQRT(LN(1+($D$10/$C$10)^2)))</f>
        <v/>
      </c>
      <c r="S1379" s="14">
        <f>SUM(M1379:R1379)</f>
        <v/>
      </c>
      <c r="AA1379">
        <f>RAND()</f>
        <v/>
      </c>
      <c r="AB1379">
        <f>RAND()</f>
        <v/>
      </c>
      <c r="AC1379">
        <f>RAND()</f>
        <v/>
      </c>
      <c r="AD1379">
        <f>RAND()</f>
        <v/>
      </c>
      <c r="AE1379">
        <f>RAND()</f>
        <v/>
      </c>
      <c r="AF1379">
        <f>RAND()</f>
        <v/>
      </c>
    </row>
    <row r="1380">
      <c r="M1380" s="14">
        <f>_xlfn.BETA.INV($AA1380,1+4*($D$5-$C$5)/($E$5-$C$5),1+4*($E$5-$D$5)/($E$5-$C$5),$C$5,$E$5)</f>
        <v/>
      </c>
      <c r="N1380" s="14">
        <f>IF($AB1380&lt;($D$6-$C$6)/($E$6-$C$6),$C$6+SQRT($AB1380*($E$6-$C$6)*($D$6-$C$6)),$E$6-SQRT((1-$AB1380)*($E$6-$C$6)*($E$6-$D$6)))</f>
        <v/>
      </c>
      <c r="O1380" s="14">
        <f>_xlfn.NORM.INV($AC1380,$C$7,$D$7)</f>
        <v/>
      </c>
      <c r="P1380" s="14">
        <f>$C$8+($D$8-$C$8)*$AD1380</f>
        <v/>
      </c>
      <c r="Q1380" s="14">
        <f>$C$9</f>
        <v/>
      </c>
      <c r="R1380" s="14">
        <f>_xlfn.LOGNORM.INV($AF1380,LN($C$10)-0.5*LN(1+($D$10/$C$10)^2),SQRT(LN(1+($D$10/$C$10)^2)))</f>
        <v/>
      </c>
      <c r="S1380" s="14">
        <f>SUM(M1380:R1380)</f>
        <v/>
      </c>
      <c r="AA1380">
        <f>RAND()</f>
        <v/>
      </c>
      <c r="AB1380">
        <f>RAND()</f>
        <v/>
      </c>
      <c r="AC1380">
        <f>RAND()</f>
        <v/>
      </c>
      <c r="AD1380">
        <f>RAND()</f>
        <v/>
      </c>
      <c r="AE1380">
        <f>RAND()</f>
        <v/>
      </c>
      <c r="AF1380">
        <f>RAND()</f>
        <v/>
      </c>
    </row>
    <row r="1381">
      <c r="M1381" s="14">
        <f>_xlfn.BETA.INV($AA1381,1+4*($D$5-$C$5)/($E$5-$C$5),1+4*($E$5-$D$5)/($E$5-$C$5),$C$5,$E$5)</f>
        <v/>
      </c>
      <c r="N1381" s="14">
        <f>IF($AB1381&lt;($D$6-$C$6)/($E$6-$C$6),$C$6+SQRT($AB1381*($E$6-$C$6)*($D$6-$C$6)),$E$6-SQRT((1-$AB1381)*($E$6-$C$6)*($E$6-$D$6)))</f>
        <v/>
      </c>
      <c r="O1381" s="14">
        <f>_xlfn.NORM.INV($AC1381,$C$7,$D$7)</f>
        <v/>
      </c>
      <c r="P1381" s="14">
        <f>$C$8+($D$8-$C$8)*$AD1381</f>
        <v/>
      </c>
      <c r="Q1381" s="14">
        <f>$C$9</f>
        <v/>
      </c>
      <c r="R1381" s="14">
        <f>_xlfn.LOGNORM.INV($AF1381,LN($C$10)-0.5*LN(1+($D$10/$C$10)^2),SQRT(LN(1+($D$10/$C$10)^2)))</f>
        <v/>
      </c>
      <c r="S1381" s="14">
        <f>SUM(M1381:R1381)</f>
        <v/>
      </c>
      <c r="AA1381">
        <f>RAND()</f>
        <v/>
      </c>
      <c r="AB1381">
        <f>RAND()</f>
        <v/>
      </c>
      <c r="AC1381">
        <f>RAND()</f>
        <v/>
      </c>
      <c r="AD1381">
        <f>RAND()</f>
        <v/>
      </c>
      <c r="AE1381">
        <f>RAND()</f>
        <v/>
      </c>
      <c r="AF1381">
        <f>RAND()</f>
        <v/>
      </c>
    </row>
    <row r="1382">
      <c r="M1382" s="14">
        <f>_xlfn.BETA.INV($AA1382,1+4*($D$5-$C$5)/($E$5-$C$5),1+4*($E$5-$D$5)/($E$5-$C$5),$C$5,$E$5)</f>
        <v/>
      </c>
      <c r="N1382" s="14">
        <f>IF($AB1382&lt;($D$6-$C$6)/($E$6-$C$6),$C$6+SQRT($AB1382*($E$6-$C$6)*($D$6-$C$6)),$E$6-SQRT((1-$AB1382)*($E$6-$C$6)*($E$6-$D$6)))</f>
        <v/>
      </c>
      <c r="O1382" s="14">
        <f>_xlfn.NORM.INV($AC1382,$C$7,$D$7)</f>
        <v/>
      </c>
      <c r="P1382" s="14">
        <f>$C$8+($D$8-$C$8)*$AD1382</f>
        <v/>
      </c>
      <c r="Q1382" s="14">
        <f>$C$9</f>
        <v/>
      </c>
      <c r="R1382" s="14">
        <f>_xlfn.LOGNORM.INV($AF1382,LN($C$10)-0.5*LN(1+($D$10/$C$10)^2),SQRT(LN(1+($D$10/$C$10)^2)))</f>
        <v/>
      </c>
      <c r="S1382" s="14">
        <f>SUM(M1382:R1382)</f>
        <v/>
      </c>
      <c r="AA1382">
        <f>RAND()</f>
        <v/>
      </c>
      <c r="AB1382">
        <f>RAND()</f>
        <v/>
      </c>
      <c r="AC1382">
        <f>RAND()</f>
        <v/>
      </c>
      <c r="AD1382">
        <f>RAND()</f>
        <v/>
      </c>
      <c r="AE1382">
        <f>RAND()</f>
        <v/>
      </c>
      <c r="AF1382">
        <f>RAND()</f>
        <v/>
      </c>
    </row>
    <row r="1383">
      <c r="M1383" s="14">
        <f>_xlfn.BETA.INV($AA1383,1+4*($D$5-$C$5)/($E$5-$C$5),1+4*($E$5-$D$5)/($E$5-$C$5),$C$5,$E$5)</f>
        <v/>
      </c>
      <c r="N1383" s="14">
        <f>IF($AB1383&lt;($D$6-$C$6)/($E$6-$C$6),$C$6+SQRT($AB1383*($E$6-$C$6)*($D$6-$C$6)),$E$6-SQRT((1-$AB1383)*($E$6-$C$6)*($E$6-$D$6)))</f>
        <v/>
      </c>
      <c r="O1383" s="14">
        <f>_xlfn.NORM.INV($AC1383,$C$7,$D$7)</f>
        <v/>
      </c>
      <c r="P1383" s="14">
        <f>$C$8+($D$8-$C$8)*$AD1383</f>
        <v/>
      </c>
      <c r="Q1383" s="14">
        <f>$C$9</f>
        <v/>
      </c>
      <c r="R1383" s="14">
        <f>_xlfn.LOGNORM.INV($AF1383,LN($C$10)-0.5*LN(1+($D$10/$C$10)^2),SQRT(LN(1+($D$10/$C$10)^2)))</f>
        <v/>
      </c>
      <c r="S1383" s="14">
        <f>SUM(M1383:R1383)</f>
        <v/>
      </c>
      <c r="AA1383">
        <f>RAND()</f>
        <v/>
      </c>
      <c r="AB1383">
        <f>RAND()</f>
        <v/>
      </c>
      <c r="AC1383">
        <f>RAND()</f>
        <v/>
      </c>
      <c r="AD1383">
        <f>RAND()</f>
        <v/>
      </c>
      <c r="AE1383">
        <f>RAND()</f>
        <v/>
      </c>
      <c r="AF1383">
        <f>RAND()</f>
        <v/>
      </c>
    </row>
    <row r="1384">
      <c r="M1384" s="14">
        <f>_xlfn.BETA.INV($AA1384,1+4*($D$5-$C$5)/($E$5-$C$5),1+4*($E$5-$D$5)/($E$5-$C$5),$C$5,$E$5)</f>
        <v/>
      </c>
      <c r="N1384" s="14">
        <f>IF($AB1384&lt;($D$6-$C$6)/($E$6-$C$6),$C$6+SQRT($AB1384*($E$6-$C$6)*($D$6-$C$6)),$E$6-SQRT((1-$AB1384)*($E$6-$C$6)*($E$6-$D$6)))</f>
        <v/>
      </c>
      <c r="O1384" s="14">
        <f>_xlfn.NORM.INV($AC1384,$C$7,$D$7)</f>
        <v/>
      </c>
      <c r="P1384" s="14">
        <f>$C$8+($D$8-$C$8)*$AD1384</f>
        <v/>
      </c>
      <c r="Q1384" s="14">
        <f>$C$9</f>
        <v/>
      </c>
      <c r="R1384" s="14">
        <f>_xlfn.LOGNORM.INV($AF1384,LN($C$10)-0.5*LN(1+($D$10/$C$10)^2),SQRT(LN(1+($D$10/$C$10)^2)))</f>
        <v/>
      </c>
      <c r="S1384" s="14">
        <f>SUM(M1384:R1384)</f>
        <v/>
      </c>
      <c r="AA1384">
        <f>RAND()</f>
        <v/>
      </c>
      <c r="AB1384">
        <f>RAND()</f>
        <v/>
      </c>
      <c r="AC1384">
        <f>RAND()</f>
        <v/>
      </c>
      <c r="AD1384">
        <f>RAND()</f>
        <v/>
      </c>
      <c r="AE1384">
        <f>RAND()</f>
        <v/>
      </c>
      <c r="AF1384">
        <f>RAND()</f>
        <v/>
      </c>
    </row>
    <row r="1385">
      <c r="M1385" s="14">
        <f>_xlfn.BETA.INV($AA1385,1+4*($D$5-$C$5)/($E$5-$C$5),1+4*($E$5-$D$5)/($E$5-$C$5),$C$5,$E$5)</f>
        <v/>
      </c>
      <c r="N1385" s="14">
        <f>IF($AB1385&lt;($D$6-$C$6)/($E$6-$C$6),$C$6+SQRT($AB1385*($E$6-$C$6)*($D$6-$C$6)),$E$6-SQRT((1-$AB1385)*($E$6-$C$6)*($E$6-$D$6)))</f>
        <v/>
      </c>
      <c r="O1385" s="14">
        <f>_xlfn.NORM.INV($AC1385,$C$7,$D$7)</f>
        <v/>
      </c>
      <c r="P1385" s="14">
        <f>$C$8+($D$8-$C$8)*$AD1385</f>
        <v/>
      </c>
      <c r="Q1385" s="14">
        <f>$C$9</f>
        <v/>
      </c>
      <c r="R1385" s="14">
        <f>_xlfn.LOGNORM.INV($AF1385,LN($C$10)-0.5*LN(1+($D$10/$C$10)^2),SQRT(LN(1+($D$10/$C$10)^2)))</f>
        <v/>
      </c>
      <c r="S1385" s="14">
        <f>SUM(M1385:R1385)</f>
        <v/>
      </c>
      <c r="AA1385">
        <f>RAND()</f>
        <v/>
      </c>
      <c r="AB1385">
        <f>RAND()</f>
        <v/>
      </c>
      <c r="AC1385">
        <f>RAND()</f>
        <v/>
      </c>
      <c r="AD1385">
        <f>RAND()</f>
        <v/>
      </c>
      <c r="AE1385">
        <f>RAND()</f>
        <v/>
      </c>
      <c r="AF1385">
        <f>RAND()</f>
        <v/>
      </c>
    </row>
    <row r="1386">
      <c r="M1386" s="14">
        <f>_xlfn.BETA.INV($AA1386,1+4*($D$5-$C$5)/($E$5-$C$5),1+4*($E$5-$D$5)/($E$5-$C$5),$C$5,$E$5)</f>
        <v/>
      </c>
      <c r="N1386" s="14">
        <f>IF($AB1386&lt;($D$6-$C$6)/($E$6-$C$6),$C$6+SQRT($AB1386*($E$6-$C$6)*($D$6-$C$6)),$E$6-SQRT((1-$AB1386)*($E$6-$C$6)*($E$6-$D$6)))</f>
        <v/>
      </c>
      <c r="O1386" s="14">
        <f>_xlfn.NORM.INV($AC1386,$C$7,$D$7)</f>
        <v/>
      </c>
      <c r="P1386" s="14">
        <f>$C$8+($D$8-$C$8)*$AD1386</f>
        <v/>
      </c>
      <c r="Q1386" s="14">
        <f>$C$9</f>
        <v/>
      </c>
      <c r="R1386" s="14">
        <f>_xlfn.LOGNORM.INV($AF1386,LN($C$10)-0.5*LN(1+($D$10/$C$10)^2),SQRT(LN(1+($D$10/$C$10)^2)))</f>
        <v/>
      </c>
      <c r="S1386" s="14">
        <f>SUM(M1386:R1386)</f>
        <v/>
      </c>
      <c r="AA1386">
        <f>RAND()</f>
        <v/>
      </c>
      <c r="AB1386">
        <f>RAND()</f>
        <v/>
      </c>
      <c r="AC1386">
        <f>RAND()</f>
        <v/>
      </c>
      <c r="AD1386">
        <f>RAND()</f>
        <v/>
      </c>
      <c r="AE1386">
        <f>RAND()</f>
        <v/>
      </c>
      <c r="AF1386">
        <f>RAND()</f>
        <v/>
      </c>
    </row>
    <row r="1387">
      <c r="M1387" s="14">
        <f>_xlfn.BETA.INV($AA1387,1+4*($D$5-$C$5)/($E$5-$C$5),1+4*($E$5-$D$5)/($E$5-$C$5),$C$5,$E$5)</f>
        <v/>
      </c>
      <c r="N1387" s="14">
        <f>IF($AB1387&lt;($D$6-$C$6)/($E$6-$C$6),$C$6+SQRT($AB1387*($E$6-$C$6)*($D$6-$C$6)),$E$6-SQRT((1-$AB1387)*($E$6-$C$6)*($E$6-$D$6)))</f>
        <v/>
      </c>
      <c r="O1387" s="14">
        <f>_xlfn.NORM.INV($AC1387,$C$7,$D$7)</f>
        <v/>
      </c>
      <c r="P1387" s="14">
        <f>$C$8+($D$8-$C$8)*$AD1387</f>
        <v/>
      </c>
      <c r="Q1387" s="14">
        <f>$C$9</f>
        <v/>
      </c>
      <c r="R1387" s="14">
        <f>_xlfn.LOGNORM.INV($AF1387,LN($C$10)-0.5*LN(1+($D$10/$C$10)^2),SQRT(LN(1+($D$10/$C$10)^2)))</f>
        <v/>
      </c>
      <c r="S1387" s="14">
        <f>SUM(M1387:R1387)</f>
        <v/>
      </c>
      <c r="AA1387">
        <f>RAND()</f>
        <v/>
      </c>
      <c r="AB1387">
        <f>RAND()</f>
        <v/>
      </c>
      <c r="AC1387">
        <f>RAND()</f>
        <v/>
      </c>
      <c r="AD1387">
        <f>RAND()</f>
        <v/>
      </c>
      <c r="AE1387">
        <f>RAND()</f>
        <v/>
      </c>
      <c r="AF1387">
        <f>RAND()</f>
        <v/>
      </c>
    </row>
    <row r="1388">
      <c r="M1388" s="14">
        <f>_xlfn.BETA.INV($AA1388,1+4*($D$5-$C$5)/($E$5-$C$5),1+4*($E$5-$D$5)/($E$5-$C$5),$C$5,$E$5)</f>
        <v/>
      </c>
      <c r="N1388" s="14">
        <f>IF($AB1388&lt;($D$6-$C$6)/($E$6-$C$6),$C$6+SQRT($AB1388*($E$6-$C$6)*($D$6-$C$6)),$E$6-SQRT((1-$AB1388)*($E$6-$C$6)*($E$6-$D$6)))</f>
        <v/>
      </c>
      <c r="O1388" s="14">
        <f>_xlfn.NORM.INV($AC1388,$C$7,$D$7)</f>
        <v/>
      </c>
      <c r="P1388" s="14">
        <f>$C$8+($D$8-$C$8)*$AD1388</f>
        <v/>
      </c>
      <c r="Q1388" s="14">
        <f>$C$9</f>
        <v/>
      </c>
      <c r="R1388" s="14">
        <f>_xlfn.LOGNORM.INV($AF1388,LN($C$10)-0.5*LN(1+($D$10/$C$10)^2),SQRT(LN(1+($D$10/$C$10)^2)))</f>
        <v/>
      </c>
      <c r="S1388" s="14">
        <f>SUM(M1388:R1388)</f>
        <v/>
      </c>
      <c r="AA1388">
        <f>RAND()</f>
        <v/>
      </c>
      <c r="AB1388">
        <f>RAND()</f>
        <v/>
      </c>
      <c r="AC1388">
        <f>RAND()</f>
        <v/>
      </c>
      <c r="AD1388">
        <f>RAND()</f>
        <v/>
      </c>
      <c r="AE1388">
        <f>RAND()</f>
        <v/>
      </c>
      <c r="AF1388">
        <f>RAND()</f>
        <v/>
      </c>
    </row>
    <row r="1389">
      <c r="M1389" s="14">
        <f>_xlfn.BETA.INV($AA1389,1+4*($D$5-$C$5)/($E$5-$C$5),1+4*($E$5-$D$5)/($E$5-$C$5),$C$5,$E$5)</f>
        <v/>
      </c>
      <c r="N1389" s="14">
        <f>IF($AB1389&lt;($D$6-$C$6)/($E$6-$C$6),$C$6+SQRT($AB1389*($E$6-$C$6)*($D$6-$C$6)),$E$6-SQRT((1-$AB1389)*($E$6-$C$6)*($E$6-$D$6)))</f>
        <v/>
      </c>
      <c r="O1389" s="14">
        <f>_xlfn.NORM.INV($AC1389,$C$7,$D$7)</f>
        <v/>
      </c>
      <c r="P1389" s="14">
        <f>$C$8+($D$8-$C$8)*$AD1389</f>
        <v/>
      </c>
      <c r="Q1389" s="14">
        <f>$C$9</f>
        <v/>
      </c>
      <c r="R1389" s="14">
        <f>_xlfn.LOGNORM.INV($AF1389,LN($C$10)-0.5*LN(1+($D$10/$C$10)^2),SQRT(LN(1+($D$10/$C$10)^2)))</f>
        <v/>
      </c>
      <c r="S1389" s="14">
        <f>SUM(M1389:R1389)</f>
        <v/>
      </c>
      <c r="AA1389">
        <f>RAND()</f>
        <v/>
      </c>
      <c r="AB1389">
        <f>RAND()</f>
        <v/>
      </c>
      <c r="AC1389">
        <f>RAND()</f>
        <v/>
      </c>
      <c r="AD1389">
        <f>RAND()</f>
        <v/>
      </c>
      <c r="AE1389">
        <f>RAND()</f>
        <v/>
      </c>
      <c r="AF1389">
        <f>RAND()</f>
        <v/>
      </c>
    </row>
    <row r="1390">
      <c r="M1390" s="14">
        <f>_xlfn.BETA.INV($AA1390,1+4*($D$5-$C$5)/($E$5-$C$5),1+4*($E$5-$D$5)/($E$5-$C$5),$C$5,$E$5)</f>
        <v/>
      </c>
      <c r="N1390" s="14">
        <f>IF($AB1390&lt;($D$6-$C$6)/($E$6-$C$6),$C$6+SQRT($AB1390*($E$6-$C$6)*($D$6-$C$6)),$E$6-SQRT((1-$AB1390)*($E$6-$C$6)*($E$6-$D$6)))</f>
        <v/>
      </c>
      <c r="O1390" s="14">
        <f>_xlfn.NORM.INV($AC1390,$C$7,$D$7)</f>
        <v/>
      </c>
      <c r="P1390" s="14">
        <f>$C$8+($D$8-$C$8)*$AD1390</f>
        <v/>
      </c>
      <c r="Q1390" s="14">
        <f>$C$9</f>
        <v/>
      </c>
      <c r="R1390" s="14">
        <f>_xlfn.LOGNORM.INV($AF1390,LN($C$10)-0.5*LN(1+($D$10/$C$10)^2),SQRT(LN(1+($D$10/$C$10)^2)))</f>
        <v/>
      </c>
      <c r="S1390" s="14">
        <f>SUM(M1390:R1390)</f>
        <v/>
      </c>
      <c r="AA1390">
        <f>RAND()</f>
        <v/>
      </c>
      <c r="AB1390">
        <f>RAND()</f>
        <v/>
      </c>
      <c r="AC1390">
        <f>RAND()</f>
        <v/>
      </c>
      <c r="AD1390">
        <f>RAND()</f>
        <v/>
      </c>
      <c r="AE1390">
        <f>RAND()</f>
        <v/>
      </c>
      <c r="AF1390">
        <f>RAND()</f>
        <v/>
      </c>
    </row>
    <row r="1391">
      <c r="M1391" s="14">
        <f>_xlfn.BETA.INV($AA1391,1+4*($D$5-$C$5)/($E$5-$C$5),1+4*($E$5-$D$5)/($E$5-$C$5),$C$5,$E$5)</f>
        <v/>
      </c>
      <c r="N1391" s="14">
        <f>IF($AB1391&lt;($D$6-$C$6)/($E$6-$C$6),$C$6+SQRT($AB1391*($E$6-$C$6)*($D$6-$C$6)),$E$6-SQRT((1-$AB1391)*($E$6-$C$6)*($E$6-$D$6)))</f>
        <v/>
      </c>
      <c r="O1391" s="14">
        <f>_xlfn.NORM.INV($AC1391,$C$7,$D$7)</f>
        <v/>
      </c>
      <c r="P1391" s="14">
        <f>$C$8+($D$8-$C$8)*$AD1391</f>
        <v/>
      </c>
      <c r="Q1391" s="14">
        <f>$C$9</f>
        <v/>
      </c>
      <c r="R1391" s="14">
        <f>_xlfn.LOGNORM.INV($AF1391,LN($C$10)-0.5*LN(1+($D$10/$C$10)^2),SQRT(LN(1+($D$10/$C$10)^2)))</f>
        <v/>
      </c>
      <c r="S1391" s="14">
        <f>SUM(M1391:R1391)</f>
        <v/>
      </c>
      <c r="AA1391">
        <f>RAND()</f>
        <v/>
      </c>
      <c r="AB1391">
        <f>RAND()</f>
        <v/>
      </c>
      <c r="AC1391">
        <f>RAND()</f>
        <v/>
      </c>
      <c r="AD1391">
        <f>RAND()</f>
        <v/>
      </c>
      <c r="AE1391">
        <f>RAND()</f>
        <v/>
      </c>
      <c r="AF1391">
        <f>RAND()</f>
        <v/>
      </c>
    </row>
    <row r="1392">
      <c r="M1392" s="14">
        <f>_xlfn.BETA.INV($AA1392,1+4*($D$5-$C$5)/($E$5-$C$5),1+4*($E$5-$D$5)/($E$5-$C$5),$C$5,$E$5)</f>
        <v/>
      </c>
      <c r="N1392" s="14">
        <f>IF($AB1392&lt;($D$6-$C$6)/($E$6-$C$6),$C$6+SQRT($AB1392*($E$6-$C$6)*($D$6-$C$6)),$E$6-SQRT((1-$AB1392)*($E$6-$C$6)*($E$6-$D$6)))</f>
        <v/>
      </c>
      <c r="O1392" s="14">
        <f>_xlfn.NORM.INV($AC1392,$C$7,$D$7)</f>
        <v/>
      </c>
      <c r="P1392" s="14">
        <f>$C$8+($D$8-$C$8)*$AD1392</f>
        <v/>
      </c>
      <c r="Q1392" s="14">
        <f>$C$9</f>
        <v/>
      </c>
      <c r="R1392" s="14">
        <f>_xlfn.LOGNORM.INV($AF1392,LN($C$10)-0.5*LN(1+($D$10/$C$10)^2),SQRT(LN(1+($D$10/$C$10)^2)))</f>
        <v/>
      </c>
      <c r="S1392" s="14">
        <f>SUM(M1392:R1392)</f>
        <v/>
      </c>
      <c r="AA1392">
        <f>RAND()</f>
        <v/>
      </c>
      <c r="AB1392">
        <f>RAND()</f>
        <v/>
      </c>
      <c r="AC1392">
        <f>RAND()</f>
        <v/>
      </c>
      <c r="AD1392">
        <f>RAND()</f>
        <v/>
      </c>
      <c r="AE1392">
        <f>RAND()</f>
        <v/>
      </c>
      <c r="AF1392">
        <f>RAND()</f>
        <v/>
      </c>
    </row>
    <row r="1393">
      <c r="M1393" s="14">
        <f>_xlfn.BETA.INV($AA1393,1+4*($D$5-$C$5)/($E$5-$C$5),1+4*($E$5-$D$5)/($E$5-$C$5),$C$5,$E$5)</f>
        <v/>
      </c>
      <c r="N1393" s="14">
        <f>IF($AB1393&lt;($D$6-$C$6)/($E$6-$C$6),$C$6+SQRT($AB1393*($E$6-$C$6)*($D$6-$C$6)),$E$6-SQRT((1-$AB1393)*($E$6-$C$6)*($E$6-$D$6)))</f>
        <v/>
      </c>
      <c r="O1393" s="14">
        <f>_xlfn.NORM.INV($AC1393,$C$7,$D$7)</f>
        <v/>
      </c>
      <c r="P1393" s="14">
        <f>$C$8+($D$8-$C$8)*$AD1393</f>
        <v/>
      </c>
      <c r="Q1393" s="14">
        <f>$C$9</f>
        <v/>
      </c>
      <c r="R1393" s="14">
        <f>_xlfn.LOGNORM.INV($AF1393,LN($C$10)-0.5*LN(1+($D$10/$C$10)^2),SQRT(LN(1+($D$10/$C$10)^2)))</f>
        <v/>
      </c>
      <c r="S1393" s="14">
        <f>SUM(M1393:R1393)</f>
        <v/>
      </c>
      <c r="AA1393">
        <f>RAND()</f>
        <v/>
      </c>
      <c r="AB1393">
        <f>RAND()</f>
        <v/>
      </c>
      <c r="AC1393">
        <f>RAND()</f>
        <v/>
      </c>
      <c r="AD1393">
        <f>RAND()</f>
        <v/>
      </c>
      <c r="AE1393">
        <f>RAND()</f>
        <v/>
      </c>
      <c r="AF1393">
        <f>RAND()</f>
        <v/>
      </c>
    </row>
    <row r="1394">
      <c r="M1394" s="14">
        <f>_xlfn.BETA.INV($AA1394,1+4*($D$5-$C$5)/($E$5-$C$5),1+4*($E$5-$D$5)/($E$5-$C$5),$C$5,$E$5)</f>
        <v/>
      </c>
      <c r="N1394" s="14">
        <f>IF($AB1394&lt;($D$6-$C$6)/($E$6-$C$6),$C$6+SQRT($AB1394*($E$6-$C$6)*($D$6-$C$6)),$E$6-SQRT((1-$AB1394)*($E$6-$C$6)*($E$6-$D$6)))</f>
        <v/>
      </c>
      <c r="O1394" s="14">
        <f>_xlfn.NORM.INV($AC1394,$C$7,$D$7)</f>
        <v/>
      </c>
      <c r="P1394" s="14">
        <f>$C$8+($D$8-$C$8)*$AD1394</f>
        <v/>
      </c>
      <c r="Q1394" s="14">
        <f>$C$9</f>
        <v/>
      </c>
      <c r="R1394" s="14">
        <f>_xlfn.LOGNORM.INV($AF1394,LN($C$10)-0.5*LN(1+($D$10/$C$10)^2),SQRT(LN(1+($D$10/$C$10)^2)))</f>
        <v/>
      </c>
      <c r="S1394" s="14">
        <f>SUM(M1394:R1394)</f>
        <v/>
      </c>
      <c r="AA1394">
        <f>RAND()</f>
        <v/>
      </c>
      <c r="AB1394">
        <f>RAND()</f>
        <v/>
      </c>
      <c r="AC1394">
        <f>RAND()</f>
        <v/>
      </c>
      <c r="AD1394">
        <f>RAND()</f>
        <v/>
      </c>
      <c r="AE1394">
        <f>RAND()</f>
        <v/>
      </c>
      <c r="AF1394">
        <f>RAND()</f>
        <v/>
      </c>
    </row>
    <row r="1395">
      <c r="M1395" s="14">
        <f>_xlfn.BETA.INV($AA1395,1+4*($D$5-$C$5)/($E$5-$C$5),1+4*($E$5-$D$5)/($E$5-$C$5),$C$5,$E$5)</f>
        <v/>
      </c>
      <c r="N1395" s="14">
        <f>IF($AB1395&lt;($D$6-$C$6)/($E$6-$C$6),$C$6+SQRT($AB1395*($E$6-$C$6)*($D$6-$C$6)),$E$6-SQRT((1-$AB1395)*($E$6-$C$6)*($E$6-$D$6)))</f>
        <v/>
      </c>
      <c r="O1395" s="14">
        <f>_xlfn.NORM.INV($AC1395,$C$7,$D$7)</f>
        <v/>
      </c>
      <c r="P1395" s="14">
        <f>$C$8+($D$8-$C$8)*$AD1395</f>
        <v/>
      </c>
      <c r="Q1395" s="14">
        <f>$C$9</f>
        <v/>
      </c>
      <c r="R1395" s="14">
        <f>_xlfn.LOGNORM.INV($AF1395,LN($C$10)-0.5*LN(1+($D$10/$C$10)^2),SQRT(LN(1+($D$10/$C$10)^2)))</f>
        <v/>
      </c>
      <c r="S1395" s="14">
        <f>SUM(M1395:R1395)</f>
        <v/>
      </c>
      <c r="AA1395">
        <f>RAND()</f>
        <v/>
      </c>
      <c r="AB1395">
        <f>RAND()</f>
        <v/>
      </c>
      <c r="AC1395">
        <f>RAND()</f>
        <v/>
      </c>
      <c r="AD1395">
        <f>RAND()</f>
        <v/>
      </c>
      <c r="AE1395">
        <f>RAND()</f>
        <v/>
      </c>
      <c r="AF1395">
        <f>RAND()</f>
        <v/>
      </c>
    </row>
    <row r="1396">
      <c r="M1396" s="14">
        <f>_xlfn.BETA.INV($AA1396,1+4*($D$5-$C$5)/($E$5-$C$5),1+4*($E$5-$D$5)/($E$5-$C$5),$C$5,$E$5)</f>
        <v/>
      </c>
      <c r="N1396" s="14">
        <f>IF($AB1396&lt;($D$6-$C$6)/($E$6-$C$6),$C$6+SQRT($AB1396*($E$6-$C$6)*($D$6-$C$6)),$E$6-SQRT((1-$AB1396)*($E$6-$C$6)*($E$6-$D$6)))</f>
        <v/>
      </c>
      <c r="O1396" s="14">
        <f>_xlfn.NORM.INV($AC1396,$C$7,$D$7)</f>
        <v/>
      </c>
      <c r="P1396" s="14">
        <f>$C$8+($D$8-$C$8)*$AD1396</f>
        <v/>
      </c>
      <c r="Q1396" s="14">
        <f>$C$9</f>
        <v/>
      </c>
      <c r="R1396" s="14">
        <f>_xlfn.LOGNORM.INV($AF1396,LN($C$10)-0.5*LN(1+($D$10/$C$10)^2),SQRT(LN(1+($D$10/$C$10)^2)))</f>
        <v/>
      </c>
      <c r="S1396" s="14">
        <f>SUM(M1396:R1396)</f>
        <v/>
      </c>
      <c r="AA1396">
        <f>RAND()</f>
        <v/>
      </c>
      <c r="AB1396">
        <f>RAND()</f>
        <v/>
      </c>
      <c r="AC1396">
        <f>RAND()</f>
        <v/>
      </c>
      <c r="AD1396">
        <f>RAND()</f>
        <v/>
      </c>
      <c r="AE1396">
        <f>RAND()</f>
        <v/>
      </c>
      <c r="AF1396">
        <f>RAND()</f>
        <v/>
      </c>
    </row>
    <row r="1397">
      <c r="M1397" s="14">
        <f>_xlfn.BETA.INV($AA1397,1+4*($D$5-$C$5)/($E$5-$C$5),1+4*($E$5-$D$5)/($E$5-$C$5),$C$5,$E$5)</f>
        <v/>
      </c>
      <c r="N1397" s="14">
        <f>IF($AB1397&lt;($D$6-$C$6)/($E$6-$C$6),$C$6+SQRT($AB1397*($E$6-$C$6)*($D$6-$C$6)),$E$6-SQRT((1-$AB1397)*($E$6-$C$6)*($E$6-$D$6)))</f>
        <v/>
      </c>
      <c r="O1397" s="14">
        <f>_xlfn.NORM.INV($AC1397,$C$7,$D$7)</f>
        <v/>
      </c>
      <c r="P1397" s="14">
        <f>$C$8+($D$8-$C$8)*$AD1397</f>
        <v/>
      </c>
      <c r="Q1397" s="14">
        <f>$C$9</f>
        <v/>
      </c>
      <c r="R1397" s="14">
        <f>_xlfn.LOGNORM.INV($AF1397,LN($C$10)-0.5*LN(1+($D$10/$C$10)^2),SQRT(LN(1+($D$10/$C$10)^2)))</f>
        <v/>
      </c>
      <c r="S1397" s="14">
        <f>SUM(M1397:R1397)</f>
        <v/>
      </c>
      <c r="AA1397">
        <f>RAND()</f>
        <v/>
      </c>
      <c r="AB1397">
        <f>RAND()</f>
        <v/>
      </c>
      <c r="AC1397">
        <f>RAND()</f>
        <v/>
      </c>
      <c r="AD1397">
        <f>RAND()</f>
        <v/>
      </c>
      <c r="AE1397">
        <f>RAND()</f>
        <v/>
      </c>
      <c r="AF1397">
        <f>RAND()</f>
        <v/>
      </c>
    </row>
    <row r="1398">
      <c r="M1398" s="14">
        <f>_xlfn.BETA.INV($AA1398,1+4*($D$5-$C$5)/($E$5-$C$5),1+4*($E$5-$D$5)/($E$5-$C$5),$C$5,$E$5)</f>
        <v/>
      </c>
      <c r="N1398" s="14">
        <f>IF($AB1398&lt;($D$6-$C$6)/($E$6-$C$6),$C$6+SQRT($AB1398*($E$6-$C$6)*($D$6-$C$6)),$E$6-SQRT((1-$AB1398)*($E$6-$C$6)*($E$6-$D$6)))</f>
        <v/>
      </c>
      <c r="O1398" s="14">
        <f>_xlfn.NORM.INV($AC1398,$C$7,$D$7)</f>
        <v/>
      </c>
      <c r="P1398" s="14">
        <f>$C$8+($D$8-$C$8)*$AD1398</f>
        <v/>
      </c>
      <c r="Q1398" s="14">
        <f>$C$9</f>
        <v/>
      </c>
      <c r="R1398" s="14">
        <f>_xlfn.LOGNORM.INV($AF1398,LN($C$10)-0.5*LN(1+($D$10/$C$10)^2),SQRT(LN(1+($D$10/$C$10)^2)))</f>
        <v/>
      </c>
      <c r="S1398" s="14">
        <f>SUM(M1398:R1398)</f>
        <v/>
      </c>
      <c r="AA1398">
        <f>RAND()</f>
        <v/>
      </c>
      <c r="AB1398">
        <f>RAND()</f>
        <v/>
      </c>
      <c r="AC1398">
        <f>RAND()</f>
        <v/>
      </c>
      <c r="AD1398">
        <f>RAND()</f>
        <v/>
      </c>
      <c r="AE1398">
        <f>RAND()</f>
        <v/>
      </c>
      <c r="AF1398">
        <f>RAND()</f>
        <v/>
      </c>
    </row>
    <row r="1399">
      <c r="M1399" s="14">
        <f>_xlfn.BETA.INV($AA1399,1+4*($D$5-$C$5)/($E$5-$C$5),1+4*($E$5-$D$5)/($E$5-$C$5),$C$5,$E$5)</f>
        <v/>
      </c>
      <c r="N1399" s="14">
        <f>IF($AB1399&lt;($D$6-$C$6)/($E$6-$C$6),$C$6+SQRT($AB1399*($E$6-$C$6)*($D$6-$C$6)),$E$6-SQRT((1-$AB1399)*($E$6-$C$6)*($E$6-$D$6)))</f>
        <v/>
      </c>
      <c r="O1399" s="14">
        <f>_xlfn.NORM.INV($AC1399,$C$7,$D$7)</f>
        <v/>
      </c>
      <c r="P1399" s="14">
        <f>$C$8+($D$8-$C$8)*$AD1399</f>
        <v/>
      </c>
      <c r="Q1399" s="14">
        <f>$C$9</f>
        <v/>
      </c>
      <c r="R1399" s="14">
        <f>_xlfn.LOGNORM.INV($AF1399,LN($C$10)-0.5*LN(1+($D$10/$C$10)^2),SQRT(LN(1+($D$10/$C$10)^2)))</f>
        <v/>
      </c>
      <c r="S1399" s="14">
        <f>SUM(M1399:R1399)</f>
        <v/>
      </c>
      <c r="AA1399">
        <f>RAND()</f>
        <v/>
      </c>
      <c r="AB1399">
        <f>RAND()</f>
        <v/>
      </c>
      <c r="AC1399">
        <f>RAND()</f>
        <v/>
      </c>
      <c r="AD1399">
        <f>RAND()</f>
        <v/>
      </c>
      <c r="AE1399">
        <f>RAND()</f>
        <v/>
      </c>
      <c r="AF1399">
        <f>RAND()</f>
        <v/>
      </c>
    </row>
    <row r="1400">
      <c r="M1400" s="14">
        <f>_xlfn.BETA.INV($AA1400,1+4*($D$5-$C$5)/($E$5-$C$5),1+4*($E$5-$D$5)/($E$5-$C$5),$C$5,$E$5)</f>
        <v/>
      </c>
      <c r="N1400" s="14">
        <f>IF($AB1400&lt;($D$6-$C$6)/($E$6-$C$6),$C$6+SQRT($AB1400*($E$6-$C$6)*($D$6-$C$6)),$E$6-SQRT((1-$AB1400)*($E$6-$C$6)*($E$6-$D$6)))</f>
        <v/>
      </c>
      <c r="O1400" s="14">
        <f>_xlfn.NORM.INV($AC1400,$C$7,$D$7)</f>
        <v/>
      </c>
      <c r="P1400" s="14">
        <f>$C$8+($D$8-$C$8)*$AD1400</f>
        <v/>
      </c>
      <c r="Q1400" s="14">
        <f>$C$9</f>
        <v/>
      </c>
      <c r="R1400" s="14">
        <f>_xlfn.LOGNORM.INV($AF1400,LN($C$10)-0.5*LN(1+($D$10/$C$10)^2),SQRT(LN(1+($D$10/$C$10)^2)))</f>
        <v/>
      </c>
      <c r="S1400" s="14">
        <f>SUM(M1400:R1400)</f>
        <v/>
      </c>
      <c r="AA1400">
        <f>RAND()</f>
        <v/>
      </c>
      <c r="AB1400">
        <f>RAND()</f>
        <v/>
      </c>
      <c r="AC1400">
        <f>RAND()</f>
        <v/>
      </c>
      <c r="AD1400">
        <f>RAND()</f>
        <v/>
      </c>
      <c r="AE1400">
        <f>RAND()</f>
        <v/>
      </c>
      <c r="AF1400">
        <f>RAND()</f>
        <v/>
      </c>
    </row>
    <row r="1401">
      <c r="M1401" s="14">
        <f>_xlfn.BETA.INV($AA1401,1+4*($D$5-$C$5)/($E$5-$C$5),1+4*($E$5-$D$5)/($E$5-$C$5),$C$5,$E$5)</f>
        <v/>
      </c>
      <c r="N1401" s="14">
        <f>IF($AB1401&lt;($D$6-$C$6)/($E$6-$C$6),$C$6+SQRT($AB1401*($E$6-$C$6)*($D$6-$C$6)),$E$6-SQRT((1-$AB1401)*($E$6-$C$6)*($E$6-$D$6)))</f>
        <v/>
      </c>
      <c r="O1401" s="14">
        <f>_xlfn.NORM.INV($AC1401,$C$7,$D$7)</f>
        <v/>
      </c>
      <c r="P1401" s="14">
        <f>$C$8+($D$8-$C$8)*$AD1401</f>
        <v/>
      </c>
      <c r="Q1401" s="14">
        <f>$C$9</f>
        <v/>
      </c>
      <c r="R1401" s="14">
        <f>_xlfn.LOGNORM.INV($AF1401,LN($C$10)-0.5*LN(1+($D$10/$C$10)^2),SQRT(LN(1+($D$10/$C$10)^2)))</f>
        <v/>
      </c>
      <c r="S1401" s="14">
        <f>SUM(M1401:R1401)</f>
        <v/>
      </c>
      <c r="AA1401">
        <f>RAND()</f>
        <v/>
      </c>
      <c r="AB1401">
        <f>RAND()</f>
        <v/>
      </c>
      <c r="AC1401">
        <f>RAND()</f>
        <v/>
      </c>
      <c r="AD1401">
        <f>RAND()</f>
        <v/>
      </c>
      <c r="AE1401">
        <f>RAND()</f>
        <v/>
      </c>
      <c r="AF1401">
        <f>RAND()</f>
        <v/>
      </c>
    </row>
    <row r="1402">
      <c r="M1402" s="14">
        <f>_xlfn.BETA.INV($AA1402,1+4*($D$5-$C$5)/($E$5-$C$5),1+4*($E$5-$D$5)/($E$5-$C$5),$C$5,$E$5)</f>
        <v/>
      </c>
      <c r="N1402" s="14">
        <f>IF($AB1402&lt;($D$6-$C$6)/($E$6-$C$6),$C$6+SQRT($AB1402*($E$6-$C$6)*($D$6-$C$6)),$E$6-SQRT((1-$AB1402)*($E$6-$C$6)*($E$6-$D$6)))</f>
        <v/>
      </c>
      <c r="O1402" s="14">
        <f>_xlfn.NORM.INV($AC1402,$C$7,$D$7)</f>
        <v/>
      </c>
      <c r="P1402" s="14">
        <f>$C$8+($D$8-$C$8)*$AD1402</f>
        <v/>
      </c>
      <c r="Q1402" s="14">
        <f>$C$9</f>
        <v/>
      </c>
      <c r="R1402" s="14">
        <f>_xlfn.LOGNORM.INV($AF1402,LN($C$10)-0.5*LN(1+($D$10/$C$10)^2),SQRT(LN(1+($D$10/$C$10)^2)))</f>
        <v/>
      </c>
      <c r="S1402" s="14">
        <f>SUM(M1402:R1402)</f>
        <v/>
      </c>
      <c r="AA1402">
        <f>RAND()</f>
        <v/>
      </c>
      <c r="AB1402">
        <f>RAND()</f>
        <v/>
      </c>
      <c r="AC1402">
        <f>RAND()</f>
        <v/>
      </c>
      <c r="AD1402">
        <f>RAND()</f>
        <v/>
      </c>
      <c r="AE1402">
        <f>RAND()</f>
        <v/>
      </c>
      <c r="AF1402">
        <f>RAND()</f>
        <v/>
      </c>
    </row>
    <row r="1403">
      <c r="M1403" s="14">
        <f>_xlfn.BETA.INV($AA1403,1+4*($D$5-$C$5)/($E$5-$C$5),1+4*($E$5-$D$5)/($E$5-$C$5),$C$5,$E$5)</f>
        <v/>
      </c>
      <c r="N1403" s="14">
        <f>IF($AB1403&lt;($D$6-$C$6)/($E$6-$C$6),$C$6+SQRT($AB1403*($E$6-$C$6)*($D$6-$C$6)),$E$6-SQRT((1-$AB1403)*($E$6-$C$6)*($E$6-$D$6)))</f>
        <v/>
      </c>
      <c r="O1403" s="14">
        <f>_xlfn.NORM.INV($AC1403,$C$7,$D$7)</f>
        <v/>
      </c>
      <c r="P1403" s="14">
        <f>$C$8+($D$8-$C$8)*$AD1403</f>
        <v/>
      </c>
      <c r="Q1403" s="14">
        <f>$C$9</f>
        <v/>
      </c>
      <c r="R1403" s="14">
        <f>_xlfn.LOGNORM.INV($AF1403,LN($C$10)-0.5*LN(1+($D$10/$C$10)^2),SQRT(LN(1+($D$10/$C$10)^2)))</f>
        <v/>
      </c>
      <c r="S1403" s="14">
        <f>SUM(M1403:R1403)</f>
        <v/>
      </c>
      <c r="AA1403">
        <f>RAND()</f>
        <v/>
      </c>
      <c r="AB1403">
        <f>RAND()</f>
        <v/>
      </c>
      <c r="AC1403">
        <f>RAND()</f>
        <v/>
      </c>
      <c r="AD1403">
        <f>RAND()</f>
        <v/>
      </c>
      <c r="AE1403">
        <f>RAND()</f>
        <v/>
      </c>
      <c r="AF1403">
        <f>RAND()</f>
        <v/>
      </c>
    </row>
    <row r="1404">
      <c r="M1404" s="14">
        <f>_xlfn.BETA.INV($AA1404,1+4*($D$5-$C$5)/($E$5-$C$5),1+4*($E$5-$D$5)/($E$5-$C$5),$C$5,$E$5)</f>
        <v/>
      </c>
      <c r="N1404" s="14">
        <f>IF($AB1404&lt;($D$6-$C$6)/($E$6-$C$6),$C$6+SQRT($AB1404*($E$6-$C$6)*($D$6-$C$6)),$E$6-SQRT((1-$AB1404)*($E$6-$C$6)*($E$6-$D$6)))</f>
        <v/>
      </c>
      <c r="O1404" s="14">
        <f>_xlfn.NORM.INV($AC1404,$C$7,$D$7)</f>
        <v/>
      </c>
      <c r="P1404" s="14">
        <f>$C$8+($D$8-$C$8)*$AD1404</f>
        <v/>
      </c>
      <c r="Q1404" s="14">
        <f>$C$9</f>
        <v/>
      </c>
      <c r="R1404" s="14">
        <f>_xlfn.LOGNORM.INV($AF1404,LN($C$10)-0.5*LN(1+($D$10/$C$10)^2),SQRT(LN(1+($D$10/$C$10)^2)))</f>
        <v/>
      </c>
      <c r="S1404" s="14">
        <f>SUM(M1404:R1404)</f>
        <v/>
      </c>
      <c r="AA1404">
        <f>RAND()</f>
        <v/>
      </c>
      <c r="AB1404">
        <f>RAND()</f>
        <v/>
      </c>
      <c r="AC1404">
        <f>RAND()</f>
        <v/>
      </c>
      <c r="AD1404">
        <f>RAND()</f>
        <v/>
      </c>
      <c r="AE1404">
        <f>RAND()</f>
        <v/>
      </c>
      <c r="AF1404">
        <f>RAND()</f>
        <v/>
      </c>
    </row>
    <row r="1405">
      <c r="M1405" s="14">
        <f>_xlfn.BETA.INV($AA1405,1+4*($D$5-$C$5)/($E$5-$C$5),1+4*($E$5-$D$5)/($E$5-$C$5),$C$5,$E$5)</f>
        <v/>
      </c>
      <c r="N1405" s="14">
        <f>IF($AB1405&lt;($D$6-$C$6)/($E$6-$C$6),$C$6+SQRT($AB1405*($E$6-$C$6)*($D$6-$C$6)),$E$6-SQRT((1-$AB1405)*($E$6-$C$6)*($E$6-$D$6)))</f>
        <v/>
      </c>
      <c r="O1405" s="14">
        <f>_xlfn.NORM.INV($AC1405,$C$7,$D$7)</f>
        <v/>
      </c>
      <c r="P1405" s="14">
        <f>$C$8+($D$8-$C$8)*$AD1405</f>
        <v/>
      </c>
      <c r="Q1405" s="14">
        <f>$C$9</f>
        <v/>
      </c>
      <c r="R1405" s="14">
        <f>_xlfn.LOGNORM.INV($AF1405,LN($C$10)-0.5*LN(1+($D$10/$C$10)^2),SQRT(LN(1+($D$10/$C$10)^2)))</f>
        <v/>
      </c>
      <c r="S1405" s="14">
        <f>SUM(M1405:R1405)</f>
        <v/>
      </c>
      <c r="AA1405">
        <f>RAND()</f>
        <v/>
      </c>
      <c r="AB1405">
        <f>RAND()</f>
        <v/>
      </c>
      <c r="AC1405">
        <f>RAND()</f>
        <v/>
      </c>
      <c r="AD1405">
        <f>RAND()</f>
        <v/>
      </c>
      <c r="AE1405">
        <f>RAND()</f>
        <v/>
      </c>
      <c r="AF1405">
        <f>RAND()</f>
        <v/>
      </c>
    </row>
    <row r="1406">
      <c r="M1406" s="14">
        <f>_xlfn.BETA.INV($AA1406,1+4*($D$5-$C$5)/($E$5-$C$5),1+4*($E$5-$D$5)/($E$5-$C$5),$C$5,$E$5)</f>
        <v/>
      </c>
      <c r="N1406" s="14">
        <f>IF($AB1406&lt;($D$6-$C$6)/($E$6-$C$6),$C$6+SQRT($AB1406*($E$6-$C$6)*($D$6-$C$6)),$E$6-SQRT((1-$AB1406)*($E$6-$C$6)*($E$6-$D$6)))</f>
        <v/>
      </c>
      <c r="O1406" s="14">
        <f>_xlfn.NORM.INV($AC1406,$C$7,$D$7)</f>
        <v/>
      </c>
      <c r="P1406" s="14">
        <f>$C$8+($D$8-$C$8)*$AD1406</f>
        <v/>
      </c>
      <c r="Q1406" s="14">
        <f>$C$9</f>
        <v/>
      </c>
      <c r="R1406" s="14">
        <f>_xlfn.LOGNORM.INV($AF1406,LN($C$10)-0.5*LN(1+($D$10/$C$10)^2),SQRT(LN(1+($D$10/$C$10)^2)))</f>
        <v/>
      </c>
      <c r="S1406" s="14">
        <f>SUM(M1406:R1406)</f>
        <v/>
      </c>
      <c r="AA1406">
        <f>RAND()</f>
        <v/>
      </c>
      <c r="AB1406">
        <f>RAND()</f>
        <v/>
      </c>
      <c r="AC1406">
        <f>RAND()</f>
        <v/>
      </c>
      <c r="AD1406">
        <f>RAND()</f>
        <v/>
      </c>
      <c r="AE1406">
        <f>RAND()</f>
        <v/>
      </c>
      <c r="AF1406">
        <f>RAND()</f>
        <v/>
      </c>
    </row>
    <row r="1407">
      <c r="M1407" s="14">
        <f>_xlfn.BETA.INV($AA1407,1+4*($D$5-$C$5)/($E$5-$C$5),1+4*($E$5-$D$5)/($E$5-$C$5),$C$5,$E$5)</f>
        <v/>
      </c>
      <c r="N1407" s="14">
        <f>IF($AB1407&lt;($D$6-$C$6)/($E$6-$C$6),$C$6+SQRT($AB1407*($E$6-$C$6)*($D$6-$C$6)),$E$6-SQRT((1-$AB1407)*($E$6-$C$6)*($E$6-$D$6)))</f>
        <v/>
      </c>
      <c r="O1407" s="14">
        <f>_xlfn.NORM.INV($AC1407,$C$7,$D$7)</f>
        <v/>
      </c>
      <c r="P1407" s="14">
        <f>$C$8+($D$8-$C$8)*$AD1407</f>
        <v/>
      </c>
      <c r="Q1407" s="14">
        <f>$C$9</f>
        <v/>
      </c>
      <c r="R1407" s="14">
        <f>_xlfn.LOGNORM.INV($AF1407,LN($C$10)-0.5*LN(1+($D$10/$C$10)^2),SQRT(LN(1+($D$10/$C$10)^2)))</f>
        <v/>
      </c>
      <c r="S1407" s="14">
        <f>SUM(M1407:R1407)</f>
        <v/>
      </c>
      <c r="AA1407">
        <f>RAND()</f>
        <v/>
      </c>
      <c r="AB1407">
        <f>RAND()</f>
        <v/>
      </c>
      <c r="AC1407">
        <f>RAND()</f>
        <v/>
      </c>
      <c r="AD1407">
        <f>RAND()</f>
        <v/>
      </c>
      <c r="AE1407">
        <f>RAND()</f>
        <v/>
      </c>
      <c r="AF1407">
        <f>RAND()</f>
        <v/>
      </c>
    </row>
    <row r="1408">
      <c r="M1408" s="14">
        <f>_xlfn.BETA.INV($AA1408,1+4*($D$5-$C$5)/($E$5-$C$5),1+4*($E$5-$D$5)/($E$5-$C$5),$C$5,$E$5)</f>
        <v/>
      </c>
      <c r="N1408" s="14">
        <f>IF($AB1408&lt;($D$6-$C$6)/($E$6-$C$6),$C$6+SQRT($AB1408*($E$6-$C$6)*($D$6-$C$6)),$E$6-SQRT((1-$AB1408)*($E$6-$C$6)*($E$6-$D$6)))</f>
        <v/>
      </c>
      <c r="O1408" s="14">
        <f>_xlfn.NORM.INV($AC1408,$C$7,$D$7)</f>
        <v/>
      </c>
      <c r="P1408" s="14">
        <f>$C$8+($D$8-$C$8)*$AD1408</f>
        <v/>
      </c>
      <c r="Q1408" s="14">
        <f>$C$9</f>
        <v/>
      </c>
      <c r="R1408" s="14">
        <f>_xlfn.LOGNORM.INV($AF1408,LN($C$10)-0.5*LN(1+($D$10/$C$10)^2),SQRT(LN(1+($D$10/$C$10)^2)))</f>
        <v/>
      </c>
      <c r="S1408" s="14">
        <f>SUM(M1408:R1408)</f>
        <v/>
      </c>
      <c r="AA1408">
        <f>RAND()</f>
        <v/>
      </c>
      <c r="AB1408">
        <f>RAND()</f>
        <v/>
      </c>
      <c r="AC1408">
        <f>RAND()</f>
        <v/>
      </c>
      <c r="AD1408">
        <f>RAND()</f>
        <v/>
      </c>
      <c r="AE1408">
        <f>RAND()</f>
        <v/>
      </c>
      <c r="AF1408">
        <f>RAND()</f>
        <v/>
      </c>
    </row>
    <row r="1409">
      <c r="M1409" s="14">
        <f>_xlfn.BETA.INV($AA1409,1+4*($D$5-$C$5)/($E$5-$C$5),1+4*($E$5-$D$5)/($E$5-$C$5),$C$5,$E$5)</f>
        <v/>
      </c>
      <c r="N1409" s="14">
        <f>IF($AB1409&lt;($D$6-$C$6)/($E$6-$C$6),$C$6+SQRT($AB1409*($E$6-$C$6)*($D$6-$C$6)),$E$6-SQRT((1-$AB1409)*($E$6-$C$6)*($E$6-$D$6)))</f>
        <v/>
      </c>
      <c r="O1409" s="14">
        <f>_xlfn.NORM.INV($AC1409,$C$7,$D$7)</f>
        <v/>
      </c>
      <c r="P1409" s="14">
        <f>$C$8+($D$8-$C$8)*$AD1409</f>
        <v/>
      </c>
      <c r="Q1409" s="14">
        <f>$C$9</f>
        <v/>
      </c>
      <c r="R1409" s="14">
        <f>_xlfn.LOGNORM.INV($AF1409,LN($C$10)-0.5*LN(1+($D$10/$C$10)^2),SQRT(LN(1+($D$10/$C$10)^2)))</f>
        <v/>
      </c>
      <c r="S1409" s="14">
        <f>SUM(M1409:R1409)</f>
        <v/>
      </c>
      <c r="AA1409">
        <f>RAND()</f>
        <v/>
      </c>
      <c r="AB1409">
        <f>RAND()</f>
        <v/>
      </c>
      <c r="AC1409">
        <f>RAND()</f>
        <v/>
      </c>
      <c r="AD1409">
        <f>RAND()</f>
        <v/>
      </c>
      <c r="AE1409">
        <f>RAND()</f>
        <v/>
      </c>
      <c r="AF1409">
        <f>RAND()</f>
        <v/>
      </c>
    </row>
    <row r="1410">
      <c r="M1410" s="14">
        <f>_xlfn.BETA.INV($AA1410,1+4*($D$5-$C$5)/($E$5-$C$5),1+4*($E$5-$D$5)/($E$5-$C$5),$C$5,$E$5)</f>
        <v/>
      </c>
      <c r="N1410" s="14">
        <f>IF($AB1410&lt;($D$6-$C$6)/($E$6-$C$6),$C$6+SQRT($AB1410*($E$6-$C$6)*($D$6-$C$6)),$E$6-SQRT((1-$AB1410)*($E$6-$C$6)*($E$6-$D$6)))</f>
        <v/>
      </c>
      <c r="O1410" s="14">
        <f>_xlfn.NORM.INV($AC1410,$C$7,$D$7)</f>
        <v/>
      </c>
      <c r="P1410" s="14">
        <f>$C$8+($D$8-$C$8)*$AD1410</f>
        <v/>
      </c>
      <c r="Q1410" s="14">
        <f>$C$9</f>
        <v/>
      </c>
      <c r="R1410" s="14">
        <f>_xlfn.LOGNORM.INV($AF1410,LN($C$10)-0.5*LN(1+($D$10/$C$10)^2),SQRT(LN(1+($D$10/$C$10)^2)))</f>
        <v/>
      </c>
      <c r="S1410" s="14">
        <f>SUM(M1410:R1410)</f>
        <v/>
      </c>
      <c r="AA1410">
        <f>RAND()</f>
        <v/>
      </c>
      <c r="AB1410">
        <f>RAND()</f>
        <v/>
      </c>
      <c r="AC1410">
        <f>RAND()</f>
        <v/>
      </c>
      <c r="AD1410">
        <f>RAND()</f>
        <v/>
      </c>
      <c r="AE1410">
        <f>RAND()</f>
        <v/>
      </c>
      <c r="AF1410">
        <f>RAND()</f>
        <v/>
      </c>
    </row>
    <row r="1411">
      <c r="M1411" s="14">
        <f>_xlfn.BETA.INV($AA1411,1+4*($D$5-$C$5)/($E$5-$C$5),1+4*($E$5-$D$5)/($E$5-$C$5),$C$5,$E$5)</f>
        <v/>
      </c>
      <c r="N1411" s="14">
        <f>IF($AB1411&lt;($D$6-$C$6)/($E$6-$C$6),$C$6+SQRT($AB1411*($E$6-$C$6)*($D$6-$C$6)),$E$6-SQRT((1-$AB1411)*($E$6-$C$6)*($E$6-$D$6)))</f>
        <v/>
      </c>
      <c r="O1411" s="14">
        <f>_xlfn.NORM.INV($AC1411,$C$7,$D$7)</f>
        <v/>
      </c>
      <c r="P1411" s="14">
        <f>$C$8+($D$8-$C$8)*$AD1411</f>
        <v/>
      </c>
      <c r="Q1411" s="14">
        <f>$C$9</f>
        <v/>
      </c>
      <c r="R1411" s="14">
        <f>_xlfn.LOGNORM.INV($AF1411,LN($C$10)-0.5*LN(1+($D$10/$C$10)^2),SQRT(LN(1+($D$10/$C$10)^2)))</f>
        <v/>
      </c>
      <c r="S1411" s="14">
        <f>SUM(M1411:R1411)</f>
        <v/>
      </c>
      <c r="AA1411">
        <f>RAND()</f>
        <v/>
      </c>
      <c r="AB1411">
        <f>RAND()</f>
        <v/>
      </c>
      <c r="AC1411">
        <f>RAND()</f>
        <v/>
      </c>
      <c r="AD1411">
        <f>RAND()</f>
        <v/>
      </c>
      <c r="AE1411">
        <f>RAND()</f>
        <v/>
      </c>
      <c r="AF1411">
        <f>RAND()</f>
        <v/>
      </c>
    </row>
    <row r="1412">
      <c r="M1412" s="14">
        <f>_xlfn.BETA.INV($AA1412,1+4*($D$5-$C$5)/($E$5-$C$5),1+4*($E$5-$D$5)/($E$5-$C$5),$C$5,$E$5)</f>
        <v/>
      </c>
      <c r="N1412" s="14">
        <f>IF($AB1412&lt;($D$6-$C$6)/($E$6-$C$6),$C$6+SQRT($AB1412*($E$6-$C$6)*($D$6-$C$6)),$E$6-SQRT((1-$AB1412)*($E$6-$C$6)*($E$6-$D$6)))</f>
        <v/>
      </c>
      <c r="O1412" s="14">
        <f>_xlfn.NORM.INV($AC1412,$C$7,$D$7)</f>
        <v/>
      </c>
      <c r="P1412" s="14">
        <f>$C$8+($D$8-$C$8)*$AD1412</f>
        <v/>
      </c>
      <c r="Q1412" s="14">
        <f>$C$9</f>
        <v/>
      </c>
      <c r="R1412" s="14">
        <f>_xlfn.LOGNORM.INV($AF1412,LN($C$10)-0.5*LN(1+($D$10/$C$10)^2),SQRT(LN(1+($D$10/$C$10)^2)))</f>
        <v/>
      </c>
      <c r="S1412" s="14">
        <f>SUM(M1412:R1412)</f>
        <v/>
      </c>
      <c r="AA1412">
        <f>RAND()</f>
        <v/>
      </c>
      <c r="AB1412">
        <f>RAND()</f>
        <v/>
      </c>
      <c r="AC1412">
        <f>RAND()</f>
        <v/>
      </c>
      <c r="AD1412">
        <f>RAND()</f>
        <v/>
      </c>
      <c r="AE1412">
        <f>RAND()</f>
        <v/>
      </c>
      <c r="AF1412">
        <f>RAND()</f>
        <v/>
      </c>
    </row>
    <row r="1413">
      <c r="M1413" s="14">
        <f>_xlfn.BETA.INV($AA1413,1+4*($D$5-$C$5)/($E$5-$C$5),1+4*($E$5-$D$5)/($E$5-$C$5),$C$5,$E$5)</f>
        <v/>
      </c>
      <c r="N1413" s="14">
        <f>IF($AB1413&lt;($D$6-$C$6)/($E$6-$C$6),$C$6+SQRT($AB1413*($E$6-$C$6)*($D$6-$C$6)),$E$6-SQRT((1-$AB1413)*($E$6-$C$6)*($E$6-$D$6)))</f>
        <v/>
      </c>
      <c r="O1413" s="14">
        <f>_xlfn.NORM.INV($AC1413,$C$7,$D$7)</f>
        <v/>
      </c>
      <c r="P1413" s="14">
        <f>$C$8+($D$8-$C$8)*$AD1413</f>
        <v/>
      </c>
      <c r="Q1413" s="14">
        <f>$C$9</f>
        <v/>
      </c>
      <c r="R1413" s="14">
        <f>_xlfn.LOGNORM.INV($AF1413,LN($C$10)-0.5*LN(1+($D$10/$C$10)^2),SQRT(LN(1+($D$10/$C$10)^2)))</f>
        <v/>
      </c>
      <c r="S1413" s="14">
        <f>SUM(M1413:R1413)</f>
        <v/>
      </c>
      <c r="AA1413">
        <f>RAND()</f>
        <v/>
      </c>
      <c r="AB1413">
        <f>RAND()</f>
        <v/>
      </c>
      <c r="AC1413">
        <f>RAND()</f>
        <v/>
      </c>
      <c r="AD1413">
        <f>RAND()</f>
        <v/>
      </c>
      <c r="AE1413">
        <f>RAND()</f>
        <v/>
      </c>
      <c r="AF1413">
        <f>RAND()</f>
        <v/>
      </c>
    </row>
    <row r="1414">
      <c r="M1414" s="14">
        <f>_xlfn.BETA.INV($AA1414,1+4*($D$5-$C$5)/($E$5-$C$5),1+4*($E$5-$D$5)/($E$5-$C$5),$C$5,$E$5)</f>
        <v/>
      </c>
      <c r="N1414" s="14">
        <f>IF($AB1414&lt;($D$6-$C$6)/($E$6-$C$6),$C$6+SQRT($AB1414*($E$6-$C$6)*($D$6-$C$6)),$E$6-SQRT((1-$AB1414)*($E$6-$C$6)*($E$6-$D$6)))</f>
        <v/>
      </c>
      <c r="O1414" s="14">
        <f>_xlfn.NORM.INV($AC1414,$C$7,$D$7)</f>
        <v/>
      </c>
      <c r="P1414" s="14">
        <f>$C$8+($D$8-$C$8)*$AD1414</f>
        <v/>
      </c>
      <c r="Q1414" s="14">
        <f>$C$9</f>
        <v/>
      </c>
      <c r="R1414" s="14">
        <f>_xlfn.LOGNORM.INV($AF1414,LN($C$10)-0.5*LN(1+($D$10/$C$10)^2),SQRT(LN(1+($D$10/$C$10)^2)))</f>
        <v/>
      </c>
      <c r="S1414" s="14">
        <f>SUM(M1414:R1414)</f>
        <v/>
      </c>
      <c r="AA1414">
        <f>RAND()</f>
        <v/>
      </c>
      <c r="AB1414">
        <f>RAND()</f>
        <v/>
      </c>
      <c r="AC1414">
        <f>RAND()</f>
        <v/>
      </c>
      <c r="AD1414">
        <f>RAND()</f>
        <v/>
      </c>
      <c r="AE1414">
        <f>RAND()</f>
        <v/>
      </c>
      <c r="AF1414">
        <f>RAND()</f>
        <v/>
      </c>
    </row>
    <row r="1415">
      <c r="M1415" s="14">
        <f>_xlfn.BETA.INV($AA1415,1+4*($D$5-$C$5)/($E$5-$C$5),1+4*($E$5-$D$5)/($E$5-$C$5),$C$5,$E$5)</f>
        <v/>
      </c>
      <c r="N1415" s="14">
        <f>IF($AB1415&lt;($D$6-$C$6)/($E$6-$C$6),$C$6+SQRT($AB1415*($E$6-$C$6)*($D$6-$C$6)),$E$6-SQRT((1-$AB1415)*($E$6-$C$6)*($E$6-$D$6)))</f>
        <v/>
      </c>
      <c r="O1415" s="14">
        <f>_xlfn.NORM.INV($AC1415,$C$7,$D$7)</f>
        <v/>
      </c>
      <c r="P1415" s="14">
        <f>$C$8+($D$8-$C$8)*$AD1415</f>
        <v/>
      </c>
      <c r="Q1415" s="14">
        <f>$C$9</f>
        <v/>
      </c>
      <c r="R1415" s="14">
        <f>_xlfn.LOGNORM.INV($AF1415,LN($C$10)-0.5*LN(1+($D$10/$C$10)^2),SQRT(LN(1+($D$10/$C$10)^2)))</f>
        <v/>
      </c>
      <c r="S1415" s="14">
        <f>SUM(M1415:R1415)</f>
        <v/>
      </c>
      <c r="AA1415">
        <f>RAND()</f>
        <v/>
      </c>
      <c r="AB1415">
        <f>RAND()</f>
        <v/>
      </c>
      <c r="AC1415">
        <f>RAND()</f>
        <v/>
      </c>
      <c r="AD1415">
        <f>RAND()</f>
        <v/>
      </c>
      <c r="AE1415">
        <f>RAND()</f>
        <v/>
      </c>
      <c r="AF1415">
        <f>RAND()</f>
        <v/>
      </c>
    </row>
    <row r="1416">
      <c r="M1416" s="14">
        <f>_xlfn.BETA.INV($AA1416,1+4*($D$5-$C$5)/($E$5-$C$5),1+4*($E$5-$D$5)/($E$5-$C$5),$C$5,$E$5)</f>
        <v/>
      </c>
      <c r="N1416" s="14">
        <f>IF($AB1416&lt;($D$6-$C$6)/($E$6-$C$6),$C$6+SQRT($AB1416*($E$6-$C$6)*($D$6-$C$6)),$E$6-SQRT((1-$AB1416)*($E$6-$C$6)*($E$6-$D$6)))</f>
        <v/>
      </c>
      <c r="O1416" s="14">
        <f>_xlfn.NORM.INV($AC1416,$C$7,$D$7)</f>
        <v/>
      </c>
      <c r="P1416" s="14">
        <f>$C$8+($D$8-$C$8)*$AD1416</f>
        <v/>
      </c>
      <c r="Q1416" s="14">
        <f>$C$9</f>
        <v/>
      </c>
      <c r="R1416" s="14">
        <f>_xlfn.LOGNORM.INV($AF1416,LN($C$10)-0.5*LN(1+($D$10/$C$10)^2),SQRT(LN(1+($D$10/$C$10)^2)))</f>
        <v/>
      </c>
      <c r="S1416" s="14">
        <f>SUM(M1416:R1416)</f>
        <v/>
      </c>
      <c r="AA1416">
        <f>RAND()</f>
        <v/>
      </c>
      <c r="AB1416">
        <f>RAND()</f>
        <v/>
      </c>
      <c r="AC1416">
        <f>RAND()</f>
        <v/>
      </c>
      <c r="AD1416">
        <f>RAND()</f>
        <v/>
      </c>
      <c r="AE1416">
        <f>RAND()</f>
        <v/>
      </c>
      <c r="AF1416">
        <f>RAND()</f>
        <v/>
      </c>
    </row>
    <row r="1417">
      <c r="M1417" s="14">
        <f>_xlfn.BETA.INV($AA1417,1+4*($D$5-$C$5)/($E$5-$C$5),1+4*($E$5-$D$5)/($E$5-$C$5),$C$5,$E$5)</f>
        <v/>
      </c>
      <c r="N1417" s="14">
        <f>IF($AB1417&lt;($D$6-$C$6)/($E$6-$C$6),$C$6+SQRT($AB1417*($E$6-$C$6)*($D$6-$C$6)),$E$6-SQRT((1-$AB1417)*($E$6-$C$6)*($E$6-$D$6)))</f>
        <v/>
      </c>
      <c r="O1417" s="14">
        <f>_xlfn.NORM.INV($AC1417,$C$7,$D$7)</f>
        <v/>
      </c>
      <c r="P1417" s="14">
        <f>$C$8+($D$8-$C$8)*$AD1417</f>
        <v/>
      </c>
      <c r="Q1417" s="14">
        <f>$C$9</f>
        <v/>
      </c>
      <c r="R1417" s="14">
        <f>_xlfn.LOGNORM.INV($AF1417,LN($C$10)-0.5*LN(1+($D$10/$C$10)^2),SQRT(LN(1+($D$10/$C$10)^2)))</f>
        <v/>
      </c>
      <c r="S1417" s="14">
        <f>SUM(M1417:R1417)</f>
        <v/>
      </c>
      <c r="AA1417">
        <f>RAND()</f>
        <v/>
      </c>
      <c r="AB1417">
        <f>RAND()</f>
        <v/>
      </c>
      <c r="AC1417">
        <f>RAND()</f>
        <v/>
      </c>
      <c r="AD1417">
        <f>RAND()</f>
        <v/>
      </c>
      <c r="AE1417">
        <f>RAND()</f>
        <v/>
      </c>
      <c r="AF1417">
        <f>RAND()</f>
        <v/>
      </c>
    </row>
    <row r="1418">
      <c r="M1418" s="14">
        <f>_xlfn.BETA.INV($AA1418,1+4*($D$5-$C$5)/($E$5-$C$5),1+4*($E$5-$D$5)/($E$5-$C$5),$C$5,$E$5)</f>
        <v/>
      </c>
      <c r="N1418" s="14">
        <f>IF($AB1418&lt;($D$6-$C$6)/($E$6-$C$6),$C$6+SQRT($AB1418*($E$6-$C$6)*($D$6-$C$6)),$E$6-SQRT((1-$AB1418)*($E$6-$C$6)*($E$6-$D$6)))</f>
        <v/>
      </c>
      <c r="O1418" s="14">
        <f>_xlfn.NORM.INV($AC1418,$C$7,$D$7)</f>
        <v/>
      </c>
      <c r="P1418" s="14">
        <f>$C$8+($D$8-$C$8)*$AD1418</f>
        <v/>
      </c>
      <c r="Q1418" s="14">
        <f>$C$9</f>
        <v/>
      </c>
      <c r="R1418" s="14">
        <f>_xlfn.LOGNORM.INV($AF1418,LN($C$10)-0.5*LN(1+($D$10/$C$10)^2),SQRT(LN(1+($D$10/$C$10)^2)))</f>
        <v/>
      </c>
      <c r="S1418" s="14">
        <f>SUM(M1418:R1418)</f>
        <v/>
      </c>
      <c r="AA1418">
        <f>RAND()</f>
        <v/>
      </c>
      <c r="AB1418">
        <f>RAND()</f>
        <v/>
      </c>
      <c r="AC1418">
        <f>RAND()</f>
        <v/>
      </c>
      <c r="AD1418">
        <f>RAND()</f>
        <v/>
      </c>
      <c r="AE1418">
        <f>RAND()</f>
        <v/>
      </c>
      <c r="AF1418">
        <f>RAND()</f>
        <v/>
      </c>
    </row>
    <row r="1419">
      <c r="M1419" s="14">
        <f>_xlfn.BETA.INV($AA1419,1+4*($D$5-$C$5)/($E$5-$C$5),1+4*($E$5-$D$5)/($E$5-$C$5),$C$5,$E$5)</f>
        <v/>
      </c>
      <c r="N1419" s="14">
        <f>IF($AB1419&lt;($D$6-$C$6)/($E$6-$C$6),$C$6+SQRT($AB1419*($E$6-$C$6)*($D$6-$C$6)),$E$6-SQRT((1-$AB1419)*($E$6-$C$6)*($E$6-$D$6)))</f>
        <v/>
      </c>
      <c r="O1419" s="14">
        <f>_xlfn.NORM.INV($AC1419,$C$7,$D$7)</f>
        <v/>
      </c>
      <c r="P1419" s="14">
        <f>$C$8+($D$8-$C$8)*$AD1419</f>
        <v/>
      </c>
      <c r="Q1419" s="14">
        <f>$C$9</f>
        <v/>
      </c>
      <c r="R1419" s="14">
        <f>_xlfn.LOGNORM.INV($AF1419,LN($C$10)-0.5*LN(1+($D$10/$C$10)^2),SQRT(LN(1+($D$10/$C$10)^2)))</f>
        <v/>
      </c>
      <c r="S1419" s="14">
        <f>SUM(M1419:R1419)</f>
        <v/>
      </c>
      <c r="AA1419">
        <f>RAND()</f>
        <v/>
      </c>
      <c r="AB1419">
        <f>RAND()</f>
        <v/>
      </c>
      <c r="AC1419">
        <f>RAND()</f>
        <v/>
      </c>
      <c r="AD1419">
        <f>RAND()</f>
        <v/>
      </c>
      <c r="AE1419">
        <f>RAND()</f>
        <v/>
      </c>
      <c r="AF1419">
        <f>RAND()</f>
        <v/>
      </c>
    </row>
    <row r="1420">
      <c r="M1420" s="14">
        <f>_xlfn.BETA.INV($AA1420,1+4*($D$5-$C$5)/($E$5-$C$5),1+4*($E$5-$D$5)/($E$5-$C$5),$C$5,$E$5)</f>
        <v/>
      </c>
      <c r="N1420" s="14">
        <f>IF($AB1420&lt;($D$6-$C$6)/($E$6-$C$6),$C$6+SQRT($AB1420*($E$6-$C$6)*($D$6-$C$6)),$E$6-SQRT((1-$AB1420)*($E$6-$C$6)*($E$6-$D$6)))</f>
        <v/>
      </c>
      <c r="O1420" s="14">
        <f>_xlfn.NORM.INV($AC1420,$C$7,$D$7)</f>
        <v/>
      </c>
      <c r="P1420" s="14">
        <f>$C$8+($D$8-$C$8)*$AD1420</f>
        <v/>
      </c>
      <c r="Q1420" s="14">
        <f>$C$9</f>
        <v/>
      </c>
      <c r="R1420" s="14">
        <f>_xlfn.LOGNORM.INV($AF1420,LN($C$10)-0.5*LN(1+($D$10/$C$10)^2),SQRT(LN(1+($D$10/$C$10)^2)))</f>
        <v/>
      </c>
      <c r="S1420" s="14">
        <f>SUM(M1420:R1420)</f>
        <v/>
      </c>
      <c r="AA1420">
        <f>RAND()</f>
        <v/>
      </c>
      <c r="AB1420">
        <f>RAND()</f>
        <v/>
      </c>
      <c r="AC1420">
        <f>RAND()</f>
        <v/>
      </c>
      <c r="AD1420">
        <f>RAND()</f>
        <v/>
      </c>
      <c r="AE1420">
        <f>RAND()</f>
        <v/>
      </c>
      <c r="AF1420">
        <f>RAND()</f>
        <v/>
      </c>
    </row>
    <row r="1421">
      <c r="M1421" s="14">
        <f>_xlfn.BETA.INV($AA1421,1+4*($D$5-$C$5)/($E$5-$C$5),1+4*($E$5-$D$5)/($E$5-$C$5),$C$5,$E$5)</f>
        <v/>
      </c>
      <c r="N1421" s="14">
        <f>IF($AB1421&lt;($D$6-$C$6)/($E$6-$C$6),$C$6+SQRT($AB1421*($E$6-$C$6)*($D$6-$C$6)),$E$6-SQRT((1-$AB1421)*($E$6-$C$6)*($E$6-$D$6)))</f>
        <v/>
      </c>
      <c r="O1421" s="14">
        <f>_xlfn.NORM.INV($AC1421,$C$7,$D$7)</f>
        <v/>
      </c>
      <c r="P1421" s="14">
        <f>$C$8+($D$8-$C$8)*$AD1421</f>
        <v/>
      </c>
      <c r="Q1421" s="14">
        <f>$C$9</f>
        <v/>
      </c>
      <c r="R1421" s="14">
        <f>_xlfn.LOGNORM.INV($AF1421,LN($C$10)-0.5*LN(1+($D$10/$C$10)^2),SQRT(LN(1+($D$10/$C$10)^2)))</f>
        <v/>
      </c>
      <c r="S1421" s="14">
        <f>SUM(M1421:R1421)</f>
        <v/>
      </c>
      <c r="AA1421">
        <f>RAND()</f>
        <v/>
      </c>
      <c r="AB1421">
        <f>RAND()</f>
        <v/>
      </c>
      <c r="AC1421">
        <f>RAND()</f>
        <v/>
      </c>
      <c r="AD1421">
        <f>RAND()</f>
        <v/>
      </c>
      <c r="AE1421">
        <f>RAND()</f>
        <v/>
      </c>
      <c r="AF1421">
        <f>RAND()</f>
        <v/>
      </c>
    </row>
    <row r="1422">
      <c r="M1422" s="14">
        <f>_xlfn.BETA.INV($AA1422,1+4*($D$5-$C$5)/($E$5-$C$5),1+4*($E$5-$D$5)/($E$5-$C$5),$C$5,$E$5)</f>
        <v/>
      </c>
      <c r="N1422" s="14">
        <f>IF($AB1422&lt;($D$6-$C$6)/($E$6-$C$6),$C$6+SQRT($AB1422*($E$6-$C$6)*($D$6-$C$6)),$E$6-SQRT((1-$AB1422)*($E$6-$C$6)*($E$6-$D$6)))</f>
        <v/>
      </c>
      <c r="O1422" s="14">
        <f>_xlfn.NORM.INV($AC1422,$C$7,$D$7)</f>
        <v/>
      </c>
      <c r="P1422" s="14">
        <f>$C$8+($D$8-$C$8)*$AD1422</f>
        <v/>
      </c>
      <c r="Q1422" s="14">
        <f>$C$9</f>
        <v/>
      </c>
      <c r="R1422" s="14">
        <f>_xlfn.LOGNORM.INV($AF1422,LN($C$10)-0.5*LN(1+($D$10/$C$10)^2),SQRT(LN(1+($D$10/$C$10)^2)))</f>
        <v/>
      </c>
      <c r="S1422" s="14">
        <f>SUM(M1422:R1422)</f>
        <v/>
      </c>
      <c r="AA1422">
        <f>RAND()</f>
        <v/>
      </c>
      <c r="AB1422">
        <f>RAND()</f>
        <v/>
      </c>
      <c r="AC1422">
        <f>RAND()</f>
        <v/>
      </c>
      <c r="AD1422">
        <f>RAND()</f>
        <v/>
      </c>
      <c r="AE1422">
        <f>RAND()</f>
        <v/>
      </c>
      <c r="AF1422">
        <f>RAND()</f>
        <v/>
      </c>
    </row>
    <row r="1423">
      <c r="M1423" s="14">
        <f>_xlfn.BETA.INV($AA1423,1+4*($D$5-$C$5)/($E$5-$C$5),1+4*($E$5-$D$5)/($E$5-$C$5),$C$5,$E$5)</f>
        <v/>
      </c>
      <c r="N1423" s="14">
        <f>IF($AB1423&lt;($D$6-$C$6)/($E$6-$C$6),$C$6+SQRT($AB1423*($E$6-$C$6)*($D$6-$C$6)),$E$6-SQRT((1-$AB1423)*($E$6-$C$6)*($E$6-$D$6)))</f>
        <v/>
      </c>
      <c r="O1423" s="14">
        <f>_xlfn.NORM.INV($AC1423,$C$7,$D$7)</f>
        <v/>
      </c>
      <c r="P1423" s="14">
        <f>$C$8+($D$8-$C$8)*$AD1423</f>
        <v/>
      </c>
      <c r="Q1423" s="14">
        <f>$C$9</f>
        <v/>
      </c>
      <c r="R1423" s="14">
        <f>_xlfn.LOGNORM.INV($AF1423,LN($C$10)-0.5*LN(1+($D$10/$C$10)^2),SQRT(LN(1+($D$10/$C$10)^2)))</f>
        <v/>
      </c>
      <c r="S1423" s="14">
        <f>SUM(M1423:R1423)</f>
        <v/>
      </c>
      <c r="AA1423">
        <f>RAND()</f>
        <v/>
      </c>
      <c r="AB1423">
        <f>RAND()</f>
        <v/>
      </c>
      <c r="AC1423">
        <f>RAND()</f>
        <v/>
      </c>
      <c r="AD1423">
        <f>RAND()</f>
        <v/>
      </c>
      <c r="AE1423">
        <f>RAND()</f>
        <v/>
      </c>
      <c r="AF1423">
        <f>RAND()</f>
        <v/>
      </c>
    </row>
    <row r="1424">
      <c r="M1424" s="14">
        <f>_xlfn.BETA.INV($AA1424,1+4*($D$5-$C$5)/($E$5-$C$5),1+4*($E$5-$D$5)/($E$5-$C$5),$C$5,$E$5)</f>
        <v/>
      </c>
      <c r="N1424" s="14">
        <f>IF($AB1424&lt;($D$6-$C$6)/($E$6-$C$6),$C$6+SQRT($AB1424*($E$6-$C$6)*($D$6-$C$6)),$E$6-SQRT((1-$AB1424)*($E$6-$C$6)*($E$6-$D$6)))</f>
        <v/>
      </c>
      <c r="O1424" s="14">
        <f>_xlfn.NORM.INV($AC1424,$C$7,$D$7)</f>
        <v/>
      </c>
      <c r="P1424" s="14">
        <f>$C$8+($D$8-$C$8)*$AD1424</f>
        <v/>
      </c>
      <c r="Q1424" s="14">
        <f>$C$9</f>
        <v/>
      </c>
      <c r="R1424" s="14">
        <f>_xlfn.LOGNORM.INV($AF1424,LN($C$10)-0.5*LN(1+($D$10/$C$10)^2),SQRT(LN(1+($D$10/$C$10)^2)))</f>
        <v/>
      </c>
      <c r="S1424" s="14">
        <f>SUM(M1424:R1424)</f>
        <v/>
      </c>
      <c r="AA1424">
        <f>RAND()</f>
        <v/>
      </c>
      <c r="AB1424">
        <f>RAND()</f>
        <v/>
      </c>
      <c r="AC1424">
        <f>RAND()</f>
        <v/>
      </c>
      <c r="AD1424">
        <f>RAND()</f>
        <v/>
      </c>
      <c r="AE1424">
        <f>RAND()</f>
        <v/>
      </c>
      <c r="AF1424">
        <f>RAND()</f>
        <v/>
      </c>
    </row>
    <row r="1425">
      <c r="M1425" s="14">
        <f>_xlfn.BETA.INV($AA1425,1+4*($D$5-$C$5)/($E$5-$C$5),1+4*($E$5-$D$5)/($E$5-$C$5),$C$5,$E$5)</f>
        <v/>
      </c>
      <c r="N1425" s="14">
        <f>IF($AB1425&lt;($D$6-$C$6)/($E$6-$C$6),$C$6+SQRT($AB1425*($E$6-$C$6)*($D$6-$C$6)),$E$6-SQRT((1-$AB1425)*($E$6-$C$6)*($E$6-$D$6)))</f>
        <v/>
      </c>
      <c r="O1425" s="14">
        <f>_xlfn.NORM.INV($AC1425,$C$7,$D$7)</f>
        <v/>
      </c>
      <c r="P1425" s="14">
        <f>$C$8+($D$8-$C$8)*$AD1425</f>
        <v/>
      </c>
      <c r="Q1425" s="14">
        <f>$C$9</f>
        <v/>
      </c>
      <c r="R1425" s="14">
        <f>_xlfn.LOGNORM.INV($AF1425,LN($C$10)-0.5*LN(1+($D$10/$C$10)^2),SQRT(LN(1+($D$10/$C$10)^2)))</f>
        <v/>
      </c>
      <c r="S1425" s="14">
        <f>SUM(M1425:R1425)</f>
        <v/>
      </c>
      <c r="AA1425">
        <f>RAND()</f>
        <v/>
      </c>
      <c r="AB1425">
        <f>RAND()</f>
        <v/>
      </c>
      <c r="AC1425">
        <f>RAND()</f>
        <v/>
      </c>
      <c r="AD1425">
        <f>RAND()</f>
        <v/>
      </c>
      <c r="AE1425">
        <f>RAND()</f>
        <v/>
      </c>
      <c r="AF1425">
        <f>RAND()</f>
        <v/>
      </c>
    </row>
    <row r="1426">
      <c r="M1426" s="14">
        <f>_xlfn.BETA.INV($AA1426,1+4*($D$5-$C$5)/($E$5-$C$5),1+4*($E$5-$D$5)/($E$5-$C$5),$C$5,$E$5)</f>
        <v/>
      </c>
      <c r="N1426" s="14">
        <f>IF($AB1426&lt;($D$6-$C$6)/($E$6-$C$6),$C$6+SQRT($AB1426*($E$6-$C$6)*($D$6-$C$6)),$E$6-SQRT((1-$AB1426)*($E$6-$C$6)*($E$6-$D$6)))</f>
        <v/>
      </c>
      <c r="O1426" s="14">
        <f>_xlfn.NORM.INV($AC1426,$C$7,$D$7)</f>
        <v/>
      </c>
      <c r="P1426" s="14">
        <f>$C$8+($D$8-$C$8)*$AD1426</f>
        <v/>
      </c>
      <c r="Q1426" s="14">
        <f>$C$9</f>
        <v/>
      </c>
      <c r="R1426" s="14">
        <f>_xlfn.LOGNORM.INV($AF1426,LN($C$10)-0.5*LN(1+($D$10/$C$10)^2),SQRT(LN(1+($D$10/$C$10)^2)))</f>
        <v/>
      </c>
      <c r="S1426" s="14">
        <f>SUM(M1426:R1426)</f>
        <v/>
      </c>
      <c r="AA1426">
        <f>RAND()</f>
        <v/>
      </c>
      <c r="AB1426">
        <f>RAND()</f>
        <v/>
      </c>
      <c r="AC1426">
        <f>RAND()</f>
        <v/>
      </c>
      <c r="AD1426">
        <f>RAND()</f>
        <v/>
      </c>
      <c r="AE1426">
        <f>RAND()</f>
        <v/>
      </c>
      <c r="AF1426">
        <f>RAND()</f>
        <v/>
      </c>
    </row>
    <row r="1427">
      <c r="M1427" s="14">
        <f>_xlfn.BETA.INV($AA1427,1+4*($D$5-$C$5)/($E$5-$C$5),1+4*($E$5-$D$5)/($E$5-$C$5),$C$5,$E$5)</f>
        <v/>
      </c>
      <c r="N1427" s="14">
        <f>IF($AB1427&lt;($D$6-$C$6)/($E$6-$C$6),$C$6+SQRT($AB1427*($E$6-$C$6)*($D$6-$C$6)),$E$6-SQRT((1-$AB1427)*($E$6-$C$6)*($E$6-$D$6)))</f>
        <v/>
      </c>
      <c r="O1427" s="14">
        <f>_xlfn.NORM.INV($AC1427,$C$7,$D$7)</f>
        <v/>
      </c>
      <c r="P1427" s="14">
        <f>$C$8+($D$8-$C$8)*$AD1427</f>
        <v/>
      </c>
      <c r="Q1427" s="14">
        <f>$C$9</f>
        <v/>
      </c>
      <c r="R1427" s="14">
        <f>_xlfn.LOGNORM.INV($AF1427,LN($C$10)-0.5*LN(1+($D$10/$C$10)^2),SQRT(LN(1+($D$10/$C$10)^2)))</f>
        <v/>
      </c>
      <c r="S1427" s="14">
        <f>SUM(M1427:R1427)</f>
        <v/>
      </c>
      <c r="AA1427">
        <f>RAND()</f>
        <v/>
      </c>
      <c r="AB1427">
        <f>RAND()</f>
        <v/>
      </c>
      <c r="AC1427">
        <f>RAND()</f>
        <v/>
      </c>
      <c r="AD1427">
        <f>RAND()</f>
        <v/>
      </c>
      <c r="AE1427">
        <f>RAND()</f>
        <v/>
      </c>
      <c r="AF1427">
        <f>RAND()</f>
        <v/>
      </c>
    </row>
    <row r="1428">
      <c r="M1428" s="14">
        <f>_xlfn.BETA.INV($AA1428,1+4*($D$5-$C$5)/($E$5-$C$5),1+4*($E$5-$D$5)/($E$5-$C$5),$C$5,$E$5)</f>
        <v/>
      </c>
      <c r="N1428" s="14">
        <f>IF($AB1428&lt;($D$6-$C$6)/($E$6-$C$6),$C$6+SQRT($AB1428*($E$6-$C$6)*($D$6-$C$6)),$E$6-SQRT((1-$AB1428)*($E$6-$C$6)*($E$6-$D$6)))</f>
        <v/>
      </c>
      <c r="O1428" s="14">
        <f>_xlfn.NORM.INV($AC1428,$C$7,$D$7)</f>
        <v/>
      </c>
      <c r="P1428" s="14">
        <f>$C$8+($D$8-$C$8)*$AD1428</f>
        <v/>
      </c>
      <c r="Q1428" s="14">
        <f>$C$9</f>
        <v/>
      </c>
      <c r="R1428" s="14">
        <f>_xlfn.LOGNORM.INV($AF1428,LN($C$10)-0.5*LN(1+($D$10/$C$10)^2),SQRT(LN(1+($D$10/$C$10)^2)))</f>
        <v/>
      </c>
      <c r="S1428" s="14">
        <f>SUM(M1428:R1428)</f>
        <v/>
      </c>
      <c r="AA1428">
        <f>RAND()</f>
        <v/>
      </c>
      <c r="AB1428">
        <f>RAND()</f>
        <v/>
      </c>
      <c r="AC1428">
        <f>RAND()</f>
        <v/>
      </c>
      <c r="AD1428">
        <f>RAND()</f>
        <v/>
      </c>
      <c r="AE1428">
        <f>RAND()</f>
        <v/>
      </c>
      <c r="AF1428">
        <f>RAND()</f>
        <v/>
      </c>
    </row>
    <row r="1429">
      <c r="M1429" s="14">
        <f>_xlfn.BETA.INV($AA1429,1+4*($D$5-$C$5)/($E$5-$C$5),1+4*($E$5-$D$5)/($E$5-$C$5),$C$5,$E$5)</f>
        <v/>
      </c>
      <c r="N1429" s="14">
        <f>IF($AB1429&lt;($D$6-$C$6)/($E$6-$C$6),$C$6+SQRT($AB1429*($E$6-$C$6)*($D$6-$C$6)),$E$6-SQRT((1-$AB1429)*($E$6-$C$6)*($E$6-$D$6)))</f>
        <v/>
      </c>
      <c r="O1429" s="14">
        <f>_xlfn.NORM.INV($AC1429,$C$7,$D$7)</f>
        <v/>
      </c>
      <c r="P1429" s="14">
        <f>$C$8+($D$8-$C$8)*$AD1429</f>
        <v/>
      </c>
      <c r="Q1429" s="14">
        <f>$C$9</f>
        <v/>
      </c>
      <c r="R1429" s="14">
        <f>_xlfn.LOGNORM.INV($AF1429,LN($C$10)-0.5*LN(1+($D$10/$C$10)^2),SQRT(LN(1+($D$10/$C$10)^2)))</f>
        <v/>
      </c>
      <c r="S1429" s="14">
        <f>SUM(M1429:R1429)</f>
        <v/>
      </c>
      <c r="AA1429">
        <f>RAND()</f>
        <v/>
      </c>
      <c r="AB1429">
        <f>RAND()</f>
        <v/>
      </c>
      <c r="AC1429">
        <f>RAND()</f>
        <v/>
      </c>
      <c r="AD1429">
        <f>RAND()</f>
        <v/>
      </c>
      <c r="AE1429">
        <f>RAND()</f>
        <v/>
      </c>
      <c r="AF1429">
        <f>RAND()</f>
        <v/>
      </c>
    </row>
    <row r="1430">
      <c r="M1430" s="14">
        <f>_xlfn.BETA.INV($AA1430,1+4*($D$5-$C$5)/($E$5-$C$5),1+4*($E$5-$D$5)/($E$5-$C$5),$C$5,$E$5)</f>
        <v/>
      </c>
      <c r="N1430" s="14">
        <f>IF($AB1430&lt;($D$6-$C$6)/($E$6-$C$6),$C$6+SQRT($AB1430*($E$6-$C$6)*($D$6-$C$6)),$E$6-SQRT((1-$AB1430)*($E$6-$C$6)*($E$6-$D$6)))</f>
        <v/>
      </c>
      <c r="O1430" s="14">
        <f>_xlfn.NORM.INV($AC1430,$C$7,$D$7)</f>
        <v/>
      </c>
      <c r="P1430" s="14">
        <f>$C$8+($D$8-$C$8)*$AD1430</f>
        <v/>
      </c>
      <c r="Q1430" s="14">
        <f>$C$9</f>
        <v/>
      </c>
      <c r="R1430" s="14">
        <f>_xlfn.LOGNORM.INV($AF1430,LN($C$10)-0.5*LN(1+($D$10/$C$10)^2),SQRT(LN(1+($D$10/$C$10)^2)))</f>
        <v/>
      </c>
      <c r="S1430" s="14">
        <f>SUM(M1430:R1430)</f>
        <v/>
      </c>
      <c r="AA1430">
        <f>RAND()</f>
        <v/>
      </c>
      <c r="AB1430">
        <f>RAND()</f>
        <v/>
      </c>
      <c r="AC1430">
        <f>RAND()</f>
        <v/>
      </c>
      <c r="AD1430">
        <f>RAND()</f>
        <v/>
      </c>
      <c r="AE1430">
        <f>RAND()</f>
        <v/>
      </c>
      <c r="AF1430">
        <f>RAND()</f>
        <v/>
      </c>
    </row>
    <row r="1431">
      <c r="M1431" s="14">
        <f>_xlfn.BETA.INV($AA1431,1+4*($D$5-$C$5)/($E$5-$C$5),1+4*($E$5-$D$5)/($E$5-$C$5),$C$5,$E$5)</f>
        <v/>
      </c>
      <c r="N1431" s="14">
        <f>IF($AB1431&lt;($D$6-$C$6)/($E$6-$C$6),$C$6+SQRT($AB1431*($E$6-$C$6)*($D$6-$C$6)),$E$6-SQRT((1-$AB1431)*($E$6-$C$6)*($E$6-$D$6)))</f>
        <v/>
      </c>
      <c r="O1431" s="14">
        <f>_xlfn.NORM.INV($AC1431,$C$7,$D$7)</f>
        <v/>
      </c>
      <c r="P1431" s="14">
        <f>$C$8+($D$8-$C$8)*$AD1431</f>
        <v/>
      </c>
      <c r="Q1431" s="14">
        <f>$C$9</f>
        <v/>
      </c>
      <c r="R1431" s="14">
        <f>_xlfn.LOGNORM.INV($AF1431,LN($C$10)-0.5*LN(1+($D$10/$C$10)^2),SQRT(LN(1+($D$10/$C$10)^2)))</f>
        <v/>
      </c>
      <c r="S1431" s="14">
        <f>SUM(M1431:R1431)</f>
        <v/>
      </c>
      <c r="AA1431">
        <f>RAND()</f>
        <v/>
      </c>
      <c r="AB1431">
        <f>RAND()</f>
        <v/>
      </c>
      <c r="AC1431">
        <f>RAND()</f>
        <v/>
      </c>
      <c r="AD1431">
        <f>RAND()</f>
        <v/>
      </c>
      <c r="AE1431">
        <f>RAND()</f>
        <v/>
      </c>
      <c r="AF1431">
        <f>RAND()</f>
        <v/>
      </c>
    </row>
    <row r="1432">
      <c r="M1432" s="14">
        <f>_xlfn.BETA.INV($AA1432,1+4*($D$5-$C$5)/($E$5-$C$5),1+4*($E$5-$D$5)/($E$5-$C$5),$C$5,$E$5)</f>
        <v/>
      </c>
      <c r="N1432" s="14">
        <f>IF($AB1432&lt;($D$6-$C$6)/($E$6-$C$6),$C$6+SQRT($AB1432*($E$6-$C$6)*($D$6-$C$6)),$E$6-SQRT((1-$AB1432)*($E$6-$C$6)*($E$6-$D$6)))</f>
        <v/>
      </c>
      <c r="O1432" s="14">
        <f>_xlfn.NORM.INV($AC1432,$C$7,$D$7)</f>
        <v/>
      </c>
      <c r="P1432" s="14">
        <f>$C$8+($D$8-$C$8)*$AD1432</f>
        <v/>
      </c>
      <c r="Q1432" s="14">
        <f>$C$9</f>
        <v/>
      </c>
      <c r="R1432" s="14">
        <f>_xlfn.LOGNORM.INV($AF1432,LN($C$10)-0.5*LN(1+($D$10/$C$10)^2),SQRT(LN(1+($D$10/$C$10)^2)))</f>
        <v/>
      </c>
      <c r="S1432" s="14">
        <f>SUM(M1432:R1432)</f>
        <v/>
      </c>
      <c r="AA1432">
        <f>RAND()</f>
        <v/>
      </c>
      <c r="AB1432">
        <f>RAND()</f>
        <v/>
      </c>
      <c r="AC1432">
        <f>RAND()</f>
        <v/>
      </c>
      <c r="AD1432">
        <f>RAND()</f>
        <v/>
      </c>
      <c r="AE1432">
        <f>RAND()</f>
        <v/>
      </c>
      <c r="AF1432">
        <f>RAND()</f>
        <v/>
      </c>
    </row>
    <row r="1433">
      <c r="M1433" s="14">
        <f>_xlfn.BETA.INV($AA1433,1+4*($D$5-$C$5)/($E$5-$C$5),1+4*($E$5-$D$5)/($E$5-$C$5),$C$5,$E$5)</f>
        <v/>
      </c>
      <c r="N1433" s="14">
        <f>IF($AB1433&lt;($D$6-$C$6)/($E$6-$C$6),$C$6+SQRT($AB1433*($E$6-$C$6)*($D$6-$C$6)),$E$6-SQRT((1-$AB1433)*($E$6-$C$6)*($E$6-$D$6)))</f>
        <v/>
      </c>
      <c r="O1433" s="14">
        <f>_xlfn.NORM.INV($AC1433,$C$7,$D$7)</f>
        <v/>
      </c>
      <c r="P1433" s="14">
        <f>$C$8+($D$8-$C$8)*$AD1433</f>
        <v/>
      </c>
      <c r="Q1433" s="14">
        <f>$C$9</f>
        <v/>
      </c>
      <c r="R1433" s="14">
        <f>_xlfn.LOGNORM.INV($AF1433,LN($C$10)-0.5*LN(1+($D$10/$C$10)^2),SQRT(LN(1+($D$10/$C$10)^2)))</f>
        <v/>
      </c>
      <c r="S1433" s="14">
        <f>SUM(M1433:R1433)</f>
        <v/>
      </c>
      <c r="AA1433">
        <f>RAND()</f>
        <v/>
      </c>
      <c r="AB1433">
        <f>RAND()</f>
        <v/>
      </c>
      <c r="AC1433">
        <f>RAND()</f>
        <v/>
      </c>
      <c r="AD1433">
        <f>RAND()</f>
        <v/>
      </c>
      <c r="AE1433">
        <f>RAND()</f>
        <v/>
      </c>
      <c r="AF1433">
        <f>RAND()</f>
        <v/>
      </c>
    </row>
    <row r="1434">
      <c r="M1434" s="14">
        <f>_xlfn.BETA.INV($AA1434,1+4*($D$5-$C$5)/($E$5-$C$5),1+4*($E$5-$D$5)/($E$5-$C$5),$C$5,$E$5)</f>
        <v/>
      </c>
      <c r="N1434" s="14">
        <f>IF($AB1434&lt;($D$6-$C$6)/($E$6-$C$6),$C$6+SQRT($AB1434*($E$6-$C$6)*($D$6-$C$6)),$E$6-SQRT((1-$AB1434)*($E$6-$C$6)*($E$6-$D$6)))</f>
        <v/>
      </c>
      <c r="O1434" s="14">
        <f>_xlfn.NORM.INV($AC1434,$C$7,$D$7)</f>
        <v/>
      </c>
      <c r="P1434" s="14">
        <f>$C$8+($D$8-$C$8)*$AD1434</f>
        <v/>
      </c>
      <c r="Q1434" s="14">
        <f>$C$9</f>
        <v/>
      </c>
      <c r="R1434" s="14">
        <f>_xlfn.LOGNORM.INV($AF1434,LN($C$10)-0.5*LN(1+($D$10/$C$10)^2),SQRT(LN(1+($D$10/$C$10)^2)))</f>
        <v/>
      </c>
      <c r="S1434" s="14">
        <f>SUM(M1434:R1434)</f>
        <v/>
      </c>
      <c r="AA1434">
        <f>RAND()</f>
        <v/>
      </c>
      <c r="AB1434">
        <f>RAND()</f>
        <v/>
      </c>
      <c r="AC1434">
        <f>RAND()</f>
        <v/>
      </c>
      <c r="AD1434">
        <f>RAND()</f>
        <v/>
      </c>
      <c r="AE1434">
        <f>RAND()</f>
        <v/>
      </c>
      <c r="AF1434">
        <f>RAND()</f>
        <v/>
      </c>
    </row>
    <row r="1435">
      <c r="M1435" s="14">
        <f>_xlfn.BETA.INV($AA1435,1+4*($D$5-$C$5)/($E$5-$C$5),1+4*($E$5-$D$5)/($E$5-$C$5),$C$5,$E$5)</f>
        <v/>
      </c>
      <c r="N1435" s="14">
        <f>IF($AB1435&lt;($D$6-$C$6)/($E$6-$C$6),$C$6+SQRT($AB1435*($E$6-$C$6)*($D$6-$C$6)),$E$6-SQRT((1-$AB1435)*($E$6-$C$6)*($E$6-$D$6)))</f>
        <v/>
      </c>
      <c r="O1435" s="14">
        <f>_xlfn.NORM.INV($AC1435,$C$7,$D$7)</f>
        <v/>
      </c>
      <c r="P1435" s="14">
        <f>$C$8+($D$8-$C$8)*$AD1435</f>
        <v/>
      </c>
      <c r="Q1435" s="14">
        <f>$C$9</f>
        <v/>
      </c>
      <c r="R1435" s="14">
        <f>_xlfn.LOGNORM.INV($AF1435,LN($C$10)-0.5*LN(1+($D$10/$C$10)^2),SQRT(LN(1+($D$10/$C$10)^2)))</f>
        <v/>
      </c>
      <c r="S1435" s="14">
        <f>SUM(M1435:R1435)</f>
        <v/>
      </c>
      <c r="AA1435">
        <f>RAND()</f>
        <v/>
      </c>
      <c r="AB1435">
        <f>RAND()</f>
        <v/>
      </c>
      <c r="AC1435">
        <f>RAND()</f>
        <v/>
      </c>
      <c r="AD1435">
        <f>RAND()</f>
        <v/>
      </c>
      <c r="AE1435">
        <f>RAND()</f>
        <v/>
      </c>
      <c r="AF1435">
        <f>RAND()</f>
        <v/>
      </c>
    </row>
    <row r="1436">
      <c r="M1436" s="14">
        <f>_xlfn.BETA.INV($AA1436,1+4*($D$5-$C$5)/($E$5-$C$5),1+4*($E$5-$D$5)/($E$5-$C$5),$C$5,$E$5)</f>
        <v/>
      </c>
      <c r="N1436" s="14">
        <f>IF($AB1436&lt;($D$6-$C$6)/($E$6-$C$6),$C$6+SQRT($AB1436*($E$6-$C$6)*($D$6-$C$6)),$E$6-SQRT((1-$AB1436)*($E$6-$C$6)*($E$6-$D$6)))</f>
        <v/>
      </c>
      <c r="O1436" s="14">
        <f>_xlfn.NORM.INV($AC1436,$C$7,$D$7)</f>
        <v/>
      </c>
      <c r="P1436" s="14">
        <f>$C$8+($D$8-$C$8)*$AD1436</f>
        <v/>
      </c>
      <c r="Q1436" s="14">
        <f>$C$9</f>
        <v/>
      </c>
      <c r="R1436" s="14">
        <f>_xlfn.LOGNORM.INV($AF1436,LN($C$10)-0.5*LN(1+($D$10/$C$10)^2),SQRT(LN(1+($D$10/$C$10)^2)))</f>
        <v/>
      </c>
      <c r="S1436" s="14">
        <f>SUM(M1436:R1436)</f>
        <v/>
      </c>
      <c r="AA1436">
        <f>RAND()</f>
        <v/>
      </c>
      <c r="AB1436">
        <f>RAND()</f>
        <v/>
      </c>
      <c r="AC1436">
        <f>RAND()</f>
        <v/>
      </c>
      <c r="AD1436">
        <f>RAND()</f>
        <v/>
      </c>
      <c r="AE1436">
        <f>RAND()</f>
        <v/>
      </c>
      <c r="AF1436">
        <f>RAND()</f>
        <v/>
      </c>
    </row>
    <row r="1437">
      <c r="M1437" s="14">
        <f>_xlfn.BETA.INV($AA1437,1+4*($D$5-$C$5)/($E$5-$C$5),1+4*($E$5-$D$5)/($E$5-$C$5),$C$5,$E$5)</f>
        <v/>
      </c>
      <c r="N1437" s="14">
        <f>IF($AB1437&lt;($D$6-$C$6)/($E$6-$C$6),$C$6+SQRT($AB1437*($E$6-$C$6)*($D$6-$C$6)),$E$6-SQRT((1-$AB1437)*($E$6-$C$6)*($E$6-$D$6)))</f>
        <v/>
      </c>
      <c r="O1437" s="14">
        <f>_xlfn.NORM.INV($AC1437,$C$7,$D$7)</f>
        <v/>
      </c>
      <c r="P1437" s="14">
        <f>$C$8+($D$8-$C$8)*$AD1437</f>
        <v/>
      </c>
      <c r="Q1437" s="14">
        <f>$C$9</f>
        <v/>
      </c>
      <c r="R1437" s="14">
        <f>_xlfn.LOGNORM.INV($AF1437,LN($C$10)-0.5*LN(1+($D$10/$C$10)^2),SQRT(LN(1+($D$10/$C$10)^2)))</f>
        <v/>
      </c>
      <c r="S1437" s="14">
        <f>SUM(M1437:R1437)</f>
        <v/>
      </c>
      <c r="AA1437">
        <f>RAND()</f>
        <v/>
      </c>
      <c r="AB1437">
        <f>RAND()</f>
        <v/>
      </c>
      <c r="AC1437">
        <f>RAND()</f>
        <v/>
      </c>
      <c r="AD1437">
        <f>RAND()</f>
        <v/>
      </c>
      <c r="AE1437">
        <f>RAND()</f>
        <v/>
      </c>
      <c r="AF1437">
        <f>RAND()</f>
        <v/>
      </c>
    </row>
    <row r="1438">
      <c r="M1438" s="14">
        <f>_xlfn.BETA.INV($AA1438,1+4*($D$5-$C$5)/($E$5-$C$5),1+4*($E$5-$D$5)/($E$5-$C$5),$C$5,$E$5)</f>
        <v/>
      </c>
      <c r="N1438" s="14">
        <f>IF($AB1438&lt;($D$6-$C$6)/($E$6-$C$6),$C$6+SQRT($AB1438*($E$6-$C$6)*($D$6-$C$6)),$E$6-SQRT((1-$AB1438)*($E$6-$C$6)*($E$6-$D$6)))</f>
        <v/>
      </c>
      <c r="O1438" s="14">
        <f>_xlfn.NORM.INV($AC1438,$C$7,$D$7)</f>
        <v/>
      </c>
      <c r="P1438" s="14">
        <f>$C$8+($D$8-$C$8)*$AD1438</f>
        <v/>
      </c>
      <c r="Q1438" s="14">
        <f>$C$9</f>
        <v/>
      </c>
      <c r="R1438" s="14">
        <f>_xlfn.LOGNORM.INV($AF1438,LN($C$10)-0.5*LN(1+($D$10/$C$10)^2),SQRT(LN(1+($D$10/$C$10)^2)))</f>
        <v/>
      </c>
      <c r="S1438" s="14">
        <f>SUM(M1438:R1438)</f>
        <v/>
      </c>
      <c r="AA1438">
        <f>RAND()</f>
        <v/>
      </c>
      <c r="AB1438">
        <f>RAND()</f>
        <v/>
      </c>
      <c r="AC1438">
        <f>RAND()</f>
        <v/>
      </c>
      <c r="AD1438">
        <f>RAND()</f>
        <v/>
      </c>
      <c r="AE1438">
        <f>RAND()</f>
        <v/>
      </c>
      <c r="AF1438">
        <f>RAND()</f>
        <v/>
      </c>
    </row>
    <row r="1439">
      <c r="M1439" s="14">
        <f>_xlfn.BETA.INV($AA1439,1+4*($D$5-$C$5)/($E$5-$C$5),1+4*($E$5-$D$5)/($E$5-$C$5),$C$5,$E$5)</f>
        <v/>
      </c>
      <c r="N1439" s="14">
        <f>IF($AB1439&lt;($D$6-$C$6)/($E$6-$C$6),$C$6+SQRT($AB1439*($E$6-$C$6)*($D$6-$C$6)),$E$6-SQRT((1-$AB1439)*($E$6-$C$6)*($E$6-$D$6)))</f>
        <v/>
      </c>
      <c r="O1439" s="14">
        <f>_xlfn.NORM.INV($AC1439,$C$7,$D$7)</f>
        <v/>
      </c>
      <c r="P1439" s="14">
        <f>$C$8+($D$8-$C$8)*$AD1439</f>
        <v/>
      </c>
      <c r="Q1439" s="14">
        <f>$C$9</f>
        <v/>
      </c>
      <c r="R1439" s="14">
        <f>_xlfn.LOGNORM.INV($AF1439,LN($C$10)-0.5*LN(1+($D$10/$C$10)^2),SQRT(LN(1+($D$10/$C$10)^2)))</f>
        <v/>
      </c>
      <c r="S1439" s="14">
        <f>SUM(M1439:R1439)</f>
        <v/>
      </c>
      <c r="AA1439">
        <f>RAND()</f>
        <v/>
      </c>
      <c r="AB1439">
        <f>RAND()</f>
        <v/>
      </c>
      <c r="AC1439">
        <f>RAND()</f>
        <v/>
      </c>
      <c r="AD1439">
        <f>RAND()</f>
        <v/>
      </c>
      <c r="AE1439">
        <f>RAND()</f>
        <v/>
      </c>
      <c r="AF1439">
        <f>RAND()</f>
        <v/>
      </c>
    </row>
    <row r="1440">
      <c r="M1440" s="14">
        <f>_xlfn.BETA.INV($AA1440,1+4*($D$5-$C$5)/($E$5-$C$5),1+4*($E$5-$D$5)/($E$5-$C$5),$C$5,$E$5)</f>
        <v/>
      </c>
      <c r="N1440" s="14">
        <f>IF($AB1440&lt;($D$6-$C$6)/($E$6-$C$6),$C$6+SQRT($AB1440*($E$6-$C$6)*($D$6-$C$6)),$E$6-SQRT((1-$AB1440)*($E$6-$C$6)*($E$6-$D$6)))</f>
        <v/>
      </c>
      <c r="O1440" s="14">
        <f>_xlfn.NORM.INV($AC1440,$C$7,$D$7)</f>
        <v/>
      </c>
      <c r="P1440" s="14">
        <f>$C$8+($D$8-$C$8)*$AD1440</f>
        <v/>
      </c>
      <c r="Q1440" s="14">
        <f>$C$9</f>
        <v/>
      </c>
      <c r="R1440" s="14">
        <f>_xlfn.LOGNORM.INV($AF1440,LN($C$10)-0.5*LN(1+($D$10/$C$10)^2),SQRT(LN(1+($D$10/$C$10)^2)))</f>
        <v/>
      </c>
      <c r="S1440" s="14">
        <f>SUM(M1440:R1440)</f>
        <v/>
      </c>
      <c r="AA1440">
        <f>RAND()</f>
        <v/>
      </c>
      <c r="AB1440">
        <f>RAND()</f>
        <v/>
      </c>
      <c r="AC1440">
        <f>RAND()</f>
        <v/>
      </c>
      <c r="AD1440">
        <f>RAND()</f>
        <v/>
      </c>
      <c r="AE1440">
        <f>RAND()</f>
        <v/>
      </c>
      <c r="AF1440">
        <f>RAND()</f>
        <v/>
      </c>
    </row>
    <row r="1441">
      <c r="M1441" s="14">
        <f>_xlfn.BETA.INV($AA1441,1+4*($D$5-$C$5)/($E$5-$C$5),1+4*($E$5-$D$5)/($E$5-$C$5),$C$5,$E$5)</f>
        <v/>
      </c>
      <c r="N1441" s="14">
        <f>IF($AB1441&lt;($D$6-$C$6)/($E$6-$C$6),$C$6+SQRT($AB1441*($E$6-$C$6)*($D$6-$C$6)),$E$6-SQRT((1-$AB1441)*($E$6-$C$6)*($E$6-$D$6)))</f>
        <v/>
      </c>
      <c r="O1441" s="14">
        <f>_xlfn.NORM.INV($AC1441,$C$7,$D$7)</f>
        <v/>
      </c>
      <c r="P1441" s="14">
        <f>$C$8+($D$8-$C$8)*$AD1441</f>
        <v/>
      </c>
      <c r="Q1441" s="14">
        <f>$C$9</f>
        <v/>
      </c>
      <c r="R1441" s="14">
        <f>_xlfn.LOGNORM.INV($AF1441,LN($C$10)-0.5*LN(1+($D$10/$C$10)^2),SQRT(LN(1+($D$10/$C$10)^2)))</f>
        <v/>
      </c>
      <c r="S1441" s="14">
        <f>SUM(M1441:R1441)</f>
        <v/>
      </c>
      <c r="AA1441">
        <f>RAND()</f>
        <v/>
      </c>
      <c r="AB1441">
        <f>RAND()</f>
        <v/>
      </c>
      <c r="AC1441">
        <f>RAND()</f>
        <v/>
      </c>
      <c r="AD1441">
        <f>RAND()</f>
        <v/>
      </c>
      <c r="AE1441">
        <f>RAND()</f>
        <v/>
      </c>
      <c r="AF1441">
        <f>RAND()</f>
        <v/>
      </c>
    </row>
    <row r="1442">
      <c r="M1442" s="14">
        <f>_xlfn.BETA.INV($AA1442,1+4*($D$5-$C$5)/($E$5-$C$5),1+4*($E$5-$D$5)/($E$5-$C$5),$C$5,$E$5)</f>
        <v/>
      </c>
      <c r="N1442" s="14">
        <f>IF($AB1442&lt;($D$6-$C$6)/($E$6-$C$6),$C$6+SQRT($AB1442*($E$6-$C$6)*($D$6-$C$6)),$E$6-SQRT((1-$AB1442)*($E$6-$C$6)*($E$6-$D$6)))</f>
        <v/>
      </c>
      <c r="O1442" s="14">
        <f>_xlfn.NORM.INV($AC1442,$C$7,$D$7)</f>
        <v/>
      </c>
      <c r="P1442" s="14">
        <f>$C$8+($D$8-$C$8)*$AD1442</f>
        <v/>
      </c>
      <c r="Q1442" s="14">
        <f>$C$9</f>
        <v/>
      </c>
      <c r="R1442" s="14">
        <f>_xlfn.LOGNORM.INV($AF1442,LN($C$10)-0.5*LN(1+($D$10/$C$10)^2),SQRT(LN(1+($D$10/$C$10)^2)))</f>
        <v/>
      </c>
      <c r="S1442" s="14">
        <f>SUM(M1442:R1442)</f>
        <v/>
      </c>
      <c r="AA1442">
        <f>RAND()</f>
        <v/>
      </c>
      <c r="AB1442">
        <f>RAND()</f>
        <v/>
      </c>
      <c r="AC1442">
        <f>RAND()</f>
        <v/>
      </c>
      <c r="AD1442">
        <f>RAND()</f>
        <v/>
      </c>
      <c r="AE1442">
        <f>RAND()</f>
        <v/>
      </c>
      <c r="AF1442">
        <f>RAND()</f>
        <v/>
      </c>
    </row>
    <row r="1443">
      <c r="M1443" s="14">
        <f>_xlfn.BETA.INV($AA1443,1+4*($D$5-$C$5)/($E$5-$C$5),1+4*($E$5-$D$5)/($E$5-$C$5),$C$5,$E$5)</f>
        <v/>
      </c>
      <c r="N1443" s="14">
        <f>IF($AB1443&lt;($D$6-$C$6)/($E$6-$C$6),$C$6+SQRT($AB1443*($E$6-$C$6)*($D$6-$C$6)),$E$6-SQRT((1-$AB1443)*($E$6-$C$6)*($E$6-$D$6)))</f>
        <v/>
      </c>
      <c r="O1443" s="14">
        <f>_xlfn.NORM.INV($AC1443,$C$7,$D$7)</f>
        <v/>
      </c>
      <c r="P1443" s="14">
        <f>$C$8+($D$8-$C$8)*$AD1443</f>
        <v/>
      </c>
      <c r="Q1443" s="14">
        <f>$C$9</f>
        <v/>
      </c>
      <c r="R1443" s="14">
        <f>_xlfn.LOGNORM.INV($AF1443,LN($C$10)-0.5*LN(1+($D$10/$C$10)^2),SQRT(LN(1+($D$10/$C$10)^2)))</f>
        <v/>
      </c>
      <c r="S1443" s="14">
        <f>SUM(M1443:R1443)</f>
        <v/>
      </c>
      <c r="AA1443">
        <f>RAND()</f>
        <v/>
      </c>
      <c r="AB1443">
        <f>RAND()</f>
        <v/>
      </c>
      <c r="AC1443">
        <f>RAND()</f>
        <v/>
      </c>
      <c r="AD1443">
        <f>RAND()</f>
        <v/>
      </c>
      <c r="AE1443">
        <f>RAND()</f>
        <v/>
      </c>
      <c r="AF1443">
        <f>RAND()</f>
        <v/>
      </c>
    </row>
    <row r="1444">
      <c r="M1444" s="14">
        <f>_xlfn.BETA.INV($AA1444,1+4*($D$5-$C$5)/($E$5-$C$5),1+4*($E$5-$D$5)/($E$5-$C$5),$C$5,$E$5)</f>
        <v/>
      </c>
      <c r="N1444" s="14">
        <f>IF($AB1444&lt;($D$6-$C$6)/($E$6-$C$6),$C$6+SQRT($AB1444*($E$6-$C$6)*($D$6-$C$6)),$E$6-SQRT((1-$AB1444)*($E$6-$C$6)*($E$6-$D$6)))</f>
        <v/>
      </c>
      <c r="O1444" s="14">
        <f>_xlfn.NORM.INV($AC1444,$C$7,$D$7)</f>
        <v/>
      </c>
      <c r="P1444" s="14">
        <f>$C$8+($D$8-$C$8)*$AD1444</f>
        <v/>
      </c>
      <c r="Q1444" s="14">
        <f>$C$9</f>
        <v/>
      </c>
      <c r="R1444" s="14">
        <f>_xlfn.LOGNORM.INV($AF1444,LN($C$10)-0.5*LN(1+($D$10/$C$10)^2),SQRT(LN(1+($D$10/$C$10)^2)))</f>
        <v/>
      </c>
      <c r="S1444" s="14">
        <f>SUM(M1444:R1444)</f>
        <v/>
      </c>
      <c r="AA1444">
        <f>RAND()</f>
        <v/>
      </c>
      <c r="AB1444">
        <f>RAND()</f>
        <v/>
      </c>
      <c r="AC1444">
        <f>RAND()</f>
        <v/>
      </c>
      <c r="AD1444">
        <f>RAND()</f>
        <v/>
      </c>
      <c r="AE1444">
        <f>RAND()</f>
        <v/>
      </c>
      <c r="AF1444">
        <f>RAND()</f>
        <v/>
      </c>
    </row>
    <row r="1445">
      <c r="M1445" s="14">
        <f>_xlfn.BETA.INV($AA1445,1+4*($D$5-$C$5)/($E$5-$C$5),1+4*($E$5-$D$5)/($E$5-$C$5),$C$5,$E$5)</f>
        <v/>
      </c>
      <c r="N1445" s="14">
        <f>IF($AB1445&lt;($D$6-$C$6)/($E$6-$C$6),$C$6+SQRT($AB1445*($E$6-$C$6)*($D$6-$C$6)),$E$6-SQRT((1-$AB1445)*($E$6-$C$6)*($E$6-$D$6)))</f>
        <v/>
      </c>
      <c r="O1445" s="14">
        <f>_xlfn.NORM.INV($AC1445,$C$7,$D$7)</f>
        <v/>
      </c>
      <c r="P1445" s="14">
        <f>$C$8+($D$8-$C$8)*$AD1445</f>
        <v/>
      </c>
      <c r="Q1445" s="14">
        <f>$C$9</f>
        <v/>
      </c>
      <c r="R1445" s="14">
        <f>_xlfn.LOGNORM.INV($AF1445,LN($C$10)-0.5*LN(1+($D$10/$C$10)^2),SQRT(LN(1+($D$10/$C$10)^2)))</f>
        <v/>
      </c>
      <c r="S1445" s="14">
        <f>SUM(M1445:R1445)</f>
        <v/>
      </c>
      <c r="AA1445">
        <f>RAND()</f>
        <v/>
      </c>
      <c r="AB1445">
        <f>RAND()</f>
        <v/>
      </c>
      <c r="AC1445">
        <f>RAND()</f>
        <v/>
      </c>
      <c r="AD1445">
        <f>RAND()</f>
        <v/>
      </c>
      <c r="AE1445">
        <f>RAND()</f>
        <v/>
      </c>
      <c r="AF1445">
        <f>RAND()</f>
        <v/>
      </c>
    </row>
    <row r="1446">
      <c r="M1446" s="14">
        <f>_xlfn.BETA.INV($AA1446,1+4*($D$5-$C$5)/($E$5-$C$5),1+4*($E$5-$D$5)/($E$5-$C$5),$C$5,$E$5)</f>
        <v/>
      </c>
      <c r="N1446" s="14">
        <f>IF($AB1446&lt;($D$6-$C$6)/($E$6-$C$6),$C$6+SQRT($AB1446*($E$6-$C$6)*($D$6-$C$6)),$E$6-SQRT((1-$AB1446)*($E$6-$C$6)*($E$6-$D$6)))</f>
        <v/>
      </c>
      <c r="O1446" s="14">
        <f>_xlfn.NORM.INV($AC1446,$C$7,$D$7)</f>
        <v/>
      </c>
      <c r="P1446" s="14">
        <f>$C$8+($D$8-$C$8)*$AD1446</f>
        <v/>
      </c>
      <c r="Q1446" s="14">
        <f>$C$9</f>
        <v/>
      </c>
      <c r="R1446" s="14">
        <f>_xlfn.LOGNORM.INV($AF1446,LN($C$10)-0.5*LN(1+($D$10/$C$10)^2),SQRT(LN(1+($D$10/$C$10)^2)))</f>
        <v/>
      </c>
      <c r="S1446" s="14">
        <f>SUM(M1446:R1446)</f>
        <v/>
      </c>
      <c r="AA1446">
        <f>RAND()</f>
        <v/>
      </c>
      <c r="AB1446">
        <f>RAND()</f>
        <v/>
      </c>
      <c r="AC1446">
        <f>RAND()</f>
        <v/>
      </c>
      <c r="AD1446">
        <f>RAND()</f>
        <v/>
      </c>
      <c r="AE1446">
        <f>RAND()</f>
        <v/>
      </c>
      <c r="AF1446">
        <f>RAND()</f>
        <v/>
      </c>
    </row>
    <row r="1447">
      <c r="M1447" s="14">
        <f>_xlfn.BETA.INV($AA1447,1+4*($D$5-$C$5)/($E$5-$C$5),1+4*($E$5-$D$5)/($E$5-$C$5),$C$5,$E$5)</f>
        <v/>
      </c>
      <c r="N1447" s="14">
        <f>IF($AB1447&lt;($D$6-$C$6)/($E$6-$C$6),$C$6+SQRT($AB1447*($E$6-$C$6)*($D$6-$C$6)),$E$6-SQRT((1-$AB1447)*($E$6-$C$6)*($E$6-$D$6)))</f>
        <v/>
      </c>
      <c r="O1447" s="14">
        <f>_xlfn.NORM.INV($AC1447,$C$7,$D$7)</f>
        <v/>
      </c>
      <c r="P1447" s="14">
        <f>$C$8+($D$8-$C$8)*$AD1447</f>
        <v/>
      </c>
      <c r="Q1447" s="14">
        <f>$C$9</f>
        <v/>
      </c>
      <c r="R1447" s="14">
        <f>_xlfn.LOGNORM.INV($AF1447,LN($C$10)-0.5*LN(1+($D$10/$C$10)^2),SQRT(LN(1+($D$10/$C$10)^2)))</f>
        <v/>
      </c>
      <c r="S1447" s="14">
        <f>SUM(M1447:R1447)</f>
        <v/>
      </c>
      <c r="AA1447">
        <f>RAND()</f>
        <v/>
      </c>
      <c r="AB1447">
        <f>RAND()</f>
        <v/>
      </c>
      <c r="AC1447">
        <f>RAND()</f>
        <v/>
      </c>
      <c r="AD1447">
        <f>RAND()</f>
        <v/>
      </c>
      <c r="AE1447">
        <f>RAND()</f>
        <v/>
      </c>
      <c r="AF1447">
        <f>RAND()</f>
        <v/>
      </c>
    </row>
    <row r="1448">
      <c r="M1448" s="14">
        <f>_xlfn.BETA.INV($AA1448,1+4*($D$5-$C$5)/($E$5-$C$5),1+4*($E$5-$D$5)/($E$5-$C$5),$C$5,$E$5)</f>
        <v/>
      </c>
      <c r="N1448" s="14">
        <f>IF($AB1448&lt;($D$6-$C$6)/($E$6-$C$6),$C$6+SQRT($AB1448*($E$6-$C$6)*($D$6-$C$6)),$E$6-SQRT((1-$AB1448)*($E$6-$C$6)*($E$6-$D$6)))</f>
        <v/>
      </c>
      <c r="O1448" s="14">
        <f>_xlfn.NORM.INV($AC1448,$C$7,$D$7)</f>
        <v/>
      </c>
      <c r="P1448" s="14">
        <f>$C$8+($D$8-$C$8)*$AD1448</f>
        <v/>
      </c>
      <c r="Q1448" s="14">
        <f>$C$9</f>
        <v/>
      </c>
      <c r="R1448" s="14">
        <f>_xlfn.LOGNORM.INV($AF1448,LN($C$10)-0.5*LN(1+($D$10/$C$10)^2),SQRT(LN(1+($D$10/$C$10)^2)))</f>
        <v/>
      </c>
      <c r="S1448" s="14">
        <f>SUM(M1448:R1448)</f>
        <v/>
      </c>
      <c r="AA1448">
        <f>RAND()</f>
        <v/>
      </c>
      <c r="AB1448">
        <f>RAND()</f>
        <v/>
      </c>
      <c r="AC1448">
        <f>RAND()</f>
        <v/>
      </c>
      <c r="AD1448">
        <f>RAND()</f>
        <v/>
      </c>
      <c r="AE1448">
        <f>RAND()</f>
        <v/>
      </c>
      <c r="AF1448">
        <f>RAND()</f>
        <v/>
      </c>
    </row>
    <row r="1449">
      <c r="M1449" s="14">
        <f>_xlfn.BETA.INV($AA1449,1+4*($D$5-$C$5)/($E$5-$C$5),1+4*($E$5-$D$5)/($E$5-$C$5),$C$5,$E$5)</f>
        <v/>
      </c>
      <c r="N1449" s="14">
        <f>IF($AB1449&lt;($D$6-$C$6)/($E$6-$C$6),$C$6+SQRT($AB1449*($E$6-$C$6)*($D$6-$C$6)),$E$6-SQRT((1-$AB1449)*($E$6-$C$6)*($E$6-$D$6)))</f>
        <v/>
      </c>
      <c r="O1449" s="14">
        <f>_xlfn.NORM.INV($AC1449,$C$7,$D$7)</f>
        <v/>
      </c>
      <c r="P1449" s="14">
        <f>$C$8+($D$8-$C$8)*$AD1449</f>
        <v/>
      </c>
      <c r="Q1449" s="14">
        <f>$C$9</f>
        <v/>
      </c>
      <c r="R1449" s="14">
        <f>_xlfn.LOGNORM.INV($AF1449,LN($C$10)-0.5*LN(1+($D$10/$C$10)^2),SQRT(LN(1+($D$10/$C$10)^2)))</f>
        <v/>
      </c>
      <c r="S1449" s="14">
        <f>SUM(M1449:R1449)</f>
        <v/>
      </c>
      <c r="AA1449">
        <f>RAND()</f>
        <v/>
      </c>
      <c r="AB1449">
        <f>RAND()</f>
        <v/>
      </c>
      <c r="AC1449">
        <f>RAND()</f>
        <v/>
      </c>
      <c r="AD1449">
        <f>RAND()</f>
        <v/>
      </c>
      <c r="AE1449">
        <f>RAND()</f>
        <v/>
      </c>
      <c r="AF1449">
        <f>RAND()</f>
        <v/>
      </c>
    </row>
    <row r="1450">
      <c r="M1450" s="14">
        <f>_xlfn.BETA.INV($AA1450,1+4*($D$5-$C$5)/($E$5-$C$5),1+4*($E$5-$D$5)/($E$5-$C$5),$C$5,$E$5)</f>
        <v/>
      </c>
      <c r="N1450" s="14">
        <f>IF($AB1450&lt;($D$6-$C$6)/($E$6-$C$6),$C$6+SQRT($AB1450*($E$6-$C$6)*($D$6-$C$6)),$E$6-SQRT((1-$AB1450)*($E$6-$C$6)*($E$6-$D$6)))</f>
        <v/>
      </c>
      <c r="O1450" s="14">
        <f>_xlfn.NORM.INV($AC1450,$C$7,$D$7)</f>
        <v/>
      </c>
      <c r="P1450" s="14">
        <f>$C$8+($D$8-$C$8)*$AD1450</f>
        <v/>
      </c>
      <c r="Q1450" s="14">
        <f>$C$9</f>
        <v/>
      </c>
      <c r="R1450" s="14">
        <f>_xlfn.LOGNORM.INV($AF1450,LN($C$10)-0.5*LN(1+($D$10/$C$10)^2),SQRT(LN(1+($D$10/$C$10)^2)))</f>
        <v/>
      </c>
      <c r="S1450" s="14">
        <f>SUM(M1450:R1450)</f>
        <v/>
      </c>
      <c r="AA1450">
        <f>RAND()</f>
        <v/>
      </c>
      <c r="AB1450">
        <f>RAND()</f>
        <v/>
      </c>
      <c r="AC1450">
        <f>RAND()</f>
        <v/>
      </c>
      <c r="AD1450">
        <f>RAND()</f>
        <v/>
      </c>
      <c r="AE1450">
        <f>RAND()</f>
        <v/>
      </c>
      <c r="AF1450">
        <f>RAND()</f>
        <v/>
      </c>
    </row>
    <row r="1451">
      <c r="M1451" s="14">
        <f>_xlfn.BETA.INV($AA1451,1+4*($D$5-$C$5)/($E$5-$C$5),1+4*($E$5-$D$5)/($E$5-$C$5),$C$5,$E$5)</f>
        <v/>
      </c>
      <c r="N1451" s="14">
        <f>IF($AB1451&lt;($D$6-$C$6)/($E$6-$C$6),$C$6+SQRT($AB1451*($E$6-$C$6)*($D$6-$C$6)),$E$6-SQRT((1-$AB1451)*($E$6-$C$6)*($E$6-$D$6)))</f>
        <v/>
      </c>
      <c r="O1451" s="14">
        <f>_xlfn.NORM.INV($AC1451,$C$7,$D$7)</f>
        <v/>
      </c>
      <c r="P1451" s="14">
        <f>$C$8+($D$8-$C$8)*$AD1451</f>
        <v/>
      </c>
      <c r="Q1451" s="14">
        <f>$C$9</f>
        <v/>
      </c>
      <c r="R1451" s="14">
        <f>_xlfn.LOGNORM.INV($AF1451,LN($C$10)-0.5*LN(1+($D$10/$C$10)^2),SQRT(LN(1+($D$10/$C$10)^2)))</f>
        <v/>
      </c>
      <c r="S1451" s="14">
        <f>SUM(M1451:R1451)</f>
        <v/>
      </c>
      <c r="AA1451">
        <f>RAND()</f>
        <v/>
      </c>
      <c r="AB1451">
        <f>RAND()</f>
        <v/>
      </c>
      <c r="AC1451">
        <f>RAND()</f>
        <v/>
      </c>
      <c r="AD1451">
        <f>RAND()</f>
        <v/>
      </c>
      <c r="AE1451">
        <f>RAND()</f>
        <v/>
      </c>
      <c r="AF1451">
        <f>RAND()</f>
        <v/>
      </c>
    </row>
    <row r="1452">
      <c r="M1452" s="14">
        <f>_xlfn.BETA.INV($AA1452,1+4*($D$5-$C$5)/($E$5-$C$5),1+4*($E$5-$D$5)/($E$5-$C$5),$C$5,$E$5)</f>
        <v/>
      </c>
      <c r="N1452" s="14">
        <f>IF($AB1452&lt;($D$6-$C$6)/($E$6-$C$6),$C$6+SQRT($AB1452*($E$6-$C$6)*($D$6-$C$6)),$E$6-SQRT((1-$AB1452)*($E$6-$C$6)*($E$6-$D$6)))</f>
        <v/>
      </c>
      <c r="O1452" s="14">
        <f>_xlfn.NORM.INV($AC1452,$C$7,$D$7)</f>
        <v/>
      </c>
      <c r="P1452" s="14">
        <f>$C$8+($D$8-$C$8)*$AD1452</f>
        <v/>
      </c>
      <c r="Q1452" s="14">
        <f>$C$9</f>
        <v/>
      </c>
      <c r="R1452" s="14">
        <f>_xlfn.LOGNORM.INV($AF1452,LN($C$10)-0.5*LN(1+($D$10/$C$10)^2),SQRT(LN(1+($D$10/$C$10)^2)))</f>
        <v/>
      </c>
      <c r="S1452" s="14">
        <f>SUM(M1452:R1452)</f>
        <v/>
      </c>
      <c r="AA1452">
        <f>RAND()</f>
        <v/>
      </c>
      <c r="AB1452">
        <f>RAND()</f>
        <v/>
      </c>
      <c r="AC1452">
        <f>RAND()</f>
        <v/>
      </c>
      <c r="AD1452">
        <f>RAND()</f>
        <v/>
      </c>
      <c r="AE1452">
        <f>RAND()</f>
        <v/>
      </c>
      <c r="AF1452">
        <f>RAND()</f>
        <v/>
      </c>
    </row>
    <row r="1453">
      <c r="M1453" s="14">
        <f>_xlfn.BETA.INV($AA1453,1+4*($D$5-$C$5)/($E$5-$C$5),1+4*($E$5-$D$5)/($E$5-$C$5),$C$5,$E$5)</f>
        <v/>
      </c>
      <c r="N1453" s="14">
        <f>IF($AB1453&lt;($D$6-$C$6)/($E$6-$C$6),$C$6+SQRT($AB1453*($E$6-$C$6)*($D$6-$C$6)),$E$6-SQRT((1-$AB1453)*($E$6-$C$6)*($E$6-$D$6)))</f>
        <v/>
      </c>
      <c r="O1453" s="14">
        <f>_xlfn.NORM.INV($AC1453,$C$7,$D$7)</f>
        <v/>
      </c>
      <c r="P1453" s="14">
        <f>$C$8+($D$8-$C$8)*$AD1453</f>
        <v/>
      </c>
      <c r="Q1453" s="14">
        <f>$C$9</f>
        <v/>
      </c>
      <c r="R1453" s="14">
        <f>_xlfn.LOGNORM.INV($AF1453,LN($C$10)-0.5*LN(1+($D$10/$C$10)^2),SQRT(LN(1+($D$10/$C$10)^2)))</f>
        <v/>
      </c>
      <c r="S1453" s="14">
        <f>SUM(M1453:R1453)</f>
        <v/>
      </c>
      <c r="AA1453">
        <f>RAND()</f>
        <v/>
      </c>
      <c r="AB1453">
        <f>RAND()</f>
        <v/>
      </c>
      <c r="AC1453">
        <f>RAND()</f>
        <v/>
      </c>
      <c r="AD1453">
        <f>RAND()</f>
        <v/>
      </c>
      <c r="AE1453">
        <f>RAND()</f>
        <v/>
      </c>
      <c r="AF1453">
        <f>RAND()</f>
        <v/>
      </c>
    </row>
    <row r="1454">
      <c r="M1454" s="14">
        <f>_xlfn.BETA.INV($AA1454,1+4*($D$5-$C$5)/($E$5-$C$5),1+4*($E$5-$D$5)/($E$5-$C$5),$C$5,$E$5)</f>
        <v/>
      </c>
      <c r="N1454" s="14">
        <f>IF($AB1454&lt;($D$6-$C$6)/($E$6-$C$6),$C$6+SQRT($AB1454*($E$6-$C$6)*($D$6-$C$6)),$E$6-SQRT((1-$AB1454)*($E$6-$C$6)*($E$6-$D$6)))</f>
        <v/>
      </c>
      <c r="O1454" s="14">
        <f>_xlfn.NORM.INV($AC1454,$C$7,$D$7)</f>
        <v/>
      </c>
      <c r="P1454" s="14">
        <f>$C$8+($D$8-$C$8)*$AD1454</f>
        <v/>
      </c>
      <c r="Q1454" s="14">
        <f>$C$9</f>
        <v/>
      </c>
      <c r="R1454" s="14">
        <f>_xlfn.LOGNORM.INV($AF1454,LN($C$10)-0.5*LN(1+($D$10/$C$10)^2),SQRT(LN(1+($D$10/$C$10)^2)))</f>
        <v/>
      </c>
      <c r="S1454" s="14">
        <f>SUM(M1454:R1454)</f>
        <v/>
      </c>
      <c r="AA1454">
        <f>RAND()</f>
        <v/>
      </c>
      <c r="AB1454">
        <f>RAND()</f>
        <v/>
      </c>
      <c r="AC1454">
        <f>RAND()</f>
        <v/>
      </c>
      <c r="AD1454">
        <f>RAND()</f>
        <v/>
      </c>
      <c r="AE1454">
        <f>RAND()</f>
        <v/>
      </c>
      <c r="AF1454">
        <f>RAND()</f>
        <v/>
      </c>
    </row>
    <row r="1455">
      <c r="M1455" s="14">
        <f>_xlfn.BETA.INV($AA1455,1+4*($D$5-$C$5)/($E$5-$C$5),1+4*($E$5-$D$5)/($E$5-$C$5),$C$5,$E$5)</f>
        <v/>
      </c>
      <c r="N1455" s="14">
        <f>IF($AB1455&lt;($D$6-$C$6)/($E$6-$C$6),$C$6+SQRT($AB1455*($E$6-$C$6)*($D$6-$C$6)),$E$6-SQRT((1-$AB1455)*($E$6-$C$6)*($E$6-$D$6)))</f>
        <v/>
      </c>
      <c r="O1455" s="14">
        <f>_xlfn.NORM.INV($AC1455,$C$7,$D$7)</f>
        <v/>
      </c>
      <c r="P1455" s="14">
        <f>$C$8+($D$8-$C$8)*$AD1455</f>
        <v/>
      </c>
      <c r="Q1455" s="14">
        <f>$C$9</f>
        <v/>
      </c>
      <c r="R1455" s="14">
        <f>_xlfn.LOGNORM.INV($AF1455,LN($C$10)-0.5*LN(1+($D$10/$C$10)^2),SQRT(LN(1+($D$10/$C$10)^2)))</f>
        <v/>
      </c>
      <c r="S1455" s="14">
        <f>SUM(M1455:R1455)</f>
        <v/>
      </c>
      <c r="AA1455">
        <f>RAND()</f>
        <v/>
      </c>
      <c r="AB1455">
        <f>RAND()</f>
        <v/>
      </c>
      <c r="AC1455">
        <f>RAND()</f>
        <v/>
      </c>
      <c r="AD1455">
        <f>RAND()</f>
        <v/>
      </c>
      <c r="AE1455">
        <f>RAND()</f>
        <v/>
      </c>
      <c r="AF1455">
        <f>RAND()</f>
        <v/>
      </c>
    </row>
    <row r="1456">
      <c r="M1456" s="14">
        <f>_xlfn.BETA.INV($AA1456,1+4*($D$5-$C$5)/($E$5-$C$5),1+4*($E$5-$D$5)/($E$5-$C$5),$C$5,$E$5)</f>
        <v/>
      </c>
      <c r="N1456" s="14">
        <f>IF($AB1456&lt;($D$6-$C$6)/($E$6-$C$6),$C$6+SQRT($AB1456*($E$6-$C$6)*($D$6-$C$6)),$E$6-SQRT((1-$AB1456)*($E$6-$C$6)*($E$6-$D$6)))</f>
        <v/>
      </c>
      <c r="O1456" s="14">
        <f>_xlfn.NORM.INV($AC1456,$C$7,$D$7)</f>
        <v/>
      </c>
      <c r="P1456" s="14">
        <f>$C$8+($D$8-$C$8)*$AD1456</f>
        <v/>
      </c>
      <c r="Q1456" s="14">
        <f>$C$9</f>
        <v/>
      </c>
      <c r="R1456" s="14">
        <f>_xlfn.LOGNORM.INV($AF1456,LN($C$10)-0.5*LN(1+($D$10/$C$10)^2),SQRT(LN(1+($D$10/$C$10)^2)))</f>
        <v/>
      </c>
      <c r="S1456" s="14">
        <f>SUM(M1456:R1456)</f>
        <v/>
      </c>
      <c r="AA1456">
        <f>RAND()</f>
        <v/>
      </c>
      <c r="AB1456">
        <f>RAND()</f>
        <v/>
      </c>
      <c r="AC1456">
        <f>RAND()</f>
        <v/>
      </c>
      <c r="AD1456">
        <f>RAND()</f>
        <v/>
      </c>
      <c r="AE1456">
        <f>RAND()</f>
        <v/>
      </c>
      <c r="AF1456">
        <f>RAND()</f>
        <v/>
      </c>
    </row>
    <row r="1457">
      <c r="M1457" s="14">
        <f>_xlfn.BETA.INV($AA1457,1+4*($D$5-$C$5)/($E$5-$C$5),1+4*($E$5-$D$5)/($E$5-$C$5),$C$5,$E$5)</f>
        <v/>
      </c>
      <c r="N1457" s="14">
        <f>IF($AB1457&lt;($D$6-$C$6)/($E$6-$C$6),$C$6+SQRT($AB1457*($E$6-$C$6)*($D$6-$C$6)),$E$6-SQRT((1-$AB1457)*($E$6-$C$6)*($E$6-$D$6)))</f>
        <v/>
      </c>
      <c r="O1457" s="14">
        <f>_xlfn.NORM.INV($AC1457,$C$7,$D$7)</f>
        <v/>
      </c>
      <c r="P1457" s="14">
        <f>$C$8+($D$8-$C$8)*$AD1457</f>
        <v/>
      </c>
      <c r="Q1457" s="14">
        <f>$C$9</f>
        <v/>
      </c>
      <c r="R1457" s="14">
        <f>_xlfn.LOGNORM.INV($AF1457,LN($C$10)-0.5*LN(1+($D$10/$C$10)^2),SQRT(LN(1+($D$10/$C$10)^2)))</f>
        <v/>
      </c>
      <c r="S1457" s="14">
        <f>SUM(M1457:R1457)</f>
        <v/>
      </c>
      <c r="AA1457">
        <f>RAND()</f>
        <v/>
      </c>
      <c r="AB1457">
        <f>RAND()</f>
        <v/>
      </c>
      <c r="AC1457">
        <f>RAND()</f>
        <v/>
      </c>
      <c r="AD1457">
        <f>RAND()</f>
        <v/>
      </c>
      <c r="AE1457">
        <f>RAND()</f>
        <v/>
      </c>
      <c r="AF1457">
        <f>RAND()</f>
        <v/>
      </c>
    </row>
    <row r="1458">
      <c r="M1458" s="14">
        <f>_xlfn.BETA.INV($AA1458,1+4*($D$5-$C$5)/($E$5-$C$5),1+4*($E$5-$D$5)/($E$5-$C$5),$C$5,$E$5)</f>
        <v/>
      </c>
      <c r="N1458" s="14">
        <f>IF($AB1458&lt;($D$6-$C$6)/($E$6-$C$6),$C$6+SQRT($AB1458*($E$6-$C$6)*($D$6-$C$6)),$E$6-SQRT((1-$AB1458)*($E$6-$C$6)*($E$6-$D$6)))</f>
        <v/>
      </c>
      <c r="O1458" s="14">
        <f>_xlfn.NORM.INV($AC1458,$C$7,$D$7)</f>
        <v/>
      </c>
      <c r="P1458" s="14">
        <f>$C$8+($D$8-$C$8)*$AD1458</f>
        <v/>
      </c>
      <c r="Q1458" s="14">
        <f>$C$9</f>
        <v/>
      </c>
      <c r="R1458" s="14">
        <f>_xlfn.LOGNORM.INV($AF1458,LN($C$10)-0.5*LN(1+($D$10/$C$10)^2),SQRT(LN(1+($D$10/$C$10)^2)))</f>
        <v/>
      </c>
      <c r="S1458" s="14">
        <f>SUM(M1458:R1458)</f>
        <v/>
      </c>
      <c r="AA1458">
        <f>RAND()</f>
        <v/>
      </c>
      <c r="AB1458">
        <f>RAND()</f>
        <v/>
      </c>
      <c r="AC1458">
        <f>RAND()</f>
        <v/>
      </c>
      <c r="AD1458">
        <f>RAND()</f>
        <v/>
      </c>
      <c r="AE1458">
        <f>RAND()</f>
        <v/>
      </c>
      <c r="AF1458">
        <f>RAND()</f>
        <v/>
      </c>
    </row>
    <row r="1459">
      <c r="M1459" s="14">
        <f>_xlfn.BETA.INV($AA1459,1+4*($D$5-$C$5)/($E$5-$C$5),1+4*($E$5-$D$5)/($E$5-$C$5),$C$5,$E$5)</f>
        <v/>
      </c>
      <c r="N1459" s="14">
        <f>IF($AB1459&lt;($D$6-$C$6)/($E$6-$C$6),$C$6+SQRT($AB1459*($E$6-$C$6)*($D$6-$C$6)),$E$6-SQRT((1-$AB1459)*($E$6-$C$6)*($E$6-$D$6)))</f>
        <v/>
      </c>
      <c r="O1459" s="14">
        <f>_xlfn.NORM.INV($AC1459,$C$7,$D$7)</f>
        <v/>
      </c>
      <c r="P1459" s="14">
        <f>$C$8+($D$8-$C$8)*$AD1459</f>
        <v/>
      </c>
      <c r="Q1459" s="14">
        <f>$C$9</f>
        <v/>
      </c>
      <c r="R1459" s="14">
        <f>_xlfn.LOGNORM.INV($AF1459,LN($C$10)-0.5*LN(1+($D$10/$C$10)^2),SQRT(LN(1+($D$10/$C$10)^2)))</f>
        <v/>
      </c>
      <c r="S1459" s="14">
        <f>SUM(M1459:R1459)</f>
        <v/>
      </c>
      <c r="AA1459">
        <f>RAND()</f>
        <v/>
      </c>
      <c r="AB1459">
        <f>RAND()</f>
        <v/>
      </c>
      <c r="AC1459">
        <f>RAND()</f>
        <v/>
      </c>
      <c r="AD1459">
        <f>RAND()</f>
        <v/>
      </c>
      <c r="AE1459">
        <f>RAND()</f>
        <v/>
      </c>
      <c r="AF1459">
        <f>RAND()</f>
        <v/>
      </c>
    </row>
    <row r="1460">
      <c r="M1460" s="14">
        <f>_xlfn.BETA.INV($AA1460,1+4*($D$5-$C$5)/($E$5-$C$5),1+4*($E$5-$D$5)/($E$5-$C$5),$C$5,$E$5)</f>
        <v/>
      </c>
      <c r="N1460" s="14">
        <f>IF($AB1460&lt;($D$6-$C$6)/($E$6-$C$6),$C$6+SQRT($AB1460*($E$6-$C$6)*($D$6-$C$6)),$E$6-SQRT((1-$AB1460)*($E$6-$C$6)*($E$6-$D$6)))</f>
        <v/>
      </c>
      <c r="O1460" s="14">
        <f>_xlfn.NORM.INV($AC1460,$C$7,$D$7)</f>
        <v/>
      </c>
      <c r="P1460" s="14">
        <f>$C$8+($D$8-$C$8)*$AD1460</f>
        <v/>
      </c>
      <c r="Q1460" s="14">
        <f>$C$9</f>
        <v/>
      </c>
      <c r="R1460" s="14">
        <f>_xlfn.LOGNORM.INV($AF1460,LN($C$10)-0.5*LN(1+($D$10/$C$10)^2),SQRT(LN(1+($D$10/$C$10)^2)))</f>
        <v/>
      </c>
      <c r="S1460" s="14">
        <f>SUM(M1460:R1460)</f>
        <v/>
      </c>
      <c r="AA1460">
        <f>RAND()</f>
        <v/>
      </c>
      <c r="AB1460">
        <f>RAND()</f>
        <v/>
      </c>
      <c r="AC1460">
        <f>RAND()</f>
        <v/>
      </c>
      <c r="AD1460">
        <f>RAND()</f>
        <v/>
      </c>
      <c r="AE1460">
        <f>RAND()</f>
        <v/>
      </c>
      <c r="AF1460">
        <f>RAND()</f>
        <v/>
      </c>
    </row>
    <row r="1461">
      <c r="M1461" s="14">
        <f>_xlfn.BETA.INV($AA1461,1+4*($D$5-$C$5)/($E$5-$C$5),1+4*($E$5-$D$5)/($E$5-$C$5),$C$5,$E$5)</f>
        <v/>
      </c>
      <c r="N1461" s="14">
        <f>IF($AB1461&lt;($D$6-$C$6)/($E$6-$C$6),$C$6+SQRT($AB1461*($E$6-$C$6)*($D$6-$C$6)),$E$6-SQRT((1-$AB1461)*($E$6-$C$6)*($E$6-$D$6)))</f>
        <v/>
      </c>
      <c r="O1461" s="14">
        <f>_xlfn.NORM.INV($AC1461,$C$7,$D$7)</f>
        <v/>
      </c>
      <c r="P1461" s="14">
        <f>$C$8+($D$8-$C$8)*$AD1461</f>
        <v/>
      </c>
      <c r="Q1461" s="14">
        <f>$C$9</f>
        <v/>
      </c>
      <c r="R1461" s="14">
        <f>_xlfn.LOGNORM.INV($AF1461,LN($C$10)-0.5*LN(1+($D$10/$C$10)^2),SQRT(LN(1+($D$10/$C$10)^2)))</f>
        <v/>
      </c>
      <c r="S1461" s="14">
        <f>SUM(M1461:R1461)</f>
        <v/>
      </c>
      <c r="AA1461">
        <f>RAND()</f>
        <v/>
      </c>
      <c r="AB1461">
        <f>RAND()</f>
        <v/>
      </c>
      <c r="AC1461">
        <f>RAND()</f>
        <v/>
      </c>
      <c r="AD1461">
        <f>RAND()</f>
        <v/>
      </c>
      <c r="AE1461">
        <f>RAND()</f>
        <v/>
      </c>
      <c r="AF1461">
        <f>RAND()</f>
        <v/>
      </c>
    </row>
    <row r="1462">
      <c r="M1462" s="14">
        <f>_xlfn.BETA.INV($AA1462,1+4*($D$5-$C$5)/($E$5-$C$5),1+4*($E$5-$D$5)/($E$5-$C$5),$C$5,$E$5)</f>
        <v/>
      </c>
      <c r="N1462" s="14">
        <f>IF($AB1462&lt;($D$6-$C$6)/($E$6-$C$6),$C$6+SQRT($AB1462*($E$6-$C$6)*($D$6-$C$6)),$E$6-SQRT((1-$AB1462)*($E$6-$C$6)*($E$6-$D$6)))</f>
        <v/>
      </c>
      <c r="O1462" s="14">
        <f>_xlfn.NORM.INV($AC1462,$C$7,$D$7)</f>
        <v/>
      </c>
      <c r="P1462" s="14">
        <f>$C$8+($D$8-$C$8)*$AD1462</f>
        <v/>
      </c>
      <c r="Q1462" s="14">
        <f>$C$9</f>
        <v/>
      </c>
      <c r="R1462" s="14">
        <f>_xlfn.LOGNORM.INV($AF1462,LN($C$10)-0.5*LN(1+($D$10/$C$10)^2),SQRT(LN(1+($D$10/$C$10)^2)))</f>
        <v/>
      </c>
      <c r="S1462" s="14">
        <f>SUM(M1462:R1462)</f>
        <v/>
      </c>
      <c r="AA1462">
        <f>RAND()</f>
        <v/>
      </c>
      <c r="AB1462">
        <f>RAND()</f>
        <v/>
      </c>
      <c r="AC1462">
        <f>RAND()</f>
        <v/>
      </c>
      <c r="AD1462">
        <f>RAND()</f>
        <v/>
      </c>
      <c r="AE1462">
        <f>RAND()</f>
        <v/>
      </c>
      <c r="AF1462">
        <f>RAND()</f>
        <v/>
      </c>
    </row>
    <row r="1463">
      <c r="M1463" s="14">
        <f>_xlfn.BETA.INV($AA1463,1+4*($D$5-$C$5)/($E$5-$C$5),1+4*($E$5-$D$5)/($E$5-$C$5),$C$5,$E$5)</f>
        <v/>
      </c>
      <c r="N1463" s="14">
        <f>IF($AB1463&lt;($D$6-$C$6)/($E$6-$C$6),$C$6+SQRT($AB1463*($E$6-$C$6)*($D$6-$C$6)),$E$6-SQRT((1-$AB1463)*($E$6-$C$6)*($E$6-$D$6)))</f>
        <v/>
      </c>
      <c r="O1463" s="14">
        <f>_xlfn.NORM.INV($AC1463,$C$7,$D$7)</f>
        <v/>
      </c>
      <c r="P1463" s="14">
        <f>$C$8+($D$8-$C$8)*$AD1463</f>
        <v/>
      </c>
      <c r="Q1463" s="14">
        <f>$C$9</f>
        <v/>
      </c>
      <c r="R1463" s="14">
        <f>_xlfn.LOGNORM.INV($AF1463,LN($C$10)-0.5*LN(1+($D$10/$C$10)^2),SQRT(LN(1+($D$10/$C$10)^2)))</f>
        <v/>
      </c>
      <c r="S1463" s="14">
        <f>SUM(M1463:R1463)</f>
        <v/>
      </c>
      <c r="AA1463">
        <f>RAND()</f>
        <v/>
      </c>
      <c r="AB1463">
        <f>RAND()</f>
        <v/>
      </c>
      <c r="AC1463">
        <f>RAND()</f>
        <v/>
      </c>
      <c r="AD1463">
        <f>RAND()</f>
        <v/>
      </c>
      <c r="AE1463">
        <f>RAND()</f>
        <v/>
      </c>
      <c r="AF1463">
        <f>RAND()</f>
        <v/>
      </c>
    </row>
    <row r="1464">
      <c r="M1464" s="14">
        <f>_xlfn.BETA.INV($AA1464,1+4*($D$5-$C$5)/($E$5-$C$5),1+4*($E$5-$D$5)/($E$5-$C$5),$C$5,$E$5)</f>
        <v/>
      </c>
      <c r="N1464" s="14">
        <f>IF($AB1464&lt;($D$6-$C$6)/($E$6-$C$6),$C$6+SQRT($AB1464*($E$6-$C$6)*($D$6-$C$6)),$E$6-SQRT((1-$AB1464)*($E$6-$C$6)*($E$6-$D$6)))</f>
        <v/>
      </c>
      <c r="O1464" s="14">
        <f>_xlfn.NORM.INV($AC1464,$C$7,$D$7)</f>
        <v/>
      </c>
      <c r="P1464" s="14">
        <f>$C$8+($D$8-$C$8)*$AD1464</f>
        <v/>
      </c>
      <c r="Q1464" s="14">
        <f>$C$9</f>
        <v/>
      </c>
      <c r="R1464" s="14">
        <f>_xlfn.LOGNORM.INV($AF1464,LN($C$10)-0.5*LN(1+($D$10/$C$10)^2),SQRT(LN(1+($D$10/$C$10)^2)))</f>
        <v/>
      </c>
      <c r="S1464" s="14">
        <f>SUM(M1464:R1464)</f>
        <v/>
      </c>
      <c r="AA1464">
        <f>RAND()</f>
        <v/>
      </c>
      <c r="AB1464">
        <f>RAND()</f>
        <v/>
      </c>
      <c r="AC1464">
        <f>RAND()</f>
        <v/>
      </c>
      <c r="AD1464">
        <f>RAND()</f>
        <v/>
      </c>
      <c r="AE1464">
        <f>RAND()</f>
        <v/>
      </c>
      <c r="AF1464">
        <f>RAND()</f>
        <v/>
      </c>
    </row>
    <row r="1465">
      <c r="M1465" s="14">
        <f>_xlfn.BETA.INV($AA1465,1+4*($D$5-$C$5)/($E$5-$C$5),1+4*($E$5-$D$5)/($E$5-$C$5),$C$5,$E$5)</f>
        <v/>
      </c>
      <c r="N1465" s="14">
        <f>IF($AB1465&lt;($D$6-$C$6)/($E$6-$C$6),$C$6+SQRT($AB1465*($E$6-$C$6)*($D$6-$C$6)),$E$6-SQRT((1-$AB1465)*($E$6-$C$6)*($E$6-$D$6)))</f>
        <v/>
      </c>
      <c r="O1465" s="14">
        <f>_xlfn.NORM.INV($AC1465,$C$7,$D$7)</f>
        <v/>
      </c>
      <c r="P1465" s="14">
        <f>$C$8+($D$8-$C$8)*$AD1465</f>
        <v/>
      </c>
      <c r="Q1465" s="14">
        <f>$C$9</f>
        <v/>
      </c>
      <c r="R1465" s="14">
        <f>_xlfn.LOGNORM.INV($AF1465,LN($C$10)-0.5*LN(1+($D$10/$C$10)^2),SQRT(LN(1+($D$10/$C$10)^2)))</f>
        <v/>
      </c>
      <c r="S1465" s="14">
        <f>SUM(M1465:R1465)</f>
        <v/>
      </c>
      <c r="AA1465">
        <f>RAND()</f>
        <v/>
      </c>
      <c r="AB1465">
        <f>RAND()</f>
        <v/>
      </c>
      <c r="AC1465">
        <f>RAND()</f>
        <v/>
      </c>
      <c r="AD1465">
        <f>RAND()</f>
        <v/>
      </c>
      <c r="AE1465">
        <f>RAND()</f>
        <v/>
      </c>
      <c r="AF1465">
        <f>RAND()</f>
        <v/>
      </c>
    </row>
    <row r="1466">
      <c r="M1466" s="14">
        <f>_xlfn.BETA.INV($AA1466,1+4*($D$5-$C$5)/($E$5-$C$5),1+4*($E$5-$D$5)/($E$5-$C$5),$C$5,$E$5)</f>
        <v/>
      </c>
      <c r="N1466" s="14">
        <f>IF($AB1466&lt;($D$6-$C$6)/($E$6-$C$6),$C$6+SQRT($AB1466*($E$6-$C$6)*($D$6-$C$6)),$E$6-SQRT((1-$AB1466)*($E$6-$C$6)*($E$6-$D$6)))</f>
        <v/>
      </c>
      <c r="O1466" s="14">
        <f>_xlfn.NORM.INV($AC1466,$C$7,$D$7)</f>
        <v/>
      </c>
      <c r="P1466" s="14">
        <f>$C$8+($D$8-$C$8)*$AD1466</f>
        <v/>
      </c>
      <c r="Q1466" s="14">
        <f>$C$9</f>
        <v/>
      </c>
      <c r="R1466" s="14">
        <f>_xlfn.LOGNORM.INV($AF1466,LN($C$10)-0.5*LN(1+($D$10/$C$10)^2),SQRT(LN(1+($D$10/$C$10)^2)))</f>
        <v/>
      </c>
      <c r="S1466" s="14">
        <f>SUM(M1466:R1466)</f>
        <v/>
      </c>
      <c r="AA1466">
        <f>RAND()</f>
        <v/>
      </c>
      <c r="AB1466">
        <f>RAND()</f>
        <v/>
      </c>
      <c r="AC1466">
        <f>RAND()</f>
        <v/>
      </c>
      <c r="AD1466">
        <f>RAND()</f>
        <v/>
      </c>
      <c r="AE1466">
        <f>RAND()</f>
        <v/>
      </c>
      <c r="AF1466">
        <f>RAND()</f>
        <v/>
      </c>
    </row>
    <row r="1467">
      <c r="M1467" s="14">
        <f>_xlfn.BETA.INV($AA1467,1+4*($D$5-$C$5)/($E$5-$C$5),1+4*($E$5-$D$5)/($E$5-$C$5),$C$5,$E$5)</f>
        <v/>
      </c>
      <c r="N1467" s="14">
        <f>IF($AB1467&lt;($D$6-$C$6)/($E$6-$C$6),$C$6+SQRT($AB1467*($E$6-$C$6)*($D$6-$C$6)),$E$6-SQRT((1-$AB1467)*($E$6-$C$6)*($E$6-$D$6)))</f>
        <v/>
      </c>
      <c r="O1467" s="14">
        <f>_xlfn.NORM.INV($AC1467,$C$7,$D$7)</f>
        <v/>
      </c>
      <c r="P1467" s="14">
        <f>$C$8+($D$8-$C$8)*$AD1467</f>
        <v/>
      </c>
      <c r="Q1467" s="14">
        <f>$C$9</f>
        <v/>
      </c>
      <c r="R1467" s="14">
        <f>_xlfn.LOGNORM.INV($AF1467,LN($C$10)-0.5*LN(1+($D$10/$C$10)^2),SQRT(LN(1+($D$10/$C$10)^2)))</f>
        <v/>
      </c>
      <c r="S1467" s="14">
        <f>SUM(M1467:R1467)</f>
        <v/>
      </c>
      <c r="AA1467">
        <f>RAND()</f>
        <v/>
      </c>
      <c r="AB1467">
        <f>RAND()</f>
        <v/>
      </c>
      <c r="AC1467">
        <f>RAND()</f>
        <v/>
      </c>
      <c r="AD1467">
        <f>RAND()</f>
        <v/>
      </c>
      <c r="AE1467">
        <f>RAND()</f>
        <v/>
      </c>
      <c r="AF1467">
        <f>RAND()</f>
        <v/>
      </c>
    </row>
    <row r="1468">
      <c r="M1468" s="14">
        <f>_xlfn.BETA.INV($AA1468,1+4*($D$5-$C$5)/($E$5-$C$5),1+4*($E$5-$D$5)/($E$5-$C$5),$C$5,$E$5)</f>
        <v/>
      </c>
      <c r="N1468" s="14">
        <f>IF($AB1468&lt;($D$6-$C$6)/($E$6-$C$6),$C$6+SQRT($AB1468*($E$6-$C$6)*($D$6-$C$6)),$E$6-SQRT((1-$AB1468)*($E$6-$C$6)*($E$6-$D$6)))</f>
        <v/>
      </c>
      <c r="O1468" s="14">
        <f>_xlfn.NORM.INV($AC1468,$C$7,$D$7)</f>
        <v/>
      </c>
      <c r="P1468" s="14">
        <f>$C$8+($D$8-$C$8)*$AD1468</f>
        <v/>
      </c>
      <c r="Q1468" s="14">
        <f>$C$9</f>
        <v/>
      </c>
      <c r="R1468" s="14">
        <f>_xlfn.LOGNORM.INV($AF1468,LN($C$10)-0.5*LN(1+($D$10/$C$10)^2),SQRT(LN(1+($D$10/$C$10)^2)))</f>
        <v/>
      </c>
      <c r="S1468" s="14">
        <f>SUM(M1468:R1468)</f>
        <v/>
      </c>
      <c r="AA1468">
        <f>RAND()</f>
        <v/>
      </c>
      <c r="AB1468">
        <f>RAND()</f>
        <v/>
      </c>
      <c r="AC1468">
        <f>RAND()</f>
        <v/>
      </c>
      <c r="AD1468">
        <f>RAND()</f>
        <v/>
      </c>
      <c r="AE1468">
        <f>RAND()</f>
        <v/>
      </c>
      <c r="AF1468">
        <f>RAND()</f>
        <v/>
      </c>
    </row>
    <row r="1469">
      <c r="M1469" s="14">
        <f>_xlfn.BETA.INV($AA1469,1+4*($D$5-$C$5)/($E$5-$C$5),1+4*($E$5-$D$5)/($E$5-$C$5),$C$5,$E$5)</f>
        <v/>
      </c>
      <c r="N1469" s="14">
        <f>IF($AB1469&lt;($D$6-$C$6)/($E$6-$C$6),$C$6+SQRT($AB1469*($E$6-$C$6)*($D$6-$C$6)),$E$6-SQRT((1-$AB1469)*($E$6-$C$6)*($E$6-$D$6)))</f>
        <v/>
      </c>
      <c r="O1469" s="14">
        <f>_xlfn.NORM.INV($AC1469,$C$7,$D$7)</f>
        <v/>
      </c>
      <c r="P1469" s="14">
        <f>$C$8+($D$8-$C$8)*$AD1469</f>
        <v/>
      </c>
      <c r="Q1469" s="14">
        <f>$C$9</f>
        <v/>
      </c>
      <c r="R1469" s="14">
        <f>_xlfn.LOGNORM.INV($AF1469,LN($C$10)-0.5*LN(1+($D$10/$C$10)^2),SQRT(LN(1+($D$10/$C$10)^2)))</f>
        <v/>
      </c>
      <c r="S1469" s="14">
        <f>SUM(M1469:R1469)</f>
        <v/>
      </c>
      <c r="AA1469">
        <f>RAND()</f>
        <v/>
      </c>
      <c r="AB1469">
        <f>RAND()</f>
        <v/>
      </c>
      <c r="AC1469">
        <f>RAND()</f>
        <v/>
      </c>
      <c r="AD1469">
        <f>RAND()</f>
        <v/>
      </c>
      <c r="AE1469">
        <f>RAND()</f>
        <v/>
      </c>
      <c r="AF1469">
        <f>RAND()</f>
        <v/>
      </c>
    </row>
    <row r="1470">
      <c r="M1470" s="14">
        <f>_xlfn.BETA.INV($AA1470,1+4*($D$5-$C$5)/($E$5-$C$5),1+4*($E$5-$D$5)/($E$5-$C$5),$C$5,$E$5)</f>
        <v/>
      </c>
      <c r="N1470" s="14">
        <f>IF($AB1470&lt;($D$6-$C$6)/($E$6-$C$6),$C$6+SQRT($AB1470*($E$6-$C$6)*($D$6-$C$6)),$E$6-SQRT((1-$AB1470)*($E$6-$C$6)*($E$6-$D$6)))</f>
        <v/>
      </c>
      <c r="O1470" s="14">
        <f>_xlfn.NORM.INV($AC1470,$C$7,$D$7)</f>
        <v/>
      </c>
      <c r="P1470" s="14">
        <f>$C$8+($D$8-$C$8)*$AD1470</f>
        <v/>
      </c>
      <c r="Q1470" s="14">
        <f>$C$9</f>
        <v/>
      </c>
      <c r="R1470" s="14">
        <f>_xlfn.LOGNORM.INV($AF1470,LN($C$10)-0.5*LN(1+($D$10/$C$10)^2),SQRT(LN(1+($D$10/$C$10)^2)))</f>
        <v/>
      </c>
      <c r="S1470" s="14">
        <f>SUM(M1470:R1470)</f>
        <v/>
      </c>
      <c r="AA1470">
        <f>RAND()</f>
        <v/>
      </c>
      <c r="AB1470">
        <f>RAND()</f>
        <v/>
      </c>
      <c r="AC1470">
        <f>RAND()</f>
        <v/>
      </c>
      <c r="AD1470">
        <f>RAND()</f>
        <v/>
      </c>
      <c r="AE1470">
        <f>RAND()</f>
        <v/>
      </c>
      <c r="AF1470">
        <f>RAND()</f>
        <v/>
      </c>
    </row>
    <row r="1471">
      <c r="M1471" s="14">
        <f>_xlfn.BETA.INV($AA1471,1+4*($D$5-$C$5)/($E$5-$C$5),1+4*($E$5-$D$5)/($E$5-$C$5),$C$5,$E$5)</f>
        <v/>
      </c>
      <c r="N1471" s="14">
        <f>IF($AB1471&lt;($D$6-$C$6)/($E$6-$C$6),$C$6+SQRT($AB1471*($E$6-$C$6)*($D$6-$C$6)),$E$6-SQRT((1-$AB1471)*($E$6-$C$6)*($E$6-$D$6)))</f>
        <v/>
      </c>
      <c r="O1471" s="14">
        <f>_xlfn.NORM.INV($AC1471,$C$7,$D$7)</f>
        <v/>
      </c>
      <c r="P1471" s="14">
        <f>$C$8+($D$8-$C$8)*$AD1471</f>
        <v/>
      </c>
      <c r="Q1471" s="14">
        <f>$C$9</f>
        <v/>
      </c>
      <c r="R1471" s="14">
        <f>_xlfn.LOGNORM.INV($AF1471,LN($C$10)-0.5*LN(1+($D$10/$C$10)^2),SQRT(LN(1+($D$10/$C$10)^2)))</f>
        <v/>
      </c>
      <c r="S1471" s="14">
        <f>SUM(M1471:R1471)</f>
        <v/>
      </c>
      <c r="AA1471">
        <f>RAND()</f>
        <v/>
      </c>
      <c r="AB1471">
        <f>RAND()</f>
        <v/>
      </c>
      <c r="AC1471">
        <f>RAND()</f>
        <v/>
      </c>
      <c r="AD1471">
        <f>RAND()</f>
        <v/>
      </c>
      <c r="AE1471">
        <f>RAND()</f>
        <v/>
      </c>
      <c r="AF1471">
        <f>RAND()</f>
        <v/>
      </c>
    </row>
    <row r="1472">
      <c r="M1472" s="14">
        <f>_xlfn.BETA.INV($AA1472,1+4*($D$5-$C$5)/($E$5-$C$5),1+4*($E$5-$D$5)/($E$5-$C$5),$C$5,$E$5)</f>
        <v/>
      </c>
      <c r="N1472" s="14">
        <f>IF($AB1472&lt;($D$6-$C$6)/($E$6-$C$6),$C$6+SQRT($AB1472*($E$6-$C$6)*($D$6-$C$6)),$E$6-SQRT((1-$AB1472)*($E$6-$C$6)*($E$6-$D$6)))</f>
        <v/>
      </c>
      <c r="O1472" s="14">
        <f>_xlfn.NORM.INV($AC1472,$C$7,$D$7)</f>
        <v/>
      </c>
      <c r="P1472" s="14">
        <f>$C$8+($D$8-$C$8)*$AD1472</f>
        <v/>
      </c>
      <c r="Q1472" s="14">
        <f>$C$9</f>
        <v/>
      </c>
      <c r="R1472" s="14">
        <f>_xlfn.LOGNORM.INV($AF1472,LN($C$10)-0.5*LN(1+($D$10/$C$10)^2),SQRT(LN(1+($D$10/$C$10)^2)))</f>
        <v/>
      </c>
      <c r="S1472" s="14">
        <f>SUM(M1472:R1472)</f>
        <v/>
      </c>
      <c r="AA1472">
        <f>RAND()</f>
        <v/>
      </c>
      <c r="AB1472">
        <f>RAND()</f>
        <v/>
      </c>
      <c r="AC1472">
        <f>RAND()</f>
        <v/>
      </c>
      <c r="AD1472">
        <f>RAND()</f>
        <v/>
      </c>
      <c r="AE1472">
        <f>RAND()</f>
        <v/>
      </c>
      <c r="AF1472">
        <f>RAND()</f>
        <v/>
      </c>
    </row>
    <row r="1473">
      <c r="M1473" s="14">
        <f>_xlfn.BETA.INV($AA1473,1+4*($D$5-$C$5)/($E$5-$C$5),1+4*($E$5-$D$5)/($E$5-$C$5),$C$5,$E$5)</f>
        <v/>
      </c>
      <c r="N1473" s="14">
        <f>IF($AB1473&lt;($D$6-$C$6)/($E$6-$C$6),$C$6+SQRT($AB1473*($E$6-$C$6)*($D$6-$C$6)),$E$6-SQRT((1-$AB1473)*($E$6-$C$6)*($E$6-$D$6)))</f>
        <v/>
      </c>
      <c r="O1473" s="14">
        <f>_xlfn.NORM.INV($AC1473,$C$7,$D$7)</f>
        <v/>
      </c>
      <c r="P1473" s="14">
        <f>$C$8+($D$8-$C$8)*$AD1473</f>
        <v/>
      </c>
      <c r="Q1473" s="14">
        <f>$C$9</f>
        <v/>
      </c>
      <c r="R1473" s="14">
        <f>_xlfn.LOGNORM.INV($AF1473,LN($C$10)-0.5*LN(1+($D$10/$C$10)^2),SQRT(LN(1+($D$10/$C$10)^2)))</f>
        <v/>
      </c>
      <c r="S1473" s="14">
        <f>SUM(M1473:R1473)</f>
        <v/>
      </c>
      <c r="AA1473">
        <f>RAND()</f>
        <v/>
      </c>
      <c r="AB1473">
        <f>RAND()</f>
        <v/>
      </c>
      <c r="AC1473">
        <f>RAND()</f>
        <v/>
      </c>
      <c r="AD1473">
        <f>RAND()</f>
        <v/>
      </c>
      <c r="AE1473">
        <f>RAND()</f>
        <v/>
      </c>
      <c r="AF1473">
        <f>RAND()</f>
        <v/>
      </c>
    </row>
    <row r="1474">
      <c r="M1474" s="14">
        <f>_xlfn.BETA.INV($AA1474,1+4*($D$5-$C$5)/($E$5-$C$5),1+4*($E$5-$D$5)/($E$5-$C$5),$C$5,$E$5)</f>
        <v/>
      </c>
      <c r="N1474" s="14">
        <f>IF($AB1474&lt;($D$6-$C$6)/($E$6-$C$6),$C$6+SQRT($AB1474*($E$6-$C$6)*($D$6-$C$6)),$E$6-SQRT((1-$AB1474)*($E$6-$C$6)*($E$6-$D$6)))</f>
        <v/>
      </c>
      <c r="O1474" s="14">
        <f>_xlfn.NORM.INV($AC1474,$C$7,$D$7)</f>
        <v/>
      </c>
      <c r="P1474" s="14">
        <f>$C$8+($D$8-$C$8)*$AD1474</f>
        <v/>
      </c>
      <c r="Q1474" s="14">
        <f>$C$9</f>
        <v/>
      </c>
      <c r="R1474" s="14">
        <f>_xlfn.LOGNORM.INV($AF1474,LN($C$10)-0.5*LN(1+($D$10/$C$10)^2),SQRT(LN(1+($D$10/$C$10)^2)))</f>
        <v/>
      </c>
      <c r="S1474" s="14">
        <f>SUM(M1474:R1474)</f>
        <v/>
      </c>
      <c r="AA1474">
        <f>RAND()</f>
        <v/>
      </c>
      <c r="AB1474">
        <f>RAND()</f>
        <v/>
      </c>
      <c r="AC1474">
        <f>RAND()</f>
        <v/>
      </c>
      <c r="AD1474">
        <f>RAND()</f>
        <v/>
      </c>
      <c r="AE1474">
        <f>RAND()</f>
        <v/>
      </c>
      <c r="AF1474">
        <f>RAND()</f>
        <v/>
      </c>
    </row>
    <row r="1475">
      <c r="M1475" s="14">
        <f>_xlfn.BETA.INV($AA1475,1+4*($D$5-$C$5)/($E$5-$C$5),1+4*($E$5-$D$5)/($E$5-$C$5),$C$5,$E$5)</f>
        <v/>
      </c>
      <c r="N1475" s="14">
        <f>IF($AB1475&lt;($D$6-$C$6)/($E$6-$C$6),$C$6+SQRT($AB1475*($E$6-$C$6)*($D$6-$C$6)),$E$6-SQRT((1-$AB1475)*($E$6-$C$6)*($E$6-$D$6)))</f>
        <v/>
      </c>
      <c r="O1475" s="14">
        <f>_xlfn.NORM.INV($AC1475,$C$7,$D$7)</f>
        <v/>
      </c>
      <c r="P1475" s="14">
        <f>$C$8+($D$8-$C$8)*$AD1475</f>
        <v/>
      </c>
      <c r="Q1475" s="14">
        <f>$C$9</f>
        <v/>
      </c>
      <c r="R1475" s="14">
        <f>_xlfn.LOGNORM.INV($AF1475,LN($C$10)-0.5*LN(1+($D$10/$C$10)^2),SQRT(LN(1+($D$10/$C$10)^2)))</f>
        <v/>
      </c>
      <c r="S1475" s="14">
        <f>SUM(M1475:R1475)</f>
        <v/>
      </c>
      <c r="AA1475">
        <f>RAND()</f>
        <v/>
      </c>
      <c r="AB1475">
        <f>RAND()</f>
        <v/>
      </c>
      <c r="AC1475">
        <f>RAND()</f>
        <v/>
      </c>
      <c r="AD1475">
        <f>RAND()</f>
        <v/>
      </c>
      <c r="AE1475">
        <f>RAND()</f>
        <v/>
      </c>
      <c r="AF1475">
        <f>RAND()</f>
        <v/>
      </c>
    </row>
    <row r="1476">
      <c r="M1476" s="14">
        <f>_xlfn.BETA.INV($AA1476,1+4*($D$5-$C$5)/($E$5-$C$5),1+4*($E$5-$D$5)/($E$5-$C$5),$C$5,$E$5)</f>
        <v/>
      </c>
      <c r="N1476" s="14">
        <f>IF($AB1476&lt;($D$6-$C$6)/($E$6-$C$6),$C$6+SQRT($AB1476*($E$6-$C$6)*($D$6-$C$6)),$E$6-SQRT((1-$AB1476)*($E$6-$C$6)*($E$6-$D$6)))</f>
        <v/>
      </c>
      <c r="O1476" s="14">
        <f>_xlfn.NORM.INV($AC1476,$C$7,$D$7)</f>
        <v/>
      </c>
      <c r="P1476" s="14">
        <f>$C$8+($D$8-$C$8)*$AD1476</f>
        <v/>
      </c>
      <c r="Q1476" s="14">
        <f>$C$9</f>
        <v/>
      </c>
      <c r="R1476" s="14">
        <f>_xlfn.LOGNORM.INV($AF1476,LN($C$10)-0.5*LN(1+($D$10/$C$10)^2),SQRT(LN(1+($D$10/$C$10)^2)))</f>
        <v/>
      </c>
      <c r="S1476" s="14">
        <f>SUM(M1476:R1476)</f>
        <v/>
      </c>
      <c r="AA1476">
        <f>RAND()</f>
        <v/>
      </c>
      <c r="AB1476">
        <f>RAND()</f>
        <v/>
      </c>
      <c r="AC1476">
        <f>RAND()</f>
        <v/>
      </c>
      <c r="AD1476">
        <f>RAND()</f>
        <v/>
      </c>
      <c r="AE1476">
        <f>RAND()</f>
        <v/>
      </c>
      <c r="AF1476">
        <f>RAND()</f>
        <v/>
      </c>
    </row>
    <row r="1477">
      <c r="M1477" s="14">
        <f>_xlfn.BETA.INV($AA1477,1+4*($D$5-$C$5)/($E$5-$C$5),1+4*($E$5-$D$5)/($E$5-$C$5),$C$5,$E$5)</f>
        <v/>
      </c>
      <c r="N1477" s="14">
        <f>IF($AB1477&lt;($D$6-$C$6)/($E$6-$C$6),$C$6+SQRT($AB1477*($E$6-$C$6)*($D$6-$C$6)),$E$6-SQRT((1-$AB1477)*($E$6-$C$6)*($E$6-$D$6)))</f>
        <v/>
      </c>
      <c r="O1477" s="14">
        <f>_xlfn.NORM.INV($AC1477,$C$7,$D$7)</f>
        <v/>
      </c>
      <c r="P1477" s="14">
        <f>$C$8+($D$8-$C$8)*$AD1477</f>
        <v/>
      </c>
      <c r="Q1477" s="14">
        <f>$C$9</f>
        <v/>
      </c>
      <c r="R1477" s="14">
        <f>_xlfn.LOGNORM.INV($AF1477,LN($C$10)-0.5*LN(1+($D$10/$C$10)^2),SQRT(LN(1+($D$10/$C$10)^2)))</f>
        <v/>
      </c>
      <c r="S1477" s="14">
        <f>SUM(M1477:R1477)</f>
        <v/>
      </c>
      <c r="AA1477">
        <f>RAND()</f>
        <v/>
      </c>
      <c r="AB1477">
        <f>RAND()</f>
        <v/>
      </c>
      <c r="AC1477">
        <f>RAND()</f>
        <v/>
      </c>
      <c r="AD1477">
        <f>RAND()</f>
        <v/>
      </c>
      <c r="AE1477">
        <f>RAND()</f>
        <v/>
      </c>
      <c r="AF1477">
        <f>RAND()</f>
        <v/>
      </c>
    </row>
    <row r="1478">
      <c r="M1478" s="14">
        <f>_xlfn.BETA.INV($AA1478,1+4*($D$5-$C$5)/($E$5-$C$5),1+4*($E$5-$D$5)/($E$5-$C$5),$C$5,$E$5)</f>
        <v/>
      </c>
      <c r="N1478" s="14">
        <f>IF($AB1478&lt;($D$6-$C$6)/($E$6-$C$6),$C$6+SQRT($AB1478*($E$6-$C$6)*($D$6-$C$6)),$E$6-SQRT((1-$AB1478)*($E$6-$C$6)*($E$6-$D$6)))</f>
        <v/>
      </c>
      <c r="O1478" s="14">
        <f>_xlfn.NORM.INV($AC1478,$C$7,$D$7)</f>
        <v/>
      </c>
      <c r="P1478" s="14">
        <f>$C$8+($D$8-$C$8)*$AD1478</f>
        <v/>
      </c>
      <c r="Q1478" s="14">
        <f>$C$9</f>
        <v/>
      </c>
      <c r="R1478" s="14">
        <f>_xlfn.LOGNORM.INV($AF1478,LN($C$10)-0.5*LN(1+($D$10/$C$10)^2),SQRT(LN(1+($D$10/$C$10)^2)))</f>
        <v/>
      </c>
      <c r="S1478" s="14">
        <f>SUM(M1478:R1478)</f>
        <v/>
      </c>
      <c r="AA1478">
        <f>RAND()</f>
        <v/>
      </c>
      <c r="AB1478">
        <f>RAND()</f>
        <v/>
      </c>
      <c r="AC1478">
        <f>RAND()</f>
        <v/>
      </c>
      <c r="AD1478">
        <f>RAND()</f>
        <v/>
      </c>
      <c r="AE1478">
        <f>RAND()</f>
        <v/>
      </c>
      <c r="AF1478">
        <f>RAND()</f>
        <v/>
      </c>
    </row>
    <row r="1479">
      <c r="M1479" s="14">
        <f>_xlfn.BETA.INV($AA1479,1+4*($D$5-$C$5)/($E$5-$C$5),1+4*($E$5-$D$5)/($E$5-$C$5),$C$5,$E$5)</f>
        <v/>
      </c>
      <c r="N1479" s="14">
        <f>IF($AB1479&lt;($D$6-$C$6)/($E$6-$C$6),$C$6+SQRT($AB1479*($E$6-$C$6)*($D$6-$C$6)),$E$6-SQRT((1-$AB1479)*($E$6-$C$6)*($E$6-$D$6)))</f>
        <v/>
      </c>
      <c r="O1479" s="14">
        <f>_xlfn.NORM.INV($AC1479,$C$7,$D$7)</f>
        <v/>
      </c>
      <c r="P1479" s="14">
        <f>$C$8+($D$8-$C$8)*$AD1479</f>
        <v/>
      </c>
      <c r="Q1479" s="14">
        <f>$C$9</f>
        <v/>
      </c>
      <c r="R1479" s="14">
        <f>_xlfn.LOGNORM.INV($AF1479,LN($C$10)-0.5*LN(1+($D$10/$C$10)^2),SQRT(LN(1+($D$10/$C$10)^2)))</f>
        <v/>
      </c>
      <c r="S1479" s="14">
        <f>SUM(M1479:R1479)</f>
        <v/>
      </c>
      <c r="AA1479">
        <f>RAND()</f>
        <v/>
      </c>
      <c r="AB1479">
        <f>RAND()</f>
        <v/>
      </c>
      <c r="AC1479">
        <f>RAND()</f>
        <v/>
      </c>
      <c r="AD1479">
        <f>RAND()</f>
        <v/>
      </c>
      <c r="AE1479">
        <f>RAND()</f>
        <v/>
      </c>
      <c r="AF1479">
        <f>RAND()</f>
        <v/>
      </c>
    </row>
    <row r="1480">
      <c r="M1480" s="14">
        <f>_xlfn.BETA.INV($AA1480,1+4*($D$5-$C$5)/($E$5-$C$5),1+4*($E$5-$D$5)/($E$5-$C$5),$C$5,$E$5)</f>
        <v/>
      </c>
      <c r="N1480" s="14">
        <f>IF($AB1480&lt;($D$6-$C$6)/($E$6-$C$6),$C$6+SQRT($AB1480*($E$6-$C$6)*($D$6-$C$6)),$E$6-SQRT((1-$AB1480)*($E$6-$C$6)*($E$6-$D$6)))</f>
        <v/>
      </c>
      <c r="O1480" s="14">
        <f>_xlfn.NORM.INV($AC1480,$C$7,$D$7)</f>
        <v/>
      </c>
      <c r="P1480" s="14">
        <f>$C$8+($D$8-$C$8)*$AD1480</f>
        <v/>
      </c>
      <c r="Q1480" s="14">
        <f>$C$9</f>
        <v/>
      </c>
      <c r="R1480" s="14">
        <f>_xlfn.LOGNORM.INV($AF1480,LN($C$10)-0.5*LN(1+($D$10/$C$10)^2),SQRT(LN(1+($D$10/$C$10)^2)))</f>
        <v/>
      </c>
      <c r="S1480" s="14">
        <f>SUM(M1480:R1480)</f>
        <v/>
      </c>
      <c r="AA1480">
        <f>RAND()</f>
        <v/>
      </c>
      <c r="AB1480">
        <f>RAND()</f>
        <v/>
      </c>
      <c r="AC1480">
        <f>RAND()</f>
        <v/>
      </c>
      <c r="AD1480">
        <f>RAND()</f>
        <v/>
      </c>
      <c r="AE1480">
        <f>RAND()</f>
        <v/>
      </c>
      <c r="AF1480">
        <f>RAND()</f>
        <v/>
      </c>
    </row>
    <row r="1481">
      <c r="M1481" s="14">
        <f>_xlfn.BETA.INV($AA1481,1+4*($D$5-$C$5)/($E$5-$C$5),1+4*($E$5-$D$5)/($E$5-$C$5),$C$5,$E$5)</f>
        <v/>
      </c>
      <c r="N1481" s="14">
        <f>IF($AB1481&lt;($D$6-$C$6)/($E$6-$C$6),$C$6+SQRT($AB1481*($E$6-$C$6)*($D$6-$C$6)),$E$6-SQRT((1-$AB1481)*($E$6-$C$6)*($E$6-$D$6)))</f>
        <v/>
      </c>
      <c r="O1481" s="14">
        <f>_xlfn.NORM.INV($AC1481,$C$7,$D$7)</f>
        <v/>
      </c>
      <c r="P1481" s="14">
        <f>$C$8+($D$8-$C$8)*$AD1481</f>
        <v/>
      </c>
      <c r="Q1481" s="14">
        <f>$C$9</f>
        <v/>
      </c>
      <c r="R1481" s="14">
        <f>_xlfn.LOGNORM.INV($AF1481,LN($C$10)-0.5*LN(1+($D$10/$C$10)^2),SQRT(LN(1+($D$10/$C$10)^2)))</f>
        <v/>
      </c>
      <c r="S1481" s="14">
        <f>SUM(M1481:R1481)</f>
        <v/>
      </c>
      <c r="AA1481">
        <f>RAND()</f>
        <v/>
      </c>
      <c r="AB1481">
        <f>RAND()</f>
        <v/>
      </c>
      <c r="AC1481">
        <f>RAND()</f>
        <v/>
      </c>
      <c r="AD1481">
        <f>RAND()</f>
        <v/>
      </c>
      <c r="AE1481">
        <f>RAND()</f>
        <v/>
      </c>
      <c r="AF1481">
        <f>RAND()</f>
        <v/>
      </c>
    </row>
    <row r="1482">
      <c r="M1482" s="14">
        <f>_xlfn.BETA.INV($AA1482,1+4*($D$5-$C$5)/($E$5-$C$5),1+4*($E$5-$D$5)/($E$5-$C$5),$C$5,$E$5)</f>
        <v/>
      </c>
      <c r="N1482" s="14">
        <f>IF($AB1482&lt;($D$6-$C$6)/($E$6-$C$6),$C$6+SQRT($AB1482*($E$6-$C$6)*($D$6-$C$6)),$E$6-SQRT((1-$AB1482)*($E$6-$C$6)*($E$6-$D$6)))</f>
        <v/>
      </c>
      <c r="O1482" s="14">
        <f>_xlfn.NORM.INV($AC1482,$C$7,$D$7)</f>
        <v/>
      </c>
      <c r="P1482" s="14">
        <f>$C$8+($D$8-$C$8)*$AD1482</f>
        <v/>
      </c>
      <c r="Q1482" s="14">
        <f>$C$9</f>
        <v/>
      </c>
      <c r="R1482" s="14">
        <f>_xlfn.LOGNORM.INV($AF1482,LN($C$10)-0.5*LN(1+($D$10/$C$10)^2),SQRT(LN(1+($D$10/$C$10)^2)))</f>
        <v/>
      </c>
      <c r="S1482" s="14">
        <f>SUM(M1482:R1482)</f>
        <v/>
      </c>
      <c r="AA1482">
        <f>RAND()</f>
        <v/>
      </c>
      <c r="AB1482">
        <f>RAND()</f>
        <v/>
      </c>
      <c r="AC1482">
        <f>RAND()</f>
        <v/>
      </c>
      <c r="AD1482">
        <f>RAND()</f>
        <v/>
      </c>
      <c r="AE1482">
        <f>RAND()</f>
        <v/>
      </c>
      <c r="AF1482">
        <f>RAND()</f>
        <v/>
      </c>
    </row>
    <row r="1483">
      <c r="M1483" s="14">
        <f>_xlfn.BETA.INV($AA1483,1+4*($D$5-$C$5)/($E$5-$C$5),1+4*($E$5-$D$5)/($E$5-$C$5),$C$5,$E$5)</f>
        <v/>
      </c>
      <c r="N1483" s="14">
        <f>IF($AB1483&lt;($D$6-$C$6)/($E$6-$C$6),$C$6+SQRT($AB1483*($E$6-$C$6)*($D$6-$C$6)),$E$6-SQRT((1-$AB1483)*($E$6-$C$6)*($E$6-$D$6)))</f>
        <v/>
      </c>
      <c r="O1483" s="14">
        <f>_xlfn.NORM.INV($AC1483,$C$7,$D$7)</f>
        <v/>
      </c>
      <c r="P1483" s="14">
        <f>$C$8+($D$8-$C$8)*$AD1483</f>
        <v/>
      </c>
      <c r="Q1483" s="14">
        <f>$C$9</f>
        <v/>
      </c>
      <c r="R1483" s="14">
        <f>_xlfn.LOGNORM.INV($AF1483,LN($C$10)-0.5*LN(1+($D$10/$C$10)^2),SQRT(LN(1+($D$10/$C$10)^2)))</f>
        <v/>
      </c>
      <c r="S1483" s="14">
        <f>SUM(M1483:R1483)</f>
        <v/>
      </c>
      <c r="AA1483">
        <f>RAND()</f>
        <v/>
      </c>
      <c r="AB1483">
        <f>RAND()</f>
        <v/>
      </c>
      <c r="AC1483">
        <f>RAND()</f>
        <v/>
      </c>
      <c r="AD1483">
        <f>RAND()</f>
        <v/>
      </c>
      <c r="AE1483">
        <f>RAND()</f>
        <v/>
      </c>
      <c r="AF1483">
        <f>RAND()</f>
        <v/>
      </c>
    </row>
    <row r="1484">
      <c r="M1484" s="14">
        <f>_xlfn.BETA.INV($AA1484,1+4*($D$5-$C$5)/($E$5-$C$5),1+4*($E$5-$D$5)/($E$5-$C$5),$C$5,$E$5)</f>
        <v/>
      </c>
      <c r="N1484" s="14">
        <f>IF($AB1484&lt;($D$6-$C$6)/($E$6-$C$6),$C$6+SQRT($AB1484*($E$6-$C$6)*($D$6-$C$6)),$E$6-SQRT((1-$AB1484)*($E$6-$C$6)*($E$6-$D$6)))</f>
        <v/>
      </c>
      <c r="O1484" s="14">
        <f>_xlfn.NORM.INV($AC1484,$C$7,$D$7)</f>
        <v/>
      </c>
      <c r="P1484" s="14">
        <f>$C$8+($D$8-$C$8)*$AD1484</f>
        <v/>
      </c>
      <c r="Q1484" s="14">
        <f>$C$9</f>
        <v/>
      </c>
      <c r="R1484" s="14">
        <f>_xlfn.LOGNORM.INV($AF1484,LN($C$10)-0.5*LN(1+($D$10/$C$10)^2),SQRT(LN(1+($D$10/$C$10)^2)))</f>
        <v/>
      </c>
      <c r="S1484" s="14">
        <f>SUM(M1484:R1484)</f>
        <v/>
      </c>
      <c r="AA1484">
        <f>RAND()</f>
        <v/>
      </c>
      <c r="AB1484">
        <f>RAND()</f>
        <v/>
      </c>
      <c r="AC1484">
        <f>RAND()</f>
        <v/>
      </c>
      <c r="AD1484">
        <f>RAND()</f>
        <v/>
      </c>
      <c r="AE1484">
        <f>RAND()</f>
        <v/>
      </c>
      <c r="AF1484">
        <f>RAND()</f>
        <v/>
      </c>
    </row>
    <row r="1485">
      <c r="M1485" s="14">
        <f>_xlfn.BETA.INV($AA1485,1+4*($D$5-$C$5)/($E$5-$C$5),1+4*($E$5-$D$5)/($E$5-$C$5),$C$5,$E$5)</f>
        <v/>
      </c>
      <c r="N1485" s="14">
        <f>IF($AB1485&lt;($D$6-$C$6)/($E$6-$C$6),$C$6+SQRT($AB1485*($E$6-$C$6)*($D$6-$C$6)),$E$6-SQRT((1-$AB1485)*($E$6-$C$6)*($E$6-$D$6)))</f>
        <v/>
      </c>
      <c r="O1485" s="14">
        <f>_xlfn.NORM.INV($AC1485,$C$7,$D$7)</f>
        <v/>
      </c>
      <c r="P1485" s="14">
        <f>$C$8+($D$8-$C$8)*$AD1485</f>
        <v/>
      </c>
      <c r="Q1485" s="14">
        <f>$C$9</f>
        <v/>
      </c>
      <c r="R1485" s="14">
        <f>_xlfn.LOGNORM.INV($AF1485,LN($C$10)-0.5*LN(1+($D$10/$C$10)^2),SQRT(LN(1+($D$10/$C$10)^2)))</f>
        <v/>
      </c>
      <c r="S1485" s="14">
        <f>SUM(M1485:R1485)</f>
        <v/>
      </c>
      <c r="AA1485">
        <f>RAND()</f>
        <v/>
      </c>
      <c r="AB1485">
        <f>RAND()</f>
        <v/>
      </c>
      <c r="AC1485">
        <f>RAND()</f>
        <v/>
      </c>
      <c r="AD1485">
        <f>RAND()</f>
        <v/>
      </c>
      <c r="AE1485">
        <f>RAND()</f>
        <v/>
      </c>
      <c r="AF1485">
        <f>RAND()</f>
        <v/>
      </c>
    </row>
    <row r="1486">
      <c r="M1486" s="14">
        <f>_xlfn.BETA.INV($AA1486,1+4*($D$5-$C$5)/($E$5-$C$5),1+4*($E$5-$D$5)/($E$5-$C$5),$C$5,$E$5)</f>
        <v/>
      </c>
      <c r="N1486" s="14">
        <f>IF($AB1486&lt;($D$6-$C$6)/($E$6-$C$6),$C$6+SQRT($AB1486*($E$6-$C$6)*($D$6-$C$6)),$E$6-SQRT((1-$AB1486)*($E$6-$C$6)*($E$6-$D$6)))</f>
        <v/>
      </c>
      <c r="O1486" s="14">
        <f>_xlfn.NORM.INV($AC1486,$C$7,$D$7)</f>
        <v/>
      </c>
      <c r="P1486" s="14">
        <f>$C$8+($D$8-$C$8)*$AD1486</f>
        <v/>
      </c>
      <c r="Q1486" s="14">
        <f>$C$9</f>
        <v/>
      </c>
      <c r="R1486" s="14">
        <f>_xlfn.LOGNORM.INV($AF1486,LN($C$10)-0.5*LN(1+($D$10/$C$10)^2),SQRT(LN(1+($D$10/$C$10)^2)))</f>
        <v/>
      </c>
      <c r="S1486" s="14">
        <f>SUM(M1486:R1486)</f>
        <v/>
      </c>
      <c r="AA1486">
        <f>RAND()</f>
        <v/>
      </c>
      <c r="AB1486">
        <f>RAND()</f>
        <v/>
      </c>
      <c r="AC1486">
        <f>RAND()</f>
        <v/>
      </c>
      <c r="AD1486">
        <f>RAND()</f>
        <v/>
      </c>
      <c r="AE1486">
        <f>RAND()</f>
        <v/>
      </c>
      <c r="AF1486">
        <f>RAND()</f>
        <v/>
      </c>
    </row>
    <row r="1487">
      <c r="M1487" s="14">
        <f>_xlfn.BETA.INV($AA1487,1+4*($D$5-$C$5)/($E$5-$C$5),1+4*($E$5-$D$5)/($E$5-$C$5),$C$5,$E$5)</f>
        <v/>
      </c>
      <c r="N1487" s="14">
        <f>IF($AB1487&lt;($D$6-$C$6)/($E$6-$C$6),$C$6+SQRT($AB1487*($E$6-$C$6)*($D$6-$C$6)),$E$6-SQRT((1-$AB1487)*($E$6-$C$6)*($E$6-$D$6)))</f>
        <v/>
      </c>
      <c r="O1487" s="14">
        <f>_xlfn.NORM.INV($AC1487,$C$7,$D$7)</f>
        <v/>
      </c>
      <c r="P1487" s="14">
        <f>$C$8+($D$8-$C$8)*$AD1487</f>
        <v/>
      </c>
      <c r="Q1487" s="14">
        <f>$C$9</f>
        <v/>
      </c>
      <c r="R1487" s="14">
        <f>_xlfn.LOGNORM.INV($AF1487,LN($C$10)-0.5*LN(1+($D$10/$C$10)^2),SQRT(LN(1+($D$10/$C$10)^2)))</f>
        <v/>
      </c>
      <c r="S1487" s="14">
        <f>SUM(M1487:R1487)</f>
        <v/>
      </c>
      <c r="AA1487">
        <f>RAND()</f>
        <v/>
      </c>
      <c r="AB1487">
        <f>RAND()</f>
        <v/>
      </c>
      <c r="AC1487">
        <f>RAND()</f>
        <v/>
      </c>
      <c r="AD1487">
        <f>RAND()</f>
        <v/>
      </c>
      <c r="AE1487">
        <f>RAND()</f>
        <v/>
      </c>
      <c r="AF1487">
        <f>RAND()</f>
        <v/>
      </c>
    </row>
    <row r="1488">
      <c r="M1488" s="14">
        <f>_xlfn.BETA.INV($AA1488,1+4*($D$5-$C$5)/($E$5-$C$5),1+4*($E$5-$D$5)/($E$5-$C$5),$C$5,$E$5)</f>
        <v/>
      </c>
      <c r="N1488" s="14">
        <f>IF($AB1488&lt;($D$6-$C$6)/($E$6-$C$6),$C$6+SQRT($AB1488*($E$6-$C$6)*($D$6-$C$6)),$E$6-SQRT((1-$AB1488)*($E$6-$C$6)*($E$6-$D$6)))</f>
        <v/>
      </c>
      <c r="O1488" s="14">
        <f>_xlfn.NORM.INV($AC1488,$C$7,$D$7)</f>
        <v/>
      </c>
      <c r="P1488" s="14">
        <f>$C$8+($D$8-$C$8)*$AD1488</f>
        <v/>
      </c>
      <c r="Q1488" s="14">
        <f>$C$9</f>
        <v/>
      </c>
      <c r="R1488" s="14">
        <f>_xlfn.LOGNORM.INV($AF1488,LN($C$10)-0.5*LN(1+($D$10/$C$10)^2),SQRT(LN(1+($D$10/$C$10)^2)))</f>
        <v/>
      </c>
      <c r="S1488" s="14">
        <f>SUM(M1488:R1488)</f>
        <v/>
      </c>
      <c r="AA1488">
        <f>RAND()</f>
        <v/>
      </c>
      <c r="AB1488">
        <f>RAND()</f>
        <v/>
      </c>
      <c r="AC1488">
        <f>RAND()</f>
        <v/>
      </c>
      <c r="AD1488">
        <f>RAND()</f>
        <v/>
      </c>
      <c r="AE1488">
        <f>RAND()</f>
        <v/>
      </c>
      <c r="AF1488">
        <f>RAND()</f>
        <v/>
      </c>
    </row>
    <row r="1489">
      <c r="M1489" s="14">
        <f>_xlfn.BETA.INV($AA1489,1+4*($D$5-$C$5)/($E$5-$C$5),1+4*($E$5-$D$5)/($E$5-$C$5),$C$5,$E$5)</f>
        <v/>
      </c>
      <c r="N1489" s="14">
        <f>IF($AB1489&lt;($D$6-$C$6)/($E$6-$C$6),$C$6+SQRT($AB1489*($E$6-$C$6)*($D$6-$C$6)),$E$6-SQRT((1-$AB1489)*($E$6-$C$6)*($E$6-$D$6)))</f>
        <v/>
      </c>
      <c r="O1489" s="14">
        <f>_xlfn.NORM.INV($AC1489,$C$7,$D$7)</f>
        <v/>
      </c>
      <c r="P1489" s="14">
        <f>$C$8+($D$8-$C$8)*$AD1489</f>
        <v/>
      </c>
      <c r="Q1489" s="14">
        <f>$C$9</f>
        <v/>
      </c>
      <c r="R1489" s="14">
        <f>_xlfn.LOGNORM.INV($AF1489,LN($C$10)-0.5*LN(1+($D$10/$C$10)^2),SQRT(LN(1+($D$10/$C$10)^2)))</f>
        <v/>
      </c>
      <c r="S1489" s="14">
        <f>SUM(M1489:R1489)</f>
        <v/>
      </c>
      <c r="AA1489">
        <f>RAND()</f>
        <v/>
      </c>
      <c r="AB1489">
        <f>RAND()</f>
        <v/>
      </c>
      <c r="AC1489">
        <f>RAND()</f>
        <v/>
      </c>
      <c r="AD1489">
        <f>RAND()</f>
        <v/>
      </c>
      <c r="AE1489">
        <f>RAND()</f>
        <v/>
      </c>
      <c r="AF1489">
        <f>RAND()</f>
        <v/>
      </c>
    </row>
    <row r="1490">
      <c r="M1490" s="14">
        <f>_xlfn.BETA.INV($AA1490,1+4*($D$5-$C$5)/($E$5-$C$5),1+4*($E$5-$D$5)/($E$5-$C$5),$C$5,$E$5)</f>
        <v/>
      </c>
      <c r="N1490" s="14">
        <f>IF($AB1490&lt;($D$6-$C$6)/($E$6-$C$6),$C$6+SQRT($AB1490*($E$6-$C$6)*($D$6-$C$6)),$E$6-SQRT((1-$AB1490)*($E$6-$C$6)*($E$6-$D$6)))</f>
        <v/>
      </c>
      <c r="O1490" s="14">
        <f>_xlfn.NORM.INV($AC1490,$C$7,$D$7)</f>
        <v/>
      </c>
      <c r="P1490" s="14">
        <f>$C$8+($D$8-$C$8)*$AD1490</f>
        <v/>
      </c>
      <c r="Q1490" s="14">
        <f>$C$9</f>
        <v/>
      </c>
      <c r="R1490" s="14">
        <f>_xlfn.LOGNORM.INV($AF1490,LN($C$10)-0.5*LN(1+($D$10/$C$10)^2),SQRT(LN(1+($D$10/$C$10)^2)))</f>
        <v/>
      </c>
      <c r="S1490" s="14">
        <f>SUM(M1490:R1490)</f>
        <v/>
      </c>
      <c r="AA1490">
        <f>RAND()</f>
        <v/>
      </c>
      <c r="AB1490">
        <f>RAND()</f>
        <v/>
      </c>
      <c r="AC1490">
        <f>RAND()</f>
        <v/>
      </c>
      <c r="AD1490">
        <f>RAND()</f>
        <v/>
      </c>
      <c r="AE1490">
        <f>RAND()</f>
        <v/>
      </c>
      <c r="AF1490">
        <f>RAND()</f>
        <v/>
      </c>
    </row>
    <row r="1491">
      <c r="M1491" s="14">
        <f>_xlfn.BETA.INV($AA1491,1+4*($D$5-$C$5)/($E$5-$C$5),1+4*($E$5-$D$5)/($E$5-$C$5),$C$5,$E$5)</f>
        <v/>
      </c>
      <c r="N1491" s="14">
        <f>IF($AB1491&lt;($D$6-$C$6)/($E$6-$C$6),$C$6+SQRT($AB1491*($E$6-$C$6)*($D$6-$C$6)),$E$6-SQRT((1-$AB1491)*($E$6-$C$6)*($E$6-$D$6)))</f>
        <v/>
      </c>
      <c r="O1491" s="14">
        <f>_xlfn.NORM.INV($AC1491,$C$7,$D$7)</f>
        <v/>
      </c>
      <c r="P1491" s="14">
        <f>$C$8+($D$8-$C$8)*$AD1491</f>
        <v/>
      </c>
      <c r="Q1491" s="14">
        <f>$C$9</f>
        <v/>
      </c>
      <c r="R1491" s="14">
        <f>_xlfn.LOGNORM.INV($AF1491,LN($C$10)-0.5*LN(1+($D$10/$C$10)^2),SQRT(LN(1+($D$10/$C$10)^2)))</f>
        <v/>
      </c>
      <c r="S1491" s="14">
        <f>SUM(M1491:R1491)</f>
        <v/>
      </c>
      <c r="AA1491">
        <f>RAND()</f>
        <v/>
      </c>
      <c r="AB1491">
        <f>RAND()</f>
        <v/>
      </c>
      <c r="AC1491">
        <f>RAND()</f>
        <v/>
      </c>
      <c r="AD1491">
        <f>RAND()</f>
        <v/>
      </c>
      <c r="AE1491">
        <f>RAND()</f>
        <v/>
      </c>
      <c r="AF1491">
        <f>RAND()</f>
        <v/>
      </c>
    </row>
    <row r="1492">
      <c r="M1492" s="14">
        <f>_xlfn.BETA.INV($AA1492,1+4*($D$5-$C$5)/($E$5-$C$5),1+4*($E$5-$D$5)/($E$5-$C$5),$C$5,$E$5)</f>
        <v/>
      </c>
      <c r="N1492" s="14">
        <f>IF($AB1492&lt;($D$6-$C$6)/($E$6-$C$6),$C$6+SQRT($AB1492*($E$6-$C$6)*($D$6-$C$6)),$E$6-SQRT((1-$AB1492)*($E$6-$C$6)*($E$6-$D$6)))</f>
        <v/>
      </c>
      <c r="O1492" s="14">
        <f>_xlfn.NORM.INV($AC1492,$C$7,$D$7)</f>
        <v/>
      </c>
      <c r="P1492" s="14">
        <f>$C$8+($D$8-$C$8)*$AD1492</f>
        <v/>
      </c>
      <c r="Q1492" s="14">
        <f>$C$9</f>
        <v/>
      </c>
      <c r="R1492" s="14">
        <f>_xlfn.LOGNORM.INV($AF1492,LN($C$10)-0.5*LN(1+($D$10/$C$10)^2),SQRT(LN(1+($D$10/$C$10)^2)))</f>
        <v/>
      </c>
      <c r="S1492" s="14">
        <f>SUM(M1492:R1492)</f>
        <v/>
      </c>
      <c r="AA1492">
        <f>RAND()</f>
        <v/>
      </c>
      <c r="AB1492">
        <f>RAND()</f>
        <v/>
      </c>
      <c r="AC1492">
        <f>RAND()</f>
        <v/>
      </c>
      <c r="AD1492">
        <f>RAND()</f>
        <v/>
      </c>
      <c r="AE1492">
        <f>RAND()</f>
        <v/>
      </c>
      <c r="AF1492">
        <f>RAND()</f>
        <v/>
      </c>
    </row>
    <row r="1493">
      <c r="M1493" s="14">
        <f>_xlfn.BETA.INV($AA1493,1+4*($D$5-$C$5)/($E$5-$C$5),1+4*($E$5-$D$5)/($E$5-$C$5),$C$5,$E$5)</f>
        <v/>
      </c>
      <c r="N1493" s="14">
        <f>IF($AB1493&lt;($D$6-$C$6)/($E$6-$C$6),$C$6+SQRT($AB1493*($E$6-$C$6)*($D$6-$C$6)),$E$6-SQRT((1-$AB1493)*($E$6-$C$6)*($E$6-$D$6)))</f>
        <v/>
      </c>
      <c r="O1493" s="14">
        <f>_xlfn.NORM.INV($AC1493,$C$7,$D$7)</f>
        <v/>
      </c>
      <c r="P1493" s="14">
        <f>$C$8+($D$8-$C$8)*$AD1493</f>
        <v/>
      </c>
      <c r="Q1493" s="14">
        <f>$C$9</f>
        <v/>
      </c>
      <c r="R1493" s="14">
        <f>_xlfn.LOGNORM.INV($AF1493,LN($C$10)-0.5*LN(1+($D$10/$C$10)^2),SQRT(LN(1+($D$10/$C$10)^2)))</f>
        <v/>
      </c>
      <c r="S1493" s="14">
        <f>SUM(M1493:R1493)</f>
        <v/>
      </c>
      <c r="AA1493">
        <f>RAND()</f>
        <v/>
      </c>
      <c r="AB1493">
        <f>RAND()</f>
        <v/>
      </c>
      <c r="AC1493">
        <f>RAND()</f>
        <v/>
      </c>
      <c r="AD1493">
        <f>RAND()</f>
        <v/>
      </c>
      <c r="AE1493">
        <f>RAND()</f>
        <v/>
      </c>
      <c r="AF1493">
        <f>RAND()</f>
        <v/>
      </c>
    </row>
    <row r="1494">
      <c r="M1494" s="14">
        <f>_xlfn.BETA.INV($AA1494,1+4*($D$5-$C$5)/($E$5-$C$5),1+4*($E$5-$D$5)/($E$5-$C$5),$C$5,$E$5)</f>
        <v/>
      </c>
      <c r="N1494" s="14">
        <f>IF($AB1494&lt;($D$6-$C$6)/($E$6-$C$6),$C$6+SQRT($AB1494*($E$6-$C$6)*($D$6-$C$6)),$E$6-SQRT((1-$AB1494)*($E$6-$C$6)*($E$6-$D$6)))</f>
        <v/>
      </c>
      <c r="O1494" s="14">
        <f>_xlfn.NORM.INV($AC1494,$C$7,$D$7)</f>
        <v/>
      </c>
      <c r="P1494" s="14">
        <f>$C$8+($D$8-$C$8)*$AD1494</f>
        <v/>
      </c>
      <c r="Q1494" s="14">
        <f>$C$9</f>
        <v/>
      </c>
      <c r="R1494" s="14">
        <f>_xlfn.LOGNORM.INV($AF1494,LN($C$10)-0.5*LN(1+($D$10/$C$10)^2),SQRT(LN(1+($D$10/$C$10)^2)))</f>
        <v/>
      </c>
      <c r="S1494" s="14">
        <f>SUM(M1494:R1494)</f>
        <v/>
      </c>
      <c r="AA1494">
        <f>RAND()</f>
        <v/>
      </c>
      <c r="AB1494">
        <f>RAND()</f>
        <v/>
      </c>
      <c r="AC1494">
        <f>RAND()</f>
        <v/>
      </c>
      <c r="AD1494">
        <f>RAND()</f>
        <v/>
      </c>
      <c r="AE1494">
        <f>RAND()</f>
        <v/>
      </c>
      <c r="AF1494">
        <f>RAND()</f>
        <v/>
      </c>
    </row>
    <row r="1495">
      <c r="M1495" s="14">
        <f>_xlfn.BETA.INV($AA1495,1+4*($D$5-$C$5)/($E$5-$C$5),1+4*($E$5-$D$5)/($E$5-$C$5),$C$5,$E$5)</f>
        <v/>
      </c>
      <c r="N1495" s="14">
        <f>IF($AB1495&lt;($D$6-$C$6)/($E$6-$C$6),$C$6+SQRT($AB1495*($E$6-$C$6)*($D$6-$C$6)),$E$6-SQRT((1-$AB1495)*($E$6-$C$6)*($E$6-$D$6)))</f>
        <v/>
      </c>
      <c r="O1495" s="14">
        <f>_xlfn.NORM.INV($AC1495,$C$7,$D$7)</f>
        <v/>
      </c>
      <c r="P1495" s="14">
        <f>$C$8+($D$8-$C$8)*$AD1495</f>
        <v/>
      </c>
      <c r="Q1495" s="14">
        <f>$C$9</f>
        <v/>
      </c>
      <c r="R1495" s="14">
        <f>_xlfn.LOGNORM.INV($AF1495,LN($C$10)-0.5*LN(1+($D$10/$C$10)^2),SQRT(LN(1+($D$10/$C$10)^2)))</f>
        <v/>
      </c>
      <c r="S1495" s="14">
        <f>SUM(M1495:R1495)</f>
        <v/>
      </c>
      <c r="AA1495">
        <f>RAND()</f>
        <v/>
      </c>
      <c r="AB1495">
        <f>RAND()</f>
        <v/>
      </c>
      <c r="AC1495">
        <f>RAND()</f>
        <v/>
      </c>
      <c r="AD1495">
        <f>RAND()</f>
        <v/>
      </c>
      <c r="AE1495">
        <f>RAND()</f>
        <v/>
      </c>
      <c r="AF1495">
        <f>RAND()</f>
        <v/>
      </c>
    </row>
    <row r="1496">
      <c r="M1496" s="14">
        <f>_xlfn.BETA.INV($AA1496,1+4*($D$5-$C$5)/($E$5-$C$5),1+4*($E$5-$D$5)/($E$5-$C$5),$C$5,$E$5)</f>
        <v/>
      </c>
      <c r="N1496" s="14">
        <f>IF($AB1496&lt;($D$6-$C$6)/($E$6-$C$6),$C$6+SQRT($AB1496*($E$6-$C$6)*($D$6-$C$6)),$E$6-SQRT((1-$AB1496)*($E$6-$C$6)*($E$6-$D$6)))</f>
        <v/>
      </c>
      <c r="O1496" s="14">
        <f>_xlfn.NORM.INV($AC1496,$C$7,$D$7)</f>
        <v/>
      </c>
      <c r="P1496" s="14">
        <f>$C$8+($D$8-$C$8)*$AD1496</f>
        <v/>
      </c>
      <c r="Q1496" s="14">
        <f>$C$9</f>
        <v/>
      </c>
      <c r="R1496" s="14">
        <f>_xlfn.LOGNORM.INV($AF1496,LN($C$10)-0.5*LN(1+($D$10/$C$10)^2),SQRT(LN(1+($D$10/$C$10)^2)))</f>
        <v/>
      </c>
      <c r="S1496" s="14">
        <f>SUM(M1496:R1496)</f>
        <v/>
      </c>
      <c r="AA1496">
        <f>RAND()</f>
        <v/>
      </c>
      <c r="AB1496">
        <f>RAND()</f>
        <v/>
      </c>
      <c r="AC1496">
        <f>RAND()</f>
        <v/>
      </c>
      <c r="AD1496">
        <f>RAND()</f>
        <v/>
      </c>
      <c r="AE1496">
        <f>RAND()</f>
        <v/>
      </c>
      <c r="AF1496">
        <f>RAND()</f>
        <v/>
      </c>
    </row>
    <row r="1497">
      <c r="M1497" s="14">
        <f>_xlfn.BETA.INV($AA1497,1+4*($D$5-$C$5)/($E$5-$C$5),1+4*($E$5-$D$5)/($E$5-$C$5),$C$5,$E$5)</f>
        <v/>
      </c>
      <c r="N1497" s="14">
        <f>IF($AB1497&lt;($D$6-$C$6)/($E$6-$C$6),$C$6+SQRT($AB1497*($E$6-$C$6)*($D$6-$C$6)),$E$6-SQRT((1-$AB1497)*($E$6-$C$6)*($E$6-$D$6)))</f>
        <v/>
      </c>
      <c r="O1497" s="14">
        <f>_xlfn.NORM.INV($AC1497,$C$7,$D$7)</f>
        <v/>
      </c>
      <c r="P1497" s="14">
        <f>$C$8+($D$8-$C$8)*$AD1497</f>
        <v/>
      </c>
      <c r="Q1497" s="14">
        <f>$C$9</f>
        <v/>
      </c>
      <c r="R1497" s="14">
        <f>_xlfn.LOGNORM.INV($AF1497,LN($C$10)-0.5*LN(1+($D$10/$C$10)^2),SQRT(LN(1+($D$10/$C$10)^2)))</f>
        <v/>
      </c>
      <c r="S1497" s="14">
        <f>SUM(M1497:R1497)</f>
        <v/>
      </c>
      <c r="AA1497">
        <f>RAND()</f>
        <v/>
      </c>
      <c r="AB1497">
        <f>RAND()</f>
        <v/>
      </c>
      <c r="AC1497">
        <f>RAND()</f>
        <v/>
      </c>
      <c r="AD1497">
        <f>RAND()</f>
        <v/>
      </c>
      <c r="AE1497">
        <f>RAND()</f>
        <v/>
      </c>
      <c r="AF1497">
        <f>RAND()</f>
        <v/>
      </c>
    </row>
    <row r="1498">
      <c r="M1498" s="14">
        <f>_xlfn.BETA.INV($AA1498,1+4*($D$5-$C$5)/($E$5-$C$5),1+4*($E$5-$D$5)/($E$5-$C$5),$C$5,$E$5)</f>
        <v/>
      </c>
      <c r="N1498" s="14">
        <f>IF($AB1498&lt;($D$6-$C$6)/($E$6-$C$6),$C$6+SQRT($AB1498*($E$6-$C$6)*($D$6-$C$6)),$E$6-SQRT((1-$AB1498)*($E$6-$C$6)*($E$6-$D$6)))</f>
        <v/>
      </c>
      <c r="O1498" s="14">
        <f>_xlfn.NORM.INV($AC1498,$C$7,$D$7)</f>
        <v/>
      </c>
      <c r="P1498" s="14">
        <f>$C$8+($D$8-$C$8)*$AD1498</f>
        <v/>
      </c>
      <c r="Q1498" s="14">
        <f>$C$9</f>
        <v/>
      </c>
      <c r="R1498" s="14">
        <f>_xlfn.LOGNORM.INV($AF1498,LN($C$10)-0.5*LN(1+($D$10/$C$10)^2),SQRT(LN(1+($D$10/$C$10)^2)))</f>
        <v/>
      </c>
      <c r="S1498" s="14">
        <f>SUM(M1498:R1498)</f>
        <v/>
      </c>
      <c r="AA1498">
        <f>RAND()</f>
        <v/>
      </c>
      <c r="AB1498">
        <f>RAND()</f>
        <v/>
      </c>
      <c r="AC1498">
        <f>RAND()</f>
        <v/>
      </c>
      <c r="AD1498">
        <f>RAND()</f>
        <v/>
      </c>
      <c r="AE1498">
        <f>RAND()</f>
        <v/>
      </c>
      <c r="AF1498">
        <f>RAND()</f>
        <v/>
      </c>
    </row>
    <row r="1499">
      <c r="M1499" s="14">
        <f>_xlfn.BETA.INV($AA1499,1+4*($D$5-$C$5)/($E$5-$C$5),1+4*($E$5-$D$5)/($E$5-$C$5),$C$5,$E$5)</f>
        <v/>
      </c>
      <c r="N1499" s="14">
        <f>IF($AB1499&lt;($D$6-$C$6)/($E$6-$C$6),$C$6+SQRT($AB1499*($E$6-$C$6)*($D$6-$C$6)),$E$6-SQRT((1-$AB1499)*($E$6-$C$6)*($E$6-$D$6)))</f>
        <v/>
      </c>
      <c r="O1499" s="14">
        <f>_xlfn.NORM.INV($AC1499,$C$7,$D$7)</f>
        <v/>
      </c>
      <c r="P1499" s="14">
        <f>$C$8+($D$8-$C$8)*$AD1499</f>
        <v/>
      </c>
      <c r="Q1499" s="14">
        <f>$C$9</f>
        <v/>
      </c>
      <c r="R1499" s="14">
        <f>_xlfn.LOGNORM.INV($AF1499,LN($C$10)-0.5*LN(1+($D$10/$C$10)^2),SQRT(LN(1+($D$10/$C$10)^2)))</f>
        <v/>
      </c>
      <c r="S1499" s="14">
        <f>SUM(M1499:R1499)</f>
        <v/>
      </c>
      <c r="AA1499">
        <f>RAND()</f>
        <v/>
      </c>
      <c r="AB1499">
        <f>RAND()</f>
        <v/>
      </c>
      <c r="AC1499">
        <f>RAND()</f>
        <v/>
      </c>
      <c r="AD1499">
        <f>RAND()</f>
        <v/>
      </c>
      <c r="AE1499">
        <f>RAND()</f>
        <v/>
      </c>
      <c r="AF1499">
        <f>RAND()</f>
        <v/>
      </c>
    </row>
    <row r="1500">
      <c r="M1500" s="14">
        <f>_xlfn.BETA.INV($AA1500,1+4*($D$5-$C$5)/($E$5-$C$5),1+4*($E$5-$D$5)/($E$5-$C$5),$C$5,$E$5)</f>
        <v/>
      </c>
      <c r="N1500" s="14">
        <f>IF($AB1500&lt;($D$6-$C$6)/($E$6-$C$6),$C$6+SQRT($AB1500*($E$6-$C$6)*($D$6-$C$6)),$E$6-SQRT((1-$AB1500)*($E$6-$C$6)*($E$6-$D$6)))</f>
        <v/>
      </c>
      <c r="O1500" s="14">
        <f>_xlfn.NORM.INV($AC1500,$C$7,$D$7)</f>
        <v/>
      </c>
      <c r="P1500" s="14">
        <f>$C$8+($D$8-$C$8)*$AD1500</f>
        <v/>
      </c>
      <c r="Q1500" s="14">
        <f>$C$9</f>
        <v/>
      </c>
      <c r="R1500" s="14">
        <f>_xlfn.LOGNORM.INV($AF1500,LN($C$10)-0.5*LN(1+($D$10/$C$10)^2),SQRT(LN(1+($D$10/$C$10)^2)))</f>
        <v/>
      </c>
      <c r="S1500" s="14">
        <f>SUM(M1500:R1500)</f>
        <v/>
      </c>
      <c r="AA1500">
        <f>RAND()</f>
        <v/>
      </c>
      <c r="AB1500">
        <f>RAND()</f>
        <v/>
      </c>
      <c r="AC1500">
        <f>RAND()</f>
        <v/>
      </c>
      <c r="AD1500">
        <f>RAND()</f>
        <v/>
      </c>
      <c r="AE1500">
        <f>RAND()</f>
        <v/>
      </c>
      <c r="AF1500">
        <f>RAND()</f>
        <v/>
      </c>
    </row>
    <row r="1501">
      <c r="M1501" s="14">
        <f>_xlfn.BETA.INV($AA1501,1+4*($D$5-$C$5)/($E$5-$C$5),1+4*($E$5-$D$5)/($E$5-$C$5),$C$5,$E$5)</f>
        <v/>
      </c>
      <c r="N1501" s="14">
        <f>IF($AB1501&lt;($D$6-$C$6)/($E$6-$C$6),$C$6+SQRT($AB1501*($E$6-$C$6)*($D$6-$C$6)),$E$6-SQRT((1-$AB1501)*($E$6-$C$6)*($E$6-$D$6)))</f>
        <v/>
      </c>
      <c r="O1501" s="14">
        <f>_xlfn.NORM.INV($AC1501,$C$7,$D$7)</f>
        <v/>
      </c>
      <c r="P1501" s="14">
        <f>$C$8+($D$8-$C$8)*$AD1501</f>
        <v/>
      </c>
      <c r="Q1501" s="14">
        <f>$C$9</f>
        <v/>
      </c>
      <c r="R1501" s="14">
        <f>_xlfn.LOGNORM.INV($AF1501,LN($C$10)-0.5*LN(1+($D$10/$C$10)^2),SQRT(LN(1+($D$10/$C$10)^2)))</f>
        <v/>
      </c>
      <c r="S1501" s="14">
        <f>SUM(M1501:R1501)</f>
        <v/>
      </c>
      <c r="AA1501">
        <f>RAND()</f>
        <v/>
      </c>
      <c r="AB1501">
        <f>RAND()</f>
        <v/>
      </c>
      <c r="AC1501">
        <f>RAND()</f>
        <v/>
      </c>
      <c r="AD1501">
        <f>RAND()</f>
        <v/>
      </c>
      <c r="AE1501">
        <f>RAND()</f>
        <v/>
      </c>
      <c r="AF1501">
        <f>RAND()</f>
        <v/>
      </c>
    </row>
    <row r="1502">
      <c r="M1502" s="14">
        <f>_xlfn.BETA.INV($AA1502,1+4*($D$5-$C$5)/($E$5-$C$5),1+4*($E$5-$D$5)/($E$5-$C$5),$C$5,$E$5)</f>
        <v/>
      </c>
      <c r="N1502" s="14">
        <f>IF($AB1502&lt;($D$6-$C$6)/($E$6-$C$6),$C$6+SQRT($AB1502*($E$6-$C$6)*($D$6-$C$6)),$E$6-SQRT((1-$AB1502)*($E$6-$C$6)*($E$6-$D$6)))</f>
        <v/>
      </c>
      <c r="O1502" s="14">
        <f>_xlfn.NORM.INV($AC1502,$C$7,$D$7)</f>
        <v/>
      </c>
      <c r="P1502" s="14">
        <f>$C$8+($D$8-$C$8)*$AD1502</f>
        <v/>
      </c>
      <c r="Q1502" s="14">
        <f>$C$9</f>
        <v/>
      </c>
      <c r="R1502" s="14">
        <f>_xlfn.LOGNORM.INV($AF1502,LN($C$10)-0.5*LN(1+($D$10/$C$10)^2),SQRT(LN(1+($D$10/$C$10)^2)))</f>
        <v/>
      </c>
      <c r="S1502" s="14">
        <f>SUM(M1502:R1502)</f>
        <v/>
      </c>
      <c r="AA1502">
        <f>RAND()</f>
        <v/>
      </c>
      <c r="AB1502">
        <f>RAND()</f>
        <v/>
      </c>
      <c r="AC1502">
        <f>RAND()</f>
        <v/>
      </c>
      <c r="AD1502">
        <f>RAND()</f>
        <v/>
      </c>
      <c r="AE1502">
        <f>RAND()</f>
        <v/>
      </c>
      <c r="AF1502">
        <f>RAND()</f>
        <v/>
      </c>
    </row>
    <row r="1503">
      <c r="M1503" s="14">
        <f>_xlfn.BETA.INV($AA1503,1+4*($D$5-$C$5)/($E$5-$C$5),1+4*($E$5-$D$5)/($E$5-$C$5),$C$5,$E$5)</f>
        <v/>
      </c>
      <c r="N1503" s="14">
        <f>IF($AB1503&lt;($D$6-$C$6)/($E$6-$C$6),$C$6+SQRT($AB1503*($E$6-$C$6)*($D$6-$C$6)),$E$6-SQRT((1-$AB1503)*($E$6-$C$6)*($E$6-$D$6)))</f>
        <v/>
      </c>
      <c r="O1503" s="14">
        <f>_xlfn.NORM.INV($AC1503,$C$7,$D$7)</f>
        <v/>
      </c>
      <c r="P1503" s="14">
        <f>$C$8+($D$8-$C$8)*$AD1503</f>
        <v/>
      </c>
      <c r="Q1503" s="14">
        <f>$C$9</f>
        <v/>
      </c>
      <c r="R1503" s="14">
        <f>_xlfn.LOGNORM.INV($AF1503,LN($C$10)-0.5*LN(1+($D$10/$C$10)^2),SQRT(LN(1+($D$10/$C$10)^2)))</f>
        <v/>
      </c>
      <c r="S1503" s="14">
        <f>SUM(M1503:R1503)</f>
        <v/>
      </c>
      <c r="AA1503">
        <f>RAND()</f>
        <v/>
      </c>
      <c r="AB1503">
        <f>RAND()</f>
        <v/>
      </c>
      <c r="AC1503">
        <f>RAND()</f>
        <v/>
      </c>
      <c r="AD1503">
        <f>RAND()</f>
        <v/>
      </c>
      <c r="AE1503">
        <f>RAND()</f>
        <v/>
      </c>
      <c r="AF1503">
        <f>RAND()</f>
        <v/>
      </c>
    </row>
    <row r="1504">
      <c r="M1504" s="14">
        <f>_xlfn.BETA.INV($AA1504,1+4*($D$5-$C$5)/($E$5-$C$5),1+4*($E$5-$D$5)/($E$5-$C$5),$C$5,$E$5)</f>
        <v/>
      </c>
      <c r="N1504" s="14">
        <f>IF($AB1504&lt;($D$6-$C$6)/($E$6-$C$6),$C$6+SQRT($AB1504*($E$6-$C$6)*($D$6-$C$6)),$E$6-SQRT((1-$AB1504)*($E$6-$C$6)*($E$6-$D$6)))</f>
        <v/>
      </c>
      <c r="O1504" s="14">
        <f>_xlfn.NORM.INV($AC1504,$C$7,$D$7)</f>
        <v/>
      </c>
      <c r="P1504" s="14">
        <f>$C$8+($D$8-$C$8)*$AD1504</f>
        <v/>
      </c>
      <c r="Q1504" s="14">
        <f>$C$9</f>
        <v/>
      </c>
      <c r="R1504" s="14">
        <f>_xlfn.LOGNORM.INV($AF1504,LN($C$10)-0.5*LN(1+($D$10/$C$10)^2),SQRT(LN(1+($D$10/$C$10)^2)))</f>
        <v/>
      </c>
      <c r="S1504" s="14">
        <f>SUM(M1504:R1504)</f>
        <v/>
      </c>
      <c r="AA1504">
        <f>RAND()</f>
        <v/>
      </c>
      <c r="AB1504">
        <f>RAND()</f>
        <v/>
      </c>
      <c r="AC1504">
        <f>RAND()</f>
        <v/>
      </c>
      <c r="AD1504">
        <f>RAND()</f>
        <v/>
      </c>
      <c r="AE1504">
        <f>RAND()</f>
        <v/>
      </c>
      <c r="AF1504">
        <f>RAND()</f>
        <v/>
      </c>
    </row>
    <row r="1505">
      <c r="M1505" s="14">
        <f>_xlfn.BETA.INV($AA1505,1+4*($D$5-$C$5)/($E$5-$C$5),1+4*($E$5-$D$5)/($E$5-$C$5),$C$5,$E$5)</f>
        <v/>
      </c>
      <c r="N1505" s="14">
        <f>IF($AB1505&lt;($D$6-$C$6)/($E$6-$C$6),$C$6+SQRT($AB1505*($E$6-$C$6)*($D$6-$C$6)),$E$6-SQRT((1-$AB1505)*($E$6-$C$6)*($E$6-$D$6)))</f>
        <v/>
      </c>
      <c r="O1505" s="14">
        <f>_xlfn.NORM.INV($AC1505,$C$7,$D$7)</f>
        <v/>
      </c>
      <c r="P1505" s="14">
        <f>$C$8+($D$8-$C$8)*$AD1505</f>
        <v/>
      </c>
      <c r="Q1505" s="14">
        <f>$C$9</f>
        <v/>
      </c>
      <c r="R1505" s="14">
        <f>_xlfn.LOGNORM.INV($AF1505,LN($C$10)-0.5*LN(1+($D$10/$C$10)^2),SQRT(LN(1+($D$10/$C$10)^2)))</f>
        <v/>
      </c>
      <c r="S1505" s="14">
        <f>SUM(M1505:R1505)</f>
        <v/>
      </c>
      <c r="AA1505">
        <f>RAND()</f>
        <v/>
      </c>
      <c r="AB1505">
        <f>RAND()</f>
        <v/>
      </c>
      <c r="AC1505">
        <f>RAND()</f>
        <v/>
      </c>
      <c r="AD1505">
        <f>RAND()</f>
        <v/>
      </c>
      <c r="AE1505">
        <f>RAND()</f>
        <v/>
      </c>
      <c r="AF1505">
        <f>RAND()</f>
        <v/>
      </c>
    </row>
    <row r="1506">
      <c r="M1506" s="14">
        <f>_xlfn.BETA.INV($AA1506,1+4*($D$5-$C$5)/($E$5-$C$5),1+4*($E$5-$D$5)/($E$5-$C$5),$C$5,$E$5)</f>
        <v/>
      </c>
      <c r="N1506" s="14">
        <f>IF($AB1506&lt;($D$6-$C$6)/($E$6-$C$6),$C$6+SQRT($AB1506*($E$6-$C$6)*($D$6-$C$6)),$E$6-SQRT((1-$AB1506)*($E$6-$C$6)*($E$6-$D$6)))</f>
        <v/>
      </c>
      <c r="O1506" s="14">
        <f>_xlfn.NORM.INV($AC1506,$C$7,$D$7)</f>
        <v/>
      </c>
      <c r="P1506" s="14">
        <f>$C$8+($D$8-$C$8)*$AD1506</f>
        <v/>
      </c>
      <c r="Q1506" s="14">
        <f>$C$9</f>
        <v/>
      </c>
      <c r="R1506" s="14">
        <f>_xlfn.LOGNORM.INV($AF1506,LN($C$10)-0.5*LN(1+($D$10/$C$10)^2),SQRT(LN(1+($D$10/$C$10)^2)))</f>
        <v/>
      </c>
      <c r="S1506" s="14">
        <f>SUM(M1506:R1506)</f>
        <v/>
      </c>
      <c r="AA1506">
        <f>RAND()</f>
        <v/>
      </c>
      <c r="AB1506">
        <f>RAND()</f>
        <v/>
      </c>
      <c r="AC1506">
        <f>RAND()</f>
        <v/>
      </c>
      <c r="AD1506">
        <f>RAND()</f>
        <v/>
      </c>
      <c r="AE1506">
        <f>RAND()</f>
        <v/>
      </c>
      <c r="AF1506">
        <f>RAND()</f>
        <v/>
      </c>
    </row>
    <row r="1507">
      <c r="M1507" s="14">
        <f>_xlfn.BETA.INV($AA1507,1+4*($D$5-$C$5)/($E$5-$C$5),1+4*($E$5-$D$5)/($E$5-$C$5),$C$5,$E$5)</f>
        <v/>
      </c>
      <c r="N1507" s="14">
        <f>IF($AB1507&lt;($D$6-$C$6)/($E$6-$C$6),$C$6+SQRT($AB1507*($E$6-$C$6)*($D$6-$C$6)),$E$6-SQRT((1-$AB1507)*($E$6-$C$6)*($E$6-$D$6)))</f>
        <v/>
      </c>
      <c r="O1507" s="14">
        <f>_xlfn.NORM.INV($AC1507,$C$7,$D$7)</f>
        <v/>
      </c>
      <c r="P1507" s="14">
        <f>$C$8+($D$8-$C$8)*$AD1507</f>
        <v/>
      </c>
      <c r="Q1507" s="14">
        <f>$C$9</f>
        <v/>
      </c>
      <c r="R1507" s="14">
        <f>_xlfn.LOGNORM.INV($AF1507,LN($C$10)-0.5*LN(1+($D$10/$C$10)^2),SQRT(LN(1+($D$10/$C$10)^2)))</f>
        <v/>
      </c>
      <c r="S1507" s="14">
        <f>SUM(M1507:R1507)</f>
        <v/>
      </c>
      <c r="AA1507">
        <f>RAND()</f>
        <v/>
      </c>
      <c r="AB1507">
        <f>RAND()</f>
        <v/>
      </c>
      <c r="AC1507">
        <f>RAND()</f>
        <v/>
      </c>
      <c r="AD1507">
        <f>RAND()</f>
        <v/>
      </c>
      <c r="AE1507">
        <f>RAND()</f>
        <v/>
      </c>
      <c r="AF1507">
        <f>RAND()</f>
        <v/>
      </c>
    </row>
    <row r="1508">
      <c r="M1508" s="14">
        <f>_xlfn.BETA.INV($AA1508,1+4*($D$5-$C$5)/($E$5-$C$5),1+4*($E$5-$D$5)/($E$5-$C$5),$C$5,$E$5)</f>
        <v/>
      </c>
      <c r="N1508" s="14">
        <f>IF($AB1508&lt;($D$6-$C$6)/($E$6-$C$6),$C$6+SQRT($AB1508*($E$6-$C$6)*($D$6-$C$6)),$E$6-SQRT((1-$AB1508)*($E$6-$C$6)*($E$6-$D$6)))</f>
        <v/>
      </c>
      <c r="O1508" s="14">
        <f>_xlfn.NORM.INV($AC1508,$C$7,$D$7)</f>
        <v/>
      </c>
      <c r="P1508" s="14">
        <f>$C$8+($D$8-$C$8)*$AD1508</f>
        <v/>
      </c>
      <c r="Q1508" s="14">
        <f>$C$9</f>
        <v/>
      </c>
      <c r="R1508" s="14">
        <f>_xlfn.LOGNORM.INV($AF1508,LN($C$10)-0.5*LN(1+($D$10/$C$10)^2),SQRT(LN(1+($D$10/$C$10)^2)))</f>
        <v/>
      </c>
      <c r="S1508" s="14">
        <f>SUM(M1508:R1508)</f>
        <v/>
      </c>
      <c r="AA1508">
        <f>RAND()</f>
        <v/>
      </c>
      <c r="AB1508">
        <f>RAND()</f>
        <v/>
      </c>
      <c r="AC1508">
        <f>RAND()</f>
        <v/>
      </c>
      <c r="AD1508">
        <f>RAND()</f>
        <v/>
      </c>
      <c r="AE1508">
        <f>RAND()</f>
        <v/>
      </c>
      <c r="AF1508">
        <f>RAND()</f>
        <v/>
      </c>
    </row>
    <row r="1509">
      <c r="M1509" s="14">
        <f>_xlfn.BETA.INV($AA1509,1+4*($D$5-$C$5)/($E$5-$C$5),1+4*($E$5-$D$5)/($E$5-$C$5),$C$5,$E$5)</f>
        <v/>
      </c>
      <c r="N1509" s="14">
        <f>IF($AB1509&lt;($D$6-$C$6)/($E$6-$C$6),$C$6+SQRT($AB1509*($E$6-$C$6)*($D$6-$C$6)),$E$6-SQRT((1-$AB1509)*($E$6-$C$6)*($E$6-$D$6)))</f>
        <v/>
      </c>
      <c r="O1509" s="14">
        <f>_xlfn.NORM.INV($AC1509,$C$7,$D$7)</f>
        <v/>
      </c>
      <c r="P1509" s="14">
        <f>$C$8+($D$8-$C$8)*$AD1509</f>
        <v/>
      </c>
      <c r="Q1509" s="14">
        <f>$C$9</f>
        <v/>
      </c>
      <c r="R1509" s="14">
        <f>_xlfn.LOGNORM.INV($AF1509,LN($C$10)-0.5*LN(1+($D$10/$C$10)^2),SQRT(LN(1+($D$10/$C$10)^2)))</f>
        <v/>
      </c>
      <c r="S1509" s="14">
        <f>SUM(M1509:R1509)</f>
        <v/>
      </c>
      <c r="AA1509">
        <f>RAND()</f>
        <v/>
      </c>
      <c r="AB1509">
        <f>RAND()</f>
        <v/>
      </c>
      <c r="AC1509">
        <f>RAND()</f>
        <v/>
      </c>
      <c r="AD1509">
        <f>RAND()</f>
        <v/>
      </c>
      <c r="AE1509">
        <f>RAND()</f>
        <v/>
      </c>
      <c r="AF1509">
        <f>RAND()</f>
        <v/>
      </c>
    </row>
    <row r="1510">
      <c r="M1510" s="14">
        <f>_xlfn.BETA.INV($AA1510,1+4*($D$5-$C$5)/($E$5-$C$5),1+4*($E$5-$D$5)/($E$5-$C$5),$C$5,$E$5)</f>
        <v/>
      </c>
      <c r="N1510" s="14">
        <f>IF($AB1510&lt;($D$6-$C$6)/($E$6-$C$6),$C$6+SQRT($AB1510*($E$6-$C$6)*($D$6-$C$6)),$E$6-SQRT((1-$AB1510)*($E$6-$C$6)*($E$6-$D$6)))</f>
        <v/>
      </c>
      <c r="O1510" s="14">
        <f>_xlfn.NORM.INV($AC1510,$C$7,$D$7)</f>
        <v/>
      </c>
      <c r="P1510" s="14">
        <f>$C$8+($D$8-$C$8)*$AD1510</f>
        <v/>
      </c>
      <c r="Q1510" s="14">
        <f>$C$9</f>
        <v/>
      </c>
      <c r="R1510" s="14">
        <f>_xlfn.LOGNORM.INV($AF1510,LN($C$10)-0.5*LN(1+($D$10/$C$10)^2),SQRT(LN(1+($D$10/$C$10)^2)))</f>
        <v/>
      </c>
      <c r="S1510" s="14">
        <f>SUM(M1510:R1510)</f>
        <v/>
      </c>
      <c r="AA1510">
        <f>RAND()</f>
        <v/>
      </c>
      <c r="AB1510">
        <f>RAND()</f>
        <v/>
      </c>
      <c r="AC1510">
        <f>RAND()</f>
        <v/>
      </c>
      <c r="AD1510">
        <f>RAND()</f>
        <v/>
      </c>
      <c r="AE1510">
        <f>RAND()</f>
        <v/>
      </c>
      <c r="AF1510">
        <f>RAND()</f>
        <v/>
      </c>
    </row>
    <row r="1511">
      <c r="M1511" s="14">
        <f>_xlfn.BETA.INV($AA1511,1+4*($D$5-$C$5)/($E$5-$C$5),1+4*($E$5-$D$5)/($E$5-$C$5),$C$5,$E$5)</f>
        <v/>
      </c>
      <c r="N1511" s="14">
        <f>IF($AB1511&lt;($D$6-$C$6)/($E$6-$C$6),$C$6+SQRT($AB1511*($E$6-$C$6)*($D$6-$C$6)),$E$6-SQRT((1-$AB1511)*($E$6-$C$6)*($E$6-$D$6)))</f>
        <v/>
      </c>
      <c r="O1511" s="14">
        <f>_xlfn.NORM.INV($AC1511,$C$7,$D$7)</f>
        <v/>
      </c>
      <c r="P1511" s="14">
        <f>$C$8+($D$8-$C$8)*$AD1511</f>
        <v/>
      </c>
      <c r="Q1511" s="14">
        <f>$C$9</f>
        <v/>
      </c>
      <c r="R1511" s="14">
        <f>_xlfn.LOGNORM.INV($AF1511,LN($C$10)-0.5*LN(1+($D$10/$C$10)^2),SQRT(LN(1+($D$10/$C$10)^2)))</f>
        <v/>
      </c>
      <c r="S1511" s="14">
        <f>SUM(M1511:R1511)</f>
        <v/>
      </c>
      <c r="AA1511">
        <f>RAND()</f>
        <v/>
      </c>
      <c r="AB1511">
        <f>RAND()</f>
        <v/>
      </c>
      <c r="AC1511">
        <f>RAND()</f>
        <v/>
      </c>
      <c r="AD1511">
        <f>RAND()</f>
        <v/>
      </c>
      <c r="AE1511">
        <f>RAND()</f>
        <v/>
      </c>
      <c r="AF1511">
        <f>RAND()</f>
        <v/>
      </c>
    </row>
    <row r="1512">
      <c r="M1512" s="14">
        <f>_xlfn.BETA.INV($AA1512,1+4*($D$5-$C$5)/($E$5-$C$5),1+4*($E$5-$D$5)/($E$5-$C$5),$C$5,$E$5)</f>
        <v/>
      </c>
      <c r="N1512" s="14">
        <f>IF($AB1512&lt;($D$6-$C$6)/($E$6-$C$6),$C$6+SQRT($AB1512*($E$6-$C$6)*($D$6-$C$6)),$E$6-SQRT((1-$AB1512)*($E$6-$C$6)*($E$6-$D$6)))</f>
        <v/>
      </c>
      <c r="O1512" s="14">
        <f>_xlfn.NORM.INV($AC1512,$C$7,$D$7)</f>
        <v/>
      </c>
      <c r="P1512" s="14">
        <f>$C$8+($D$8-$C$8)*$AD1512</f>
        <v/>
      </c>
      <c r="Q1512" s="14">
        <f>$C$9</f>
        <v/>
      </c>
      <c r="R1512" s="14">
        <f>_xlfn.LOGNORM.INV($AF1512,LN($C$10)-0.5*LN(1+($D$10/$C$10)^2),SQRT(LN(1+($D$10/$C$10)^2)))</f>
        <v/>
      </c>
      <c r="S1512" s="14">
        <f>SUM(M1512:R1512)</f>
        <v/>
      </c>
      <c r="AA1512">
        <f>RAND()</f>
        <v/>
      </c>
      <c r="AB1512">
        <f>RAND()</f>
        <v/>
      </c>
      <c r="AC1512">
        <f>RAND()</f>
        <v/>
      </c>
      <c r="AD1512">
        <f>RAND()</f>
        <v/>
      </c>
      <c r="AE1512">
        <f>RAND()</f>
        <v/>
      </c>
      <c r="AF1512">
        <f>RAND()</f>
        <v/>
      </c>
    </row>
    <row r="1513">
      <c r="M1513" s="14">
        <f>_xlfn.BETA.INV($AA1513,1+4*($D$5-$C$5)/($E$5-$C$5),1+4*($E$5-$D$5)/($E$5-$C$5),$C$5,$E$5)</f>
        <v/>
      </c>
      <c r="N1513" s="14">
        <f>IF($AB1513&lt;($D$6-$C$6)/($E$6-$C$6),$C$6+SQRT($AB1513*($E$6-$C$6)*($D$6-$C$6)),$E$6-SQRT((1-$AB1513)*($E$6-$C$6)*($E$6-$D$6)))</f>
        <v/>
      </c>
      <c r="O1513" s="14">
        <f>_xlfn.NORM.INV($AC1513,$C$7,$D$7)</f>
        <v/>
      </c>
      <c r="P1513" s="14">
        <f>$C$8+($D$8-$C$8)*$AD1513</f>
        <v/>
      </c>
      <c r="Q1513" s="14">
        <f>$C$9</f>
        <v/>
      </c>
      <c r="R1513" s="14">
        <f>_xlfn.LOGNORM.INV($AF1513,LN($C$10)-0.5*LN(1+($D$10/$C$10)^2),SQRT(LN(1+($D$10/$C$10)^2)))</f>
        <v/>
      </c>
      <c r="S1513" s="14">
        <f>SUM(M1513:R1513)</f>
        <v/>
      </c>
      <c r="AA1513">
        <f>RAND()</f>
        <v/>
      </c>
      <c r="AB1513">
        <f>RAND()</f>
        <v/>
      </c>
      <c r="AC1513">
        <f>RAND()</f>
        <v/>
      </c>
      <c r="AD1513">
        <f>RAND()</f>
        <v/>
      </c>
      <c r="AE1513">
        <f>RAND()</f>
        <v/>
      </c>
      <c r="AF1513">
        <f>RAND()</f>
        <v/>
      </c>
    </row>
    <row r="1514">
      <c r="M1514" s="14">
        <f>_xlfn.BETA.INV($AA1514,1+4*($D$5-$C$5)/($E$5-$C$5),1+4*($E$5-$D$5)/($E$5-$C$5),$C$5,$E$5)</f>
        <v/>
      </c>
      <c r="N1514" s="14">
        <f>IF($AB1514&lt;($D$6-$C$6)/($E$6-$C$6),$C$6+SQRT($AB1514*($E$6-$C$6)*($D$6-$C$6)),$E$6-SQRT((1-$AB1514)*($E$6-$C$6)*($E$6-$D$6)))</f>
        <v/>
      </c>
      <c r="O1514" s="14">
        <f>_xlfn.NORM.INV($AC1514,$C$7,$D$7)</f>
        <v/>
      </c>
      <c r="P1514" s="14">
        <f>$C$8+($D$8-$C$8)*$AD1514</f>
        <v/>
      </c>
      <c r="Q1514" s="14">
        <f>$C$9</f>
        <v/>
      </c>
      <c r="R1514" s="14">
        <f>_xlfn.LOGNORM.INV($AF1514,LN($C$10)-0.5*LN(1+($D$10/$C$10)^2),SQRT(LN(1+($D$10/$C$10)^2)))</f>
        <v/>
      </c>
      <c r="S1514" s="14">
        <f>SUM(M1514:R1514)</f>
        <v/>
      </c>
      <c r="AA1514">
        <f>RAND()</f>
        <v/>
      </c>
      <c r="AB1514">
        <f>RAND()</f>
        <v/>
      </c>
      <c r="AC1514">
        <f>RAND()</f>
        <v/>
      </c>
      <c r="AD1514">
        <f>RAND()</f>
        <v/>
      </c>
      <c r="AE1514">
        <f>RAND()</f>
        <v/>
      </c>
      <c r="AF1514">
        <f>RAND()</f>
        <v/>
      </c>
    </row>
    <row r="1515">
      <c r="M1515" s="14">
        <f>_xlfn.BETA.INV($AA1515,1+4*($D$5-$C$5)/($E$5-$C$5),1+4*($E$5-$D$5)/($E$5-$C$5),$C$5,$E$5)</f>
        <v/>
      </c>
      <c r="N1515" s="14">
        <f>IF($AB1515&lt;($D$6-$C$6)/($E$6-$C$6),$C$6+SQRT($AB1515*($E$6-$C$6)*($D$6-$C$6)),$E$6-SQRT((1-$AB1515)*($E$6-$C$6)*($E$6-$D$6)))</f>
        <v/>
      </c>
      <c r="O1515" s="14">
        <f>_xlfn.NORM.INV($AC1515,$C$7,$D$7)</f>
        <v/>
      </c>
      <c r="P1515" s="14">
        <f>$C$8+($D$8-$C$8)*$AD1515</f>
        <v/>
      </c>
      <c r="Q1515" s="14">
        <f>$C$9</f>
        <v/>
      </c>
      <c r="R1515" s="14">
        <f>_xlfn.LOGNORM.INV($AF1515,LN($C$10)-0.5*LN(1+($D$10/$C$10)^2),SQRT(LN(1+($D$10/$C$10)^2)))</f>
        <v/>
      </c>
      <c r="S1515" s="14">
        <f>SUM(M1515:R1515)</f>
        <v/>
      </c>
      <c r="AA1515">
        <f>RAND()</f>
        <v/>
      </c>
      <c r="AB1515">
        <f>RAND()</f>
        <v/>
      </c>
      <c r="AC1515">
        <f>RAND()</f>
        <v/>
      </c>
      <c r="AD1515">
        <f>RAND()</f>
        <v/>
      </c>
      <c r="AE1515">
        <f>RAND()</f>
        <v/>
      </c>
      <c r="AF1515">
        <f>RAND()</f>
        <v/>
      </c>
    </row>
    <row r="1516">
      <c r="M1516" s="14">
        <f>_xlfn.BETA.INV($AA1516,1+4*($D$5-$C$5)/($E$5-$C$5),1+4*($E$5-$D$5)/($E$5-$C$5),$C$5,$E$5)</f>
        <v/>
      </c>
      <c r="N1516" s="14">
        <f>IF($AB1516&lt;($D$6-$C$6)/($E$6-$C$6),$C$6+SQRT($AB1516*($E$6-$C$6)*($D$6-$C$6)),$E$6-SQRT((1-$AB1516)*($E$6-$C$6)*($E$6-$D$6)))</f>
        <v/>
      </c>
      <c r="O1516" s="14">
        <f>_xlfn.NORM.INV($AC1516,$C$7,$D$7)</f>
        <v/>
      </c>
      <c r="P1516" s="14">
        <f>$C$8+($D$8-$C$8)*$AD1516</f>
        <v/>
      </c>
      <c r="Q1516" s="14">
        <f>$C$9</f>
        <v/>
      </c>
      <c r="R1516" s="14">
        <f>_xlfn.LOGNORM.INV($AF1516,LN($C$10)-0.5*LN(1+($D$10/$C$10)^2),SQRT(LN(1+($D$10/$C$10)^2)))</f>
        <v/>
      </c>
      <c r="S1516" s="14">
        <f>SUM(M1516:R1516)</f>
        <v/>
      </c>
      <c r="AA1516">
        <f>RAND()</f>
        <v/>
      </c>
      <c r="AB1516">
        <f>RAND()</f>
        <v/>
      </c>
      <c r="AC1516">
        <f>RAND()</f>
        <v/>
      </c>
      <c r="AD1516">
        <f>RAND()</f>
        <v/>
      </c>
      <c r="AE1516">
        <f>RAND()</f>
        <v/>
      </c>
      <c r="AF1516">
        <f>RAND()</f>
        <v/>
      </c>
    </row>
    <row r="1517">
      <c r="M1517" s="14">
        <f>_xlfn.BETA.INV($AA1517,1+4*($D$5-$C$5)/($E$5-$C$5),1+4*($E$5-$D$5)/($E$5-$C$5),$C$5,$E$5)</f>
        <v/>
      </c>
      <c r="N1517" s="14">
        <f>IF($AB1517&lt;($D$6-$C$6)/($E$6-$C$6),$C$6+SQRT($AB1517*($E$6-$C$6)*($D$6-$C$6)),$E$6-SQRT((1-$AB1517)*($E$6-$C$6)*($E$6-$D$6)))</f>
        <v/>
      </c>
      <c r="O1517" s="14">
        <f>_xlfn.NORM.INV($AC1517,$C$7,$D$7)</f>
        <v/>
      </c>
      <c r="P1517" s="14">
        <f>$C$8+($D$8-$C$8)*$AD1517</f>
        <v/>
      </c>
      <c r="Q1517" s="14">
        <f>$C$9</f>
        <v/>
      </c>
      <c r="R1517" s="14">
        <f>_xlfn.LOGNORM.INV($AF1517,LN($C$10)-0.5*LN(1+($D$10/$C$10)^2),SQRT(LN(1+($D$10/$C$10)^2)))</f>
        <v/>
      </c>
      <c r="S1517" s="14">
        <f>SUM(M1517:R1517)</f>
        <v/>
      </c>
      <c r="AA1517">
        <f>RAND()</f>
        <v/>
      </c>
      <c r="AB1517">
        <f>RAND()</f>
        <v/>
      </c>
      <c r="AC1517">
        <f>RAND()</f>
        <v/>
      </c>
      <c r="AD1517">
        <f>RAND()</f>
        <v/>
      </c>
      <c r="AE1517">
        <f>RAND()</f>
        <v/>
      </c>
      <c r="AF1517">
        <f>RAND()</f>
        <v/>
      </c>
    </row>
    <row r="1518">
      <c r="M1518" s="14">
        <f>_xlfn.BETA.INV($AA1518,1+4*($D$5-$C$5)/($E$5-$C$5),1+4*($E$5-$D$5)/($E$5-$C$5),$C$5,$E$5)</f>
        <v/>
      </c>
      <c r="N1518" s="14">
        <f>IF($AB1518&lt;($D$6-$C$6)/($E$6-$C$6),$C$6+SQRT($AB1518*($E$6-$C$6)*($D$6-$C$6)),$E$6-SQRT((1-$AB1518)*($E$6-$C$6)*($E$6-$D$6)))</f>
        <v/>
      </c>
      <c r="O1518" s="14">
        <f>_xlfn.NORM.INV($AC1518,$C$7,$D$7)</f>
        <v/>
      </c>
      <c r="P1518" s="14">
        <f>$C$8+($D$8-$C$8)*$AD1518</f>
        <v/>
      </c>
      <c r="Q1518" s="14">
        <f>$C$9</f>
        <v/>
      </c>
      <c r="R1518" s="14">
        <f>_xlfn.LOGNORM.INV($AF1518,LN($C$10)-0.5*LN(1+($D$10/$C$10)^2),SQRT(LN(1+($D$10/$C$10)^2)))</f>
        <v/>
      </c>
      <c r="S1518" s="14">
        <f>SUM(M1518:R1518)</f>
        <v/>
      </c>
      <c r="AA1518">
        <f>RAND()</f>
        <v/>
      </c>
      <c r="AB1518">
        <f>RAND()</f>
        <v/>
      </c>
      <c r="AC1518">
        <f>RAND()</f>
        <v/>
      </c>
      <c r="AD1518">
        <f>RAND()</f>
        <v/>
      </c>
      <c r="AE1518">
        <f>RAND()</f>
        <v/>
      </c>
      <c r="AF1518">
        <f>RAND()</f>
        <v/>
      </c>
    </row>
    <row r="1519">
      <c r="M1519" s="14">
        <f>_xlfn.BETA.INV($AA1519,1+4*($D$5-$C$5)/($E$5-$C$5),1+4*($E$5-$D$5)/($E$5-$C$5),$C$5,$E$5)</f>
        <v/>
      </c>
      <c r="N1519" s="14">
        <f>IF($AB1519&lt;($D$6-$C$6)/($E$6-$C$6),$C$6+SQRT($AB1519*($E$6-$C$6)*($D$6-$C$6)),$E$6-SQRT((1-$AB1519)*($E$6-$C$6)*($E$6-$D$6)))</f>
        <v/>
      </c>
      <c r="O1519" s="14">
        <f>_xlfn.NORM.INV($AC1519,$C$7,$D$7)</f>
        <v/>
      </c>
      <c r="P1519" s="14">
        <f>$C$8+($D$8-$C$8)*$AD1519</f>
        <v/>
      </c>
      <c r="Q1519" s="14">
        <f>$C$9</f>
        <v/>
      </c>
      <c r="R1519" s="14">
        <f>_xlfn.LOGNORM.INV($AF1519,LN($C$10)-0.5*LN(1+($D$10/$C$10)^2),SQRT(LN(1+($D$10/$C$10)^2)))</f>
        <v/>
      </c>
      <c r="S1519" s="14">
        <f>SUM(M1519:R1519)</f>
        <v/>
      </c>
      <c r="AA1519">
        <f>RAND()</f>
        <v/>
      </c>
      <c r="AB1519">
        <f>RAND()</f>
        <v/>
      </c>
      <c r="AC1519">
        <f>RAND()</f>
        <v/>
      </c>
      <c r="AD1519">
        <f>RAND()</f>
        <v/>
      </c>
      <c r="AE1519">
        <f>RAND()</f>
        <v/>
      </c>
      <c r="AF1519">
        <f>RAND()</f>
        <v/>
      </c>
    </row>
    <row r="1520">
      <c r="M1520" s="14">
        <f>_xlfn.BETA.INV($AA1520,1+4*($D$5-$C$5)/($E$5-$C$5),1+4*($E$5-$D$5)/($E$5-$C$5),$C$5,$E$5)</f>
        <v/>
      </c>
      <c r="N1520" s="14">
        <f>IF($AB1520&lt;($D$6-$C$6)/($E$6-$C$6),$C$6+SQRT($AB1520*($E$6-$C$6)*($D$6-$C$6)),$E$6-SQRT((1-$AB1520)*($E$6-$C$6)*($E$6-$D$6)))</f>
        <v/>
      </c>
      <c r="O1520" s="14">
        <f>_xlfn.NORM.INV($AC1520,$C$7,$D$7)</f>
        <v/>
      </c>
      <c r="P1520" s="14">
        <f>$C$8+($D$8-$C$8)*$AD1520</f>
        <v/>
      </c>
      <c r="Q1520" s="14">
        <f>$C$9</f>
        <v/>
      </c>
      <c r="R1520" s="14">
        <f>_xlfn.LOGNORM.INV($AF1520,LN($C$10)-0.5*LN(1+($D$10/$C$10)^2),SQRT(LN(1+($D$10/$C$10)^2)))</f>
        <v/>
      </c>
      <c r="S1520" s="14">
        <f>SUM(M1520:R1520)</f>
        <v/>
      </c>
      <c r="AA1520">
        <f>RAND()</f>
        <v/>
      </c>
      <c r="AB1520">
        <f>RAND()</f>
        <v/>
      </c>
      <c r="AC1520">
        <f>RAND()</f>
        <v/>
      </c>
      <c r="AD1520">
        <f>RAND()</f>
        <v/>
      </c>
      <c r="AE1520">
        <f>RAND()</f>
        <v/>
      </c>
      <c r="AF1520">
        <f>RAND()</f>
        <v/>
      </c>
    </row>
    <row r="1521">
      <c r="M1521" s="14">
        <f>_xlfn.BETA.INV($AA1521,1+4*($D$5-$C$5)/($E$5-$C$5),1+4*($E$5-$D$5)/($E$5-$C$5),$C$5,$E$5)</f>
        <v/>
      </c>
      <c r="N1521" s="14">
        <f>IF($AB1521&lt;($D$6-$C$6)/($E$6-$C$6),$C$6+SQRT($AB1521*($E$6-$C$6)*($D$6-$C$6)),$E$6-SQRT((1-$AB1521)*($E$6-$C$6)*($E$6-$D$6)))</f>
        <v/>
      </c>
      <c r="O1521" s="14">
        <f>_xlfn.NORM.INV($AC1521,$C$7,$D$7)</f>
        <v/>
      </c>
      <c r="P1521" s="14">
        <f>$C$8+($D$8-$C$8)*$AD1521</f>
        <v/>
      </c>
      <c r="Q1521" s="14">
        <f>$C$9</f>
        <v/>
      </c>
      <c r="R1521" s="14">
        <f>_xlfn.LOGNORM.INV($AF1521,LN($C$10)-0.5*LN(1+($D$10/$C$10)^2),SQRT(LN(1+($D$10/$C$10)^2)))</f>
        <v/>
      </c>
      <c r="S1521" s="14">
        <f>SUM(M1521:R1521)</f>
        <v/>
      </c>
      <c r="AA1521">
        <f>RAND()</f>
        <v/>
      </c>
      <c r="AB1521">
        <f>RAND()</f>
        <v/>
      </c>
      <c r="AC1521">
        <f>RAND()</f>
        <v/>
      </c>
      <c r="AD1521">
        <f>RAND()</f>
        <v/>
      </c>
      <c r="AE1521">
        <f>RAND()</f>
        <v/>
      </c>
      <c r="AF1521">
        <f>RAND()</f>
        <v/>
      </c>
    </row>
    <row r="1522">
      <c r="M1522" s="14">
        <f>_xlfn.BETA.INV($AA1522,1+4*($D$5-$C$5)/($E$5-$C$5),1+4*($E$5-$D$5)/($E$5-$C$5),$C$5,$E$5)</f>
        <v/>
      </c>
      <c r="N1522" s="14">
        <f>IF($AB1522&lt;($D$6-$C$6)/($E$6-$C$6),$C$6+SQRT($AB1522*($E$6-$C$6)*($D$6-$C$6)),$E$6-SQRT((1-$AB1522)*($E$6-$C$6)*($E$6-$D$6)))</f>
        <v/>
      </c>
      <c r="O1522" s="14">
        <f>_xlfn.NORM.INV($AC1522,$C$7,$D$7)</f>
        <v/>
      </c>
      <c r="P1522" s="14">
        <f>$C$8+($D$8-$C$8)*$AD1522</f>
        <v/>
      </c>
      <c r="Q1522" s="14">
        <f>$C$9</f>
        <v/>
      </c>
      <c r="R1522" s="14">
        <f>_xlfn.LOGNORM.INV($AF1522,LN($C$10)-0.5*LN(1+($D$10/$C$10)^2),SQRT(LN(1+($D$10/$C$10)^2)))</f>
        <v/>
      </c>
      <c r="S1522" s="14">
        <f>SUM(M1522:R1522)</f>
        <v/>
      </c>
      <c r="AA1522">
        <f>RAND()</f>
        <v/>
      </c>
      <c r="AB1522">
        <f>RAND()</f>
        <v/>
      </c>
      <c r="AC1522">
        <f>RAND()</f>
        <v/>
      </c>
      <c r="AD1522">
        <f>RAND()</f>
        <v/>
      </c>
      <c r="AE1522">
        <f>RAND()</f>
        <v/>
      </c>
      <c r="AF1522">
        <f>RAND()</f>
        <v/>
      </c>
    </row>
    <row r="1523">
      <c r="M1523" s="14">
        <f>_xlfn.BETA.INV($AA1523,1+4*($D$5-$C$5)/($E$5-$C$5),1+4*($E$5-$D$5)/($E$5-$C$5),$C$5,$E$5)</f>
        <v/>
      </c>
      <c r="N1523" s="14">
        <f>IF($AB1523&lt;($D$6-$C$6)/($E$6-$C$6),$C$6+SQRT($AB1523*($E$6-$C$6)*($D$6-$C$6)),$E$6-SQRT((1-$AB1523)*($E$6-$C$6)*($E$6-$D$6)))</f>
        <v/>
      </c>
      <c r="O1523" s="14">
        <f>_xlfn.NORM.INV($AC1523,$C$7,$D$7)</f>
        <v/>
      </c>
      <c r="P1523" s="14">
        <f>$C$8+($D$8-$C$8)*$AD1523</f>
        <v/>
      </c>
      <c r="Q1523" s="14">
        <f>$C$9</f>
        <v/>
      </c>
      <c r="R1523" s="14">
        <f>_xlfn.LOGNORM.INV($AF1523,LN($C$10)-0.5*LN(1+($D$10/$C$10)^2),SQRT(LN(1+($D$10/$C$10)^2)))</f>
        <v/>
      </c>
      <c r="S1523" s="14">
        <f>SUM(M1523:R1523)</f>
        <v/>
      </c>
      <c r="AA1523">
        <f>RAND()</f>
        <v/>
      </c>
      <c r="AB1523">
        <f>RAND()</f>
        <v/>
      </c>
      <c r="AC1523">
        <f>RAND()</f>
        <v/>
      </c>
      <c r="AD1523">
        <f>RAND()</f>
        <v/>
      </c>
      <c r="AE1523">
        <f>RAND()</f>
        <v/>
      </c>
      <c r="AF1523">
        <f>RAND()</f>
        <v/>
      </c>
    </row>
    <row r="1524">
      <c r="M1524" s="14">
        <f>_xlfn.BETA.INV($AA1524,1+4*($D$5-$C$5)/($E$5-$C$5),1+4*($E$5-$D$5)/($E$5-$C$5),$C$5,$E$5)</f>
        <v/>
      </c>
      <c r="N1524" s="14">
        <f>IF($AB1524&lt;($D$6-$C$6)/($E$6-$C$6),$C$6+SQRT($AB1524*($E$6-$C$6)*($D$6-$C$6)),$E$6-SQRT((1-$AB1524)*($E$6-$C$6)*($E$6-$D$6)))</f>
        <v/>
      </c>
      <c r="O1524" s="14">
        <f>_xlfn.NORM.INV($AC1524,$C$7,$D$7)</f>
        <v/>
      </c>
      <c r="P1524" s="14">
        <f>$C$8+($D$8-$C$8)*$AD1524</f>
        <v/>
      </c>
      <c r="Q1524" s="14">
        <f>$C$9</f>
        <v/>
      </c>
      <c r="R1524" s="14">
        <f>_xlfn.LOGNORM.INV($AF1524,LN($C$10)-0.5*LN(1+($D$10/$C$10)^2),SQRT(LN(1+($D$10/$C$10)^2)))</f>
        <v/>
      </c>
      <c r="S1524" s="14">
        <f>SUM(M1524:R1524)</f>
        <v/>
      </c>
      <c r="AA1524">
        <f>RAND()</f>
        <v/>
      </c>
      <c r="AB1524">
        <f>RAND()</f>
        <v/>
      </c>
      <c r="AC1524">
        <f>RAND()</f>
        <v/>
      </c>
      <c r="AD1524">
        <f>RAND()</f>
        <v/>
      </c>
      <c r="AE1524">
        <f>RAND()</f>
        <v/>
      </c>
      <c r="AF1524">
        <f>RAND()</f>
        <v/>
      </c>
    </row>
    <row r="1525">
      <c r="M1525" s="14">
        <f>_xlfn.BETA.INV($AA1525,1+4*($D$5-$C$5)/($E$5-$C$5),1+4*($E$5-$D$5)/($E$5-$C$5),$C$5,$E$5)</f>
        <v/>
      </c>
      <c r="N1525" s="14">
        <f>IF($AB1525&lt;($D$6-$C$6)/($E$6-$C$6),$C$6+SQRT($AB1525*($E$6-$C$6)*($D$6-$C$6)),$E$6-SQRT((1-$AB1525)*($E$6-$C$6)*($E$6-$D$6)))</f>
        <v/>
      </c>
      <c r="O1525" s="14">
        <f>_xlfn.NORM.INV($AC1525,$C$7,$D$7)</f>
        <v/>
      </c>
      <c r="P1525" s="14">
        <f>$C$8+($D$8-$C$8)*$AD1525</f>
        <v/>
      </c>
      <c r="Q1525" s="14">
        <f>$C$9</f>
        <v/>
      </c>
      <c r="R1525" s="14">
        <f>_xlfn.LOGNORM.INV($AF1525,LN($C$10)-0.5*LN(1+($D$10/$C$10)^2),SQRT(LN(1+($D$10/$C$10)^2)))</f>
        <v/>
      </c>
      <c r="S1525" s="14">
        <f>SUM(M1525:R1525)</f>
        <v/>
      </c>
      <c r="AA1525">
        <f>RAND()</f>
        <v/>
      </c>
      <c r="AB1525">
        <f>RAND()</f>
        <v/>
      </c>
      <c r="AC1525">
        <f>RAND()</f>
        <v/>
      </c>
      <c r="AD1525">
        <f>RAND()</f>
        <v/>
      </c>
      <c r="AE1525">
        <f>RAND()</f>
        <v/>
      </c>
      <c r="AF1525">
        <f>RAND()</f>
        <v/>
      </c>
    </row>
    <row r="1526">
      <c r="M1526" s="14">
        <f>_xlfn.BETA.INV($AA1526,1+4*($D$5-$C$5)/($E$5-$C$5),1+4*($E$5-$D$5)/($E$5-$C$5),$C$5,$E$5)</f>
        <v/>
      </c>
      <c r="N1526" s="14">
        <f>IF($AB1526&lt;($D$6-$C$6)/($E$6-$C$6),$C$6+SQRT($AB1526*($E$6-$C$6)*($D$6-$C$6)),$E$6-SQRT((1-$AB1526)*($E$6-$C$6)*($E$6-$D$6)))</f>
        <v/>
      </c>
      <c r="O1526" s="14">
        <f>_xlfn.NORM.INV($AC1526,$C$7,$D$7)</f>
        <v/>
      </c>
      <c r="P1526" s="14">
        <f>$C$8+($D$8-$C$8)*$AD1526</f>
        <v/>
      </c>
      <c r="Q1526" s="14">
        <f>$C$9</f>
        <v/>
      </c>
      <c r="R1526" s="14">
        <f>_xlfn.LOGNORM.INV($AF1526,LN($C$10)-0.5*LN(1+($D$10/$C$10)^2),SQRT(LN(1+($D$10/$C$10)^2)))</f>
        <v/>
      </c>
      <c r="S1526" s="14">
        <f>SUM(M1526:R1526)</f>
        <v/>
      </c>
      <c r="AA1526">
        <f>RAND()</f>
        <v/>
      </c>
      <c r="AB1526">
        <f>RAND()</f>
        <v/>
      </c>
      <c r="AC1526">
        <f>RAND()</f>
        <v/>
      </c>
      <c r="AD1526">
        <f>RAND()</f>
        <v/>
      </c>
      <c r="AE1526">
        <f>RAND()</f>
        <v/>
      </c>
      <c r="AF1526">
        <f>RAND()</f>
        <v/>
      </c>
    </row>
    <row r="1527">
      <c r="M1527" s="14">
        <f>_xlfn.BETA.INV($AA1527,1+4*($D$5-$C$5)/($E$5-$C$5),1+4*($E$5-$D$5)/($E$5-$C$5),$C$5,$E$5)</f>
        <v/>
      </c>
      <c r="N1527" s="14">
        <f>IF($AB1527&lt;($D$6-$C$6)/($E$6-$C$6),$C$6+SQRT($AB1527*($E$6-$C$6)*($D$6-$C$6)),$E$6-SQRT((1-$AB1527)*($E$6-$C$6)*($E$6-$D$6)))</f>
        <v/>
      </c>
      <c r="O1527" s="14">
        <f>_xlfn.NORM.INV($AC1527,$C$7,$D$7)</f>
        <v/>
      </c>
      <c r="P1527" s="14">
        <f>$C$8+($D$8-$C$8)*$AD1527</f>
        <v/>
      </c>
      <c r="Q1527" s="14">
        <f>$C$9</f>
        <v/>
      </c>
      <c r="R1527" s="14">
        <f>_xlfn.LOGNORM.INV($AF1527,LN($C$10)-0.5*LN(1+($D$10/$C$10)^2),SQRT(LN(1+($D$10/$C$10)^2)))</f>
        <v/>
      </c>
      <c r="S1527" s="14">
        <f>SUM(M1527:R1527)</f>
        <v/>
      </c>
      <c r="AA1527">
        <f>RAND()</f>
        <v/>
      </c>
      <c r="AB1527">
        <f>RAND()</f>
        <v/>
      </c>
      <c r="AC1527">
        <f>RAND()</f>
        <v/>
      </c>
      <c r="AD1527">
        <f>RAND()</f>
        <v/>
      </c>
      <c r="AE1527">
        <f>RAND()</f>
        <v/>
      </c>
      <c r="AF1527">
        <f>RAND()</f>
        <v/>
      </c>
    </row>
    <row r="1528">
      <c r="M1528" s="14">
        <f>_xlfn.BETA.INV($AA1528,1+4*($D$5-$C$5)/($E$5-$C$5),1+4*($E$5-$D$5)/($E$5-$C$5),$C$5,$E$5)</f>
        <v/>
      </c>
      <c r="N1528" s="14">
        <f>IF($AB1528&lt;($D$6-$C$6)/($E$6-$C$6),$C$6+SQRT($AB1528*($E$6-$C$6)*($D$6-$C$6)),$E$6-SQRT((1-$AB1528)*($E$6-$C$6)*($E$6-$D$6)))</f>
        <v/>
      </c>
      <c r="O1528" s="14">
        <f>_xlfn.NORM.INV($AC1528,$C$7,$D$7)</f>
        <v/>
      </c>
      <c r="P1528" s="14">
        <f>$C$8+($D$8-$C$8)*$AD1528</f>
        <v/>
      </c>
      <c r="Q1528" s="14">
        <f>$C$9</f>
        <v/>
      </c>
      <c r="R1528" s="14">
        <f>_xlfn.LOGNORM.INV($AF1528,LN($C$10)-0.5*LN(1+($D$10/$C$10)^2),SQRT(LN(1+($D$10/$C$10)^2)))</f>
        <v/>
      </c>
      <c r="S1528" s="14">
        <f>SUM(M1528:R1528)</f>
        <v/>
      </c>
      <c r="AA1528">
        <f>RAND()</f>
        <v/>
      </c>
      <c r="AB1528">
        <f>RAND()</f>
        <v/>
      </c>
      <c r="AC1528">
        <f>RAND()</f>
        <v/>
      </c>
      <c r="AD1528">
        <f>RAND()</f>
        <v/>
      </c>
      <c r="AE1528">
        <f>RAND()</f>
        <v/>
      </c>
      <c r="AF1528">
        <f>RAND()</f>
        <v/>
      </c>
    </row>
    <row r="1529">
      <c r="M1529" s="14">
        <f>_xlfn.BETA.INV($AA1529,1+4*($D$5-$C$5)/($E$5-$C$5),1+4*($E$5-$D$5)/($E$5-$C$5),$C$5,$E$5)</f>
        <v/>
      </c>
      <c r="N1529" s="14">
        <f>IF($AB1529&lt;($D$6-$C$6)/($E$6-$C$6),$C$6+SQRT($AB1529*($E$6-$C$6)*($D$6-$C$6)),$E$6-SQRT((1-$AB1529)*($E$6-$C$6)*($E$6-$D$6)))</f>
        <v/>
      </c>
      <c r="O1529" s="14">
        <f>_xlfn.NORM.INV($AC1529,$C$7,$D$7)</f>
        <v/>
      </c>
      <c r="P1529" s="14">
        <f>$C$8+($D$8-$C$8)*$AD1529</f>
        <v/>
      </c>
      <c r="Q1529" s="14">
        <f>$C$9</f>
        <v/>
      </c>
      <c r="R1529" s="14">
        <f>_xlfn.LOGNORM.INV($AF1529,LN($C$10)-0.5*LN(1+($D$10/$C$10)^2),SQRT(LN(1+($D$10/$C$10)^2)))</f>
        <v/>
      </c>
      <c r="S1529" s="14">
        <f>SUM(M1529:R1529)</f>
        <v/>
      </c>
      <c r="AA1529">
        <f>RAND()</f>
        <v/>
      </c>
      <c r="AB1529">
        <f>RAND()</f>
        <v/>
      </c>
      <c r="AC1529">
        <f>RAND()</f>
        <v/>
      </c>
      <c r="AD1529">
        <f>RAND()</f>
        <v/>
      </c>
      <c r="AE1529">
        <f>RAND()</f>
        <v/>
      </c>
      <c r="AF1529">
        <f>RAND()</f>
        <v/>
      </c>
    </row>
    <row r="1530">
      <c r="M1530" s="14">
        <f>_xlfn.BETA.INV($AA1530,1+4*($D$5-$C$5)/($E$5-$C$5),1+4*($E$5-$D$5)/($E$5-$C$5),$C$5,$E$5)</f>
        <v/>
      </c>
      <c r="N1530" s="14">
        <f>IF($AB1530&lt;($D$6-$C$6)/($E$6-$C$6),$C$6+SQRT($AB1530*($E$6-$C$6)*($D$6-$C$6)),$E$6-SQRT((1-$AB1530)*($E$6-$C$6)*($E$6-$D$6)))</f>
        <v/>
      </c>
      <c r="O1530" s="14">
        <f>_xlfn.NORM.INV($AC1530,$C$7,$D$7)</f>
        <v/>
      </c>
      <c r="P1530" s="14">
        <f>$C$8+($D$8-$C$8)*$AD1530</f>
        <v/>
      </c>
      <c r="Q1530" s="14">
        <f>$C$9</f>
        <v/>
      </c>
      <c r="R1530" s="14">
        <f>_xlfn.LOGNORM.INV($AF1530,LN($C$10)-0.5*LN(1+($D$10/$C$10)^2),SQRT(LN(1+($D$10/$C$10)^2)))</f>
        <v/>
      </c>
      <c r="S1530" s="14">
        <f>SUM(M1530:R1530)</f>
        <v/>
      </c>
      <c r="AA1530">
        <f>RAND()</f>
        <v/>
      </c>
      <c r="AB1530">
        <f>RAND()</f>
        <v/>
      </c>
      <c r="AC1530">
        <f>RAND()</f>
        <v/>
      </c>
      <c r="AD1530">
        <f>RAND()</f>
        <v/>
      </c>
      <c r="AE1530">
        <f>RAND()</f>
        <v/>
      </c>
      <c r="AF1530">
        <f>RAND()</f>
        <v/>
      </c>
    </row>
    <row r="1531">
      <c r="M1531" s="14">
        <f>_xlfn.BETA.INV($AA1531,1+4*($D$5-$C$5)/($E$5-$C$5),1+4*($E$5-$D$5)/($E$5-$C$5),$C$5,$E$5)</f>
        <v/>
      </c>
      <c r="N1531" s="14">
        <f>IF($AB1531&lt;($D$6-$C$6)/($E$6-$C$6),$C$6+SQRT($AB1531*($E$6-$C$6)*($D$6-$C$6)),$E$6-SQRT((1-$AB1531)*($E$6-$C$6)*($E$6-$D$6)))</f>
        <v/>
      </c>
      <c r="O1531" s="14">
        <f>_xlfn.NORM.INV($AC1531,$C$7,$D$7)</f>
        <v/>
      </c>
      <c r="P1531" s="14">
        <f>$C$8+($D$8-$C$8)*$AD1531</f>
        <v/>
      </c>
      <c r="Q1531" s="14">
        <f>$C$9</f>
        <v/>
      </c>
      <c r="R1531" s="14">
        <f>_xlfn.LOGNORM.INV($AF1531,LN($C$10)-0.5*LN(1+($D$10/$C$10)^2),SQRT(LN(1+($D$10/$C$10)^2)))</f>
        <v/>
      </c>
      <c r="S1531" s="14">
        <f>SUM(M1531:R1531)</f>
        <v/>
      </c>
      <c r="AA1531">
        <f>RAND()</f>
        <v/>
      </c>
      <c r="AB1531">
        <f>RAND()</f>
        <v/>
      </c>
      <c r="AC1531">
        <f>RAND()</f>
        <v/>
      </c>
      <c r="AD1531">
        <f>RAND()</f>
        <v/>
      </c>
      <c r="AE1531">
        <f>RAND()</f>
        <v/>
      </c>
      <c r="AF1531">
        <f>RAND()</f>
        <v/>
      </c>
    </row>
    <row r="1532">
      <c r="M1532" s="14">
        <f>_xlfn.BETA.INV($AA1532,1+4*($D$5-$C$5)/($E$5-$C$5),1+4*($E$5-$D$5)/($E$5-$C$5),$C$5,$E$5)</f>
        <v/>
      </c>
      <c r="N1532" s="14">
        <f>IF($AB1532&lt;($D$6-$C$6)/($E$6-$C$6),$C$6+SQRT($AB1532*($E$6-$C$6)*($D$6-$C$6)),$E$6-SQRT((1-$AB1532)*($E$6-$C$6)*($E$6-$D$6)))</f>
        <v/>
      </c>
      <c r="O1532" s="14">
        <f>_xlfn.NORM.INV($AC1532,$C$7,$D$7)</f>
        <v/>
      </c>
      <c r="P1532" s="14">
        <f>$C$8+($D$8-$C$8)*$AD1532</f>
        <v/>
      </c>
      <c r="Q1532" s="14">
        <f>$C$9</f>
        <v/>
      </c>
      <c r="R1532" s="14">
        <f>_xlfn.LOGNORM.INV($AF1532,LN($C$10)-0.5*LN(1+($D$10/$C$10)^2),SQRT(LN(1+($D$10/$C$10)^2)))</f>
        <v/>
      </c>
      <c r="S1532" s="14">
        <f>SUM(M1532:R1532)</f>
        <v/>
      </c>
      <c r="AA1532">
        <f>RAND()</f>
        <v/>
      </c>
      <c r="AB1532">
        <f>RAND()</f>
        <v/>
      </c>
      <c r="AC1532">
        <f>RAND()</f>
        <v/>
      </c>
      <c r="AD1532">
        <f>RAND()</f>
        <v/>
      </c>
      <c r="AE1532">
        <f>RAND()</f>
        <v/>
      </c>
      <c r="AF1532">
        <f>RAND()</f>
        <v/>
      </c>
    </row>
    <row r="1533">
      <c r="M1533" s="14">
        <f>_xlfn.BETA.INV($AA1533,1+4*($D$5-$C$5)/($E$5-$C$5),1+4*($E$5-$D$5)/($E$5-$C$5),$C$5,$E$5)</f>
        <v/>
      </c>
      <c r="N1533" s="14">
        <f>IF($AB1533&lt;($D$6-$C$6)/($E$6-$C$6),$C$6+SQRT($AB1533*($E$6-$C$6)*($D$6-$C$6)),$E$6-SQRT((1-$AB1533)*($E$6-$C$6)*($E$6-$D$6)))</f>
        <v/>
      </c>
      <c r="O1533" s="14">
        <f>_xlfn.NORM.INV($AC1533,$C$7,$D$7)</f>
        <v/>
      </c>
      <c r="P1533" s="14">
        <f>$C$8+($D$8-$C$8)*$AD1533</f>
        <v/>
      </c>
      <c r="Q1533" s="14">
        <f>$C$9</f>
        <v/>
      </c>
      <c r="R1533" s="14">
        <f>_xlfn.LOGNORM.INV($AF1533,LN($C$10)-0.5*LN(1+($D$10/$C$10)^2),SQRT(LN(1+($D$10/$C$10)^2)))</f>
        <v/>
      </c>
      <c r="S1533" s="14">
        <f>SUM(M1533:R1533)</f>
        <v/>
      </c>
      <c r="AA1533">
        <f>RAND()</f>
        <v/>
      </c>
      <c r="AB1533">
        <f>RAND()</f>
        <v/>
      </c>
      <c r="AC1533">
        <f>RAND()</f>
        <v/>
      </c>
      <c r="AD1533">
        <f>RAND()</f>
        <v/>
      </c>
      <c r="AE1533">
        <f>RAND()</f>
        <v/>
      </c>
      <c r="AF1533">
        <f>RAND()</f>
        <v/>
      </c>
    </row>
    <row r="1534">
      <c r="M1534" s="14">
        <f>_xlfn.BETA.INV($AA1534,1+4*($D$5-$C$5)/($E$5-$C$5),1+4*($E$5-$D$5)/($E$5-$C$5),$C$5,$E$5)</f>
        <v/>
      </c>
      <c r="N1534" s="14">
        <f>IF($AB1534&lt;($D$6-$C$6)/($E$6-$C$6),$C$6+SQRT($AB1534*($E$6-$C$6)*($D$6-$C$6)),$E$6-SQRT((1-$AB1534)*($E$6-$C$6)*($E$6-$D$6)))</f>
        <v/>
      </c>
      <c r="O1534" s="14">
        <f>_xlfn.NORM.INV($AC1534,$C$7,$D$7)</f>
        <v/>
      </c>
      <c r="P1534" s="14">
        <f>$C$8+($D$8-$C$8)*$AD1534</f>
        <v/>
      </c>
      <c r="Q1534" s="14">
        <f>$C$9</f>
        <v/>
      </c>
      <c r="R1534" s="14">
        <f>_xlfn.LOGNORM.INV($AF1534,LN($C$10)-0.5*LN(1+($D$10/$C$10)^2),SQRT(LN(1+($D$10/$C$10)^2)))</f>
        <v/>
      </c>
      <c r="S1534" s="14">
        <f>SUM(M1534:R1534)</f>
        <v/>
      </c>
      <c r="AA1534">
        <f>RAND()</f>
        <v/>
      </c>
      <c r="AB1534">
        <f>RAND()</f>
        <v/>
      </c>
      <c r="AC1534">
        <f>RAND()</f>
        <v/>
      </c>
      <c r="AD1534">
        <f>RAND()</f>
        <v/>
      </c>
      <c r="AE1534">
        <f>RAND()</f>
        <v/>
      </c>
      <c r="AF1534">
        <f>RAND()</f>
        <v/>
      </c>
    </row>
    <row r="1535">
      <c r="M1535" s="14">
        <f>_xlfn.BETA.INV($AA1535,1+4*($D$5-$C$5)/($E$5-$C$5),1+4*($E$5-$D$5)/($E$5-$C$5),$C$5,$E$5)</f>
        <v/>
      </c>
      <c r="N1535" s="14">
        <f>IF($AB1535&lt;($D$6-$C$6)/($E$6-$C$6),$C$6+SQRT($AB1535*($E$6-$C$6)*($D$6-$C$6)),$E$6-SQRT((1-$AB1535)*($E$6-$C$6)*($E$6-$D$6)))</f>
        <v/>
      </c>
      <c r="O1535" s="14">
        <f>_xlfn.NORM.INV($AC1535,$C$7,$D$7)</f>
        <v/>
      </c>
      <c r="P1535" s="14">
        <f>$C$8+($D$8-$C$8)*$AD1535</f>
        <v/>
      </c>
      <c r="Q1535" s="14">
        <f>$C$9</f>
        <v/>
      </c>
      <c r="R1535" s="14">
        <f>_xlfn.LOGNORM.INV($AF1535,LN($C$10)-0.5*LN(1+($D$10/$C$10)^2),SQRT(LN(1+($D$10/$C$10)^2)))</f>
        <v/>
      </c>
      <c r="S1535" s="14">
        <f>SUM(M1535:R1535)</f>
        <v/>
      </c>
      <c r="AA1535">
        <f>RAND()</f>
        <v/>
      </c>
      <c r="AB1535">
        <f>RAND()</f>
        <v/>
      </c>
      <c r="AC1535">
        <f>RAND()</f>
        <v/>
      </c>
      <c r="AD1535">
        <f>RAND()</f>
        <v/>
      </c>
      <c r="AE1535">
        <f>RAND()</f>
        <v/>
      </c>
      <c r="AF1535">
        <f>RAND()</f>
        <v/>
      </c>
    </row>
    <row r="1536">
      <c r="M1536" s="14">
        <f>_xlfn.BETA.INV($AA1536,1+4*($D$5-$C$5)/($E$5-$C$5),1+4*($E$5-$D$5)/($E$5-$C$5),$C$5,$E$5)</f>
        <v/>
      </c>
      <c r="N1536" s="14">
        <f>IF($AB1536&lt;($D$6-$C$6)/($E$6-$C$6),$C$6+SQRT($AB1536*($E$6-$C$6)*($D$6-$C$6)),$E$6-SQRT((1-$AB1536)*($E$6-$C$6)*($E$6-$D$6)))</f>
        <v/>
      </c>
      <c r="O1536" s="14">
        <f>_xlfn.NORM.INV($AC1536,$C$7,$D$7)</f>
        <v/>
      </c>
      <c r="P1536" s="14">
        <f>$C$8+($D$8-$C$8)*$AD1536</f>
        <v/>
      </c>
      <c r="Q1536" s="14">
        <f>$C$9</f>
        <v/>
      </c>
      <c r="R1536" s="14">
        <f>_xlfn.LOGNORM.INV($AF1536,LN($C$10)-0.5*LN(1+($D$10/$C$10)^2),SQRT(LN(1+($D$10/$C$10)^2)))</f>
        <v/>
      </c>
      <c r="S1536" s="14">
        <f>SUM(M1536:R1536)</f>
        <v/>
      </c>
      <c r="AA1536">
        <f>RAND()</f>
        <v/>
      </c>
      <c r="AB1536">
        <f>RAND()</f>
        <v/>
      </c>
      <c r="AC1536">
        <f>RAND()</f>
        <v/>
      </c>
      <c r="AD1536">
        <f>RAND()</f>
        <v/>
      </c>
      <c r="AE1536">
        <f>RAND()</f>
        <v/>
      </c>
      <c r="AF1536">
        <f>RAND()</f>
        <v/>
      </c>
    </row>
    <row r="1537">
      <c r="M1537" s="14">
        <f>_xlfn.BETA.INV($AA1537,1+4*($D$5-$C$5)/($E$5-$C$5),1+4*($E$5-$D$5)/($E$5-$C$5),$C$5,$E$5)</f>
        <v/>
      </c>
      <c r="N1537" s="14">
        <f>IF($AB1537&lt;($D$6-$C$6)/($E$6-$C$6),$C$6+SQRT($AB1537*($E$6-$C$6)*($D$6-$C$6)),$E$6-SQRT((1-$AB1537)*($E$6-$C$6)*($E$6-$D$6)))</f>
        <v/>
      </c>
      <c r="O1537" s="14">
        <f>_xlfn.NORM.INV($AC1537,$C$7,$D$7)</f>
        <v/>
      </c>
      <c r="P1537" s="14">
        <f>$C$8+($D$8-$C$8)*$AD1537</f>
        <v/>
      </c>
      <c r="Q1537" s="14">
        <f>$C$9</f>
        <v/>
      </c>
      <c r="R1537" s="14">
        <f>_xlfn.LOGNORM.INV($AF1537,LN($C$10)-0.5*LN(1+($D$10/$C$10)^2),SQRT(LN(1+($D$10/$C$10)^2)))</f>
        <v/>
      </c>
      <c r="S1537" s="14">
        <f>SUM(M1537:R1537)</f>
        <v/>
      </c>
      <c r="AA1537">
        <f>RAND()</f>
        <v/>
      </c>
      <c r="AB1537">
        <f>RAND()</f>
        <v/>
      </c>
      <c r="AC1537">
        <f>RAND()</f>
        <v/>
      </c>
      <c r="AD1537">
        <f>RAND()</f>
        <v/>
      </c>
      <c r="AE1537">
        <f>RAND()</f>
        <v/>
      </c>
      <c r="AF1537">
        <f>RAND()</f>
        <v/>
      </c>
    </row>
    <row r="1538">
      <c r="M1538" s="14">
        <f>_xlfn.BETA.INV($AA1538,1+4*($D$5-$C$5)/($E$5-$C$5),1+4*($E$5-$D$5)/($E$5-$C$5),$C$5,$E$5)</f>
        <v/>
      </c>
      <c r="N1538" s="14">
        <f>IF($AB1538&lt;($D$6-$C$6)/($E$6-$C$6),$C$6+SQRT($AB1538*($E$6-$C$6)*($D$6-$C$6)),$E$6-SQRT((1-$AB1538)*($E$6-$C$6)*($E$6-$D$6)))</f>
        <v/>
      </c>
      <c r="O1538" s="14">
        <f>_xlfn.NORM.INV($AC1538,$C$7,$D$7)</f>
        <v/>
      </c>
      <c r="P1538" s="14">
        <f>$C$8+($D$8-$C$8)*$AD1538</f>
        <v/>
      </c>
      <c r="Q1538" s="14">
        <f>$C$9</f>
        <v/>
      </c>
      <c r="R1538" s="14">
        <f>_xlfn.LOGNORM.INV($AF1538,LN($C$10)-0.5*LN(1+($D$10/$C$10)^2),SQRT(LN(1+($D$10/$C$10)^2)))</f>
        <v/>
      </c>
      <c r="S1538" s="14">
        <f>SUM(M1538:R1538)</f>
        <v/>
      </c>
      <c r="AA1538">
        <f>RAND()</f>
        <v/>
      </c>
      <c r="AB1538">
        <f>RAND()</f>
        <v/>
      </c>
      <c r="AC1538">
        <f>RAND()</f>
        <v/>
      </c>
      <c r="AD1538">
        <f>RAND()</f>
        <v/>
      </c>
      <c r="AE1538">
        <f>RAND()</f>
        <v/>
      </c>
      <c r="AF1538">
        <f>RAND()</f>
        <v/>
      </c>
    </row>
    <row r="1539">
      <c r="M1539" s="14">
        <f>_xlfn.BETA.INV($AA1539,1+4*($D$5-$C$5)/($E$5-$C$5),1+4*($E$5-$D$5)/($E$5-$C$5),$C$5,$E$5)</f>
        <v/>
      </c>
      <c r="N1539" s="14">
        <f>IF($AB1539&lt;($D$6-$C$6)/($E$6-$C$6),$C$6+SQRT($AB1539*($E$6-$C$6)*($D$6-$C$6)),$E$6-SQRT((1-$AB1539)*($E$6-$C$6)*($E$6-$D$6)))</f>
        <v/>
      </c>
      <c r="O1539" s="14">
        <f>_xlfn.NORM.INV($AC1539,$C$7,$D$7)</f>
        <v/>
      </c>
      <c r="P1539" s="14">
        <f>$C$8+($D$8-$C$8)*$AD1539</f>
        <v/>
      </c>
      <c r="Q1539" s="14">
        <f>$C$9</f>
        <v/>
      </c>
      <c r="R1539" s="14">
        <f>_xlfn.LOGNORM.INV($AF1539,LN($C$10)-0.5*LN(1+($D$10/$C$10)^2),SQRT(LN(1+($D$10/$C$10)^2)))</f>
        <v/>
      </c>
      <c r="S1539" s="14">
        <f>SUM(M1539:R1539)</f>
        <v/>
      </c>
      <c r="AA1539">
        <f>RAND()</f>
        <v/>
      </c>
      <c r="AB1539">
        <f>RAND()</f>
        <v/>
      </c>
      <c r="AC1539">
        <f>RAND()</f>
        <v/>
      </c>
      <c r="AD1539">
        <f>RAND()</f>
        <v/>
      </c>
      <c r="AE1539">
        <f>RAND()</f>
        <v/>
      </c>
      <c r="AF1539">
        <f>RAND()</f>
        <v/>
      </c>
    </row>
    <row r="1540">
      <c r="M1540" s="14">
        <f>_xlfn.BETA.INV($AA1540,1+4*($D$5-$C$5)/($E$5-$C$5),1+4*($E$5-$D$5)/($E$5-$C$5),$C$5,$E$5)</f>
        <v/>
      </c>
      <c r="N1540" s="14">
        <f>IF($AB1540&lt;($D$6-$C$6)/($E$6-$C$6),$C$6+SQRT($AB1540*($E$6-$C$6)*($D$6-$C$6)),$E$6-SQRT((1-$AB1540)*($E$6-$C$6)*($E$6-$D$6)))</f>
        <v/>
      </c>
      <c r="O1540" s="14">
        <f>_xlfn.NORM.INV($AC1540,$C$7,$D$7)</f>
        <v/>
      </c>
      <c r="P1540" s="14">
        <f>$C$8+($D$8-$C$8)*$AD1540</f>
        <v/>
      </c>
      <c r="Q1540" s="14">
        <f>$C$9</f>
        <v/>
      </c>
      <c r="R1540" s="14">
        <f>_xlfn.LOGNORM.INV($AF1540,LN($C$10)-0.5*LN(1+($D$10/$C$10)^2),SQRT(LN(1+($D$10/$C$10)^2)))</f>
        <v/>
      </c>
      <c r="S1540" s="14">
        <f>SUM(M1540:R1540)</f>
        <v/>
      </c>
      <c r="AA1540">
        <f>RAND()</f>
        <v/>
      </c>
      <c r="AB1540">
        <f>RAND()</f>
        <v/>
      </c>
      <c r="AC1540">
        <f>RAND()</f>
        <v/>
      </c>
      <c r="AD1540">
        <f>RAND()</f>
        <v/>
      </c>
      <c r="AE1540">
        <f>RAND()</f>
        <v/>
      </c>
      <c r="AF1540">
        <f>RAND()</f>
        <v/>
      </c>
    </row>
    <row r="1541">
      <c r="M1541" s="14">
        <f>_xlfn.BETA.INV($AA1541,1+4*($D$5-$C$5)/($E$5-$C$5),1+4*($E$5-$D$5)/($E$5-$C$5),$C$5,$E$5)</f>
        <v/>
      </c>
      <c r="N1541" s="14">
        <f>IF($AB1541&lt;($D$6-$C$6)/($E$6-$C$6),$C$6+SQRT($AB1541*($E$6-$C$6)*($D$6-$C$6)),$E$6-SQRT((1-$AB1541)*($E$6-$C$6)*($E$6-$D$6)))</f>
        <v/>
      </c>
      <c r="O1541" s="14">
        <f>_xlfn.NORM.INV($AC1541,$C$7,$D$7)</f>
        <v/>
      </c>
      <c r="P1541" s="14">
        <f>$C$8+($D$8-$C$8)*$AD1541</f>
        <v/>
      </c>
      <c r="Q1541" s="14">
        <f>$C$9</f>
        <v/>
      </c>
      <c r="R1541" s="14">
        <f>_xlfn.LOGNORM.INV($AF1541,LN($C$10)-0.5*LN(1+($D$10/$C$10)^2),SQRT(LN(1+($D$10/$C$10)^2)))</f>
        <v/>
      </c>
      <c r="S1541" s="14">
        <f>SUM(M1541:R1541)</f>
        <v/>
      </c>
      <c r="AA1541">
        <f>RAND()</f>
        <v/>
      </c>
      <c r="AB1541">
        <f>RAND()</f>
        <v/>
      </c>
      <c r="AC1541">
        <f>RAND()</f>
        <v/>
      </c>
      <c r="AD1541">
        <f>RAND()</f>
        <v/>
      </c>
      <c r="AE1541">
        <f>RAND()</f>
        <v/>
      </c>
      <c r="AF1541">
        <f>RAND()</f>
        <v/>
      </c>
    </row>
    <row r="1542">
      <c r="M1542" s="14">
        <f>_xlfn.BETA.INV($AA1542,1+4*($D$5-$C$5)/($E$5-$C$5),1+4*($E$5-$D$5)/($E$5-$C$5),$C$5,$E$5)</f>
        <v/>
      </c>
      <c r="N1542" s="14">
        <f>IF($AB1542&lt;($D$6-$C$6)/($E$6-$C$6),$C$6+SQRT($AB1542*($E$6-$C$6)*($D$6-$C$6)),$E$6-SQRT((1-$AB1542)*($E$6-$C$6)*($E$6-$D$6)))</f>
        <v/>
      </c>
      <c r="O1542" s="14">
        <f>_xlfn.NORM.INV($AC1542,$C$7,$D$7)</f>
        <v/>
      </c>
      <c r="P1542" s="14">
        <f>$C$8+($D$8-$C$8)*$AD1542</f>
        <v/>
      </c>
      <c r="Q1542" s="14">
        <f>$C$9</f>
        <v/>
      </c>
      <c r="R1542" s="14">
        <f>_xlfn.LOGNORM.INV($AF1542,LN($C$10)-0.5*LN(1+($D$10/$C$10)^2),SQRT(LN(1+($D$10/$C$10)^2)))</f>
        <v/>
      </c>
      <c r="S1542" s="14">
        <f>SUM(M1542:R1542)</f>
        <v/>
      </c>
      <c r="AA1542">
        <f>RAND()</f>
        <v/>
      </c>
      <c r="AB1542">
        <f>RAND()</f>
        <v/>
      </c>
      <c r="AC1542">
        <f>RAND()</f>
        <v/>
      </c>
      <c r="AD1542">
        <f>RAND()</f>
        <v/>
      </c>
      <c r="AE1542">
        <f>RAND()</f>
        <v/>
      </c>
      <c r="AF1542">
        <f>RAND()</f>
        <v/>
      </c>
    </row>
    <row r="1543">
      <c r="M1543" s="14">
        <f>_xlfn.BETA.INV($AA1543,1+4*($D$5-$C$5)/($E$5-$C$5),1+4*($E$5-$D$5)/($E$5-$C$5),$C$5,$E$5)</f>
        <v/>
      </c>
      <c r="N1543" s="14">
        <f>IF($AB1543&lt;($D$6-$C$6)/($E$6-$C$6),$C$6+SQRT($AB1543*($E$6-$C$6)*($D$6-$C$6)),$E$6-SQRT((1-$AB1543)*($E$6-$C$6)*($E$6-$D$6)))</f>
        <v/>
      </c>
      <c r="O1543" s="14">
        <f>_xlfn.NORM.INV($AC1543,$C$7,$D$7)</f>
        <v/>
      </c>
      <c r="P1543" s="14">
        <f>$C$8+($D$8-$C$8)*$AD1543</f>
        <v/>
      </c>
      <c r="Q1543" s="14">
        <f>$C$9</f>
        <v/>
      </c>
      <c r="R1543" s="14">
        <f>_xlfn.LOGNORM.INV($AF1543,LN($C$10)-0.5*LN(1+($D$10/$C$10)^2),SQRT(LN(1+($D$10/$C$10)^2)))</f>
        <v/>
      </c>
      <c r="S1543" s="14">
        <f>SUM(M1543:R1543)</f>
        <v/>
      </c>
      <c r="AA1543">
        <f>RAND()</f>
        <v/>
      </c>
      <c r="AB1543">
        <f>RAND()</f>
        <v/>
      </c>
      <c r="AC1543">
        <f>RAND()</f>
        <v/>
      </c>
      <c r="AD1543">
        <f>RAND()</f>
        <v/>
      </c>
      <c r="AE1543">
        <f>RAND()</f>
        <v/>
      </c>
      <c r="AF1543">
        <f>RAND()</f>
        <v/>
      </c>
    </row>
    <row r="1544">
      <c r="M1544" s="14">
        <f>_xlfn.BETA.INV($AA1544,1+4*($D$5-$C$5)/($E$5-$C$5),1+4*($E$5-$D$5)/($E$5-$C$5),$C$5,$E$5)</f>
        <v/>
      </c>
      <c r="N1544" s="14">
        <f>IF($AB1544&lt;($D$6-$C$6)/($E$6-$C$6),$C$6+SQRT($AB1544*($E$6-$C$6)*($D$6-$C$6)),$E$6-SQRT((1-$AB1544)*($E$6-$C$6)*($E$6-$D$6)))</f>
        <v/>
      </c>
      <c r="O1544" s="14">
        <f>_xlfn.NORM.INV($AC1544,$C$7,$D$7)</f>
        <v/>
      </c>
      <c r="P1544" s="14">
        <f>$C$8+($D$8-$C$8)*$AD1544</f>
        <v/>
      </c>
      <c r="Q1544" s="14">
        <f>$C$9</f>
        <v/>
      </c>
      <c r="R1544" s="14">
        <f>_xlfn.LOGNORM.INV($AF1544,LN($C$10)-0.5*LN(1+($D$10/$C$10)^2),SQRT(LN(1+($D$10/$C$10)^2)))</f>
        <v/>
      </c>
      <c r="S1544" s="14">
        <f>SUM(M1544:R1544)</f>
        <v/>
      </c>
      <c r="AA1544">
        <f>RAND()</f>
        <v/>
      </c>
      <c r="AB1544">
        <f>RAND()</f>
        <v/>
      </c>
      <c r="AC1544">
        <f>RAND()</f>
        <v/>
      </c>
      <c r="AD1544">
        <f>RAND()</f>
        <v/>
      </c>
      <c r="AE1544">
        <f>RAND()</f>
        <v/>
      </c>
      <c r="AF1544">
        <f>RAND()</f>
        <v/>
      </c>
    </row>
    <row r="1545">
      <c r="M1545" s="14">
        <f>_xlfn.BETA.INV($AA1545,1+4*($D$5-$C$5)/($E$5-$C$5),1+4*($E$5-$D$5)/($E$5-$C$5),$C$5,$E$5)</f>
        <v/>
      </c>
      <c r="N1545" s="14">
        <f>IF($AB1545&lt;($D$6-$C$6)/($E$6-$C$6),$C$6+SQRT($AB1545*($E$6-$C$6)*($D$6-$C$6)),$E$6-SQRT((1-$AB1545)*($E$6-$C$6)*($E$6-$D$6)))</f>
        <v/>
      </c>
      <c r="O1545" s="14">
        <f>_xlfn.NORM.INV($AC1545,$C$7,$D$7)</f>
        <v/>
      </c>
      <c r="P1545" s="14">
        <f>$C$8+($D$8-$C$8)*$AD1545</f>
        <v/>
      </c>
      <c r="Q1545" s="14">
        <f>$C$9</f>
        <v/>
      </c>
      <c r="R1545" s="14">
        <f>_xlfn.LOGNORM.INV($AF1545,LN($C$10)-0.5*LN(1+($D$10/$C$10)^2),SQRT(LN(1+($D$10/$C$10)^2)))</f>
        <v/>
      </c>
      <c r="S1545" s="14">
        <f>SUM(M1545:R1545)</f>
        <v/>
      </c>
      <c r="AA1545">
        <f>RAND()</f>
        <v/>
      </c>
      <c r="AB1545">
        <f>RAND()</f>
        <v/>
      </c>
      <c r="AC1545">
        <f>RAND()</f>
        <v/>
      </c>
      <c r="AD1545">
        <f>RAND()</f>
        <v/>
      </c>
      <c r="AE1545">
        <f>RAND()</f>
        <v/>
      </c>
      <c r="AF1545">
        <f>RAND()</f>
        <v/>
      </c>
    </row>
    <row r="1546">
      <c r="M1546" s="14">
        <f>_xlfn.BETA.INV($AA1546,1+4*($D$5-$C$5)/($E$5-$C$5),1+4*($E$5-$D$5)/($E$5-$C$5),$C$5,$E$5)</f>
        <v/>
      </c>
      <c r="N1546" s="14">
        <f>IF($AB1546&lt;($D$6-$C$6)/($E$6-$C$6),$C$6+SQRT($AB1546*($E$6-$C$6)*($D$6-$C$6)),$E$6-SQRT((1-$AB1546)*($E$6-$C$6)*($E$6-$D$6)))</f>
        <v/>
      </c>
      <c r="O1546" s="14">
        <f>_xlfn.NORM.INV($AC1546,$C$7,$D$7)</f>
        <v/>
      </c>
      <c r="P1546" s="14">
        <f>$C$8+($D$8-$C$8)*$AD1546</f>
        <v/>
      </c>
      <c r="Q1546" s="14">
        <f>$C$9</f>
        <v/>
      </c>
      <c r="R1546" s="14">
        <f>_xlfn.LOGNORM.INV($AF1546,LN($C$10)-0.5*LN(1+($D$10/$C$10)^2),SQRT(LN(1+($D$10/$C$10)^2)))</f>
        <v/>
      </c>
      <c r="S1546" s="14">
        <f>SUM(M1546:R1546)</f>
        <v/>
      </c>
      <c r="AA1546">
        <f>RAND()</f>
        <v/>
      </c>
      <c r="AB1546">
        <f>RAND()</f>
        <v/>
      </c>
      <c r="AC1546">
        <f>RAND()</f>
        <v/>
      </c>
      <c r="AD1546">
        <f>RAND()</f>
        <v/>
      </c>
      <c r="AE1546">
        <f>RAND()</f>
        <v/>
      </c>
      <c r="AF1546">
        <f>RAND()</f>
        <v/>
      </c>
    </row>
    <row r="1547">
      <c r="M1547" s="14">
        <f>_xlfn.BETA.INV($AA1547,1+4*($D$5-$C$5)/($E$5-$C$5),1+4*($E$5-$D$5)/($E$5-$C$5),$C$5,$E$5)</f>
        <v/>
      </c>
      <c r="N1547" s="14">
        <f>IF($AB1547&lt;($D$6-$C$6)/($E$6-$C$6),$C$6+SQRT($AB1547*($E$6-$C$6)*($D$6-$C$6)),$E$6-SQRT((1-$AB1547)*($E$6-$C$6)*($E$6-$D$6)))</f>
        <v/>
      </c>
      <c r="O1547" s="14">
        <f>_xlfn.NORM.INV($AC1547,$C$7,$D$7)</f>
        <v/>
      </c>
      <c r="P1547" s="14">
        <f>$C$8+($D$8-$C$8)*$AD1547</f>
        <v/>
      </c>
      <c r="Q1547" s="14">
        <f>$C$9</f>
        <v/>
      </c>
      <c r="R1547" s="14">
        <f>_xlfn.LOGNORM.INV($AF1547,LN($C$10)-0.5*LN(1+($D$10/$C$10)^2),SQRT(LN(1+($D$10/$C$10)^2)))</f>
        <v/>
      </c>
      <c r="S1547" s="14">
        <f>SUM(M1547:R1547)</f>
        <v/>
      </c>
      <c r="AA1547">
        <f>RAND()</f>
        <v/>
      </c>
      <c r="AB1547">
        <f>RAND()</f>
        <v/>
      </c>
      <c r="AC1547">
        <f>RAND()</f>
        <v/>
      </c>
      <c r="AD1547">
        <f>RAND()</f>
        <v/>
      </c>
      <c r="AE1547">
        <f>RAND()</f>
        <v/>
      </c>
      <c r="AF1547">
        <f>RAND()</f>
        <v/>
      </c>
    </row>
    <row r="1548">
      <c r="M1548" s="14">
        <f>_xlfn.BETA.INV($AA1548,1+4*($D$5-$C$5)/($E$5-$C$5),1+4*($E$5-$D$5)/($E$5-$C$5),$C$5,$E$5)</f>
        <v/>
      </c>
      <c r="N1548" s="14">
        <f>IF($AB1548&lt;($D$6-$C$6)/($E$6-$C$6),$C$6+SQRT($AB1548*($E$6-$C$6)*($D$6-$C$6)),$E$6-SQRT((1-$AB1548)*($E$6-$C$6)*($E$6-$D$6)))</f>
        <v/>
      </c>
      <c r="O1548" s="14">
        <f>_xlfn.NORM.INV($AC1548,$C$7,$D$7)</f>
        <v/>
      </c>
      <c r="P1548" s="14">
        <f>$C$8+($D$8-$C$8)*$AD1548</f>
        <v/>
      </c>
      <c r="Q1548" s="14">
        <f>$C$9</f>
        <v/>
      </c>
      <c r="R1548" s="14">
        <f>_xlfn.LOGNORM.INV($AF1548,LN($C$10)-0.5*LN(1+($D$10/$C$10)^2),SQRT(LN(1+($D$10/$C$10)^2)))</f>
        <v/>
      </c>
      <c r="S1548" s="14">
        <f>SUM(M1548:R1548)</f>
        <v/>
      </c>
      <c r="AA1548">
        <f>RAND()</f>
        <v/>
      </c>
      <c r="AB1548">
        <f>RAND()</f>
        <v/>
      </c>
      <c r="AC1548">
        <f>RAND()</f>
        <v/>
      </c>
      <c r="AD1548">
        <f>RAND()</f>
        <v/>
      </c>
      <c r="AE1548">
        <f>RAND()</f>
        <v/>
      </c>
      <c r="AF1548">
        <f>RAND()</f>
        <v/>
      </c>
    </row>
    <row r="1549">
      <c r="M1549" s="14">
        <f>_xlfn.BETA.INV($AA1549,1+4*($D$5-$C$5)/($E$5-$C$5),1+4*($E$5-$D$5)/($E$5-$C$5),$C$5,$E$5)</f>
        <v/>
      </c>
      <c r="N1549" s="14">
        <f>IF($AB1549&lt;($D$6-$C$6)/($E$6-$C$6),$C$6+SQRT($AB1549*($E$6-$C$6)*($D$6-$C$6)),$E$6-SQRT((1-$AB1549)*($E$6-$C$6)*($E$6-$D$6)))</f>
        <v/>
      </c>
      <c r="O1549" s="14">
        <f>_xlfn.NORM.INV($AC1549,$C$7,$D$7)</f>
        <v/>
      </c>
      <c r="P1549" s="14">
        <f>$C$8+($D$8-$C$8)*$AD1549</f>
        <v/>
      </c>
      <c r="Q1549" s="14">
        <f>$C$9</f>
        <v/>
      </c>
      <c r="R1549" s="14">
        <f>_xlfn.LOGNORM.INV($AF1549,LN($C$10)-0.5*LN(1+($D$10/$C$10)^2),SQRT(LN(1+($D$10/$C$10)^2)))</f>
        <v/>
      </c>
      <c r="S1549" s="14">
        <f>SUM(M1549:R1549)</f>
        <v/>
      </c>
      <c r="AA1549">
        <f>RAND()</f>
        <v/>
      </c>
      <c r="AB1549">
        <f>RAND()</f>
        <v/>
      </c>
      <c r="AC1549">
        <f>RAND()</f>
        <v/>
      </c>
      <c r="AD1549">
        <f>RAND()</f>
        <v/>
      </c>
      <c r="AE1549">
        <f>RAND()</f>
        <v/>
      </c>
      <c r="AF1549">
        <f>RAND()</f>
        <v/>
      </c>
    </row>
    <row r="1550">
      <c r="M1550" s="14">
        <f>_xlfn.BETA.INV($AA1550,1+4*($D$5-$C$5)/($E$5-$C$5),1+4*($E$5-$D$5)/($E$5-$C$5),$C$5,$E$5)</f>
        <v/>
      </c>
      <c r="N1550" s="14">
        <f>IF($AB1550&lt;($D$6-$C$6)/($E$6-$C$6),$C$6+SQRT($AB1550*($E$6-$C$6)*($D$6-$C$6)),$E$6-SQRT((1-$AB1550)*($E$6-$C$6)*($E$6-$D$6)))</f>
        <v/>
      </c>
      <c r="O1550" s="14">
        <f>_xlfn.NORM.INV($AC1550,$C$7,$D$7)</f>
        <v/>
      </c>
      <c r="P1550" s="14">
        <f>$C$8+($D$8-$C$8)*$AD1550</f>
        <v/>
      </c>
      <c r="Q1550" s="14">
        <f>$C$9</f>
        <v/>
      </c>
      <c r="R1550" s="14">
        <f>_xlfn.LOGNORM.INV($AF1550,LN($C$10)-0.5*LN(1+($D$10/$C$10)^2),SQRT(LN(1+($D$10/$C$10)^2)))</f>
        <v/>
      </c>
      <c r="S1550" s="14">
        <f>SUM(M1550:R1550)</f>
        <v/>
      </c>
      <c r="AA1550">
        <f>RAND()</f>
        <v/>
      </c>
      <c r="AB1550">
        <f>RAND()</f>
        <v/>
      </c>
      <c r="AC1550">
        <f>RAND()</f>
        <v/>
      </c>
      <c r="AD1550">
        <f>RAND()</f>
        <v/>
      </c>
      <c r="AE1550">
        <f>RAND()</f>
        <v/>
      </c>
      <c r="AF1550">
        <f>RAND()</f>
        <v/>
      </c>
    </row>
    <row r="1551">
      <c r="M1551" s="14">
        <f>_xlfn.BETA.INV($AA1551,1+4*($D$5-$C$5)/($E$5-$C$5),1+4*($E$5-$D$5)/($E$5-$C$5),$C$5,$E$5)</f>
        <v/>
      </c>
      <c r="N1551" s="14">
        <f>IF($AB1551&lt;($D$6-$C$6)/($E$6-$C$6),$C$6+SQRT($AB1551*($E$6-$C$6)*($D$6-$C$6)),$E$6-SQRT((1-$AB1551)*($E$6-$C$6)*($E$6-$D$6)))</f>
        <v/>
      </c>
      <c r="O1551" s="14">
        <f>_xlfn.NORM.INV($AC1551,$C$7,$D$7)</f>
        <v/>
      </c>
      <c r="P1551" s="14">
        <f>$C$8+($D$8-$C$8)*$AD1551</f>
        <v/>
      </c>
      <c r="Q1551" s="14">
        <f>$C$9</f>
        <v/>
      </c>
      <c r="R1551" s="14">
        <f>_xlfn.LOGNORM.INV($AF1551,LN($C$10)-0.5*LN(1+($D$10/$C$10)^2),SQRT(LN(1+($D$10/$C$10)^2)))</f>
        <v/>
      </c>
      <c r="S1551" s="14">
        <f>SUM(M1551:R1551)</f>
        <v/>
      </c>
      <c r="AA1551">
        <f>RAND()</f>
        <v/>
      </c>
      <c r="AB1551">
        <f>RAND()</f>
        <v/>
      </c>
      <c r="AC1551">
        <f>RAND()</f>
        <v/>
      </c>
      <c r="AD1551">
        <f>RAND()</f>
        <v/>
      </c>
      <c r="AE1551">
        <f>RAND()</f>
        <v/>
      </c>
      <c r="AF1551">
        <f>RAND()</f>
        <v/>
      </c>
    </row>
    <row r="1552">
      <c r="M1552" s="14">
        <f>_xlfn.BETA.INV($AA1552,1+4*($D$5-$C$5)/($E$5-$C$5),1+4*($E$5-$D$5)/($E$5-$C$5),$C$5,$E$5)</f>
        <v/>
      </c>
      <c r="N1552" s="14">
        <f>IF($AB1552&lt;($D$6-$C$6)/($E$6-$C$6),$C$6+SQRT($AB1552*($E$6-$C$6)*($D$6-$C$6)),$E$6-SQRT((1-$AB1552)*($E$6-$C$6)*($E$6-$D$6)))</f>
        <v/>
      </c>
      <c r="O1552" s="14">
        <f>_xlfn.NORM.INV($AC1552,$C$7,$D$7)</f>
        <v/>
      </c>
      <c r="P1552" s="14">
        <f>$C$8+($D$8-$C$8)*$AD1552</f>
        <v/>
      </c>
      <c r="Q1552" s="14">
        <f>$C$9</f>
        <v/>
      </c>
      <c r="R1552" s="14">
        <f>_xlfn.LOGNORM.INV($AF1552,LN($C$10)-0.5*LN(1+($D$10/$C$10)^2),SQRT(LN(1+($D$10/$C$10)^2)))</f>
        <v/>
      </c>
      <c r="S1552" s="14">
        <f>SUM(M1552:R1552)</f>
        <v/>
      </c>
      <c r="AA1552">
        <f>RAND()</f>
        <v/>
      </c>
      <c r="AB1552">
        <f>RAND()</f>
        <v/>
      </c>
      <c r="AC1552">
        <f>RAND()</f>
        <v/>
      </c>
      <c r="AD1552">
        <f>RAND()</f>
        <v/>
      </c>
      <c r="AE1552">
        <f>RAND()</f>
        <v/>
      </c>
      <c r="AF1552">
        <f>RAND()</f>
        <v/>
      </c>
    </row>
    <row r="1553">
      <c r="M1553" s="14">
        <f>_xlfn.BETA.INV($AA1553,1+4*($D$5-$C$5)/($E$5-$C$5),1+4*($E$5-$D$5)/($E$5-$C$5),$C$5,$E$5)</f>
        <v/>
      </c>
      <c r="N1553" s="14">
        <f>IF($AB1553&lt;($D$6-$C$6)/($E$6-$C$6),$C$6+SQRT($AB1553*($E$6-$C$6)*($D$6-$C$6)),$E$6-SQRT((1-$AB1553)*($E$6-$C$6)*($E$6-$D$6)))</f>
        <v/>
      </c>
      <c r="O1553" s="14">
        <f>_xlfn.NORM.INV($AC1553,$C$7,$D$7)</f>
        <v/>
      </c>
      <c r="P1553" s="14">
        <f>$C$8+($D$8-$C$8)*$AD1553</f>
        <v/>
      </c>
      <c r="Q1553" s="14">
        <f>$C$9</f>
        <v/>
      </c>
      <c r="R1553" s="14">
        <f>_xlfn.LOGNORM.INV($AF1553,LN($C$10)-0.5*LN(1+($D$10/$C$10)^2),SQRT(LN(1+($D$10/$C$10)^2)))</f>
        <v/>
      </c>
      <c r="S1553" s="14">
        <f>SUM(M1553:R1553)</f>
        <v/>
      </c>
      <c r="AA1553">
        <f>RAND()</f>
        <v/>
      </c>
      <c r="AB1553">
        <f>RAND()</f>
        <v/>
      </c>
      <c r="AC1553">
        <f>RAND()</f>
        <v/>
      </c>
      <c r="AD1553">
        <f>RAND()</f>
        <v/>
      </c>
      <c r="AE1553">
        <f>RAND()</f>
        <v/>
      </c>
      <c r="AF1553">
        <f>RAND()</f>
        <v/>
      </c>
    </row>
    <row r="1554">
      <c r="M1554" s="14">
        <f>_xlfn.BETA.INV($AA1554,1+4*($D$5-$C$5)/($E$5-$C$5),1+4*($E$5-$D$5)/($E$5-$C$5),$C$5,$E$5)</f>
        <v/>
      </c>
      <c r="N1554" s="14">
        <f>IF($AB1554&lt;($D$6-$C$6)/($E$6-$C$6),$C$6+SQRT($AB1554*($E$6-$C$6)*($D$6-$C$6)),$E$6-SQRT((1-$AB1554)*($E$6-$C$6)*($E$6-$D$6)))</f>
        <v/>
      </c>
      <c r="O1554" s="14">
        <f>_xlfn.NORM.INV($AC1554,$C$7,$D$7)</f>
        <v/>
      </c>
      <c r="P1554" s="14">
        <f>$C$8+($D$8-$C$8)*$AD1554</f>
        <v/>
      </c>
      <c r="Q1554" s="14">
        <f>$C$9</f>
        <v/>
      </c>
      <c r="R1554" s="14">
        <f>_xlfn.LOGNORM.INV($AF1554,LN($C$10)-0.5*LN(1+($D$10/$C$10)^2),SQRT(LN(1+($D$10/$C$10)^2)))</f>
        <v/>
      </c>
      <c r="S1554" s="14">
        <f>SUM(M1554:R1554)</f>
        <v/>
      </c>
      <c r="AA1554">
        <f>RAND()</f>
        <v/>
      </c>
      <c r="AB1554">
        <f>RAND()</f>
        <v/>
      </c>
      <c r="AC1554">
        <f>RAND()</f>
        <v/>
      </c>
      <c r="AD1554">
        <f>RAND()</f>
        <v/>
      </c>
      <c r="AE1554">
        <f>RAND()</f>
        <v/>
      </c>
      <c r="AF1554">
        <f>RAND()</f>
        <v/>
      </c>
    </row>
    <row r="1555">
      <c r="M1555" s="14">
        <f>_xlfn.BETA.INV($AA1555,1+4*($D$5-$C$5)/($E$5-$C$5),1+4*($E$5-$D$5)/($E$5-$C$5),$C$5,$E$5)</f>
        <v/>
      </c>
      <c r="N1555" s="14">
        <f>IF($AB1555&lt;($D$6-$C$6)/($E$6-$C$6),$C$6+SQRT($AB1555*($E$6-$C$6)*($D$6-$C$6)),$E$6-SQRT((1-$AB1555)*($E$6-$C$6)*($E$6-$D$6)))</f>
        <v/>
      </c>
      <c r="O1555" s="14">
        <f>_xlfn.NORM.INV($AC1555,$C$7,$D$7)</f>
        <v/>
      </c>
      <c r="P1555" s="14">
        <f>$C$8+($D$8-$C$8)*$AD1555</f>
        <v/>
      </c>
      <c r="Q1555" s="14">
        <f>$C$9</f>
        <v/>
      </c>
      <c r="R1555" s="14">
        <f>_xlfn.LOGNORM.INV($AF1555,LN($C$10)-0.5*LN(1+($D$10/$C$10)^2),SQRT(LN(1+($D$10/$C$10)^2)))</f>
        <v/>
      </c>
      <c r="S1555" s="14">
        <f>SUM(M1555:R1555)</f>
        <v/>
      </c>
      <c r="AA1555">
        <f>RAND()</f>
        <v/>
      </c>
      <c r="AB1555">
        <f>RAND()</f>
        <v/>
      </c>
      <c r="AC1555">
        <f>RAND()</f>
        <v/>
      </c>
      <c r="AD1555">
        <f>RAND()</f>
        <v/>
      </c>
      <c r="AE1555">
        <f>RAND()</f>
        <v/>
      </c>
      <c r="AF1555">
        <f>RAND()</f>
        <v/>
      </c>
    </row>
    <row r="1556">
      <c r="M1556" s="14">
        <f>_xlfn.BETA.INV($AA1556,1+4*($D$5-$C$5)/($E$5-$C$5),1+4*($E$5-$D$5)/($E$5-$C$5),$C$5,$E$5)</f>
        <v/>
      </c>
      <c r="N1556" s="14">
        <f>IF($AB1556&lt;($D$6-$C$6)/($E$6-$C$6),$C$6+SQRT($AB1556*($E$6-$C$6)*($D$6-$C$6)),$E$6-SQRT((1-$AB1556)*($E$6-$C$6)*($E$6-$D$6)))</f>
        <v/>
      </c>
      <c r="O1556" s="14">
        <f>_xlfn.NORM.INV($AC1556,$C$7,$D$7)</f>
        <v/>
      </c>
      <c r="P1556" s="14">
        <f>$C$8+($D$8-$C$8)*$AD1556</f>
        <v/>
      </c>
      <c r="Q1556" s="14">
        <f>$C$9</f>
        <v/>
      </c>
      <c r="R1556" s="14">
        <f>_xlfn.LOGNORM.INV($AF1556,LN($C$10)-0.5*LN(1+($D$10/$C$10)^2),SQRT(LN(1+($D$10/$C$10)^2)))</f>
        <v/>
      </c>
      <c r="S1556" s="14">
        <f>SUM(M1556:R1556)</f>
        <v/>
      </c>
      <c r="AA1556">
        <f>RAND()</f>
        <v/>
      </c>
      <c r="AB1556">
        <f>RAND()</f>
        <v/>
      </c>
      <c r="AC1556">
        <f>RAND()</f>
        <v/>
      </c>
      <c r="AD1556">
        <f>RAND()</f>
        <v/>
      </c>
      <c r="AE1556">
        <f>RAND()</f>
        <v/>
      </c>
      <c r="AF1556">
        <f>RAND()</f>
        <v/>
      </c>
    </row>
    <row r="1557">
      <c r="M1557" s="14">
        <f>_xlfn.BETA.INV($AA1557,1+4*($D$5-$C$5)/($E$5-$C$5),1+4*($E$5-$D$5)/($E$5-$C$5),$C$5,$E$5)</f>
        <v/>
      </c>
      <c r="N1557" s="14">
        <f>IF($AB1557&lt;($D$6-$C$6)/($E$6-$C$6),$C$6+SQRT($AB1557*($E$6-$C$6)*($D$6-$C$6)),$E$6-SQRT((1-$AB1557)*($E$6-$C$6)*($E$6-$D$6)))</f>
        <v/>
      </c>
      <c r="O1557" s="14">
        <f>_xlfn.NORM.INV($AC1557,$C$7,$D$7)</f>
        <v/>
      </c>
      <c r="P1557" s="14">
        <f>$C$8+($D$8-$C$8)*$AD1557</f>
        <v/>
      </c>
      <c r="Q1557" s="14">
        <f>$C$9</f>
        <v/>
      </c>
      <c r="R1557" s="14">
        <f>_xlfn.LOGNORM.INV($AF1557,LN($C$10)-0.5*LN(1+($D$10/$C$10)^2),SQRT(LN(1+($D$10/$C$10)^2)))</f>
        <v/>
      </c>
      <c r="S1557" s="14">
        <f>SUM(M1557:R1557)</f>
        <v/>
      </c>
      <c r="AA1557">
        <f>RAND()</f>
        <v/>
      </c>
      <c r="AB1557">
        <f>RAND()</f>
        <v/>
      </c>
      <c r="AC1557">
        <f>RAND()</f>
        <v/>
      </c>
      <c r="AD1557">
        <f>RAND()</f>
        <v/>
      </c>
      <c r="AE1557">
        <f>RAND()</f>
        <v/>
      </c>
      <c r="AF1557">
        <f>RAND()</f>
        <v/>
      </c>
    </row>
    <row r="1558">
      <c r="M1558" s="14">
        <f>_xlfn.BETA.INV($AA1558,1+4*($D$5-$C$5)/($E$5-$C$5),1+4*($E$5-$D$5)/($E$5-$C$5),$C$5,$E$5)</f>
        <v/>
      </c>
      <c r="N1558" s="14">
        <f>IF($AB1558&lt;($D$6-$C$6)/($E$6-$C$6),$C$6+SQRT($AB1558*($E$6-$C$6)*($D$6-$C$6)),$E$6-SQRT((1-$AB1558)*($E$6-$C$6)*($E$6-$D$6)))</f>
        <v/>
      </c>
      <c r="O1558" s="14">
        <f>_xlfn.NORM.INV($AC1558,$C$7,$D$7)</f>
        <v/>
      </c>
      <c r="P1558" s="14">
        <f>$C$8+($D$8-$C$8)*$AD1558</f>
        <v/>
      </c>
      <c r="Q1558" s="14">
        <f>$C$9</f>
        <v/>
      </c>
      <c r="R1558" s="14">
        <f>_xlfn.LOGNORM.INV($AF1558,LN($C$10)-0.5*LN(1+($D$10/$C$10)^2),SQRT(LN(1+($D$10/$C$10)^2)))</f>
        <v/>
      </c>
      <c r="S1558" s="14">
        <f>SUM(M1558:R1558)</f>
        <v/>
      </c>
      <c r="AA1558">
        <f>RAND()</f>
        <v/>
      </c>
      <c r="AB1558">
        <f>RAND()</f>
        <v/>
      </c>
      <c r="AC1558">
        <f>RAND()</f>
        <v/>
      </c>
      <c r="AD1558">
        <f>RAND()</f>
        <v/>
      </c>
      <c r="AE1558">
        <f>RAND()</f>
        <v/>
      </c>
      <c r="AF1558">
        <f>RAND()</f>
        <v/>
      </c>
    </row>
    <row r="1559">
      <c r="M1559" s="14">
        <f>_xlfn.BETA.INV($AA1559,1+4*($D$5-$C$5)/($E$5-$C$5),1+4*($E$5-$D$5)/($E$5-$C$5),$C$5,$E$5)</f>
        <v/>
      </c>
      <c r="N1559" s="14">
        <f>IF($AB1559&lt;($D$6-$C$6)/($E$6-$C$6),$C$6+SQRT($AB1559*($E$6-$C$6)*($D$6-$C$6)),$E$6-SQRT((1-$AB1559)*($E$6-$C$6)*($E$6-$D$6)))</f>
        <v/>
      </c>
      <c r="O1559" s="14">
        <f>_xlfn.NORM.INV($AC1559,$C$7,$D$7)</f>
        <v/>
      </c>
      <c r="P1559" s="14">
        <f>$C$8+($D$8-$C$8)*$AD1559</f>
        <v/>
      </c>
      <c r="Q1559" s="14">
        <f>$C$9</f>
        <v/>
      </c>
      <c r="R1559" s="14">
        <f>_xlfn.LOGNORM.INV($AF1559,LN($C$10)-0.5*LN(1+($D$10/$C$10)^2),SQRT(LN(1+($D$10/$C$10)^2)))</f>
        <v/>
      </c>
      <c r="S1559" s="14">
        <f>SUM(M1559:R1559)</f>
        <v/>
      </c>
      <c r="AA1559">
        <f>RAND()</f>
        <v/>
      </c>
      <c r="AB1559">
        <f>RAND()</f>
        <v/>
      </c>
      <c r="AC1559">
        <f>RAND()</f>
        <v/>
      </c>
      <c r="AD1559">
        <f>RAND()</f>
        <v/>
      </c>
      <c r="AE1559">
        <f>RAND()</f>
        <v/>
      </c>
      <c r="AF1559">
        <f>RAND()</f>
        <v/>
      </c>
    </row>
    <row r="1560">
      <c r="M1560" s="14">
        <f>_xlfn.BETA.INV($AA1560,1+4*($D$5-$C$5)/($E$5-$C$5),1+4*($E$5-$D$5)/($E$5-$C$5),$C$5,$E$5)</f>
        <v/>
      </c>
      <c r="N1560" s="14">
        <f>IF($AB1560&lt;($D$6-$C$6)/($E$6-$C$6),$C$6+SQRT($AB1560*($E$6-$C$6)*($D$6-$C$6)),$E$6-SQRT((1-$AB1560)*($E$6-$C$6)*($E$6-$D$6)))</f>
        <v/>
      </c>
      <c r="O1560" s="14">
        <f>_xlfn.NORM.INV($AC1560,$C$7,$D$7)</f>
        <v/>
      </c>
      <c r="P1560" s="14">
        <f>$C$8+($D$8-$C$8)*$AD1560</f>
        <v/>
      </c>
      <c r="Q1560" s="14">
        <f>$C$9</f>
        <v/>
      </c>
      <c r="R1560" s="14">
        <f>_xlfn.LOGNORM.INV($AF1560,LN($C$10)-0.5*LN(1+($D$10/$C$10)^2),SQRT(LN(1+($D$10/$C$10)^2)))</f>
        <v/>
      </c>
      <c r="S1560" s="14">
        <f>SUM(M1560:R1560)</f>
        <v/>
      </c>
      <c r="AA1560">
        <f>RAND()</f>
        <v/>
      </c>
      <c r="AB1560">
        <f>RAND()</f>
        <v/>
      </c>
      <c r="AC1560">
        <f>RAND()</f>
        <v/>
      </c>
      <c r="AD1560">
        <f>RAND()</f>
        <v/>
      </c>
      <c r="AE1560">
        <f>RAND()</f>
        <v/>
      </c>
      <c r="AF1560">
        <f>RAND()</f>
        <v/>
      </c>
    </row>
    <row r="1561">
      <c r="M1561" s="14">
        <f>_xlfn.BETA.INV($AA1561,1+4*($D$5-$C$5)/($E$5-$C$5),1+4*($E$5-$D$5)/($E$5-$C$5),$C$5,$E$5)</f>
        <v/>
      </c>
      <c r="N1561" s="14">
        <f>IF($AB1561&lt;($D$6-$C$6)/($E$6-$C$6),$C$6+SQRT($AB1561*($E$6-$C$6)*($D$6-$C$6)),$E$6-SQRT((1-$AB1561)*($E$6-$C$6)*($E$6-$D$6)))</f>
        <v/>
      </c>
      <c r="O1561" s="14">
        <f>_xlfn.NORM.INV($AC1561,$C$7,$D$7)</f>
        <v/>
      </c>
      <c r="P1561" s="14">
        <f>$C$8+($D$8-$C$8)*$AD1561</f>
        <v/>
      </c>
      <c r="Q1561" s="14">
        <f>$C$9</f>
        <v/>
      </c>
      <c r="R1561" s="14">
        <f>_xlfn.LOGNORM.INV($AF1561,LN($C$10)-0.5*LN(1+($D$10/$C$10)^2),SQRT(LN(1+($D$10/$C$10)^2)))</f>
        <v/>
      </c>
      <c r="S1561" s="14">
        <f>SUM(M1561:R1561)</f>
        <v/>
      </c>
      <c r="AA1561">
        <f>RAND()</f>
        <v/>
      </c>
      <c r="AB1561">
        <f>RAND()</f>
        <v/>
      </c>
      <c r="AC1561">
        <f>RAND()</f>
        <v/>
      </c>
      <c r="AD1561">
        <f>RAND()</f>
        <v/>
      </c>
      <c r="AE1561">
        <f>RAND()</f>
        <v/>
      </c>
      <c r="AF1561">
        <f>RAND()</f>
        <v/>
      </c>
    </row>
    <row r="1562">
      <c r="M1562" s="14">
        <f>_xlfn.BETA.INV($AA1562,1+4*($D$5-$C$5)/($E$5-$C$5),1+4*($E$5-$D$5)/($E$5-$C$5),$C$5,$E$5)</f>
        <v/>
      </c>
      <c r="N1562" s="14">
        <f>IF($AB1562&lt;($D$6-$C$6)/($E$6-$C$6),$C$6+SQRT($AB1562*($E$6-$C$6)*($D$6-$C$6)),$E$6-SQRT((1-$AB1562)*($E$6-$C$6)*($E$6-$D$6)))</f>
        <v/>
      </c>
      <c r="O1562" s="14">
        <f>_xlfn.NORM.INV($AC1562,$C$7,$D$7)</f>
        <v/>
      </c>
      <c r="P1562" s="14">
        <f>$C$8+($D$8-$C$8)*$AD1562</f>
        <v/>
      </c>
      <c r="Q1562" s="14">
        <f>$C$9</f>
        <v/>
      </c>
      <c r="R1562" s="14">
        <f>_xlfn.LOGNORM.INV($AF1562,LN($C$10)-0.5*LN(1+($D$10/$C$10)^2),SQRT(LN(1+($D$10/$C$10)^2)))</f>
        <v/>
      </c>
      <c r="S1562" s="14">
        <f>SUM(M1562:R1562)</f>
        <v/>
      </c>
      <c r="AA1562">
        <f>RAND()</f>
        <v/>
      </c>
      <c r="AB1562">
        <f>RAND()</f>
        <v/>
      </c>
      <c r="AC1562">
        <f>RAND()</f>
        <v/>
      </c>
      <c r="AD1562">
        <f>RAND()</f>
        <v/>
      </c>
      <c r="AE1562">
        <f>RAND()</f>
        <v/>
      </c>
      <c r="AF1562">
        <f>RAND()</f>
        <v/>
      </c>
    </row>
    <row r="1563">
      <c r="M1563" s="14">
        <f>_xlfn.BETA.INV($AA1563,1+4*($D$5-$C$5)/($E$5-$C$5),1+4*($E$5-$D$5)/($E$5-$C$5),$C$5,$E$5)</f>
        <v/>
      </c>
      <c r="N1563" s="14">
        <f>IF($AB1563&lt;($D$6-$C$6)/($E$6-$C$6),$C$6+SQRT($AB1563*($E$6-$C$6)*($D$6-$C$6)),$E$6-SQRT((1-$AB1563)*($E$6-$C$6)*($E$6-$D$6)))</f>
        <v/>
      </c>
      <c r="O1563" s="14">
        <f>_xlfn.NORM.INV($AC1563,$C$7,$D$7)</f>
        <v/>
      </c>
      <c r="P1563" s="14">
        <f>$C$8+($D$8-$C$8)*$AD1563</f>
        <v/>
      </c>
      <c r="Q1563" s="14">
        <f>$C$9</f>
        <v/>
      </c>
      <c r="R1563" s="14">
        <f>_xlfn.LOGNORM.INV($AF1563,LN($C$10)-0.5*LN(1+($D$10/$C$10)^2),SQRT(LN(1+($D$10/$C$10)^2)))</f>
        <v/>
      </c>
      <c r="S1563" s="14">
        <f>SUM(M1563:R1563)</f>
        <v/>
      </c>
      <c r="AA1563">
        <f>RAND()</f>
        <v/>
      </c>
      <c r="AB1563">
        <f>RAND()</f>
        <v/>
      </c>
      <c r="AC1563">
        <f>RAND()</f>
        <v/>
      </c>
      <c r="AD1563">
        <f>RAND()</f>
        <v/>
      </c>
      <c r="AE1563">
        <f>RAND()</f>
        <v/>
      </c>
      <c r="AF1563">
        <f>RAND()</f>
        <v/>
      </c>
    </row>
    <row r="1564">
      <c r="M1564" s="14">
        <f>_xlfn.BETA.INV($AA1564,1+4*($D$5-$C$5)/($E$5-$C$5),1+4*($E$5-$D$5)/($E$5-$C$5),$C$5,$E$5)</f>
        <v/>
      </c>
      <c r="N1564" s="14">
        <f>IF($AB1564&lt;($D$6-$C$6)/($E$6-$C$6),$C$6+SQRT($AB1564*($E$6-$C$6)*($D$6-$C$6)),$E$6-SQRT((1-$AB1564)*($E$6-$C$6)*($E$6-$D$6)))</f>
        <v/>
      </c>
      <c r="O1564" s="14">
        <f>_xlfn.NORM.INV($AC1564,$C$7,$D$7)</f>
        <v/>
      </c>
      <c r="P1564" s="14">
        <f>$C$8+($D$8-$C$8)*$AD1564</f>
        <v/>
      </c>
      <c r="Q1564" s="14">
        <f>$C$9</f>
        <v/>
      </c>
      <c r="R1564" s="14">
        <f>_xlfn.LOGNORM.INV($AF1564,LN($C$10)-0.5*LN(1+($D$10/$C$10)^2),SQRT(LN(1+($D$10/$C$10)^2)))</f>
        <v/>
      </c>
      <c r="S1564" s="14">
        <f>SUM(M1564:R1564)</f>
        <v/>
      </c>
      <c r="AA1564">
        <f>RAND()</f>
        <v/>
      </c>
      <c r="AB1564">
        <f>RAND()</f>
        <v/>
      </c>
      <c r="AC1564">
        <f>RAND()</f>
        <v/>
      </c>
      <c r="AD1564">
        <f>RAND()</f>
        <v/>
      </c>
      <c r="AE1564">
        <f>RAND()</f>
        <v/>
      </c>
      <c r="AF1564">
        <f>RAND()</f>
        <v/>
      </c>
    </row>
    <row r="1565">
      <c r="M1565" s="14">
        <f>_xlfn.BETA.INV($AA1565,1+4*($D$5-$C$5)/($E$5-$C$5),1+4*($E$5-$D$5)/($E$5-$C$5),$C$5,$E$5)</f>
        <v/>
      </c>
      <c r="N1565" s="14">
        <f>IF($AB1565&lt;($D$6-$C$6)/($E$6-$C$6),$C$6+SQRT($AB1565*($E$6-$C$6)*($D$6-$C$6)),$E$6-SQRT((1-$AB1565)*($E$6-$C$6)*($E$6-$D$6)))</f>
        <v/>
      </c>
      <c r="O1565" s="14">
        <f>_xlfn.NORM.INV($AC1565,$C$7,$D$7)</f>
        <v/>
      </c>
      <c r="P1565" s="14">
        <f>$C$8+($D$8-$C$8)*$AD1565</f>
        <v/>
      </c>
      <c r="Q1565" s="14">
        <f>$C$9</f>
        <v/>
      </c>
      <c r="R1565" s="14">
        <f>_xlfn.LOGNORM.INV($AF1565,LN($C$10)-0.5*LN(1+($D$10/$C$10)^2),SQRT(LN(1+($D$10/$C$10)^2)))</f>
        <v/>
      </c>
      <c r="S1565" s="14">
        <f>SUM(M1565:R1565)</f>
        <v/>
      </c>
      <c r="AA1565">
        <f>RAND()</f>
        <v/>
      </c>
      <c r="AB1565">
        <f>RAND()</f>
        <v/>
      </c>
      <c r="AC1565">
        <f>RAND()</f>
        <v/>
      </c>
      <c r="AD1565">
        <f>RAND()</f>
        <v/>
      </c>
      <c r="AE1565">
        <f>RAND()</f>
        <v/>
      </c>
      <c r="AF1565">
        <f>RAND()</f>
        <v/>
      </c>
    </row>
    <row r="1566">
      <c r="M1566" s="14">
        <f>_xlfn.BETA.INV($AA1566,1+4*($D$5-$C$5)/($E$5-$C$5),1+4*($E$5-$D$5)/($E$5-$C$5),$C$5,$E$5)</f>
        <v/>
      </c>
      <c r="N1566" s="14">
        <f>IF($AB1566&lt;($D$6-$C$6)/($E$6-$C$6),$C$6+SQRT($AB1566*($E$6-$C$6)*($D$6-$C$6)),$E$6-SQRT((1-$AB1566)*($E$6-$C$6)*($E$6-$D$6)))</f>
        <v/>
      </c>
      <c r="O1566" s="14">
        <f>_xlfn.NORM.INV($AC1566,$C$7,$D$7)</f>
        <v/>
      </c>
      <c r="P1566" s="14">
        <f>$C$8+($D$8-$C$8)*$AD1566</f>
        <v/>
      </c>
      <c r="Q1566" s="14">
        <f>$C$9</f>
        <v/>
      </c>
      <c r="R1566" s="14">
        <f>_xlfn.LOGNORM.INV($AF1566,LN($C$10)-0.5*LN(1+($D$10/$C$10)^2),SQRT(LN(1+($D$10/$C$10)^2)))</f>
        <v/>
      </c>
      <c r="S1566" s="14">
        <f>SUM(M1566:R1566)</f>
        <v/>
      </c>
      <c r="AA1566">
        <f>RAND()</f>
        <v/>
      </c>
      <c r="AB1566">
        <f>RAND()</f>
        <v/>
      </c>
      <c r="AC1566">
        <f>RAND()</f>
        <v/>
      </c>
      <c r="AD1566">
        <f>RAND()</f>
        <v/>
      </c>
      <c r="AE1566">
        <f>RAND()</f>
        <v/>
      </c>
      <c r="AF1566">
        <f>RAND()</f>
        <v/>
      </c>
    </row>
    <row r="1567">
      <c r="M1567" s="14">
        <f>_xlfn.BETA.INV($AA1567,1+4*($D$5-$C$5)/($E$5-$C$5),1+4*($E$5-$D$5)/($E$5-$C$5),$C$5,$E$5)</f>
        <v/>
      </c>
      <c r="N1567" s="14">
        <f>IF($AB1567&lt;($D$6-$C$6)/($E$6-$C$6),$C$6+SQRT($AB1567*($E$6-$C$6)*($D$6-$C$6)),$E$6-SQRT((1-$AB1567)*($E$6-$C$6)*($E$6-$D$6)))</f>
        <v/>
      </c>
      <c r="O1567" s="14">
        <f>_xlfn.NORM.INV($AC1567,$C$7,$D$7)</f>
        <v/>
      </c>
      <c r="P1567" s="14">
        <f>$C$8+($D$8-$C$8)*$AD1567</f>
        <v/>
      </c>
      <c r="Q1567" s="14">
        <f>$C$9</f>
        <v/>
      </c>
      <c r="R1567" s="14">
        <f>_xlfn.LOGNORM.INV($AF1567,LN($C$10)-0.5*LN(1+($D$10/$C$10)^2),SQRT(LN(1+($D$10/$C$10)^2)))</f>
        <v/>
      </c>
      <c r="S1567" s="14">
        <f>SUM(M1567:R1567)</f>
        <v/>
      </c>
      <c r="AA1567">
        <f>RAND()</f>
        <v/>
      </c>
      <c r="AB1567">
        <f>RAND()</f>
        <v/>
      </c>
      <c r="AC1567">
        <f>RAND()</f>
        <v/>
      </c>
      <c r="AD1567">
        <f>RAND()</f>
        <v/>
      </c>
      <c r="AE1567">
        <f>RAND()</f>
        <v/>
      </c>
      <c r="AF1567">
        <f>RAND()</f>
        <v/>
      </c>
    </row>
    <row r="1568">
      <c r="M1568" s="14">
        <f>_xlfn.BETA.INV($AA1568,1+4*($D$5-$C$5)/($E$5-$C$5),1+4*($E$5-$D$5)/($E$5-$C$5),$C$5,$E$5)</f>
        <v/>
      </c>
      <c r="N1568" s="14">
        <f>IF($AB1568&lt;($D$6-$C$6)/($E$6-$C$6),$C$6+SQRT($AB1568*($E$6-$C$6)*($D$6-$C$6)),$E$6-SQRT((1-$AB1568)*($E$6-$C$6)*($E$6-$D$6)))</f>
        <v/>
      </c>
      <c r="O1568" s="14">
        <f>_xlfn.NORM.INV($AC1568,$C$7,$D$7)</f>
        <v/>
      </c>
      <c r="P1568" s="14">
        <f>$C$8+($D$8-$C$8)*$AD1568</f>
        <v/>
      </c>
      <c r="Q1568" s="14">
        <f>$C$9</f>
        <v/>
      </c>
      <c r="R1568" s="14">
        <f>_xlfn.LOGNORM.INV($AF1568,LN($C$10)-0.5*LN(1+($D$10/$C$10)^2),SQRT(LN(1+($D$10/$C$10)^2)))</f>
        <v/>
      </c>
      <c r="S1568" s="14">
        <f>SUM(M1568:R1568)</f>
        <v/>
      </c>
      <c r="AA1568">
        <f>RAND()</f>
        <v/>
      </c>
      <c r="AB1568">
        <f>RAND()</f>
        <v/>
      </c>
      <c r="AC1568">
        <f>RAND()</f>
        <v/>
      </c>
      <c r="AD1568">
        <f>RAND()</f>
        <v/>
      </c>
      <c r="AE1568">
        <f>RAND()</f>
        <v/>
      </c>
      <c r="AF1568">
        <f>RAND()</f>
        <v/>
      </c>
    </row>
    <row r="1569">
      <c r="M1569" s="14">
        <f>_xlfn.BETA.INV($AA1569,1+4*($D$5-$C$5)/($E$5-$C$5),1+4*($E$5-$D$5)/($E$5-$C$5),$C$5,$E$5)</f>
        <v/>
      </c>
      <c r="N1569" s="14">
        <f>IF($AB1569&lt;($D$6-$C$6)/($E$6-$C$6),$C$6+SQRT($AB1569*($E$6-$C$6)*($D$6-$C$6)),$E$6-SQRT((1-$AB1569)*($E$6-$C$6)*($E$6-$D$6)))</f>
        <v/>
      </c>
      <c r="O1569" s="14">
        <f>_xlfn.NORM.INV($AC1569,$C$7,$D$7)</f>
        <v/>
      </c>
      <c r="P1569" s="14">
        <f>$C$8+($D$8-$C$8)*$AD1569</f>
        <v/>
      </c>
      <c r="Q1569" s="14">
        <f>$C$9</f>
        <v/>
      </c>
      <c r="R1569" s="14">
        <f>_xlfn.LOGNORM.INV($AF1569,LN($C$10)-0.5*LN(1+($D$10/$C$10)^2),SQRT(LN(1+($D$10/$C$10)^2)))</f>
        <v/>
      </c>
      <c r="S1569" s="14">
        <f>SUM(M1569:R1569)</f>
        <v/>
      </c>
      <c r="AA1569">
        <f>RAND()</f>
        <v/>
      </c>
      <c r="AB1569">
        <f>RAND()</f>
        <v/>
      </c>
      <c r="AC1569">
        <f>RAND()</f>
        <v/>
      </c>
      <c r="AD1569">
        <f>RAND()</f>
        <v/>
      </c>
      <c r="AE1569">
        <f>RAND()</f>
        <v/>
      </c>
      <c r="AF1569">
        <f>RAND()</f>
        <v/>
      </c>
    </row>
    <row r="1570">
      <c r="M1570" s="14">
        <f>_xlfn.BETA.INV($AA1570,1+4*($D$5-$C$5)/($E$5-$C$5),1+4*($E$5-$D$5)/($E$5-$C$5),$C$5,$E$5)</f>
        <v/>
      </c>
      <c r="N1570" s="14">
        <f>IF($AB1570&lt;($D$6-$C$6)/($E$6-$C$6),$C$6+SQRT($AB1570*($E$6-$C$6)*($D$6-$C$6)),$E$6-SQRT((1-$AB1570)*($E$6-$C$6)*($E$6-$D$6)))</f>
        <v/>
      </c>
      <c r="O1570" s="14">
        <f>_xlfn.NORM.INV($AC1570,$C$7,$D$7)</f>
        <v/>
      </c>
      <c r="P1570" s="14">
        <f>$C$8+($D$8-$C$8)*$AD1570</f>
        <v/>
      </c>
      <c r="Q1570" s="14">
        <f>$C$9</f>
        <v/>
      </c>
      <c r="R1570" s="14">
        <f>_xlfn.LOGNORM.INV($AF1570,LN($C$10)-0.5*LN(1+($D$10/$C$10)^2),SQRT(LN(1+($D$10/$C$10)^2)))</f>
        <v/>
      </c>
      <c r="S1570" s="14">
        <f>SUM(M1570:R1570)</f>
        <v/>
      </c>
      <c r="AA1570">
        <f>RAND()</f>
        <v/>
      </c>
      <c r="AB1570">
        <f>RAND()</f>
        <v/>
      </c>
      <c r="AC1570">
        <f>RAND()</f>
        <v/>
      </c>
      <c r="AD1570">
        <f>RAND()</f>
        <v/>
      </c>
      <c r="AE1570">
        <f>RAND()</f>
        <v/>
      </c>
      <c r="AF1570">
        <f>RAND()</f>
        <v/>
      </c>
    </row>
    <row r="1571">
      <c r="M1571" s="14">
        <f>_xlfn.BETA.INV($AA1571,1+4*($D$5-$C$5)/($E$5-$C$5),1+4*($E$5-$D$5)/($E$5-$C$5),$C$5,$E$5)</f>
        <v/>
      </c>
      <c r="N1571" s="14">
        <f>IF($AB1571&lt;($D$6-$C$6)/($E$6-$C$6),$C$6+SQRT($AB1571*($E$6-$C$6)*($D$6-$C$6)),$E$6-SQRT((1-$AB1571)*($E$6-$C$6)*($E$6-$D$6)))</f>
        <v/>
      </c>
      <c r="O1571" s="14">
        <f>_xlfn.NORM.INV($AC1571,$C$7,$D$7)</f>
        <v/>
      </c>
      <c r="P1571" s="14">
        <f>$C$8+($D$8-$C$8)*$AD1571</f>
        <v/>
      </c>
      <c r="Q1571" s="14">
        <f>$C$9</f>
        <v/>
      </c>
      <c r="R1571" s="14">
        <f>_xlfn.LOGNORM.INV($AF1571,LN($C$10)-0.5*LN(1+($D$10/$C$10)^2),SQRT(LN(1+($D$10/$C$10)^2)))</f>
        <v/>
      </c>
      <c r="S1571" s="14">
        <f>SUM(M1571:R1571)</f>
        <v/>
      </c>
      <c r="AA1571">
        <f>RAND()</f>
        <v/>
      </c>
      <c r="AB1571">
        <f>RAND()</f>
        <v/>
      </c>
      <c r="AC1571">
        <f>RAND()</f>
        <v/>
      </c>
      <c r="AD1571">
        <f>RAND()</f>
        <v/>
      </c>
      <c r="AE1571">
        <f>RAND()</f>
        <v/>
      </c>
      <c r="AF1571">
        <f>RAND()</f>
        <v/>
      </c>
    </row>
    <row r="1572">
      <c r="M1572" s="14">
        <f>_xlfn.BETA.INV($AA1572,1+4*($D$5-$C$5)/($E$5-$C$5),1+4*($E$5-$D$5)/($E$5-$C$5),$C$5,$E$5)</f>
        <v/>
      </c>
      <c r="N1572" s="14">
        <f>IF($AB1572&lt;($D$6-$C$6)/($E$6-$C$6),$C$6+SQRT($AB1572*($E$6-$C$6)*($D$6-$C$6)),$E$6-SQRT((1-$AB1572)*($E$6-$C$6)*($E$6-$D$6)))</f>
        <v/>
      </c>
      <c r="O1572" s="14">
        <f>_xlfn.NORM.INV($AC1572,$C$7,$D$7)</f>
        <v/>
      </c>
      <c r="P1572" s="14">
        <f>$C$8+($D$8-$C$8)*$AD1572</f>
        <v/>
      </c>
      <c r="Q1572" s="14">
        <f>$C$9</f>
        <v/>
      </c>
      <c r="R1572" s="14">
        <f>_xlfn.LOGNORM.INV($AF1572,LN($C$10)-0.5*LN(1+($D$10/$C$10)^2),SQRT(LN(1+($D$10/$C$10)^2)))</f>
        <v/>
      </c>
      <c r="S1572" s="14">
        <f>SUM(M1572:R1572)</f>
        <v/>
      </c>
      <c r="AA1572">
        <f>RAND()</f>
        <v/>
      </c>
      <c r="AB1572">
        <f>RAND()</f>
        <v/>
      </c>
      <c r="AC1572">
        <f>RAND()</f>
        <v/>
      </c>
      <c r="AD1572">
        <f>RAND()</f>
        <v/>
      </c>
      <c r="AE1572">
        <f>RAND()</f>
        <v/>
      </c>
      <c r="AF1572">
        <f>RAND()</f>
        <v/>
      </c>
    </row>
    <row r="1573">
      <c r="M1573" s="14">
        <f>_xlfn.BETA.INV($AA1573,1+4*($D$5-$C$5)/($E$5-$C$5),1+4*($E$5-$D$5)/($E$5-$C$5),$C$5,$E$5)</f>
        <v/>
      </c>
      <c r="N1573" s="14">
        <f>IF($AB1573&lt;($D$6-$C$6)/($E$6-$C$6),$C$6+SQRT($AB1573*($E$6-$C$6)*($D$6-$C$6)),$E$6-SQRT((1-$AB1573)*($E$6-$C$6)*($E$6-$D$6)))</f>
        <v/>
      </c>
      <c r="O1573" s="14">
        <f>_xlfn.NORM.INV($AC1573,$C$7,$D$7)</f>
        <v/>
      </c>
      <c r="P1573" s="14">
        <f>$C$8+($D$8-$C$8)*$AD1573</f>
        <v/>
      </c>
      <c r="Q1573" s="14">
        <f>$C$9</f>
        <v/>
      </c>
      <c r="R1573" s="14">
        <f>_xlfn.LOGNORM.INV($AF1573,LN($C$10)-0.5*LN(1+($D$10/$C$10)^2),SQRT(LN(1+($D$10/$C$10)^2)))</f>
        <v/>
      </c>
      <c r="S1573" s="14">
        <f>SUM(M1573:R1573)</f>
        <v/>
      </c>
      <c r="AA1573">
        <f>RAND()</f>
        <v/>
      </c>
      <c r="AB1573">
        <f>RAND()</f>
        <v/>
      </c>
      <c r="AC1573">
        <f>RAND()</f>
        <v/>
      </c>
      <c r="AD1573">
        <f>RAND()</f>
        <v/>
      </c>
      <c r="AE1573">
        <f>RAND()</f>
        <v/>
      </c>
      <c r="AF1573">
        <f>RAND()</f>
        <v/>
      </c>
    </row>
    <row r="1574">
      <c r="M1574" s="14">
        <f>_xlfn.BETA.INV($AA1574,1+4*($D$5-$C$5)/($E$5-$C$5),1+4*($E$5-$D$5)/($E$5-$C$5),$C$5,$E$5)</f>
        <v/>
      </c>
      <c r="N1574" s="14">
        <f>IF($AB1574&lt;($D$6-$C$6)/($E$6-$C$6),$C$6+SQRT($AB1574*($E$6-$C$6)*($D$6-$C$6)),$E$6-SQRT((1-$AB1574)*($E$6-$C$6)*($E$6-$D$6)))</f>
        <v/>
      </c>
      <c r="O1574" s="14">
        <f>_xlfn.NORM.INV($AC1574,$C$7,$D$7)</f>
        <v/>
      </c>
      <c r="P1574" s="14">
        <f>$C$8+($D$8-$C$8)*$AD1574</f>
        <v/>
      </c>
      <c r="Q1574" s="14">
        <f>$C$9</f>
        <v/>
      </c>
      <c r="R1574" s="14">
        <f>_xlfn.LOGNORM.INV($AF1574,LN($C$10)-0.5*LN(1+($D$10/$C$10)^2),SQRT(LN(1+($D$10/$C$10)^2)))</f>
        <v/>
      </c>
      <c r="S1574" s="14">
        <f>SUM(M1574:R1574)</f>
        <v/>
      </c>
      <c r="AA1574">
        <f>RAND()</f>
        <v/>
      </c>
      <c r="AB1574">
        <f>RAND()</f>
        <v/>
      </c>
      <c r="AC1574">
        <f>RAND()</f>
        <v/>
      </c>
      <c r="AD1574">
        <f>RAND()</f>
        <v/>
      </c>
      <c r="AE1574">
        <f>RAND()</f>
        <v/>
      </c>
      <c r="AF1574">
        <f>RAND()</f>
        <v/>
      </c>
    </row>
    <row r="1575">
      <c r="M1575" s="14">
        <f>_xlfn.BETA.INV($AA1575,1+4*($D$5-$C$5)/($E$5-$C$5),1+4*($E$5-$D$5)/($E$5-$C$5),$C$5,$E$5)</f>
        <v/>
      </c>
      <c r="N1575" s="14">
        <f>IF($AB1575&lt;($D$6-$C$6)/($E$6-$C$6),$C$6+SQRT($AB1575*($E$6-$C$6)*($D$6-$C$6)),$E$6-SQRT((1-$AB1575)*($E$6-$C$6)*($E$6-$D$6)))</f>
        <v/>
      </c>
      <c r="O1575" s="14">
        <f>_xlfn.NORM.INV($AC1575,$C$7,$D$7)</f>
        <v/>
      </c>
      <c r="P1575" s="14">
        <f>$C$8+($D$8-$C$8)*$AD1575</f>
        <v/>
      </c>
      <c r="Q1575" s="14">
        <f>$C$9</f>
        <v/>
      </c>
      <c r="R1575" s="14">
        <f>_xlfn.LOGNORM.INV($AF1575,LN($C$10)-0.5*LN(1+($D$10/$C$10)^2),SQRT(LN(1+($D$10/$C$10)^2)))</f>
        <v/>
      </c>
      <c r="S1575" s="14">
        <f>SUM(M1575:R1575)</f>
        <v/>
      </c>
      <c r="AA1575">
        <f>RAND()</f>
        <v/>
      </c>
      <c r="AB1575">
        <f>RAND()</f>
        <v/>
      </c>
      <c r="AC1575">
        <f>RAND()</f>
        <v/>
      </c>
      <c r="AD1575">
        <f>RAND()</f>
        <v/>
      </c>
      <c r="AE1575">
        <f>RAND()</f>
        <v/>
      </c>
      <c r="AF1575">
        <f>RAND()</f>
        <v/>
      </c>
    </row>
    <row r="1576">
      <c r="M1576" s="14">
        <f>_xlfn.BETA.INV($AA1576,1+4*($D$5-$C$5)/($E$5-$C$5),1+4*($E$5-$D$5)/($E$5-$C$5),$C$5,$E$5)</f>
        <v/>
      </c>
      <c r="N1576" s="14">
        <f>IF($AB1576&lt;($D$6-$C$6)/($E$6-$C$6),$C$6+SQRT($AB1576*($E$6-$C$6)*($D$6-$C$6)),$E$6-SQRT((1-$AB1576)*($E$6-$C$6)*($E$6-$D$6)))</f>
        <v/>
      </c>
      <c r="O1576" s="14">
        <f>_xlfn.NORM.INV($AC1576,$C$7,$D$7)</f>
        <v/>
      </c>
      <c r="P1576" s="14">
        <f>$C$8+($D$8-$C$8)*$AD1576</f>
        <v/>
      </c>
      <c r="Q1576" s="14">
        <f>$C$9</f>
        <v/>
      </c>
      <c r="R1576" s="14">
        <f>_xlfn.LOGNORM.INV($AF1576,LN($C$10)-0.5*LN(1+($D$10/$C$10)^2),SQRT(LN(1+($D$10/$C$10)^2)))</f>
        <v/>
      </c>
      <c r="S1576" s="14">
        <f>SUM(M1576:R1576)</f>
        <v/>
      </c>
      <c r="AA1576">
        <f>RAND()</f>
        <v/>
      </c>
      <c r="AB1576">
        <f>RAND()</f>
        <v/>
      </c>
      <c r="AC1576">
        <f>RAND()</f>
        <v/>
      </c>
      <c r="AD1576">
        <f>RAND()</f>
        <v/>
      </c>
      <c r="AE1576">
        <f>RAND()</f>
        <v/>
      </c>
      <c r="AF1576">
        <f>RAND()</f>
        <v/>
      </c>
    </row>
    <row r="1577">
      <c r="M1577" s="14">
        <f>_xlfn.BETA.INV($AA1577,1+4*($D$5-$C$5)/($E$5-$C$5),1+4*($E$5-$D$5)/($E$5-$C$5),$C$5,$E$5)</f>
        <v/>
      </c>
      <c r="N1577" s="14">
        <f>IF($AB1577&lt;($D$6-$C$6)/($E$6-$C$6),$C$6+SQRT($AB1577*($E$6-$C$6)*($D$6-$C$6)),$E$6-SQRT((1-$AB1577)*($E$6-$C$6)*($E$6-$D$6)))</f>
        <v/>
      </c>
      <c r="O1577" s="14">
        <f>_xlfn.NORM.INV($AC1577,$C$7,$D$7)</f>
        <v/>
      </c>
      <c r="P1577" s="14">
        <f>$C$8+($D$8-$C$8)*$AD1577</f>
        <v/>
      </c>
      <c r="Q1577" s="14">
        <f>$C$9</f>
        <v/>
      </c>
      <c r="R1577" s="14">
        <f>_xlfn.LOGNORM.INV($AF1577,LN($C$10)-0.5*LN(1+($D$10/$C$10)^2),SQRT(LN(1+($D$10/$C$10)^2)))</f>
        <v/>
      </c>
      <c r="S1577" s="14">
        <f>SUM(M1577:R1577)</f>
        <v/>
      </c>
      <c r="AA1577">
        <f>RAND()</f>
        <v/>
      </c>
      <c r="AB1577">
        <f>RAND()</f>
        <v/>
      </c>
      <c r="AC1577">
        <f>RAND()</f>
        <v/>
      </c>
      <c r="AD1577">
        <f>RAND()</f>
        <v/>
      </c>
      <c r="AE1577">
        <f>RAND()</f>
        <v/>
      </c>
      <c r="AF1577">
        <f>RAND()</f>
        <v/>
      </c>
    </row>
    <row r="1578">
      <c r="M1578" s="14">
        <f>_xlfn.BETA.INV($AA1578,1+4*($D$5-$C$5)/($E$5-$C$5),1+4*($E$5-$D$5)/($E$5-$C$5),$C$5,$E$5)</f>
        <v/>
      </c>
      <c r="N1578" s="14">
        <f>IF($AB1578&lt;($D$6-$C$6)/($E$6-$C$6),$C$6+SQRT($AB1578*($E$6-$C$6)*($D$6-$C$6)),$E$6-SQRT((1-$AB1578)*($E$6-$C$6)*($E$6-$D$6)))</f>
        <v/>
      </c>
      <c r="O1578" s="14">
        <f>_xlfn.NORM.INV($AC1578,$C$7,$D$7)</f>
        <v/>
      </c>
      <c r="P1578" s="14">
        <f>$C$8+($D$8-$C$8)*$AD1578</f>
        <v/>
      </c>
      <c r="Q1578" s="14">
        <f>$C$9</f>
        <v/>
      </c>
      <c r="R1578" s="14">
        <f>_xlfn.LOGNORM.INV($AF1578,LN($C$10)-0.5*LN(1+($D$10/$C$10)^2),SQRT(LN(1+($D$10/$C$10)^2)))</f>
        <v/>
      </c>
      <c r="S1578" s="14">
        <f>SUM(M1578:R1578)</f>
        <v/>
      </c>
      <c r="AA1578">
        <f>RAND()</f>
        <v/>
      </c>
      <c r="AB1578">
        <f>RAND()</f>
        <v/>
      </c>
      <c r="AC1578">
        <f>RAND()</f>
        <v/>
      </c>
      <c r="AD1578">
        <f>RAND()</f>
        <v/>
      </c>
      <c r="AE1578">
        <f>RAND()</f>
        <v/>
      </c>
      <c r="AF1578">
        <f>RAND()</f>
        <v/>
      </c>
    </row>
    <row r="1579">
      <c r="M1579" s="14">
        <f>_xlfn.BETA.INV($AA1579,1+4*($D$5-$C$5)/($E$5-$C$5),1+4*($E$5-$D$5)/($E$5-$C$5),$C$5,$E$5)</f>
        <v/>
      </c>
      <c r="N1579" s="14">
        <f>IF($AB1579&lt;($D$6-$C$6)/($E$6-$C$6),$C$6+SQRT($AB1579*($E$6-$C$6)*($D$6-$C$6)),$E$6-SQRT((1-$AB1579)*($E$6-$C$6)*($E$6-$D$6)))</f>
        <v/>
      </c>
      <c r="O1579" s="14">
        <f>_xlfn.NORM.INV($AC1579,$C$7,$D$7)</f>
        <v/>
      </c>
      <c r="P1579" s="14">
        <f>$C$8+($D$8-$C$8)*$AD1579</f>
        <v/>
      </c>
      <c r="Q1579" s="14">
        <f>$C$9</f>
        <v/>
      </c>
      <c r="R1579" s="14">
        <f>_xlfn.LOGNORM.INV($AF1579,LN($C$10)-0.5*LN(1+($D$10/$C$10)^2),SQRT(LN(1+($D$10/$C$10)^2)))</f>
        <v/>
      </c>
      <c r="S1579" s="14">
        <f>SUM(M1579:R1579)</f>
        <v/>
      </c>
      <c r="AA1579">
        <f>RAND()</f>
        <v/>
      </c>
      <c r="AB1579">
        <f>RAND()</f>
        <v/>
      </c>
      <c r="AC1579">
        <f>RAND()</f>
        <v/>
      </c>
      <c r="AD1579">
        <f>RAND()</f>
        <v/>
      </c>
      <c r="AE1579">
        <f>RAND()</f>
        <v/>
      </c>
      <c r="AF1579">
        <f>RAND()</f>
        <v/>
      </c>
    </row>
    <row r="1580">
      <c r="M1580" s="14">
        <f>_xlfn.BETA.INV($AA1580,1+4*($D$5-$C$5)/($E$5-$C$5),1+4*($E$5-$D$5)/($E$5-$C$5),$C$5,$E$5)</f>
        <v/>
      </c>
      <c r="N1580" s="14">
        <f>IF($AB1580&lt;($D$6-$C$6)/($E$6-$C$6),$C$6+SQRT($AB1580*($E$6-$C$6)*($D$6-$C$6)),$E$6-SQRT((1-$AB1580)*($E$6-$C$6)*($E$6-$D$6)))</f>
        <v/>
      </c>
      <c r="O1580" s="14">
        <f>_xlfn.NORM.INV($AC1580,$C$7,$D$7)</f>
        <v/>
      </c>
      <c r="P1580" s="14">
        <f>$C$8+($D$8-$C$8)*$AD1580</f>
        <v/>
      </c>
      <c r="Q1580" s="14">
        <f>$C$9</f>
        <v/>
      </c>
      <c r="R1580" s="14">
        <f>_xlfn.LOGNORM.INV($AF1580,LN($C$10)-0.5*LN(1+($D$10/$C$10)^2),SQRT(LN(1+($D$10/$C$10)^2)))</f>
        <v/>
      </c>
      <c r="S1580" s="14">
        <f>SUM(M1580:R1580)</f>
        <v/>
      </c>
      <c r="AA1580">
        <f>RAND()</f>
        <v/>
      </c>
      <c r="AB1580">
        <f>RAND()</f>
        <v/>
      </c>
      <c r="AC1580">
        <f>RAND()</f>
        <v/>
      </c>
      <c r="AD1580">
        <f>RAND()</f>
        <v/>
      </c>
      <c r="AE1580">
        <f>RAND()</f>
        <v/>
      </c>
      <c r="AF1580">
        <f>RAND()</f>
        <v/>
      </c>
    </row>
    <row r="1581">
      <c r="M1581" s="14">
        <f>_xlfn.BETA.INV($AA1581,1+4*($D$5-$C$5)/($E$5-$C$5),1+4*($E$5-$D$5)/($E$5-$C$5),$C$5,$E$5)</f>
        <v/>
      </c>
      <c r="N1581" s="14">
        <f>IF($AB1581&lt;($D$6-$C$6)/($E$6-$C$6),$C$6+SQRT($AB1581*($E$6-$C$6)*($D$6-$C$6)),$E$6-SQRT((1-$AB1581)*($E$6-$C$6)*($E$6-$D$6)))</f>
        <v/>
      </c>
      <c r="O1581" s="14">
        <f>_xlfn.NORM.INV($AC1581,$C$7,$D$7)</f>
        <v/>
      </c>
      <c r="P1581" s="14">
        <f>$C$8+($D$8-$C$8)*$AD1581</f>
        <v/>
      </c>
      <c r="Q1581" s="14">
        <f>$C$9</f>
        <v/>
      </c>
      <c r="R1581" s="14">
        <f>_xlfn.LOGNORM.INV($AF1581,LN($C$10)-0.5*LN(1+($D$10/$C$10)^2),SQRT(LN(1+($D$10/$C$10)^2)))</f>
        <v/>
      </c>
      <c r="S1581" s="14">
        <f>SUM(M1581:R1581)</f>
        <v/>
      </c>
      <c r="AA1581">
        <f>RAND()</f>
        <v/>
      </c>
      <c r="AB1581">
        <f>RAND()</f>
        <v/>
      </c>
      <c r="AC1581">
        <f>RAND()</f>
        <v/>
      </c>
      <c r="AD1581">
        <f>RAND()</f>
        <v/>
      </c>
      <c r="AE1581">
        <f>RAND()</f>
        <v/>
      </c>
      <c r="AF1581">
        <f>RAND()</f>
        <v/>
      </c>
    </row>
    <row r="1582">
      <c r="M1582" s="14">
        <f>_xlfn.BETA.INV($AA1582,1+4*($D$5-$C$5)/($E$5-$C$5),1+4*($E$5-$D$5)/($E$5-$C$5),$C$5,$E$5)</f>
        <v/>
      </c>
      <c r="N1582" s="14">
        <f>IF($AB1582&lt;($D$6-$C$6)/($E$6-$C$6),$C$6+SQRT($AB1582*($E$6-$C$6)*($D$6-$C$6)),$E$6-SQRT((1-$AB1582)*($E$6-$C$6)*($E$6-$D$6)))</f>
        <v/>
      </c>
      <c r="O1582" s="14">
        <f>_xlfn.NORM.INV($AC1582,$C$7,$D$7)</f>
        <v/>
      </c>
      <c r="P1582" s="14">
        <f>$C$8+($D$8-$C$8)*$AD1582</f>
        <v/>
      </c>
      <c r="Q1582" s="14">
        <f>$C$9</f>
        <v/>
      </c>
      <c r="R1582" s="14">
        <f>_xlfn.LOGNORM.INV($AF1582,LN($C$10)-0.5*LN(1+($D$10/$C$10)^2),SQRT(LN(1+($D$10/$C$10)^2)))</f>
        <v/>
      </c>
      <c r="S1582" s="14">
        <f>SUM(M1582:R1582)</f>
        <v/>
      </c>
      <c r="AA1582">
        <f>RAND()</f>
        <v/>
      </c>
      <c r="AB1582">
        <f>RAND()</f>
        <v/>
      </c>
      <c r="AC1582">
        <f>RAND()</f>
        <v/>
      </c>
      <c r="AD1582">
        <f>RAND()</f>
        <v/>
      </c>
      <c r="AE1582">
        <f>RAND()</f>
        <v/>
      </c>
      <c r="AF1582">
        <f>RAND()</f>
        <v/>
      </c>
    </row>
    <row r="1583">
      <c r="M1583" s="14">
        <f>_xlfn.BETA.INV($AA1583,1+4*($D$5-$C$5)/($E$5-$C$5),1+4*($E$5-$D$5)/($E$5-$C$5),$C$5,$E$5)</f>
        <v/>
      </c>
      <c r="N1583" s="14">
        <f>IF($AB1583&lt;($D$6-$C$6)/($E$6-$C$6),$C$6+SQRT($AB1583*($E$6-$C$6)*($D$6-$C$6)),$E$6-SQRT((1-$AB1583)*($E$6-$C$6)*($E$6-$D$6)))</f>
        <v/>
      </c>
      <c r="O1583" s="14">
        <f>_xlfn.NORM.INV($AC1583,$C$7,$D$7)</f>
        <v/>
      </c>
      <c r="P1583" s="14">
        <f>$C$8+($D$8-$C$8)*$AD1583</f>
        <v/>
      </c>
      <c r="Q1583" s="14">
        <f>$C$9</f>
        <v/>
      </c>
      <c r="R1583" s="14">
        <f>_xlfn.LOGNORM.INV($AF1583,LN($C$10)-0.5*LN(1+($D$10/$C$10)^2),SQRT(LN(1+($D$10/$C$10)^2)))</f>
        <v/>
      </c>
      <c r="S1583" s="14">
        <f>SUM(M1583:R1583)</f>
        <v/>
      </c>
      <c r="AA1583">
        <f>RAND()</f>
        <v/>
      </c>
      <c r="AB1583">
        <f>RAND()</f>
        <v/>
      </c>
      <c r="AC1583">
        <f>RAND()</f>
        <v/>
      </c>
      <c r="AD1583">
        <f>RAND()</f>
        <v/>
      </c>
      <c r="AE1583">
        <f>RAND()</f>
        <v/>
      </c>
      <c r="AF1583">
        <f>RAND()</f>
        <v/>
      </c>
    </row>
    <row r="1584">
      <c r="M1584" s="14">
        <f>_xlfn.BETA.INV($AA1584,1+4*($D$5-$C$5)/($E$5-$C$5),1+4*($E$5-$D$5)/($E$5-$C$5),$C$5,$E$5)</f>
        <v/>
      </c>
      <c r="N1584" s="14">
        <f>IF($AB1584&lt;($D$6-$C$6)/($E$6-$C$6),$C$6+SQRT($AB1584*($E$6-$C$6)*($D$6-$C$6)),$E$6-SQRT((1-$AB1584)*($E$6-$C$6)*($E$6-$D$6)))</f>
        <v/>
      </c>
      <c r="O1584" s="14">
        <f>_xlfn.NORM.INV($AC1584,$C$7,$D$7)</f>
        <v/>
      </c>
      <c r="P1584" s="14">
        <f>$C$8+($D$8-$C$8)*$AD1584</f>
        <v/>
      </c>
      <c r="Q1584" s="14">
        <f>$C$9</f>
        <v/>
      </c>
      <c r="R1584" s="14">
        <f>_xlfn.LOGNORM.INV($AF1584,LN($C$10)-0.5*LN(1+($D$10/$C$10)^2),SQRT(LN(1+($D$10/$C$10)^2)))</f>
        <v/>
      </c>
      <c r="S1584" s="14">
        <f>SUM(M1584:R1584)</f>
        <v/>
      </c>
      <c r="AA1584">
        <f>RAND()</f>
        <v/>
      </c>
      <c r="AB1584">
        <f>RAND()</f>
        <v/>
      </c>
      <c r="AC1584">
        <f>RAND()</f>
        <v/>
      </c>
      <c r="AD1584">
        <f>RAND()</f>
        <v/>
      </c>
      <c r="AE1584">
        <f>RAND()</f>
        <v/>
      </c>
      <c r="AF1584">
        <f>RAND()</f>
        <v/>
      </c>
    </row>
    <row r="1585">
      <c r="M1585" s="14">
        <f>_xlfn.BETA.INV($AA1585,1+4*($D$5-$C$5)/($E$5-$C$5),1+4*($E$5-$D$5)/($E$5-$C$5),$C$5,$E$5)</f>
        <v/>
      </c>
      <c r="N1585" s="14">
        <f>IF($AB1585&lt;($D$6-$C$6)/($E$6-$C$6),$C$6+SQRT($AB1585*($E$6-$C$6)*($D$6-$C$6)),$E$6-SQRT((1-$AB1585)*($E$6-$C$6)*($E$6-$D$6)))</f>
        <v/>
      </c>
      <c r="O1585" s="14">
        <f>_xlfn.NORM.INV($AC1585,$C$7,$D$7)</f>
        <v/>
      </c>
      <c r="P1585" s="14">
        <f>$C$8+($D$8-$C$8)*$AD1585</f>
        <v/>
      </c>
      <c r="Q1585" s="14">
        <f>$C$9</f>
        <v/>
      </c>
      <c r="R1585" s="14">
        <f>_xlfn.LOGNORM.INV($AF1585,LN($C$10)-0.5*LN(1+($D$10/$C$10)^2),SQRT(LN(1+($D$10/$C$10)^2)))</f>
        <v/>
      </c>
      <c r="S1585" s="14">
        <f>SUM(M1585:R1585)</f>
        <v/>
      </c>
      <c r="AA1585">
        <f>RAND()</f>
        <v/>
      </c>
      <c r="AB1585">
        <f>RAND()</f>
        <v/>
      </c>
      <c r="AC1585">
        <f>RAND()</f>
        <v/>
      </c>
      <c r="AD1585">
        <f>RAND()</f>
        <v/>
      </c>
      <c r="AE1585">
        <f>RAND()</f>
        <v/>
      </c>
      <c r="AF1585">
        <f>RAND()</f>
        <v/>
      </c>
    </row>
    <row r="1586">
      <c r="M1586" s="14">
        <f>_xlfn.BETA.INV($AA1586,1+4*($D$5-$C$5)/($E$5-$C$5),1+4*($E$5-$D$5)/($E$5-$C$5),$C$5,$E$5)</f>
        <v/>
      </c>
      <c r="N1586" s="14">
        <f>IF($AB1586&lt;($D$6-$C$6)/($E$6-$C$6),$C$6+SQRT($AB1586*($E$6-$C$6)*($D$6-$C$6)),$E$6-SQRT((1-$AB1586)*($E$6-$C$6)*($E$6-$D$6)))</f>
        <v/>
      </c>
      <c r="O1586" s="14">
        <f>_xlfn.NORM.INV($AC1586,$C$7,$D$7)</f>
        <v/>
      </c>
      <c r="P1586" s="14">
        <f>$C$8+($D$8-$C$8)*$AD1586</f>
        <v/>
      </c>
      <c r="Q1586" s="14">
        <f>$C$9</f>
        <v/>
      </c>
      <c r="R1586" s="14">
        <f>_xlfn.LOGNORM.INV($AF1586,LN($C$10)-0.5*LN(1+($D$10/$C$10)^2),SQRT(LN(1+($D$10/$C$10)^2)))</f>
        <v/>
      </c>
      <c r="S1586" s="14">
        <f>SUM(M1586:R1586)</f>
        <v/>
      </c>
      <c r="AA1586">
        <f>RAND()</f>
        <v/>
      </c>
      <c r="AB1586">
        <f>RAND()</f>
        <v/>
      </c>
      <c r="AC1586">
        <f>RAND()</f>
        <v/>
      </c>
      <c r="AD1586">
        <f>RAND()</f>
        <v/>
      </c>
      <c r="AE1586">
        <f>RAND()</f>
        <v/>
      </c>
      <c r="AF1586">
        <f>RAND()</f>
        <v/>
      </c>
    </row>
    <row r="1587">
      <c r="M1587" s="14">
        <f>_xlfn.BETA.INV($AA1587,1+4*($D$5-$C$5)/($E$5-$C$5),1+4*($E$5-$D$5)/($E$5-$C$5),$C$5,$E$5)</f>
        <v/>
      </c>
      <c r="N1587" s="14">
        <f>IF($AB1587&lt;($D$6-$C$6)/($E$6-$C$6),$C$6+SQRT($AB1587*($E$6-$C$6)*($D$6-$C$6)),$E$6-SQRT((1-$AB1587)*($E$6-$C$6)*($E$6-$D$6)))</f>
        <v/>
      </c>
      <c r="O1587" s="14">
        <f>_xlfn.NORM.INV($AC1587,$C$7,$D$7)</f>
        <v/>
      </c>
      <c r="P1587" s="14">
        <f>$C$8+($D$8-$C$8)*$AD1587</f>
        <v/>
      </c>
      <c r="Q1587" s="14">
        <f>$C$9</f>
        <v/>
      </c>
      <c r="R1587" s="14">
        <f>_xlfn.LOGNORM.INV($AF1587,LN($C$10)-0.5*LN(1+($D$10/$C$10)^2),SQRT(LN(1+($D$10/$C$10)^2)))</f>
        <v/>
      </c>
      <c r="S1587" s="14">
        <f>SUM(M1587:R1587)</f>
        <v/>
      </c>
      <c r="AA1587">
        <f>RAND()</f>
        <v/>
      </c>
      <c r="AB1587">
        <f>RAND()</f>
        <v/>
      </c>
      <c r="AC1587">
        <f>RAND()</f>
        <v/>
      </c>
      <c r="AD1587">
        <f>RAND()</f>
        <v/>
      </c>
      <c r="AE1587">
        <f>RAND()</f>
        <v/>
      </c>
      <c r="AF1587">
        <f>RAND()</f>
        <v/>
      </c>
    </row>
    <row r="1588">
      <c r="M1588" s="14">
        <f>_xlfn.BETA.INV($AA1588,1+4*($D$5-$C$5)/($E$5-$C$5),1+4*($E$5-$D$5)/($E$5-$C$5),$C$5,$E$5)</f>
        <v/>
      </c>
      <c r="N1588" s="14">
        <f>IF($AB1588&lt;($D$6-$C$6)/($E$6-$C$6),$C$6+SQRT($AB1588*($E$6-$C$6)*($D$6-$C$6)),$E$6-SQRT((1-$AB1588)*($E$6-$C$6)*($E$6-$D$6)))</f>
        <v/>
      </c>
      <c r="O1588" s="14">
        <f>_xlfn.NORM.INV($AC1588,$C$7,$D$7)</f>
        <v/>
      </c>
      <c r="P1588" s="14">
        <f>$C$8+($D$8-$C$8)*$AD1588</f>
        <v/>
      </c>
      <c r="Q1588" s="14">
        <f>$C$9</f>
        <v/>
      </c>
      <c r="R1588" s="14">
        <f>_xlfn.LOGNORM.INV($AF1588,LN($C$10)-0.5*LN(1+($D$10/$C$10)^2),SQRT(LN(1+($D$10/$C$10)^2)))</f>
        <v/>
      </c>
      <c r="S1588" s="14">
        <f>SUM(M1588:R1588)</f>
        <v/>
      </c>
      <c r="AA1588">
        <f>RAND()</f>
        <v/>
      </c>
      <c r="AB1588">
        <f>RAND()</f>
        <v/>
      </c>
      <c r="AC1588">
        <f>RAND()</f>
        <v/>
      </c>
      <c r="AD1588">
        <f>RAND()</f>
        <v/>
      </c>
      <c r="AE1588">
        <f>RAND()</f>
        <v/>
      </c>
      <c r="AF1588">
        <f>RAND()</f>
        <v/>
      </c>
    </row>
    <row r="1589">
      <c r="M1589" s="14">
        <f>_xlfn.BETA.INV($AA1589,1+4*($D$5-$C$5)/($E$5-$C$5),1+4*($E$5-$D$5)/($E$5-$C$5),$C$5,$E$5)</f>
        <v/>
      </c>
      <c r="N1589" s="14">
        <f>IF($AB1589&lt;($D$6-$C$6)/($E$6-$C$6),$C$6+SQRT($AB1589*($E$6-$C$6)*($D$6-$C$6)),$E$6-SQRT((1-$AB1589)*($E$6-$C$6)*($E$6-$D$6)))</f>
        <v/>
      </c>
      <c r="O1589" s="14">
        <f>_xlfn.NORM.INV($AC1589,$C$7,$D$7)</f>
        <v/>
      </c>
      <c r="P1589" s="14">
        <f>$C$8+($D$8-$C$8)*$AD1589</f>
        <v/>
      </c>
      <c r="Q1589" s="14">
        <f>$C$9</f>
        <v/>
      </c>
      <c r="R1589" s="14">
        <f>_xlfn.LOGNORM.INV($AF1589,LN($C$10)-0.5*LN(1+($D$10/$C$10)^2),SQRT(LN(1+($D$10/$C$10)^2)))</f>
        <v/>
      </c>
      <c r="S1589" s="14">
        <f>SUM(M1589:R1589)</f>
        <v/>
      </c>
      <c r="AA1589">
        <f>RAND()</f>
        <v/>
      </c>
      <c r="AB1589">
        <f>RAND()</f>
        <v/>
      </c>
      <c r="AC1589">
        <f>RAND()</f>
        <v/>
      </c>
      <c r="AD1589">
        <f>RAND()</f>
        <v/>
      </c>
      <c r="AE1589">
        <f>RAND()</f>
        <v/>
      </c>
      <c r="AF1589">
        <f>RAND()</f>
        <v/>
      </c>
    </row>
    <row r="1590">
      <c r="M1590" s="14">
        <f>_xlfn.BETA.INV($AA1590,1+4*($D$5-$C$5)/($E$5-$C$5),1+4*($E$5-$D$5)/($E$5-$C$5),$C$5,$E$5)</f>
        <v/>
      </c>
      <c r="N1590" s="14">
        <f>IF($AB1590&lt;($D$6-$C$6)/($E$6-$C$6),$C$6+SQRT($AB1590*($E$6-$C$6)*($D$6-$C$6)),$E$6-SQRT((1-$AB1590)*($E$6-$C$6)*($E$6-$D$6)))</f>
        <v/>
      </c>
      <c r="O1590" s="14">
        <f>_xlfn.NORM.INV($AC1590,$C$7,$D$7)</f>
        <v/>
      </c>
      <c r="P1590" s="14">
        <f>$C$8+($D$8-$C$8)*$AD1590</f>
        <v/>
      </c>
      <c r="Q1590" s="14">
        <f>$C$9</f>
        <v/>
      </c>
      <c r="R1590" s="14">
        <f>_xlfn.LOGNORM.INV($AF1590,LN($C$10)-0.5*LN(1+($D$10/$C$10)^2),SQRT(LN(1+($D$10/$C$10)^2)))</f>
        <v/>
      </c>
      <c r="S1590" s="14">
        <f>SUM(M1590:R1590)</f>
        <v/>
      </c>
      <c r="AA1590">
        <f>RAND()</f>
        <v/>
      </c>
      <c r="AB1590">
        <f>RAND()</f>
        <v/>
      </c>
      <c r="AC1590">
        <f>RAND()</f>
        <v/>
      </c>
      <c r="AD1590">
        <f>RAND()</f>
        <v/>
      </c>
      <c r="AE1590">
        <f>RAND()</f>
        <v/>
      </c>
      <c r="AF1590">
        <f>RAND()</f>
        <v/>
      </c>
    </row>
    <row r="1591">
      <c r="M1591" s="14">
        <f>_xlfn.BETA.INV($AA1591,1+4*($D$5-$C$5)/($E$5-$C$5),1+4*($E$5-$D$5)/($E$5-$C$5),$C$5,$E$5)</f>
        <v/>
      </c>
      <c r="N1591" s="14">
        <f>IF($AB1591&lt;($D$6-$C$6)/($E$6-$C$6),$C$6+SQRT($AB1591*($E$6-$C$6)*($D$6-$C$6)),$E$6-SQRT((1-$AB1591)*($E$6-$C$6)*($E$6-$D$6)))</f>
        <v/>
      </c>
      <c r="O1591" s="14">
        <f>_xlfn.NORM.INV($AC1591,$C$7,$D$7)</f>
        <v/>
      </c>
      <c r="P1591" s="14">
        <f>$C$8+($D$8-$C$8)*$AD1591</f>
        <v/>
      </c>
      <c r="Q1591" s="14">
        <f>$C$9</f>
        <v/>
      </c>
      <c r="R1591" s="14">
        <f>_xlfn.LOGNORM.INV($AF1591,LN($C$10)-0.5*LN(1+($D$10/$C$10)^2),SQRT(LN(1+($D$10/$C$10)^2)))</f>
        <v/>
      </c>
      <c r="S1591" s="14">
        <f>SUM(M1591:R1591)</f>
        <v/>
      </c>
      <c r="AA1591">
        <f>RAND()</f>
        <v/>
      </c>
      <c r="AB1591">
        <f>RAND()</f>
        <v/>
      </c>
      <c r="AC1591">
        <f>RAND()</f>
        <v/>
      </c>
      <c r="AD1591">
        <f>RAND()</f>
        <v/>
      </c>
      <c r="AE1591">
        <f>RAND()</f>
        <v/>
      </c>
      <c r="AF1591">
        <f>RAND()</f>
        <v/>
      </c>
    </row>
    <row r="1592">
      <c r="M1592" s="14">
        <f>_xlfn.BETA.INV($AA1592,1+4*($D$5-$C$5)/($E$5-$C$5),1+4*($E$5-$D$5)/($E$5-$C$5),$C$5,$E$5)</f>
        <v/>
      </c>
      <c r="N1592" s="14">
        <f>IF($AB1592&lt;($D$6-$C$6)/($E$6-$C$6),$C$6+SQRT($AB1592*($E$6-$C$6)*($D$6-$C$6)),$E$6-SQRT((1-$AB1592)*($E$6-$C$6)*($E$6-$D$6)))</f>
        <v/>
      </c>
      <c r="O1592" s="14">
        <f>_xlfn.NORM.INV($AC1592,$C$7,$D$7)</f>
        <v/>
      </c>
      <c r="P1592" s="14">
        <f>$C$8+($D$8-$C$8)*$AD1592</f>
        <v/>
      </c>
      <c r="Q1592" s="14">
        <f>$C$9</f>
        <v/>
      </c>
      <c r="R1592" s="14">
        <f>_xlfn.LOGNORM.INV($AF1592,LN($C$10)-0.5*LN(1+($D$10/$C$10)^2),SQRT(LN(1+($D$10/$C$10)^2)))</f>
        <v/>
      </c>
      <c r="S1592" s="14">
        <f>SUM(M1592:R1592)</f>
        <v/>
      </c>
      <c r="AA1592">
        <f>RAND()</f>
        <v/>
      </c>
      <c r="AB1592">
        <f>RAND()</f>
        <v/>
      </c>
      <c r="AC1592">
        <f>RAND()</f>
        <v/>
      </c>
      <c r="AD1592">
        <f>RAND()</f>
        <v/>
      </c>
      <c r="AE1592">
        <f>RAND()</f>
        <v/>
      </c>
      <c r="AF1592">
        <f>RAND()</f>
        <v/>
      </c>
    </row>
    <row r="1593">
      <c r="M1593" s="14">
        <f>_xlfn.BETA.INV($AA1593,1+4*($D$5-$C$5)/($E$5-$C$5),1+4*($E$5-$D$5)/($E$5-$C$5),$C$5,$E$5)</f>
        <v/>
      </c>
      <c r="N1593" s="14">
        <f>IF($AB1593&lt;($D$6-$C$6)/($E$6-$C$6),$C$6+SQRT($AB1593*($E$6-$C$6)*($D$6-$C$6)),$E$6-SQRT((1-$AB1593)*($E$6-$C$6)*($E$6-$D$6)))</f>
        <v/>
      </c>
      <c r="O1593" s="14">
        <f>_xlfn.NORM.INV($AC1593,$C$7,$D$7)</f>
        <v/>
      </c>
      <c r="P1593" s="14">
        <f>$C$8+($D$8-$C$8)*$AD1593</f>
        <v/>
      </c>
      <c r="Q1593" s="14">
        <f>$C$9</f>
        <v/>
      </c>
      <c r="R1593" s="14">
        <f>_xlfn.LOGNORM.INV($AF1593,LN($C$10)-0.5*LN(1+($D$10/$C$10)^2),SQRT(LN(1+($D$10/$C$10)^2)))</f>
        <v/>
      </c>
      <c r="S1593" s="14">
        <f>SUM(M1593:R1593)</f>
        <v/>
      </c>
      <c r="AA1593">
        <f>RAND()</f>
        <v/>
      </c>
      <c r="AB1593">
        <f>RAND()</f>
        <v/>
      </c>
      <c r="AC1593">
        <f>RAND()</f>
        <v/>
      </c>
      <c r="AD1593">
        <f>RAND()</f>
        <v/>
      </c>
      <c r="AE1593">
        <f>RAND()</f>
        <v/>
      </c>
      <c r="AF1593">
        <f>RAND()</f>
        <v/>
      </c>
    </row>
    <row r="1594">
      <c r="M1594" s="14">
        <f>_xlfn.BETA.INV($AA1594,1+4*($D$5-$C$5)/($E$5-$C$5),1+4*($E$5-$D$5)/($E$5-$C$5),$C$5,$E$5)</f>
        <v/>
      </c>
      <c r="N1594" s="14">
        <f>IF($AB1594&lt;($D$6-$C$6)/($E$6-$C$6),$C$6+SQRT($AB1594*($E$6-$C$6)*($D$6-$C$6)),$E$6-SQRT((1-$AB1594)*($E$6-$C$6)*($E$6-$D$6)))</f>
        <v/>
      </c>
      <c r="O1594" s="14">
        <f>_xlfn.NORM.INV($AC1594,$C$7,$D$7)</f>
        <v/>
      </c>
      <c r="P1594" s="14">
        <f>$C$8+($D$8-$C$8)*$AD1594</f>
        <v/>
      </c>
      <c r="Q1594" s="14">
        <f>$C$9</f>
        <v/>
      </c>
      <c r="R1594" s="14">
        <f>_xlfn.LOGNORM.INV($AF1594,LN($C$10)-0.5*LN(1+($D$10/$C$10)^2),SQRT(LN(1+($D$10/$C$10)^2)))</f>
        <v/>
      </c>
      <c r="S1594" s="14">
        <f>SUM(M1594:R1594)</f>
        <v/>
      </c>
      <c r="AA1594">
        <f>RAND()</f>
        <v/>
      </c>
      <c r="AB1594">
        <f>RAND()</f>
        <v/>
      </c>
      <c r="AC1594">
        <f>RAND()</f>
        <v/>
      </c>
      <c r="AD1594">
        <f>RAND()</f>
        <v/>
      </c>
      <c r="AE1594">
        <f>RAND()</f>
        <v/>
      </c>
      <c r="AF1594">
        <f>RAND()</f>
        <v/>
      </c>
    </row>
    <row r="1595">
      <c r="M1595" s="14">
        <f>_xlfn.BETA.INV($AA1595,1+4*($D$5-$C$5)/($E$5-$C$5),1+4*($E$5-$D$5)/($E$5-$C$5),$C$5,$E$5)</f>
        <v/>
      </c>
      <c r="N1595" s="14">
        <f>IF($AB1595&lt;($D$6-$C$6)/($E$6-$C$6),$C$6+SQRT($AB1595*($E$6-$C$6)*($D$6-$C$6)),$E$6-SQRT((1-$AB1595)*($E$6-$C$6)*($E$6-$D$6)))</f>
        <v/>
      </c>
      <c r="O1595" s="14">
        <f>_xlfn.NORM.INV($AC1595,$C$7,$D$7)</f>
        <v/>
      </c>
      <c r="P1595" s="14">
        <f>$C$8+($D$8-$C$8)*$AD1595</f>
        <v/>
      </c>
      <c r="Q1595" s="14">
        <f>$C$9</f>
        <v/>
      </c>
      <c r="R1595" s="14">
        <f>_xlfn.LOGNORM.INV($AF1595,LN($C$10)-0.5*LN(1+($D$10/$C$10)^2),SQRT(LN(1+($D$10/$C$10)^2)))</f>
        <v/>
      </c>
      <c r="S1595" s="14">
        <f>SUM(M1595:R1595)</f>
        <v/>
      </c>
      <c r="AA1595">
        <f>RAND()</f>
        <v/>
      </c>
      <c r="AB1595">
        <f>RAND()</f>
        <v/>
      </c>
      <c r="AC1595">
        <f>RAND()</f>
        <v/>
      </c>
      <c r="AD1595">
        <f>RAND()</f>
        <v/>
      </c>
      <c r="AE1595">
        <f>RAND()</f>
        <v/>
      </c>
      <c r="AF1595">
        <f>RAND()</f>
        <v/>
      </c>
    </row>
    <row r="1596">
      <c r="M1596" s="14">
        <f>_xlfn.BETA.INV($AA1596,1+4*($D$5-$C$5)/($E$5-$C$5),1+4*($E$5-$D$5)/($E$5-$C$5),$C$5,$E$5)</f>
        <v/>
      </c>
      <c r="N1596" s="14">
        <f>IF($AB1596&lt;($D$6-$C$6)/($E$6-$C$6),$C$6+SQRT($AB1596*($E$6-$C$6)*($D$6-$C$6)),$E$6-SQRT((1-$AB1596)*($E$6-$C$6)*($E$6-$D$6)))</f>
        <v/>
      </c>
      <c r="O1596" s="14">
        <f>_xlfn.NORM.INV($AC1596,$C$7,$D$7)</f>
        <v/>
      </c>
      <c r="P1596" s="14">
        <f>$C$8+($D$8-$C$8)*$AD1596</f>
        <v/>
      </c>
      <c r="Q1596" s="14">
        <f>$C$9</f>
        <v/>
      </c>
      <c r="R1596" s="14">
        <f>_xlfn.LOGNORM.INV($AF1596,LN($C$10)-0.5*LN(1+($D$10/$C$10)^2),SQRT(LN(1+($D$10/$C$10)^2)))</f>
        <v/>
      </c>
      <c r="S1596" s="14">
        <f>SUM(M1596:R1596)</f>
        <v/>
      </c>
      <c r="AA1596">
        <f>RAND()</f>
        <v/>
      </c>
      <c r="AB1596">
        <f>RAND()</f>
        <v/>
      </c>
      <c r="AC1596">
        <f>RAND()</f>
        <v/>
      </c>
      <c r="AD1596">
        <f>RAND()</f>
        <v/>
      </c>
      <c r="AE1596">
        <f>RAND()</f>
        <v/>
      </c>
      <c r="AF1596">
        <f>RAND()</f>
        <v/>
      </c>
    </row>
    <row r="1597">
      <c r="M1597" s="14">
        <f>_xlfn.BETA.INV($AA1597,1+4*($D$5-$C$5)/($E$5-$C$5),1+4*($E$5-$D$5)/($E$5-$C$5),$C$5,$E$5)</f>
        <v/>
      </c>
      <c r="N1597" s="14">
        <f>IF($AB1597&lt;($D$6-$C$6)/($E$6-$C$6),$C$6+SQRT($AB1597*($E$6-$C$6)*($D$6-$C$6)),$E$6-SQRT((1-$AB1597)*($E$6-$C$6)*($E$6-$D$6)))</f>
        <v/>
      </c>
      <c r="O1597" s="14">
        <f>_xlfn.NORM.INV($AC1597,$C$7,$D$7)</f>
        <v/>
      </c>
      <c r="P1597" s="14">
        <f>$C$8+($D$8-$C$8)*$AD1597</f>
        <v/>
      </c>
      <c r="Q1597" s="14">
        <f>$C$9</f>
        <v/>
      </c>
      <c r="R1597" s="14">
        <f>_xlfn.LOGNORM.INV($AF1597,LN($C$10)-0.5*LN(1+($D$10/$C$10)^2),SQRT(LN(1+($D$10/$C$10)^2)))</f>
        <v/>
      </c>
      <c r="S1597" s="14">
        <f>SUM(M1597:R1597)</f>
        <v/>
      </c>
      <c r="AA1597">
        <f>RAND()</f>
        <v/>
      </c>
      <c r="AB1597">
        <f>RAND()</f>
        <v/>
      </c>
      <c r="AC1597">
        <f>RAND()</f>
        <v/>
      </c>
      <c r="AD1597">
        <f>RAND()</f>
        <v/>
      </c>
      <c r="AE1597">
        <f>RAND()</f>
        <v/>
      </c>
      <c r="AF1597">
        <f>RAND()</f>
        <v/>
      </c>
    </row>
    <row r="1598">
      <c r="M1598" s="14">
        <f>_xlfn.BETA.INV($AA1598,1+4*($D$5-$C$5)/($E$5-$C$5),1+4*($E$5-$D$5)/($E$5-$C$5),$C$5,$E$5)</f>
        <v/>
      </c>
      <c r="N1598" s="14">
        <f>IF($AB1598&lt;($D$6-$C$6)/($E$6-$C$6),$C$6+SQRT($AB1598*($E$6-$C$6)*($D$6-$C$6)),$E$6-SQRT((1-$AB1598)*($E$6-$C$6)*($E$6-$D$6)))</f>
        <v/>
      </c>
      <c r="O1598" s="14">
        <f>_xlfn.NORM.INV($AC1598,$C$7,$D$7)</f>
        <v/>
      </c>
      <c r="P1598" s="14">
        <f>$C$8+($D$8-$C$8)*$AD1598</f>
        <v/>
      </c>
      <c r="Q1598" s="14">
        <f>$C$9</f>
        <v/>
      </c>
      <c r="R1598" s="14">
        <f>_xlfn.LOGNORM.INV($AF1598,LN($C$10)-0.5*LN(1+($D$10/$C$10)^2),SQRT(LN(1+($D$10/$C$10)^2)))</f>
        <v/>
      </c>
      <c r="S1598" s="14">
        <f>SUM(M1598:R1598)</f>
        <v/>
      </c>
      <c r="AA1598">
        <f>RAND()</f>
        <v/>
      </c>
      <c r="AB1598">
        <f>RAND()</f>
        <v/>
      </c>
      <c r="AC1598">
        <f>RAND()</f>
        <v/>
      </c>
      <c r="AD1598">
        <f>RAND()</f>
        <v/>
      </c>
      <c r="AE1598">
        <f>RAND()</f>
        <v/>
      </c>
      <c r="AF1598">
        <f>RAND()</f>
        <v/>
      </c>
    </row>
    <row r="1599">
      <c r="M1599" s="14">
        <f>_xlfn.BETA.INV($AA1599,1+4*($D$5-$C$5)/($E$5-$C$5),1+4*($E$5-$D$5)/($E$5-$C$5),$C$5,$E$5)</f>
        <v/>
      </c>
      <c r="N1599" s="14">
        <f>IF($AB1599&lt;($D$6-$C$6)/($E$6-$C$6),$C$6+SQRT($AB1599*($E$6-$C$6)*($D$6-$C$6)),$E$6-SQRT((1-$AB1599)*($E$6-$C$6)*($E$6-$D$6)))</f>
        <v/>
      </c>
      <c r="O1599" s="14">
        <f>_xlfn.NORM.INV($AC1599,$C$7,$D$7)</f>
        <v/>
      </c>
      <c r="P1599" s="14">
        <f>$C$8+($D$8-$C$8)*$AD1599</f>
        <v/>
      </c>
      <c r="Q1599" s="14">
        <f>$C$9</f>
        <v/>
      </c>
      <c r="R1599" s="14">
        <f>_xlfn.LOGNORM.INV($AF1599,LN($C$10)-0.5*LN(1+($D$10/$C$10)^2),SQRT(LN(1+($D$10/$C$10)^2)))</f>
        <v/>
      </c>
      <c r="S1599" s="14">
        <f>SUM(M1599:R1599)</f>
        <v/>
      </c>
      <c r="AA1599">
        <f>RAND()</f>
        <v/>
      </c>
      <c r="AB1599">
        <f>RAND()</f>
        <v/>
      </c>
      <c r="AC1599">
        <f>RAND()</f>
        <v/>
      </c>
      <c r="AD1599">
        <f>RAND()</f>
        <v/>
      </c>
      <c r="AE1599">
        <f>RAND()</f>
        <v/>
      </c>
      <c r="AF1599">
        <f>RAND()</f>
        <v/>
      </c>
    </row>
    <row r="1600">
      <c r="M1600" s="14">
        <f>_xlfn.BETA.INV($AA1600,1+4*($D$5-$C$5)/($E$5-$C$5),1+4*($E$5-$D$5)/($E$5-$C$5),$C$5,$E$5)</f>
        <v/>
      </c>
      <c r="N1600" s="14">
        <f>IF($AB1600&lt;($D$6-$C$6)/($E$6-$C$6),$C$6+SQRT($AB1600*($E$6-$C$6)*($D$6-$C$6)),$E$6-SQRT((1-$AB1600)*($E$6-$C$6)*($E$6-$D$6)))</f>
        <v/>
      </c>
      <c r="O1600" s="14">
        <f>_xlfn.NORM.INV($AC1600,$C$7,$D$7)</f>
        <v/>
      </c>
      <c r="P1600" s="14">
        <f>$C$8+($D$8-$C$8)*$AD1600</f>
        <v/>
      </c>
      <c r="Q1600" s="14">
        <f>$C$9</f>
        <v/>
      </c>
      <c r="R1600" s="14">
        <f>_xlfn.LOGNORM.INV($AF1600,LN($C$10)-0.5*LN(1+($D$10/$C$10)^2),SQRT(LN(1+($D$10/$C$10)^2)))</f>
        <v/>
      </c>
      <c r="S1600" s="14">
        <f>SUM(M1600:R1600)</f>
        <v/>
      </c>
      <c r="AA1600">
        <f>RAND()</f>
        <v/>
      </c>
      <c r="AB1600">
        <f>RAND()</f>
        <v/>
      </c>
      <c r="AC1600">
        <f>RAND()</f>
        <v/>
      </c>
      <c r="AD1600">
        <f>RAND()</f>
        <v/>
      </c>
      <c r="AE1600">
        <f>RAND()</f>
        <v/>
      </c>
      <c r="AF1600">
        <f>RAND()</f>
        <v/>
      </c>
    </row>
    <row r="1601">
      <c r="M1601" s="14">
        <f>_xlfn.BETA.INV($AA1601,1+4*($D$5-$C$5)/($E$5-$C$5),1+4*($E$5-$D$5)/($E$5-$C$5),$C$5,$E$5)</f>
        <v/>
      </c>
      <c r="N1601" s="14">
        <f>IF($AB1601&lt;($D$6-$C$6)/($E$6-$C$6),$C$6+SQRT($AB1601*($E$6-$C$6)*($D$6-$C$6)),$E$6-SQRT((1-$AB1601)*($E$6-$C$6)*($E$6-$D$6)))</f>
        <v/>
      </c>
      <c r="O1601" s="14">
        <f>_xlfn.NORM.INV($AC1601,$C$7,$D$7)</f>
        <v/>
      </c>
      <c r="P1601" s="14">
        <f>$C$8+($D$8-$C$8)*$AD1601</f>
        <v/>
      </c>
      <c r="Q1601" s="14">
        <f>$C$9</f>
        <v/>
      </c>
      <c r="R1601" s="14">
        <f>_xlfn.LOGNORM.INV($AF1601,LN($C$10)-0.5*LN(1+($D$10/$C$10)^2),SQRT(LN(1+($D$10/$C$10)^2)))</f>
        <v/>
      </c>
      <c r="S1601" s="14">
        <f>SUM(M1601:R1601)</f>
        <v/>
      </c>
      <c r="AA1601">
        <f>RAND()</f>
        <v/>
      </c>
      <c r="AB1601">
        <f>RAND()</f>
        <v/>
      </c>
      <c r="AC1601">
        <f>RAND()</f>
        <v/>
      </c>
      <c r="AD1601">
        <f>RAND()</f>
        <v/>
      </c>
      <c r="AE1601">
        <f>RAND()</f>
        <v/>
      </c>
      <c r="AF1601">
        <f>RAND()</f>
        <v/>
      </c>
    </row>
    <row r="1602">
      <c r="M1602" s="14">
        <f>_xlfn.BETA.INV($AA1602,1+4*($D$5-$C$5)/($E$5-$C$5),1+4*($E$5-$D$5)/($E$5-$C$5),$C$5,$E$5)</f>
        <v/>
      </c>
      <c r="N1602" s="14">
        <f>IF($AB1602&lt;($D$6-$C$6)/($E$6-$C$6),$C$6+SQRT($AB1602*($E$6-$C$6)*($D$6-$C$6)),$E$6-SQRT((1-$AB1602)*($E$6-$C$6)*($E$6-$D$6)))</f>
        <v/>
      </c>
      <c r="O1602" s="14">
        <f>_xlfn.NORM.INV($AC1602,$C$7,$D$7)</f>
        <v/>
      </c>
      <c r="P1602" s="14">
        <f>$C$8+($D$8-$C$8)*$AD1602</f>
        <v/>
      </c>
      <c r="Q1602" s="14">
        <f>$C$9</f>
        <v/>
      </c>
      <c r="R1602" s="14">
        <f>_xlfn.LOGNORM.INV($AF1602,LN($C$10)-0.5*LN(1+($D$10/$C$10)^2),SQRT(LN(1+($D$10/$C$10)^2)))</f>
        <v/>
      </c>
      <c r="S1602" s="14">
        <f>SUM(M1602:R1602)</f>
        <v/>
      </c>
      <c r="AA1602">
        <f>RAND()</f>
        <v/>
      </c>
      <c r="AB1602">
        <f>RAND()</f>
        <v/>
      </c>
      <c r="AC1602">
        <f>RAND()</f>
        <v/>
      </c>
      <c r="AD1602">
        <f>RAND()</f>
        <v/>
      </c>
      <c r="AE1602">
        <f>RAND()</f>
        <v/>
      </c>
      <c r="AF1602">
        <f>RAND()</f>
        <v/>
      </c>
    </row>
    <row r="1603">
      <c r="M1603" s="14">
        <f>_xlfn.BETA.INV($AA1603,1+4*($D$5-$C$5)/($E$5-$C$5),1+4*($E$5-$D$5)/($E$5-$C$5),$C$5,$E$5)</f>
        <v/>
      </c>
      <c r="N1603" s="14">
        <f>IF($AB1603&lt;($D$6-$C$6)/($E$6-$C$6),$C$6+SQRT($AB1603*($E$6-$C$6)*($D$6-$C$6)),$E$6-SQRT((1-$AB1603)*($E$6-$C$6)*($E$6-$D$6)))</f>
        <v/>
      </c>
      <c r="O1603" s="14">
        <f>_xlfn.NORM.INV($AC1603,$C$7,$D$7)</f>
        <v/>
      </c>
      <c r="P1603" s="14">
        <f>$C$8+($D$8-$C$8)*$AD1603</f>
        <v/>
      </c>
      <c r="Q1603" s="14">
        <f>$C$9</f>
        <v/>
      </c>
      <c r="R1603" s="14">
        <f>_xlfn.LOGNORM.INV($AF1603,LN($C$10)-0.5*LN(1+($D$10/$C$10)^2),SQRT(LN(1+($D$10/$C$10)^2)))</f>
        <v/>
      </c>
      <c r="S1603" s="14">
        <f>SUM(M1603:R1603)</f>
        <v/>
      </c>
      <c r="AA1603">
        <f>RAND()</f>
        <v/>
      </c>
      <c r="AB1603">
        <f>RAND()</f>
        <v/>
      </c>
      <c r="AC1603">
        <f>RAND()</f>
        <v/>
      </c>
      <c r="AD1603">
        <f>RAND()</f>
        <v/>
      </c>
      <c r="AE1603">
        <f>RAND()</f>
        <v/>
      </c>
      <c r="AF1603">
        <f>RAND()</f>
        <v/>
      </c>
    </row>
    <row r="1604">
      <c r="M1604" s="14">
        <f>_xlfn.BETA.INV($AA1604,1+4*($D$5-$C$5)/($E$5-$C$5),1+4*($E$5-$D$5)/($E$5-$C$5),$C$5,$E$5)</f>
        <v/>
      </c>
      <c r="N1604" s="14">
        <f>IF($AB1604&lt;($D$6-$C$6)/($E$6-$C$6),$C$6+SQRT($AB1604*($E$6-$C$6)*($D$6-$C$6)),$E$6-SQRT((1-$AB1604)*($E$6-$C$6)*($E$6-$D$6)))</f>
        <v/>
      </c>
      <c r="O1604" s="14">
        <f>_xlfn.NORM.INV($AC1604,$C$7,$D$7)</f>
        <v/>
      </c>
      <c r="P1604" s="14">
        <f>$C$8+($D$8-$C$8)*$AD1604</f>
        <v/>
      </c>
      <c r="Q1604" s="14">
        <f>$C$9</f>
        <v/>
      </c>
      <c r="R1604" s="14">
        <f>_xlfn.LOGNORM.INV($AF1604,LN($C$10)-0.5*LN(1+($D$10/$C$10)^2),SQRT(LN(1+($D$10/$C$10)^2)))</f>
        <v/>
      </c>
      <c r="S1604" s="14">
        <f>SUM(M1604:R1604)</f>
        <v/>
      </c>
      <c r="AA1604">
        <f>RAND()</f>
        <v/>
      </c>
      <c r="AB1604">
        <f>RAND()</f>
        <v/>
      </c>
      <c r="AC1604">
        <f>RAND()</f>
        <v/>
      </c>
      <c r="AD1604">
        <f>RAND()</f>
        <v/>
      </c>
      <c r="AE1604">
        <f>RAND()</f>
        <v/>
      </c>
      <c r="AF1604">
        <f>RAND()</f>
        <v/>
      </c>
    </row>
    <row r="1605">
      <c r="M1605" s="14">
        <f>_xlfn.BETA.INV($AA1605,1+4*($D$5-$C$5)/($E$5-$C$5),1+4*($E$5-$D$5)/($E$5-$C$5),$C$5,$E$5)</f>
        <v/>
      </c>
      <c r="N1605" s="14">
        <f>IF($AB1605&lt;($D$6-$C$6)/($E$6-$C$6),$C$6+SQRT($AB1605*($E$6-$C$6)*($D$6-$C$6)),$E$6-SQRT((1-$AB1605)*($E$6-$C$6)*($E$6-$D$6)))</f>
        <v/>
      </c>
      <c r="O1605" s="14">
        <f>_xlfn.NORM.INV($AC1605,$C$7,$D$7)</f>
        <v/>
      </c>
      <c r="P1605" s="14">
        <f>$C$8+($D$8-$C$8)*$AD1605</f>
        <v/>
      </c>
      <c r="Q1605" s="14">
        <f>$C$9</f>
        <v/>
      </c>
      <c r="R1605" s="14">
        <f>_xlfn.LOGNORM.INV($AF1605,LN($C$10)-0.5*LN(1+($D$10/$C$10)^2),SQRT(LN(1+($D$10/$C$10)^2)))</f>
        <v/>
      </c>
      <c r="S1605" s="14">
        <f>SUM(M1605:R1605)</f>
        <v/>
      </c>
      <c r="AA1605">
        <f>RAND()</f>
        <v/>
      </c>
      <c r="AB1605">
        <f>RAND()</f>
        <v/>
      </c>
      <c r="AC1605">
        <f>RAND()</f>
        <v/>
      </c>
      <c r="AD1605">
        <f>RAND()</f>
        <v/>
      </c>
      <c r="AE1605">
        <f>RAND()</f>
        <v/>
      </c>
      <c r="AF1605">
        <f>RAND()</f>
        <v/>
      </c>
    </row>
    <row r="1606">
      <c r="M1606" s="14">
        <f>_xlfn.BETA.INV($AA1606,1+4*($D$5-$C$5)/($E$5-$C$5),1+4*($E$5-$D$5)/($E$5-$C$5),$C$5,$E$5)</f>
        <v/>
      </c>
      <c r="N1606" s="14">
        <f>IF($AB1606&lt;($D$6-$C$6)/($E$6-$C$6),$C$6+SQRT($AB1606*($E$6-$C$6)*($D$6-$C$6)),$E$6-SQRT((1-$AB1606)*($E$6-$C$6)*($E$6-$D$6)))</f>
        <v/>
      </c>
      <c r="O1606" s="14">
        <f>_xlfn.NORM.INV($AC1606,$C$7,$D$7)</f>
        <v/>
      </c>
      <c r="P1606" s="14">
        <f>$C$8+($D$8-$C$8)*$AD1606</f>
        <v/>
      </c>
      <c r="Q1606" s="14">
        <f>$C$9</f>
        <v/>
      </c>
      <c r="R1606" s="14">
        <f>_xlfn.LOGNORM.INV($AF1606,LN($C$10)-0.5*LN(1+($D$10/$C$10)^2),SQRT(LN(1+($D$10/$C$10)^2)))</f>
        <v/>
      </c>
      <c r="S1606" s="14">
        <f>SUM(M1606:R1606)</f>
        <v/>
      </c>
      <c r="AA1606">
        <f>RAND()</f>
        <v/>
      </c>
      <c r="AB1606">
        <f>RAND()</f>
        <v/>
      </c>
      <c r="AC1606">
        <f>RAND()</f>
        <v/>
      </c>
      <c r="AD1606">
        <f>RAND()</f>
        <v/>
      </c>
      <c r="AE1606">
        <f>RAND()</f>
        <v/>
      </c>
      <c r="AF1606">
        <f>RAND()</f>
        <v/>
      </c>
    </row>
    <row r="1607">
      <c r="M1607" s="14">
        <f>_xlfn.BETA.INV($AA1607,1+4*($D$5-$C$5)/($E$5-$C$5),1+4*($E$5-$D$5)/($E$5-$C$5),$C$5,$E$5)</f>
        <v/>
      </c>
      <c r="N1607" s="14">
        <f>IF($AB1607&lt;($D$6-$C$6)/($E$6-$C$6),$C$6+SQRT($AB1607*($E$6-$C$6)*($D$6-$C$6)),$E$6-SQRT((1-$AB1607)*($E$6-$C$6)*($E$6-$D$6)))</f>
        <v/>
      </c>
      <c r="O1607" s="14">
        <f>_xlfn.NORM.INV($AC1607,$C$7,$D$7)</f>
        <v/>
      </c>
      <c r="P1607" s="14">
        <f>$C$8+($D$8-$C$8)*$AD1607</f>
        <v/>
      </c>
      <c r="Q1607" s="14">
        <f>$C$9</f>
        <v/>
      </c>
      <c r="R1607" s="14">
        <f>_xlfn.LOGNORM.INV($AF1607,LN($C$10)-0.5*LN(1+($D$10/$C$10)^2),SQRT(LN(1+($D$10/$C$10)^2)))</f>
        <v/>
      </c>
      <c r="S1607" s="14">
        <f>SUM(M1607:R1607)</f>
        <v/>
      </c>
      <c r="AA1607">
        <f>RAND()</f>
        <v/>
      </c>
      <c r="AB1607">
        <f>RAND()</f>
        <v/>
      </c>
      <c r="AC1607">
        <f>RAND()</f>
        <v/>
      </c>
      <c r="AD1607">
        <f>RAND()</f>
        <v/>
      </c>
      <c r="AE1607">
        <f>RAND()</f>
        <v/>
      </c>
      <c r="AF1607">
        <f>RAND()</f>
        <v/>
      </c>
    </row>
    <row r="1608">
      <c r="M1608" s="14">
        <f>_xlfn.BETA.INV($AA1608,1+4*($D$5-$C$5)/($E$5-$C$5),1+4*($E$5-$D$5)/($E$5-$C$5),$C$5,$E$5)</f>
        <v/>
      </c>
      <c r="N1608" s="14">
        <f>IF($AB1608&lt;($D$6-$C$6)/($E$6-$C$6),$C$6+SQRT($AB1608*($E$6-$C$6)*($D$6-$C$6)),$E$6-SQRT((1-$AB1608)*($E$6-$C$6)*($E$6-$D$6)))</f>
        <v/>
      </c>
      <c r="O1608" s="14">
        <f>_xlfn.NORM.INV($AC1608,$C$7,$D$7)</f>
        <v/>
      </c>
      <c r="P1608" s="14">
        <f>$C$8+($D$8-$C$8)*$AD1608</f>
        <v/>
      </c>
      <c r="Q1608" s="14">
        <f>$C$9</f>
        <v/>
      </c>
      <c r="R1608" s="14">
        <f>_xlfn.LOGNORM.INV($AF1608,LN($C$10)-0.5*LN(1+($D$10/$C$10)^2),SQRT(LN(1+($D$10/$C$10)^2)))</f>
        <v/>
      </c>
      <c r="S1608" s="14">
        <f>SUM(M1608:R1608)</f>
        <v/>
      </c>
      <c r="AA1608">
        <f>RAND()</f>
        <v/>
      </c>
      <c r="AB1608">
        <f>RAND()</f>
        <v/>
      </c>
      <c r="AC1608">
        <f>RAND()</f>
        <v/>
      </c>
      <c r="AD1608">
        <f>RAND()</f>
        <v/>
      </c>
      <c r="AE1608">
        <f>RAND()</f>
        <v/>
      </c>
      <c r="AF1608">
        <f>RAND()</f>
        <v/>
      </c>
    </row>
    <row r="1609">
      <c r="M1609" s="14">
        <f>_xlfn.BETA.INV($AA1609,1+4*($D$5-$C$5)/($E$5-$C$5),1+4*($E$5-$D$5)/($E$5-$C$5),$C$5,$E$5)</f>
        <v/>
      </c>
      <c r="N1609" s="14">
        <f>IF($AB1609&lt;($D$6-$C$6)/($E$6-$C$6),$C$6+SQRT($AB1609*($E$6-$C$6)*($D$6-$C$6)),$E$6-SQRT((1-$AB1609)*($E$6-$C$6)*($E$6-$D$6)))</f>
        <v/>
      </c>
      <c r="O1609" s="14">
        <f>_xlfn.NORM.INV($AC1609,$C$7,$D$7)</f>
        <v/>
      </c>
      <c r="P1609" s="14">
        <f>$C$8+($D$8-$C$8)*$AD1609</f>
        <v/>
      </c>
      <c r="Q1609" s="14">
        <f>$C$9</f>
        <v/>
      </c>
      <c r="R1609" s="14">
        <f>_xlfn.LOGNORM.INV($AF1609,LN($C$10)-0.5*LN(1+($D$10/$C$10)^2),SQRT(LN(1+($D$10/$C$10)^2)))</f>
        <v/>
      </c>
      <c r="S1609" s="14">
        <f>SUM(M1609:R1609)</f>
        <v/>
      </c>
      <c r="AA1609">
        <f>RAND()</f>
        <v/>
      </c>
      <c r="AB1609">
        <f>RAND()</f>
        <v/>
      </c>
      <c r="AC1609">
        <f>RAND()</f>
        <v/>
      </c>
      <c r="AD1609">
        <f>RAND()</f>
        <v/>
      </c>
      <c r="AE1609">
        <f>RAND()</f>
        <v/>
      </c>
      <c r="AF1609">
        <f>RAND()</f>
        <v/>
      </c>
    </row>
    <row r="1610">
      <c r="M1610" s="14">
        <f>_xlfn.BETA.INV($AA1610,1+4*($D$5-$C$5)/($E$5-$C$5),1+4*($E$5-$D$5)/($E$5-$C$5),$C$5,$E$5)</f>
        <v/>
      </c>
      <c r="N1610" s="14">
        <f>IF($AB1610&lt;($D$6-$C$6)/($E$6-$C$6),$C$6+SQRT($AB1610*($E$6-$C$6)*($D$6-$C$6)),$E$6-SQRT((1-$AB1610)*($E$6-$C$6)*($E$6-$D$6)))</f>
        <v/>
      </c>
      <c r="O1610" s="14">
        <f>_xlfn.NORM.INV($AC1610,$C$7,$D$7)</f>
        <v/>
      </c>
      <c r="P1610" s="14">
        <f>$C$8+($D$8-$C$8)*$AD1610</f>
        <v/>
      </c>
      <c r="Q1610" s="14">
        <f>$C$9</f>
        <v/>
      </c>
      <c r="R1610" s="14">
        <f>_xlfn.LOGNORM.INV($AF1610,LN($C$10)-0.5*LN(1+($D$10/$C$10)^2),SQRT(LN(1+($D$10/$C$10)^2)))</f>
        <v/>
      </c>
      <c r="S1610" s="14">
        <f>SUM(M1610:R1610)</f>
        <v/>
      </c>
      <c r="AA1610">
        <f>RAND()</f>
        <v/>
      </c>
      <c r="AB1610">
        <f>RAND()</f>
        <v/>
      </c>
      <c r="AC1610">
        <f>RAND()</f>
        <v/>
      </c>
      <c r="AD1610">
        <f>RAND()</f>
        <v/>
      </c>
      <c r="AE1610">
        <f>RAND()</f>
        <v/>
      </c>
      <c r="AF1610">
        <f>RAND()</f>
        <v/>
      </c>
    </row>
    <row r="1611">
      <c r="M1611" s="14">
        <f>_xlfn.BETA.INV($AA1611,1+4*($D$5-$C$5)/($E$5-$C$5),1+4*($E$5-$D$5)/($E$5-$C$5),$C$5,$E$5)</f>
        <v/>
      </c>
      <c r="N1611" s="14">
        <f>IF($AB1611&lt;($D$6-$C$6)/($E$6-$C$6),$C$6+SQRT($AB1611*($E$6-$C$6)*($D$6-$C$6)),$E$6-SQRT((1-$AB1611)*($E$6-$C$6)*($E$6-$D$6)))</f>
        <v/>
      </c>
      <c r="O1611" s="14">
        <f>_xlfn.NORM.INV($AC1611,$C$7,$D$7)</f>
        <v/>
      </c>
      <c r="P1611" s="14">
        <f>$C$8+($D$8-$C$8)*$AD1611</f>
        <v/>
      </c>
      <c r="Q1611" s="14">
        <f>$C$9</f>
        <v/>
      </c>
      <c r="R1611" s="14">
        <f>_xlfn.LOGNORM.INV($AF1611,LN($C$10)-0.5*LN(1+($D$10/$C$10)^2),SQRT(LN(1+($D$10/$C$10)^2)))</f>
        <v/>
      </c>
      <c r="S1611" s="14">
        <f>SUM(M1611:R1611)</f>
        <v/>
      </c>
      <c r="AA1611">
        <f>RAND()</f>
        <v/>
      </c>
      <c r="AB1611">
        <f>RAND()</f>
        <v/>
      </c>
      <c r="AC1611">
        <f>RAND()</f>
        <v/>
      </c>
      <c r="AD1611">
        <f>RAND()</f>
        <v/>
      </c>
      <c r="AE1611">
        <f>RAND()</f>
        <v/>
      </c>
      <c r="AF1611">
        <f>RAND()</f>
        <v/>
      </c>
    </row>
    <row r="1612">
      <c r="M1612" s="14">
        <f>_xlfn.BETA.INV($AA1612,1+4*($D$5-$C$5)/($E$5-$C$5),1+4*($E$5-$D$5)/($E$5-$C$5),$C$5,$E$5)</f>
        <v/>
      </c>
      <c r="N1612" s="14">
        <f>IF($AB1612&lt;($D$6-$C$6)/($E$6-$C$6),$C$6+SQRT($AB1612*($E$6-$C$6)*($D$6-$C$6)),$E$6-SQRT((1-$AB1612)*($E$6-$C$6)*($E$6-$D$6)))</f>
        <v/>
      </c>
      <c r="O1612" s="14">
        <f>_xlfn.NORM.INV($AC1612,$C$7,$D$7)</f>
        <v/>
      </c>
      <c r="P1612" s="14">
        <f>$C$8+($D$8-$C$8)*$AD1612</f>
        <v/>
      </c>
      <c r="Q1612" s="14">
        <f>$C$9</f>
        <v/>
      </c>
      <c r="R1612" s="14">
        <f>_xlfn.LOGNORM.INV($AF1612,LN($C$10)-0.5*LN(1+($D$10/$C$10)^2),SQRT(LN(1+($D$10/$C$10)^2)))</f>
        <v/>
      </c>
      <c r="S1612" s="14">
        <f>SUM(M1612:R1612)</f>
        <v/>
      </c>
      <c r="AA1612">
        <f>RAND()</f>
        <v/>
      </c>
      <c r="AB1612">
        <f>RAND()</f>
        <v/>
      </c>
      <c r="AC1612">
        <f>RAND()</f>
        <v/>
      </c>
      <c r="AD1612">
        <f>RAND()</f>
        <v/>
      </c>
      <c r="AE1612">
        <f>RAND()</f>
        <v/>
      </c>
      <c r="AF1612">
        <f>RAND()</f>
        <v/>
      </c>
    </row>
    <row r="1613">
      <c r="M1613" s="14">
        <f>_xlfn.BETA.INV($AA1613,1+4*($D$5-$C$5)/($E$5-$C$5),1+4*($E$5-$D$5)/($E$5-$C$5),$C$5,$E$5)</f>
        <v/>
      </c>
      <c r="N1613" s="14">
        <f>IF($AB1613&lt;($D$6-$C$6)/($E$6-$C$6),$C$6+SQRT($AB1613*($E$6-$C$6)*($D$6-$C$6)),$E$6-SQRT((1-$AB1613)*($E$6-$C$6)*($E$6-$D$6)))</f>
        <v/>
      </c>
      <c r="O1613" s="14">
        <f>_xlfn.NORM.INV($AC1613,$C$7,$D$7)</f>
        <v/>
      </c>
      <c r="P1613" s="14">
        <f>$C$8+($D$8-$C$8)*$AD1613</f>
        <v/>
      </c>
      <c r="Q1613" s="14">
        <f>$C$9</f>
        <v/>
      </c>
      <c r="R1613" s="14">
        <f>_xlfn.LOGNORM.INV($AF1613,LN($C$10)-0.5*LN(1+($D$10/$C$10)^2),SQRT(LN(1+($D$10/$C$10)^2)))</f>
        <v/>
      </c>
      <c r="S1613" s="14">
        <f>SUM(M1613:R1613)</f>
        <v/>
      </c>
      <c r="AA1613">
        <f>RAND()</f>
        <v/>
      </c>
      <c r="AB1613">
        <f>RAND()</f>
        <v/>
      </c>
      <c r="AC1613">
        <f>RAND()</f>
        <v/>
      </c>
      <c r="AD1613">
        <f>RAND()</f>
        <v/>
      </c>
      <c r="AE1613">
        <f>RAND()</f>
        <v/>
      </c>
      <c r="AF1613">
        <f>RAND()</f>
        <v/>
      </c>
    </row>
    <row r="1614">
      <c r="M1614" s="14">
        <f>_xlfn.BETA.INV($AA1614,1+4*($D$5-$C$5)/($E$5-$C$5),1+4*($E$5-$D$5)/($E$5-$C$5),$C$5,$E$5)</f>
        <v/>
      </c>
      <c r="N1614" s="14">
        <f>IF($AB1614&lt;($D$6-$C$6)/($E$6-$C$6),$C$6+SQRT($AB1614*($E$6-$C$6)*($D$6-$C$6)),$E$6-SQRT((1-$AB1614)*($E$6-$C$6)*($E$6-$D$6)))</f>
        <v/>
      </c>
      <c r="O1614" s="14">
        <f>_xlfn.NORM.INV($AC1614,$C$7,$D$7)</f>
        <v/>
      </c>
      <c r="P1614" s="14">
        <f>$C$8+($D$8-$C$8)*$AD1614</f>
        <v/>
      </c>
      <c r="Q1614" s="14">
        <f>$C$9</f>
        <v/>
      </c>
      <c r="R1614" s="14">
        <f>_xlfn.LOGNORM.INV($AF1614,LN($C$10)-0.5*LN(1+($D$10/$C$10)^2),SQRT(LN(1+($D$10/$C$10)^2)))</f>
        <v/>
      </c>
      <c r="S1614" s="14">
        <f>SUM(M1614:R1614)</f>
        <v/>
      </c>
      <c r="AA1614">
        <f>RAND()</f>
        <v/>
      </c>
      <c r="AB1614">
        <f>RAND()</f>
        <v/>
      </c>
      <c r="AC1614">
        <f>RAND()</f>
        <v/>
      </c>
      <c r="AD1614">
        <f>RAND()</f>
        <v/>
      </c>
      <c r="AE1614">
        <f>RAND()</f>
        <v/>
      </c>
      <c r="AF1614">
        <f>RAND()</f>
        <v/>
      </c>
    </row>
    <row r="1615">
      <c r="M1615" s="14">
        <f>_xlfn.BETA.INV($AA1615,1+4*($D$5-$C$5)/($E$5-$C$5),1+4*($E$5-$D$5)/($E$5-$C$5),$C$5,$E$5)</f>
        <v/>
      </c>
      <c r="N1615" s="14">
        <f>IF($AB1615&lt;($D$6-$C$6)/($E$6-$C$6),$C$6+SQRT($AB1615*($E$6-$C$6)*($D$6-$C$6)),$E$6-SQRT((1-$AB1615)*($E$6-$C$6)*($E$6-$D$6)))</f>
        <v/>
      </c>
      <c r="O1615" s="14">
        <f>_xlfn.NORM.INV($AC1615,$C$7,$D$7)</f>
        <v/>
      </c>
      <c r="P1615" s="14">
        <f>$C$8+($D$8-$C$8)*$AD1615</f>
        <v/>
      </c>
      <c r="Q1615" s="14">
        <f>$C$9</f>
        <v/>
      </c>
      <c r="R1615" s="14">
        <f>_xlfn.LOGNORM.INV($AF1615,LN($C$10)-0.5*LN(1+($D$10/$C$10)^2),SQRT(LN(1+($D$10/$C$10)^2)))</f>
        <v/>
      </c>
      <c r="S1615" s="14">
        <f>SUM(M1615:R1615)</f>
        <v/>
      </c>
      <c r="AA1615">
        <f>RAND()</f>
        <v/>
      </c>
      <c r="AB1615">
        <f>RAND()</f>
        <v/>
      </c>
      <c r="AC1615">
        <f>RAND()</f>
        <v/>
      </c>
      <c r="AD1615">
        <f>RAND()</f>
        <v/>
      </c>
      <c r="AE1615">
        <f>RAND()</f>
        <v/>
      </c>
      <c r="AF1615">
        <f>RAND()</f>
        <v/>
      </c>
    </row>
    <row r="1616">
      <c r="M1616" s="14">
        <f>_xlfn.BETA.INV($AA1616,1+4*($D$5-$C$5)/($E$5-$C$5),1+4*($E$5-$D$5)/($E$5-$C$5),$C$5,$E$5)</f>
        <v/>
      </c>
      <c r="N1616" s="14">
        <f>IF($AB1616&lt;($D$6-$C$6)/($E$6-$C$6),$C$6+SQRT($AB1616*($E$6-$C$6)*($D$6-$C$6)),$E$6-SQRT((1-$AB1616)*($E$6-$C$6)*($E$6-$D$6)))</f>
        <v/>
      </c>
      <c r="O1616" s="14">
        <f>_xlfn.NORM.INV($AC1616,$C$7,$D$7)</f>
        <v/>
      </c>
      <c r="P1616" s="14">
        <f>$C$8+($D$8-$C$8)*$AD1616</f>
        <v/>
      </c>
      <c r="Q1616" s="14">
        <f>$C$9</f>
        <v/>
      </c>
      <c r="R1616" s="14">
        <f>_xlfn.LOGNORM.INV($AF1616,LN($C$10)-0.5*LN(1+($D$10/$C$10)^2),SQRT(LN(1+($D$10/$C$10)^2)))</f>
        <v/>
      </c>
      <c r="S1616" s="14">
        <f>SUM(M1616:R1616)</f>
        <v/>
      </c>
      <c r="AA1616">
        <f>RAND()</f>
        <v/>
      </c>
      <c r="AB1616">
        <f>RAND()</f>
        <v/>
      </c>
      <c r="AC1616">
        <f>RAND()</f>
        <v/>
      </c>
      <c r="AD1616">
        <f>RAND()</f>
        <v/>
      </c>
      <c r="AE1616">
        <f>RAND()</f>
        <v/>
      </c>
      <c r="AF1616">
        <f>RAND()</f>
        <v/>
      </c>
    </row>
    <row r="1617">
      <c r="M1617" s="14">
        <f>_xlfn.BETA.INV($AA1617,1+4*($D$5-$C$5)/($E$5-$C$5),1+4*($E$5-$D$5)/($E$5-$C$5),$C$5,$E$5)</f>
        <v/>
      </c>
      <c r="N1617" s="14">
        <f>IF($AB1617&lt;($D$6-$C$6)/($E$6-$C$6),$C$6+SQRT($AB1617*($E$6-$C$6)*($D$6-$C$6)),$E$6-SQRT((1-$AB1617)*($E$6-$C$6)*($E$6-$D$6)))</f>
        <v/>
      </c>
      <c r="O1617" s="14">
        <f>_xlfn.NORM.INV($AC1617,$C$7,$D$7)</f>
        <v/>
      </c>
      <c r="P1617" s="14">
        <f>$C$8+($D$8-$C$8)*$AD1617</f>
        <v/>
      </c>
      <c r="Q1617" s="14">
        <f>$C$9</f>
        <v/>
      </c>
      <c r="R1617" s="14">
        <f>_xlfn.LOGNORM.INV($AF1617,LN($C$10)-0.5*LN(1+($D$10/$C$10)^2),SQRT(LN(1+($D$10/$C$10)^2)))</f>
        <v/>
      </c>
      <c r="S1617" s="14">
        <f>SUM(M1617:R1617)</f>
        <v/>
      </c>
      <c r="AA1617">
        <f>RAND()</f>
        <v/>
      </c>
      <c r="AB1617">
        <f>RAND()</f>
        <v/>
      </c>
      <c r="AC1617">
        <f>RAND()</f>
        <v/>
      </c>
      <c r="AD1617">
        <f>RAND()</f>
        <v/>
      </c>
      <c r="AE1617">
        <f>RAND()</f>
        <v/>
      </c>
      <c r="AF1617">
        <f>RAND()</f>
        <v/>
      </c>
    </row>
    <row r="1618">
      <c r="M1618" s="14">
        <f>_xlfn.BETA.INV($AA1618,1+4*($D$5-$C$5)/($E$5-$C$5),1+4*($E$5-$D$5)/($E$5-$C$5),$C$5,$E$5)</f>
        <v/>
      </c>
      <c r="N1618" s="14">
        <f>IF($AB1618&lt;($D$6-$C$6)/($E$6-$C$6),$C$6+SQRT($AB1618*($E$6-$C$6)*($D$6-$C$6)),$E$6-SQRT((1-$AB1618)*($E$6-$C$6)*($E$6-$D$6)))</f>
        <v/>
      </c>
      <c r="O1618" s="14">
        <f>_xlfn.NORM.INV($AC1618,$C$7,$D$7)</f>
        <v/>
      </c>
      <c r="P1618" s="14">
        <f>$C$8+($D$8-$C$8)*$AD1618</f>
        <v/>
      </c>
      <c r="Q1618" s="14">
        <f>$C$9</f>
        <v/>
      </c>
      <c r="R1618" s="14">
        <f>_xlfn.LOGNORM.INV($AF1618,LN($C$10)-0.5*LN(1+($D$10/$C$10)^2),SQRT(LN(1+($D$10/$C$10)^2)))</f>
        <v/>
      </c>
      <c r="S1618" s="14">
        <f>SUM(M1618:R1618)</f>
        <v/>
      </c>
      <c r="AA1618">
        <f>RAND()</f>
        <v/>
      </c>
      <c r="AB1618">
        <f>RAND()</f>
        <v/>
      </c>
      <c r="AC1618">
        <f>RAND()</f>
        <v/>
      </c>
      <c r="AD1618">
        <f>RAND()</f>
        <v/>
      </c>
      <c r="AE1618">
        <f>RAND()</f>
        <v/>
      </c>
      <c r="AF1618">
        <f>RAND()</f>
        <v/>
      </c>
    </row>
    <row r="1619">
      <c r="M1619" s="14">
        <f>_xlfn.BETA.INV($AA1619,1+4*($D$5-$C$5)/($E$5-$C$5),1+4*($E$5-$D$5)/($E$5-$C$5),$C$5,$E$5)</f>
        <v/>
      </c>
      <c r="N1619" s="14">
        <f>IF($AB1619&lt;($D$6-$C$6)/($E$6-$C$6),$C$6+SQRT($AB1619*($E$6-$C$6)*($D$6-$C$6)),$E$6-SQRT((1-$AB1619)*($E$6-$C$6)*($E$6-$D$6)))</f>
        <v/>
      </c>
      <c r="O1619" s="14">
        <f>_xlfn.NORM.INV($AC1619,$C$7,$D$7)</f>
        <v/>
      </c>
      <c r="P1619" s="14">
        <f>$C$8+($D$8-$C$8)*$AD1619</f>
        <v/>
      </c>
      <c r="Q1619" s="14">
        <f>$C$9</f>
        <v/>
      </c>
      <c r="R1619" s="14">
        <f>_xlfn.LOGNORM.INV($AF1619,LN($C$10)-0.5*LN(1+($D$10/$C$10)^2),SQRT(LN(1+($D$10/$C$10)^2)))</f>
        <v/>
      </c>
      <c r="S1619" s="14">
        <f>SUM(M1619:R1619)</f>
        <v/>
      </c>
      <c r="AA1619">
        <f>RAND()</f>
        <v/>
      </c>
      <c r="AB1619">
        <f>RAND()</f>
        <v/>
      </c>
      <c r="AC1619">
        <f>RAND()</f>
        <v/>
      </c>
      <c r="AD1619">
        <f>RAND()</f>
        <v/>
      </c>
      <c r="AE1619">
        <f>RAND()</f>
        <v/>
      </c>
      <c r="AF1619">
        <f>RAND()</f>
        <v/>
      </c>
    </row>
    <row r="1620">
      <c r="M1620" s="14">
        <f>_xlfn.BETA.INV($AA1620,1+4*($D$5-$C$5)/($E$5-$C$5),1+4*($E$5-$D$5)/($E$5-$C$5),$C$5,$E$5)</f>
        <v/>
      </c>
      <c r="N1620" s="14">
        <f>IF($AB1620&lt;($D$6-$C$6)/($E$6-$C$6),$C$6+SQRT($AB1620*($E$6-$C$6)*($D$6-$C$6)),$E$6-SQRT((1-$AB1620)*($E$6-$C$6)*($E$6-$D$6)))</f>
        <v/>
      </c>
      <c r="O1620" s="14">
        <f>_xlfn.NORM.INV($AC1620,$C$7,$D$7)</f>
        <v/>
      </c>
      <c r="P1620" s="14">
        <f>$C$8+($D$8-$C$8)*$AD1620</f>
        <v/>
      </c>
      <c r="Q1620" s="14">
        <f>$C$9</f>
        <v/>
      </c>
      <c r="R1620" s="14">
        <f>_xlfn.LOGNORM.INV($AF1620,LN($C$10)-0.5*LN(1+($D$10/$C$10)^2),SQRT(LN(1+($D$10/$C$10)^2)))</f>
        <v/>
      </c>
      <c r="S1620" s="14">
        <f>SUM(M1620:R1620)</f>
        <v/>
      </c>
      <c r="AA1620">
        <f>RAND()</f>
        <v/>
      </c>
      <c r="AB1620">
        <f>RAND()</f>
        <v/>
      </c>
      <c r="AC1620">
        <f>RAND()</f>
        <v/>
      </c>
      <c r="AD1620">
        <f>RAND()</f>
        <v/>
      </c>
      <c r="AE1620">
        <f>RAND()</f>
        <v/>
      </c>
      <c r="AF1620">
        <f>RAND()</f>
        <v/>
      </c>
    </row>
    <row r="1621">
      <c r="M1621" s="14">
        <f>_xlfn.BETA.INV($AA1621,1+4*($D$5-$C$5)/($E$5-$C$5),1+4*($E$5-$D$5)/($E$5-$C$5),$C$5,$E$5)</f>
        <v/>
      </c>
      <c r="N1621" s="14">
        <f>IF($AB1621&lt;($D$6-$C$6)/($E$6-$C$6),$C$6+SQRT($AB1621*($E$6-$C$6)*($D$6-$C$6)),$E$6-SQRT((1-$AB1621)*($E$6-$C$6)*($E$6-$D$6)))</f>
        <v/>
      </c>
      <c r="O1621" s="14">
        <f>_xlfn.NORM.INV($AC1621,$C$7,$D$7)</f>
        <v/>
      </c>
      <c r="P1621" s="14">
        <f>$C$8+($D$8-$C$8)*$AD1621</f>
        <v/>
      </c>
      <c r="Q1621" s="14">
        <f>$C$9</f>
        <v/>
      </c>
      <c r="R1621" s="14">
        <f>_xlfn.LOGNORM.INV($AF1621,LN($C$10)-0.5*LN(1+($D$10/$C$10)^2),SQRT(LN(1+($D$10/$C$10)^2)))</f>
        <v/>
      </c>
      <c r="S1621" s="14">
        <f>SUM(M1621:R1621)</f>
        <v/>
      </c>
      <c r="AA1621">
        <f>RAND()</f>
        <v/>
      </c>
      <c r="AB1621">
        <f>RAND()</f>
        <v/>
      </c>
      <c r="AC1621">
        <f>RAND()</f>
        <v/>
      </c>
      <c r="AD1621">
        <f>RAND()</f>
        <v/>
      </c>
      <c r="AE1621">
        <f>RAND()</f>
        <v/>
      </c>
      <c r="AF1621">
        <f>RAND()</f>
        <v/>
      </c>
    </row>
    <row r="1622">
      <c r="M1622" s="14">
        <f>_xlfn.BETA.INV($AA1622,1+4*($D$5-$C$5)/($E$5-$C$5),1+4*($E$5-$D$5)/($E$5-$C$5),$C$5,$E$5)</f>
        <v/>
      </c>
      <c r="N1622" s="14">
        <f>IF($AB1622&lt;($D$6-$C$6)/($E$6-$C$6),$C$6+SQRT($AB1622*($E$6-$C$6)*($D$6-$C$6)),$E$6-SQRT((1-$AB1622)*($E$6-$C$6)*($E$6-$D$6)))</f>
        <v/>
      </c>
      <c r="O1622" s="14">
        <f>_xlfn.NORM.INV($AC1622,$C$7,$D$7)</f>
        <v/>
      </c>
      <c r="P1622" s="14">
        <f>$C$8+($D$8-$C$8)*$AD1622</f>
        <v/>
      </c>
      <c r="Q1622" s="14">
        <f>$C$9</f>
        <v/>
      </c>
      <c r="R1622" s="14">
        <f>_xlfn.LOGNORM.INV($AF1622,LN($C$10)-0.5*LN(1+($D$10/$C$10)^2),SQRT(LN(1+($D$10/$C$10)^2)))</f>
        <v/>
      </c>
      <c r="S1622" s="14">
        <f>SUM(M1622:R1622)</f>
        <v/>
      </c>
      <c r="AA1622">
        <f>RAND()</f>
        <v/>
      </c>
      <c r="AB1622">
        <f>RAND()</f>
        <v/>
      </c>
      <c r="AC1622">
        <f>RAND()</f>
        <v/>
      </c>
      <c r="AD1622">
        <f>RAND()</f>
        <v/>
      </c>
      <c r="AE1622">
        <f>RAND()</f>
        <v/>
      </c>
      <c r="AF1622">
        <f>RAND()</f>
        <v/>
      </c>
    </row>
    <row r="1623">
      <c r="M1623" s="14">
        <f>_xlfn.BETA.INV($AA1623,1+4*($D$5-$C$5)/($E$5-$C$5),1+4*($E$5-$D$5)/($E$5-$C$5),$C$5,$E$5)</f>
        <v/>
      </c>
      <c r="N1623" s="14">
        <f>IF($AB1623&lt;($D$6-$C$6)/($E$6-$C$6),$C$6+SQRT($AB1623*($E$6-$C$6)*($D$6-$C$6)),$E$6-SQRT((1-$AB1623)*($E$6-$C$6)*($E$6-$D$6)))</f>
        <v/>
      </c>
      <c r="O1623" s="14">
        <f>_xlfn.NORM.INV($AC1623,$C$7,$D$7)</f>
        <v/>
      </c>
      <c r="P1623" s="14">
        <f>$C$8+($D$8-$C$8)*$AD1623</f>
        <v/>
      </c>
      <c r="Q1623" s="14">
        <f>$C$9</f>
        <v/>
      </c>
      <c r="R1623" s="14">
        <f>_xlfn.LOGNORM.INV($AF1623,LN($C$10)-0.5*LN(1+($D$10/$C$10)^2),SQRT(LN(1+($D$10/$C$10)^2)))</f>
        <v/>
      </c>
      <c r="S1623" s="14">
        <f>SUM(M1623:R1623)</f>
        <v/>
      </c>
      <c r="AA1623">
        <f>RAND()</f>
        <v/>
      </c>
      <c r="AB1623">
        <f>RAND()</f>
        <v/>
      </c>
      <c r="AC1623">
        <f>RAND()</f>
        <v/>
      </c>
      <c r="AD1623">
        <f>RAND()</f>
        <v/>
      </c>
      <c r="AE1623">
        <f>RAND()</f>
        <v/>
      </c>
      <c r="AF1623">
        <f>RAND()</f>
        <v/>
      </c>
    </row>
    <row r="1624">
      <c r="M1624" s="14">
        <f>_xlfn.BETA.INV($AA1624,1+4*($D$5-$C$5)/($E$5-$C$5),1+4*($E$5-$D$5)/($E$5-$C$5),$C$5,$E$5)</f>
        <v/>
      </c>
      <c r="N1624" s="14">
        <f>IF($AB1624&lt;($D$6-$C$6)/($E$6-$C$6),$C$6+SQRT($AB1624*($E$6-$C$6)*($D$6-$C$6)),$E$6-SQRT((1-$AB1624)*($E$6-$C$6)*($E$6-$D$6)))</f>
        <v/>
      </c>
      <c r="O1624" s="14">
        <f>_xlfn.NORM.INV($AC1624,$C$7,$D$7)</f>
        <v/>
      </c>
      <c r="P1624" s="14">
        <f>$C$8+($D$8-$C$8)*$AD1624</f>
        <v/>
      </c>
      <c r="Q1624" s="14">
        <f>$C$9</f>
        <v/>
      </c>
      <c r="R1624" s="14">
        <f>_xlfn.LOGNORM.INV($AF1624,LN($C$10)-0.5*LN(1+($D$10/$C$10)^2),SQRT(LN(1+($D$10/$C$10)^2)))</f>
        <v/>
      </c>
      <c r="S1624" s="14">
        <f>SUM(M1624:R1624)</f>
        <v/>
      </c>
      <c r="AA1624">
        <f>RAND()</f>
        <v/>
      </c>
      <c r="AB1624">
        <f>RAND()</f>
        <v/>
      </c>
      <c r="AC1624">
        <f>RAND()</f>
        <v/>
      </c>
      <c r="AD1624">
        <f>RAND()</f>
        <v/>
      </c>
      <c r="AE1624">
        <f>RAND()</f>
        <v/>
      </c>
      <c r="AF1624">
        <f>RAND()</f>
        <v/>
      </c>
    </row>
    <row r="1625">
      <c r="M1625" s="14">
        <f>_xlfn.BETA.INV($AA1625,1+4*($D$5-$C$5)/($E$5-$C$5),1+4*($E$5-$D$5)/($E$5-$C$5),$C$5,$E$5)</f>
        <v/>
      </c>
      <c r="N1625" s="14">
        <f>IF($AB1625&lt;($D$6-$C$6)/($E$6-$C$6),$C$6+SQRT($AB1625*($E$6-$C$6)*($D$6-$C$6)),$E$6-SQRT((1-$AB1625)*($E$6-$C$6)*($E$6-$D$6)))</f>
        <v/>
      </c>
      <c r="O1625" s="14">
        <f>_xlfn.NORM.INV($AC1625,$C$7,$D$7)</f>
        <v/>
      </c>
      <c r="P1625" s="14">
        <f>$C$8+($D$8-$C$8)*$AD1625</f>
        <v/>
      </c>
      <c r="Q1625" s="14">
        <f>$C$9</f>
        <v/>
      </c>
      <c r="R1625" s="14">
        <f>_xlfn.LOGNORM.INV($AF1625,LN($C$10)-0.5*LN(1+($D$10/$C$10)^2),SQRT(LN(1+($D$10/$C$10)^2)))</f>
        <v/>
      </c>
      <c r="S1625" s="14">
        <f>SUM(M1625:R1625)</f>
        <v/>
      </c>
      <c r="AA1625">
        <f>RAND()</f>
        <v/>
      </c>
      <c r="AB1625">
        <f>RAND()</f>
        <v/>
      </c>
      <c r="AC1625">
        <f>RAND()</f>
        <v/>
      </c>
      <c r="AD1625">
        <f>RAND()</f>
        <v/>
      </c>
      <c r="AE1625">
        <f>RAND()</f>
        <v/>
      </c>
      <c r="AF1625">
        <f>RAND()</f>
        <v/>
      </c>
    </row>
    <row r="1626">
      <c r="M1626" s="14">
        <f>_xlfn.BETA.INV($AA1626,1+4*($D$5-$C$5)/($E$5-$C$5),1+4*($E$5-$D$5)/($E$5-$C$5),$C$5,$E$5)</f>
        <v/>
      </c>
      <c r="N1626" s="14">
        <f>IF($AB1626&lt;($D$6-$C$6)/($E$6-$C$6),$C$6+SQRT($AB1626*($E$6-$C$6)*($D$6-$C$6)),$E$6-SQRT((1-$AB1626)*($E$6-$C$6)*($E$6-$D$6)))</f>
        <v/>
      </c>
      <c r="O1626" s="14">
        <f>_xlfn.NORM.INV($AC1626,$C$7,$D$7)</f>
        <v/>
      </c>
      <c r="P1626" s="14">
        <f>$C$8+($D$8-$C$8)*$AD1626</f>
        <v/>
      </c>
      <c r="Q1626" s="14">
        <f>$C$9</f>
        <v/>
      </c>
      <c r="R1626" s="14">
        <f>_xlfn.LOGNORM.INV($AF1626,LN($C$10)-0.5*LN(1+($D$10/$C$10)^2),SQRT(LN(1+($D$10/$C$10)^2)))</f>
        <v/>
      </c>
      <c r="S1626" s="14">
        <f>SUM(M1626:R1626)</f>
        <v/>
      </c>
      <c r="AA1626">
        <f>RAND()</f>
        <v/>
      </c>
      <c r="AB1626">
        <f>RAND()</f>
        <v/>
      </c>
      <c r="AC1626">
        <f>RAND()</f>
        <v/>
      </c>
      <c r="AD1626">
        <f>RAND()</f>
        <v/>
      </c>
      <c r="AE1626">
        <f>RAND()</f>
        <v/>
      </c>
      <c r="AF1626">
        <f>RAND()</f>
        <v/>
      </c>
    </row>
    <row r="1627">
      <c r="M1627" s="14">
        <f>_xlfn.BETA.INV($AA1627,1+4*($D$5-$C$5)/($E$5-$C$5),1+4*($E$5-$D$5)/($E$5-$C$5),$C$5,$E$5)</f>
        <v/>
      </c>
      <c r="N1627" s="14">
        <f>IF($AB1627&lt;($D$6-$C$6)/($E$6-$C$6),$C$6+SQRT($AB1627*($E$6-$C$6)*($D$6-$C$6)),$E$6-SQRT((1-$AB1627)*($E$6-$C$6)*($E$6-$D$6)))</f>
        <v/>
      </c>
      <c r="O1627" s="14">
        <f>_xlfn.NORM.INV($AC1627,$C$7,$D$7)</f>
        <v/>
      </c>
      <c r="P1627" s="14">
        <f>$C$8+($D$8-$C$8)*$AD1627</f>
        <v/>
      </c>
      <c r="Q1627" s="14">
        <f>$C$9</f>
        <v/>
      </c>
      <c r="R1627" s="14">
        <f>_xlfn.LOGNORM.INV($AF1627,LN($C$10)-0.5*LN(1+($D$10/$C$10)^2),SQRT(LN(1+($D$10/$C$10)^2)))</f>
        <v/>
      </c>
      <c r="S1627" s="14">
        <f>SUM(M1627:R1627)</f>
        <v/>
      </c>
      <c r="AA1627">
        <f>RAND()</f>
        <v/>
      </c>
      <c r="AB1627">
        <f>RAND()</f>
        <v/>
      </c>
      <c r="AC1627">
        <f>RAND()</f>
        <v/>
      </c>
      <c r="AD1627">
        <f>RAND()</f>
        <v/>
      </c>
      <c r="AE1627">
        <f>RAND()</f>
        <v/>
      </c>
      <c r="AF1627">
        <f>RAND()</f>
        <v/>
      </c>
    </row>
    <row r="1628">
      <c r="M1628" s="14">
        <f>_xlfn.BETA.INV($AA1628,1+4*($D$5-$C$5)/($E$5-$C$5),1+4*($E$5-$D$5)/($E$5-$C$5),$C$5,$E$5)</f>
        <v/>
      </c>
      <c r="N1628" s="14">
        <f>IF($AB1628&lt;($D$6-$C$6)/($E$6-$C$6),$C$6+SQRT($AB1628*($E$6-$C$6)*($D$6-$C$6)),$E$6-SQRT((1-$AB1628)*($E$6-$C$6)*($E$6-$D$6)))</f>
        <v/>
      </c>
      <c r="O1628" s="14">
        <f>_xlfn.NORM.INV($AC1628,$C$7,$D$7)</f>
        <v/>
      </c>
      <c r="P1628" s="14">
        <f>$C$8+($D$8-$C$8)*$AD1628</f>
        <v/>
      </c>
      <c r="Q1628" s="14">
        <f>$C$9</f>
        <v/>
      </c>
      <c r="R1628" s="14">
        <f>_xlfn.LOGNORM.INV($AF1628,LN($C$10)-0.5*LN(1+($D$10/$C$10)^2),SQRT(LN(1+($D$10/$C$10)^2)))</f>
        <v/>
      </c>
      <c r="S1628" s="14">
        <f>SUM(M1628:R1628)</f>
        <v/>
      </c>
      <c r="AA1628">
        <f>RAND()</f>
        <v/>
      </c>
      <c r="AB1628">
        <f>RAND()</f>
        <v/>
      </c>
      <c r="AC1628">
        <f>RAND()</f>
        <v/>
      </c>
      <c r="AD1628">
        <f>RAND()</f>
        <v/>
      </c>
      <c r="AE1628">
        <f>RAND()</f>
        <v/>
      </c>
      <c r="AF1628">
        <f>RAND()</f>
        <v/>
      </c>
    </row>
    <row r="1629">
      <c r="M1629" s="14">
        <f>_xlfn.BETA.INV($AA1629,1+4*($D$5-$C$5)/($E$5-$C$5),1+4*($E$5-$D$5)/($E$5-$C$5),$C$5,$E$5)</f>
        <v/>
      </c>
      <c r="N1629" s="14">
        <f>IF($AB1629&lt;($D$6-$C$6)/($E$6-$C$6),$C$6+SQRT($AB1629*($E$6-$C$6)*($D$6-$C$6)),$E$6-SQRT((1-$AB1629)*($E$6-$C$6)*($E$6-$D$6)))</f>
        <v/>
      </c>
      <c r="O1629" s="14">
        <f>_xlfn.NORM.INV($AC1629,$C$7,$D$7)</f>
        <v/>
      </c>
      <c r="P1629" s="14">
        <f>$C$8+($D$8-$C$8)*$AD1629</f>
        <v/>
      </c>
      <c r="Q1629" s="14">
        <f>$C$9</f>
        <v/>
      </c>
      <c r="R1629" s="14">
        <f>_xlfn.LOGNORM.INV($AF1629,LN($C$10)-0.5*LN(1+($D$10/$C$10)^2),SQRT(LN(1+($D$10/$C$10)^2)))</f>
        <v/>
      </c>
      <c r="S1629" s="14">
        <f>SUM(M1629:R1629)</f>
        <v/>
      </c>
      <c r="AA1629">
        <f>RAND()</f>
        <v/>
      </c>
      <c r="AB1629">
        <f>RAND()</f>
        <v/>
      </c>
      <c r="AC1629">
        <f>RAND()</f>
        <v/>
      </c>
      <c r="AD1629">
        <f>RAND()</f>
        <v/>
      </c>
      <c r="AE1629">
        <f>RAND()</f>
        <v/>
      </c>
      <c r="AF1629">
        <f>RAND()</f>
        <v/>
      </c>
    </row>
    <row r="1630">
      <c r="M1630" s="14">
        <f>_xlfn.BETA.INV($AA1630,1+4*($D$5-$C$5)/($E$5-$C$5),1+4*($E$5-$D$5)/($E$5-$C$5),$C$5,$E$5)</f>
        <v/>
      </c>
      <c r="N1630" s="14">
        <f>IF($AB1630&lt;($D$6-$C$6)/($E$6-$C$6),$C$6+SQRT($AB1630*($E$6-$C$6)*($D$6-$C$6)),$E$6-SQRT((1-$AB1630)*($E$6-$C$6)*($E$6-$D$6)))</f>
        <v/>
      </c>
      <c r="O1630" s="14">
        <f>_xlfn.NORM.INV($AC1630,$C$7,$D$7)</f>
        <v/>
      </c>
      <c r="P1630" s="14">
        <f>$C$8+($D$8-$C$8)*$AD1630</f>
        <v/>
      </c>
      <c r="Q1630" s="14">
        <f>$C$9</f>
        <v/>
      </c>
      <c r="R1630" s="14">
        <f>_xlfn.LOGNORM.INV($AF1630,LN($C$10)-0.5*LN(1+($D$10/$C$10)^2),SQRT(LN(1+($D$10/$C$10)^2)))</f>
        <v/>
      </c>
      <c r="S1630" s="14">
        <f>SUM(M1630:R1630)</f>
        <v/>
      </c>
      <c r="AA1630">
        <f>RAND()</f>
        <v/>
      </c>
      <c r="AB1630">
        <f>RAND()</f>
        <v/>
      </c>
      <c r="AC1630">
        <f>RAND()</f>
        <v/>
      </c>
      <c r="AD1630">
        <f>RAND()</f>
        <v/>
      </c>
      <c r="AE1630">
        <f>RAND()</f>
        <v/>
      </c>
      <c r="AF1630">
        <f>RAND()</f>
        <v/>
      </c>
    </row>
    <row r="1631">
      <c r="M1631" s="14">
        <f>_xlfn.BETA.INV($AA1631,1+4*($D$5-$C$5)/($E$5-$C$5),1+4*($E$5-$D$5)/($E$5-$C$5),$C$5,$E$5)</f>
        <v/>
      </c>
      <c r="N1631" s="14">
        <f>IF($AB1631&lt;($D$6-$C$6)/($E$6-$C$6),$C$6+SQRT($AB1631*($E$6-$C$6)*($D$6-$C$6)),$E$6-SQRT((1-$AB1631)*($E$6-$C$6)*($E$6-$D$6)))</f>
        <v/>
      </c>
      <c r="O1631" s="14">
        <f>_xlfn.NORM.INV($AC1631,$C$7,$D$7)</f>
        <v/>
      </c>
      <c r="P1631" s="14">
        <f>$C$8+($D$8-$C$8)*$AD1631</f>
        <v/>
      </c>
      <c r="Q1631" s="14">
        <f>$C$9</f>
        <v/>
      </c>
      <c r="R1631" s="14">
        <f>_xlfn.LOGNORM.INV($AF1631,LN($C$10)-0.5*LN(1+($D$10/$C$10)^2),SQRT(LN(1+($D$10/$C$10)^2)))</f>
        <v/>
      </c>
      <c r="S1631" s="14">
        <f>SUM(M1631:R1631)</f>
        <v/>
      </c>
      <c r="AA1631">
        <f>RAND()</f>
        <v/>
      </c>
      <c r="AB1631">
        <f>RAND()</f>
        <v/>
      </c>
      <c r="AC1631">
        <f>RAND()</f>
        <v/>
      </c>
      <c r="AD1631">
        <f>RAND()</f>
        <v/>
      </c>
      <c r="AE1631">
        <f>RAND()</f>
        <v/>
      </c>
      <c r="AF1631">
        <f>RAND()</f>
        <v/>
      </c>
    </row>
    <row r="1632">
      <c r="M1632" s="14">
        <f>_xlfn.BETA.INV($AA1632,1+4*($D$5-$C$5)/($E$5-$C$5),1+4*($E$5-$D$5)/($E$5-$C$5),$C$5,$E$5)</f>
        <v/>
      </c>
      <c r="N1632" s="14">
        <f>IF($AB1632&lt;($D$6-$C$6)/($E$6-$C$6),$C$6+SQRT($AB1632*($E$6-$C$6)*($D$6-$C$6)),$E$6-SQRT((1-$AB1632)*($E$6-$C$6)*($E$6-$D$6)))</f>
        <v/>
      </c>
      <c r="O1632" s="14">
        <f>_xlfn.NORM.INV($AC1632,$C$7,$D$7)</f>
        <v/>
      </c>
      <c r="P1632" s="14">
        <f>$C$8+($D$8-$C$8)*$AD1632</f>
        <v/>
      </c>
      <c r="Q1632" s="14">
        <f>$C$9</f>
        <v/>
      </c>
      <c r="R1632" s="14">
        <f>_xlfn.LOGNORM.INV($AF1632,LN($C$10)-0.5*LN(1+($D$10/$C$10)^2),SQRT(LN(1+($D$10/$C$10)^2)))</f>
        <v/>
      </c>
      <c r="S1632" s="14">
        <f>SUM(M1632:R1632)</f>
        <v/>
      </c>
      <c r="AA1632">
        <f>RAND()</f>
        <v/>
      </c>
      <c r="AB1632">
        <f>RAND()</f>
        <v/>
      </c>
      <c r="AC1632">
        <f>RAND()</f>
        <v/>
      </c>
      <c r="AD1632">
        <f>RAND()</f>
        <v/>
      </c>
      <c r="AE1632">
        <f>RAND()</f>
        <v/>
      </c>
      <c r="AF1632">
        <f>RAND()</f>
        <v/>
      </c>
    </row>
    <row r="1633">
      <c r="M1633" s="14">
        <f>_xlfn.BETA.INV($AA1633,1+4*($D$5-$C$5)/($E$5-$C$5),1+4*($E$5-$D$5)/($E$5-$C$5),$C$5,$E$5)</f>
        <v/>
      </c>
      <c r="N1633" s="14">
        <f>IF($AB1633&lt;($D$6-$C$6)/($E$6-$C$6),$C$6+SQRT($AB1633*($E$6-$C$6)*($D$6-$C$6)),$E$6-SQRT((1-$AB1633)*($E$6-$C$6)*($E$6-$D$6)))</f>
        <v/>
      </c>
      <c r="O1633" s="14">
        <f>_xlfn.NORM.INV($AC1633,$C$7,$D$7)</f>
        <v/>
      </c>
      <c r="P1633" s="14">
        <f>$C$8+($D$8-$C$8)*$AD1633</f>
        <v/>
      </c>
      <c r="Q1633" s="14">
        <f>$C$9</f>
        <v/>
      </c>
      <c r="R1633" s="14">
        <f>_xlfn.LOGNORM.INV($AF1633,LN($C$10)-0.5*LN(1+($D$10/$C$10)^2),SQRT(LN(1+($D$10/$C$10)^2)))</f>
        <v/>
      </c>
      <c r="S1633" s="14">
        <f>SUM(M1633:R1633)</f>
        <v/>
      </c>
      <c r="AA1633">
        <f>RAND()</f>
        <v/>
      </c>
      <c r="AB1633">
        <f>RAND()</f>
        <v/>
      </c>
      <c r="AC1633">
        <f>RAND()</f>
        <v/>
      </c>
      <c r="AD1633">
        <f>RAND()</f>
        <v/>
      </c>
      <c r="AE1633">
        <f>RAND()</f>
        <v/>
      </c>
      <c r="AF1633">
        <f>RAND()</f>
        <v/>
      </c>
    </row>
    <row r="1634">
      <c r="M1634" s="14">
        <f>_xlfn.BETA.INV($AA1634,1+4*($D$5-$C$5)/($E$5-$C$5),1+4*($E$5-$D$5)/($E$5-$C$5),$C$5,$E$5)</f>
        <v/>
      </c>
      <c r="N1634" s="14">
        <f>IF($AB1634&lt;($D$6-$C$6)/($E$6-$C$6),$C$6+SQRT($AB1634*($E$6-$C$6)*($D$6-$C$6)),$E$6-SQRT((1-$AB1634)*($E$6-$C$6)*($E$6-$D$6)))</f>
        <v/>
      </c>
      <c r="O1634" s="14">
        <f>_xlfn.NORM.INV($AC1634,$C$7,$D$7)</f>
        <v/>
      </c>
      <c r="P1634" s="14">
        <f>$C$8+($D$8-$C$8)*$AD1634</f>
        <v/>
      </c>
      <c r="Q1634" s="14">
        <f>$C$9</f>
        <v/>
      </c>
      <c r="R1634" s="14">
        <f>_xlfn.LOGNORM.INV($AF1634,LN($C$10)-0.5*LN(1+($D$10/$C$10)^2),SQRT(LN(1+($D$10/$C$10)^2)))</f>
        <v/>
      </c>
      <c r="S1634" s="14">
        <f>SUM(M1634:R1634)</f>
        <v/>
      </c>
      <c r="AA1634">
        <f>RAND()</f>
        <v/>
      </c>
      <c r="AB1634">
        <f>RAND()</f>
        <v/>
      </c>
      <c r="AC1634">
        <f>RAND()</f>
        <v/>
      </c>
      <c r="AD1634">
        <f>RAND()</f>
        <v/>
      </c>
      <c r="AE1634">
        <f>RAND()</f>
        <v/>
      </c>
      <c r="AF1634">
        <f>RAND()</f>
        <v/>
      </c>
    </row>
    <row r="1635">
      <c r="M1635" s="14">
        <f>_xlfn.BETA.INV($AA1635,1+4*($D$5-$C$5)/($E$5-$C$5),1+4*($E$5-$D$5)/($E$5-$C$5),$C$5,$E$5)</f>
        <v/>
      </c>
      <c r="N1635" s="14">
        <f>IF($AB1635&lt;($D$6-$C$6)/($E$6-$C$6),$C$6+SQRT($AB1635*($E$6-$C$6)*($D$6-$C$6)),$E$6-SQRT((1-$AB1635)*($E$6-$C$6)*($E$6-$D$6)))</f>
        <v/>
      </c>
      <c r="O1635" s="14">
        <f>_xlfn.NORM.INV($AC1635,$C$7,$D$7)</f>
        <v/>
      </c>
      <c r="P1635" s="14">
        <f>$C$8+($D$8-$C$8)*$AD1635</f>
        <v/>
      </c>
      <c r="Q1635" s="14">
        <f>$C$9</f>
        <v/>
      </c>
      <c r="R1635" s="14">
        <f>_xlfn.LOGNORM.INV($AF1635,LN($C$10)-0.5*LN(1+($D$10/$C$10)^2),SQRT(LN(1+($D$10/$C$10)^2)))</f>
        <v/>
      </c>
      <c r="S1635" s="14">
        <f>SUM(M1635:R1635)</f>
        <v/>
      </c>
      <c r="AA1635">
        <f>RAND()</f>
        <v/>
      </c>
      <c r="AB1635">
        <f>RAND()</f>
        <v/>
      </c>
      <c r="AC1635">
        <f>RAND()</f>
        <v/>
      </c>
      <c r="AD1635">
        <f>RAND()</f>
        <v/>
      </c>
      <c r="AE1635">
        <f>RAND()</f>
        <v/>
      </c>
      <c r="AF1635">
        <f>RAND()</f>
        <v/>
      </c>
    </row>
    <row r="1636">
      <c r="M1636" s="14">
        <f>_xlfn.BETA.INV($AA1636,1+4*($D$5-$C$5)/($E$5-$C$5),1+4*($E$5-$D$5)/($E$5-$C$5),$C$5,$E$5)</f>
        <v/>
      </c>
      <c r="N1636" s="14">
        <f>IF($AB1636&lt;($D$6-$C$6)/($E$6-$C$6),$C$6+SQRT($AB1636*($E$6-$C$6)*($D$6-$C$6)),$E$6-SQRT((1-$AB1636)*($E$6-$C$6)*($E$6-$D$6)))</f>
        <v/>
      </c>
      <c r="O1636" s="14">
        <f>_xlfn.NORM.INV($AC1636,$C$7,$D$7)</f>
        <v/>
      </c>
      <c r="P1636" s="14">
        <f>$C$8+($D$8-$C$8)*$AD1636</f>
        <v/>
      </c>
      <c r="Q1636" s="14">
        <f>$C$9</f>
        <v/>
      </c>
      <c r="R1636" s="14">
        <f>_xlfn.LOGNORM.INV($AF1636,LN($C$10)-0.5*LN(1+($D$10/$C$10)^2),SQRT(LN(1+($D$10/$C$10)^2)))</f>
        <v/>
      </c>
      <c r="S1636" s="14">
        <f>SUM(M1636:R1636)</f>
        <v/>
      </c>
      <c r="AA1636">
        <f>RAND()</f>
        <v/>
      </c>
      <c r="AB1636">
        <f>RAND()</f>
        <v/>
      </c>
      <c r="AC1636">
        <f>RAND()</f>
        <v/>
      </c>
      <c r="AD1636">
        <f>RAND()</f>
        <v/>
      </c>
      <c r="AE1636">
        <f>RAND()</f>
        <v/>
      </c>
      <c r="AF1636">
        <f>RAND()</f>
        <v/>
      </c>
    </row>
    <row r="1637">
      <c r="M1637" s="14">
        <f>_xlfn.BETA.INV($AA1637,1+4*($D$5-$C$5)/($E$5-$C$5),1+4*($E$5-$D$5)/($E$5-$C$5),$C$5,$E$5)</f>
        <v/>
      </c>
      <c r="N1637" s="14">
        <f>IF($AB1637&lt;($D$6-$C$6)/($E$6-$C$6),$C$6+SQRT($AB1637*($E$6-$C$6)*($D$6-$C$6)),$E$6-SQRT((1-$AB1637)*($E$6-$C$6)*($E$6-$D$6)))</f>
        <v/>
      </c>
      <c r="O1637" s="14">
        <f>_xlfn.NORM.INV($AC1637,$C$7,$D$7)</f>
        <v/>
      </c>
      <c r="P1637" s="14">
        <f>$C$8+($D$8-$C$8)*$AD1637</f>
        <v/>
      </c>
      <c r="Q1637" s="14">
        <f>$C$9</f>
        <v/>
      </c>
      <c r="R1637" s="14">
        <f>_xlfn.LOGNORM.INV($AF1637,LN($C$10)-0.5*LN(1+($D$10/$C$10)^2),SQRT(LN(1+($D$10/$C$10)^2)))</f>
        <v/>
      </c>
      <c r="S1637" s="14">
        <f>SUM(M1637:R1637)</f>
        <v/>
      </c>
      <c r="AA1637">
        <f>RAND()</f>
        <v/>
      </c>
      <c r="AB1637">
        <f>RAND()</f>
        <v/>
      </c>
      <c r="AC1637">
        <f>RAND()</f>
        <v/>
      </c>
      <c r="AD1637">
        <f>RAND()</f>
        <v/>
      </c>
      <c r="AE1637">
        <f>RAND()</f>
        <v/>
      </c>
      <c r="AF1637">
        <f>RAND()</f>
        <v/>
      </c>
    </row>
    <row r="1638">
      <c r="M1638" s="14">
        <f>_xlfn.BETA.INV($AA1638,1+4*($D$5-$C$5)/($E$5-$C$5),1+4*($E$5-$D$5)/($E$5-$C$5),$C$5,$E$5)</f>
        <v/>
      </c>
      <c r="N1638" s="14">
        <f>IF($AB1638&lt;($D$6-$C$6)/($E$6-$C$6),$C$6+SQRT($AB1638*($E$6-$C$6)*($D$6-$C$6)),$E$6-SQRT((1-$AB1638)*($E$6-$C$6)*($E$6-$D$6)))</f>
        <v/>
      </c>
      <c r="O1638" s="14">
        <f>_xlfn.NORM.INV($AC1638,$C$7,$D$7)</f>
        <v/>
      </c>
      <c r="P1638" s="14">
        <f>$C$8+($D$8-$C$8)*$AD1638</f>
        <v/>
      </c>
      <c r="Q1638" s="14">
        <f>$C$9</f>
        <v/>
      </c>
      <c r="R1638" s="14">
        <f>_xlfn.LOGNORM.INV($AF1638,LN($C$10)-0.5*LN(1+($D$10/$C$10)^2),SQRT(LN(1+($D$10/$C$10)^2)))</f>
        <v/>
      </c>
      <c r="S1638" s="14">
        <f>SUM(M1638:R1638)</f>
        <v/>
      </c>
      <c r="AA1638">
        <f>RAND()</f>
        <v/>
      </c>
      <c r="AB1638">
        <f>RAND()</f>
        <v/>
      </c>
      <c r="AC1638">
        <f>RAND()</f>
        <v/>
      </c>
      <c r="AD1638">
        <f>RAND()</f>
        <v/>
      </c>
      <c r="AE1638">
        <f>RAND()</f>
        <v/>
      </c>
      <c r="AF1638">
        <f>RAND()</f>
        <v/>
      </c>
    </row>
    <row r="1639">
      <c r="M1639" s="14">
        <f>_xlfn.BETA.INV($AA1639,1+4*($D$5-$C$5)/($E$5-$C$5),1+4*($E$5-$D$5)/($E$5-$C$5),$C$5,$E$5)</f>
        <v/>
      </c>
      <c r="N1639" s="14">
        <f>IF($AB1639&lt;($D$6-$C$6)/($E$6-$C$6),$C$6+SQRT($AB1639*($E$6-$C$6)*($D$6-$C$6)),$E$6-SQRT((1-$AB1639)*($E$6-$C$6)*($E$6-$D$6)))</f>
        <v/>
      </c>
      <c r="O1639" s="14">
        <f>_xlfn.NORM.INV($AC1639,$C$7,$D$7)</f>
        <v/>
      </c>
      <c r="P1639" s="14">
        <f>$C$8+($D$8-$C$8)*$AD1639</f>
        <v/>
      </c>
      <c r="Q1639" s="14">
        <f>$C$9</f>
        <v/>
      </c>
      <c r="R1639" s="14">
        <f>_xlfn.LOGNORM.INV($AF1639,LN($C$10)-0.5*LN(1+($D$10/$C$10)^2),SQRT(LN(1+($D$10/$C$10)^2)))</f>
        <v/>
      </c>
      <c r="S1639" s="14">
        <f>SUM(M1639:R1639)</f>
        <v/>
      </c>
      <c r="AA1639">
        <f>RAND()</f>
        <v/>
      </c>
      <c r="AB1639">
        <f>RAND()</f>
        <v/>
      </c>
      <c r="AC1639">
        <f>RAND()</f>
        <v/>
      </c>
      <c r="AD1639">
        <f>RAND()</f>
        <v/>
      </c>
      <c r="AE1639">
        <f>RAND()</f>
        <v/>
      </c>
      <c r="AF1639">
        <f>RAND()</f>
        <v/>
      </c>
    </row>
    <row r="1640">
      <c r="M1640" s="14">
        <f>_xlfn.BETA.INV($AA1640,1+4*($D$5-$C$5)/($E$5-$C$5),1+4*($E$5-$D$5)/($E$5-$C$5),$C$5,$E$5)</f>
        <v/>
      </c>
      <c r="N1640" s="14">
        <f>IF($AB1640&lt;($D$6-$C$6)/($E$6-$C$6),$C$6+SQRT($AB1640*($E$6-$C$6)*($D$6-$C$6)),$E$6-SQRT((1-$AB1640)*($E$6-$C$6)*($E$6-$D$6)))</f>
        <v/>
      </c>
      <c r="O1640" s="14">
        <f>_xlfn.NORM.INV($AC1640,$C$7,$D$7)</f>
        <v/>
      </c>
      <c r="P1640" s="14">
        <f>$C$8+($D$8-$C$8)*$AD1640</f>
        <v/>
      </c>
      <c r="Q1640" s="14">
        <f>$C$9</f>
        <v/>
      </c>
      <c r="R1640" s="14">
        <f>_xlfn.LOGNORM.INV($AF1640,LN($C$10)-0.5*LN(1+($D$10/$C$10)^2),SQRT(LN(1+($D$10/$C$10)^2)))</f>
        <v/>
      </c>
      <c r="S1640" s="14">
        <f>SUM(M1640:R1640)</f>
        <v/>
      </c>
      <c r="AA1640">
        <f>RAND()</f>
        <v/>
      </c>
      <c r="AB1640">
        <f>RAND()</f>
        <v/>
      </c>
      <c r="AC1640">
        <f>RAND()</f>
        <v/>
      </c>
      <c r="AD1640">
        <f>RAND()</f>
        <v/>
      </c>
      <c r="AE1640">
        <f>RAND()</f>
        <v/>
      </c>
      <c r="AF1640">
        <f>RAND()</f>
        <v/>
      </c>
    </row>
    <row r="1641">
      <c r="M1641" s="14">
        <f>_xlfn.BETA.INV($AA1641,1+4*($D$5-$C$5)/($E$5-$C$5),1+4*($E$5-$D$5)/($E$5-$C$5),$C$5,$E$5)</f>
        <v/>
      </c>
      <c r="N1641" s="14">
        <f>IF($AB1641&lt;($D$6-$C$6)/($E$6-$C$6),$C$6+SQRT($AB1641*($E$6-$C$6)*($D$6-$C$6)),$E$6-SQRT((1-$AB1641)*($E$6-$C$6)*($E$6-$D$6)))</f>
        <v/>
      </c>
      <c r="O1641" s="14">
        <f>_xlfn.NORM.INV($AC1641,$C$7,$D$7)</f>
        <v/>
      </c>
      <c r="P1641" s="14">
        <f>$C$8+($D$8-$C$8)*$AD1641</f>
        <v/>
      </c>
      <c r="Q1641" s="14">
        <f>$C$9</f>
        <v/>
      </c>
      <c r="R1641" s="14">
        <f>_xlfn.LOGNORM.INV($AF1641,LN($C$10)-0.5*LN(1+($D$10/$C$10)^2),SQRT(LN(1+($D$10/$C$10)^2)))</f>
        <v/>
      </c>
      <c r="S1641" s="14">
        <f>SUM(M1641:R1641)</f>
        <v/>
      </c>
      <c r="AA1641">
        <f>RAND()</f>
        <v/>
      </c>
      <c r="AB1641">
        <f>RAND()</f>
        <v/>
      </c>
      <c r="AC1641">
        <f>RAND()</f>
        <v/>
      </c>
      <c r="AD1641">
        <f>RAND()</f>
        <v/>
      </c>
      <c r="AE1641">
        <f>RAND()</f>
        <v/>
      </c>
      <c r="AF1641">
        <f>RAND()</f>
        <v/>
      </c>
    </row>
    <row r="1642">
      <c r="M1642" s="14">
        <f>_xlfn.BETA.INV($AA1642,1+4*($D$5-$C$5)/($E$5-$C$5),1+4*($E$5-$D$5)/($E$5-$C$5),$C$5,$E$5)</f>
        <v/>
      </c>
      <c r="N1642" s="14">
        <f>IF($AB1642&lt;($D$6-$C$6)/($E$6-$C$6),$C$6+SQRT($AB1642*($E$6-$C$6)*($D$6-$C$6)),$E$6-SQRT((1-$AB1642)*($E$6-$C$6)*($E$6-$D$6)))</f>
        <v/>
      </c>
      <c r="O1642" s="14">
        <f>_xlfn.NORM.INV($AC1642,$C$7,$D$7)</f>
        <v/>
      </c>
      <c r="P1642" s="14">
        <f>$C$8+($D$8-$C$8)*$AD1642</f>
        <v/>
      </c>
      <c r="Q1642" s="14">
        <f>$C$9</f>
        <v/>
      </c>
      <c r="R1642" s="14">
        <f>_xlfn.LOGNORM.INV($AF1642,LN($C$10)-0.5*LN(1+($D$10/$C$10)^2),SQRT(LN(1+($D$10/$C$10)^2)))</f>
        <v/>
      </c>
      <c r="S1642" s="14">
        <f>SUM(M1642:R1642)</f>
        <v/>
      </c>
      <c r="AA1642">
        <f>RAND()</f>
        <v/>
      </c>
      <c r="AB1642">
        <f>RAND()</f>
        <v/>
      </c>
      <c r="AC1642">
        <f>RAND()</f>
        <v/>
      </c>
      <c r="AD1642">
        <f>RAND()</f>
        <v/>
      </c>
      <c r="AE1642">
        <f>RAND()</f>
        <v/>
      </c>
      <c r="AF1642">
        <f>RAND()</f>
        <v/>
      </c>
    </row>
    <row r="1643">
      <c r="M1643" s="14">
        <f>_xlfn.BETA.INV($AA1643,1+4*($D$5-$C$5)/($E$5-$C$5),1+4*($E$5-$D$5)/($E$5-$C$5),$C$5,$E$5)</f>
        <v/>
      </c>
      <c r="N1643" s="14">
        <f>IF($AB1643&lt;($D$6-$C$6)/($E$6-$C$6),$C$6+SQRT($AB1643*($E$6-$C$6)*($D$6-$C$6)),$E$6-SQRT((1-$AB1643)*($E$6-$C$6)*($E$6-$D$6)))</f>
        <v/>
      </c>
      <c r="O1643" s="14">
        <f>_xlfn.NORM.INV($AC1643,$C$7,$D$7)</f>
        <v/>
      </c>
      <c r="P1643" s="14">
        <f>$C$8+($D$8-$C$8)*$AD1643</f>
        <v/>
      </c>
      <c r="Q1643" s="14">
        <f>$C$9</f>
        <v/>
      </c>
      <c r="R1643" s="14">
        <f>_xlfn.LOGNORM.INV($AF1643,LN($C$10)-0.5*LN(1+($D$10/$C$10)^2),SQRT(LN(1+($D$10/$C$10)^2)))</f>
        <v/>
      </c>
      <c r="S1643" s="14">
        <f>SUM(M1643:R1643)</f>
        <v/>
      </c>
      <c r="AA1643">
        <f>RAND()</f>
        <v/>
      </c>
      <c r="AB1643">
        <f>RAND()</f>
        <v/>
      </c>
      <c r="AC1643">
        <f>RAND()</f>
        <v/>
      </c>
      <c r="AD1643">
        <f>RAND()</f>
        <v/>
      </c>
      <c r="AE1643">
        <f>RAND()</f>
        <v/>
      </c>
      <c r="AF1643">
        <f>RAND()</f>
        <v/>
      </c>
    </row>
    <row r="1644">
      <c r="M1644" s="14">
        <f>_xlfn.BETA.INV($AA1644,1+4*($D$5-$C$5)/($E$5-$C$5),1+4*($E$5-$D$5)/($E$5-$C$5),$C$5,$E$5)</f>
        <v/>
      </c>
      <c r="N1644" s="14">
        <f>IF($AB1644&lt;($D$6-$C$6)/($E$6-$C$6),$C$6+SQRT($AB1644*($E$6-$C$6)*($D$6-$C$6)),$E$6-SQRT((1-$AB1644)*($E$6-$C$6)*($E$6-$D$6)))</f>
        <v/>
      </c>
      <c r="O1644" s="14">
        <f>_xlfn.NORM.INV($AC1644,$C$7,$D$7)</f>
        <v/>
      </c>
      <c r="P1644" s="14">
        <f>$C$8+($D$8-$C$8)*$AD1644</f>
        <v/>
      </c>
      <c r="Q1644" s="14">
        <f>$C$9</f>
        <v/>
      </c>
      <c r="R1644" s="14">
        <f>_xlfn.LOGNORM.INV($AF1644,LN($C$10)-0.5*LN(1+($D$10/$C$10)^2),SQRT(LN(1+($D$10/$C$10)^2)))</f>
        <v/>
      </c>
      <c r="S1644" s="14">
        <f>SUM(M1644:R1644)</f>
        <v/>
      </c>
      <c r="AA1644">
        <f>RAND()</f>
        <v/>
      </c>
      <c r="AB1644">
        <f>RAND()</f>
        <v/>
      </c>
      <c r="AC1644">
        <f>RAND()</f>
        <v/>
      </c>
      <c r="AD1644">
        <f>RAND()</f>
        <v/>
      </c>
      <c r="AE1644">
        <f>RAND()</f>
        <v/>
      </c>
      <c r="AF1644">
        <f>RAND()</f>
        <v/>
      </c>
    </row>
    <row r="1645">
      <c r="M1645" s="14">
        <f>_xlfn.BETA.INV($AA1645,1+4*($D$5-$C$5)/($E$5-$C$5),1+4*($E$5-$D$5)/($E$5-$C$5),$C$5,$E$5)</f>
        <v/>
      </c>
      <c r="N1645" s="14">
        <f>IF($AB1645&lt;($D$6-$C$6)/($E$6-$C$6),$C$6+SQRT($AB1645*($E$6-$C$6)*($D$6-$C$6)),$E$6-SQRT((1-$AB1645)*($E$6-$C$6)*($E$6-$D$6)))</f>
        <v/>
      </c>
      <c r="O1645" s="14">
        <f>_xlfn.NORM.INV($AC1645,$C$7,$D$7)</f>
        <v/>
      </c>
      <c r="P1645" s="14">
        <f>$C$8+($D$8-$C$8)*$AD1645</f>
        <v/>
      </c>
      <c r="Q1645" s="14">
        <f>$C$9</f>
        <v/>
      </c>
      <c r="R1645" s="14">
        <f>_xlfn.LOGNORM.INV($AF1645,LN($C$10)-0.5*LN(1+($D$10/$C$10)^2),SQRT(LN(1+($D$10/$C$10)^2)))</f>
        <v/>
      </c>
      <c r="S1645" s="14">
        <f>SUM(M1645:R1645)</f>
        <v/>
      </c>
      <c r="AA1645">
        <f>RAND()</f>
        <v/>
      </c>
      <c r="AB1645">
        <f>RAND()</f>
        <v/>
      </c>
      <c r="AC1645">
        <f>RAND()</f>
        <v/>
      </c>
      <c r="AD1645">
        <f>RAND()</f>
        <v/>
      </c>
      <c r="AE1645">
        <f>RAND()</f>
        <v/>
      </c>
      <c r="AF1645">
        <f>RAND()</f>
        <v/>
      </c>
    </row>
    <row r="1646">
      <c r="M1646" s="14">
        <f>_xlfn.BETA.INV($AA1646,1+4*($D$5-$C$5)/($E$5-$C$5),1+4*($E$5-$D$5)/($E$5-$C$5),$C$5,$E$5)</f>
        <v/>
      </c>
      <c r="N1646" s="14">
        <f>IF($AB1646&lt;($D$6-$C$6)/($E$6-$C$6),$C$6+SQRT($AB1646*($E$6-$C$6)*($D$6-$C$6)),$E$6-SQRT((1-$AB1646)*($E$6-$C$6)*($E$6-$D$6)))</f>
        <v/>
      </c>
      <c r="O1646" s="14">
        <f>_xlfn.NORM.INV($AC1646,$C$7,$D$7)</f>
        <v/>
      </c>
      <c r="P1646" s="14">
        <f>$C$8+($D$8-$C$8)*$AD1646</f>
        <v/>
      </c>
      <c r="Q1646" s="14">
        <f>$C$9</f>
        <v/>
      </c>
      <c r="R1646" s="14">
        <f>_xlfn.LOGNORM.INV($AF1646,LN($C$10)-0.5*LN(1+($D$10/$C$10)^2),SQRT(LN(1+($D$10/$C$10)^2)))</f>
        <v/>
      </c>
      <c r="S1646" s="14">
        <f>SUM(M1646:R1646)</f>
        <v/>
      </c>
      <c r="AA1646">
        <f>RAND()</f>
        <v/>
      </c>
      <c r="AB1646">
        <f>RAND()</f>
        <v/>
      </c>
      <c r="AC1646">
        <f>RAND()</f>
        <v/>
      </c>
      <c r="AD1646">
        <f>RAND()</f>
        <v/>
      </c>
      <c r="AE1646">
        <f>RAND()</f>
        <v/>
      </c>
      <c r="AF1646">
        <f>RAND()</f>
        <v/>
      </c>
    </row>
    <row r="1647">
      <c r="M1647" s="14">
        <f>_xlfn.BETA.INV($AA1647,1+4*($D$5-$C$5)/($E$5-$C$5),1+4*($E$5-$D$5)/($E$5-$C$5),$C$5,$E$5)</f>
        <v/>
      </c>
      <c r="N1647" s="14">
        <f>IF($AB1647&lt;($D$6-$C$6)/($E$6-$C$6),$C$6+SQRT($AB1647*($E$6-$C$6)*($D$6-$C$6)),$E$6-SQRT((1-$AB1647)*($E$6-$C$6)*($E$6-$D$6)))</f>
        <v/>
      </c>
      <c r="O1647" s="14">
        <f>_xlfn.NORM.INV($AC1647,$C$7,$D$7)</f>
        <v/>
      </c>
      <c r="P1647" s="14">
        <f>$C$8+($D$8-$C$8)*$AD1647</f>
        <v/>
      </c>
      <c r="Q1647" s="14">
        <f>$C$9</f>
        <v/>
      </c>
      <c r="R1647" s="14">
        <f>_xlfn.LOGNORM.INV($AF1647,LN($C$10)-0.5*LN(1+($D$10/$C$10)^2),SQRT(LN(1+($D$10/$C$10)^2)))</f>
        <v/>
      </c>
      <c r="S1647" s="14">
        <f>SUM(M1647:R1647)</f>
        <v/>
      </c>
      <c r="AA1647">
        <f>RAND()</f>
        <v/>
      </c>
      <c r="AB1647">
        <f>RAND()</f>
        <v/>
      </c>
      <c r="AC1647">
        <f>RAND()</f>
        <v/>
      </c>
      <c r="AD1647">
        <f>RAND()</f>
        <v/>
      </c>
      <c r="AE1647">
        <f>RAND()</f>
        <v/>
      </c>
      <c r="AF1647">
        <f>RAND()</f>
        <v/>
      </c>
    </row>
    <row r="1648">
      <c r="M1648" s="14">
        <f>_xlfn.BETA.INV($AA1648,1+4*($D$5-$C$5)/($E$5-$C$5),1+4*($E$5-$D$5)/($E$5-$C$5),$C$5,$E$5)</f>
        <v/>
      </c>
      <c r="N1648" s="14">
        <f>IF($AB1648&lt;($D$6-$C$6)/($E$6-$C$6),$C$6+SQRT($AB1648*($E$6-$C$6)*($D$6-$C$6)),$E$6-SQRT((1-$AB1648)*($E$6-$C$6)*($E$6-$D$6)))</f>
        <v/>
      </c>
      <c r="O1648" s="14">
        <f>_xlfn.NORM.INV($AC1648,$C$7,$D$7)</f>
        <v/>
      </c>
      <c r="P1648" s="14">
        <f>$C$8+($D$8-$C$8)*$AD1648</f>
        <v/>
      </c>
      <c r="Q1648" s="14">
        <f>$C$9</f>
        <v/>
      </c>
      <c r="R1648" s="14">
        <f>_xlfn.LOGNORM.INV($AF1648,LN($C$10)-0.5*LN(1+($D$10/$C$10)^2),SQRT(LN(1+($D$10/$C$10)^2)))</f>
        <v/>
      </c>
      <c r="S1648" s="14">
        <f>SUM(M1648:R1648)</f>
        <v/>
      </c>
      <c r="AA1648">
        <f>RAND()</f>
        <v/>
      </c>
      <c r="AB1648">
        <f>RAND()</f>
        <v/>
      </c>
      <c r="AC1648">
        <f>RAND()</f>
        <v/>
      </c>
      <c r="AD1648">
        <f>RAND()</f>
        <v/>
      </c>
      <c r="AE1648">
        <f>RAND()</f>
        <v/>
      </c>
      <c r="AF1648">
        <f>RAND()</f>
        <v/>
      </c>
    </row>
    <row r="1649">
      <c r="M1649" s="14">
        <f>_xlfn.BETA.INV($AA1649,1+4*($D$5-$C$5)/($E$5-$C$5),1+4*($E$5-$D$5)/($E$5-$C$5),$C$5,$E$5)</f>
        <v/>
      </c>
      <c r="N1649" s="14">
        <f>IF($AB1649&lt;($D$6-$C$6)/($E$6-$C$6),$C$6+SQRT($AB1649*($E$6-$C$6)*($D$6-$C$6)),$E$6-SQRT((1-$AB1649)*($E$6-$C$6)*($E$6-$D$6)))</f>
        <v/>
      </c>
      <c r="O1649" s="14">
        <f>_xlfn.NORM.INV($AC1649,$C$7,$D$7)</f>
        <v/>
      </c>
      <c r="P1649" s="14">
        <f>$C$8+($D$8-$C$8)*$AD1649</f>
        <v/>
      </c>
      <c r="Q1649" s="14">
        <f>$C$9</f>
        <v/>
      </c>
      <c r="R1649" s="14">
        <f>_xlfn.LOGNORM.INV($AF1649,LN($C$10)-0.5*LN(1+($D$10/$C$10)^2),SQRT(LN(1+($D$10/$C$10)^2)))</f>
        <v/>
      </c>
      <c r="S1649" s="14">
        <f>SUM(M1649:R1649)</f>
        <v/>
      </c>
      <c r="AA1649">
        <f>RAND()</f>
        <v/>
      </c>
      <c r="AB1649">
        <f>RAND()</f>
        <v/>
      </c>
      <c r="AC1649">
        <f>RAND()</f>
        <v/>
      </c>
      <c r="AD1649">
        <f>RAND()</f>
        <v/>
      </c>
      <c r="AE1649">
        <f>RAND()</f>
        <v/>
      </c>
      <c r="AF1649">
        <f>RAND()</f>
        <v/>
      </c>
    </row>
    <row r="1650">
      <c r="M1650" s="14">
        <f>_xlfn.BETA.INV($AA1650,1+4*($D$5-$C$5)/($E$5-$C$5),1+4*($E$5-$D$5)/($E$5-$C$5),$C$5,$E$5)</f>
        <v/>
      </c>
      <c r="N1650" s="14">
        <f>IF($AB1650&lt;($D$6-$C$6)/($E$6-$C$6),$C$6+SQRT($AB1650*($E$6-$C$6)*($D$6-$C$6)),$E$6-SQRT((1-$AB1650)*($E$6-$C$6)*($E$6-$D$6)))</f>
        <v/>
      </c>
      <c r="O1650" s="14">
        <f>_xlfn.NORM.INV($AC1650,$C$7,$D$7)</f>
        <v/>
      </c>
      <c r="P1650" s="14">
        <f>$C$8+($D$8-$C$8)*$AD1650</f>
        <v/>
      </c>
      <c r="Q1650" s="14">
        <f>$C$9</f>
        <v/>
      </c>
      <c r="R1650" s="14">
        <f>_xlfn.LOGNORM.INV($AF1650,LN($C$10)-0.5*LN(1+($D$10/$C$10)^2),SQRT(LN(1+($D$10/$C$10)^2)))</f>
        <v/>
      </c>
      <c r="S1650" s="14">
        <f>SUM(M1650:R1650)</f>
        <v/>
      </c>
      <c r="AA1650">
        <f>RAND()</f>
        <v/>
      </c>
      <c r="AB1650">
        <f>RAND()</f>
        <v/>
      </c>
      <c r="AC1650">
        <f>RAND()</f>
        <v/>
      </c>
      <c r="AD1650">
        <f>RAND()</f>
        <v/>
      </c>
      <c r="AE1650">
        <f>RAND()</f>
        <v/>
      </c>
      <c r="AF1650">
        <f>RAND()</f>
        <v/>
      </c>
    </row>
    <row r="1651">
      <c r="M1651" s="14">
        <f>_xlfn.BETA.INV($AA1651,1+4*($D$5-$C$5)/($E$5-$C$5),1+4*($E$5-$D$5)/($E$5-$C$5),$C$5,$E$5)</f>
        <v/>
      </c>
      <c r="N1651" s="14">
        <f>IF($AB1651&lt;($D$6-$C$6)/($E$6-$C$6),$C$6+SQRT($AB1651*($E$6-$C$6)*($D$6-$C$6)),$E$6-SQRT((1-$AB1651)*($E$6-$C$6)*($E$6-$D$6)))</f>
        <v/>
      </c>
      <c r="O1651" s="14">
        <f>_xlfn.NORM.INV($AC1651,$C$7,$D$7)</f>
        <v/>
      </c>
      <c r="P1651" s="14">
        <f>$C$8+($D$8-$C$8)*$AD1651</f>
        <v/>
      </c>
      <c r="Q1651" s="14">
        <f>$C$9</f>
        <v/>
      </c>
      <c r="R1651" s="14">
        <f>_xlfn.LOGNORM.INV($AF1651,LN($C$10)-0.5*LN(1+($D$10/$C$10)^2),SQRT(LN(1+($D$10/$C$10)^2)))</f>
        <v/>
      </c>
      <c r="S1651" s="14">
        <f>SUM(M1651:R1651)</f>
        <v/>
      </c>
      <c r="AA1651">
        <f>RAND()</f>
        <v/>
      </c>
      <c r="AB1651">
        <f>RAND()</f>
        <v/>
      </c>
      <c r="AC1651">
        <f>RAND()</f>
        <v/>
      </c>
      <c r="AD1651">
        <f>RAND()</f>
        <v/>
      </c>
      <c r="AE1651">
        <f>RAND()</f>
        <v/>
      </c>
      <c r="AF1651">
        <f>RAND()</f>
        <v/>
      </c>
    </row>
    <row r="1652">
      <c r="M1652" s="14">
        <f>_xlfn.BETA.INV($AA1652,1+4*($D$5-$C$5)/($E$5-$C$5),1+4*($E$5-$D$5)/($E$5-$C$5),$C$5,$E$5)</f>
        <v/>
      </c>
      <c r="N1652" s="14">
        <f>IF($AB1652&lt;($D$6-$C$6)/($E$6-$C$6),$C$6+SQRT($AB1652*($E$6-$C$6)*($D$6-$C$6)),$E$6-SQRT((1-$AB1652)*($E$6-$C$6)*($E$6-$D$6)))</f>
        <v/>
      </c>
      <c r="O1652" s="14">
        <f>_xlfn.NORM.INV($AC1652,$C$7,$D$7)</f>
        <v/>
      </c>
      <c r="P1652" s="14">
        <f>$C$8+($D$8-$C$8)*$AD1652</f>
        <v/>
      </c>
      <c r="Q1652" s="14">
        <f>$C$9</f>
        <v/>
      </c>
      <c r="R1652" s="14">
        <f>_xlfn.LOGNORM.INV($AF1652,LN($C$10)-0.5*LN(1+($D$10/$C$10)^2),SQRT(LN(1+($D$10/$C$10)^2)))</f>
        <v/>
      </c>
      <c r="S1652" s="14">
        <f>SUM(M1652:R1652)</f>
        <v/>
      </c>
      <c r="AA1652">
        <f>RAND()</f>
        <v/>
      </c>
      <c r="AB1652">
        <f>RAND()</f>
        <v/>
      </c>
      <c r="AC1652">
        <f>RAND()</f>
        <v/>
      </c>
      <c r="AD1652">
        <f>RAND()</f>
        <v/>
      </c>
      <c r="AE1652">
        <f>RAND()</f>
        <v/>
      </c>
      <c r="AF1652">
        <f>RAND()</f>
        <v/>
      </c>
    </row>
    <row r="1653">
      <c r="M1653" s="14">
        <f>_xlfn.BETA.INV($AA1653,1+4*($D$5-$C$5)/($E$5-$C$5),1+4*($E$5-$D$5)/($E$5-$C$5),$C$5,$E$5)</f>
        <v/>
      </c>
      <c r="N1653" s="14">
        <f>IF($AB1653&lt;($D$6-$C$6)/($E$6-$C$6),$C$6+SQRT($AB1653*($E$6-$C$6)*($D$6-$C$6)),$E$6-SQRT((1-$AB1653)*($E$6-$C$6)*($E$6-$D$6)))</f>
        <v/>
      </c>
      <c r="O1653" s="14">
        <f>_xlfn.NORM.INV($AC1653,$C$7,$D$7)</f>
        <v/>
      </c>
      <c r="P1653" s="14">
        <f>$C$8+($D$8-$C$8)*$AD1653</f>
        <v/>
      </c>
      <c r="Q1653" s="14">
        <f>$C$9</f>
        <v/>
      </c>
      <c r="R1653" s="14">
        <f>_xlfn.LOGNORM.INV($AF1653,LN($C$10)-0.5*LN(1+($D$10/$C$10)^2),SQRT(LN(1+($D$10/$C$10)^2)))</f>
        <v/>
      </c>
      <c r="S1653" s="14">
        <f>SUM(M1653:R1653)</f>
        <v/>
      </c>
      <c r="AA1653">
        <f>RAND()</f>
        <v/>
      </c>
      <c r="AB1653">
        <f>RAND()</f>
        <v/>
      </c>
      <c r="AC1653">
        <f>RAND()</f>
        <v/>
      </c>
      <c r="AD1653">
        <f>RAND()</f>
        <v/>
      </c>
      <c r="AE1653">
        <f>RAND()</f>
        <v/>
      </c>
      <c r="AF1653">
        <f>RAND()</f>
        <v/>
      </c>
    </row>
    <row r="1654">
      <c r="M1654" s="14">
        <f>_xlfn.BETA.INV($AA1654,1+4*($D$5-$C$5)/($E$5-$C$5),1+4*($E$5-$D$5)/($E$5-$C$5),$C$5,$E$5)</f>
        <v/>
      </c>
      <c r="N1654" s="14">
        <f>IF($AB1654&lt;($D$6-$C$6)/($E$6-$C$6),$C$6+SQRT($AB1654*($E$6-$C$6)*($D$6-$C$6)),$E$6-SQRT((1-$AB1654)*($E$6-$C$6)*($E$6-$D$6)))</f>
        <v/>
      </c>
      <c r="O1654" s="14">
        <f>_xlfn.NORM.INV($AC1654,$C$7,$D$7)</f>
        <v/>
      </c>
      <c r="P1654" s="14">
        <f>$C$8+($D$8-$C$8)*$AD1654</f>
        <v/>
      </c>
      <c r="Q1654" s="14">
        <f>$C$9</f>
        <v/>
      </c>
      <c r="R1654" s="14">
        <f>_xlfn.LOGNORM.INV($AF1654,LN($C$10)-0.5*LN(1+($D$10/$C$10)^2),SQRT(LN(1+($D$10/$C$10)^2)))</f>
        <v/>
      </c>
      <c r="S1654" s="14">
        <f>SUM(M1654:R1654)</f>
        <v/>
      </c>
      <c r="AA1654">
        <f>RAND()</f>
        <v/>
      </c>
      <c r="AB1654">
        <f>RAND()</f>
        <v/>
      </c>
      <c r="AC1654">
        <f>RAND()</f>
        <v/>
      </c>
      <c r="AD1654">
        <f>RAND()</f>
        <v/>
      </c>
      <c r="AE1654">
        <f>RAND()</f>
        <v/>
      </c>
      <c r="AF1654">
        <f>RAND()</f>
        <v/>
      </c>
    </row>
    <row r="1655">
      <c r="M1655" s="14">
        <f>_xlfn.BETA.INV($AA1655,1+4*($D$5-$C$5)/($E$5-$C$5),1+4*($E$5-$D$5)/($E$5-$C$5),$C$5,$E$5)</f>
        <v/>
      </c>
      <c r="N1655" s="14">
        <f>IF($AB1655&lt;($D$6-$C$6)/($E$6-$C$6),$C$6+SQRT($AB1655*($E$6-$C$6)*($D$6-$C$6)),$E$6-SQRT((1-$AB1655)*($E$6-$C$6)*($E$6-$D$6)))</f>
        <v/>
      </c>
      <c r="O1655" s="14">
        <f>_xlfn.NORM.INV($AC1655,$C$7,$D$7)</f>
        <v/>
      </c>
      <c r="P1655" s="14">
        <f>$C$8+($D$8-$C$8)*$AD1655</f>
        <v/>
      </c>
      <c r="Q1655" s="14">
        <f>$C$9</f>
        <v/>
      </c>
      <c r="R1655" s="14">
        <f>_xlfn.LOGNORM.INV($AF1655,LN($C$10)-0.5*LN(1+($D$10/$C$10)^2),SQRT(LN(1+($D$10/$C$10)^2)))</f>
        <v/>
      </c>
      <c r="S1655" s="14">
        <f>SUM(M1655:R1655)</f>
        <v/>
      </c>
      <c r="AA1655">
        <f>RAND()</f>
        <v/>
      </c>
      <c r="AB1655">
        <f>RAND()</f>
        <v/>
      </c>
      <c r="AC1655">
        <f>RAND()</f>
        <v/>
      </c>
      <c r="AD1655">
        <f>RAND()</f>
        <v/>
      </c>
      <c r="AE1655">
        <f>RAND()</f>
        <v/>
      </c>
      <c r="AF1655">
        <f>RAND()</f>
        <v/>
      </c>
    </row>
    <row r="1656">
      <c r="M1656" s="14">
        <f>_xlfn.BETA.INV($AA1656,1+4*($D$5-$C$5)/($E$5-$C$5),1+4*($E$5-$D$5)/($E$5-$C$5),$C$5,$E$5)</f>
        <v/>
      </c>
      <c r="N1656" s="14">
        <f>IF($AB1656&lt;($D$6-$C$6)/($E$6-$C$6),$C$6+SQRT($AB1656*($E$6-$C$6)*($D$6-$C$6)),$E$6-SQRT((1-$AB1656)*($E$6-$C$6)*($E$6-$D$6)))</f>
        <v/>
      </c>
      <c r="O1656" s="14">
        <f>_xlfn.NORM.INV($AC1656,$C$7,$D$7)</f>
        <v/>
      </c>
      <c r="P1656" s="14">
        <f>$C$8+($D$8-$C$8)*$AD1656</f>
        <v/>
      </c>
      <c r="Q1656" s="14">
        <f>$C$9</f>
        <v/>
      </c>
      <c r="R1656" s="14">
        <f>_xlfn.LOGNORM.INV($AF1656,LN($C$10)-0.5*LN(1+($D$10/$C$10)^2),SQRT(LN(1+($D$10/$C$10)^2)))</f>
        <v/>
      </c>
      <c r="S1656" s="14">
        <f>SUM(M1656:R1656)</f>
        <v/>
      </c>
      <c r="AA1656">
        <f>RAND()</f>
        <v/>
      </c>
      <c r="AB1656">
        <f>RAND()</f>
        <v/>
      </c>
      <c r="AC1656">
        <f>RAND()</f>
        <v/>
      </c>
      <c r="AD1656">
        <f>RAND()</f>
        <v/>
      </c>
      <c r="AE1656">
        <f>RAND()</f>
        <v/>
      </c>
      <c r="AF1656">
        <f>RAND()</f>
        <v/>
      </c>
    </row>
    <row r="1657">
      <c r="M1657" s="14">
        <f>_xlfn.BETA.INV($AA1657,1+4*($D$5-$C$5)/($E$5-$C$5),1+4*($E$5-$D$5)/($E$5-$C$5),$C$5,$E$5)</f>
        <v/>
      </c>
      <c r="N1657" s="14">
        <f>IF($AB1657&lt;($D$6-$C$6)/($E$6-$C$6),$C$6+SQRT($AB1657*($E$6-$C$6)*($D$6-$C$6)),$E$6-SQRT((1-$AB1657)*($E$6-$C$6)*($E$6-$D$6)))</f>
        <v/>
      </c>
      <c r="O1657" s="14">
        <f>_xlfn.NORM.INV($AC1657,$C$7,$D$7)</f>
        <v/>
      </c>
      <c r="P1657" s="14">
        <f>$C$8+($D$8-$C$8)*$AD1657</f>
        <v/>
      </c>
      <c r="Q1657" s="14">
        <f>$C$9</f>
        <v/>
      </c>
      <c r="R1657" s="14">
        <f>_xlfn.LOGNORM.INV($AF1657,LN($C$10)-0.5*LN(1+($D$10/$C$10)^2),SQRT(LN(1+($D$10/$C$10)^2)))</f>
        <v/>
      </c>
      <c r="S1657" s="14">
        <f>SUM(M1657:R1657)</f>
        <v/>
      </c>
      <c r="AA1657">
        <f>RAND()</f>
        <v/>
      </c>
      <c r="AB1657">
        <f>RAND()</f>
        <v/>
      </c>
      <c r="AC1657">
        <f>RAND()</f>
        <v/>
      </c>
      <c r="AD1657">
        <f>RAND()</f>
        <v/>
      </c>
      <c r="AE1657">
        <f>RAND()</f>
        <v/>
      </c>
      <c r="AF1657">
        <f>RAND()</f>
        <v/>
      </c>
    </row>
    <row r="1658">
      <c r="M1658" s="14">
        <f>_xlfn.BETA.INV($AA1658,1+4*($D$5-$C$5)/($E$5-$C$5),1+4*($E$5-$D$5)/($E$5-$C$5),$C$5,$E$5)</f>
        <v/>
      </c>
      <c r="N1658" s="14">
        <f>IF($AB1658&lt;($D$6-$C$6)/($E$6-$C$6),$C$6+SQRT($AB1658*($E$6-$C$6)*($D$6-$C$6)),$E$6-SQRT((1-$AB1658)*($E$6-$C$6)*($E$6-$D$6)))</f>
        <v/>
      </c>
      <c r="O1658" s="14">
        <f>_xlfn.NORM.INV($AC1658,$C$7,$D$7)</f>
        <v/>
      </c>
      <c r="P1658" s="14">
        <f>$C$8+($D$8-$C$8)*$AD1658</f>
        <v/>
      </c>
      <c r="Q1658" s="14">
        <f>$C$9</f>
        <v/>
      </c>
      <c r="R1658" s="14">
        <f>_xlfn.LOGNORM.INV($AF1658,LN($C$10)-0.5*LN(1+($D$10/$C$10)^2),SQRT(LN(1+($D$10/$C$10)^2)))</f>
        <v/>
      </c>
      <c r="S1658" s="14">
        <f>SUM(M1658:R1658)</f>
        <v/>
      </c>
      <c r="AA1658">
        <f>RAND()</f>
        <v/>
      </c>
      <c r="AB1658">
        <f>RAND()</f>
        <v/>
      </c>
      <c r="AC1658">
        <f>RAND()</f>
        <v/>
      </c>
      <c r="AD1658">
        <f>RAND()</f>
        <v/>
      </c>
      <c r="AE1658">
        <f>RAND()</f>
        <v/>
      </c>
      <c r="AF1658">
        <f>RAND()</f>
        <v/>
      </c>
    </row>
    <row r="1659">
      <c r="M1659" s="14">
        <f>_xlfn.BETA.INV($AA1659,1+4*($D$5-$C$5)/($E$5-$C$5),1+4*($E$5-$D$5)/($E$5-$C$5),$C$5,$E$5)</f>
        <v/>
      </c>
      <c r="N1659" s="14">
        <f>IF($AB1659&lt;($D$6-$C$6)/($E$6-$C$6),$C$6+SQRT($AB1659*($E$6-$C$6)*($D$6-$C$6)),$E$6-SQRT((1-$AB1659)*($E$6-$C$6)*($E$6-$D$6)))</f>
        <v/>
      </c>
      <c r="O1659" s="14">
        <f>_xlfn.NORM.INV($AC1659,$C$7,$D$7)</f>
        <v/>
      </c>
      <c r="P1659" s="14">
        <f>$C$8+($D$8-$C$8)*$AD1659</f>
        <v/>
      </c>
      <c r="Q1659" s="14">
        <f>$C$9</f>
        <v/>
      </c>
      <c r="R1659" s="14">
        <f>_xlfn.LOGNORM.INV($AF1659,LN($C$10)-0.5*LN(1+($D$10/$C$10)^2),SQRT(LN(1+($D$10/$C$10)^2)))</f>
        <v/>
      </c>
      <c r="S1659" s="14">
        <f>SUM(M1659:R1659)</f>
        <v/>
      </c>
      <c r="AA1659">
        <f>RAND()</f>
        <v/>
      </c>
      <c r="AB1659">
        <f>RAND()</f>
        <v/>
      </c>
      <c r="AC1659">
        <f>RAND()</f>
        <v/>
      </c>
      <c r="AD1659">
        <f>RAND()</f>
        <v/>
      </c>
      <c r="AE1659">
        <f>RAND()</f>
        <v/>
      </c>
      <c r="AF1659">
        <f>RAND()</f>
        <v/>
      </c>
    </row>
    <row r="1660">
      <c r="M1660" s="14">
        <f>_xlfn.BETA.INV($AA1660,1+4*($D$5-$C$5)/($E$5-$C$5),1+4*($E$5-$D$5)/($E$5-$C$5),$C$5,$E$5)</f>
        <v/>
      </c>
      <c r="N1660" s="14">
        <f>IF($AB1660&lt;($D$6-$C$6)/($E$6-$C$6),$C$6+SQRT($AB1660*($E$6-$C$6)*($D$6-$C$6)),$E$6-SQRT((1-$AB1660)*($E$6-$C$6)*($E$6-$D$6)))</f>
        <v/>
      </c>
      <c r="O1660" s="14">
        <f>_xlfn.NORM.INV($AC1660,$C$7,$D$7)</f>
        <v/>
      </c>
      <c r="P1660" s="14">
        <f>$C$8+($D$8-$C$8)*$AD1660</f>
        <v/>
      </c>
      <c r="Q1660" s="14">
        <f>$C$9</f>
        <v/>
      </c>
      <c r="R1660" s="14">
        <f>_xlfn.LOGNORM.INV($AF1660,LN($C$10)-0.5*LN(1+($D$10/$C$10)^2),SQRT(LN(1+($D$10/$C$10)^2)))</f>
        <v/>
      </c>
      <c r="S1660" s="14">
        <f>SUM(M1660:R1660)</f>
        <v/>
      </c>
      <c r="AA1660">
        <f>RAND()</f>
        <v/>
      </c>
      <c r="AB1660">
        <f>RAND()</f>
        <v/>
      </c>
      <c r="AC1660">
        <f>RAND()</f>
        <v/>
      </c>
      <c r="AD1660">
        <f>RAND()</f>
        <v/>
      </c>
      <c r="AE1660">
        <f>RAND()</f>
        <v/>
      </c>
      <c r="AF1660">
        <f>RAND()</f>
        <v/>
      </c>
    </row>
    <row r="1661">
      <c r="M1661" s="14">
        <f>_xlfn.BETA.INV($AA1661,1+4*($D$5-$C$5)/($E$5-$C$5),1+4*($E$5-$D$5)/($E$5-$C$5),$C$5,$E$5)</f>
        <v/>
      </c>
      <c r="N1661" s="14">
        <f>IF($AB1661&lt;($D$6-$C$6)/($E$6-$C$6),$C$6+SQRT($AB1661*($E$6-$C$6)*($D$6-$C$6)),$E$6-SQRT((1-$AB1661)*($E$6-$C$6)*($E$6-$D$6)))</f>
        <v/>
      </c>
      <c r="O1661" s="14">
        <f>_xlfn.NORM.INV($AC1661,$C$7,$D$7)</f>
        <v/>
      </c>
      <c r="P1661" s="14">
        <f>$C$8+($D$8-$C$8)*$AD1661</f>
        <v/>
      </c>
      <c r="Q1661" s="14">
        <f>$C$9</f>
        <v/>
      </c>
      <c r="R1661" s="14">
        <f>_xlfn.LOGNORM.INV($AF1661,LN($C$10)-0.5*LN(1+($D$10/$C$10)^2),SQRT(LN(1+($D$10/$C$10)^2)))</f>
        <v/>
      </c>
      <c r="S1661" s="14">
        <f>SUM(M1661:R1661)</f>
        <v/>
      </c>
      <c r="AA1661">
        <f>RAND()</f>
        <v/>
      </c>
      <c r="AB1661">
        <f>RAND()</f>
        <v/>
      </c>
      <c r="AC1661">
        <f>RAND()</f>
        <v/>
      </c>
      <c r="AD1661">
        <f>RAND()</f>
        <v/>
      </c>
      <c r="AE1661">
        <f>RAND()</f>
        <v/>
      </c>
      <c r="AF1661">
        <f>RAND()</f>
        <v/>
      </c>
    </row>
    <row r="1662">
      <c r="M1662" s="14">
        <f>_xlfn.BETA.INV($AA1662,1+4*($D$5-$C$5)/($E$5-$C$5),1+4*($E$5-$D$5)/($E$5-$C$5),$C$5,$E$5)</f>
        <v/>
      </c>
      <c r="N1662" s="14">
        <f>IF($AB1662&lt;($D$6-$C$6)/($E$6-$C$6),$C$6+SQRT($AB1662*($E$6-$C$6)*($D$6-$C$6)),$E$6-SQRT((1-$AB1662)*($E$6-$C$6)*($E$6-$D$6)))</f>
        <v/>
      </c>
      <c r="O1662" s="14">
        <f>_xlfn.NORM.INV($AC1662,$C$7,$D$7)</f>
        <v/>
      </c>
      <c r="P1662" s="14">
        <f>$C$8+($D$8-$C$8)*$AD1662</f>
        <v/>
      </c>
      <c r="Q1662" s="14">
        <f>$C$9</f>
        <v/>
      </c>
      <c r="R1662" s="14">
        <f>_xlfn.LOGNORM.INV($AF1662,LN($C$10)-0.5*LN(1+($D$10/$C$10)^2),SQRT(LN(1+($D$10/$C$10)^2)))</f>
        <v/>
      </c>
      <c r="S1662" s="14">
        <f>SUM(M1662:R1662)</f>
        <v/>
      </c>
      <c r="AA1662">
        <f>RAND()</f>
        <v/>
      </c>
      <c r="AB1662">
        <f>RAND()</f>
        <v/>
      </c>
      <c r="AC1662">
        <f>RAND()</f>
        <v/>
      </c>
      <c r="AD1662">
        <f>RAND()</f>
        <v/>
      </c>
      <c r="AE1662">
        <f>RAND()</f>
        <v/>
      </c>
      <c r="AF1662">
        <f>RAND()</f>
        <v/>
      </c>
    </row>
    <row r="1663">
      <c r="M1663" s="14">
        <f>_xlfn.BETA.INV($AA1663,1+4*($D$5-$C$5)/($E$5-$C$5),1+4*($E$5-$D$5)/($E$5-$C$5),$C$5,$E$5)</f>
        <v/>
      </c>
      <c r="N1663" s="14">
        <f>IF($AB1663&lt;($D$6-$C$6)/($E$6-$C$6),$C$6+SQRT($AB1663*($E$6-$C$6)*($D$6-$C$6)),$E$6-SQRT((1-$AB1663)*($E$6-$C$6)*($E$6-$D$6)))</f>
        <v/>
      </c>
      <c r="O1663" s="14">
        <f>_xlfn.NORM.INV($AC1663,$C$7,$D$7)</f>
        <v/>
      </c>
      <c r="P1663" s="14">
        <f>$C$8+($D$8-$C$8)*$AD1663</f>
        <v/>
      </c>
      <c r="Q1663" s="14">
        <f>$C$9</f>
        <v/>
      </c>
      <c r="R1663" s="14">
        <f>_xlfn.LOGNORM.INV($AF1663,LN($C$10)-0.5*LN(1+($D$10/$C$10)^2),SQRT(LN(1+($D$10/$C$10)^2)))</f>
        <v/>
      </c>
      <c r="S1663" s="14">
        <f>SUM(M1663:R1663)</f>
        <v/>
      </c>
      <c r="AA1663">
        <f>RAND()</f>
        <v/>
      </c>
      <c r="AB1663">
        <f>RAND()</f>
        <v/>
      </c>
      <c r="AC1663">
        <f>RAND()</f>
        <v/>
      </c>
      <c r="AD1663">
        <f>RAND()</f>
        <v/>
      </c>
      <c r="AE1663">
        <f>RAND()</f>
        <v/>
      </c>
      <c r="AF1663">
        <f>RAND()</f>
        <v/>
      </c>
    </row>
    <row r="1664">
      <c r="M1664" s="14">
        <f>_xlfn.BETA.INV($AA1664,1+4*($D$5-$C$5)/($E$5-$C$5),1+4*($E$5-$D$5)/($E$5-$C$5),$C$5,$E$5)</f>
        <v/>
      </c>
      <c r="N1664" s="14">
        <f>IF($AB1664&lt;($D$6-$C$6)/($E$6-$C$6),$C$6+SQRT($AB1664*($E$6-$C$6)*($D$6-$C$6)),$E$6-SQRT((1-$AB1664)*($E$6-$C$6)*($E$6-$D$6)))</f>
        <v/>
      </c>
      <c r="O1664" s="14">
        <f>_xlfn.NORM.INV($AC1664,$C$7,$D$7)</f>
        <v/>
      </c>
      <c r="P1664" s="14">
        <f>$C$8+($D$8-$C$8)*$AD1664</f>
        <v/>
      </c>
      <c r="Q1664" s="14">
        <f>$C$9</f>
        <v/>
      </c>
      <c r="R1664" s="14">
        <f>_xlfn.LOGNORM.INV($AF1664,LN($C$10)-0.5*LN(1+($D$10/$C$10)^2),SQRT(LN(1+($D$10/$C$10)^2)))</f>
        <v/>
      </c>
      <c r="S1664" s="14">
        <f>SUM(M1664:R1664)</f>
        <v/>
      </c>
      <c r="AA1664">
        <f>RAND()</f>
        <v/>
      </c>
      <c r="AB1664">
        <f>RAND()</f>
        <v/>
      </c>
      <c r="AC1664">
        <f>RAND()</f>
        <v/>
      </c>
      <c r="AD1664">
        <f>RAND()</f>
        <v/>
      </c>
      <c r="AE1664">
        <f>RAND()</f>
        <v/>
      </c>
      <c r="AF1664">
        <f>RAND()</f>
        <v/>
      </c>
    </row>
    <row r="1665">
      <c r="M1665" s="14">
        <f>_xlfn.BETA.INV($AA1665,1+4*($D$5-$C$5)/($E$5-$C$5),1+4*($E$5-$D$5)/($E$5-$C$5),$C$5,$E$5)</f>
        <v/>
      </c>
      <c r="N1665" s="14">
        <f>IF($AB1665&lt;($D$6-$C$6)/($E$6-$C$6),$C$6+SQRT($AB1665*($E$6-$C$6)*($D$6-$C$6)),$E$6-SQRT((1-$AB1665)*($E$6-$C$6)*($E$6-$D$6)))</f>
        <v/>
      </c>
      <c r="O1665" s="14">
        <f>_xlfn.NORM.INV($AC1665,$C$7,$D$7)</f>
        <v/>
      </c>
      <c r="P1665" s="14">
        <f>$C$8+($D$8-$C$8)*$AD1665</f>
        <v/>
      </c>
      <c r="Q1665" s="14">
        <f>$C$9</f>
        <v/>
      </c>
      <c r="R1665" s="14">
        <f>_xlfn.LOGNORM.INV($AF1665,LN($C$10)-0.5*LN(1+($D$10/$C$10)^2),SQRT(LN(1+($D$10/$C$10)^2)))</f>
        <v/>
      </c>
      <c r="S1665" s="14">
        <f>SUM(M1665:R1665)</f>
        <v/>
      </c>
      <c r="AA1665">
        <f>RAND()</f>
        <v/>
      </c>
      <c r="AB1665">
        <f>RAND()</f>
        <v/>
      </c>
      <c r="AC1665">
        <f>RAND()</f>
        <v/>
      </c>
      <c r="AD1665">
        <f>RAND()</f>
        <v/>
      </c>
      <c r="AE1665">
        <f>RAND()</f>
        <v/>
      </c>
      <c r="AF1665">
        <f>RAND()</f>
        <v/>
      </c>
    </row>
    <row r="1666">
      <c r="M1666" s="14">
        <f>_xlfn.BETA.INV($AA1666,1+4*($D$5-$C$5)/($E$5-$C$5),1+4*($E$5-$D$5)/($E$5-$C$5),$C$5,$E$5)</f>
        <v/>
      </c>
      <c r="N1666" s="14">
        <f>IF($AB1666&lt;($D$6-$C$6)/($E$6-$C$6),$C$6+SQRT($AB1666*($E$6-$C$6)*($D$6-$C$6)),$E$6-SQRT((1-$AB1666)*($E$6-$C$6)*($E$6-$D$6)))</f>
        <v/>
      </c>
      <c r="O1666" s="14">
        <f>_xlfn.NORM.INV($AC1666,$C$7,$D$7)</f>
        <v/>
      </c>
      <c r="P1666" s="14">
        <f>$C$8+($D$8-$C$8)*$AD1666</f>
        <v/>
      </c>
      <c r="Q1666" s="14">
        <f>$C$9</f>
        <v/>
      </c>
      <c r="R1666" s="14">
        <f>_xlfn.LOGNORM.INV($AF1666,LN($C$10)-0.5*LN(1+($D$10/$C$10)^2),SQRT(LN(1+($D$10/$C$10)^2)))</f>
        <v/>
      </c>
      <c r="S1666" s="14">
        <f>SUM(M1666:R1666)</f>
        <v/>
      </c>
      <c r="AA1666">
        <f>RAND()</f>
        <v/>
      </c>
      <c r="AB1666">
        <f>RAND()</f>
        <v/>
      </c>
      <c r="AC1666">
        <f>RAND()</f>
        <v/>
      </c>
      <c r="AD1666">
        <f>RAND()</f>
        <v/>
      </c>
      <c r="AE1666">
        <f>RAND()</f>
        <v/>
      </c>
      <c r="AF1666">
        <f>RAND()</f>
        <v/>
      </c>
    </row>
    <row r="1667">
      <c r="M1667" s="14">
        <f>_xlfn.BETA.INV($AA1667,1+4*($D$5-$C$5)/($E$5-$C$5),1+4*($E$5-$D$5)/($E$5-$C$5),$C$5,$E$5)</f>
        <v/>
      </c>
      <c r="N1667" s="14">
        <f>IF($AB1667&lt;($D$6-$C$6)/($E$6-$C$6),$C$6+SQRT($AB1667*($E$6-$C$6)*($D$6-$C$6)),$E$6-SQRT((1-$AB1667)*($E$6-$C$6)*($E$6-$D$6)))</f>
        <v/>
      </c>
      <c r="O1667" s="14">
        <f>_xlfn.NORM.INV($AC1667,$C$7,$D$7)</f>
        <v/>
      </c>
      <c r="P1667" s="14">
        <f>$C$8+($D$8-$C$8)*$AD1667</f>
        <v/>
      </c>
      <c r="Q1667" s="14">
        <f>$C$9</f>
        <v/>
      </c>
      <c r="R1667" s="14">
        <f>_xlfn.LOGNORM.INV($AF1667,LN($C$10)-0.5*LN(1+($D$10/$C$10)^2),SQRT(LN(1+($D$10/$C$10)^2)))</f>
        <v/>
      </c>
      <c r="S1667" s="14">
        <f>SUM(M1667:R1667)</f>
        <v/>
      </c>
      <c r="AA1667">
        <f>RAND()</f>
        <v/>
      </c>
      <c r="AB1667">
        <f>RAND()</f>
        <v/>
      </c>
      <c r="AC1667">
        <f>RAND()</f>
        <v/>
      </c>
      <c r="AD1667">
        <f>RAND()</f>
        <v/>
      </c>
      <c r="AE1667">
        <f>RAND()</f>
        <v/>
      </c>
      <c r="AF1667">
        <f>RAND()</f>
        <v/>
      </c>
    </row>
    <row r="1668">
      <c r="M1668" s="14">
        <f>_xlfn.BETA.INV($AA1668,1+4*($D$5-$C$5)/($E$5-$C$5),1+4*($E$5-$D$5)/($E$5-$C$5),$C$5,$E$5)</f>
        <v/>
      </c>
      <c r="N1668" s="14">
        <f>IF($AB1668&lt;($D$6-$C$6)/($E$6-$C$6),$C$6+SQRT($AB1668*($E$6-$C$6)*($D$6-$C$6)),$E$6-SQRT((1-$AB1668)*($E$6-$C$6)*($E$6-$D$6)))</f>
        <v/>
      </c>
      <c r="O1668" s="14">
        <f>_xlfn.NORM.INV($AC1668,$C$7,$D$7)</f>
        <v/>
      </c>
      <c r="P1668" s="14">
        <f>$C$8+($D$8-$C$8)*$AD1668</f>
        <v/>
      </c>
      <c r="Q1668" s="14">
        <f>$C$9</f>
        <v/>
      </c>
      <c r="R1668" s="14">
        <f>_xlfn.LOGNORM.INV($AF1668,LN($C$10)-0.5*LN(1+($D$10/$C$10)^2),SQRT(LN(1+($D$10/$C$10)^2)))</f>
        <v/>
      </c>
      <c r="S1668" s="14">
        <f>SUM(M1668:R1668)</f>
        <v/>
      </c>
      <c r="AA1668">
        <f>RAND()</f>
        <v/>
      </c>
      <c r="AB1668">
        <f>RAND()</f>
        <v/>
      </c>
      <c r="AC1668">
        <f>RAND()</f>
        <v/>
      </c>
      <c r="AD1668">
        <f>RAND()</f>
        <v/>
      </c>
      <c r="AE1668">
        <f>RAND()</f>
        <v/>
      </c>
      <c r="AF1668">
        <f>RAND()</f>
        <v/>
      </c>
    </row>
    <row r="1669">
      <c r="M1669" s="14">
        <f>_xlfn.BETA.INV($AA1669,1+4*($D$5-$C$5)/($E$5-$C$5),1+4*($E$5-$D$5)/($E$5-$C$5),$C$5,$E$5)</f>
        <v/>
      </c>
      <c r="N1669" s="14">
        <f>IF($AB1669&lt;($D$6-$C$6)/($E$6-$C$6),$C$6+SQRT($AB1669*($E$6-$C$6)*($D$6-$C$6)),$E$6-SQRT((1-$AB1669)*($E$6-$C$6)*($E$6-$D$6)))</f>
        <v/>
      </c>
      <c r="O1669" s="14">
        <f>_xlfn.NORM.INV($AC1669,$C$7,$D$7)</f>
        <v/>
      </c>
      <c r="P1669" s="14">
        <f>$C$8+($D$8-$C$8)*$AD1669</f>
        <v/>
      </c>
      <c r="Q1669" s="14">
        <f>$C$9</f>
        <v/>
      </c>
      <c r="R1669" s="14">
        <f>_xlfn.LOGNORM.INV($AF1669,LN($C$10)-0.5*LN(1+($D$10/$C$10)^2),SQRT(LN(1+($D$10/$C$10)^2)))</f>
        <v/>
      </c>
      <c r="S1669" s="14">
        <f>SUM(M1669:R1669)</f>
        <v/>
      </c>
      <c r="AA1669">
        <f>RAND()</f>
        <v/>
      </c>
      <c r="AB1669">
        <f>RAND()</f>
        <v/>
      </c>
      <c r="AC1669">
        <f>RAND()</f>
        <v/>
      </c>
      <c r="AD1669">
        <f>RAND()</f>
        <v/>
      </c>
      <c r="AE1669">
        <f>RAND()</f>
        <v/>
      </c>
      <c r="AF1669">
        <f>RAND()</f>
        <v/>
      </c>
    </row>
    <row r="1670">
      <c r="M1670" s="14">
        <f>_xlfn.BETA.INV($AA1670,1+4*($D$5-$C$5)/($E$5-$C$5),1+4*($E$5-$D$5)/($E$5-$C$5),$C$5,$E$5)</f>
        <v/>
      </c>
      <c r="N1670" s="14">
        <f>IF($AB1670&lt;($D$6-$C$6)/($E$6-$C$6),$C$6+SQRT($AB1670*($E$6-$C$6)*($D$6-$C$6)),$E$6-SQRT((1-$AB1670)*($E$6-$C$6)*($E$6-$D$6)))</f>
        <v/>
      </c>
      <c r="O1670" s="14">
        <f>_xlfn.NORM.INV($AC1670,$C$7,$D$7)</f>
        <v/>
      </c>
      <c r="P1670" s="14">
        <f>$C$8+($D$8-$C$8)*$AD1670</f>
        <v/>
      </c>
      <c r="Q1670" s="14">
        <f>$C$9</f>
        <v/>
      </c>
      <c r="R1670" s="14">
        <f>_xlfn.LOGNORM.INV($AF1670,LN($C$10)-0.5*LN(1+($D$10/$C$10)^2),SQRT(LN(1+($D$10/$C$10)^2)))</f>
        <v/>
      </c>
      <c r="S1670" s="14">
        <f>SUM(M1670:R1670)</f>
        <v/>
      </c>
      <c r="AA1670">
        <f>RAND()</f>
        <v/>
      </c>
      <c r="AB1670">
        <f>RAND()</f>
        <v/>
      </c>
      <c r="AC1670">
        <f>RAND()</f>
        <v/>
      </c>
      <c r="AD1670">
        <f>RAND()</f>
        <v/>
      </c>
      <c r="AE1670">
        <f>RAND()</f>
        <v/>
      </c>
      <c r="AF1670">
        <f>RAND()</f>
        <v/>
      </c>
    </row>
    <row r="1671">
      <c r="M1671" s="14">
        <f>_xlfn.BETA.INV($AA1671,1+4*($D$5-$C$5)/($E$5-$C$5),1+4*($E$5-$D$5)/($E$5-$C$5),$C$5,$E$5)</f>
        <v/>
      </c>
      <c r="N1671" s="14">
        <f>IF($AB1671&lt;($D$6-$C$6)/($E$6-$C$6),$C$6+SQRT($AB1671*($E$6-$C$6)*($D$6-$C$6)),$E$6-SQRT((1-$AB1671)*($E$6-$C$6)*($E$6-$D$6)))</f>
        <v/>
      </c>
      <c r="O1671" s="14">
        <f>_xlfn.NORM.INV($AC1671,$C$7,$D$7)</f>
        <v/>
      </c>
      <c r="P1671" s="14">
        <f>$C$8+($D$8-$C$8)*$AD1671</f>
        <v/>
      </c>
      <c r="Q1671" s="14">
        <f>$C$9</f>
        <v/>
      </c>
      <c r="R1671" s="14">
        <f>_xlfn.LOGNORM.INV($AF1671,LN($C$10)-0.5*LN(1+($D$10/$C$10)^2),SQRT(LN(1+($D$10/$C$10)^2)))</f>
        <v/>
      </c>
      <c r="S1671" s="14">
        <f>SUM(M1671:R1671)</f>
        <v/>
      </c>
      <c r="AA1671">
        <f>RAND()</f>
        <v/>
      </c>
      <c r="AB1671">
        <f>RAND()</f>
        <v/>
      </c>
      <c r="AC1671">
        <f>RAND()</f>
        <v/>
      </c>
      <c r="AD1671">
        <f>RAND()</f>
        <v/>
      </c>
      <c r="AE1671">
        <f>RAND()</f>
        <v/>
      </c>
      <c r="AF1671">
        <f>RAND()</f>
        <v/>
      </c>
    </row>
    <row r="1672">
      <c r="M1672" s="14">
        <f>_xlfn.BETA.INV($AA1672,1+4*($D$5-$C$5)/($E$5-$C$5),1+4*($E$5-$D$5)/($E$5-$C$5),$C$5,$E$5)</f>
        <v/>
      </c>
      <c r="N1672" s="14">
        <f>IF($AB1672&lt;($D$6-$C$6)/($E$6-$C$6),$C$6+SQRT($AB1672*($E$6-$C$6)*($D$6-$C$6)),$E$6-SQRT((1-$AB1672)*($E$6-$C$6)*($E$6-$D$6)))</f>
        <v/>
      </c>
      <c r="O1672" s="14">
        <f>_xlfn.NORM.INV($AC1672,$C$7,$D$7)</f>
        <v/>
      </c>
      <c r="P1672" s="14">
        <f>$C$8+($D$8-$C$8)*$AD1672</f>
        <v/>
      </c>
      <c r="Q1672" s="14">
        <f>$C$9</f>
        <v/>
      </c>
      <c r="R1672" s="14">
        <f>_xlfn.LOGNORM.INV($AF1672,LN($C$10)-0.5*LN(1+($D$10/$C$10)^2),SQRT(LN(1+($D$10/$C$10)^2)))</f>
        <v/>
      </c>
      <c r="S1672" s="14">
        <f>SUM(M1672:R1672)</f>
        <v/>
      </c>
      <c r="AA1672">
        <f>RAND()</f>
        <v/>
      </c>
      <c r="AB1672">
        <f>RAND()</f>
        <v/>
      </c>
      <c r="AC1672">
        <f>RAND()</f>
        <v/>
      </c>
      <c r="AD1672">
        <f>RAND()</f>
        <v/>
      </c>
      <c r="AE1672">
        <f>RAND()</f>
        <v/>
      </c>
      <c r="AF1672">
        <f>RAND()</f>
        <v/>
      </c>
    </row>
    <row r="1673">
      <c r="M1673" s="14">
        <f>_xlfn.BETA.INV($AA1673,1+4*($D$5-$C$5)/($E$5-$C$5),1+4*($E$5-$D$5)/($E$5-$C$5),$C$5,$E$5)</f>
        <v/>
      </c>
      <c r="N1673" s="14">
        <f>IF($AB1673&lt;($D$6-$C$6)/($E$6-$C$6),$C$6+SQRT($AB1673*($E$6-$C$6)*($D$6-$C$6)),$E$6-SQRT((1-$AB1673)*($E$6-$C$6)*($E$6-$D$6)))</f>
        <v/>
      </c>
      <c r="O1673" s="14">
        <f>_xlfn.NORM.INV($AC1673,$C$7,$D$7)</f>
        <v/>
      </c>
      <c r="P1673" s="14">
        <f>$C$8+($D$8-$C$8)*$AD1673</f>
        <v/>
      </c>
      <c r="Q1673" s="14">
        <f>$C$9</f>
        <v/>
      </c>
      <c r="R1673" s="14">
        <f>_xlfn.LOGNORM.INV($AF1673,LN($C$10)-0.5*LN(1+($D$10/$C$10)^2),SQRT(LN(1+($D$10/$C$10)^2)))</f>
        <v/>
      </c>
      <c r="S1673" s="14">
        <f>SUM(M1673:R1673)</f>
        <v/>
      </c>
      <c r="AA1673">
        <f>RAND()</f>
        <v/>
      </c>
      <c r="AB1673">
        <f>RAND()</f>
        <v/>
      </c>
      <c r="AC1673">
        <f>RAND()</f>
        <v/>
      </c>
      <c r="AD1673">
        <f>RAND()</f>
        <v/>
      </c>
      <c r="AE1673">
        <f>RAND()</f>
        <v/>
      </c>
      <c r="AF1673">
        <f>RAND()</f>
        <v/>
      </c>
    </row>
    <row r="1674">
      <c r="M1674" s="14">
        <f>_xlfn.BETA.INV($AA1674,1+4*($D$5-$C$5)/($E$5-$C$5),1+4*($E$5-$D$5)/($E$5-$C$5),$C$5,$E$5)</f>
        <v/>
      </c>
      <c r="N1674" s="14">
        <f>IF($AB1674&lt;($D$6-$C$6)/($E$6-$C$6),$C$6+SQRT($AB1674*($E$6-$C$6)*($D$6-$C$6)),$E$6-SQRT((1-$AB1674)*($E$6-$C$6)*($E$6-$D$6)))</f>
        <v/>
      </c>
      <c r="O1674" s="14">
        <f>_xlfn.NORM.INV($AC1674,$C$7,$D$7)</f>
        <v/>
      </c>
      <c r="P1674" s="14">
        <f>$C$8+($D$8-$C$8)*$AD1674</f>
        <v/>
      </c>
      <c r="Q1674" s="14">
        <f>$C$9</f>
        <v/>
      </c>
      <c r="R1674" s="14">
        <f>_xlfn.LOGNORM.INV($AF1674,LN($C$10)-0.5*LN(1+($D$10/$C$10)^2),SQRT(LN(1+($D$10/$C$10)^2)))</f>
        <v/>
      </c>
      <c r="S1674" s="14">
        <f>SUM(M1674:R1674)</f>
        <v/>
      </c>
      <c r="AA1674">
        <f>RAND()</f>
        <v/>
      </c>
      <c r="AB1674">
        <f>RAND()</f>
        <v/>
      </c>
      <c r="AC1674">
        <f>RAND()</f>
        <v/>
      </c>
      <c r="AD1674">
        <f>RAND()</f>
        <v/>
      </c>
      <c r="AE1674">
        <f>RAND()</f>
        <v/>
      </c>
      <c r="AF1674">
        <f>RAND()</f>
        <v/>
      </c>
    </row>
    <row r="1675">
      <c r="M1675" s="14">
        <f>_xlfn.BETA.INV($AA1675,1+4*($D$5-$C$5)/($E$5-$C$5),1+4*($E$5-$D$5)/($E$5-$C$5),$C$5,$E$5)</f>
        <v/>
      </c>
      <c r="N1675" s="14">
        <f>IF($AB1675&lt;($D$6-$C$6)/($E$6-$C$6),$C$6+SQRT($AB1675*($E$6-$C$6)*($D$6-$C$6)),$E$6-SQRT((1-$AB1675)*($E$6-$C$6)*($E$6-$D$6)))</f>
        <v/>
      </c>
      <c r="O1675" s="14">
        <f>_xlfn.NORM.INV($AC1675,$C$7,$D$7)</f>
        <v/>
      </c>
      <c r="P1675" s="14">
        <f>$C$8+($D$8-$C$8)*$AD1675</f>
        <v/>
      </c>
      <c r="Q1675" s="14">
        <f>$C$9</f>
        <v/>
      </c>
      <c r="R1675" s="14">
        <f>_xlfn.LOGNORM.INV($AF1675,LN($C$10)-0.5*LN(1+($D$10/$C$10)^2),SQRT(LN(1+($D$10/$C$10)^2)))</f>
        <v/>
      </c>
      <c r="S1675" s="14">
        <f>SUM(M1675:R1675)</f>
        <v/>
      </c>
      <c r="AA1675">
        <f>RAND()</f>
        <v/>
      </c>
      <c r="AB1675">
        <f>RAND()</f>
        <v/>
      </c>
      <c r="AC1675">
        <f>RAND()</f>
        <v/>
      </c>
      <c r="AD1675">
        <f>RAND()</f>
        <v/>
      </c>
      <c r="AE1675">
        <f>RAND()</f>
        <v/>
      </c>
      <c r="AF1675">
        <f>RAND()</f>
        <v/>
      </c>
    </row>
    <row r="1676">
      <c r="M1676" s="14">
        <f>_xlfn.BETA.INV($AA1676,1+4*($D$5-$C$5)/($E$5-$C$5),1+4*($E$5-$D$5)/($E$5-$C$5),$C$5,$E$5)</f>
        <v/>
      </c>
      <c r="N1676" s="14">
        <f>IF($AB1676&lt;($D$6-$C$6)/($E$6-$C$6),$C$6+SQRT($AB1676*($E$6-$C$6)*($D$6-$C$6)),$E$6-SQRT((1-$AB1676)*($E$6-$C$6)*($E$6-$D$6)))</f>
        <v/>
      </c>
      <c r="O1676" s="14">
        <f>_xlfn.NORM.INV($AC1676,$C$7,$D$7)</f>
        <v/>
      </c>
      <c r="P1676" s="14">
        <f>$C$8+($D$8-$C$8)*$AD1676</f>
        <v/>
      </c>
      <c r="Q1676" s="14">
        <f>$C$9</f>
        <v/>
      </c>
      <c r="R1676" s="14">
        <f>_xlfn.LOGNORM.INV($AF1676,LN($C$10)-0.5*LN(1+($D$10/$C$10)^2),SQRT(LN(1+($D$10/$C$10)^2)))</f>
        <v/>
      </c>
      <c r="S1676" s="14">
        <f>SUM(M1676:R1676)</f>
        <v/>
      </c>
      <c r="AA1676">
        <f>RAND()</f>
        <v/>
      </c>
      <c r="AB1676">
        <f>RAND()</f>
        <v/>
      </c>
      <c r="AC1676">
        <f>RAND()</f>
        <v/>
      </c>
      <c r="AD1676">
        <f>RAND()</f>
        <v/>
      </c>
      <c r="AE1676">
        <f>RAND()</f>
        <v/>
      </c>
      <c r="AF1676">
        <f>RAND()</f>
        <v/>
      </c>
    </row>
    <row r="1677">
      <c r="M1677" s="14">
        <f>_xlfn.BETA.INV($AA1677,1+4*($D$5-$C$5)/($E$5-$C$5),1+4*($E$5-$D$5)/($E$5-$C$5),$C$5,$E$5)</f>
        <v/>
      </c>
      <c r="N1677" s="14">
        <f>IF($AB1677&lt;($D$6-$C$6)/($E$6-$C$6),$C$6+SQRT($AB1677*($E$6-$C$6)*($D$6-$C$6)),$E$6-SQRT((1-$AB1677)*($E$6-$C$6)*($E$6-$D$6)))</f>
        <v/>
      </c>
      <c r="O1677" s="14">
        <f>_xlfn.NORM.INV($AC1677,$C$7,$D$7)</f>
        <v/>
      </c>
      <c r="P1677" s="14">
        <f>$C$8+($D$8-$C$8)*$AD1677</f>
        <v/>
      </c>
      <c r="Q1677" s="14">
        <f>$C$9</f>
        <v/>
      </c>
      <c r="R1677" s="14">
        <f>_xlfn.LOGNORM.INV($AF1677,LN($C$10)-0.5*LN(1+($D$10/$C$10)^2),SQRT(LN(1+($D$10/$C$10)^2)))</f>
        <v/>
      </c>
      <c r="S1677" s="14">
        <f>SUM(M1677:R1677)</f>
        <v/>
      </c>
      <c r="AA1677">
        <f>RAND()</f>
        <v/>
      </c>
      <c r="AB1677">
        <f>RAND()</f>
        <v/>
      </c>
      <c r="AC1677">
        <f>RAND()</f>
        <v/>
      </c>
      <c r="AD1677">
        <f>RAND()</f>
        <v/>
      </c>
      <c r="AE1677">
        <f>RAND()</f>
        <v/>
      </c>
      <c r="AF1677">
        <f>RAND()</f>
        <v/>
      </c>
    </row>
    <row r="1678">
      <c r="M1678" s="14">
        <f>_xlfn.BETA.INV($AA1678,1+4*($D$5-$C$5)/($E$5-$C$5),1+4*($E$5-$D$5)/($E$5-$C$5),$C$5,$E$5)</f>
        <v/>
      </c>
      <c r="N1678" s="14">
        <f>IF($AB1678&lt;($D$6-$C$6)/($E$6-$C$6),$C$6+SQRT($AB1678*($E$6-$C$6)*($D$6-$C$6)),$E$6-SQRT((1-$AB1678)*($E$6-$C$6)*($E$6-$D$6)))</f>
        <v/>
      </c>
      <c r="O1678" s="14">
        <f>_xlfn.NORM.INV($AC1678,$C$7,$D$7)</f>
        <v/>
      </c>
      <c r="P1678" s="14">
        <f>$C$8+($D$8-$C$8)*$AD1678</f>
        <v/>
      </c>
      <c r="Q1678" s="14">
        <f>$C$9</f>
        <v/>
      </c>
      <c r="R1678" s="14">
        <f>_xlfn.LOGNORM.INV($AF1678,LN($C$10)-0.5*LN(1+($D$10/$C$10)^2),SQRT(LN(1+($D$10/$C$10)^2)))</f>
        <v/>
      </c>
      <c r="S1678" s="14">
        <f>SUM(M1678:R1678)</f>
        <v/>
      </c>
      <c r="AA1678">
        <f>RAND()</f>
        <v/>
      </c>
      <c r="AB1678">
        <f>RAND()</f>
        <v/>
      </c>
      <c r="AC1678">
        <f>RAND()</f>
        <v/>
      </c>
      <c r="AD1678">
        <f>RAND()</f>
        <v/>
      </c>
      <c r="AE1678">
        <f>RAND()</f>
        <v/>
      </c>
      <c r="AF1678">
        <f>RAND()</f>
        <v/>
      </c>
    </row>
    <row r="1679">
      <c r="M1679" s="14">
        <f>_xlfn.BETA.INV($AA1679,1+4*($D$5-$C$5)/($E$5-$C$5),1+4*($E$5-$D$5)/($E$5-$C$5),$C$5,$E$5)</f>
        <v/>
      </c>
      <c r="N1679" s="14">
        <f>IF($AB1679&lt;($D$6-$C$6)/($E$6-$C$6),$C$6+SQRT($AB1679*($E$6-$C$6)*($D$6-$C$6)),$E$6-SQRT((1-$AB1679)*($E$6-$C$6)*($E$6-$D$6)))</f>
        <v/>
      </c>
      <c r="O1679" s="14">
        <f>_xlfn.NORM.INV($AC1679,$C$7,$D$7)</f>
        <v/>
      </c>
      <c r="P1679" s="14">
        <f>$C$8+($D$8-$C$8)*$AD1679</f>
        <v/>
      </c>
      <c r="Q1679" s="14">
        <f>$C$9</f>
        <v/>
      </c>
      <c r="R1679" s="14">
        <f>_xlfn.LOGNORM.INV($AF1679,LN($C$10)-0.5*LN(1+($D$10/$C$10)^2),SQRT(LN(1+($D$10/$C$10)^2)))</f>
        <v/>
      </c>
      <c r="S1679" s="14">
        <f>SUM(M1679:R1679)</f>
        <v/>
      </c>
      <c r="AA1679">
        <f>RAND()</f>
        <v/>
      </c>
      <c r="AB1679">
        <f>RAND()</f>
        <v/>
      </c>
      <c r="AC1679">
        <f>RAND()</f>
        <v/>
      </c>
      <c r="AD1679">
        <f>RAND()</f>
        <v/>
      </c>
      <c r="AE1679">
        <f>RAND()</f>
        <v/>
      </c>
      <c r="AF1679">
        <f>RAND()</f>
        <v/>
      </c>
    </row>
    <row r="1680">
      <c r="M1680" s="14">
        <f>_xlfn.BETA.INV($AA1680,1+4*($D$5-$C$5)/($E$5-$C$5),1+4*($E$5-$D$5)/($E$5-$C$5),$C$5,$E$5)</f>
        <v/>
      </c>
      <c r="N1680" s="14">
        <f>IF($AB1680&lt;($D$6-$C$6)/($E$6-$C$6),$C$6+SQRT($AB1680*($E$6-$C$6)*($D$6-$C$6)),$E$6-SQRT((1-$AB1680)*($E$6-$C$6)*($E$6-$D$6)))</f>
        <v/>
      </c>
      <c r="O1680" s="14">
        <f>_xlfn.NORM.INV($AC1680,$C$7,$D$7)</f>
        <v/>
      </c>
      <c r="P1680" s="14">
        <f>$C$8+($D$8-$C$8)*$AD1680</f>
        <v/>
      </c>
      <c r="Q1680" s="14">
        <f>$C$9</f>
        <v/>
      </c>
      <c r="R1680" s="14">
        <f>_xlfn.LOGNORM.INV($AF1680,LN($C$10)-0.5*LN(1+($D$10/$C$10)^2),SQRT(LN(1+($D$10/$C$10)^2)))</f>
        <v/>
      </c>
      <c r="S1680" s="14">
        <f>SUM(M1680:R1680)</f>
        <v/>
      </c>
      <c r="AA1680">
        <f>RAND()</f>
        <v/>
      </c>
      <c r="AB1680">
        <f>RAND()</f>
        <v/>
      </c>
      <c r="AC1680">
        <f>RAND()</f>
        <v/>
      </c>
      <c r="AD1680">
        <f>RAND()</f>
        <v/>
      </c>
      <c r="AE1680">
        <f>RAND()</f>
        <v/>
      </c>
      <c r="AF1680">
        <f>RAND()</f>
        <v/>
      </c>
    </row>
    <row r="1681">
      <c r="M1681" s="14">
        <f>_xlfn.BETA.INV($AA1681,1+4*($D$5-$C$5)/($E$5-$C$5),1+4*($E$5-$D$5)/($E$5-$C$5),$C$5,$E$5)</f>
        <v/>
      </c>
      <c r="N1681" s="14">
        <f>IF($AB1681&lt;($D$6-$C$6)/($E$6-$C$6),$C$6+SQRT($AB1681*($E$6-$C$6)*($D$6-$C$6)),$E$6-SQRT((1-$AB1681)*($E$6-$C$6)*($E$6-$D$6)))</f>
        <v/>
      </c>
      <c r="O1681" s="14">
        <f>_xlfn.NORM.INV($AC1681,$C$7,$D$7)</f>
        <v/>
      </c>
      <c r="P1681" s="14">
        <f>$C$8+($D$8-$C$8)*$AD1681</f>
        <v/>
      </c>
      <c r="Q1681" s="14">
        <f>$C$9</f>
        <v/>
      </c>
      <c r="R1681" s="14">
        <f>_xlfn.LOGNORM.INV($AF1681,LN($C$10)-0.5*LN(1+($D$10/$C$10)^2),SQRT(LN(1+($D$10/$C$10)^2)))</f>
        <v/>
      </c>
      <c r="S1681" s="14">
        <f>SUM(M1681:R1681)</f>
        <v/>
      </c>
      <c r="AA1681">
        <f>RAND()</f>
        <v/>
      </c>
      <c r="AB1681">
        <f>RAND()</f>
        <v/>
      </c>
      <c r="AC1681">
        <f>RAND()</f>
        <v/>
      </c>
      <c r="AD1681">
        <f>RAND()</f>
        <v/>
      </c>
      <c r="AE1681">
        <f>RAND()</f>
        <v/>
      </c>
      <c r="AF1681">
        <f>RAND()</f>
        <v/>
      </c>
    </row>
    <row r="1682">
      <c r="M1682" s="14">
        <f>_xlfn.BETA.INV($AA1682,1+4*($D$5-$C$5)/($E$5-$C$5),1+4*($E$5-$D$5)/($E$5-$C$5),$C$5,$E$5)</f>
        <v/>
      </c>
      <c r="N1682" s="14">
        <f>IF($AB1682&lt;($D$6-$C$6)/($E$6-$C$6),$C$6+SQRT($AB1682*($E$6-$C$6)*($D$6-$C$6)),$E$6-SQRT((1-$AB1682)*($E$6-$C$6)*($E$6-$D$6)))</f>
        <v/>
      </c>
      <c r="O1682" s="14">
        <f>_xlfn.NORM.INV($AC1682,$C$7,$D$7)</f>
        <v/>
      </c>
      <c r="P1682" s="14">
        <f>$C$8+($D$8-$C$8)*$AD1682</f>
        <v/>
      </c>
      <c r="Q1682" s="14">
        <f>$C$9</f>
        <v/>
      </c>
      <c r="R1682" s="14">
        <f>_xlfn.LOGNORM.INV($AF1682,LN($C$10)-0.5*LN(1+($D$10/$C$10)^2),SQRT(LN(1+($D$10/$C$10)^2)))</f>
        <v/>
      </c>
      <c r="S1682" s="14">
        <f>SUM(M1682:R1682)</f>
        <v/>
      </c>
      <c r="AA1682">
        <f>RAND()</f>
        <v/>
      </c>
      <c r="AB1682">
        <f>RAND()</f>
        <v/>
      </c>
      <c r="AC1682">
        <f>RAND()</f>
        <v/>
      </c>
      <c r="AD1682">
        <f>RAND()</f>
        <v/>
      </c>
      <c r="AE1682">
        <f>RAND()</f>
        <v/>
      </c>
      <c r="AF1682">
        <f>RAND()</f>
        <v/>
      </c>
    </row>
    <row r="1683">
      <c r="M1683" s="14">
        <f>_xlfn.BETA.INV($AA1683,1+4*($D$5-$C$5)/($E$5-$C$5),1+4*($E$5-$D$5)/($E$5-$C$5),$C$5,$E$5)</f>
        <v/>
      </c>
      <c r="N1683" s="14">
        <f>IF($AB1683&lt;($D$6-$C$6)/($E$6-$C$6),$C$6+SQRT($AB1683*($E$6-$C$6)*($D$6-$C$6)),$E$6-SQRT((1-$AB1683)*($E$6-$C$6)*($E$6-$D$6)))</f>
        <v/>
      </c>
      <c r="O1683" s="14">
        <f>_xlfn.NORM.INV($AC1683,$C$7,$D$7)</f>
        <v/>
      </c>
      <c r="P1683" s="14">
        <f>$C$8+($D$8-$C$8)*$AD1683</f>
        <v/>
      </c>
      <c r="Q1683" s="14">
        <f>$C$9</f>
        <v/>
      </c>
      <c r="R1683" s="14">
        <f>_xlfn.LOGNORM.INV($AF1683,LN($C$10)-0.5*LN(1+($D$10/$C$10)^2),SQRT(LN(1+($D$10/$C$10)^2)))</f>
        <v/>
      </c>
      <c r="S1683" s="14">
        <f>SUM(M1683:R1683)</f>
        <v/>
      </c>
      <c r="AA1683">
        <f>RAND()</f>
        <v/>
      </c>
      <c r="AB1683">
        <f>RAND()</f>
        <v/>
      </c>
      <c r="AC1683">
        <f>RAND()</f>
        <v/>
      </c>
      <c r="AD1683">
        <f>RAND()</f>
        <v/>
      </c>
      <c r="AE1683">
        <f>RAND()</f>
        <v/>
      </c>
      <c r="AF1683">
        <f>RAND()</f>
        <v/>
      </c>
    </row>
    <row r="1684">
      <c r="M1684" s="14">
        <f>_xlfn.BETA.INV($AA1684,1+4*($D$5-$C$5)/($E$5-$C$5),1+4*($E$5-$D$5)/($E$5-$C$5),$C$5,$E$5)</f>
        <v/>
      </c>
      <c r="N1684" s="14">
        <f>IF($AB1684&lt;($D$6-$C$6)/($E$6-$C$6),$C$6+SQRT($AB1684*($E$6-$C$6)*($D$6-$C$6)),$E$6-SQRT((1-$AB1684)*($E$6-$C$6)*($E$6-$D$6)))</f>
        <v/>
      </c>
      <c r="O1684" s="14">
        <f>_xlfn.NORM.INV($AC1684,$C$7,$D$7)</f>
        <v/>
      </c>
      <c r="P1684" s="14">
        <f>$C$8+($D$8-$C$8)*$AD1684</f>
        <v/>
      </c>
      <c r="Q1684" s="14">
        <f>$C$9</f>
        <v/>
      </c>
      <c r="R1684" s="14">
        <f>_xlfn.LOGNORM.INV($AF1684,LN($C$10)-0.5*LN(1+($D$10/$C$10)^2),SQRT(LN(1+($D$10/$C$10)^2)))</f>
        <v/>
      </c>
      <c r="S1684" s="14">
        <f>SUM(M1684:R1684)</f>
        <v/>
      </c>
      <c r="AA1684">
        <f>RAND()</f>
        <v/>
      </c>
      <c r="AB1684">
        <f>RAND()</f>
        <v/>
      </c>
      <c r="AC1684">
        <f>RAND()</f>
        <v/>
      </c>
      <c r="AD1684">
        <f>RAND()</f>
        <v/>
      </c>
      <c r="AE1684">
        <f>RAND()</f>
        <v/>
      </c>
      <c r="AF1684">
        <f>RAND()</f>
        <v/>
      </c>
    </row>
    <row r="1685">
      <c r="M1685" s="14">
        <f>_xlfn.BETA.INV($AA1685,1+4*($D$5-$C$5)/($E$5-$C$5),1+4*($E$5-$D$5)/($E$5-$C$5),$C$5,$E$5)</f>
        <v/>
      </c>
      <c r="N1685" s="14">
        <f>IF($AB1685&lt;($D$6-$C$6)/($E$6-$C$6),$C$6+SQRT($AB1685*($E$6-$C$6)*($D$6-$C$6)),$E$6-SQRT((1-$AB1685)*($E$6-$C$6)*($E$6-$D$6)))</f>
        <v/>
      </c>
      <c r="O1685" s="14">
        <f>_xlfn.NORM.INV($AC1685,$C$7,$D$7)</f>
        <v/>
      </c>
      <c r="P1685" s="14">
        <f>$C$8+($D$8-$C$8)*$AD1685</f>
        <v/>
      </c>
      <c r="Q1685" s="14">
        <f>$C$9</f>
        <v/>
      </c>
      <c r="R1685" s="14">
        <f>_xlfn.LOGNORM.INV($AF1685,LN($C$10)-0.5*LN(1+($D$10/$C$10)^2),SQRT(LN(1+($D$10/$C$10)^2)))</f>
        <v/>
      </c>
      <c r="S1685" s="14">
        <f>SUM(M1685:R1685)</f>
        <v/>
      </c>
      <c r="AA1685">
        <f>RAND()</f>
        <v/>
      </c>
      <c r="AB1685">
        <f>RAND()</f>
        <v/>
      </c>
      <c r="AC1685">
        <f>RAND()</f>
        <v/>
      </c>
      <c r="AD1685">
        <f>RAND()</f>
        <v/>
      </c>
      <c r="AE1685">
        <f>RAND()</f>
        <v/>
      </c>
      <c r="AF1685">
        <f>RAND()</f>
        <v/>
      </c>
    </row>
    <row r="1686">
      <c r="M1686" s="14">
        <f>_xlfn.BETA.INV($AA1686,1+4*($D$5-$C$5)/($E$5-$C$5),1+4*($E$5-$D$5)/($E$5-$C$5),$C$5,$E$5)</f>
        <v/>
      </c>
      <c r="N1686" s="14">
        <f>IF($AB1686&lt;($D$6-$C$6)/($E$6-$C$6),$C$6+SQRT($AB1686*($E$6-$C$6)*($D$6-$C$6)),$E$6-SQRT((1-$AB1686)*($E$6-$C$6)*($E$6-$D$6)))</f>
        <v/>
      </c>
      <c r="O1686" s="14">
        <f>_xlfn.NORM.INV($AC1686,$C$7,$D$7)</f>
        <v/>
      </c>
      <c r="P1686" s="14">
        <f>$C$8+($D$8-$C$8)*$AD1686</f>
        <v/>
      </c>
      <c r="Q1686" s="14">
        <f>$C$9</f>
        <v/>
      </c>
      <c r="R1686" s="14">
        <f>_xlfn.LOGNORM.INV($AF1686,LN($C$10)-0.5*LN(1+($D$10/$C$10)^2),SQRT(LN(1+($D$10/$C$10)^2)))</f>
        <v/>
      </c>
      <c r="S1686" s="14">
        <f>SUM(M1686:R1686)</f>
        <v/>
      </c>
      <c r="AA1686">
        <f>RAND()</f>
        <v/>
      </c>
      <c r="AB1686">
        <f>RAND()</f>
        <v/>
      </c>
      <c r="AC1686">
        <f>RAND()</f>
        <v/>
      </c>
      <c r="AD1686">
        <f>RAND()</f>
        <v/>
      </c>
      <c r="AE1686">
        <f>RAND()</f>
        <v/>
      </c>
      <c r="AF1686">
        <f>RAND()</f>
        <v/>
      </c>
    </row>
    <row r="1687">
      <c r="M1687" s="14">
        <f>_xlfn.BETA.INV($AA1687,1+4*($D$5-$C$5)/($E$5-$C$5),1+4*($E$5-$D$5)/($E$5-$C$5),$C$5,$E$5)</f>
        <v/>
      </c>
      <c r="N1687" s="14">
        <f>IF($AB1687&lt;($D$6-$C$6)/($E$6-$C$6),$C$6+SQRT($AB1687*($E$6-$C$6)*($D$6-$C$6)),$E$6-SQRT((1-$AB1687)*($E$6-$C$6)*($E$6-$D$6)))</f>
        <v/>
      </c>
      <c r="O1687" s="14">
        <f>_xlfn.NORM.INV($AC1687,$C$7,$D$7)</f>
        <v/>
      </c>
      <c r="P1687" s="14">
        <f>$C$8+($D$8-$C$8)*$AD1687</f>
        <v/>
      </c>
      <c r="Q1687" s="14">
        <f>$C$9</f>
        <v/>
      </c>
      <c r="R1687" s="14">
        <f>_xlfn.LOGNORM.INV($AF1687,LN($C$10)-0.5*LN(1+($D$10/$C$10)^2),SQRT(LN(1+($D$10/$C$10)^2)))</f>
        <v/>
      </c>
      <c r="S1687" s="14">
        <f>SUM(M1687:R1687)</f>
        <v/>
      </c>
      <c r="AA1687">
        <f>RAND()</f>
        <v/>
      </c>
      <c r="AB1687">
        <f>RAND()</f>
        <v/>
      </c>
      <c r="AC1687">
        <f>RAND()</f>
        <v/>
      </c>
      <c r="AD1687">
        <f>RAND()</f>
        <v/>
      </c>
      <c r="AE1687">
        <f>RAND()</f>
        <v/>
      </c>
      <c r="AF1687">
        <f>RAND()</f>
        <v/>
      </c>
    </row>
    <row r="1688">
      <c r="M1688" s="14">
        <f>_xlfn.BETA.INV($AA1688,1+4*($D$5-$C$5)/($E$5-$C$5),1+4*($E$5-$D$5)/($E$5-$C$5),$C$5,$E$5)</f>
        <v/>
      </c>
      <c r="N1688" s="14">
        <f>IF($AB1688&lt;($D$6-$C$6)/($E$6-$C$6),$C$6+SQRT($AB1688*($E$6-$C$6)*($D$6-$C$6)),$E$6-SQRT((1-$AB1688)*($E$6-$C$6)*($E$6-$D$6)))</f>
        <v/>
      </c>
      <c r="O1688" s="14">
        <f>_xlfn.NORM.INV($AC1688,$C$7,$D$7)</f>
        <v/>
      </c>
      <c r="P1688" s="14">
        <f>$C$8+($D$8-$C$8)*$AD1688</f>
        <v/>
      </c>
      <c r="Q1688" s="14">
        <f>$C$9</f>
        <v/>
      </c>
      <c r="R1688" s="14">
        <f>_xlfn.LOGNORM.INV($AF1688,LN($C$10)-0.5*LN(1+($D$10/$C$10)^2),SQRT(LN(1+($D$10/$C$10)^2)))</f>
        <v/>
      </c>
      <c r="S1688" s="14">
        <f>SUM(M1688:R1688)</f>
        <v/>
      </c>
      <c r="AA1688">
        <f>RAND()</f>
        <v/>
      </c>
      <c r="AB1688">
        <f>RAND()</f>
        <v/>
      </c>
      <c r="AC1688">
        <f>RAND()</f>
        <v/>
      </c>
      <c r="AD1688">
        <f>RAND()</f>
        <v/>
      </c>
      <c r="AE1688">
        <f>RAND()</f>
        <v/>
      </c>
      <c r="AF1688">
        <f>RAND()</f>
        <v/>
      </c>
    </row>
    <row r="1689">
      <c r="M1689" s="14">
        <f>_xlfn.BETA.INV($AA1689,1+4*($D$5-$C$5)/($E$5-$C$5),1+4*($E$5-$D$5)/($E$5-$C$5),$C$5,$E$5)</f>
        <v/>
      </c>
      <c r="N1689" s="14">
        <f>IF($AB1689&lt;($D$6-$C$6)/($E$6-$C$6),$C$6+SQRT($AB1689*($E$6-$C$6)*($D$6-$C$6)),$E$6-SQRT((1-$AB1689)*($E$6-$C$6)*($E$6-$D$6)))</f>
        <v/>
      </c>
      <c r="O1689" s="14">
        <f>_xlfn.NORM.INV($AC1689,$C$7,$D$7)</f>
        <v/>
      </c>
      <c r="P1689" s="14">
        <f>$C$8+($D$8-$C$8)*$AD1689</f>
        <v/>
      </c>
      <c r="Q1689" s="14">
        <f>$C$9</f>
        <v/>
      </c>
      <c r="R1689" s="14">
        <f>_xlfn.LOGNORM.INV($AF1689,LN($C$10)-0.5*LN(1+($D$10/$C$10)^2),SQRT(LN(1+($D$10/$C$10)^2)))</f>
        <v/>
      </c>
      <c r="S1689" s="14">
        <f>SUM(M1689:R1689)</f>
        <v/>
      </c>
      <c r="AA1689">
        <f>RAND()</f>
        <v/>
      </c>
      <c r="AB1689">
        <f>RAND()</f>
        <v/>
      </c>
      <c r="AC1689">
        <f>RAND()</f>
        <v/>
      </c>
      <c r="AD1689">
        <f>RAND()</f>
        <v/>
      </c>
      <c r="AE1689">
        <f>RAND()</f>
        <v/>
      </c>
      <c r="AF1689">
        <f>RAND()</f>
        <v/>
      </c>
    </row>
    <row r="1690">
      <c r="M1690" s="14">
        <f>_xlfn.BETA.INV($AA1690,1+4*($D$5-$C$5)/($E$5-$C$5),1+4*($E$5-$D$5)/($E$5-$C$5),$C$5,$E$5)</f>
        <v/>
      </c>
      <c r="N1690" s="14">
        <f>IF($AB1690&lt;($D$6-$C$6)/($E$6-$C$6),$C$6+SQRT($AB1690*($E$6-$C$6)*($D$6-$C$6)),$E$6-SQRT((1-$AB1690)*($E$6-$C$6)*($E$6-$D$6)))</f>
        <v/>
      </c>
      <c r="O1690" s="14">
        <f>_xlfn.NORM.INV($AC1690,$C$7,$D$7)</f>
        <v/>
      </c>
      <c r="P1690" s="14">
        <f>$C$8+($D$8-$C$8)*$AD1690</f>
        <v/>
      </c>
      <c r="Q1690" s="14">
        <f>$C$9</f>
        <v/>
      </c>
      <c r="R1690" s="14">
        <f>_xlfn.LOGNORM.INV($AF1690,LN($C$10)-0.5*LN(1+($D$10/$C$10)^2),SQRT(LN(1+($D$10/$C$10)^2)))</f>
        <v/>
      </c>
      <c r="S1690" s="14">
        <f>SUM(M1690:R1690)</f>
        <v/>
      </c>
      <c r="AA1690">
        <f>RAND()</f>
        <v/>
      </c>
      <c r="AB1690">
        <f>RAND()</f>
        <v/>
      </c>
      <c r="AC1690">
        <f>RAND()</f>
        <v/>
      </c>
      <c r="AD1690">
        <f>RAND()</f>
        <v/>
      </c>
      <c r="AE1690">
        <f>RAND()</f>
        <v/>
      </c>
      <c r="AF1690">
        <f>RAND()</f>
        <v/>
      </c>
    </row>
    <row r="1691">
      <c r="M1691" s="14">
        <f>_xlfn.BETA.INV($AA1691,1+4*($D$5-$C$5)/($E$5-$C$5),1+4*($E$5-$D$5)/($E$5-$C$5),$C$5,$E$5)</f>
        <v/>
      </c>
      <c r="N1691" s="14">
        <f>IF($AB1691&lt;($D$6-$C$6)/($E$6-$C$6),$C$6+SQRT($AB1691*($E$6-$C$6)*($D$6-$C$6)),$E$6-SQRT((1-$AB1691)*($E$6-$C$6)*($E$6-$D$6)))</f>
        <v/>
      </c>
      <c r="O1691" s="14">
        <f>_xlfn.NORM.INV($AC1691,$C$7,$D$7)</f>
        <v/>
      </c>
      <c r="P1691" s="14">
        <f>$C$8+($D$8-$C$8)*$AD1691</f>
        <v/>
      </c>
      <c r="Q1691" s="14">
        <f>$C$9</f>
        <v/>
      </c>
      <c r="R1691" s="14">
        <f>_xlfn.LOGNORM.INV($AF1691,LN($C$10)-0.5*LN(1+($D$10/$C$10)^2),SQRT(LN(1+($D$10/$C$10)^2)))</f>
        <v/>
      </c>
      <c r="S1691" s="14">
        <f>SUM(M1691:R1691)</f>
        <v/>
      </c>
      <c r="AA1691">
        <f>RAND()</f>
        <v/>
      </c>
      <c r="AB1691">
        <f>RAND()</f>
        <v/>
      </c>
      <c r="AC1691">
        <f>RAND()</f>
        <v/>
      </c>
      <c r="AD1691">
        <f>RAND()</f>
        <v/>
      </c>
      <c r="AE1691">
        <f>RAND()</f>
        <v/>
      </c>
      <c r="AF1691">
        <f>RAND()</f>
        <v/>
      </c>
    </row>
    <row r="1692">
      <c r="M1692" s="14">
        <f>_xlfn.BETA.INV($AA1692,1+4*($D$5-$C$5)/($E$5-$C$5),1+4*($E$5-$D$5)/($E$5-$C$5),$C$5,$E$5)</f>
        <v/>
      </c>
      <c r="N1692" s="14">
        <f>IF($AB1692&lt;($D$6-$C$6)/($E$6-$C$6),$C$6+SQRT($AB1692*($E$6-$C$6)*($D$6-$C$6)),$E$6-SQRT((1-$AB1692)*($E$6-$C$6)*($E$6-$D$6)))</f>
        <v/>
      </c>
      <c r="O1692" s="14">
        <f>_xlfn.NORM.INV($AC1692,$C$7,$D$7)</f>
        <v/>
      </c>
      <c r="P1692" s="14">
        <f>$C$8+($D$8-$C$8)*$AD1692</f>
        <v/>
      </c>
      <c r="Q1692" s="14">
        <f>$C$9</f>
        <v/>
      </c>
      <c r="R1692" s="14">
        <f>_xlfn.LOGNORM.INV($AF1692,LN($C$10)-0.5*LN(1+($D$10/$C$10)^2),SQRT(LN(1+($D$10/$C$10)^2)))</f>
        <v/>
      </c>
      <c r="S1692" s="14">
        <f>SUM(M1692:R1692)</f>
        <v/>
      </c>
      <c r="AA1692">
        <f>RAND()</f>
        <v/>
      </c>
      <c r="AB1692">
        <f>RAND()</f>
        <v/>
      </c>
      <c r="AC1692">
        <f>RAND()</f>
        <v/>
      </c>
      <c r="AD1692">
        <f>RAND()</f>
        <v/>
      </c>
      <c r="AE1692">
        <f>RAND()</f>
        <v/>
      </c>
      <c r="AF1692">
        <f>RAND()</f>
        <v/>
      </c>
    </row>
    <row r="1693">
      <c r="M1693" s="14">
        <f>_xlfn.BETA.INV($AA1693,1+4*($D$5-$C$5)/($E$5-$C$5),1+4*($E$5-$D$5)/($E$5-$C$5),$C$5,$E$5)</f>
        <v/>
      </c>
      <c r="N1693" s="14">
        <f>IF($AB1693&lt;($D$6-$C$6)/($E$6-$C$6),$C$6+SQRT($AB1693*($E$6-$C$6)*($D$6-$C$6)),$E$6-SQRT((1-$AB1693)*($E$6-$C$6)*($E$6-$D$6)))</f>
        <v/>
      </c>
      <c r="O1693" s="14">
        <f>_xlfn.NORM.INV($AC1693,$C$7,$D$7)</f>
        <v/>
      </c>
      <c r="P1693" s="14">
        <f>$C$8+($D$8-$C$8)*$AD1693</f>
        <v/>
      </c>
      <c r="Q1693" s="14">
        <f>$C$9</f>
        <v/>
      </c>
      <c r="R1693" s="14">
        <f>_xlfn.LOGNORM.INV($AF1693,LN($C$10)-0.5*LN(1+($D$10/$C$10)^2),SQRT(LN(1+($D$10/$C$10)^2)))</f>
        <v/>
      </c>
      <c r="S1693" s="14">
        <f>SUM(M1693:R1693)</f>
        <v/>
      </c>
      <c r="AA1693">
        <f>RAND()</f>
        <v/>
      </c>
      <c r="AB1693">
        <f>RAND()</f>
        <v/>
      </c>
      <c r="AC1693">
        <f>RAND()</f>
        <v/>
      </c>
      <c r="AD1693">
        <f>RAND()</f>
        <v/>
      </c>
      <c r="AE1693">
        <f>RAND()</f>
        <v/>
      </c>
      <c r="AF1693">
        <f>RAND()</f>
        <v/>
      </c>
    </row>
    <row r="1694">
      <c r="M1694" s="14">
        <f>_xlfn.BETA.INV($AA1694,1+4*($D$5-$C$5)/($E$5-$C$5),1+4*($E$5-$D$5)/($E$5-$C$5),$C$5,$E$5)</f>
        <v/>
      </c>
      <c r="N1694" s="14">
        <f>IF($AB1694&lt;($D$6-$C$6)/($E$6-$C$6),$C$6+SQRT($AB1694*($E$6-$C$6)*($D$6-$C$6)),$E$6-SQRT((1-$AB1694)*($E$6-$C$6)*($E$6-$D$6)))</f>
        <v/>
      </c>
      <c r="O1694" s="14">
        <f>_xlfn.NORM.INV($AC1694,$C$7,$D$7)</f>
        <v/>
      </c>
      <c r="P1694" s="14">
        <f>$C$8+($D$8-$C$8)*$AD1694</f>
        <v/>
      </c>
      <c r="Q1694" s="14">
        <f>$C$9</f>
        <v/>
      </c>
      <c r="R1694" s="14">
        <f>_xlfn.LOGNORM.INV($AF1694,LN($C$10)-0.5*LN(1+($D$10/$C$10)^2),SQRT(LN(1+($D$10/$C$10)^2)))</f>
        <v/>
      </c>
      <c r="S1694" s="14">
        <f>SUM(M1694:R1694)</f>
        <v/>
      </c>
      <c r="AA1694">
        <f>RAND()</f>
        <v/>
      </c>
      <c r="AB1694">
        <f>RAND()</f>
        <v/>
      </c>
      <c r="AC1694">
        <f>RAND()</f>
        <v/>
      </c>
      <c r="AD1694">
        <f>RAND()</f>
        <v/>
      </c>
      <c r="AE1694">
        <f>RAND()</f>
        <v/>
      </c>
      <c r="AF1694">
        <f>RAND()</f>
        <v/>
      </c>
    </row>
    <row r="1695">
      <c r="M1695" s="14">
        <f>_xlfn.BETA.INV($AA1695,1+4*($D$5-$C$5)/($E$5-$C$5),1+4*($E$5-$D$5)/($E$5-$C$5),$C$5,$E$5)</f>
        <v/>
      </c>
      <c r="N1695" s="14">
        <f>IF($AB1695&lt;($D$6-$C$6)/($E$6-$C$6),$C$6+SQRT($AB1695*($E$6-$C$6)*($D$6-$C$6)),$E$6-SQRT((1-$AB1695)*($E$6-$C$6)*($E$6-$D$6)))</f>
        <v/>
      </c>
      <c r="O1695" s="14">
        <f>_xlfn.NORM.INV($AC1695,$C$7,$D$7)</f>
        <v/>
      </c>
      <c r="P1695" s="14">
        <f>$C$8+($D$8-$C$8)*$AD1695</f>
        <v/>
      </c>
      <c r="Q1695" s="14">
        <f>$C$9</f>
        <v/>
      </c>
      <c r="R1695" s="14">
        <f>_xlfn.LOGNORM.INV($AF1695,LN($C$10)-0.5*LN(1+($D$10/$C$10)^2),SQRT(LN(1+($D$10/$C$10)^2)))</f>
        <v/>
      </c>
      <c r="S1695" s="14">
        <f>SUM(M1695:R1695)</f>
        <v/>
      </c>
      <c r="AA1695">
        <f>RAND()</f>
        <v/>
      </c>
      <c r="AB1695">
        <f>RAND()</f>
        <v/>
      </c>
      <c r="AC1695">
        <f>RAND()</f>
        <v/>
      </c>
      <c r="AD1695">
        <f>RAND()</f>
        <v/>
      </c>
      <c r="AE1695">
        <f>RAND()</f>
        <v/>
      </c>
      <c r="AF1695">
        <f>RAND()</f>
        <v/>
      </c>
    </row>
    <row r="1696">
      <c r="M1696" s="14">
        <f>_xlfn.BETA.INV($AA1696,1+4*($D$5-$C$5)/($E$5-$C$5),1+4*($E$5-$D$5)/($E$5-$C$5),$C$5,$E$5)</f>
        <v/>
      </c>
      <c r="N1696" s="14">
        <f>IF($AB1696&lt;($D$6-$C$6)/($E$6-$C$6),$C$6+SQRT($AB1696*($E$6-$C$6)*($D$6-$C$6)),$E$6-SQRT((1-$AB1696)*($E$6-$C$6)*($E$6-$D$6)))</f>
        <v/>
      </c>
      <c r="O1696" s="14">
        <f>_xlfn.NORM.INV($AC1696,$C$7,$D$7)</f>
        <v/>
      </c>
      <c r="P1696" s="14">
        <f>$C$8+($D$8-$C$8)*$AD1696</f>
        <v/>
      </c>
      <c r="Q1696" s="14">
        <f>$C$9</f>
        <v/>
      </c>
      <c r="R1696" s="14">
        <f>_xlfn.LOGNORM.INV($AF1696,LN($C$10)-0.5*LN(1+($D$10/$C$10)^2),SQRT(LN(1+($D$10/$C$10)^2)))</f>
        <v/>
      </c>
      <c r="S1696" s="14">
        <f>SUM(M1696:R1696)</f>
        <v/>
      </c>
      <c r="AA1696">
        <f>RAND()</f>
        <v/>
      </c>
      <c r="AB1696">
        <f>RAND()</f>
        <v/>
      </c>
      <c r="AC1696">
        <f>RAND()</f>
        <v/>
      </c>
      <c r="AD1696">
        <f>RAND()</f>
        <v/>
      </c>
      <c r="AE1696">
        <f>RAND()</f>
        <v/>
      </c>
      <c r="AF1696">
        <f>RAND()</f>
        <v/>
      </c>
    </row>
    <row r="1697">
      <c r="M1697" s="14">
        <f>_xlfn.BETA.INV($AA1697,1+4*($D$5-$C$5)/($E$5-$C$5),1+4*($E$5-$D$5)/($E$5-$C$5),$C$5,$E$5)</f>
        <v/>
      </c>
      <c r="N1697" s="14">
        <f>IF($AB1697&lt;($D$6-$C$6)/($E$6-$C$6),$C$6+SQRT($AB1697*($E$6-$C$6)*($D$6-$C$6)),$E$6-SQRT((1-$AB1697)*($E$6-$C$6)*($E$6-$D$6)))</f>
        <v/>
      </c>
      <c r="O1697" s="14">
        <f>_xlfn.NORM.INV($AC1697,$C$7,$D$7)</f>
        <v/>
      </c>
      <c r="P1697" s="14">
        <f>$C$8+($D$8-$C$8)*$AD1697</f>
        <v/>
      </c>
      <c r="Q1697" s="14">
        <f>$C$9</f>
        <v/>
      </c>
      <c r="R1697" s="14">
        <f>_xlfn.LOGNORM.INV($AF1697,LN($C$10)-0.5*LN(1+($D$10/$C$10)^2),SQRT(LN(1+($D$10/$C$10)^2)))</f>
        <v/>
      </c>
      <c r="S1697" s="14">
        <f>SUM(M1697:R1697)</f>
        <v/>
      </c>
      <c r="AA1697">
        <f>RAND()</f>
        <v/>
      </c>
      <c r="AB1697">
        <f>RAND()</f>
        <v/>
      </c>
      <c r="AC1697">
        <f>RAND()</f>
        <v/>
      </c>
      <c r="AD1697">
        <f>RAND()</f>
        <v/>
      </c>
      <c r="AE1697">
        <f>RAND()</f>
        <v/>
      </c>
      <c r="AF1697">
        <f>RAND()</f>
        <v/>
      </c>
    </row>
    <row r="1698">
      <c r="M1698" s="14">
        <f>_xlfn.BETA.INV($AA1698,1+4*($D$5-$C$5)/($E$5-$C$5),1+4*($E$5-$D$5)/($E$5-$C$5),$C$5,$E$5)</f>
        <v/>
      </c>
      <c r="N1698" s="14">
        <f>IF($AB1698&lt;($D$6-$C$6)/($E$6-$C$6),$C$6+SQRT($AB1698*($E$6-$C$6)*($D$6-$C$6)),$E$6-SQRT((1-$AB1698)*($E$6-$C$6)*($E$6-$D$6)))</f>
        <v/>
      </c>
      <c r="O1698" s="14">
        <f>_xlfn.NORM.INV($AC1698,$C$7,$D$7)</f>
        <v/>
      </c>
      <c r="P1698" s="14">
        <f>$C$8+($D$8-$C$8)*$AD1698</f>
        <v/>
      </c>
      <c r="Q1698" s="14">
        <f>$C$9</f>
        <v/>
      </c>
      <c r="R1698" s="14">
        <f>_xlfn.LOGNORM.INV($AF1698,LN($C$10)-0.5*LN(1+($D$10/$C$10)^2),SQRT(LN(1+($D$10/$C$10)^2)))</f>
        <v/>
      </c>
      <c r="S1698" s="14">
        <f>SUM(M1698:R1698)</f>
        <v/>
      </c>
      <c r="AA1698">
        <f>RAND()</f>
        <v/>
      </c>
      <c r="AB1698">
        <f>RAND()</f>
        <v/>
      </c>
      <c r="AC1698">
        <f>RAND()</f>
        <v/>
      </c>
      <c r="AD1698">
        <f>RAND()</f>
        <v/>
      </c>
      <c r="AE1698">
        <f>RAND()</f>
        <v/>
      </c>
      <c r="AF1698">
        <f>RAND()</f>
        <v/>
      </c>
    </row>
    <row r="1699">
      <c r="M1699" s="14">
        <f>_xlfn.BETA.INV($AA1699,1+4*($D$5-$C$5)/($E$5-$C$5),1+4*($E$5-$D$5)/($E$5-$C$5),$C$5,$E$5)</f>
        <v/>
      </c>
      <c r="N1699" s="14">
        <f>IF($AB1699&lt;($D$6-$C$6)/($E$6-$C$6),$C$6+SQRT($AB1699*($E$6-$C$6)*($D$6-$C$6)),$E$6-SQRT((1-$AB1699)*($E$6-$C$6)*($E$6-$D$6)))</f>
        <v/>
      </c>
      <c r="O1699" s="14">
        <f>_xlfn.NORM.INV($AC1699,$C$7,$D$7)</f>
        <v/>
      </c>
      <c r="P1699" s="14">
        <f>$C$8+($D$8-$C$8)*$AD1699</f>
        <v/>
      </c>
      <c r="Q1699" s="14">
        <f>$C$9</f>
        <v/>
      </c>
      <c r="R1699" s="14">
        <f>_xlfn.LOGNORM.INV($AF1699,LN($C$10)-0.5*LN(1+($D$10/$C$10)^2),SQRT(LN(1+($D$10/$C$10)^2)))</f>
        <v/>
      </c>
      <c r="S1699" s="14">
        <f>SUM(M1699:R1699)</f>
        <v/>
      </c>
      <c r="AA1699">
        <f>RAND()</f>
        <v/>
      </c>
      <c r="AB1699">
        <f>RAND()</f>
        <v/>
      </c>
      <c r="AC1699">
        <f>RAND()</f>
        <v/>
      </c>
      <c r="AD1699">
        <f>RAND()</f>
        <v/>
      </c>
      <c r="AE1699">
        <f>RAND()</f>
        <v/>
      </c>
      <c r="AF1699">
        <f>RAND()</f>
        <v/>
      </c>
    </row>
    <row r="1700">
      <c r="M1700" s="14">
        <f>_xlfn.BETA.INV($AA1700,1+4*($D$5-$C$5)/($E$5-$C$5),1+4*($E$5-$D$5)/($E$5-$C$5),$C$5,$E$5)</f>
        <v/>
      </c>
      <c r="N1700" s="14">
        <f>IF($AB1700&lt;($D$6-$C$6)/($E$6-$C$6),$C$6+SQRT($AB1700*($E$6-$C$6)*($D$6-$C$6)),$E$6-SQRT((1-$AB1700)*($E$6-$C$6)*($E$6-$D$6)))</f>
        <v/>
      </c>
      <c r="O1700" s="14">
        <f>_xlfn.NORM.INV($AC1700,$C$7,$D$7)</f>
        <v/>
      </c>
      <c r="P1700" s="14">
        <f>$C$8+($D$8-$C$8)*$AD1700</f>
        <v/>
      </c>
      <c r="Q1700" s="14">
        <f>$C$9</f>
        <v/>
      </c>
      <c r="R1700" s="14">
        <f>_xlfn.LOGNORM.INV($AF1700,LN($C$10)-0.5*LN(1+($D$10/$C$10)^2),SQRT(LN(1+($D$10/$C$10)^2)))</f>
        <v/>
      </c>
      <c r="S1700" s="14">
        <f>SUM(M1700:R1700)</f>
        <v/>
      </c>
      <c r="AA1700">
        <f>RAND()</f>
        <v/>
      </c>
      <c r="AB1700">
        <f>RAND()</f>
        <v/>
      </c>
      <c r="AC1700">
        <f>RAND()</f>
        <v/>
      </c>
      <c r="AD1700">
        <f>RAND()</f>
        <v/>
      </c>
      <c r="AE1700">
        <f>RAND()</f>
        <v/>
      </c>
      <c r="AF1700">
        <f>RAND()</f>
        <v/>
      </c>
    </row>
    <row r="1701">
      <c r="M1701" s="14">
        <f>_xlfn.BETA.INV($AA1701,1+4*($D$5-$C$5)/($E$5-$C$5),1+4*($E$5-$D$5)/($E$5-$C$5),$C$5,$E$5)</f>
        <v/>
      </c>
      <c r="N1701" s="14">
        <f>IF($AB1701&lt;($D$6-$C$6)/($E$6-$C$6),$C$6+SQRT($AB1701*($E$6-$C$6)*($D$6-$C$6)),$E$6-SQRT((1-$AB1701)*($E$6-$C$6)*($E$6-$D$6)))</f>
        <v/>
      </c>
      <c r="O1701" s="14">
        <f>_xlfn.NORM.INV($AC1701,$C$7,$D$7)</f>
        <v/>
      </c>
      <c r="P1701" s="14">
        <f>$C$8+($D$8-$C$8)*$AD1701</f>
        <v/>
      </c>
      <c r="Q1701" s="14">
        <f>$C$9</f>
        <v/>
      </c>
      <c r="R1701" s="14">
        <f>_xlfn.LOGNORM.INV($AF1701,LN($C$10)-0.5*LN(1+($D$10/$C$10)^2),SQRT(LN(1+($D$10/$C$10)^2)))</f>
        <v/>
      </c>
      <c r="S1701" s="14">
        <f>SUM(M1701:R1701)</f>
        <v/>
      </c>
      <c r="AA1701">
        <f>RAND()</f>
        <v/>
      </c>
      <c r="AB1701">
        <f>RAND()</f>
        <v/>
      </c>
      <c r="AC1701">
        <f>RAND()</f>
        <v/>
      </c>
      <c r="AD1701">
        <f>RAND()</f>
        <v/>
      </c>
      <c r="AE1701">
        <f>RAND()</f>
        <v/>
      </c>
      <c r="AF1701">
        <f>RAND()</f>
        <v/>
      </c>
    </row>
    <row r="1702">
      <c r="M1702" s="14">
        <f>_xlfn.BETA.INV($AA1702,1+4*($D$5-$C$5)/($E$5-$C$5),1+4*($E$5-$D$5)/($E$5-$C$5),$C$5,$E$5)</f>
        <v/>
      </c>
      <c r="N1702" s="14">
        <f>IF($AB1702&lt;($D$6-$C$6)/($E$6-$C$6),$C$6+SQRT($AB1702*($E$6-$C$6)*($D$6-$C$6)),$E$6-SQRT((1-$AB1702)*($E$6-$C$6)*($E$6-$D$6)))</f>
        <v/>
      </c>
      <c r="O1702" s="14">
        <f>_xlfn.NORM.INV($AC1702,$C$7,$D$7)</f>
        <v/>
      </c>
      <c r="P1702" s="14">
        <f>$C$8+($D$8-$C$8)*$AD1702</f>
        <v/>
      </c>
      <c r="Q1702" s="14">
        <f>$C$9</f>
        <v/>
      </c>
      <c r="R1702" s="14">
        <f>_xlfn.LOGNORM.INV($AF1702,LN($C$10)-0.5*LN(1+($D$10/$C$10)^2),SQRT(LN(1+($D$10/$C$10)^2)))</f>
        <v/>
      </c>
      <c r="S1702" s="14">
        <f>SUM(M1702:R1702)</f>
        <v/>
      </c>
      <c r="AA1702">
        <f>RAND()</f>
        <v/>
      </c>
      <c r="AB1702">
        <f>RAND()</f>
        <v/>
      </c>
      <c r="AC1702">
        <f>RAND()</f>
        <v/>
      </c>
      <c r="AD1702">
        <f>RAND()</f>
        <v/>
      </c>
      <c r="AE1702">
        <f>RAND()</f>
        <v/>
      </c>
      <c r="AF1702">
        <f>RAND()</f>
        <v/>
      </c>
    </row>
    <row r="1703">
      <c r="M1703" s="14">
        <f>_xlfn.BETA.INV($AA1703,1+4*($D$5-$C$5)/($E$5-$C$5),1+4*($E$5-$D$5)/($E$5-$C$5),$C$5,$E$5)</f>
        <v/>
      </c>
      <c r="N1703" s="14">
        <f>IF($AB1703&lt;($D$6-$C$6)/($E$6-$C$6),$C$6+SQRT($AB1703*($E$6-$C$6)*($D$6-$C$6)),$E$6-SQRT((1-$AB1703)*($E$6-$C$6)*($E$6-$D$6)))</f>
        <v/>
      </c>
      <c r="O1703" s="14">
        <f>_xlfn.NORM.INV($AC1703,$C$7,$D$7)</f>
        <v/>
      </c>
      <c r="P1703" s="14">
        <f>$C$8+($D$8-$C$8)*$AD1703</f>
        <v/>
      </c>
      <c r="Q1703" s="14">
        <f>$C$9</f>
        <v/>
      </c>
      <c r="R1703" s="14">
        <f>_xlfn.LOGNORM.INV($AF1703,LN($C$10)-0.5*LN(1+($D$10/$C$10)^2),SQRT(LN(1+($D$10/$C$10)^2)))</f>
        <v/>
      </c>
      <c r="S1703" s="14">
        <f>SUM(M1703:R1703)</f>
        <v/>
      </c>
      <c r="AA1703">
        <f>RAND()</f>
        <v/>
      </c>
      <c r="AB1703">
        <f>RAND()</f>
        <v/>
      </c>
      <c r="AC1703">
        <f>RAND()</f>
        <v/>
      </c>
      <c r="AD1703">
        <f>RAND()</f>
        <v/>
      </c>
      <c r="AE1703">
        <f>RAND()</f>
        <v/>
      </c>
      <c r="AF1703">
        <f>RAND()</f>
        <v/>
      </c>
    </row>
    <row r="1704">
      <c r="M1704" s="14">
        <f>_xlfn.BETA.INV($AA1704,1+4*($D$5-$C$5)/($E$5-$C$5),1+4*($E$5-$D$5)/($E$5-$C$5),$C$5,$E$5)</f>
        <v/>
      </c>
      <c r="N1704" s="14">
        <f>IF($AB1704&lt;($D$6-$C$6)/($E$6-$C$6),$C$6+SQRT($AB1704*($E$6-$C$6)*($D$6-$C$6)),$E$6-SQRT((1-$AB1704)*($E$6-$C$6)*($E$6-$D$6)))</f>
        <v/>
      </c>
      <c r="O1704" s="14">
        <f>_xlfn.NORM.INV($AC1704,$C$7,$D$7)</f>
        <v/>
      </c>
      <c r="P1704" s="14">
        <f>$C$8+($D$8-$C$8)*$AD1704</f>
        <v/>
      </c>
      <c r="Q1704" s="14">
        <f>$C$9</f>
        <v/>
      </c>
      <c r="R1704" s="14">
        <f>_xlfn.LOGNORM.INV($AF1704,LN($C$10)-0.5*LN(1+($D$10/$C$10)^2),SQRT(LN(1+($D$10/$C$10)^2)))</f>
        <v/>
      </c>
      <c r="S1704" s="14">
        <f>SUM(M1704:R1704)</f>
        <v/>
      </c>
      <c r="AA1704">
        <f>RAND()</f>
        <v/>
      </c>
      <c r="AB1704">
        <f>RAND()</f>
        <v/>
      </c>
      <c r="AC1704">
        <f>RAND()</f>
        <v/>
      </c>
      <c r="AD1704">
        <f>RAND()</f>
        <v/>
      </c>
      <c r="AE1704">
        <f>RAND()</f>
        <v/>
      </c>
      <c r="AF1704">
        <f>RAND()</f>
        <v/>
      </c>
    </row>
    <row r="1705">
      <c r="M1705" s="14">
        <f>_xlfn.BETA.INV($AA1705,1+4*($D$5-$C$5)/($E$5-$C$5),1+4*($E$5-$D$5)/($E$5-$C$5),$C$5,$E$5)</f>
        <v/>
      </c>
      <c r="N1705" s="14">
        <f>IF($AB1705&lt;($D$6-$C$6)/($E$6-$C$6),$C$6+SQRT($AB1705*($E$6-$C$6)*($D$6-$C$6)),$E$6-SQRT((1-$AB1705)*($E$6-$C$6)*($E$6-$D$6)))</f>
        <v/>
      </c>
      <c r="O1705" s="14">
        <f>_xlfn.NORM.INV($AC1705,$C$7,$D$7)</f>
        <v/>
      </c>
      <c r="P1705" s="14">
        <f>$C$8+($D$8-$C$8)*$AD1705</f>
        <v/>
      </c>
      <c r="Q1705" s="14">
        <f>$C$9</f>
        <v/>
      </c>
      <c r="R1705" s="14">
        <f>_xlfn.LOGNORM.INV($AF1705,LN($C$10)-0.5*LN(1+($D$10/$C$10)^2),SQRT(LN(1+($D$10/$C$10)^2)))</f>
        <v/>
      </c>
      <c r="S1705" s="14">
        <f>SUM(M1705:R1705)</f>
        <v/>
      </c>
      <c r="AA1705">
        <f>RAND()</f>
        <v/>
      </c>
      <c r="AB1705">
        <f>RAND()</f>
        <v/>
      </c>
      <c r="AC1705">
        <f>RAND()</f>
        <v/>
      </c>
      <c r="AD1705">
        <f>RAND()</f>
        <v/>
      </c>
      <c r="AE1705">
        <f>RAND()</f>
        <v/>
      </c>
      <c r="AF1705">
        <f>RAND()</f>
        <v/>
      </c>
    </row>
    <row r="1706">
      <c r="M1706" s="14">
        <f>_xlfn.BETA.INV($AA1706,1+4*($D$5-$C$5)/($E$5-$C$5),1+4*($E$5-$D$5)/($E$5-$C$5),$C$5,$E$5)</f>
        <v/>
      </c>
      <c r="N1706" s="14">
        <f>IF($AB1706&lt;($D$6-$C$6)/($E$6-$C$6),$C$6+SQRT($AB1706*($E$6-$C$6)*($D$6-$C$6)),$E$6-SQRT((1-$AB1706)*($E$6-$C$6)*($E$6-$D$6)))</f>
        <v/>
      </c>
      <c r="O1706" s="14">
        <f>_xlfn.NORM.INV($AC1706,$C$7,$D$7)</f>
        <v/>
      </c>
      <c r="P1706" s="14">
        <f>$C$8+($D$8-$C$8)*$AD1706</f>
        <v/>
      </c>
      <c r="Q1706" s="14">
        <f>$C$9</f>
        <v/>
      </c>
      <c r="R1706" s="14">
        <f>_xlfn.LOGNORM.INV($AF1706,LN($C$10)-0.5*LN(1+($D$10/$C$10)^2),SQRT(LN(1+($D$10/$C$10)^2)))</f>
        <v/>
      </c>
      <c r="S1706" s="14">
        <f>SUM(M1706:R1706)</f>
        <v/>
      </c>
      <c r="AA1706">
        <f>RAND()</f>
        <v/>
      </c>
      <c r="AB1706">
        <f>RAND()</f>
        <v/>
      </c>
      <c r="AC1706">
        <f>RAND()</f>
        <v/>
      </c>
      <c r="AD1706">
        <f>RAND()</f>
        <v/>
      </c>
      <c r="AE1706">
        <f>RAND()</f>
        <v/>
      </c>
      <c r="AF1706">
        <f>RAND()</f>
        <v/>
      </c>
    </row>
    <row r="1707">
      <c r="M1707" s="14">
        <f>_xlfn.BETA.INV($AA1707,1+4*($D$5-$C$5)/($E$5-$C$5),1+4*($E$5-$D$5)/($E$5-$C$5),$C$5,$E$5)</f>
        <v/>
      </c>
      <c r="N1707" s="14">
        <f>IF($AB1707&lt;($D$6-$C$6)/($E$6-$C$6),$C$6+SQRT($AB1707*($E$6-$C$6)*($D$6-$C$6)),$E$6-SQRT((1-$AB1707)*($E$6-$C$6)*($E$6-$D$6)))</f>
        <v/>
      </c>
      <c r="O1707" s="14">
        <f>_xlfn.NORM.INV($AC1707,$C$7,$D$7)</f>
        <v/>
      </c>
      <c r="P1707" s="14">
        <f>$C$8+($D$8-$C$8)*$AD1707</f>
        <v/>
      </c>
      <c r="Q1707" s="14">
        <f>$C$9</f>
        <v/>
      </c>
      <c r="R1707" s="14">
        <f>_xlfn.LOGNORM.INV($AF1707,LN($C$10)-0.5*LN(1+($D$10/$C$10)^2),SQRT(LN(1+($D$10/$C$10)^2)))</f>
        <v/>
      </c>
      <c r="S1707" s="14">
        <f>SUM(M1707:R1707)</f>
        <v/>
      </c>
      <c r="AA1707">
        <f>RAND()</f>
        <v/>
      </c>
      <c r="AB1707">
        <f>RAND()</f>
        <v/>
      </c>
      <c r="AC1707">
        <f>RAND()</f>
        <v/>
      </c>
      <c r="AD1707">
        <f>RAND()</f>
        <v/>
      </c>
      <c r="AE1707">
        <f>RAND()</f>
        <v/>
      </c>
      <c r="AF1707">
        <f>RAND()</f>
        <v/>
      </c>
    </row>
    <row r="1708">
      <c r="M1708" s="14">
        <f>_xlfn.BETA.INV($AA1708,1+4*($D$5-$C$5)/($E$5-$C$5),1+4*($E$5-$D$5)/($E$5-$C$5),$C$5,$E$5)</f>
        <v/>
      </c>
      <c r="N1708" s="14">
        <f>IF($AB1708&lt;($D$6-$C$6)/($E$6-$C$6),$C$6+SQRT($AB1708*($E$6-$C$6)*($D$6-$C$6)),$E$6-SQRT((1-$AB1708)*($E$6-$C$6)*($E$6-$D$6)))</f>
        <v/>
      </c>
      <c r="O1708" s="14">
        <f>_xlfn.NORM.INV($AC1708,$C$7,$D$7)</f>
        <v/>
      </c>
      <c r="P1708" s="14">
        <f>$C$8+($D$8-$C$8)*$AD1708</f>
        <v/>
      </c>
      <c r="Q1708" s="14">
        <f>$C$9</f>
        <v/>
      </c>
      <c r="R1708" s="14">
        <f>_xlfn.LOGNORM.INV($AF1708,LN($C$10)-0.5*LN(1+($D$10/$C$10)^2),SQRT(LN(1+($D$10/$C$10)^2)))</f>
        <v/>
      </c>
      <c r="S1708" s="14">
        <f>SUM(M1708:R1708)</f>
        <v/>
      </c>
      <c r="AA1708">
        <f>RAND()</f>
        <v/>
      </c>
      <c r="AB1708">
        <f>RAND()</f>
        <v/>
      </c>
      <c r="AC1708">
        <f>RAND()</f>
        <v/>
      </c>
      <c r="AD1708">
        <f>RAND()</f>
        <v/>
      </c>
      <c r="AE1708">
        <f>RAND()</f>
        <v/>
      </c>
      <c r="AF1708">
        <f>RAND()</f>
        <v/>
      </c>
    </row>
    <row r="1709">
      <c r="M1709" s="14">
        <f>_xlfn.BETA.INV($AA1709,1+4*($D$5-$C$5)/($E$5-$C$5),1+4*($E$5-$D$5)/($E$5-$C$5),$C$5,$E$5)</f>
        <v/>
      </c>
      <c r="N1709" s="14">
        <f>IF($AB1709&lt;($D$6-$C$6)/($E$6-$C$6),$C$6+SQRT($AB1709*($E$6-$C$6)*($D$6-$C$6)),$E$6-SQRT((1-$AB1709)*($E$6-$C$6)*($E$6-$D$6)))</f>
        <v/>
      </c>
      <c r="O1709" s="14">
        <f>_xlfn.NORM.INV($AC1709,$C$7,$D$7)</f>
        <v/>
      </c>
      <c r="P1709" s="14">
        <f>$C$8+($D$8-$C$8)*$AD1709</f>
        <v/>
      </c>
      <c r="Q1709" s="14">
        <f>$C$9</f>
        <v/>
      </c>
      <c r="R1709" s="14">
        <f>_xlfn.LOGNORM.INV($AF1709,LN($C$10)-0.5*LN(1+($D$10/$C$10)^2),SQRT(LN(1+($D$10/$C$10)^2)))</f>
        <v/>
      </c>
      <c r="S1709" s="14">
        <f>SUM(M1709:R1709)</f>
        <v/>
      </c>
      <c r="AA1709">
        <f>RAND()</f>
        <v/>
      </c>
      <c r="AB1709">
        <f>RAND()</f>
        <v/>
      </c>
      <c r="AC1709">
        <f>RAND()</f>
        <v/>
      </c>
      <c r="AD1709">
        <f>RAND()</f>
        <v/>
      </c>
      <c r="AE1709">
        <f>RAND()</f>
        <v/>
      </c>
      <c r="AF1709">
        <f>RAND()</f>
        <v/>
      </c>
    </row>
    <row r="1710">
      <c r="M1710" s="14">
        <f>_xlfn.BETA.INV($AA1710,1+4*($D$5-$C$5)/($E$5-$C$5),1+4*($E$5-$D$5)/($E$5-$C$5),$C$5,$E$5)</f>
        <v/>
      </c>
      <c r="N1710" s="14">
        <f>IF($AB1710&lt;($D$6-$C$6)/($E$6-$C$6),$C$6+SQRT($AB1710*($E$6-$C$6)*($D$6-$C$6)),$E$6-SQRT((1-$AB1710)*($E$6-$C$6)*($E$6-$D$6)))</f>
        <v/>
      </c>
      <c r="O1710" s="14">
        <f>_xlfn.NORM.INV($AC1710,$C$7,$D$7)</f>
        <v/>
      </c>
      <c r="P1710" s="14">
        <f>$C$8+($D$8-$C$8)*$AD1710</f>
        <v/>
      </c>
      <c r="Q1710" s="14">
        <f>$C$9</f>
        <v/>
      </c>
      <c r="R1710" s="14">
        <f>_xlfn.LOGNORM.INV($AF1710,LN($C$10)-0.5*LN(1+($D$10/$C$10)^2),SQRT(LN(1+($D$10/$C$10)^2)))</f>
        <v/>
      </c>
      <c r="S1710" s="14">
        <f>SUM(M1710:R1710)</f>
        <v/>
      </c>
      <c r="AA1710">
        <f>RAND()</f>
        <v/>
      </c>
      <c r="AB1710">
        <f>RAND()</f>
        <v/>
      </c>
      <c r="AC1710">
        <f>RAND()</f>
        <v/>
      </c>
      <c r="AD1710">
        <f>RAND()</f>
        <v/>
      </c>
      <c r="AE1710">
        <f>RAND()</f>
        <v/>
      </c>
      <c r="AF1710">
        <f>RAND()</f>
        <v/>
      </c>
    </row>
    <row r="1711">
      <c r="M1711" s="14">
        <f>_xlfn.BETA.INV($AA1711,1+4*($D$5-$C$5)/($E$5-$C$5),1+4*($E$5-$D$5)/($E$5-$C$5),$C$5,$E$5)</f>
        <v/>
      </c>
      <c r="N1711" s="14">
        <f>IF($AB1711&lt;($D$6-$C$6)/($E$6-$C$6),$C$6+SQRT($AB1711*($E$6-$C$6)*($D$6-$C$6)),$E$6-SQRT((1-$AB1711)*($E$6-$C$6)*($E$6-$D$6)))</f>
        <v/>
      </c>
      <c r="O1711" s="14">
        <f>_xlfn.NORM.INV($AC1711,$C$7,$D$7)</f>
        <v/>
      </c>
      <c r="P1711" s="14">
        <f>$C$8+($D$8-$C$8)*$AD1711</f>
        <v/>
      </c>
      <c r="Q1711" s="14">
        <f>$C$9</f>
        <v/>
      </c>
      <c r="R1711" s="14">
        <f>_xlfn.LOGNORM.INV($AF1711,LN($C$10)-0.5*LN(1+($D$10/$C$10)^2),SQRT(LN(1+($D$10/$C$10)^2)))</f>
        <v/>
      </c>
      <c r="S1711" s="14">
        <f>SUM(M1711:R1711)</f>
        <v/>
      </c>
      <c r="AA1711">
        <f>RAND()</f>
        <v/>
      </c>
      <c r="AB1711">
        <f>RAND()</f>
        <v/>
      </c>
      <c r="AC1711">
        <f>RAND()</f>
        <v/>
      </c>
      <c r="AD1711">
        <f>RAND()</f>
        <v/>
      </c>
      <c r="AE1711">
        <f>RAND()</f>
        <v/>
      </c>
      <c r="AF1711">
        <f>RAND()</f>
        <v/>
      </c>
    </row>
    <row r="1712">
      <c r="M1712" s="14">
        <f>_xlfn.BETA.INV($AA1712,1+4*($D$5-$C$5)/($E$5-$C$5),1+4*($E$5-$D$5)/($E$5-$C$5),$C$5,$E$5)</f>
        <v/>
      </c>
      <c r="N1712" s="14">
        <f>IF($AB1712&lt;($D$6-$C$6)/($E$6-$C$6),$C$6+SQRT($AB1712*($E$6-$C$6)*($D$6-$C$6)),$E$6-SQRT((1-$AB1712)*($E$6-$C$6)*($E$6-$D$6)))</f>
        <v/>
      </c>
      <c r="O1712" s="14">
        <f>_xlfn.NORM.INV($AC1712,$C$7,$D$7)</f>
        <v/>
      </c>
      <c r="P1712" s="14">
        <f>$C$8+($D$8-$C$8)*$AD1712</f>
        <v/>
      </c>
      <c r="Q1712" s="14">
        <f>$C$9</f>
        <v/>
      </c>
      <c r="R1712" s="14">
        <f>_xlfn.LOGNORM.INV($AF1712,LN($C$10)-0.5*LN(1+($D$10/$C$10)^2),SQRT(LN(1+($D$10/$C$10)^2)))</f>
        <v/>
      </c>
      <c r="S1712" s="14">
        <f>SUM(M1712:R1712)</f>
        <v/>
      </c>
      <c r="AA1712">
        <f>RAND()</f>
        <v/>
      </c>
      <c r="AB1712">
        <f>RAND()</f>
        <v/>
      </c>
      <c r="AC1712">
        <f>RAND()</f>
        <v/>
      </c>
      <c r="AD1712">
        <f>RAND()</f>
        <v/>
      </c>
      <c r="AE1712">
        <f>RAND()</f>
        <v/>
      </c>
      <c r="AF1712">
        <f>RAND()</f>
        <v/>
      </c>
    </row>
    <row r="1713">
      <c r="M1713" s="14">
        <f>_xlfn.BETA.INV($AA1713,1+4*($D$5-$C$5)/($E$5-$C$5),1+4*($E$5-$D$5)/($E$5-$C$5),$C$5,$E$5)</f>
        <v/>
      </c>
      <c r="N1713" s="14">
        <f>IF($AB1713&lt;($D$6-$C$6)/($E$6-$C$6),$C$6+SQRT($AB1713*($E$6-$C$6)*($D$6-$C$6)),$E$6-SQRT((1-$AB1713)*($E$6-$C$6)*($E$6-$D$6)))</f>
        <v/>
      </c>
      <c r="O1713" s="14">
        <f>_xlfn.NORM.INV($AC1713,$C$7,$D$7)</f>
        <v/>
      </c>
      <c r="P1713" s="14">
        <f>$C$8+($D$8-$C$8)*$AD1713</f>
        <v/>
      </c>
      <c r="Q1713" s="14">
        <f>$C$9</f>
        <v/>
      </c>
      <c r="R1713" s="14">
        <f>_xlfn.LOGNORM.INV($AF1713,LN($C$10)-0.5*LN(1+($D$10/$C$10)^2),SQRT(LN(1+($D$10/$C$10)^2)))</f>
        <v/>
      </c>
      <c r="S1713" s="14">
        <f>SUM(M1713:R1713)</f>
        <v/>
      </c>
      <c r="AA1713">
        <f>RAND()</f>
        <v/>
      </c>
      <c r="AB1713">
        <f>RAND()</f>
        <v/>
      </c>
      <c r="AC1713">
        <f>RAND()</f>
        <v/>
      </c>
      <c r="AD1713">
        <f>RAND()</f>
        <v/>
      </c>
      <c r="AE1713">
        <f>RAND()</f>
        <v/>
      </c>
      <c r="AF1713">
        <f>RAND()</f>
        <v/>
      </c>
    </row>
    <row r="1714">
      <c r="M1714" s="14">
        <f>_xlfn.BETA.INV($AA1714,1+4*($D$5-$C$5)/($E$5-$C$5),1+4*($E$5-$D$5)/($E$5-$C$5),$C$5,$E$5)</f>
        <v/>
      </c>
      <c r="N1714" s="14">
        <f>IF($AB1714&lt;($D$6-$C$6)/($E$6-$C$6),$C$6+SQRT($AB1714*($E$6-$C$6)*($D$6-$C$6)),$E$6-SQRT((1-$AB1714)*($E$6-$C$6)*($E$6-$D$6)))</f>
        <v/>
      </c>
      <c r="O1714" s="14">
        <f>_xlfn.NORM.INV($AC1714,$C$7,$D$7)</f>
        <v/>
      </c>
      <c r="P1714" s="14">
        <f>$C$8+($D$8-$C$8)*$AD1714</f>
        <v/>
      </c>
      <c r="Q1714" s="14">
        <f>$C$9</f>
        <v/>
      </c>
      <c r="R1714" s="14">
        <f>_xlfn.LOGNORM.INV($AF1714,LN($C$10)-0.5*LN(1+($D$10/$C$10)^2),SQRT(LN(1+($D$10/$C$10)^2)))</f>
        <v/>
      </c>
      <c r="S1714" s="14">
        <f>SUM(M1714:R1714)</f>
        <v/>
      </c>
      <c r="AA1714">
        <f>RAND()</f>
        <v/>
      </c>
      <c r="AB1714">
        <f>RAND()</f>
        <v/>
      </c>
      <c r="AC1714">
        <f>RAND()</f>
        <v/>
      </c>
      <c r="AD1714">
        <f>RAND()</f>
        <v/>
      </c>
      <c r="AE1714">
        <f>RAND()</f>
        <v/>
      </c>
      <c r="AF1714">
        <f>RAND()</f>
        <v/>
      </c>
    </row>
    <row r="1715">
      <c r="M1715" s="14">
        <f>_xlfn.BETA.INV($AA1715,1+4*($D$5-$C$5)/($E$5-$C$5),1+4*($E$5-$D$5)/($E$5-$C$5),$C$5,$E$5)</f>
        <v/>
      </c>
      <c r="N1715" s="14">
        <f>IF($AB1715&lt;($D$6-$C$6)/($E$6-$C$6),$C$6+SQRT($AB1715*($E$6-$C$6)*($D$6-$C$6)),$E$6-SQRT((1-$AB1715)*($E$6-$C$6)*($E$6-$D$6)))</f>
        <v/>
      </c>
      <c r="O1715" s="14">
        <f>_xlfn.NORM.INV($AC1715,$C$7,$D$7)</f>
        <v/>
      </c>
      <c r="P1715" s="14">
        <f>$C$8+($D$8-$C$8)*$AD1715</f>
        <v/>
      </c>
      <c r="Q1715" s="14">
        <f>$C$9</f>
        <v/>
      </c>
      <c r="R1715" s="14">
        <f>_xlfn.LOGNORM.INV($AF1715,LN($C$10)-0.5*LN(1+($D$10/$C$10)^2),SQRT(LN(1+($D$10/$C$10)^2)))</f>
        <v/>
      </c>
      <c r="S1715" s="14">
        <f>SUM(M1715:R1715)</f>
        <v/>
      </c>
      <c r="AA1715">
        <f>RAND()</f>
        <v/>
      </c>
      <c r="AB1715">
        <f>RAND()</f>
        <v/>
      </c>
      <c r="AC1715">
        <f>RAND()</f>
        <v/>
      </c>
      <c r="AD1715">
        <f>RAND()</f>
        <v/>
      </c>
      <c r="AE1715">
        <f>RAND()</f>
        <v/>
      </c>
      <c r="AF1715">
        <f>RAND()</f>
        <v/>
      </c>
    </row>
    <row r="1716">
      <c r="M1716" s="14">
        <f>_xlfn.BETA.INV($AA1716,1+4*($D$5-$C$5)/($E$5-$C$5),1+4*($E$5-$D$5)/($E$5-$C$5),$C$5,$E$5)</f>
        <v/>
      </c>
      <c r="N1716" s="14">
        <f>IF($AB1716&lt;($D$6-$C$6)/($E$6-$C$6),$C$6+SQRT($AB1716*($E$6-$C$6)*($D$6-$C$6)),$E$6-SQRT((1-$AB1716)*($E$6-$C$6)*($E$6-$D$6)))</f>
        <v/>
      </c>
      <c r="O1716" s="14">
        <f>_xlfn.NORM.INV($AC1716,$C$7,$D$7)</f>
        <v/>
      </c>
      <c r="P1716" s="14">
        <f>$C$8+($D$8-$C$8)*$AD1716</f>
        <v/>
      </c>
      <c r="Q1716" s="14">
        <f>$C$9</f>
        <v/>
      </c>
      <c r="R1716" s="14">
        <f>_xlfn.LOGNORM.INV($AF1716,LN($C$10)-0.5*LN(1+($D$10/$C$10)^2),SQRT(LN(1+($D$10/$C$10)^2)))</f>
        <v/>
      </c>
      <c r="S1716" s="14">
        <f>SUM(M1716:R1716)</f>
        <v/>
      </c>
      <c r="AA1716">
        <f>RAND()</f>
        <v/>
      </c>
      <c r="AB1716">
        <f>RAND()</f>
        <v/>
      </c>
      <c r="AC1716">
        <f>RAND()</f>
        <v/>
      </c>
      <c r="AD1716">
        <f>RAND()</f>
        <v/>
      </c>
      <c r="AE1716">
        <f>RAND()</f>
        <v/>
      </c>
      <c r="AF1716">
        <f>RAND()</f>
        <v/>
      </c>
    </row>
    <row r="1717">
      <c r="M1717" s="14">
        <f>_xlfn.BETA.INV($AA1717,1+4*($D$5-$C$5)/($E$5-$C$5),1+4*($E$5-$D$5)/($E$5-$C$5),$C$5,$E$5)</f>
        <v/>
      </c>
      <c r="N1717" s="14">
        <f>IF($AB1717&lt;($D$6-$C$6)/($E$6-$C$6),$C$6+SQRT($AB1717*($E$6-$C$6)*($D$6-$C$6)),$E$6-SQRT((1-$AB1717)*($E$6-$C$6)*($E$6-$D$6)))</f>
        <v/>
      </c>
      <c r="O1717" s="14">
        <f>_xlfn.NORM.INV($AC1717,$C$7,$D$7)</f>
        <v/>
      </c>
      <c r="P1717" s="14">
        <f>$C$8+($D$8-$C$8)*$AD1717</f>
        <v/>
      </c>
      <c r="Q1717" s="14">
        <f>$C$9</f>
        <v/>
      </c>
      <c r="R1717" s="14">
        <f>_xlfn.LOGNORM.INV($AF1717,LN($C$10)-0.5*LN(1+($D$10/$C$10)^2),SQRT(LN(1+($D$10/$C$10)^2)))</f>
        <v/>
      </c>
      <c r="S1717" s="14">
        <f>SUM(M1717:R1717)</f>
        <v/>
      </c>
      <c r="AA1717">
        <f>RAND()</f>
        <v/>
      </c>
      <c r="AB1717">
        <f>RAND()</f>
        <v/>
      </c>
      <c r="AC1717">
        <f>RAND()</f>
        <v/>
      </c>
      <c r="AD1717">
        <f>RAND()</f>
        <v/>
      </c>
      <c r="AE1717">
        <f>RAND()</f>
        <v/>
      </c>
      <c r="AF1717">
        <f>RAND()</f>
        <v/>
      </c>
    </row>
    <row r="1718">
      <c r="M1718" s="14">
        <f>_xlfn.BETA.INV($AA1718,1+4*($D$5-$C$5)/($E$5-$C$5),1+4*($E$5-$D$5)/($E$5-$C$5),$C$5,$E$5)</f>
        <v/>
      </c>
      <c r="N1718" s="14">
        <f>IF($AB1718&lt;($D$6-$C$6)/($E$6-$C$6),$C$6+SQRT($AB1718*($E$6-$C$6)*($D$6-$C$6)),$E$6-SQRT((1-$AB1718)*($E$6-$C$6)*($E$6-$D$6)))</f>
        <v/>
      </c>
      <c r="O1718" s="14">
        <f>_xlfn.NORM.INV($AC1718,$C$7,$D$7)</f>
        <v/>
      </c>
      <c r="P1718" s="14">
        <f>$C$8+($D$8-$C$8)*$AD1718</f>
        <v/>
      </c>
      <c r="Q1718" s="14">
        <f>$C$9</f>
        <v/>
      </c>
      <c r="R1718" s="14">
        <f>_xlfn.LOGNORM.INV($AF1718,LN($C$10)-0.5*LN(1+($D$10/$C$10)^2),SQRT(LN(1+($D$10/$C$10)^2)))</f>
        <v/>
      </c>
      <c r="S1718" s="14">
        <f>SUM(M1718:R1718)</f>
        <v/>
      </c>
      <c r="AA1718">
        <f>RAND()</f>
        <v/>
      </c>
      <c r="AB1718">
        <f>RAND()</f>
        <v/>
      </c>
      <c r="AC1718">
        <f>RAND()</f>
        <v/>
      </c>
      <c r="AD1718">
        <f>RAND()</f>
        <v/>
      </c>
      <c r="AE1718">
        <f>RAND()</f>
        <v/>
      </c>
      <c r="AF1718">
        <f>RAND()</f>
        <v/>
      </c>
    </row>
    <row r="1719">
      <c r="M1719" s="14">
        <f>_xlfn.BETA.INV($AA1719,1+4*($D$5-$C$5)/($E$5-$C$5),1+4*($E$5-$D$5)/($E$5-$C$5),$C$5,$E$5)</f>
        <v/>
      </c>
      <c r="N1719" s="14">
        <f>IF($AB1719&lt;($D$6-$C$6)/($E$6-$C$6),$C$6+SQRT($AB1719*($E$6-$C$6)*($D$6-$C$6)),$E$6-SQRT((1-$AB1719)*($E$6-$C$6)*($E$6-$D$6)))</f>
        <v/>
      </c>
      <c r="O1719" s="14">
        <f>_xlfn.NORM.INV($AC1719,$C$7,$D$7)</f>
        <v/>
      </c>
      <c r="P1719" s="14">
        <f>$C$8+($D$8-$C$8)*$AD1719</f>
        <v/>
      </c>
      <c r="Q1719" s="14">
        <f>$C$9</f>
        <v/>
      </c>
      <c r="R1719" s="14">
        <f>_xlfn.LOGNORM.INV($AF1719,LN($C$10)-0.5*LN(1+($D$10/$C$10)^2),SQRT(LN(1+($D$10/$C$10)^2)))</f>
        <v/>
      </c>
      <c r="S1719" s="14">
        <f>SUM(M1719:R1719)</f>
        <v/>
      </c>
      <c r="AA1719">
        <f>RAND()</f>
        <v/>
      </c>
      <c r="AB1719">
        <f>RAND()</f>
        <v/>
      </c>
      <c r="AC1719">
        <f>RAND()</f>
        <v/>
      </c>
      <c r="AD1719">
        <f>RAND()</f>
        <v/>
      </c>
      <c r="AE1719">
        <f>RAND()</f>
        <v/>
      </c>
      <c r="AF1719">
        <f>RAND()</f>
        <v/>
      </c>
    </row>
    <row r="1720">
      <c r="M1720" s="14">
        <f>_xlfn.BETA.INV($AA1720,1+4*($D$5-$C$5)/($E$5-$C$5),1+4*($E$5-$D$5)/($E$5-$C$5),$C$5,$E$5)</f>
        <v/>
      </c>
      <c r="N1720" s="14">
        <f>IF($AB1720&lt;($D$6-$C$6)/($E$6-$C$6),$C$6+SQRT($AB1720*($E$6-$C$6)*($D$6-$C$6)),$E$6-SQRT((1-$AB1720)*($E$6-$C$6)*($E$6-$D$6)))</f>
        <v/>
      </c>
      <c r="O1720" s="14">
        <f>_xlfn.NORM.INV($AC1720,$C$7,$D$7)</f>
        <v/>
      </c>
      <c r="P1720" s="14">
        <f>$C$8+($D$8-$C$8)*$AD1720</f>
        <v/>
      </c>
      <c r="Q1720" s="14">
        <f>$C$9</f>
        <v/>
      </c>
      <c r="R1720" s="14">
        <f>_xlfn.LOGNORM.INV($AF1720,LN($C$10)-0.5*LN(1+($D$10/$C$10)^2),SQRT(LN(1+($D$10/$C$10)^2)))</f>
        <v/>
      </c>
      <c r="S1720" s="14">
        <f>SUM(M1720:R1720)</f>
        <v/>
      </c>
      <c r="AA1720">
        <f>RAND()</f>
        <v/>
      </c>
      <c r="AB1720">
        <f>RAND()</f>
        <v/>
      </c>
      <c r="AC1720">
        <f>RAND()</f>
        <v/>
      </c>
      <c r="AD1720">
        <f>RAND()</f>
        <v/>
      </c>
      <c r="AE1720">
        <f>RAND()</f>
        <v/>
      </c>
      <c r="AF1720">
        <f>RAND()</f>
        <v/>
      </c>
    </row>
    <row r="1721">
      <c r="M1721" s="14">
        <f>_xlfn.BETA.INV($AA1721,1+4*($D$5-$C$5)/($E$5-$C$5),1+4*($E$5-$D$5)/($E$5-$C$5),$C$5,$E$5)</f>
        <v/>
      </c>
      <c r="N1721" s="14">
        <f>IF($AB1721&lt;($D$6-$C$6)/($E$6-$C$6),$C$6+SQRT($AB1721*($E$6-$C$6)*($D$6-$C$6)),$E$6-SQRT((1-$AB1721)*($E$6-$C$6)*($E$6-$D$6)))</f>
        <v/>
      </c>
      <c r="O1721" s="14">
        <f>_xlfn.NORM.INV($AC1721,$C$7,$D$7)</f>
        <v/>
      </c>
      <c r="P1721" s="14">
        <f>$C$8+($D$8-$C$8)*$AD1721</f>
        <v/>
      </c>
      <c r="Q1721" s="14">
        <f>$C$9</f>
        <v/>
      </c>
      <c r="R1721" s="14">
        <f>_xlfn.LOGNORM.INV($AF1721,LN($C$10)-0.5*LN(1+($D$10/$C$10)^2),SQRT(LN(1+($D$10/$C$10)^2)))</f>
        <v/>
      </c>
      <c r="S1721" s="14">
        <f>SUM(M1721:R1721)</f>
        <v/>
      </c>
      <c r="AA1721">
        <f>RAND()</f>
        <v/>
      </c>
      <c r="AB1721">
        <f>RAND()</f>
        <v/>
      </c>
      <c r="AC1721">
        <f>RAND()</f>
        <v/>
      </c>
      <c r="AD1721">
        <f>RAND()</f>
        <v/>
      </c>
      <c r="AE1721">
        <f>RAND()</f>
        <v/>
      </c>
      <c r="AF1721">
        <f>RAND()</f>
        <v/>
      </c>
    </row>
    <row r="1722">
      <c r="M1722" s="14">
        <f>_xlfn.BETA.INV($AA1722,1+4*($D$5-$C$5)/($E$5-$C$5),1+4*($E$5-$D$5)/($E$5-$C$5),$C$5,$E$5)</f>
        <v/>
      </c>
      <c r="N1722" s="14">
        <f>IF($AB1722&lt;($D$6-$C$6)/($E$6-$C$6),$C$6+SQRT($AB1722*($E$6-$C$6)*($D$6-$C$6)),$E$6-SQRT((1-$AB1722)*($E$6-$C$6)*($E$6-$D$6)))</f>
        <v/>
      </c>
      <c r="O1722" s="14">
        <f>_xlfn.NORM.INV($AC1722,$C$7,$D$7)</f>
        <v/>
      </c>
      <c r="P1722" s="14">
        <f>$C$8+($D$8-$C$8)*$AD1722</f>
        <v/>
      </c>
      <c r="Q1722" s="14">
        <f>$C$9</f>
        <v/>
      </c>
      <c r="R1722" s="14">
        <f>_xlfn.LOGNORM.INV($AF1722,LN($C$10)-0.5*LN(1+($D$10/$C$10)^2),SQRT(LN(1+($D$10/$C$10)^2)))</f>
        <v/>
      </c>
      <c r="S1722" s="14">
        <f>SUM(M1722:R1722)</f>
        <v/>
      </c>
      <c r="AA1722">
        <f>RAND()</f>
        <v/>
      </c>
      <c r="AB1722">
        <f>RAND()</f>
        <v/>
      </c>
      <c r="AC1722">
        <f>RAND()</f>
        <v/>
      </c>
      <c r="AD1722">
        <f>RAND()</f>
        <v/>
      </c>
      <c r="AE1722">
        <f>RAND()</f>
        <v/>
      </c>
      <c r="AF1722">
        <f>RAND()</f>
        <v/>
      </c>
    </row>
    <row r="1723">
      <c r="M1723" s="14">
        <f>_xlfn.BETA.INV($AA1723,1+4*($D$5-$C$5)/($E$5-$C$5),1+4*($E$5-$D$5)/($E$5-$C$5),$C$5,$E$5)</f>
        <v/>
      </c>
      <c r="N1723" s="14">
        <f>IF($AB1723&lt;($D$6-$C$6)/($E$6-$C$6),$C$6+SQRT($AB1723*($E$6-$C$6)*($D$6-$C$6)),$E$6-SQRT((1-$AB1723)*($E$6-$C$6)*($E$6-$D$6)))</f>
        <v/>
      </c>
      <c r="O1723" s="14">
        <f>_xlfn.NORM.INV($AC1723,$C$7,$D$7)</f>
        <v/>
      </c>
      <c r="P1723" s="14">
        <f>$C$8+($D$8-$C$8)*$AD1723</f>
        <v/>
      </c>
      <c r="Q1723" s="14">
        <f>$C$9</f>
        <v/>
      </c>
      <c r="R1723" s="14">
        <f>_xlfn.LOGNORM.INV($AF1723,LN($C$10)-0.5*LN(1+($D$10/$C$10)^2),SQRT(LN(1+($D$10/$C$10)^2)))</f>
        <v/>
      </c>
      <c r="S1723" s="14">
        <f>SUM(M1723:R1723)</f>
        <v/>
      </c>
      <c r="AA1723">
        <f>RAND()</f>
        <v/>
      </c>
      <c r="AB1723">
        <f>RAND()</f>
        <v/>
      </c>
      <c r="AC1723">
        <f>RAND()</f>
        <v/>
      </c>
      <c r="AD1723">
        <f>RAND()</f>
        <v/>
      </c>
      <c r="AE1723">
        <f>RAND()</f>
        <v/>
      </c>
      <c r="AF1723">
        <f>RAND()</f>
        <v/>
      </c>
    </row>
    <row r="1724">
      <c r="M1724" s="14">
        <f>_xlfn.BETA.INV($AA1724,1+4*($D$5-$C$5)/($E$5-$C$5),1+4*($E$5-$D$5)/($E$5-$C$5),$C$5,$E$5)</f>
        <v/>
      </c>
      <c r="N1724" s="14">
        <f>IF($AB1724&lt;($D$6-$C$6)/($E$6-$C$6),$C$6+SQRT($AB1724*($E$6-$C$6)*($D$6-$C$6)),$E$6-SQRT((1-$AB1724)*($E$6-$C$6)*($E$6-$D$6)))</f>
        <v/>
      </c>
      <c r="O1724" s="14">
        <f>_xlfn.NORM.INV($AC1724,$C$7,$D$7)</f>
        <v/>
      </c>
      <c r="P1724" s="14">
        <f>$C$8+($D$8-$C$8)*$AD1724</f>
        <v/>
      </c>
      <c r="Q1724" s="14">
        <f>$C$9</f>
        <v/>
      </c>
      <c r="R1724" s="14">
        <f>_xlfn.LOGNORM.INV($AF1724,LN($C$10)-0.5*LN(1+($D$10/$C$10)^2),SQRT(LN(1+($D$10/$C$10)^2)))</f>
        <v/>
      </c>
      <c r="S1724" s="14">
        <f>SUM(M1724:R1724)</f>
        <v/>
      </c>
      <c r="AA1724">
        <f>RAND()</f>
        <v/>
      </c>
      <c r="AB1724">
        <f>RAND()</f>
        <v/>
      </c>
      <c r="AC1724">
        <f>RAND()</f>
        <v/>
      </c>
      <c r="AD1724">
        <f>RAND()</f>
        <v/>
      </c>
      <c r="AE1724">
        <f>RAND()</f>
        <v/>
      </c>
      <c r="AF1724">
        <f>RAND()</f>
        <v/>
      </c>
    </row>
    <row r="1725">
      <c r="M1725" s="14">
        <f>_xlfn.BETA.INV($AA1725,1+4*($D$5-$C$5)/($E$5-$C$5),1+4*($E$5-$D$5)/($E$5-$C$5),$C$5,$E$5)</f>
        <v/>
      </c>
      <c r="N1725" s="14">
        <f>IF($AB1725&lt;($D$6-$C$6)/($E$6-$C$6),$C$6+SQRT($AB1725*($E$6-$C$6)*($D$6-$C$6)),$E$6-SQRT((1-$AB1725)*($E$6-$C$6)*($E$6-$D$6)))</f>
        <v/>
      </c>
      <c r="O1725" s="14">
        <f>_xlfn.NORM.INV($AC1725,$C$7,$D$7)</f>
        <v/>
      </c>
      <c r="P1725" s="14">
        <f>$C$8+($D$8-$C$8)*$AD1725</f>
        <v/>
      </c>
      <c r="Q1725" s="14">
        <f>$C$9</f>
        <v/>
      </c>
      <c r="R1725" s="14">
        <f>_xlfn.LOGNORM.INV($AF1725,LN($C$10)-0.5*LN(1+($D$10/$C$10)^2),SQRT(LN(1+($D$10/$C$10)^2)))</f>
        <v/>
      </c>
      <c r="S1725" s="14">
        <f>SUM(M1725:R1725)</f>
        <v/>
      </c>
      <c r="AA1725">
        <f>RAND()</f>
        <v/>
      </c>
      <c r="AB1725">
        <f>RAND()</f>
        <v/>
      </c>
      <c r="AC1725">
        <f>RAND()</f>
        <v/>
      </c>
      <c r="AD1725">
        <f>RAND()</f>
        <v/>
      </c>
      <c r="AE1725">
        <f>RAND()</f>
        <v/>
      </c>
      <c r="AF1725">
        <f>RAND()</f>
        <v/>
      </c>
    </row>
    <row r="1726">
      <c r="M1726" s="14">
        <f>_xlfn.BETA.INV($AA1726,1+4*($D$5-$C$5)/($E$5-$C$5),1+4*($E$5-$D$5)/($E$5-$C$5),$C$5,$E$5)</f>
        <v/>
      </c>
      <c r="N1726" s="14">
        <f>IF($AB1726&lt;($D$6-$C$6)/($E$6-$C$6),$C$6+SQRT($AB1726*($E$6-$C$6)*($D$6-$C$6)),$E$6-SQRT((1-$AB1726)*($E$6-$C$6)*($E$6-$D$6)))</f>
        <v/>
      </c>
      <c r="O1726" s="14">
        <f>_xlfn.NORM.INV($AC1726,$C$7,$D$7)</f>
        <v/>
      </c>
      <c r="P1726" s="14">
        <f>$C$8+($D$8-$C$8)*$AD1726</f>
        <v/>
      </c>
      <c r="Q1726" s="14">
        <f>$C$9</f>
        <v/>
      </c>
      <c r="R1726" s="14">
        <f>_xlfn.LOGNORM.INV($AF1726,LN($C$10)-0.5*LN(1+($D$10/$C$10)^2),SQRT(LN(1+($D$10/$C$10)^2)))</f>
        <v/>
      </c>
      <c r="S1726" s="14">
        <f>SUM(M1726:R1726)</f>
        <v/>
      </c>
      <c r="AA1726">
        <f>RAND()</f>
        <v/>
      </c>
      <c r="AB1726">
        <f>RAND()</f>
        <v/>
      </c>
      <c r="AC1726">
        <f>RAND()</f>
        <v/>
      </c>
      <c r="AD1726">
        <f>RAND()</f>
        <v/>
      </c>
      <c r="AE1726">
        <f>RAND()</f>
        <v/>
      </c>
      <c r="AF1726">
        <f>RAND()</f>
        <v/>
      </c>
    </row>
    <row r="1727">
      <c r="M1727" s="14">
        <f>_xlfn.BETA.INV($AA1727,1+4*($D$5-$C$5)/($E$5-$C$5),1+4*($E$5-$D$5)/($E$5-$C$5),$C$5,$E$5)</f>
        <v/>
      </c>
      <c r="N1727" s="14">
        <f>IF($AB1727&lt;($D$6-$C$6)/($E$6-$C$6),$C$6+SQRT($AB1727*($E$6-$C$6)*($D$6-$C$6)),$E$6-SQRT((1-$AB1727)*($E$6-$C$6)*($E$6-$D$6)))</f>
        <v/>
      </c>
      <c r="O1727" s="14">
        <f>_xlfn.NORM.INV($AC1727,$C$7,$D$7)</f>
        <v/>
      </c>
      <c r="P1727" s="14">
        <f>$C$8+($D$8-$C$8)*$AD1727</f>
        <v/>
      </c>
      <c r="Q1727" s="14">
        <f>$C$9</f>
        <v/>
      </c>
      <c r="R1727" s="14">
        <f>_xlfn.LOGNORM.INV($AF1727,LN($C$10)-0.5*LN(1+($D$10/$C$10)^2),SQRT(LN(1+($D$10/$C$10)^2)))</f>
        <v/>
      </c>
      <c r="S1727" s="14">
        <f>SUM(M1727:R1727)</f>
        <v/>
      </c>
      <c r="AA1727">
        <f>RAND()</f>
        <v/>
      </c>
      <c r="AB1727">
        <f>RAND()</f>
        <v/>
      </c>
      <c r="AC1727">
        <f>RAND()</f>
        <v/>
      </c>
      <c r="AD1727">
        <f>RAND()</f>
        <v/>
      </c>
      <c r="AE1727">
        <f>RAND()</f>
        <v/>
      </c>
      <c r="AF1727">
        <f>RAND()</f>
        <v/>
      </c>
    </row>
    <row r="1728">
      <c r="M1728" s="14">
        <f>_xlfn.BETA.INV($AA1728,1+4*($D$5-$C$5)/($E$5-$C$5),1+4*($E$5-$D$5)/($E$5-$C$5),$C$5,$E$5)</f>
        <v/>
      </c>
      <c r="N1728" s="14">
        <f>IF($AB1728&lt;($D$6-$C$6)/($E$6-$C$6),$C$6+SQRT($AB1728*($E$6-$C$6)*($D$6-$C$6)),$E$6-SQRT((1-$AB1728)*($E$6-$C$6)*($E$6-$D$6)))</f>
        <v/>
      </c>
      <c r="O1728" s="14">
        <f>_xlfn.NORM.INV($AC1728,$C$7,$D$7)</f>
        <v/>
      </c>
      <c r="P1728" s="14">
        <f>$C$8+($D$8-$C$8)*$AD1728</f>
        <v/>
      </c>
      <c r="Q1728" s="14">
        <f>$C$9</f>
        <v/>
      </c>
      <c r="R1728" s="14">
        <f>_xlfn.LOGNORM.INV($AF1728,LN($C$10)-0.5*LN(1+($D$10/$C$10)^2),SQRT(LN(1+($D$10/$C$10)^2)))</f>
        <v/>
      </c>
      <c r="S1728" s="14">
        <f>SUM(M1728:R1728)</f>
        <v/>
      </c>
      <c r="AA1728">
        <f>RAND()</f>
        <v/>
      </c>
      <c r="AB1728">
        <f>RAND()</f>
        <v/>
      </c>
      <c r="AC1728">
        <f>RAND()</f>
        <v/>
      </c>
      <c r="AD1728">
        <f>RAND()</f>
        <v/>
      </c>
      <c r="AE1728">
        <f>RAND()</f>
        <v/>
      </c>
      <c r="AF1728">
        <f>RAND()</f>
        <v/>
      </c>
    </row>
    <row r="1729">
      <c r="M1729" s="14">
        <f>_xlfn.BETA.INV($AA1729,1+4*($D$5-$C$5)/($E$5-$C$5),1+4*($E$5-$D$5)/($E$5-$C$5),$C$5,$E$5)</f>
        <v/>
      </c>
      <c r="N1729" s="14">
        <f>IF($AB1729&lt;($D$6-$C$6)/($E$6-$C$6),$C$6+SQRT($AB1729*($E$6-$C$6)*($D$6-$C$6)),$E$6-SQRT((1-$AB1729)*($E$6-$C$6)*($E$6-$D$6)))</f>
        <v/>
      </c>
      <c r="O1729" s="14">
        <f>_xlfn.NORM.INV($AC1729,$C$7,$D$7)</f>
        <v/>
      </c>
      <c r="P1729" s="14">
        <f>$C$8+($D$8-$C$8)*$AD1729</f>
        <v/>
      </c>
      <c r="Q1729" s="14">
        <f>$C$9</f>
        <v/>
      </c>
      <c r="R1729" s="14">
        <f>_xlfn.LOGNORM.INV($AF1729,LN($C$10)-0.5*LN(1+($D$10/$C$10)^2),SQRT(LN(1+($D$10/$C$10)^2)))</f>
        <v/>
      </c>
      <c r="S1729" s="14">
        <f>SUM(M1729:R1729)</f>
        <v/>
      </c>
      <c r="AA1729">
        <f>RAND()</f>
        <v/>
      </c>
      <c r="AB1729">
        <f>RAND()</f>
        <v/>
      </c>
      <c r="AC1729">
        <f>RAND()</f>
        <v/>
      </c>
      <c r="AD1729">
        <f>RAND()</f>
        <v/>
      </c>
      <c r="AE1729">
        <f>RAND()</f>
        <v/>
      </c>
      <c r="AF1729">
        <f>RAND()</f>
        <v/>
      </c>
    </row>
    <row r="1730">
      <c r="M1730" s="14">
        <f>_xlfn.BETA.INV($AA1730,1+4*($D$5-$C$5)/($E$5-$C$5),1+4*($E$5-$D$5)/($E$5-$C$5),$C$5,$E$5)</f>
        <v/>
      </c>
      <c r="N1730" s="14">
        <f>IF($AB1730&lt;($D$6-$C$6)/($E$6-$C$6),$C$6+SQRT($AB1730*($E$6-$C$6)*($D$6-$C$6)),$E$6-SQRT((1-$AB1730)*($E$6-$C$6)*($E$6-$D$6)))</f>
        <v/>
      </c>
      <c r="O1730" s="14">
        <f>_xlfn.NORM.INV($AC1730,$C$7,$D$7)</f>
        <v/>
      </c>
      <c r="P1730" s="14">
        <f>$C$8+($D$8-$C$8)*$AD1730</f>
        <v/>
      </c>
      <c r="Q1730" s="14">
        <f>$C$9</f>
        <v/>
      </c>
      <c r="R1730" s="14">
        <f>_xlfn.LOGNORM.INV($AF1730,LN($C$10)-0.5*LN(1+($D$10/$C$10)^2),SQRT(LN(1+($D$10/$C$10)^2)))</f>
        <v/>
      </c>
      <c r="S1730" s="14">
        <f>SUM(M1730:R1730)</f>
        <v/>
      </c>
      <c r="AA1730">
        <f>RAND()</f>
        <v/>
      </c>
      <c r="AB1730">
        <f>RAND()</f>
        <v/>
      </c>
      <c r="AC1730">
        <f>RAND()</f>
        <v/>
      </c>
      <c r="AD1730">
        <f>RAND()</f>
        <v/>
      </c>
      <c r="AE1730">
        <f>RAND()</f>
        <v/>
      </c>
      <c r="AF1730">
        <f>RAND()</f>
        <v/>
      </c>
    </row>
    <row r="1731">
      <c r="M1731" s="14">
        <f>_xlfn.BETA.INV($AA1731,1+4*($D$5-$C$5)/($E$5-$C$5),1+4*($E$5-$D$5)/($E$5-$C$5),$C$5,$E$5)</f>
        <v/>
      </c>
      <c r="N1731" s="14">
        <f>IF($AB1731&lt;($D$6-$C$6)/($E$6-$C$6),$C$6+SQRT($AB1731*($E$6-$C$6)*($D$6-$C$6)),$E$6-SQRT((1-$AB1731)*($E$6-$C$6)*($E$6-$D$6)))</f>
        <v/>
      </c>
      <c r="O1731" s="14">
        <f>_xlfn.NORM.INV($AC1731,$C$7,$D$7)</f>
        <v/>
      </c>
      <c r="P1731" s="14">
        <f>$C$8+($D$8-$C$8)*$AD1731</f>
        <v/>
      </c>
      <c r="Q1731" s="14">
        <f>$C$9</f>
        <v/>
      </c>
      <c r="R1731" s="14">
        <f>_xlfn.LOGNORM.INV($AF1731,LN($C$10)-0.5*LN(1+($D$10/$C$10)^2),SQRT(LN(1+($D$10/$C$10)^2)))</f>
        <v/>
      </c>
      <c r="S1731" s="14">
        <f>SUM(M1731:R1731)</f>
        <v/>
      </c>
      <c r="AA1731">
        <f>RAND()</f>
        <v/>
      </c>
      <c r="AB1731">
        <f>RAND()</f>
        <v/>
      </c>
      <c r="AC1731">
        <f>RAND()</f>
        <v/>
      </c>
      <c r="AD1731">
        <f>RAND()</f>
        <v/>
      </c>
      <c r="AE1731">
        <f>RAND()</f>
        <v/>
      </c>
      <c r="AF1731">
        <f>RAND()</f>
        <v/>
      </c>
    </row>
    <row r="1732">
      <c r="M1732" s="14">
        <f>_xlfn.BETA.INV($AA1732,1+4*($D$5-$C$5)/($E$5-$C$5),1+4*($E$5-$D$5)/($E$5-$C$5),$C$5,$E$5)</f>
        <v/>
      </c>
      <c r="N1732" s="14">
        <f>IF($AB1732&lt;($D$6-$C$6)/($E$6-$C$6),$C$6+SQRT($AB1732*($E$6-$C$6)*($D$6-$C$6)),$E$6-SQRT((1-$AB1732)*($E$6-$C$6)*($E$6-$D$6)))</f>
        <v/>
      </c>
      <c r="O1732" s="14">
        <f>_xlfn.NORM.INV($AC1732,$C$7,$D$7)</f>
        <v/>
      </c>
      <c r="P1732" s="14">
        <f>$C$8+($D$8-$C$8)*$AD1732</f>
        <v/>
      </c>
      <c r="Q1732" s="14">
        <f>$C$9</f>
        <v/>
      </c>
      <c r="R1732" s="14">
        <f>_xlfn.LOGNORM.INV($AF1732,LN($C$10)-0.5*LN(1+($D$10/$C$10)^2),SQRT(LN(1+($D$10/$C$10)^2)))</f>
        <v/>
      </c>
      <c r="S1732" s="14">
        <f>SUM(M1732:R1732)</f>
        <v/>
      </c>
      <c r="AA1732">
        <f>RAND()</f>
        <v/>
      </c>
      <c r="AB1732">
        <f>RAND()</f>
        <v/>
      </c>
      <c r="AC1732">
        <f>RAND()</f>
        <v/>
      </c>
      <c r="AD1732">
        <f>RAND()</f>
        <v/>
      </c>
      <c r="AE1732">
        <f>RAND()</f>
        <v/>
      </c>
      <c r="AF1732">
        <f>RAND()</f>
        <v/>
      </c>
    </row>
    <row r="1733">
      <c r="M1733" s="14">
        <f>_xlfn.BETA.INV($AA1733,1+4*($D$5-$C$5)/($E$5-$C$5),1+4*($E$5-$D$5)/($E$5-$C$5),$C$5,$E$5)</f>
        <v/>
      </c>
      <c r="N1733" s="14">
        <f>IF($AB1733&lt;($D$6-$C$6)/($E$6-$C$6),$C$6+SQRT($AB1733*($E$6-$C$6)*($D$6-$C$6)),$E$6-SQRT((1-$AB1733)*($E$6-$C$6)*($E$6-$D$6)))</f>
        <v/>
      </c>
      <c r="O1733" s="14">
        <f>_xlfn.NORM.INV($AC1733,$C$7,$D$7)</f>
        <v/>
      </c>
      <c r="P1733" s="14">
        <f>$C$8+($D$8-$C$8)*$AD1733</f>
        <v/>
      </c>
      <c r="Q1733" s="14">
        <f>$C$9</f>
        <v/>
      </c>
      <c r="R1733" s="14">
        <f>_xlfn.LOGNORM.INV($AF1733,LN($C$10)-0.5*LN(1+($D$10/$C$10)^2),SQRT(LN(1+($D$10/$C$10)^2)))</f>
        <v/>
      </c>
      <c r="S1733" s="14">
        <f>SUM(M1733:R1733)</f>
        <v/>
      </c>
      <c r="AA1733">
        <f>RAND()</f>
        <v/>
      </c>
      <c r="AB1733">
        <f>RAND()</f>
        <v/>
      </c>
      <c r="AC1733">
        <f>RAND()</f>
        <v/>
      </c>
      <c r="AD1733">
        <f>RAND()</f>
        <v/>
      </c>
      <c r="AE1733">
        <f>RAND()</f>
        <v/>
      </c>
      <c r="AF1733">
        <f>RAND()</f>
        <v/>
      </c>
    </row>
    <row r="1734">
      <c r="M1734" s="14">
        <f>_xlfn.BETA.INV($AA1734,1+4*($D$5-$C$5)/($E$5-$C$5),1+4*($E$5-$D$5)/($E$5-$C$5),$C$5,$E$5)</f>
        <v/>
      </c>
      <c r="N1734" s="14">
        <f>IF($AB1734&lt;($D$6-$C$6)/($E$6-$C$6),$C$6+SQRT($AB1734*($E$6-$C$6)*($D$6-$C$6)),$E$6-SQRT((1-$AB1734)*($E$6-$C$6)*($E$6-$D$6)))</f>
        <v/>
      </c>
      <c r="O1734" s="14">
        <f>_xlfn.NORM.INV($AC1734,$C$7,$D$7)</f>
        <v/>
      </c>
      <c r="P1734" s="14">
        <f>$C$8+($D$8-$C$8)*$AD1734</f>
        <v/>
      </c>
      <c r="Q1734" s="14">
        <f>$C$9</f>
        <v/>
      </c>
      <c r="R1734" s="14">
        <f>_xlfn.LOGNORM.INV($AF1734,LN($C$10)-0.5*LN(1+($D$10/$C$10)^2),SQRT(LN(1+($D$10/$C$10)^2)))</f>
        <v/>
      </c>
      <c r="S1734" s="14">
        <f>SUM(M1734:R1734)</f>
        <v/>
      </c>
      <c r="AA1734">
        <f>RAND()</f>
        <v/>
      </c>
      <c r="AB1734">
        <f>RAND()</f>
        <v/>
      </c>
      <c r="AC1734">
        <f>RAND()</f>
        <v/>
      </c>
      <c r="AD1734">
        <f>RAND()</f>
        <v/>
      </c>
      <c r="AE1734">
        <f>RAND()</f>
        <v/>
      </c>
      <c r="AF1734">
        <f>RAND()</f>
        <v/>
      </c>
    </row>
    <row r="1735">
      <c r="M1735" s="14">
        <f>_xlfn.BETA.INV($AA1735,1+4*($D$5-$C$5)/($E$5-$C$5),1+4*($E$5-$D$5)/($E$5-$C$5),$C$5,$E$5)</f>
        <v/>
      </c>
      <c r="N1735" s="14">
        <f>IF($AB1735&lt;($D$6-$C$6)/($E$6-$C$6),$C$6+SQRT($AB1735*($E$6-$C$6)*($D$6-$C$6)),$E$6-SQRT((1-$AB1735)*($E$6-$C$6)*($E$6-$D$6)))</f>
        <v/>
      </c>
      <c r="O1735" s="14">
        <f>_xlfn.NORM.INV($AC1735,$C$7,$D$7)</f>
        <v/>
      </c>
      <c r="P1735" s="14">
        <f>$C$8+($D$8-$C$8)*$AD1735</f>
        <v/>
      </c>
      <c r="Q1735" s="14">
        <f>$C$9</f>
        <v/>
      </c>
      <c r="R1735" s="14">
        <f>_xlfn.LOGNORM.INV($AF1735,LN($C$10)-0.5*LN(1+($D$10/$C$10)^2),SQRT(LN(1+($D$10/$C$10)^2)))</f>
        <v/>
      </c>
      <c r="S1735" s="14">
        <f>SUM(M1735:R1735)</f>
        <v/>
      </c>
      <c r="AA1735">
        <f>RAND()</f>
        <v/>
      </c>
      <c r="AB1735">
        <f>RAND()</f>
        <v/>
      </c>
      <c r="AC1735">
        <f>RAND()</f>
        <v/>
      </c>
      <c r="AD1735">
        <f>RAND()</f>
        <v/>
      </c>
      <c r="AE1735">
        <f>RAND()</f>
        <v/>
      </c>
      <c r="AF1735">
        <f>RAND()</f>
        <v/>
      </c>
    </row>
    <row r="1736">
      <c r="M1736" s="14">
        <f>_xlfn.BETA.INV($AA1736,1+4*($D$5-$C$5)/($E$5-$C$5),1+4*($E$5-$D$5)/($E$5-$C$5),$C$5,$E$5)</f>
        <v/>
      </c>
      <c r="N1736" s="14">
        <f>IF($AB1736&lt;($D$6-$C$6)/($E$6-$C$6),$C$6+SQRT($AB1736*($E$6-$C$6)*($D$6-$C$6)),$E$6-SQRT((1-$AB1736)*($E$6-$C$6)*($E$6-$D$6)))</f>
        <v/>
      </c>
      <c r="O1736" s="14">
        <f>_xlfn.NORM.INV($AC1736,$C$7,$D$7)</f>
        <v/>
      </c>
      <c r="P1736" s="14">
        <f>$C$8+($D$8-$C$8)*$AD1736</f>
        <v/>
      </c>
      <c r="Q1736" s="14">
        <f>$C$9</f>
        <v/>
      </c>
      <c r="R1736" s="14">
        <f>_xlfn.LOGNORM.INV($AF1736,LN($C$10)-0.5*LN(1+($D$10/$C$10)^2),SQRT(LN(1+($D$10/$C$10)^2)))</f>
        <v/>
      </c>
      <c r="S1736" s="14">
        <f>SUM(M1736:R1736)</f>
        <v/>
      </c>
      <c r="AA1736">
        <f>RAND()</f>
        <v/>
      </c>
      <c r="AB1736">
        <f>RAND()</f>
        <v/>
      </c>
      <c r="AC1736">
        <f>RAND()</f>
        <v/>
      </c>
      <c r="AD1736">
        <f>RAND()</f>
        <v/>
      </c>
      <c r="AE1736">
        <f>RAND()</f>
        <v/>
      </c>
      <c r="AF1736">
        <f>RAND()</f>
        <v/>
      </c>
    </row>
    <row r="1737">
      <c r="M1737" s="14">
        <f>_xlfn.BETA.INV($AA1737,1+4*($D$5-$C$5)/($E$5-$C$5),1+4*($E$5-$D$5)/($E$5-$C$5),$C$5,$E$5)</f>
        <v/>
      </c>
      <c r="N1737" s="14">
        <f>IF($AB1737&lt;($D$6-$C$6)/($E$6-$C$6),$C$6+SQRT($AB1737*($E$6-$C$6)*($D$6-$C$6)),$E$6-SQRT((1-$AB1737)*($E$6-$C$6)*($E$6-$D$6)))</f>
        <v/>
      </c>
      <c r="O1737" s="14">
        <f>_xlfn.NORM.INV($AC1737,$C$7,$D$7)</f>
        <v/>
      </c>
      <c r="P1737" s="14">
        <f>$C$8+($D$8-$C$8)*$AD1737</f>
        <v/>
      </c>
      <c r="Q1737" s="14">
        <f>$C$9</f>
        <v/>
      </c>
      <c r="R1737" s="14">
        <f>_xlfn.LOGNORM.INV($AF1737,LN($C$10)-0.5*LN(1+($D$10/$C$10)^2),SQRT(LN(1+($D$10/$C$10)^2)))</f>
        <v/>
      </c>
      <c r="S1737" s="14">
        <f>SUM(M1737:R1737)</f>
        <v/>
      </c>
      <c r="AA1737">
        <f>RAND()</f>
        <v/>
      </c>
      <c r="AB1737">
        <f>RAND()</f>
        <v/>
      </c>
      <c r="AC1737">
        <f>RAND()</f>
        <v/>
      </c>
      <c r="AD1737">
        <f>RAND()</f>
        <v/>
      </c>
      <c r="AE1737">
        <f>RAND()</f>
        <v/>
      </c>
      <c r="AF1737">
        <f>RAND()</f>
        <v/>
      </c>
    </row>
    <row r="1738">
      <c r="M1738" s="14">
        <f>_xlfn.BETA.INV($AA1738,1+4*($D$5-$C$5)/($E$5-$C$5),1+4*($E$5-$D$5)/($E$5-$C$5),$C$5,$E$5)</f>
        <v/>
      </c>
      <c r="N1738" s="14">
        <f>IF($AB1738&lt;($D$6-$C$6)/($E$6-$C$6),$C$6+SQRT($AB1738*($E$6-$C$6)*($D$6-$C$6)),$E$6-SQRT((1-$AB1738)*($E$6-$C$6)*($E$6-$D$6)))</f>
        <v/>
      </c>
      <c r="O1738" s="14">
        <f>_xlfn.NORM.INV($AC1738,$C$7,$D$7)</f>
        <v/>
      </c>
      <c r="P1738" s="14">
        <f>$C$8+($D$8-$C$8)*$AD1738</f>
        <v/>
      </c>
      <c r="Q1738" s="14">
        <f>$C$9</f>
        <v/>
      </c>
      <c r="R1738" s="14">
        <f>_xlfn.LOGNORM.INV($AF1738,LN($C$10)-0.5*LN(1+($D$10/$C$10)^2),SQRT(LN(1+($D$10/$C$10)^2)))</f>
        <v/>
      </c>
      <c r="S1738" s="14">
        <f>SUM(M1738:R1738)</f>
        <v/>
      </c>
      <c r="AA1738">
        <f>RAND()</f>
        <v/>
      </c>
      <c r="AB1738">
        <f>RAND()</f>
        <v/>
      </c>
      <c r="AC1738">
        <f>RAND()</f>
        <v/>
      </c>
      <c r="AD1738">
        <f>RAND()</f>
        <v/>
      </c>
      <c r="AE1738">
        <f>RAND()</f>
        <v/>
      </c>
      <c r="AF1738">
        <f>RAND()</f>
        <v/>
      </c>
    </row>
    <row r="1739">
      <c r="M1739" s="14">
        <f>_xlfn.BETA.INV($AA1739,1+4*($D$5-$C$5)/($E$5-$C$5),1+4*($E$5-$D$5)/($E$5-$C$5),$C$5,$E$5)</f>
        <v/>
      </c>
      <c r="N1739" s="14">
        <f>IF($AB1739&lt;($D$6-$C$6)/($E$6-$C$6),$C$6+SQRT($AB1739*($E$6-$C$6)*($D$6-$C$6)),$E$6-SQRT((1-$AB1739)*($E$6-$C$6)*($E$6-$D$6)))</f>
        <v/>
      </c>
      <c r="O1739" s="14">
        <f>_xlfn.NORM.INV($AC1739,$C$7,$D$7)</f>
        <v/>
      </c>
      <c r="P1739" s="14">
        <f>$C$8+($D$8-$C$8)*$AD1739</f>
        <v/>
      </c>
      <c r="Q1739" s="14">
        <f>$C$9</f>
        <v/>
      </c>
      <c r="R1739" s="14">
        <f>_xlfn.LOGNORM.INV($AF1739,LN($C$10)-0.5*LN(1+($D$10/$C$10)^2),SQRT(LN(1+($D$10/$C$10)^2)))</f>
        <v/>
      </c>
      <c r="S1739" s="14">
        <f>SUM(M1739:R1739)</f>
        <v/>
      </c>
      <c r="AA1739">
        <f>RAND()</f>
        <v/>
      </c>
      <c r="AB1739">
        <f>RAND()</f>
        <v/>
      </c>
      <c r="AC1739">
        <f>RAND()</f>
        <v/>
      </c>
      <c r="AD1739">
        <f>RAND()</f>
        <v/>
      </c>
      <c r="AE1739">
        <f>RAND()</f>
        <v/>
      </c>
      <c r="AF1739">
        <f>RAND()</f>
        <v/>
      </c>
    </row>
    <row r="1740">
      <c r="M1740" s="14">
        <f>_xlfn.BETA.INV($AA1740,1+4*($D$5-$C$5)/($E$5-$C$5),1+4*($E$5-$D$5)/($E$5-$C$5),$C$5,$E$5)</f>
        <v/>
      </c>
      <c r="N1740" s="14">
        <f>IF($AB1740&lt;($D$6-$C$6)/($E$6-$C$6),$C$6+SQRT($AB1740*($E$6-$C$6)*($D$6-$C$6)),$E$6-SQRT((1-$AB1740)*($E$6-$C$6)*($E$6-$D$6)))</f>
        <v/>
      </c>
      <c r="O1740" s="14">
        <f>_xlfn.NORM.INV($AC1740,$C$7,$D$7)</f>
        <v/>
      </c>
      <c r="P1740" s="14">
        <f>$C$8+($D$8-$C$8)*$AD1740</f>
        <v/>
      </c>
      <c r="Q1740" s="14">
        <f>$C$9</f>
        <v/>
      </c>
      <c r="R1740" s="14">
        <f>_xlfn.LOGNORM.INV($AF1740,LN($C$10)-0.5*LN(1+($D$10/$C$10)^2),SQRT(LN(1+($D$10/$C$10)^2)))</f>
        <v/>
      </c>
      <c r="S1740" s="14">
        <f>SUM(M1740:R1740)</f>
        <v/>
      </c>
      <c r="AA1740">
        <f>RAND()</f>
        <v/>
      </c>
      <c r="AB1740">
        <f>RAND()</f>
        <v/>
      </c>
      <c r="AC1740">
        <f>RAND()</f>
        <v/>
      </c>
      <c r="AD1740">
        <f>RAND()</f>
        <v/>
      </c>
      <c r="AE1740">
        <f>RAND()</f>
        <v/>
      </c>
      <c r="AF1740">
        <f>RAND()</f>
        <v/>
      </c>
    </row>
    <row r="1741">
      <c r="M1741" s="14">
        <f>_xlfn.BETA.INV($AA1741,1+4*($D$5-$C$5)/($E$5-$C$5),1+4*($E$5-$D$5)/($E$5-$C$5),$C$5,$E$5)</f>
        <v/>
      </c>
      <c r="N1741" s="14">
        <f>IF($AB1741&lt;($D$6-$C$6)/($E$6-$C$6),$C$6+SQRT($AB1741*($E$6-$C$6)*($D$6-$C$6)),$E$6-SQRT((1-$AB1741)*($E$6-$C$6)*($E$6-$D$6)))</f>
        <v/>
      </c>
      <c r="O1741" s="14">
        <f>_xlfn.NORM.INV($AC1741,$C$7,$D$7)</f>
        <v/>
      </c>
      <c r="P1741" s="14">
        <f>$C$8+($D$8-$C$8)*$AD1741</f>
        <v/>
      </c>
      <c r="Q1741" s="14">
        <f>$C$9</f>
        <v/>
      </c>
      <c r="R1741" s="14">
        <f>_xlfn.LOGNORM.INV($AF1741,LN($C$10)-0.5*LN(1+($D$10/$C$10)^2),SQRT(LN(1+($D$10/$C$10)^2)))</f>
        <v/>
      </c>
      <c r="S1741" s="14">
        <f>SUM(M1741:R1741)</f>
        <v/>
      </c>
      <c r="AA1741">
        <f>RAND()</f>
        <v/>
      </c>
      <c r="AB1741">
        <f>RAND()</f>
        <v/>
      </c>
      <c r="AC1741">
        <f>RAND()</f>
        <v/>
      </c>
      <c r="AD1741">
        <f>RAND()</f>
        <v/>
      </c>
      <c r="AE1741">
        <f>RAND()</f>
        <v/>
      </c>
      <c r="AF1741">
        <f>RAND()</f>
        <v/>
      </c>
    </row>
    <row r="1742">
      <c r="M1742" s="14">
        <f>_xlfn.BETA.INV($AA1742,1+4*($D$5-$C$5)/($E$5-$C$5),1+4*($E$5-$D$5)/($E$5-$C$5),$C$5,$E$5)</f>
        <v/>
      </c>
      <c r="N1742" s="14">
        <f>IF($AB1742&lt;($D$6-$C$6)/($E$6-$C$6),$C$6+SQRT($AB1742*($E$6-$C$6)*($D$6-$C$6)),$E$6-SQRT((1-$AB1742)*($E$6-$C$6)*($E$6-$D$6)))</f>
        <v/>
      </c>
      <c r="O1742" s="14">
        <f>_xlfn.NORM.INV($AC1742,$C$7,$D$7)</f>
        <v/>
      </c>
      <c r="P1742" s="14">
        <f>$C$8+($D$8-$C$8)*$AD1742</f>
        <v/>
      </c>
      <c r="Q1742" s="14">
        <f>$C$9</f>
        <v/>
      </c>
      <c r="R1742" s="14">
        <f>_xlfn.LOGNORM.INV($AF1742,LN($C$10)-0.5*LN(1+($D$10/$C$10)^2),SQRT(LN(1+($D$10/$C$10)^2)))</f>
        <v/>
      </c>
      <c r="S1742" s="14">
        <f>SUM(M1742:R1742)</f>
        <v/>
      </c>
      <c r="AA1742">
        <f>RAND()</f>
        <v/>
      </c>
      <c r="AB1742">
        <f>RAND()</f>
        <v/>
      </c>
      <c r="AC1742">
        <f>RAND()</f>
        <v/>
      </c>
      <c r="AD1742">
        <f>RAND()</f>
        <v/>
      </c>
      <c r="AE1742">
        <f>RAND()</f>
        <v/>
      </c>
      <c r="AF1742">
        <f>RAND()</f>
        <v/>
      </c>
    </row>
    <row r="1743">
      <c r="M1743" s="14">
        <f>_xlfn.BETA.INV($AA1743,1+4*($D$5-$C$5)/($E$5-$C$5),1+4*($E$5-$D$5)/($E$5-$C$5),$C$5,$E$5)</f>
        <v/>
      </c>
      <c r="N1743" s="14">
        <f>IF($AB1743&lt;($D$6-$C$6)/($E$6-$C$6),$C$6+SQRT($AB1743*($E$6-$C$6)*($D$6-$C$6)),$E$6-SQRT((1-$AB1743)*($E$6-$C$6)*($E$6-$D$6)))</f>
        <v/>
      </c>
      <c r="O1743" s="14">
        <f>_xlfn.NORM.INV($AC1743,$C$7,$D$7)</f>
        <v/>
      </c>
      <c r="P1743" s="14">
        <f>$C$8+($D$8-$C$8)*$AD1743</f>
        <v/>
      </c>
      <c r="Q1743" s="14">
        <f>$C$9</f>
        <v/>
      </c>
      <c r="R1743" s="14">
        <f>_xlfn.LOGNORM.INV($AF1743,LN($C$10)-0.5*LN(1+($D$10/$C$10)^2),SQRT(LN(1+($D$10/$C$10)^2)))</f>
        <v/>
      </c>
      <c r="S1743" s="14">
        <f>SUM(M1743:R1743)</f>
        <v/>
      </c>
      <c r="AA1743">
        <f>RAND()</f>
        <v/>
      </c>
      <c r="AB1743">
        <f>RAND()</f>
        <v/>
      </c>
      <c r="AC1743">
        <f>RAND()</f>
        <v/>
      </c>
      <c r="AD1743">
        <f>RAND()</f>
        <v/>
      </c>
      <c r="AE1743">
        <f>RAND()</f>
        <v/>
      </c>
      <c r="AF1743">
        <f>RAND()</f>
        <v/>
      </c>
    </row>
    <row r="1744">
      <c r="M1744" s="14">
        <f>_xlfn.BETA.INV($AA1744,1+4*($D$5-$C$5)/($E$5-$C$5),1+4*($E$5-$D$5)/($E$5-$C$5),$C$5,$E$5)</f>
        <v/>
      </c>
      <c r="N1744" s="14">
        <f>IF($AB1744&lt;($D$6-$C$6)/($E$6-$C$6),$C$6+SQRT($AB1744*($E$6-$C$6)*($D$6-$C$6)),$E$6-SQRT((1-$AB1744)*($E$6-$C$6)*($E$6-$D$6)))</f>
        <v/>
      </c>
      <c r="O1744" s="14">
        <f>_xlfn.NORM.INV($AC1744,$C$7,$D$7)</f>
        <v/>
      </c>
      <c r="P1744" s="14">
        <f>$C$8+($D$8-$C$8)*$AD1744</f>
        <v/>
      </c>
      <c r="Q1744" s="14">
        <f>$C$9</f>
        <v/>
      </c>
      <c r="R1744" s="14">
        <f>_xlfn.LOGNORM.INV($AF1744,LN($C$10)-0.5*LN(1+($D$10/$C$10)^2),SQRT(LN(1+($D$10/$C$10)^2)))</f>
        <v/>
      </c>
      <c r="S1744" s="14">
        <f>SUM(M1744:R1744)</f>
        <v/>
      </c>
      <c r="AA1744">
        <f>RAND()</f>
        <v/>
      </c>
      <c r="AB1744">
        <f>RAND()</f>
        <v/>
      </c>
      <c r="AC1744">
        <f>RAND()</f>
        <v/>
      </c>
      <c r="AD1744">
        <f>RAND()</f>
        <v/>
      </c>
      <c r="AE1744">
        <f>RAND()</f>
        <v/>
      </c>
      <c r="AF1744">
        <f>RAND()</f>
        <v/>
      </c>
    </row>
    <row r="1745">
      <c r="M1745" s="14">
        <f>_xlfn.BETA.INV($AA1745,1+4*($D$5-$C$5)/($E$5-$C$5),1+4*($E$5-$D$5)/($E$5-$C$5),$C$5,$E$5)</f>
        <v/>
      </c>
      <c r="N1745" s="14">
        <f>IF($AB1745&lt;($D$6-$C$6)/($E$6-$C$6),$C$6+SQRT($AB1745*($E$6-$C$6)*($D$6-$C$6)),$E$6-SQRT((1-$AB1745)*($E$6-$C$6)*($E$6-$D$6)))</f>
        <v/>
      </c>
      <c r="O1745" s="14">
        <f>_xlfn.NORM.INV($AC1745,$C$7,$D$7)</f>
        <v/>
      </c>
      <c r="P1745" s="14">
        <f>$C$8+($D$8-$C$8)*$AD1745</f>
        <v/>
      </c>
      <c r="Q1745" s="14">
        <f>$C$9</f>
        <v/>
      </c>
      <c r="R1745" s="14">
        <f>_xlfn.LOGNORM.INV($AF1745,LN($C$10)-0.5*LN(1+($D$10/$C$10)^2),SQRT(LN(1+($D$10/$C$10)^2)))</f>
        <v/>
      </c>
      <c r="S1745" s="14">
        <f>SUM(M1745:R1745)</f>
        <v/>
      </c>
      <c r="AA1745">
        <f>RAND()</f>
        <v/>
      </c>
      <c r="AB1745">
        <f>RAND()</f>
        <v/>
      </c>
      <c r="AC1745">
        <f>RAND()</f>
        <v/>
      </c>
      <c r="AD1745">
        <f>RAND()</f>
        <v/>
      </c>
      <c r="AE1745">
        <f>RAND()</f>
        <v/>
      </c>
      <c r="AF1745">
        <f>RAND()</f>
        <v/>
      </c>
    </row>
    <row r="1746">
      <c r="M1746" s="14">
        <f>_xlfn.BETA.INV($AA1746,1+4*($D$5-$C$5)/($E$5-$C$5),1+4*($E$5-$D$5)/($E$5-$C$5),$C$5,$E$5)</f>
        <v/>
      </c>
      <c r="N1746" s="14">
        <f>IF($AB1746&lt;($D$6-$C$6)/($E$6-$C$6),$C$6+SQRT($AB1746*($E$6-$C$6)*($D$6-$C$6)),$E$6-SQRT((1-$AB1746)*($E$6-$C$6)*($E$6-$D$6)))</f>
        <v/>
      </c>
      <c r="O1746" s="14">
        <f>_xlfn.NORM.INV($AC1746,$C$7,$D$7)</f>
        <v/>
      </c>
      <c r="P1746" s="14">
        <f>$C$8+($D$8-$C$8)*$AD1746</f>
        <v/>
      </c>
      <c r="Q1746" s="14">
        <f>$C$9</f>
        <v/>
      </c>
      <c r="R1746" s="14">
        <f>_xlfn.LOGNORM.INV($AF1746,LN($C$10)-0.5*LN(1+($D$10/$C$10)^2),SQRT(LN(1+($D$10/$C$10)^2)))</f>
        <v/>
      </c>
      <c r="S1746" s="14">
        <f>SUM(M1746:R1746)</f>
        <v/>
      </c>
      <c r="AA1746">
        <f>RAND()</f>
        <v/>
      </c>
      <c r="AB1746">
        <f>RAND()</f>
        <v/>
      </c>
      <c r="AC1746">
        <f>RAND()</f>
        <v/>
      </c>
      <c r="AD1746">
        <f>RAND()</f>
        <v/>
      </c>
      <c r="AE1746">
        <f>RAND()</f>
        <v/>
      </c>
      <c r="AF1746">
        <f>RAND()</f>
        <v/>
      </c>
    </row>
    <row r="1747">
      <c r="M1747" s="14">
        <f>_xlfn.BETA.INV($AA1747,1+4*($D$5-$C$5)/($E$5-$C$5),1+4*($E$5-$D$5)/($E$5-$C$5),$C$5,$E$5)</f>
        <v/>
      </c>
      <c r="N1747" s="14">
        <f>IF($AB1747&lt;($D$6-$C$6)/($E$6-$C$6),$C$6+SQRT($AB1747*($E$6-$C$6)*($D$6-$C$6)),$E$6-SQRT((1-$AB1747)*($E$6-$C$6)*($E$6-$D$6)))</f>
        <v/>
      </c>
      <c r="O1747" s="14">
        <f>_xlfn.NORM.INV($AC1747,$C$7,$D$7)</f>
        <v/>
      </c>
      <c r="P1747" s="14">
        <f>$C$8+($D$8-$C$8)*$AD1747</f>
        <v/>
      </c>
      <c r="Q1747" s="14">
        <f>$C$9</f>
        <v/>
      </c>
      <c r="R1747" s="14">
        <f>_xlfn.LOGNORM.INV($AF1747,LN($C$10)-0.5*LN(1+($D$10/$C$10)^2),SQRT(LN(1+($D$10/$C$10)^2)))</f>
        <v/>
      </c>
      <c r="S1747" s="14">
        <f>SUM(M1747:R1747)</f>
        <v/>
      </c>
      <c r="AA1747">
        <f>RAND()</f>
        <v/>
      </c>
      <c r="AB1747">
        <f>RAND()</f>
        <v/>
      </c>
      <c r="AC1747">
        <f>RAND()</f>
        <v/>
      </c>
      <c r="AD1747">
        <f>RAND()</f>
        <v/>
      </c>
      <c r="AE1747">
        <f>RAND()</f>
        <v/>
      </c>
      <c r="AF1747">
        <f>RAND()</f>
        <v/>
      </c>
    </row>
    <row r="1748">
      <c r="M1748" s="14">
        <f>_xlfn.BETA.INV($AA1748,1+4*($D$5-$C$5)/($E$5-$C$5),1+4*($E$5-$D$5)/($E$5-$C$5),$C$5,$E$5)</f>
        <v/>
      </c>
      <c r="N1748" s="14">
        <f>IF($AB1748&lt;($D$6-$C$6)/($E$6-$C$6),$C$6+SQRT($AB1748*($E$6-$C$6)*($D$6-$C$6)),$E$6-SQRT((1-$AB1748)*($E$6-$C$6)*($E$6-$D$6)))</f>
        <v/>
      </c>
      <c r="O1748" s="14">
        <f>_xlfn.NORM.INV($AC1748,$C$7,$D$7)</f>
        <v/>
      </c>
      <c r="P1748" s="14">
        <f>$C$8+($D$8-$C$8)*$AD1748</f>
        <v/>
      </c>
      <c r="Q1748" s="14">
        <f>$C$9</f>
        <v/>
      </c>
      <c r="R1748" s="14">
        <f>_xlfn.LOGNORM.INV($AF1748,LN($C$10)-0.5*LN(1+($D$10/$C$10)^2),SQRT(LN(1+($D$10/$C$10)^2)))</f>
        <v/>
      </c>
      <c r="S1748" s="14">
        <f>SUM(M1748:R1748)</f>
        <v/>
      </c>
      <c r="AA1748">
        <f>RAND()</f>
        <v/>
      </c>
      <c r="AB1748">
        <f>RAND()</f>
        <v/>
      </c>
      <c r="AC1748">
        <f>RAND()</f>
        <v/>
      </c>
      <c r="AD1748">
        <f>RAND()</f>
        <v/>
      </c>
      <c r="AE1748">
        <f>RAND()</f>
        <v/>
      </c>
      <c r="AF1748">
        <f>RAND()</f>
        <v/>
      </c>
    </row>
    <row r="1749">
      <c r="M1749" s="14">
        <f>_xlfn.BETA.INV($AA1749,1+4*($D$5-$C$5)/($E$5-$C$5),1+4*($E$5-$D$5)/($E$5-$C$5),$C$5,$E$5)</f>
        <v/>
      </c>
      <c r="N1749" s="14">
        <f>IF($AB1749&lt;($D$6-$C$6)/($E$6-$C$6),$C$6+SQRT($AB1749*($E$6-$C$6)*($D$6-$C$6)),$E$6-SQRT((1-$AB1749)*($E$6-$C$6)*($E$6-$D$6)))</f>
        <v/>
      </c>
      <c r="O1749" s="14">
        <f>_xlfn.NORM.INV($AC1749,$C$7,$D$7)</f>
        <v/>
      </c>
      <c r="P1749" s="14">
        <f>$C$8+($D$8-$C$8)*$AD1749</f>
        <v/>
      </c>
      <c r="Q1749" s="14">
        <f>$C$9</f>
        <v/>
      </c>
      <c r="R1749" s="14">
        <f>_xlfn.LOGNORM.INV($AF1749,LN($C$10)-0.5*LN(1+($D$10/$C$10)^2),SQRT(LN(1+($D$10/$C$10)^2)))</f>
        <v/>
      </c>
      <c r="S1749" s="14">
        <f>SUM(M1749:R1749)</f>
        <v/>
      </c>
      <c r="AA1749">
        <f>RAND()</f>
        <v/>
      </c>
      <c r="AB1749">
        <f>RAND()</f>
        <v/>
      </c>
      <c r="AC1749">
        <f>RAND()</f>
        <v/>
      </c>
      <c r="AD1749">
        <f>RAND()</f>
        <v/>
      </c>
      <c r="AE1749">
        <f>RAND()</f>
        <v/>
      </c>
      <c r="AF1749">
        <f>RAND()</f>
        <v/>
      </c>
    </row>
    <row r="1750">
      <c r="M1750" s="14">
        <f>_xlfn.BETA.INV($AA1750,1+4*($D$5-$C$5)/($E$5-$C$5),1+4*($E$5-$D$5)/($E$5-$C$5),$C$5,$E$5)</f>
        <v/>
      </c>
      <c r="N1750" s="14">
        <f>IF($AB1750&lt;($D$6-$C$6)/($E$6-$C$6),$C$6+SQRT($AB1750*($E$6-$C$6)*($D$6-$C$6)),$E$6-SQRT((1-$AB1750)*($E$6-$C$6)*($E$6-$D$6)))</f>
        <v/>
      </c>
      <c r="O1750" s="14">
        <f>_xlfn.NORM.INV($AC1750,$C$7,$D$7)</f>
        <v/>
      </c>
      <c r="P1750" s="14">
        <f>$C$8+($D$8-$C$8)*$AD1750</f>
        <v/>
      </c>
      <c r="Q1750" s="14">
        <f>$C$9</f>
        <v/>
      </c>
      <c r="R1750" s="14">
        <f>_xlfn.LOGNORM.INV($AF1750,LN($C$10)-0.5*LN(1+($D$10/$C$10)^2),SQRT(LN(1+($D$10/$C$10)^2)))</f>
        <v/>
      </c>
      <c r="S1750" s="14">
        <f>SUM(M1750:R1750)</f>
        <v/>
      </c>
      <c r="AA1750">
        <f>RAND()</f>
        <v/>
      </c>
      <c r="AB1750">
        <f>RAND()</f>
        <v/>
      </c>
      <c r="AC1750">
        <f>RAND()</f>
        <v/>
      </c>
      <c r="AD1750">
        <f>RAND()</f>
        <v/>
      </c>
      <c r="AE1750">
        <f>RAND()</f>
        <v/>
      </c>
      <c r="AF1750">
        <f>RAND()</f>
        <v/>
      </c>
    </row>
    <row r="1751">
      <c r="M1751" s="14">
        <f>_xlfn.BETA.INV($AA1751,1+4*($D$5-$C$5)/($E$5-$C$5),1+4*($E$5-$D$5)/($E$5-$C$5),$C$5,$E$5)</f>
        <v/>
      </c>
      <c r="N1751" s="14">
        <f>IF($AB1751&lt;($D$6-$C$6)/($E$6-$C$6),$C$6+SQRT($AB1751*($E$6-$C$6)*($D$6-$C$6)),$E$6-SQRT((1-$AB1751)*($E$6-$C$6)*($E$6-$D$6)))</f>
        <v/>
      </c>
      <c r="O1751" s="14">
        <f>_xlfn.NORM.INV($AC1751,$C$7,$D$7)</f>
        <v/>
      </c>
      <c r="P1751" s="14">
        <f>$C$8+($D$8-$C$8)*$AD1751</f>
        <v/>
      </c>
      <c r="Q1751" s="14">
        <f>$C$9</f>
        <v/>
      </c>
      <c r="R1751" s="14">
        <f>_xlfn.LOGNORM.INV($AF1751,LN($C$10)-0.5*LN(1+($D$10/$C$10)^2),SQRT(LN(1+($D$10/$C$10)^2)))</f>
        <v/>
      </c>
      <c r="S1751" s="14">
        <f>SUM(M1751:R1751)</f>
        <v/>
      </c>
      <c r="AA1751">
        <f>RAND()</f>
        <v/>
      </c>
      <c r="AB1751">
        <f>RAND()</f>
        <v/>
      </c>
      <c r="AC1751">
        <f>RAND()</f>
        <v/>
      </c>
      <c r="AD1751">
        <f>RAND()</f>
        <v/>
      </c>
      <c r="AE1751">
        <f>RAND()</f>
        <v/>
      </c>
      <c r="AF1751">
        <f>RAND()</f>
        <v/>
      </c>
    </row>
    <row r="1752">
      <c r="M1752" s="14">
        <f>_xlfn.BETA.INV($AA1752,1+4*($D$5-$C$5)/($E$5-$C$5),1+4*($E$5-$D$5)/($E$5-$C$5),$C$5,$E$5)</f>
        <v/>
      </c>
      <c r="N1752" s="14">
        <f>IF($AB1752&lt;($D$6-$C$6)/($E$6-$C$6),$C$6+SQRT($AB1752*($E$6-$C$6)*($D$6-$C$6)),$E$6-SQRT((1-$AB1752)*($E$6-$C$6)*($E$6-$D$6)))</f>
        <v/>
      </c>
      <c r="O1752" s="14">
        <f>_xlfn.NORM.INV($AC1752,$C$7,$D$7)</f>
        <v/>
      </c>
      <c r="P1752" s="14">
        <f>$C$8+($D$8-$C$8)*$AD1752</f>
        <v/>
      </c>
      <c r="Q1752" s="14">
        <f>$C$9</f>
        <v/>
      </c>
      <c r="R1752" s="14">
        <f>_xlfn.LOGNORM.INV($AF1752,LN($C$10)-0.5*LN(1+($D$10/$C$10)^2),SQRT(LN(1+($D$10/$C$10)^2)))</f>
        <v/>
      </c>
      <c r="S1752" s="14">
        <f>SUM(M1752:R1752)</f>
        <v/>
      </c>
      <c r="AA1752">
        <f>RAND()</f>
        <v/>
      </c>
      <c r="AB1752">
        <f>RAND()</f>
        <v/>
      </c>
      <c r="AC1752">
        <f>RAND()</f>
        <v/>
      </c>
      <c r="AD1752">
        <f>RAND()</f>
        <v/>
      </c>
      <c r="AE1752">
        <f>RAND()</f>
        <v/>
      </c>
      <c r="AF1752">
        <f>RAND()</f>
        <v/>
      </c>
    </row>
    <row r="1753">
      <c r="M1753" s="14">
        <f>_xlfn.BETA.INV($AA1753,1+4*($D$5-$C$5)/($E$5-$C$5),1+4*($E$5-$D$5)/($E$5-$C$5),$C$5,$E$5)</f>
        <v/>
      </c>
      <c r="N1753" s="14">
        <f>IF($AB1753&lt;($D$6-$C$6)/($E$6-$C$6),$C$6+SQRT($AB1753*($E$6-$C$6)*($D$6-$C$6)),$E$6-SQRT((1-$AB1753)*($E$6-$C$6)*($E$6-$D$6)))</f>
        <v/>
      </c>
      <c r="O1753" s="14">
        <f>_xlfn.NORM.INV($AC1753,$C$7,$D$7)</f>
        <v/>
      </c>
      <c r="P1753" s="14">
        <f>$C$8+($D$8-$C$8)*$AD1753</f>
        <v/>
      </c>
      <c r="Q1753" s="14">
        <f>$C$9</f>
        <v/>
      </c>
      <c r="R1753" s="14">
        <f>_xlfn.LOGNORM.INV($AF1753,LN($C$10)-0.5*LN(1+($D$10/$C$10)^2),SQRT(LN(1+($D$10/$C$10)^2)))</f>
        <v/>
      </c>
      <c r="S1753" s="14">
        <f>SUM(M1753:R1753)</f>
        <v/>
      </c>
      <c r="AA1753">
        <f>RAND()</f>
        <v/>
      </c>
      <c r="AB1753">
        <f>RAND()</f>
        <v/>
      </c>
      <c r="AC1753">
        <f>RAND()</f>
        <v/>
      </c>
      <c r="AD1753">
        <f>RAND()</f>
        <v/>
      </c>
      <c r="AE1753">
        <f>RAND()</f>
        <v/>
      </c>
      <c r="AF1753">
        <f>RAND()</f>
        <v/>
      </c>
    </row>
    <row r="1754">
      <c r="M1754" s="14">
        <f>_xlfn.BETA.INV($AA1754,1+4*($D$5-$C$5)/($E$5-$C$5),1+4*($E$5-$D$5)/($E$5-$C$5),$C$5,$E$5)</f>
        <v/>
      </c>
      <c r="N1754" s="14">
        <f>IF($AB1754&lt;($D$6-$C$6)/($E$6-$C$6),$C$6+SQRT($AB1754*($E$6-$C$6)*($D$6-$C$6)),$E$6-SQRT((1-$AB1754)*($E$6-$C$6)*($E$6-$D$6)))</f>
        <v/>
      </c>
      <c r="O1754" s="14">
        <f>_xlfn.NORM.INV($AC1754,$C$7,$D$7)</f>
        <v/>
      </c>
      <c r="P1754" s="14">
        <f>$C$8+($D$8-$C$8)*$AD1754</f>
        <v/>
      </c>
      <c r="Q1754" s="14">
        <f>$C$9</f>
        <v/>
      </c>
      <c r="R1754" s="14">
        <f>_xlfn.LOGNORM.INV($AF1754,LN($C$10)-0.5*LN(1+($D$10/$C$10)^2),SQRT(LN(1+($D$10/$C$10)^2)))</f>
        <v/>
      </c>
      <c r="S1754" s="14">
        <f>SUM(M1754:R1754)</f>
        <v/>
      </c>
      <c r="AA1754">
        <f>RAND()</f>
        <v/>
      </c>
      <c r="AB1754">
        <f>RAND()</f>
        <v/>
      </c>
      <c r="AC1754">
        <f>RAND()</f>
        <v/>
      </c>
      <c r="AD1754">
        <f>RAND()</f>
        <v/>
      </c>
      <c r="AE1754">
        <f>RAND()</f>
        <v/>
      </c>
      <c r="AF1754">
        <f>RAND()</f>
        <v/>
      </c>
    </row>
    <row r="1755">
      <c r="M1755" s="14">
        <f>_xlfn.BETA.INV($AA1755,1+4*($D$5-$C$5)/($E$5-$C$5),1+4*($E$5-$D$5)/($E$5-$C$5),$C$5,$E$5)</f>
        <v/>
      </c>
      <c r="N1755" s="14">
        <f>IF($AB1755&lt;($D$6-$C$6)/($E$6-$C$6),$C$6+SQRT($AB1755*($E$6-$C$6)*($D$6-$C$6)),$E$6-SQRT((1-$AB1755)*($E$6-$C$6)*($E$6-$D$6)))</f>
        <v/>
      </c>
      <c r="O1755" s="14">
        <f>_xlfn.NORM.INV($AC1755,$C$7,$D$7)</f>
        <v/>
      </c>
      <c r="P1755" s="14">
        <f>$C$8+($D$8-$C$8)*$AD1755</f>
        <v/>
      </c>
      <c r="Q1755" s="14">
        <f>$C$9</f>
        <v/>
      </c>
      <c r="R1755" s="14">
        <f>_xlfn.LOGNORM.INV($AF1755,LN($C$10)-0.5*LN(1+($D$10/$C$10)^2),SQRT(LN(1+($D$10/$C$10)^2)))</f>
        <v/>
      </c>
      <c r="S1755" s="14">
        <f>SUM(M1755:R1755)</f>
        <v/>
      </c>
      <c r="AA1755">
        <f>RAND()</f>
        <v/>
      </c>
      <c r="AB1755">
        <f>RAND()</f>
        <v/>
      </c>
      <c r="AC1755">
        <f>RAND()</f>
        <v/>
      </c>
      <c r="AD1755">
        <f>RAND()</f>
        <v/>
      </c>
      <c r="AE1755">
        <f>RAND()</f>
        <v/>
      </c>
      <c r="AF1755">
        <f>RAND()</f>
        <v/>
      </c>
    </row>
    <row r="1756">
      <c r="M1756" s="14">
        <f>_xlfn.BETA.INV($AA1756,1+4*($D$5-$C$5)/($E$5-$C$5),1+4*($E$5-$D$5)/($E$5-$C$5),$C$5,$E$5)</f>
        <v/>
      </c>
      <c r="N1756" s="14">
        <f>IF($AB1756&lt;($D$6-$C$6)/($E$6-$C$6),$C$6+SQRT($AB1756*($E$6-$C$6)*($D$6-$C$6)),$E$6-SQRT((1-$AB1756)*($E$6-$C$6)*($E$6-$D$6)))</f>
        <v/>
      </c>
      <c r="O1756" s="14">
        <f>_xlfn.NORM.INV($AC1756,$C$7,$D$7)</f>
        <v/>
      </c>
      <c r="P1756" s="14">
        <f>$C$8+($D$8-$C$8)*$AD1756</f>
        <v/>
      </c>
      <c r="Q1756" s="14">
        <f>$C$9</f>
        <v/>
      </c>
      <c r="R1756" s="14">
        <f>_xlfn.LOGNORM.INV($AF1756,LN($C$10)-0.5*LN(1+($D$10/$C$10)^2),SQRT(LN(1+($D$10/$C$10)^2)))</f>
        <v/>
      </c>
      <c r="S1756" s="14">
        <f>SUM(M1756:R1756)</f>
        <v/>
      </c>
      <c r="AA1756">
        <f>RAND()</f>
        <v/>
      </c>
      <c r="AB1756">
        <f>RAND()</f>
        <v/>
      </c>
      <c r="AC1756">
        <f>RAND()</f>
        <v/>
      </c>
      <c r="AD1756">
        <f>RAND()</f>
        <v/>
      </c>
      <c r="AE1756">
        <f>RAND()</f>
        <v/>
      </c>
      <c r="AF1756">
        <f>RAND()</f>
        <v/>
      </c>
    </row>
    <row r="1757">
      <c r="M1757" s="14">
        <f>_xlfn.BETA.INV($AA1757,1+4*($D$5-$C$5)/($E$5-$C$5),1+4*($E$5-$D$5)/($E$5-$C$5),$C$5,$E$5)</f>
        <v/>
      </c>
      <c r="N1757" s="14">
        <f>IF($AB1757&lt;($D$6-$C$6)/($E$6-$C$6),$C$6+SQRT($AB1757*($E$6-$C$6)*($D$6-$C$6)),$E$6-SQRT((1-$AB1757)*($E$6-$C$6)*($E$6-$D$6)))</f>
        <v/>
      </c>
      <c r="O1757" s="14">
        <f>_xlfn.NORM.INV($AC1757,$C$7,$D$7)</f>
        <v/>
      </c>
      <c r="P1757" s="14">
        <f>$C$8+($D$8-$C$8)*$AD1757</f>
        <v/>
      </c>
      <c r="Q1757" s="14">
        <f>$C$9</f>
        <v/>
      </c>
      <c r="R1757" s="14">
        <f>_xlfn.LOGNORM.INV($AF1757,LN($C$10)-0.5*LN(1+($D$10/$C$10)^2),SQRT(LN(1+($D$10/$C$10)^2)))</f>
        <v/>
      </c>
      <c r="S1757" s="14">
        <f>SUM(M1757:R1757)</f>
        <v/>
      </c>
      <c r="AA1757">
        <f>RAND()</f>
        <v/>
      </c>
      <c r="AB1757">
        <f>RAND()</f>
        <v/>
      </c>
      <c r="AC1757">
        <f>RAND()</f>
        <v/>
      </c>
      <c r="AD1757">
        <f>RAND()</f>
        <v/>
      </c>
      <c r="AE1757">
        <f>RAND()</f>
        <v/>
      </c>
      <c r="AF1757">
        <f>RAND()</f>
        <v/>
      </c>
    </row>
    <row r="1758">
      <c r="M1758" s="14">
        <f>_xlfn.BETA.INV($AA1758,1+4*($D$5-$C$5)/($E$5-$C$5),1+4*($E$5-$D$5)/($E$5-$C$5),$C$5,$E$5)</f>
        <v/>
      </c>
      <c r="N1758" s="14">
        <f>IF($AB1758&lt;($D$6-$C$6)/($E$6-$C$6),$C$6+SQRT($AB1758*($E$6-$C$6)*($D$6-$C$6)),$E$6-SQRT((1-$AB1758)*($E$6-$C$6)*($E$6-$D$6)))</f>
        <v/>
      </c>
      <c r="O1758" s="14">
        <f>_xlfn.NORM.INV($AC1758,$C$7,$D$7)</f>
        <v/>
      </c>
      <c r="P1758" s="14">
        <f>$C$8+($D$8-$C$8)*$AD1758</f>
        <v/>
      </c>
      <c r="Q1758" s="14">
        <f>$C$9</f>
        <v/>
      </c>
      <c r="R1758" s="14">
        <f>_xlfn.LOGNORM.INV($AF1758,LN($C$10)-0.5*LN(1+($D$10/$C$10)^2),SQRT(LN(1+($D$10/$C$10)^2)))</f>
        <v/>
      </c>
      <c r="S1758" s="14">
        <f>SUM(M1758:R1758)</f>
        <v/>
      </c>
      <c r="AA1758">
        <f>RAND()</f>
        <v/>
      </c>
      <c r="AB1758">
        <f>RAND()</f>
        <v/>
      </c>
      <c r="AC1758">
        <f>RAND()</f>
        <v/>
      </c>
      <c r="AD1758">
        <f>RAND()</f>
        <v/>
      </c>
      <c r="AE1758">
        <f>RAND()</f>
        <v/>
      </c>
      <c r="AF1758">
        <f>RAND()</f>
        <v/>
      </c>
    </row>
    <row r="1759">
      <c r="M1759" s="14">
        <f>_xlfn.BETA.INV($AA1759,1+4*($D$5-$C$5)/($E$5-$C$5),1+4*($E$5-$D$5)/($E$5-$C$5),$C$5,$E$5)</f>
        <v/>
      </c>
      <c r="N1759" s="14">
        <f>IF($AB1759&lt;($D$6-$C$6)/($E$6-$C$6),$C$6+SQRT($AB1759*($E$6-$C$6)*($D$6-$C$6)),$E$6-SQRT((1-$AB1759)*($E$6-$C$6)*($E$6-$D$6)))</f>
        <v/>
      </c>
      <c r="O1759" s="14">
        <f>_xlfn.NORM.INV($AC1759,$C$7,$D$7)</f>
        <v/>
      </c>
      <c r="P1759" s="14">
        <f>$C$8+($D$8-$C$8)*$AD1759</f>
        <v/>
      </c>
      <c r="Q1759" s="14">
        <f>$C$9</f>
        <v/>
      </c>
      <c r="R1759" s="14">
        <f>_xlfn.LOGNORM.INV($AF1759,LN($C$10)-0.5*LN(1+($D$10/$C$10)^2),SQRT(LN(1+($D$10/$C$10)^2)))</f>
        <v/>
      </c>
      <c r="S1759" s="14">
        <f>SUM(M1759:R1759)</f>
        <v/>
      </c>
      <c r="AA1759">
        <f>RAND()</f>
        <v/>
      </c>
      <c r="AB1759">
        <f>RAND()</f>
        <v/>
      </c>
      <c r="AC1759">
        <f>RAND()</f>
        <v/>
      </c>
      <c r="AD1759">
        <f>RAND()</f>
        <v/>
      </c>
      <c r="AE1759">
        <f>RAND()</f>
        <v/>
      </c>
      <c r="AF1759">
        <f>RAND()</f>
        <v/>
      </c>
    </row>
    <row r="1760">
      <c r="M1760" s="14">
        <f>_xlfn.BETA.INV($AA1760,1+4*($D$5-$C$5)/($E$5-$C$5),1+4*($E$5-$D$5)/($E$5-$C$5),$C$5,$E$5)</f>
        <v/>
      </c>
      <c r="N1760" s="14">
        <f>IF($AB1760&lt;($D$6-$C$6)/($E$6-$C$6),$C$6+SQRT($AB1760*($E$6-$C$6)*($D$6-$C$6)),$E$6-SQRT((1-$AB1760)*($E$6-$C$6)*($E$6-$D$6)))</f>
        <v/>
      </c>
      <c r="O1760" s="14">
        <f>_xlfn.NORM.INV($AC1760,$C$7,$D$7)</f>
        <v/>
      </c>
      <c r="P1760" s="14">
        <f>$C$8+($D$8-$C$8)*$AD1760</f>
        <v/>
      </c>
      <c r="Q1760" s="14">
        <f>$C$9</f>
        <v/>
      </c>
      <c r="R1760" s="14">
        <f>_xlfn.LOGNORM.INV($AF1760,LN($C$10)-0.5*LN(1+($D$10/$C$10)^2),SQRT(LN(1+($D$10/$C$10)^2)))</f>
        <v/>
      </c>
      <c r="S1760" s="14">
        <f>SUM(M1760:R1760)</f>
        <v/>
      </c>
      <c r="AA1760">
        <f>RAND()</f>
        <v/>
      </c>
      <c r="AB1760">
        <f>RAND()</f>
        <v/>
      </c>
      <c r="AC1760">
        <f>RAND()</f>
        <v/>
      </c>
      <c r="AD1760">
        <f>RAND()</f>
        <v/>
      </c>
      <c r="AE1760">
        <f>RAND()</f>
        <v/>
      </c>
      <c r="AF1760">
        <f>RAND()</f>
        <v/>
      </c>
    </row>
    <row r="1761">
      <c r="M1761" s="14">
        <f>_xlfn.BETA.INV($AA1761,1+4*($D$5-$C$5)/($E$5-$C$5),1+4*($E$5-$D$5)/($E$5-$C$5),$C$5,$E$5)</f>
        <v/>
      </c>
      <c r="N1761" s="14">
        <f>IF($AB1761&lt;($D$6-$C$6)/($E$6-$C$6),$C$6+SQRT($AB1761*($E$6-$C$6)*($D$6-$C$6)),$E$6-SQRT((1-$AB1761)*($E$6-$C$6)*($E$6-$D$6)))</f>
        <v/>
      </c>
      <c r="O1761" s="14">
        <f>_xlfn.NORM.INV($AC1761,$C$7,$D$7)</f>
        <v/>
      </c>
      <c r="P1761" s="14">
        <f>$C$8+($D$8-$C$8)*$AD1761</f>
        <v/>
      </c>
      <c r="Q1761" s="14">
        <f>$C$9</f>
        <v/>
      </c>
      <c r="R1761" s="14">
        <f>_xlfn.LOGNORM.INV($AF1761,LN($C$10)-0.5*LN(1+($D$10/$C$10)^2),SQRT(LN(1+($D$10/$C$10)^2)))</f>
        <v/>
      </c>
      <c r="S1761" s="14">
        <f>SUM(M1761:R1761)</f>
        <v/>
      </c>
      <c r="AA1761">
        <f>RAND()</f>
        <v/>
      </c>
      <c r="AB1761">
        <f>RAND()</f>
        <v/>
      </c>
      <c r="AC1761">
        <f>RAND()</f>
        <v/>
      </c>
      <c r="AD1761">
        <f>RAND()</f>
        <v/>
      </c>
      <c r="AE1761">
        <f>RAND()</f>
        <v/>
      </c>
      <c r="AF1761">
        <f>RAND()</f>
        <v/>
      </c>
    </row>
    <row r="1762">
      <c r="M1762" s="14">
        <f>_xlfn.BETA.INV($AA1762,1+4*($D$5-$C$5)/($E$5-$C$5),1+4*($E$5-$D$5)/($E$5-$C$5),$C$5,$E$5)</f>
        <v/>
      </c>
      <c r="N1762" s="14">
        <f>IF($AB1762&lt;($D$6-$C$6)/($E$6-$C$6),$C$6+SQRT($AB1762*($E$6-$C$6)*($D$6-$C$6)),$E$6-SQRT((1-$AB1762)*($E$6-$C$6)*($E$6-$D$6)))</f>
        <v/>
      </c>
      <c r="O1762" s="14">
        <f>_xlfn.NORM.INV($AC1762,$C$7,$D$7)</f>
        <v/>
      </c>
      <c r="P1762" s="14">
        <f>$C$8+($D$8-$C$8)*$AD1762</f>
        <v/>
      </c>
      <c r="Q1762" s="14">
        <f>$C$9</f>
        <v/>
      </c>
      <c r="R1762" s="14">
        <f>_xlfn.LOGNORM.INV($AF1762,LN($C$10)-0.5*LN(1+($D$10/$C$10)^2),SQRT(LN(1+($D$10/$C$10)^2)))</f>
        <v/>
      </c>
      <c r="S1762" s="14">
        <f>SUM(M1762:R1762)</f>
        <v/>
      </c>
      <c r="AA1762">
        <f>RAND()</f>
        <v/>
      </c>
      <c r="AB1762">
        <f>RAND()</f>
        <v/>
      </c>
      <c r="AC1762">
        <f>RAND()</f>
        <v/>
      </c>
      <c r="AD1762">
        <f>RAND()</f>
        <v/>
      </c>
      <c r="AE1762">
        <f>RAND()</f>
        <v/>
      </c>
      <c r="AF1762">
        <f>RAND()</f>
        <v/>
      </c>
    </row>
    <row r="1763">
      <c r="M1763" s="14">
        <f>_xlfn.BETA.INV($AA1763,1+4*($D$5-$C$5)/($E$5-$C$5),1+4*($E$5-$D$5)/($E$5-$C$5),$C$5,$E$5)</f>
        <v/>
      </c>
      <c r="N1763" s="14">
        <f>IF($AB1763&lt;($D$6-$C$6)/($E$6-$C$6),$C$6+SQRT($AB1763*($E$6-$C$6)*($D$6-$C$6)),$E$6-SQRT((1-$AB1763)*($E$6-$C$6)*($E$6-$D$6)))</f>
        <v/>
      </c>
      <c r="O1763" s="14">
        <f>_xlfn.NORM.INV($AC1763,$C$7,$D$7)</f>
        <v/>
      </c>
      <c r="P1763" s="14">
        <f>$C$8+($D$8-$C$8)*$AD1763</f>
        <v/>
      </c>
      <c r="Q1763" s="14">
        <f>$C$9</f>
        <v/>
      </c>
      <c r="R1763" s="14">
        <f>_xlfn.LOGNORM.INV($AF1763,LN($C$10)-0.5*LN(1+($D$10/$C$10)^2),SQRT(LN(1+($D$10/$C$10)^2)))</f>
        <v/>
      </c>
      <c r="S1763" s="14">
        <f>SUM(M1763:R1763)</f>
        <v/>
      </c>
      <c r="AA1763">
        <f>RAND()</f>
        <v/>
      </c>
      <c r="AB1763">
        <f>RAND()</f>
        <v/>
      </c>
      <c r="AC1763">
        <f>RAND()</f>
        <v/>
      </c>
      <c r="AD1763">
        <f>RAND()</f>
        <v/>
      </c>
      <c r="AE1763">
        <f>RAND()</f>
        <v/>
      </c>
      <c r="AF1763">
        <f>RAND()</f>
        <v/>
      </c>
    </row>
    <row r="1764">
      <c r="M1764" s="14">
        <f>_xlfn.BETA.INV($AA1764,1+4*($D$5-$C$5)/($E$5-$C$5),1+4*($E$5-$D$5)/($E$5-$C$5),$C$5,$E$5)</f>
        <v/>
      </c>
      <c r="N1764" s="14">
        <f>IF($AB1764&lt;($D$6-$C$6)/($E$6-$C$6),$C$6+SQRT($AB1764*($E$6-$C$6)*($D$6-$C$6)),$E$6-SQRT((1-$AB1764)*($E$6-$C$6)*($E$6-$D$6)))</f>
        <v/>
      </c>
      <c r="O1764" s="14">
        <f>_xlfn.NORM.INV($AC1764,$C$7,$D$7)</f>
        <v/>
      </c>
      <c r="P1764" s="14">
        <f>$C$8+($D$8-$C$8)*$AD1764</f>
        <v/>
      </c>
      <c r="Q1764" s="14">
        <f>$C$9</f>
        <v/>
      </c>
      <c r="R1764" s="14">
        <f>_xlfn.LOGNORM.INV($AF1764,LN($C$10)-0.5*LN(1+($D$10/$C$10)^2),SQRT(LN(1+($D$10/$C$10)^2)))</f>
        <v/>
      </c>
      <c r="S1764" s="14">
        <f>SUM(M1764:R1764)</f>
        <v/>
      </c>
      <c r="AA1764">
        <f>RAND()</f>
        <v/>
      </c>
      <c r="AB1764">
        <f>RAND()</f>
        <v/>
      </c>
      <c r="AC1764">
        <f>RAND()</f>
        <v/>
      </c>
      <c r="AD1764">
        <f>RAND()</f>
        <v/>
      </c>
      <c r="AE1764">
        <f>RAND()</f>
        <v/>
      </c>
      <c r="AF1764">
        <f>RAND()</f>
        <v/>
      </c>
    </row>
    <row r="1765">
      <c r="M1765" s="14">
        <f>_xlfn.BETA.INV($AA1765,1+4*($D$5-$C$5)/($E$5-$C$5),1+4*($E$5-$D$5)/($E$5-$C$5),$C$5,$E$5)</f>
        <v/>
      </c>
      <c r="N1765" s="14">
        <f>IF($AB1765&lt;($D$6-$C$6)/($E$6-$C$6),$C$6+SQRT($AB1765*($E$6-$C$6)*($D$6-$C$6)),$E$6-SQRT((1-$AB1765)*($E$6-$C$6)*($E$6-$D$6)))</f>
        <v/>
      </c>
      <c r="O1765" s="14">
        <f>_xlfn.NORM.INV($AC1765,$C$7,$D$7)</f>
        <v/>
      </c>
      <c r="P1765" s="14">
        <f>$C$8+($D$8-$C$8)*$AD1765</f>
        <v/>
      </c>
      <c r="Q1765" s="14">
        <f>$C$9</f>
        <v/>
      </c>
      <c r="R1765" s="14">
        <f>_xlfn.LOGNORM.INV($AF1765,LN($C$10)-0.5*LN(1+($D$10/$C$10)^2),SQRT(LN(1+($D$10/$C$10)^2)))</f>
        <v/>
      </c>
      <c r="S1765" s="14">
        <f>SUM(M1765:R1765)</f>
        <v/>
      </c>
      <c r="AA1765">
        <f>RAND()</f>
        <v/>
      </c>
      <c r="AB1765">
        <f>RAND()</f>
        <v/>
      </c>
      <c r="AC1765">
        <f>RAND()</f>
        <v/>
      </c>
      <c r="AD1765">
        <f>RAND()</f>
        <v/>
      </c>
      <c r="AE1765">
        <f>RAND()</f>
        <v/>
      </c>
      <c r="AF1765">
        <f>RAND()</f>
        <v/>
      </c>
    </row>
    <row r="1766">
      <c r="M1766" s="14">
        <f>_xlfn.BETA.INV($AA1766,1+4*($D$5-$C$5)/($E$5-$C$5),1+4*($E$5-$D$5)/($E$5-$C$5),$C$5,$E$5)</f>
        <v/>
      </c>
      <c r="N1766" s="14">
        <f>IF($AB1766&lt;($D$6-$C$6)/($E$6-$C$6),$C$6+SQRT($AB1766*($E$6-$C$6)*($D$6-$C$6)),$E$6-SQRT((1-$AB1766)*($E$6-$C$6)*($E$6-$D$6)))</f>
        <v/>
      </c>
      <c r="O1766" s="14">
        <f>_xlfn.NORM.INV($AC1766,$C$7,$D$7)</f>
        <v/>
      </c>
      <c r="P1766" s="14">
        <f>$C$8+($D$8-$C$8)*$AD1766</f>
        <v/>
      </c>
      <c r="Q1766" s="14">
        <f>$C$9</f>
        <v/>
      </c>
      <c r="R1766" s="14">
        <f>_xlfn.LOGNORM.INV($AF1766,LN($C$10)-0.5*LN(1+($D$10/$C$10)^2),SQRT(LN(1+($D$10/$C$10)^2)))</f>
        <v/>
      </c>
      <c r="S1766" s="14">
        <f>SUM(M1766:R1766)</f>
        <v/>
      </c>
      <c r="AA1766">
        <f>RAND()</f>
        <v/>
      </c>
      <c r="AB1766">
        <f>RAND()</f>
        <v/>
      </c>
      <c r="AC1766">
        <f>RAND()</f>
        <v/>
      </c>
      <c r="AD1766">
        <f>RAND()</f>
        <v/>
      </c>
      <c r="AE1766">
        <f>RAND()</f>
        <v/>
      </c>
      <c r="AF1766">
        <f>RAND()</f>
        <v/>
      </c>
    </row>
    <row r="1767">
      <c r="M1767" s="14">
        <f>_xlfn.BETA.INV($AA1767,1+4*($D$5-$C$5)/($E$5-$C$5),1+4*($E$5-$D$5)/($E$5-$C$5),$C$5,$E$5)</f>
        <v/>
      </c>
      <c r="N1767" s="14">
        <f>IF($AB1767&lt;($D$6-$C$6)/($E$6-$C$6),$C$6+SQRT($AB1767*($E$6-$C$6)*($D$6-$C$6)),$E$6-SQRT((1-$AB1767)*($E$6-$C$6)*($E$6-$D$6)))</f>
        <v/>
      </c>
      <c r="O1767" s="14">
        <f>_xlfn.NORM.INV($AC1767,$C$7,$D$7)</f>
        <v/>
      </c>
      <c r="P1767" s="14">
        <f>$C$8+($D$8-$C$8)*$AD1767</f>
        <v/>
      </c>
      <c r="Q1767" s="14">
        <f>$C$9</f>
        <v/>
      </c>
      <c r="R1767" s="14">
        <f>_xlfn.LOGNORM.INV($AF1767,LN($C$10)-0.5*LN(1+($D$10/$C$10)^2),SQRT(LN(1+($D$10/$C$10)^2)))</f>
        <v/>
      </c>
      <c r="S1767" s="14">
        <f>SUM(M1767:R1767)</f>
        <v/>
      </c>
      <c r="AA1767">
        <f>RAND()</f>
        <v/>
      </c>
      <c r="AB1767">
        <f>RAND()</f>
        <v/>
      </c>
      <c r="AC1767">
        <f>RAND()</f>
        <v/>
      </c>
      <c r="AD1767">
        <f>RAND()</f>
        <v/>
      </c>
      <c r="AE1767">
        <f>RAND()</f>
        <v/>
      </c>
      <c r="AF1767">
        <f>RAND()</f>
        <v/>
      </c>
    </row>
    <row r="1768">
      <c r="M1768" s="14">
        <f>_xlfn.BETA.INV($AA1768,1+4*($D$5-$C$5)/($E$5-$C$5),1+4*($E$5-$D$5)/($E$5-$C$5),$C$5,$E$5)</f>
        <v/>
      </c>
      <c r="N1768" s="14">
        <f>IF($AB1768&lt;($D$6-$C$6)/($E$6-$C$6),$C$6+SQRT($AB1768*($E$6-$C$6)*($D$6-$C$6)),$E$6-SQRT((1-$AB1768)*($E$6-$C$6)*($E$6-$D$6)))</f>
        <v/>
      </c>
      <c r="O1768" s="14">
        <f>_xlfn.NORM.INV($AC1768,$C$7,$D$7)</f>
        <v/>
      </c>
      <c r="P1768" s="14">
        <f>$C$8+($D$8-$C$8)*$AD1768</f>
        <v/>
      </c>
      <c r="Q1768" s="14">
        <f>$C$9</f>
        <v/>
      </c>
      <c r="R1768" s="14">
        <f>_xlfn.LOGNORM.INV($AF1768,LN($C$10)-0.5*LN(1+($D$10/$C$10)^2),SQRT(LN(1+($D$10/$C$10)^2)))</f>
        <v/>
      </c>
      <c r="S1768" s="14">
        <f>SUM(M1768:R1768)</f>
        <v/>
      </c>
      <c r="AA1768">
        <f>RAND()</f>
        <v/>
      </c>
      <c r="AB1768">
        <f>RAND()</f>
        <v/>
      </c>
      <c r="AC1768">
        <f>RAND()</f>
        <v/>
      </c>
      <c r="AD1768">
        <f>RAND()</f>
        <v/>
      </c>
      <c r="AE1768">
        <f>RAND()</f>
        <v/>
      </c>
      <c r="AF1768">
        <f>RAND()</f>
        <v/>
      </c>
    </row>
    <row r="1769">
      <c r="M1769" s="14">
        <f>_xlfn.BETA.INV($AA1769,1+4*($D$5-$C$5)/($E$5-$C$5),1+4*($E$5-$D$5)/($E$5-$C$5),$C$5,$E$5)</f>
        <v/>
      </c>
      <c r="N1769" s="14">
        <f>IF($AB1769&lt;($D$6-$C$6)/($E$6-$C$6),$C$6+SQRT($AB1769*($E$6-$C$6)*($D$6-$C$6)),$E$6-SQRT((1-$AB1769)*($E$6-$C$6)*($E$6-$D$6)))</f>
        <v/>
      </c>
      <c r="O1769" s="14">
        <f>_xlfn.NORM.INV($AC1769,$C$7,$D$7)</f>
        <v/>
      </c>
      <c r="P1769" s="14">
        <f>$C$8+($D$8-$C$8)*$AD1769</f>
        <v/>
      </c>
      <c r="Q1769" s="14">
        <f>$C$9</f>
        <v/>
      </c>
      <c r="R1769" s="14">
        <f>_xlfn.LOGNORM.INV($AF1769,LN($C$10)-0.5*LN(1+($D$10/$C$10)^2),SQRT(LN(1+($D$10/$C$10)^2)))</f>
        <v/>
      </c>
      <c r="S1769" s="14">
        <f>SUM(M1769:R1769)</f>
        <v/>
      </c>
      <c r="AA1769">
        <f>RAND()</f>
        <v/>
      </c>
      <c r="AB1769">
        <f>RAND()</f>
        <v/>
      </c>
      <c r="AC1769">
        <f>RAND()</f>
        <v/>
      </c>
      <c r="AD1769">
        <f>RAND()</f>
        <v/>
      </c>
      <c r="AE1769">
        <f>RAND()</f>
        <v/>
      </c>
      <c r="AF1769">
        <f>RAND()</f>
        <v/>
      </c>
    </row>
    <row r="1770">
      <c r="M1770" s="14">
        <f>_xlfn.BETA.INV($AA1770,1+4*($D$5-$C$5)/($E$5-$C$5),1+4*($E$5-$D$5)/($E$5-$C$5),$C$5,$E$5)</f>
        <v/>
      </c>
      <c r="N1770" s="14">
        <f>IF($AB1770&lt;($D$6-$C$6)/($E$6-$C$6),$C$6+SQRT($AB1770*($E$6-$C$6)*($D$6-$C$6)),$E$6-SQRT((1-$AB1770)*($E$6-$C$6)*($E$6-$D$6)))</f>
        <v/>
      </c>
      <c r="O1770" s="14">
        <f>_xlfn.NORM.INV($AC1770,$C$7,$D$7)</f>
        <v/>
      </c>
      <c r="P1770" s="14">
        <f>$C$8+($D$8-$C$8)*$AD1770</f>
        <v/>
      </c>
      <c r="Q1770" s="14">
        <f>$C$9</f>
        <v/>
      </c>
      <c r="R1770" s="14">
        <f>_xlfn.LOGNORM.INV($AF1770,LN($C$10)-0.5*LN(1+($D$10/$C$10)^2),SQRT(LN(1+($D$10/$C$10)^2)))</f>
        <v/>
      </c>
      <c r="S1770" s="14">
        <f>SUM(M1770:R1770)</f>
        <v/>
      </c>
      <c r="AA1770">
        <f>RAND()</f>
        <v/>
      </c>
      <c r="AB1770">
        <f>RAND()</f>
        <v/>
      </c>
      <c r="AC1770">
        <f>RAND()</f>
        <v/>
      </c>
      <c r="AD1770">
        <f>RAND()</f>
        <v/>
      </c>
      <c r="AE1770">
        <f>RAND()</f>
        <v/>
      </c>
      <c r="AF1770">
        <f>RAND()</f>
        <v/>
      </c>
    </row>
    <row r="1771">
      <c r="M1771" s="14">
        <f>_xlfn.BETA.INV($AA1771,1+4*($D$5-$C$5)/($E$5-$C$5),1+4*($E$5-$D$5)/($E$5-$C$5),$C$5,$E$5)</f>
        <v/>
      </c>
      <c r="N1771" s="14">
        <f>IF($AB1771&lt;($D$6-$C$6)/($E$6-$C$6),$C$6+SQRT($AB1771*($E$6-$C$6)*($D$6-$C$6)),$E$6-SQRT((1-$AB1771)*($E$6-$C$6)*($E$6-$D$6)))</f>
        <v/>
      </c>
      <c r="O1771" s="14">
        <f>_xlfn.NORM.INV($AC1771,$C$7,$D$7)</f>
        <v/>
      </c>
      <c r="P1771" s="14">
        <f>$C$8+($D$8-$C$8)*$AD1771</f>
        <v/>
      </c>
      <c r="Q1771" s="14">
        <f>$C$9</f>
        <v/>
      </c>
      <c r="R1771" s="14">
        <f>_xlfn.LOGNORM.INV($AF1771,LN($C$10)-0.5*LN(1+($D$10/$C$10)^2),SQRT(LN(1+($D$10/$C$10)^2)))</f>
        <v/>
      </c>
      <c r="S1771" s="14">
        <f>SUM(M1771:R1771)</f>
        <v/>
      </c>
      <c r="AA1771">
        <f>RAND()</f>
        <v/>
      </c>
      <c r="AB1771">
        <f>RAND()</f>
        <v/>
      </c>
      <c r="AC1771">
        <f>RAND()</f>
        <v/>
      </c>
      <c r="AD1771">
        <f>RAND()</f>
        <v/>
      </c>
      <c r="AE1771">
        <f>RAND()</f>
        <v/>
      </c>
      <c r="AF1771">
        <f>RAND()</f>
        <v/>
      </c>
    </row>
    <row r="1772">
      <c r="M1772" s="14">
        <f>_xlfn.BETA.INV($AA1772,1+4*($D$5-$C$5)/($E$5-$C$5),1+4*($E$5-$D$5)/($E$5-$C$5),$C$5,$E$5)</f>
        <v/>
      </c>
      <c r="N1772" s="14">
        <f>IF($AB1772&lt;($D$6-$C$6)/($E$6-$C$6),$C$6+SQRT($AB1772*($E$6-$C$6)*($D$6-$C$6)),$E$6-SQRT((1-$AB1772)*($E$6-$C$6)*($E$6-$D$6)))</f>
        <v/>
      </c>
      <c r="O1772" s="14">
        <f>_xlfn.NORM.INV($AC1772,$C$7,$D$7)</f>
        <v/>
      </c>
      <c r="P1772" s="14">
        <f>$C$8+($D$8-$C$8)*$AD1772</f>
        <v/>
      </c>
      <c r="Q1772" s="14">
        <f>$C$9</f>
        <v/>
      </c>
      <c r="R1772" s="14">
        <f>_xlfn.LOGNORM.INV($AF1772,LN($C$10)-0.5*LN(1+($D$10/$C$10)^2),SQRT(LN(1+($D$10/$C$10)^2)))</f>
        <v/>
      </c>
      <c r="S1772" s="14">
        <f>SUM(M1772:R1772)</f>
        <v/>
      </c>
      <c r="AA1772">
        <f>RAND()</f>
        <v/>
      </c>
      <c r="AB1772">
        <f>RAND()</f>
        <v/>
      </c>
      <c r="AC1772">
        <f>RAND()</f>
        <v/>
      </c>
      <c r="AD1772">
        <f>RAND()</f>
        <v/>
      </c>
      <c r="AE1772">
        <f>RAND()</f>
        <v/>
      </c>
      <c r="AF1772">
        <f>RAND()</f>
        <v/>
      </c>
    </row>
    <row r="1773">
      <c r="M1773" s="14">
        <f>_xlfn.BETA.INV($AA1773,1+4*($D$5-$C$5)/($E$5-$C$5),1+4*($E$5-$D$5)/($E$5-$C$5),$C$5,$E$5)</f>
        <v/>
      </c>
      <c r="N1773" s="14">
        <f>IF($AB1773&lt;($D$6-$C$6)/($E$6-$C$6),$C$6+SQRT($AB1773*($E$6-$C$6)*($D$6-$C$6)),$E$6-SQRT((1-$AB1773)*($E$6-$C$6)*($E$6-$D$6)))</f>
        <v/>
      </c>
      <c r="O1773" s="14">
        <f>_xlfn.NORM.INV($AC1773,$C$7,$D$7)</f>
        <v/>
      </c>
      <c r="P1773" s="14">
        <f>$C$8+($D$8-$C$8)*$AD1773</f>
        <v/>
      </c>
      <c r="Q1773" s="14">
        <f>$C$9</f>
        <v/>
      </c>
      <c r="R1773" s="14">
        <f>_xlfn.LOGNORM.INV($AF1773,LN($C$10)-0.5*LN(1+($D$10/$C$10)^2),SQRT(LN(1+($D$10/$C$10)^2)))</f>
        <v/>
      </c>
      <c r="S1773" s="14">
        <f>SUM(M1773:R1773)</f>
        <v/>
      </c>
      <c r="AA1773">
        <f>RAND()</f>
        <v/>
      </c>
      <c r="AB1773">
        <f>RAND()</f>
        <v/>
      </c>
      <c r="AC1773">
        <f>RAND()</f>
        <v/>
      </c>
      <c r="AD1773">
        <f>RAND()</f>
        <v/>
      </c>
      <c r="AE1773">
        <f>RAND()</f>
        <v/>
      </c>
      <c r="AF1773">
        <f>RAND()</f>
        <v/>
      </c>
    </row>
    <row r="1774">
      <c r="M1774" s="14">
        <f>_xlfn.BETA.INV($AA1774,1+4*($D$5-$C$5)/($E$5-$C$5),1+4*($E$5-$D$5)/($E$5-$C$5),$C$5,$E$5)</f>
        <v/>
      </c>
      <c r="N1774" s="14">
        <f>IF($AB1774&lt;($D$6-$C$6)/($E$6-$C$6),$C$6+SQRT($AB1774*($E$6-$C$6)*($D$6-$C$6)),$E$6-SQRT((1-$AB1774)*($E$6-$C$6)*($E$6-$D$6)))</f>
        <v/>
      </c>
      <c r="O1774" s="14">
        <f>_xlfn.NORM.INV($AC1774,$C$7,$D$7)</f>
        <v/>
      </c>
      <c r="P1774" s="14">
        <f>$C$8+($D$8-$C$8)*$AD1774</f>
        <v/>
      </c>
      <c r="Q1774" s="14">
        <f>$C$9</f>
        <v/>
      </c>
      <c r="R1774" s="14">
        <f>_xlfn.LOGNORM.INV($AF1774,LN($C$10)-0.5*LN(1+($D$10/$C$10)^2),SQRT(LN(1+($D$10/$C$10)^2)))</f>
        <v/>
      </c>
      <c r="S1774" s="14">
        <f>SUM(M1774:R1774)</f>
        <v/>
      </c>
      <c r="AA1774">
        <f>RAND()</f>
        <v/>
      </c>
      <c r="AB1774">
        <f>RAND()</f>
        <v/>
      </c>
      <c r="AC1774">
        <f>RAND()</f>
        <v/>
      </c>
      <c r="AD1774">
        <f>RAND()</f>
        <v/>
      </c>
      <c r="AE1774">
        <f>RAND()</f>
        <v/>
      </c>
      <c r="AF1774">
        <f>RAND()</f>
        <v/>
      </c>
    </row>
    <row r="1775">
      <c r="M1775" s="14">
        <f>_xlfn.BETA.INV($AA1775,1+4*($D$5-$C$5)/($E$5-$C$5),1+4*($E$5-$D$5)/($E$5-$C$5),$C$5,$E$5)</f>
        <v/>
      </c>
      <c r="N1775" s="14">
        <f>IF($AB1775&lt;($D$6-$C$6)/($E$6-$C$6),$C$6+SQRT($AB1775*($E$6-$C$6)*($D$6-$C$6)),$E$6-SQRT((1-$AB1775)*($E$6-$C$6)*($E$6-$D$6)))</f>
        <v/>
      </c>
      <c r="O1775" s="14">
        <f>_xlfn.NORM.INV($AC1775,$C$7,$D$7)</f>
        <v/>
      </c>
      <c r="P1775" s="14">
        <f>$C$8+($D$8-$C$8)*$AD1775</f>
        <v/>
      </c>
      <c r="Q1775" s="14">
        <f>$C$9</f>
        <v/>
      </c>
      <c r="R1775" s="14">
        <f>_xlfn.LOGNORM.INV($AF1775,LN($C$10)-0.5*LN(1+($D$10/$C$10)^2),SQRT(LN(1+($D$10/$C$10)^2)))</f>
        <v/>
      </c>
      <c r="S1775" s="14">
        <f>SUM(M1775:R1775)</f>
        <v/>
      </c>
      <c r="AA1775">
        <f>RAND()</f>
        <v/>
      </c>
      <c r="AB1775">
        <f>RAND()</f>
        <v/>
      </c>
      <c r="AC1775">
        <f>RAND()</f>
        <v/>
      </c>
      <c r="AD1775">
        <f>RAND()</f>
        <v/>
      </c>
      <c r="AE1775">
        <f>RAND()</f>
        <v/>
      </c>
      <c r="AF1775">
        <f>RAND()</f>
        <v/>
      </c>
    </row>
    <row r="1776">
      <c r="M1776" s="14">
        <f>_xlfn.BETA.INV($AA1776,1+4*($D$5-$C$5)/($E$5-$C$5),1+4*($E$5-$D$5)/($E$5-$C$5),$C$5,$E$5)</f>
        <v/>
      </c>
      <c r="N1776" s="14">
        <f>IF($AB1776&lt;($D$6-$C$6)/($E$6-$C$6),$C$6+SQRT($AB1776*($E$6-$C$6)*($D$6-$C$6)),$E$6-SQRT((1-$AB1776)*($E$6-$C$6)*($E$6-$D$6)))</f>
        <v/>
      </c>
      <c r="O1776" s="14">
        <f>_xlfn.NORM.INV($AC1776,$C$7,$D$7)</f>
        <v/>
      </c>
      <c r="P1776" s="14">
        <f>$C$8+($D$8-$C$8)*$AD1776</f>
        <v/>
      </c>
      <c r="Q1776" s="14">
        <f>$C$9</f>
        <v/>
      </c>
      <c r="R1776" s="14">
        <f>_xlfn.LOGNORM.INV($AF1776,LN($C$10)-0.5*LN(1+($D$10/$C$10)^2),SQRT(LN(1+($D$10/$C$10)^2)))</f>
        <v/>
      </c>
      <c r="S1776" s="14">
        <f>SUM(M1776:R1776)</f>
        <v/>
      </c>
      <c r="AA1776">
        <f>RAND()</f>
        <v/>
      </c>
      <c r="AB1776">
        <f>RAND()</f>
        <v/>
      </c>
      <c r="AC1776">
        <f>RAND()</f>
        <v/>
      </c>
      <c r="AD1776">
        <f>RAND()</f>
        <v/>
      </c>
      <c r="AE1776">
        <f>RAND()</f>
        <v/>
      </c>
      <c r="AF1776">
        <f>RAND()</f>
        <v/>
      </c>
    </row>
    <row r="1777">
      <c r="M1777" s="14">
        <f>_xlfn.BETA.INV($AA1777,1+4*($D$5-$C$5)/($E$5-$C$5),1+4*($E$5-$D$5)/($E$5-$C$5),$C$5,$E$5)</f>
        <v/>
      </c>
      <c r="N1777" s="14">
        <f>IF($AB1777&lt;($D$6-$C$6)/($E$6-$C$6),$C$6+SQRT($AB1777*($E$6-$C$6)*($D$6-$C$6)),$E$6-SQRT((1-$AB1777)*($E$6-$C$6)*($E$6-$D$6)))</f>
        <v/>
      </c>
      <c r="O1777" s="14">
        <f>_xlfn.NORM.INV($AC1777,$C$7,$D$7)</f>
        <v/>
      </c>
      <c r="P1777" s="14">
        <f>$C$8+($D$8-$C$8)*$AD1777</f>
        <v/>
      </c>
      <c r="Q1777" s="14">
        <f>$C$9</f>
        <v/>
      </c>
      <c r="R1777" s="14">
        <f>_xlfn.LOGNORM.INV($AF1777,LN($C$10)-0.5*LN(1+($D$10/$C$10)^2),SQRT(LN(1+($D$10/$C$10)^2)))</f>
        <v/>
      </c>
      <c r="S1777" s="14">
        <f>SUM(M1777:R1777)</f>
        <v/>
      </c>
      <c r="AA1777">
        <f>RAND()</f>
        <v/>
      </c>
      <c r="AB1777">
        <f>RAND()</f>
        <v/>
      </c>
      <c r="AC1777">
        <f>RAND()</f>
        <v/>
      </c>
      <c r="AD1777">
        <f>RAND()</f>
        <v/>
      </c>
      <c r="AE1777">
        <f>RAND()</f>
        <v/>
      </c>
      <c r="AF1777">
        <f>RAND()</f>
        <v/>
      </c>
    </row>
    <row r="1778">
      <c r="M1778" s="14">
        <f>_xlfn.BETA.INV($AA1778,1+4*($D$5-$C$5)/($E$5-$C$5),1+4*($E$5-$D$5)/($E$5-$C$5),$C$5,$E$5)</f>
        <v/>
      </c>
      <c r="N1778" s="14">
        <f>IF($AB1778&lt;($D$6-$C$6)/($E$6-$C$6),$C$6+SQRT($AB1778*($E$6-$C$6)*($D$6-$C$6)),$E$6-SQRT((1-$AB1778)*($E$6-$C$6)*($E$6-$D$6)))</f>
        <v/>
      </c>
      <c r="O1778" s="14">
        <f>_xlfn.NORM.INV($AC1778,$C$7,$D$7)</f>
        <v/>
      </c>
      <c r="P1778" s="14">
        <f>$C$8+($D$8-$C$8)*$AD1778</f>
        <v/>
      </c>
      <c r="Q1778" s="14">
        <f>$C$9</f>
        <v/>
      </c>
      <c r="R1778" s="14">
        <f>_xlfn.LOGNORM.INV($AF1778,LN($C$10)-0.5*LN(1+($D$10/$C$10)^2),SQRT(LN(1+($D$10/$C$10)^2)))</f>
        <v/>
      </c>
      <c r="S1778" s="14">
        <f>SUM(M1778:R1778)</f>
        <v/>
      </c>
      <c r="AA1778">
        <f>RAND()</f>
        <v/>
      </c>
      <c r="AB1778">
        <f>RAND()</f>
        <v/>
      </c>
      <c r="AC1778">
        <f>RAND()</f>
        <v/>
      </c>
      <c r="AD1778">
        <f>RAND()</f>
        <v/>
      </c>
      <c r="AE1778">
        <f>RAND()</f>
        <v/>
      </c>
      <c r="AF1778">
        <f>RAND()</f>
        <v/>
      </c>
    </row>
    <row r="1779">
      <c r="M1779" s="14">
        <f>_xlfn.BETA.INV($AA1779,1+4*($D$5-$C$5)/($E$5-$C$5),1+4*($E$5-$D$5)/($E$5-$C$5),$C$5,$E$5)</f>
        <v/>
      </c>
      <c r="N1779" s="14">
        <f>IF($AB1779&lt;($D$6-$C$6)/($E$6-$C$6),$C$6+SQRT($AB1779*($E$6-$C$6)*($D$6-$C$6)),$E$6-SQRT((1-$AB1779)*($E$6-$C$6)*($E$6-$D$6)))</f>
        <v/>
      </c>
      <c r="O1779" s="14">
        <f>_xlfn.NORM.INV($AC1779,$C$7,$D$7)</f>
        <v/>
      </c>
      <c r="P1779" s="14">
        <f>$C$8+($D$8-$C$8)*$AD1779</f>
        <v/>
      </c>
      <c r="Q1779" s="14">
        <f>$C$9</f>
        <v/>
      </c>
      <c r="R1779" s="14">
        <f>_xlfn.LOGNORM.INV($AF1779,LN($C$10)-0.5*LN(1+($D$10/$C$10)^2),SQRT(LN(1+($D$10/$C$10)^2)))</f>
        <v/>
      </c>
      <c r="S1779" s="14">
        <f>SUM(M1779:R1779)</f>
        <v/>
      </c>
      <c r="AA1779">
        <f>RAND()</f>
        <v/>
      </c>
      <c r="AB1779">
        <f>RAND()</f>
        <v/>
      </c>
      <c r="AC1779">
        <f>RAND()</f>
        <v/>
      </c>
      <c r="AD1779">
        <f>RAND()</f>
        <v/>
      </c>
      <c r="AE1779">
        <f>RAND()</f>
        <v/>
      </c>
      <c r="AF1779">
        <f>RAND()</f>
        <v/>
      </c>
    </row>
    <row r="1780">
      <c r="M1780" s="14">
        <f>_xlfn.BETA.INV($AA1780,1+4*($D$5-$C$5)/($E$5-$C$5),1+4*($E$5-$D$5)/($E$5-$C$5),$C$5,$E$5)</f>
        <v/>
      </c>
      <c r="N1780" s="14">
        <f>IF($AB1780&lt;($D$6-$C$6)/($E$6-$C$6),$C$6+SQRT($AB1780*($E$6-$C$6)*($D$6-$C$6)),$E$6-SQRT((1-$AB1780)*($E$6-$C$6)*($E$6-$D$6)))</f>
        <v/>
      </c>
      <c r="O1780" s="14">
        <f>_xlfn.NORM.INV($AC1780,$C$7,$D$7)</f>
        <v/>
      </c>
      <c r="P1780" s="14">
        <f>$C$8+($D$8-$C$8)*$AD1780</f>
        <v/>
      </c>
      <c r="Q1780" s="14">
        <f>$C$9</f>
        <v/>
      </c>
      <c r="R1780" s="14">
        <f>_xlfn.LOGNORM.INV($AF1780,LN($C$10)-0.5*LN(1+($D$10/$C$10)^2),SQRT(LN(1+($D$10/$C$10)^2)))</f>
        <v/>
      </c>
      <c r="S1780" s="14">
        <f>SUM(M1780:R1780)</f>
        <v/>
      </c>
      <c r="AA1780">
        <f>RAND()</f>
        <v/>
      </c>
      <c r="AB1780">
        <f>RAND()</f>
        <v/>
      </c>
      <c r="AC1780">
        <f>RAND()</f>
        <v/>
      </c>
      <c r="AD1780">
        <f>RAND()</f>
        <v/>
      </c>
      <c r="AE1780">
        <f>RAND()</f>
        <v/>
      </c>
      <c r="AF1780">
        <f>RAND()</f>
        <v/>
      </c>
    </row>
    <row r="1781">
      <c r="M1781" s="14">
        <f>_xlfn.BETA.INV($AA1781,1+4*($D$5-$C$5)/($E$5-$C$5),1+4*($E$5-$D$5)/($E$5-$C$5),$C$5,$E$5)</f>
        <v/>
      </c>
      <c r="N1781" s="14">
        <f>IF($AB1781&lt;($D$6-$C$6)/($E$6-$C$6),$C$6+SQRT($AB1781*($E$6-$C$6)*($D$6-$C$6)),$E$6-SQRT((1-$AB1781)*($E$6-$C$6)*($E$6-$D$6)))</f>
        <v/>
      </c>
      <c r="O1781" s="14">
        <f>_xlfn.NORM.INV($AC1781,$C$7,$D$7)</f>
        <v/>
      </c>
      <c r="P1781" s="14">
        <f>$C$8+($D$8-$C$8)*$AD1781</f>
        <v/>
      </c>
      <c r="Q1781" s="14">
        <f>$C$9</f>
        <v/>
      </c>
      <c r="R1781" s="14">
        <f>_xlfn.LOGNORM.INV($AF1781,LN($C$10)-0.5*LN(1+($D$10/$C$10)^2),SQRT(LN(1+($D$10/$C$10)^2)))</f>
        <v/>
      </c>
      <c r="S1781" s="14">
        <f>SUM(M1781:R1781)</f>
        <v/>
      </c>
      <c r="AA1781">
        <f>RAND()</f>
        <v/>
      </c>
      <c r="AB1781">
        <f>RAND()</f>
        <v/>
      </c>
      <c r="AC1781">
        <f>RAND()</f>
        <v/>
      </c>
      <c r="AD1781">
        <f>RAND()</f>
        <v/>
      </c>
      <c r="AE1781">
        <f>RAND()</f>
        <v/>
      </c>
      <c r="AF1781">
        <f>RAND()</f>
        <v/>
      </c>
    </row>
    <row r="1782">
      <c r="M1782" s="14">
        <f>_xlfn.BETA.INV($AA1782,1+4*($D$5-$C$5)/($E$5-$C$5),1+4*($E$5-$D$5)/($E$5-$C$5),$C$5,$E$5)</f>
        <v/>
      </c>
      <c r="N1782" s="14">
        <f>IF($AB1782&lt;($D$6-$C$6)/($E$6-$C$6),$C$6+SQRT($AB1782*($E$6-$C$6)*($D$6-$C$6)),$E$6-SQRT((1-$AB1782)*($E$6-$C$6)*($E$6-$D$6)))</f>
        <v/>
      </c>
      <c r="O1782" s="14">
        <f>_xlfn.NORM.INV($AC1782,$C$7,$D$7)</f>
        <v/>
      </c>
      <c r="P1782" s="14">
        <f>$C$8+($D$8-$C$8)*$AD1782</f>
        <v/>
      </c>
      <c r="Q1782" s="14">
        <f>$C$9</f>
        <v/>
      </c>
      <c r="R1782" s="14">
        <f>_xlfn.LOGNORM.INV($AF1782,LN($C$10)-0.5*LN(1+($D$10/$C$10)^2),SQRT(LN(1+($D$10/$C$10)^2)))</f>
        <v/>
      </c>
      <c r="S1782" s="14">
        <f>SUM(M1782:R1782)</f>
        <v/>
      </c>
      <c r="AA1782">
        <f>RAND()</f>
        <v/>
      </c>
      <c r="AB1782">
        <f>RAND()</f>
        <v/>
      </c>
      <c r="AC1782">
        <f>RAND()</f>
        <v/>
      </c>
      <c r="AD1782">
        <f>RAND()</f>
        <v/>
      </c>
      <c r="AE1782">
        <f>RAND()</f>
        <v/>
      </c>
      <c r="AF1782">
        <f>RAND()</f>
        <v/>
      </c>
    </row>
    <row r="1783">
      <c r="M1783" s="14">
        <f>_xlfn.BETA.INV($AA1783,1+4*($D$5-$C$5)/($E$5-$C$5),1+4*($E$5-$D$5)/($E$5-$C$5),$C$5,$E$5)</f>
        <v/>
      </c>
      <c r="N1783" s="14">
        <f>IF($AB1783&lt;($D$6-$C$6)/($E$6-$C$6),$C$6+SQRT($AB1783*($E$6-$C$6)*($D$6-$C$6)),$E$6-SQRT((1-$AB1783)*($E$6-$C$6)*($E$6-$D$6)))</f>
        <v/>
      </c>
      <c r="O1783" s="14">
        <f>_xlfn.NORM.INV($AC1783,$C$7,$D$7)</f>
        <v/>
      </c>
      <c r="P1783" s="14">
        <f>$C$8+($D$8-$C$8)*$AD1783</f>
        <v/>
      </c>
      <c r="Q1783" s="14">
        <f>$C$9</f>
        <v/>
      </c>
      <c r="R1783" s="14">
        <f>_xlfn.LOGNORM.INV($AF1783,LN($C$10)-0.5*LN(1+($D$10/$C$10)^2),SQRT(LN(1+($D$10/$C$10)^2)))</f>
        <v/>
      </c>
      <c r="S1783" s="14">
        <f>SUM(M1783:R1783)</f>
        <v/>
      </c>
      <c r="AA1783">
        <f>RAND()</f>
        <v/>
      </c>
      <c r="AB1783">
        <f>RAND()</f>
        <v/>
      </c>
      <c r="AC1783">
        <f>RAND()</f>
        <v/>
      </c>
      <c r="AD1783">
        <f>RAND()</f>
        <v/>
      </c>
      <c r="AE1783">
        <f>RAND()</f>
        <v/>
      </c>
      <c r="AF1783">
        <f>RAND()</f>
        <v/>
      </c>
    </row>
    <row r="1784">
      <c r="M1784" s="14">
        <f>_xlfn.BETA.INV($AA1784,1+4*($D$5-$C$5)/($E$5-$C$5),1+4*($E$5-$D$5)/($E$5-$C$5),$C$5,$E$5)</f>
        <v/>
      </c>
      <c r="N1784" s="14">
        <f>IF($AB1784&lt;($D$6-$C$6)/($E$6-$C$6),$C$6+SQRT($AB1784*($E$6-$C$6)*($D$6-$C$6)),$E$6-SQRT((1-$AB1784)*($E$6-$C$6)*($E$6-$D$6)))</f>
        <v/>
      </c>
      <c r="O1784" s="14">
        <f>_xlfn.NORM.INV($AC1784,$C$7,$D$7)</f>
        <v/>
      </c>
      <c r="P1784" s="14">
        <f>$C$8+($D$8-$C$8)*$AD1784</f>
        <v/>
      </c>
      <c r="Q1784" s="14">
        <f>$C$9</f>
        <v/>
      </c>
      <c r="R1784" s="14">
        <f>_xlfn.LOGNORM.INV($AF1784,LN($C$10)-0.5*LN(1+($D$10/$C$10)^2),SQRT(LN(1+($D$10/$C$10)^2)))</f>
        <v/>
      </c>
      <c r="S1784" s="14">
        <f>SUM(M1784:R1784)</f>
        <v/>
      </c>
      <c r="AA1784">
        <f>RAND()</f>
        <v/>
      </c>
      <c r="AB1784">
        <f>RAND()</f>
        <v/>
      </c>
      <c r="AC1784">
        <f>RAND()</f>
        <v/>
      </c>
      <c r="AD1784">
        <f>RAND()</f>
        <v/>
      </c>
      <c r="AE1784">
        <f>RAND()</f>
        <v/>
      </c>
      <c r="AF1784">
        <f>RAND()</f>
        <v/>
      </c>
    </row>
    <row r="1785">
      <c r="M1785" s="14">
        <f>_xlfn.BETA.INV($AA1785,1+4*($D$5-$C$5)/($E$5-$C$5),1+4*($E$5-$D$5)/($E$5-$C$5),$C$5,$E$5)</f>
        <v/>
      </c>
      <c r="N1785" s="14">
        <f>IF($AB1785&lt;($D$6-$C$6)/($E$6-$C$6),$C$6+SQRT($AB1785*($E$6-$C$6)*($D$6-$C$6)),$E$6-SQRT((1-$AB1785)*($E$6-$C$6)*($E$6-$D$6)))</f>
        <v/>
      </c>
      <c r="O1785" s="14">
        <f>_xlfn.NORM.INV($AC1785,$C$7,$D$7)</f>
        <v/>
      </c>
      <c r="P1785" s="14">
        <f>$C$8+($D$8-$C$8)*$AD1785</f>
        <v/>
      </c>
      <c r="Q1785" s="14">
        <f>$C$9</f>
        <v/>
      </c>
      <c r="R1785" s="14">
        <f>_xlfn.LOGNORM.INV($AF1785,LN($C$10)-0.5*LN(1+($D$10/$C$10)^2),SQRT(LN(1+($D$10/$C$10)^2)))</f>
        <v/>
      </c>
      <c r="S1785" s="14">
        <f>SUM(M1785:R1785)</f>
        <v/>
      </c>
      <c r="AA1785">
        <f>RAND()</f>
        <v/>
      </c>
      <c r="AB1785">
        <f>RAND()</f>
        <v/>
      </c>
      <c r="AC1785">
        <f>RAND()</f>
        <v/>
      </c>
      <c r="AD1785">
        <f>RAND()</f>
        <v/>
      </c>
      <c r="AE1785">
        <f>RAND()</f>
        <v/>
      </c>
      <c r="AF1785">
        <f>RAND()</f>
        <v/>
      </c>
    </row>
    <row r="1786">
      <c r="M1786" s="14">
        <f>_xlfn.BETA.INV($AA1786,1+4*($D$5-$C$5)/($E$5-$C$5),1+4*($E$5-$D$5)/($E$5-$C$5),$C$5,$E$5)</f>
        <v/>
      </c>
      <c r="N1786" s="14">
        <f>IF($AB1786&lt;($D$6-$C$6)/($E$6-$C$6),$C$6+SQRT($AB1786*($E$6-$C$6)*($D$6-$C$6)),$E$6-SQRT((1-$AB1786)*($E$6-$C$6)*($E$6-$D$6)))</f>
        <v/>
      </c>
      <c r="O1786" s="14">
        <f>_xlfn.NORM.INV($AC1786,$C$7,$D$7)</f>
        <v/>
      </c>
      <c r="P1786" s="14">
        <f>$C$8+($D$8-$C$8)*$AD1786</f>
        <v/>
      </c>
      <c r="Q1786" s="14">
        <f>$C$9</f>
        <v/>
      </c>
      <c r="R1786" s="14">
        <f>_xlfn.LOGNORM.INV($AF1786,LN($C$10)-0.5*LN(1+($D$10/$C$10)^2),SQRT(LN(1+($D$10/$C$10)^2)))</f>
        <v/>
      </c>
      <c r="S1786" s="14">
        <f>SUM(M1786:R1786)</f>
        <v/>
      </c>
      <c r="AA1786">
        <f>RAND()</f>
        <v/>
      </c>
      <c r="AB1786">
        <f>RAND()</f>
        <v/>
      </c>
      <c r="AC1786">
        <f>RAND()</f>
        <v/>
      </c>
      <c r="AD1786">
        <f>RAND()</f>
        <v/>
      </c>
      <c r="AE1786">
        <f>RAND()</f>
        <v/>
      </c>
      <c r="AF1786">
        <f>RAND()</f>
        <v/>
      </c>
    </row>
    <row r="1787">
      <c r="M1787" s="14">
        <f>_xlfn.BETA.INV($AA1787,1+4*($D$5-$C$5)/($E$5-$C$5),1+4*($E$5-$D$5)/($E$5-$C$5),$C$5,$E$5)</f>
        <v/>
      </c>
      <c r="N1787" s="14">
        <f>IF($AB1787&lt;($D$6-$C$6)/($E$6-$C$6),$C$6+SQRT($AB1787*($E$6-$C$6)*($D$6-$C$6)),$E$6-SQRT((1-$AB1787)*($E$6-$C$6)*($E$6-$D$6)))</f>
        <v/>
      </c>
      <c r="O1787" s="14">
        <f>_xlfn.NORM.INV($AC1787,$C$7,$D$7)</f>
        <v/>
      </c>
      <c r="P1787" s="14">
        <f>$C$8+($D$8-$C$8)*$AD1787</f>
        <v/>
      </c>
      <c r="Q1787" s="14">
        <f>$C$9</f>
        <v/>
      </c>
      <c r="R1787" s="14">
        <f>_xlfn.LOGNORM.INV($AF1787,LN($C$10)-0.5*LN(1+($D$10/$C$10)^2),SQRT(LN(1+($D$10/$C$10)^2)))</f>
        <v/>
      </c>
      <c r="S1787" s="14">
        <f>SUM(M1787:R1787)</f>
        <v/>
      </c>
      <c r="AA1787">
        <f>RAND()</f>
        <v/>
      </c>
      <c r="AB1787">
        <f>RAND()</f>
        <v/>
      </c>
      <c r="AC1787">
        <f>RAND()</f>
        <v/>
      </c>
      <c r="AD1787">
        <f>RAND()</f>
        <v/>
      </c>
      <c r="AE1787">
        <f>RAND()</f>
        <v/>
      </c>
      <c r="AF1787">
        <f>RAND()</f>
        <v/>
      </c>
    </row>
    <row r="1788">
      <c r="M1788" s="14">
        <f>_xlfn.BETA.INV($AA1788,1+4*($D$5-$C$5)/($E$5-$C$5),1+4*($E$5-$D$5)/($E$5-$C$5),$C$5,$E$5)</f>
        <v/>
      </c>
      <c r="N1788" s="14">
        <f>IF($AB1788&lt;($D$6-$C$6)/($E$6-$C$6),$C$6+SQRT($AB1788*($E$6-$C$6)*($D$6-$C$6)),$E$6-SQRT((1-$AB1788)*($E$6-$C$6)*($E$6-$D$6)))</f>
        <v/>
      </c>
      <c r="O1788" s="14">
        <f>_xlfn.NORM.INV($AC1788,$C$7,$D$7)</f>
        <v/>
      </c>
      <c r="P1788" s="14">
        <f>$C$8+($D$8-$C$8)*$AD1788</f>
        <v/>
      </c>
      <c r="Q1788" s="14">
        <f>$C$9</f>
        <v/>
      </c>
      <c r="R1788" s="14">
        <f>_xlfn.LOGNORM.INV($AF1788,LN($C$10)-0.5*LN(1+($D$10/$C$10)^2),SQRT(LN(1+($D$10/$C$10)^2)))</f>
        <v/>
      </c>
      <c r="S1788" s="14">
        <f>SUM(M1788:R1788)</f>
        <v/>
      </c>
      <c r="AA1788">
        <f>RAND()</f>
        <v/>
      </c>
      <c r="AB1788">
        <f>RAND()</f>
        <v/>
      </c>
      <c r="AC1788">
        <f>RAND()</f>
        <v/>
      </c>
      <c r="AD1788">
        <f>RAND()</f>
        <v/>
      </c>
      <c r="AE1788">
        <f>RAND()</f>
        <v/>
      </c>
      <c r="AF1788">
        <f>RAND()</f>
        <v/>
      </c>
    </row>
    <row r="1789">
      <c r="M1789" s="14">
        <f>_xlfn.BETA.INV($AA1789,1+4*($D$5-$C$5)/($E$5-$C$5),1+4*($E$5-$D$5)/($E$5-$C$5),$C$5,$E$5)</f>
        <v/>
      </c>
      <c r="N1789" s="14">
        <f>IF($AB1789&lt;($D$6-$C$6)/($E$6-$C$6),$C$6+SQRT($AB1789*($E$6-$C$6)*($D$6-$C$6)),$E$6-SQRT((1-$AB1789)*($E$6-$C$6)*($E$6-$D$6)))</f>
        <v/>
      </c>
      <c r="O1789" s="14">
        <f>_xlfn.NORM.INV($AC1789,$C$7,$D$7)</f>
        <v/>
      </c>
      <c r="P1789" s="14">
        <f>$C$8+($D$8-$C$8)*$AD1789</f>
        <v/>
      </c>
      <c r="Q1789" s="14">
        <f>$C$9</f>
        <v/>
      </c>
      <c r="R1789" s="14">
        <f>_xlfn.LOGNORM.INV($AF1789,LN($C$10)-0.5*LN(1+($D$10/$C$10)^2),SQRT(LN(1+($D$10/$C$10)^2)))</f>
        <v/>
      </c>
      <c r="S1789" s="14">
        <f>SUM(M1789:R1789)</f>
        <v/>
      </c>
      <c r="AA1789">
        <f>RAND()</f>
        <v/>
      </c>
      <c r="AB1789">
        <f>RAND()</f>
        <v/>
      </c>
      <c r="AC1789">
        <f>RAND()</f>
        <v/>
      </c>
      <c r="AD1789">
        <f>RAND()</f>
        <v/>
      </c>
      <c r="AE1789">
        <f>RAND()</f>
        <v/>
      </c>
      <c r="AF1789">
        <f>RAND()</f>
        <v/>
      </c>
    </row>
    <row r="1790">
      <c r="M1790" s="14">
        <f>_xlfn.BETA.INV($AA1790,1+4*($D$5-$C$5)/($E$5-$C$5),1+4*($E$5-$D$5)/($E$5-$C$5),$C$5,$E$5)</f>
        <v/>
      </c>
      <c r="N1790" s="14">
        <f>IF($AB1790&lt;($D$6-$C$6)/($E$6-$C$6),$C$6+SQRT($AB1790*($E$6-$C$6)*($D$6-$C$6)),$E$6-SQRT((1-$AB1790)*($E$6-$C$6)*($E$6-$D$6)))</f>
        <v/>
      </c>
      <c r="O1790" s="14">
        <f>_xlfn.NORM.INV($AC1790,$C$7,$D$7)</f>
        <v/>
      </c>
      <c r="P1790" s="14">
        <f>$C$8+($D$8-$C$8)*$AD1790</f>
        <v/>
      </c>
      <c r="Q1790" s="14">
        <f>$C$9</f>
        <v/>
      </c>
      <c r="R1790" s="14">
        <f>_xlfn.LOGNORM.INV($AF1790,LN($C$10)-0.5*LN(1+($D$10/$C$10)^2),SQRT(LN(1+($D$10/$C$10)^2)))</f>
        <v/>
      </c>
      <c r="S1790" s="14">
        <f>SUM(M1790:R1790)</f>
        <v/>
      </c>
      <c r="AA1790">
        <f>RAND()</f>
        <v/>
      </c>
      <c r="AB1790">
        <f>RAND()</f>
        <v/>
      </c>
      <c r="AC1790">
        <f>RAND()</f>
        <v/>
      </c>
      <c r="AD1790">
        <f>RAND()</f>
        <v/>
      </c>
      <c r="AE1790">
        <f>RAND()</f>
        <v/>
      </c>
      <c r="AF1790">
        <f>RAND()</f>
        <v/>
      </c>
    </row>
    <row r="1791">
      <c r="M1791" s="14">
        <f>_xlfn.BETA.INV($AA1791,1+4*($D$5-$C$5)/($E$5-$C$5),1+4*($E$5-$D$5)/($E$5-$C$5),$C$5,$E$5)</f>
        <v/>
      </c>
      <c r="N1791" s="14">
        <f>IF($AB1791&lt;($D$6-$C$6)/($E$6-$C$6),$C$6+SQRT($AB1791*($E$6-$C$6)*($D$6-$C$6)),$E$6-SQRT((1-$AB1791)*($E$6-$C$6)*($E$6-$D$6)))</f>
        <v/>
      </c>
      <c r="O1791" s="14">
        <f>_xlfn.NORM.INV($AC1791,$C$7,$D$7)</f>
        <v/>
      </c>
      <c r="P1791" s="14">
        <f>$C$8+($D$8-$C$8)*$AD1791</f>
        <v/>
      </c>
      <c r="Q1791" s="14">
        <f>$C$9</f>
        <v/>
      </c>
      <c r="R1791" s="14">
        <f>_xlfn.LOGNORM.INV($AF1791,LN($C$10)-0.5*LN(1+($D$10/$C$10)^2),SQRT(LN(1+($D$10/$C$10)^2)))</f>
        <v/>
      </c>
      <c r="S1791" s="14">
        <f>SUM(M1791:R1791)</f>
        <v/>
      </c>
      <c r="AA1791">
        <f>RAND()</f>
        <v/>
      </c>
      <c r="AB1791">
        <f>RAND()</f>
        <v/>
      </c>
      <c r="AC1791">
        <f>RAND()</f>
        <v/>
      </c>
      <c r="AD1791">
        <f>RAND()</f>
        <v/>
      </c>
      <c r="AE1791">
        <f>RAND()</f>
        <v/>
      </c>
      <c r="AF1791">
        <f>RAND()</f>
        <v/>
      </c>
    </row>
    <row r="1792">
      <c r="M1792" s="14">
        <f>_xlfn.BETA.INV($AA1792,1+4*($D$5-$C$5)/($E$5-$C$5),1+4*($E$5-$D$5)/($E$5-$C$5),$C$5,$E$5)</f>
        <v/>
      </c>
      <c r="N1792" s="14">
        <f>IF($AB1792&lt;($D$6-$C$6)/($E$6-$C$6),$C$6+SQRT($AB1792*($E$6-$C$6)*($D$6-$C$6)),$E$6-SQRT((1-$AB1792)*($E$6-$C$6)*($E$6-$D$6)))</f>
        <v/>
      </c>
      <c r="O1792" s="14">
        <f>_xlfn.NORM.INV($AC1792,$C$7,$D$7)</f>
        <v/>
      </c>
      <c r="P1792" s="14">
        <f>$C$8+($D$8-$C$8)*$AD1792</f>
        <v/>
      </c>
      <c r="Q1792" s="14">
        <f>$C$9</f>
        <v/>
      </c>
      <c r="R1792" s="14">
        <f>_xlfn.LOGNORM.INV($AF1792,LN($C$10)-0.5*LN(1+($D$10/$C$10)^2),SQRT(LN(1+($D$10/$C$10)^2)))</f>
        <v/>
      </c>
      <c r="S1792" s="14">
        <f>SUM(M1792:R1792)</f>
        <v/>
      </c>
      <c r="AA1792">
        <f>RAND()</f>
        <v/>
      </c>
      <c r="AB1792">
        <f>RAND()</f>
        <v/>
      </c>
      <c r="AC1792">
        <f>RAND()</f>
        <v/>
      </c>
      <c r="AD1792">
        <f>RAND()</f>
        <v/>
      </c>
      <c r="AE1792">
        <f>RAND()</f>
        <v/>
      </c>
      <c r="AF1792">
        <f>RAND()</f>
        <v/>
      </c>
    </row>
    <row r="1793">
      <c r="M1793" s="14">
        <f>_xlfn.BETA.INV($AA1793,1+4*($D$5-$C$5)/($E$5-$C$5),1+4*($E$5-$D$5)/($E$5-$C$5),$C$5,$E$5)</f>
        <v/>
      </c>
      <c r="N1793" s="14">
        <f>IF($AB1793&lt;($D$6-$C$6)/($E$6-$C$6),$C$6+SQRT($AB1793*($E$6-$C$6)*($D$6-$C$6)),$E$6-SQRT((1-$AB1793)*($E$6-$C$6)*($E$6-$D$6)))</f>
        <v/>
      </c>
      <c r="O1793" s="14">
        <f>_xlfn.NORM.INV($AC1793,$C$7,$D$7)</f>
        <v/>
      </c>
      <c r="P1793" s="14">
        <f>$C$8+($D$8-$C$8)*$AD1793</f>
        <v/>
      </c>
      <c r="Q1793" s="14">
        <f>$C$9</f>
        <v/>
      </c>
      <c r="R1793" s="14">
        <f>_xlfn.LOGNORM.INV($AF1793,LN($C$10)-0.5*LN(1+($D$10/$C$10)^2),SQRT(LN(1+($D$10/$C$10)^2)))</f>
        <v/>
      </c>
      <c r="S1793" s="14">
        <f>SUM(M1793:R1793)</f>
        <v/>
      </c>
      <c r="AA1793">
        <f>RAND()</f>
        <v/>
      </c>
      <c r="AB1793">
        <f>RAND()</f>
        <v/>
      </c>
      <c r="AC1793">
        <f>RAND()</f>
        <v/>
      </c>
      <c r="AD1793">
        <f>RAND()</f>
        <v/>
      </c>
      <c r="AE1793">
        <f>RAND()</f>
        <v/>
      </c>
      <c r="AF1793">
        <f>RAND()</f>
        <v/>
      </c>
    </row>
    <row r="1794">
      <c r="M1794" s="14">
        <f>_xlfn.BETA.INV($AA1794,1+4*($D$5-$C$5)/($E$5-$C$5),1+4*($E$5-$D$5)/($E$5-$C$5),$C$5,$E$5)</f>
        <v/>
      </c>
      <c r="N1794" s="14">
        <f>IF($AB1794&lt;($D$6-$C$6)/($E$6-$C$6),$C$6+SQRT($AB1794*($E$6-$C$6)*($D$6-$C$6)),$E$6-SQRT((1-$AB1794)*($E$6-$C$6)*($E$6-$D$6)))</f>
        <v/>
      </c>
      <c r="O1794" s="14">
        <f>_xlfn.NORM.INV($AC1794,$C$7,$D$7)</f>
        <v/>
      </c>
      <c r="P1794" s="14">
        <f>$C$8+($D$8-$C$8)*$AD1794</f>
        <v/>
      </c>
      <c r="Q1794" s="14">
        <f>$C$9</f>
        <v/>
      </c>
      <c r="R1794" s="14">
        <f>_xlfn.LOGNORM.INV($AF1794,LN($C$10)-0.5*LN(1+($D$10/$C$10)^2),SQRT(LN(1+($D$10/$C$10)^2)))</f>
        <v/>
      </c>
      <c r="S1794" s="14">
        <f>SUM(M1794:R1794)</f>
        <v/>
      </c>
      <c r="AA1794">
        <f>RAND()</f>
        <v/>
      </c>
      <c r="AB1794">
        <f>RAND()</f>
        <v/>
      </c>
      <c r="AC1794">
        <f>RAND()</f>
        <v/>
      </c>
      <c r="AD1794">
        <f>RAND()</f>
        <v/>
      </c>
      <c r="AE1794">
        <f>RAND()</f>
        <v/>
      </c>
      <c r="AF1794">
        <f>RAND()</f>
        <v/>
      </c>
    </row>
    <row r="1795">
      <c r="M1795" s="14">
        <f>_xlfn.BETA.INV($AA1795,1+4*($D$5-$C$5)/($E$5-$C$5),1+4*($E$5-$D$5)/($E$5-$C$5),$C$5,$E$5)</f>
        <v/>
      </c>
      <c r="N1795" s="14">
        <f>IF($AB1795&lt;($D$6-$C$6)/($E$6-$C$6),$C$6+SQRT($AB1795*($E$6-$C$6)*($D$6-$C$6)),$E$6-SQRT((1-$AB1795)*($E$6-$C$6)*($E$6-$D$6)))</f>
        <v/>
      </c>
      <c r="O1795" s="14">
        <f>_xlfn.NORM.INV($AC1795,$C$7,$D$7)</f>
        <v/>
      </c>
      <c r="P1795" s="14">
        <f>$C$8+($D$8-$C$8)*$AD1795</f>
        <v/>
      </c>
      <c r="Q1795" s="14">
        <f>$C$9</f>
        <v/>
      </c>
      <c r="R1795" s="14">
        <f>_xlfn.LOGNORM.INV($AF1795,LN($C$10)-0.5*LN(1+($D$10/$C$10)^2),SQRT(LN(1+($D$10/$C$10)^2)))</f>
        <v/>
      </c>
      <c r="S1795" s="14">
        <f>SUM(M1795:R1795)</f>
        <v/>
      </c>
      <c r="AA1795">
        <f>RAND()</f>
        <v/>
      </c>
      <c r="AB1795">
        <f>RAND()</f>
        <v/>
      </c>
      <c r="AC1795">
        <f>RAND()</f>
        <v/>
      </c>
      <c r="AD1795">
        <f>RAND()</f>
        <v/>
      </c>
      <c r="AE1795">
        <f>RAND()</f>
        <v/>
      </c>
      <c r="AF1795">
        <f>RAND()</f>
        <v/>
      </c>
    </row>
    <row r="1796">
      <c r="M1796" s="14">
        <f>_xlfn.BETA.INV($AA1796,1+4*($D$5-$C$5)/($E$5-$C$5),1+4*($E$5-$D$5)/($E$5-$C$5),$C$5,$E$5)</f>
        <v/>
      </c>
      <c r="N1796" s="14">
        <f>IF($AB1796&lt;($D$6-$C$6)/($E$6-$C$6),$C$6+SQRT($AB1796*($E$6-$C$6)*($D$6-$C$6)),$E$6-SQRT((1-$AB1796)*($E$6-$C$6)*($E$6-$D$6)))</f>
        <v/>
      </c>
      <c r="O1796" s="14">
        <f>_xlfn.NORM.INV($AC1796,$C$7,$D$7)</f>
        <v/>
      </c>
      <c r="P1796" s="14">
        <f>$C$8+($D$8-$C$8)*$AD1796</f>
        <v/>
      </c>
      <c r="Q1796" s="14">
        <f>$C$9</f>
        <v/>
      </c>
      <c r="R1796" s="14">
        <f>_xlfn.LOGNORM.INV($AF1796,LN($C$10)-0.5*LN(1+($D$10/$C$10)^2),SQRT(LN(1+($D$10/$C$10)^2)))</f>
        <v/>
      </c>
      <c r="S1796" s="14">
        <f>SUM(M1796:R1796)</f>
        <v/>
      </c>
      <c r="AA1796">
        <f>RAND()</f>
        <v/>
      </c>
      <c r="AB1796">
        <f>RAND()</f>
        <v/>
      </c>
      <c r="AC1796">
        <f>RAND()</f>
        <v/>
      </c>
      <c r="AD1796">
        <f>RAND()</f>
        <v/>
      </c>
      <c r="AE1796">
        <f>RAND()</f>
        <v/>
      </c>
      <c r="AF1796">
        <f>RAND()</f>
        <v/>
      </c>
    </row>
    <row r="1797">
      <c r="M1797" s="14">
        <f>_xlfn.BETA.INV($AA1797,1+4*($D$5-$C$5)/($E$5-$C$5),1+4*($E$5-$D$5)/($E$5-$C$5),$C$5,$E$5)</f>
        <v/>
      </c>
      <c r="N1797" s="14">
        <f>IF($AB1797&lt;($D$6-$C$6)/($E$6-$C$6),$C$6+SQRT($AB1797*($E$6-$C$6)*($D$6-$C$6)),$E$6-SQRT((1-$AB1797)*($E$6-$C$6)*($E$6-$D$6)))</f>
        <v/>
      </c>
      <c r="O1797" s="14">
        <f>_xlfn.NORM.INV($AC1797,$C$7,$D$7)</f>
        <v/>
      </c>
      <c r="P1797" s="14">
        <f>$C$8+($D$8-$C$8)*$AD1797</f>
        <v/>
      </c>
      <c r="Q1797" s="14">
        <f>$C$9</f>
        <v/>
      </c>
      <c r="R1797" s="14">
        <f>_xlfn.LOGNORM.INV($AF1797,LN($C$10)-0.5*LN(1+($D$10/$C$10)^2),SQRT(LN(1+($D$10/$C$10)^2)))</f>
        <v/>
      </c>
      <c r="S1797" s="14">
        <f>SUM(M1797:R1797)</f>
        <v/>
      </c>
      <c r="AA1797">
        <f>RAND()</f>
        <v/>
      </c>
      <c r="AB1797">
        <f>RAND()</f>
        <v/>
      </c>
      <c r="AC1797">
        <f>RAND()</f>
        <v/>
      </c>
      <c r="AD1797">
        <f>RAND()</f>
        <v/>
      </c>
      <c r="AE1797">
        <f>RAND()</f>
        <v/>
      </c>
      <c r="AF1797">
        <f>RAND()</f>
        <v/>
      </c>
    </row>
    <row r="1798">
      <c r="M1798" s="14">
        <f>_xlfn.BETA.INV($AA1798,1+4*($D$5-$C$5)/($E$5-$C$5),1+4*($E$5-$D$5)/($E$5-$C$5),$C$5,$E$5)</f>
        <v/>
      </c>
      <c r="N1798" s="14">
        <f>IF($AB1798&lt;($D$6-$C$6)/($E$6-$C$6),$C$6+SQRT($AB1798*($E$6-$C$6)*($D$6-$C$6)),$E$6-SQRT((1-$AB1798)*($E$6-$C$6)*($E$6-$D$6)))</f>
        <v/>
      </c>
      <c r="O1798" s="14">
        <f>_xlfn.NORM.INV($AC1798,$C$7,$D$7)</f>
        <v/>
      </c>
      <c r="P1798" s="14">
        <f>$C$8+($D$8-$C$8)*$AD1798</f>
        <v/>
      </c>
      <c r="Q1798" s="14">
        <f>$C$9</f>
        <v/>
      </c>
      <c r="R1798" s="14">
        <f>_xlfn.LOGNORM.INV($AF1798,LN($C$10)-0.5*LN(1+($D$10/$C$10)^2),SQRT(LN(1+($D$10/$C$10)^2)))</f>
        <v/>
      </c>
      <c r="S1798" s="14">
        <f>SUM(M1798:R1798)</f>
        <v/>
      </c>
      <c r="AA1798">
        <f>RAND()</f>
        <v/>
      </c>
      <c r="AB1798">
        <f>RAND()</f>
        <v/>
      </c>
      <c r="AC1798">
        <f>RAND()</f>
        <v/>
      </c>
      <c r="AD1798">
        <f>RAND()</f>
        <v/>
      </c>
      <c r="AE1798">
        <f>RAND()</f>
        <v/>
      </c>
      <c r="AF1798">
        <f>RAND()</f>
        <v/>
      </c>
    </row>
    <row r="1799">
      <c r="M1799" s="14">
        <f>_xlfn.BETA.INV($AA1799,1+4*($D$5-$C$5)/($E$5-$C$5),1+4*($E$5-$D$5)/($E$5-$C$5),$C$5,$E$5)</f>
        <v/>
      </c>
      <c r="N1799" s="14">
        <f>IF($AB1799&lt;($D$6-$C$6)/($E$6-$C$6),$C$6+SQRT($AB1799*($E$6-$C$6)*($D$6-$C$6)),$E$6-SQRT((1-$AB1799)*($E$6-$C$6)*($E$6-$D$6)))</f>
        <v/>
      </c>
      <c r="O1799" s="14">
        <f>_xlfn.NORM.INV($AC1799,$C$7,$D$7)</f>
        <v/>
      </c>
      <c r="P1799" s="14">
        <f>$C$8+($D$8-$C$8)*$AD1799</f>
        <v/>
      </c>
      <c r="Q1799" s="14">
        <f>$C$9</f>
        <v/>
      </c>
      <c r="R1799" s="14">
        <f>_xlfn.LOGNORM.INV($AF1799,LN($C$10)-0.5*LN(1+($D$10/$C$10)^2),SQRT(LN(1+($D$10/$C$10)^2)))</f>
        <v/>
      </c>
      <c r="S1799" s="14">
        <f>SUM(M1799:R1799)</f>
        <v/>
      </c>
      <c r="AA1799">
        <f>RAND()</f>
        <v/>
      </c>
      <c r="AB1799">
        <f>RAND()</f>
        <v/>
      </c>
      <c r="AC1799">
        <f>RAND()</f>
        <v/>
      </c>
      <c r="AD1799">
        <f>RAND()</f>
        <v/>
      </c>
      <c r="AE1799">
        <f>RAND()</f>
        <v/>
      </c>
      <c r="AF1799">
        <f>RAND()</f>
        <v/>
      </c>
    </row>
    <row r="1800">
      <c r="M1800" s="14">
        <f>_xlfn.BETA.INV($AA1800,1+4*($D$5-$C$5)/($E$5-$C$5),1+4*($E$5-$D$5)/($E$5-$C$5),$C$5,$E$5)</f>
        <v/>
      </c>
      <c r="N1800" s="14">
        <f>IF($AB1800&lt;($D$6-$C$6)/($E$6-$C$6),$C$6+SQRT($AB1800*($E$6-$C$6)*($D$6-$C$6)),$E$6-SQRT((1-$AB1800)*($E$6-$C$6)*($E$6-$D$6)))</f>
        <v/>
      </c>
      <c r="O1800" s="14">
        <f>_xlfn.NORM.INV($AC1800,$C$7,$D$7)</f>
        <v/>
      </c>
      <c r="P1800" s="14">
        <f>$C$8+($D$8-$C$8)*$AD1800</f>
        <v/>
      </c>
      <c r="Q1800" s="14">
        <f>$C$9</f>
        <v/>
      </c>
      <c r="R1800" s="14">
        <f>_xlfn.LOGNORM.INV($AF1800,LN($C$10)-0.5*LN(1+($D$10/$C$10)^2),SQRT(LN(1+($D$10/$C$10)^2)))</f>
        <v/>
      </c>
      <c r="S1800" s="14">
        <f>SUM(M1800:R1800)</f>
        <v/>
      </c>
      <c r="AA1800">
        <f>RAND()</f>
        <v/>
      </c>
      <c r="AB1800">
        <f>RAND()</f>
        <v/>
      </c>
      <c r="AC1800">
        <f>RAND()</f>
        <v/>
      </c>
      <c r="AD1800">
        <f>RAND()</f>
        <v/>
      </c>
      <c r="AE1800">
        <f>RAND()</f>
        <v/>
      </c>
      <c r="AF1800">
        <f>RAND()</f>
        <v/>
      </c>
    </row>
    <row r="1801">
      <c r="M1801" s="14">
        <f>_xlfn.BETA.INV($AA1801,1+4*($D$5-$C$5)/($E$5-$C$5),1+4*($E$5-$D$5)/($E$5-$C$5),$C$5,$E$5)</f>
        <v/>
      </c>
      <c r="N1801" s="14">
        <f>IF($AB1801&lt;($D$6-$C$6)/($E$6-$C$6),$C$6+SQRT($AB1801*($E$6-$C$6)*($D$6-$C$6)),$E$6-SQRT((1-$AB1801)*($E$6-$C$6)*($E$6-$D$6)))</f>
        <v/>
      </c>
      <c r="O1801" s="14">
        <f>_xlfn.NORM.INV($AC1801,$C$7,$D$7)</f>
        <v/>
      </c>
      <c r="P1801" s="14">
        <f>$C$8+($D$8-$C$8)*$AD1801</f>
        <v/>
      </c>
      <c r="Q1801" s="14">
        <f>$C$9</f>
        <v/>
      </c>
      <c r="R1801" s="14">
        <f>_xlfn.LOGNORM.INV($AF1801,LN($C$10)-0.5*LN(1+($D$10/$C$10)^2),SQRT(LN(1+($D$10/$C$10)^2)))</f>
        <v/>
      </c>
      <c r="S1801" s="14">
        <f>SUM(M1801:R1801)</f>
        <v/>
      </c>
      <c r="AA1801">
        <f>RAND()</f>
        <v/>
      </c>
      <c r="AB1801">
        <f>RAND()</f>
        <v/>
      </c>
      <c r="AC1801">
        <f>RAND()</f>
        <v/>
      </c>
      <c r="AD1801">
        <f>RAND()</f>
        <v/>
      </c>
      <c r="AE1801">
        <f>RAND()</f>
        <v/>
      </c>
      <c r="AF1801">
        <f>RAND()</f>
        <v/>
      </c>
    </row>
    <row r="1802">
      <c r="M1802" s="14">
        <f>_xlfn.BETA.INV($AA1802,1+4*($D$5-$C$5)/($E$5-$C$5),1+4*($E$5-$D$5)/($E$5-$C$5),$C$5,$E$5)</f>
        <v/>
      </c>
      <c r="N1802" s="14">
        <f>IF($AB1802&lt;($D$6-$C$6)/($E$6-$C$6),$C$6+SQRT($AB1802*($E$6-$C$6)*($D$6-$C$6)),$E$6-SQRT((1-$AB1802)*($E$6-$C$6)*($E$6-$D$6)))</f>
        <v/>
      </c>
      <c r="O1802" s="14">
        <f>_xlfn.NORM.INV($AC1802,$C$7,$D$7)</f>
        <v/>
      </c>
      <c r="P1802" s="14">
        <f>$C$8+($D$8-$C$8)*$AD1802</f>
        <v/>
      </c>
      <c r="Q1802" s="14">
        <f>$C$9</f>
        <v/>
      </c>
      <c r="R1802" s="14">
        <f>_xlfn.LOGNORM.INV($AF1802,LN($C$10)-0.5*LN(1+($D$10/$C$10)^2),SQRT(LN(1+($D$10/$C$10)^2)))</f>
        <v/>
      </c>
      <c r="S1802" s="14">
        <f>SUM(M1802:R1802)</f>
        <v/>
      </c>
      <c r="AA1802">
        <f>RAND()</f>
        <v/>
      </c>
      <c r="AB1802">
        <f>RAND()</f>
        <v/>
      </c>
      <c r="AC1802">
        <f>RAND()</f>
        <v/>
      </c>
      <c r="AD1802">
        <f>RAND()</f>
        <v/>
      </c>
      <c r="AE1802">
        <f>RAND()</f>
        <v/>
      </c>
      <c r="AF1802">
        <f>RAND()</f>
        <v/>
      </c>
    </row>
    <row r="1803">
      <c r="M1803" s="14">
        <f>_xlfn.BETA.INV($AA1803,1+4*($D$5-$C$5)/($E$5-$C$5),1+4*($E$5-$D$5)/($E$5-$C$5),$C$5,$E$5)</f>
        <v/>
      </c>
      <c r="N1803" s="14">
        <f>IF($AB1803&lt;($D$6-$C$6)/($E$6-$C$6),$C$6+SQRT($AB1803*($E$6-$C$6)*($D$6-$C$6)),$E$6-SQRT((1-$AB1803)*($E$6-$C$6)*($E$6-$D$6)))</f>
        <v/>
      </c>
      <c r="O1803" s="14">
        <f>_xlfn.NORM.INV($AC1803,$C$7,$D$7)</f>
        <v/>
      </c>
      <c r="P1803" s="14">
        <f>$C$8+($D$8-$C$8)*$AD1803</f>
        <v/>
      </c>
      <c r="Q1803" s="14">
        <f>$C$9</f>
        <v/>
      </c>
      <c r="R1803" s="14">
        <f>_xlfn.LOGNORM.INV($AF1803,LN($C$10)-0.5*LN(1+($D$10/$C$10)^2),SQRT(LN(1+($D$10/$C$10)^2)))</f>
        <v/>
      </c>
      <c r="S1803" s="14">
        <f>SUM(M1803:R1803)</f>
        <v/>
      </c>
      <c r="AA1803">
        <f>RAND()</f>
        <v/>
      </c>
      <c r="AB1803">
        <f>RAND()</f>
        <v/>
      </c>
      <c r="AC1803">
        <f>RAND()</f>
        <v/>
      </c>
      <c r="AD1803">
        <f>RAND()</f>
        <v/>
      </c>
      <c r="AE1803">
        <f>RAND()</f>
        <v/>
      </c>
      <c r="AF1803">
        <f>RAND()</f>
        <v/>
      </c>
    </row>
    <row r="1804">
      <c r="M1804" s="14">
        <f>_xlfn.BETA.INV($AA1804,1+4*($D$5-$C$5)/($E$5-$C$5),1+4*($E$5-$D$5)/($E$5-$C$5),$C$5,$E$5)</f>
        <v/>
      </c>
      <c r="N1804" s="14">
        <f>IF($AB1804&lt;($D$6-$C$6)/($E$6-$C$6),$C$6+SQRT($AB1804*($E$6-$C$6)*($D$6-$C$6)),$E$6-SQRT((1-$AB1804)*($E$6-$C$6)*($E$6-$D$6)))</f>
        <v/>
      </c>
      <c r="O1804" s="14">
        <f>_xlfn.NORM.INV($AC1804,$C$7,$D$7)</f>
        <v/>
      </c>
      <c r="P1804" s="14">
        <f>$C$8+($D$8-$C$8)*$AD1804</f>
        <v/>
      </c>
      <c r="Q1804" s="14">
        <f>$C$9</f>
        <v/>
      </c>
      <c r="R1804" s="14">
        <f>_xlfn.LOGNORM.INV($AF1804,LN($C$10)-0.5*LN(1+($D$10/$C$10)^2),SQRT(LN(1+($D$10/$C$10)^2)))</f>
        <v/>
      </c>
      <c r="S1804" s="14">
        <f>SUM(M1804:R1804)</f>
        <v/>
      </c>
      <c r="AA1804">
        <f>RAND()</f>
        <v/>
      </c>
      <c r="AB1804">
        <f>RAND()</f>
        <v/>
      </c>
      <c r="AC1804">
        <f>RAND()</f>
        <v/>
      </c>
      <c r="AD1804">
        <f>RAND()</f>
        <v/>
      </c>
      <c r="AE1804">
        <f>RAND()</f>
        <v/>
      </c>
      <c r="AF1804">
        <f>RAND()</f>
        <v/>
      </c>
    </row>
    <row r="1805">
      <c r="M1805" s="14">
        <f>_xlfn.BETA.INV($AA1805,1+4*($D$5-$C$5)/($E$5-$C$5),1+4*($E$5-$D$5)/($E$5-$C$5),$C$5,$E$5)</f>
        <v/>
      </c>
      <c r="N1805" s="14">
        <f>IF($AB1805&lt;($D$6-$C$6)/($E$6-$C$6),$C$6+SQRT($AB1805*($E$6-$C$6)*($D$6-$C$6)),$E$6-SQRT((1-$AB1805)*($E$6-$C$6)*($E$6-$D$6)))</f>
        <v/>
      </c>
      <c r="O1805" s="14">
        <f>_xlfn.NORM.INV($AC1805,$C$7,$D$7)</f>
        <v/>
      </c>
      <c r="P1805" s="14">
        <f>$C$8+($D$8-$C$8)*$AD1805</f>
        <v/>
      </c>
      <c r="Q1805" s="14">
        <f>$C$9</f>
        <v/>
      </c>
      <c r="R1805" s="14">
        <f>_xlfn.LOGNORM.INV($AF1805,LN($C$10)-0.5*LN(1+($D$10/$C$10)^2),SQRT(LN(1+($D$10/$C$10)^2)))</f>
        <v/>
      </c>
      <c r="S1805" s="14">
        <f>SUM(M1805:R1805)</f>
        <v/>
      </c>
      <c r="AA1805">
        <f>RAND()</f>
        <v/>
      </c>
      <c r="AB1805">
        <f>RAND()</f>
        <v/>
      </c>
      <c r="AC1805">
        <f>RAND()</f>
        <v/>
      </c>
      <c r="AD1805">
        <f>RAND()</f>
        <v/>
      </c>
      <c r="AE1805">
        <f>RAND()</f>
        <v/>
      </c>
      <c r="AF1805">
        <f>RAND()</f>
        <v/>
      </c>
    </row>
    <row r="1806">
      <c r="M1806" s="14">
        <f>_xlfn.BETA.INV($AA1806,1+4*($D$5-$C$5)/($E$5-$C$5),1+4*($E$5-$D$5)/($E$5-$C$5),$C$5,$E$5)</f>
        <v/>
      </c>
      <c r="N1806" s="14">
        <f>IF($AB1806&lt;($D$6-$C$6)/($E$6-$C$6),$C$6+SQRT($AB1806*($E$6-$C$6)*($D$6-$C$6)),$E$6-SQRT((1-$AB1806)*($E$6-$C$6)*($E$6-$D$6)))</f>
        <v/>
      </c>
      <c r="O1806" s="14">
        <f>_xlfn.NORM.INV($AC1806,$C$7,$D$7)</f>
        <v/>
      </c>
      <c r="P1806" s="14">
        <f>$C$8+($D$8-$C$8)*$AD1806</f>
        <v/>
      </c>
      <c r="Q1806" s="14">
        <f>$C$9</f>
        <v/>
      </c>
      <c r="R1806" s="14">
        <f>_xlfn.LOGNORM.INV($AF1806,LN($C$10)-0.5*LN(1+($D$10/$C$10)^2),SQRT(LN(1+($D$10/$C$10)^2)))</f>
        <v/>
      </c>
      <c r="S1806" s="14">
        <f>SUM(M1806:R1806)</f>
        <v/>
      </c>
      <c r="AA1806">
        <f>RAND()</f>
        <v/>
      </c>
      <c r="AB1806">
        <f>RAND()</f>
        <v/>
      </c>
      <c r="AC1806">
        <f>RAND()</f>
        <v/>
      </c>
      <c r="AD1806">
        <f>RAND()</f>
        <v/>
      </c>
      <c r="AE1806">
        <f>RAND()</f>
        <v/>
      </c>
      <c r="AF1806">
        <f>RAND()</f>
        <v/>
      </c>
    </row>
    <row r="1807">
      <c r="M1807" s="14">
        <f>_xlfn.BETA.INV($AA1807,1+4*($D$5-$C$5)/($E$5-$C$5),1+4*($E$5-$D$5)/($E$5-$C$5),$C$5,$E$5)</f>
        <v/>
      </c>
      <c r="N1807" s="14">
        <f>IF($AB1807&lt;($D$6-$C$6)/($E$6-$C$6),$C$6+SQRT($AB1807*($E$6-$C$6)*($D$6-$C$6)),$E$6-SQRT((1-$AB1807)*($E$6-$C$6)*($E$6-$D$6)))</f>
        <v/>
      </c>
      <c r="O1807" s="14">
        <f>_xlfn.NORM.INV($AC1807,$C$7,$D$7)</f>
        <v/>
      </c>
      <c r="P1807" s="14">
        <f>$C$8+($D$8-$C$8)*$AD1807</f>
        <v/>
      </c>
      <c r="Q1807" s="14">
        <f>$C$9</f>
        <v/>
      </c>
      <c r="R1807" s="14">
        <f>_xlfn.LOGNORM.INV($AF1807,LN($C$10)-0.5*LN(1+($D$10/$C$10)^2),SQRT(LN(1+($D$10/$C$10)^2)))</f>
        <v/>
      </c>
      <c r="S1807" s="14">
        <f>SUM(M1807:R1807)</f>
        <v/>
      </c>
      <c r="AA1807">
        <f>RAND()</f>
        <v/>
      </c>
      <c r="AB1807">
        <f>RAND()</f>
        <v/>
      </c>
      <c r="AC1807">
        <f>RAND()</f>
        <v/>
      </c>
      <c r="AD1807">
        <f>RAND()</f>
        <v/>
      </c>
      <c r="AE1807">
        <f>RAND()</f>
        <v/>
      </c>
      <c r="AF1807">
        <f>RAND()</f>
        <v/>
      </c>
    </row>
    <row r="1808">
      <c r="M1808" s="14">
        <f>_xlfn.BETA.INV($AA1808,1+4*($D$5-$C$5)/($E$5-$C$5),1+4*($E$5-$D$5)/($E$5-$C$5),$C$5,$E$5)</f>
        <v/>
      </c>
      <c r="N1808" s="14">
        <f>IF($AB1808&lt;($D$6-$C$6)/($E$6-$C$6),$C$6+SQRT($AB1808*($E$6-$C$6)*($D$6-$C$6)),$E$6-SQRT((1-$AB1808)*($E$6-$C$6)*($E$6-$D$6)))</f>
        <v/>
      </c>
      <c r="O1808" s="14">
        <f>_xlfn.NORM.INV($AC1808,$C$7,$D$7)</f>
        <v/>
      </c>
      <c r="P1808" s="14">
        <f>$C$8+($D$8-$C$8)*$AD1808</f>
        <v/>
      </c>
      <c r="Q1808" s="14">
        <f>$C$9</f>
        <v/>
      </c>
      <c r="R1808" s="14">
        <f>_xlfn.LOGNORM.INV($AF1808,LN($C$10)-0.5*LN(1+($D$10/$C$10)^2),SQRT(LN(1+($D$10/$C$10)^2)))</f>
        <v/>
      </c>
      <c r="S1808" s="14">
        <f>SUM(M1808:R1808)</f>
        <v/>
      </c>
      <c r="AA1808">
        <f>RAND()</f>
        <v/>
      </c>
      <c r="AB1808">
        <f>RAND()</f>
        <v/>
      </c>
      <c r="AC1808">
        <f>RAND()</f>
        <v/>
      </c>
      <c r="AD1808">
        <f>RAND()</f>
        <v/>
      </c>
      <c r="AE1808">
        <f>RAND()</f>
        <v/>
      </c>
      <c r="AF1808">
        <f>RAND()</f>
        <v/>
      </c>
    </row>
    <row r="1809">
      <c r="M1809" s="14">
        <f>_xlfn.BETA.INV($AA1809,1+4*($D$5-$C$5)/($E$5-$C$5),1+4*($E$5-$D$5)/($E$5-$C$5),$C$5,$E$5)</f>
        <v/>
      </c>
      <c r="N1809" s="14">
        <f>IF($AB1809&lt;($D$6-$C$6)/($E$6-$C$6),$C$6+SQRT($AB1809*($E$6-$C$6)*($D$6-$C$6)),$E$6-SQRT((1-$AB1809)*($E$6-$C$6)*($E$6-$D$6)))</f>
        <v/>
      </c>
      <c r="O1809" s="14">
        <f>_xlfn.NORM.INV($AC1809,$C$7,$D$7)</f>
        <v/>
      </c>
      <c r="P1809" s="14">
        <f>$C$8+($D$8-$C$8)*$AD1809</f>
        <v/>
      </c>
      <c r="Q1809" s="14">
        <f>$C$9</f>
        <v/>
      </c>
      <c r="R1809" s="14">
        <f>_xlfn.LOGNORM.INV($AF1809,LN($C$10)-0.5*LN(1+($D$10/$C$10)^2),SQRT(LN(1+($D$10/$C$10)^2)))</f>
        <v/>
      </c>
      <c r="S1809" s="14">
        <f>SUM(M1809:R1809)</f>
        <v/>
      </c>
      <c r="AA1809">
        <f>RAND()</f>
        <v/>
      </c>
      <c r="AB1809">
        <f>RAND()</f>
        <v/>
      </c>
      <c r="AC1809">
        <f>RAND()</f>
        <v/>
      </c>
      <c r="AD1809">
        <f>RAND()</f>
        <v/>
      </c>
      <c r="AE1809">
        <f>RAND()</f>
        <v/>
      </c>
      <c r="AF1809">
        <f>RAND()</f>
        <v/>
      </c>
    </row>
    <row r="1810">
      <c r="M1810" s="14">
        <f>_xlfn.BETA.INV($AA1810,1+4*($D$5-$C$5)/($E$5-$C$5),1+4*($E$5-$D$5)/($E$5-$C$5),$C$5,$E$5)</f>
        <v/>
      </c>
      <c r="N1810" s="14">
        <f>IF($AB1810&lt;($D$6-$C$6)/($E$6-$C$6),$C$6+SQRT($AB1810*($E$6-$C$6)*($D$6-$C$6)),$E$6-SQRT((1-$AB1810)*($E$6-$C$6)*($E$6-$D$6)))</f>
        <v/>
      </c>
      <c r="O1810" s="14">
        <f>_xlfn.NORM.INV($AC1810,$C$7,$D$7)</f>
        <v/>
      </c>
      <c r="P1810" s="14">
        <f>$C$8+($D$8-$C$8)*$AD1810</f>
        <v/>
      </c>
      <c r="Q1810" s="14">
        <f>$C$9</f>
        <v/>
      </c>
      <c r="R1810" s="14">
        <f>_xlfn.LOGNORM.INV($AF1810,LN($C$10)-0.5*LN(1+($D$10/$C$10)^2),SQRT(LN(1+($D$10/$C$10)^2)))</f>
        <v/>
      </c>
      <c r="S1810" s="14">
        <f>SUM(M1810:R1810)</f>
        <v/>
      </c>
      <c r="AA1810">
        <f>RAND()</f>
        <v/>
      </c>
      <c r="AB1810">
        <f>RAND()</f>
        <v/>
      </c>
      <c r="AC1810">
        <f>RAND()</f>
        <v/>
      </c>
      <c r="AD1810">
        <f>RAND()</f>
        <v/>
      </c>
      <c r="AE1810">
        <f>RAND()</f>
        <v/>
      </c>
      <c r="AF1810">
        <f>RAND()</f>
        <v/>
      </c>
    </row>
    <row r="1811">
      <c r="M1811" s="14">
        <f>_xlfn.BETA.INV($AA1811,1+4*($D$5-$C$5)/($E$5-$C$5),1+4*($E$5-$D$5)/($E$5-$C$5),$C$5,$E$5)</f>
        <v/>
      </c>
      <c r="N1811" s="14">
        <f>IF($AB1811&lt;($D$6-$C$6)/($E$6-$C$6),$C$6+SQRT($AB1811*($E$6-$C$6)*($D$6-$C$6)),$E$6-SQRT((1-$AB1811)*($E$6-$C$6)*($E$6-$D$6)))</f>
        <v/>
      </c>
      <c r="O1811" s="14">
        <f>_xlfn.NORM.INV($AC1811,$C$7,$D$7)</f>
        <v/>
      </c>
      <c r="P1811" s="14">
        <f>$C$8+($D$8-$C$8)*$AD1811</f>
        <v/>
      </c>
      <c r="Q1811" s="14">
        <f>$C$9</f>
        <v/>
      </c>
      <c r="R1811" s="14">
        <f>_xlfn.LOGNORM.INV($AF1811,LN($C$10)-0.5*LN(1+($D$10/$C$10)^2),SQRT(LN(1+($D$10/$C$10)^2)))</f>
        <v/>
      </c>
      <c r="S1811" s="14">
        <f>SUM(M1811:R1811)</f>
        <v/>
      </c>
      <c r="AA1811">
        <f>RAND()</f>
        <v/>
      </c>
      <c r="AB1811">
        <f>RAND()</f>
        <v/>
      </c>
      <c r="AC1811">
        <f>RAND()</f>
        <v/>
      </c>
      <c r="AD1811">
        <f>RAND()</f>
        <v/>
      </c>
      <c r="AE1811">
        <f>RAND()</f>
        <v/>
      </c>
      <c r="AF1811">
        <f>RAND()</f>
        <v/>
      </c>
    </row>
    <row r="1812">
      <c r="M1812" s="14">
        <f>_xlfn.BETA.INV($AA1812,1+4*($D$5-$C$5)/($E$5-$C$5),1+4*($E$5-$D$5)/($E$5-$C$5),$C$5,$E$5)</f>
        <v/>
      </c>
      <c r="N1812" s="14">
        <f>IF($AB1812&lt;($D$6-$C$6)/($E$6-$C$6),$C$6+SQRT($AB1812*($E$6-$C$6)*($D$6-$C$6)),$E$6-SQRT((1-$AB1812)*($E$6-$C$6)*($E$6-$D$6)))</f>
        <v/>
      </c>
      <c r="O1812" s="14">
        <f>_xlfn.NORM.INV($AC1812,$C$7,$D$7)</f>
        <v/>
      </c>
      <c r="P1812" s="14">
        <f>$C$8+($D$8-$C$8)*$AD1812</f>
        <v/>
      </c>
      <c r="Q1812" s="14">
        <f>$C$9</f>
        <v/>
      </c>
      <c r="R1812" s="14">
        <f>_xlfn.LOGNORM.INV($AF1812,LN($C$10)-0.5*LN(1+($D$10/$C$10)^2),SQRT(LN(1+($D$10/$C$10)^2)))</f>
        <v/>
      </c>
      <c r="S1812" s="14">
        <f>SUM(M1812:R1812)</f>
        <v/>
      </c>
      <c r="AA1812">
        <f>RAND()</f>
        <v/>
      </c>
      <c r="AB1812">
        <f>RAND()</f>
        <v/>
      </c>
      <c r="AC1812">
        <f>RAND()</f>
        <v/>
      </c>
      <c r="AD1812">
        <f>RAND()</f>
        <v/>
      </c>
      <c r="AE1812">
        <f>RAND()</f>
        <v/>
      </c>
      <c r="AF1812">
        <f>RAND()</f>
        <v/>
      </c>
    </row>
    <row r="1813">
      <c r="M1813" s="14">
        <f>_xlfn.BETA.INV($AA1813,1+4*($D$5-$C$5)/($E$5-$C$5),1+4*($E$5-$D$5)/($E$5-$C$5),$C$5,$E$5)</f>
        <v/>
      </c>
      <c r="N1813" s="14">
        <f>IF($AB1813&lt;($D$6-$C$6)/($E$6-$C$6),$C$6+SQRT($AB1813*($E$6-$C$6)*($D$6-$C$6)),$E$6-SQRT((1-$AB1813)*($E$6-$C$6)*($E$6-$D$6)))</f>
        <v/>
      </c>
      <c r="O1813" s="14">
        <f>_xlfn.NORM.INV($AC1813,$C$7,$D$7)</f>
        <v/>
      </c>
      <c r="P1813" s="14">
        <f>$C$8+($D$8-$C$8)*$AD1813</f>
        <v/>
      </c>
      <c r="Q1813" s="14">
        <f>$C$9</f>
        <v/>
      </c>
      <c r="R1813" s="14">
        <f>_xlfn.LOGNORM.INV($AF1813,LN($C$10)-0.5*LN(1+($D$10/$C$10)^2),SQRT(LN(1+($D$10/$C$10)^2)))</f>
        <v/>
      </c>
      <c r="S1813" s="14">
        <f>SUM(M1813:R1813)</f>
        <v/>
      </c>
      <c r="AA1813">
        <f>RAND()</f>
        <v/>
      </c>
      <c r="AB1813">
        <f>RAND()</f>
        <v/>
      </c>
      <c r="AC1813">
        <f>RAND()</f>
        <v/>
      </c>
      <c r="AD1813">
        <f>RAND()</f>
        <v/>
      </c>
      <c r="AE1813">
        <f>RAND()</f>
        <v/>
      </c>
      <c r="AF1813">
        <f>RAND()</f>
        <v/>
      </c>
    </row>
    <row r="1814">
      <c r="M1814" s="14">
        <f>_xlfn.BETA.INV($AA1814,1+4*($D$5-$C$5)/($E$5-$C$5),1+4*($E$5-$D$5)/($E$5-$C$5),$C$5,$E$5)</f>
        <v/>
      </c>
      <c r="N1814" s="14">
        <f>IF($AB1814&lt;($D$6-$C$6)/($E$6-$C$6),$C$6+SQRT($AB1814*($E$6-$C$6)*($D$6-$C$6)),$E$6-SQRT((1-$AB1814)*($E$6-$C$6)*($E$6-$D$6)))</f>
        <v/>
      </c>
      <c r="O1814" s="14">
        <f>_xlfn.NORM.INV($AC1814,$C$7,$D$7)</f>
        <v/>
      </c>
      <c r="P1814" s="14">
        <f>$C$8+($D$8-$C$8)*$AD1814</f>
        <v/>
      </c>
      <c r="Q1814" s="14">
        <f>$C$9</f>
        <v/>
      </c>
      <c r="R1814" s="14">
        <f>_xlfn.LOGNORM.INV($AF1814,LN($C$10)-0.5*LN(1+($D$10/$C$10)^2),SQRT(LN(1+($D$10/$C$10)^2)))</f>
        <v/>
      </c>
      <c r="S1814" s="14">
        <f>SUM(M1814:R1814)</f>
        <v/>
      </c>
      <c r="AA1814">
        <f>RAND()</f>
        <v/>
      </c>
      <c r="AB1814">
        <f>RAND()</f>
        <v/>
      </c>
      <c r="AC1814">
        <f>RAND()</f>
        <v/>
      </c>
      <c r="AD1814">
        <f>RAND()</f>
        <v/>
      </c>
      <c r="AE1814">
        <f>RAND()</f>
        <v/>
      </c>
      <c r="AF1814">
        <f>RAND()</f>
        <v/>
      </c>
    </row>
    <row r="1815">
      <c r="M1815" s="14">
        <f>_xlfn.BETA.INV($AA1815,1+4*($D$5-$C$5)/($E$5-$C$5),1+4*($E$5-$D$5)/($E$5-$C$5),$C$5,$E$5)</f>
        <v/>
      </c>
      <c r="N1815" s="14">
        <f>IF($AB1815&lt;($D$6-$C$6)/($E$6-$C$6),$C$6+SQRT($AB1815*($E$6-$C$6)*($D$6-$C$6)),$E$6-SQRT((1-$AB1815)*($E$6-$C$6)*($E$6-$D$6)))</f>
        <v/>
      </c>
      <c r="O1815" s="14">
        <f>_xlfn.NORM.INV($AC1815,$C$7,$D$7)</f>
        <v/>
      </c>
      <c r="P1815" s="14">
        <f>$C$8+($D$8-$C$8)*$AD1815</f>
        <v/>
      </c>
      <c r="Q1815" s="14">
        <f>$C$9</f>
        <v/>
      </c>
      <c r="R1815" s="14">
        <f>_xlfn.LOGNORM.INV($AF1815,LN($C$10)-0.5*LN(1+($D$10/$C$10)^2),SQRT(LN(1+($D$10/$C$10)^2)))</f>
        <v/>
      </c>
      <c r="S1815" s="14">
        <f>SUM(M1815:R1815)</f>
        <v/>
      </c>
      <c r="AA1815">
        <f>RAND()</f>
        <v/>
      </c>
      <c r="AB1815">
        <f>RAND()</f>
        <v/>
      </c>
      <c r="AC1815">
        <f>RAND()</f>
        <v/>
      </c>
      <c r="AD1815">
        <f>RAND()</f>
        <v/>
      </c>
      <c r="AE1815">
        <f>RAND()</f>
        <v/>
      </c>
      <c r="AF1815">
        <f>RAND()</f>
        <v/>
      </c>
    </row>
    <row r="1816">
      <c r="M1816" s="14">
        <f>_xlfn.BETA.INV($AA1816,1+4*($D$5-$C$5)/($E$5-$C$5),1+4*($E$5-$D$5)/($E$5-$C$5),$C$5,$E$5)</f>
        <v/>
      </c>
      <c r="N1816" s="14">
        <f>IF($AB1816&lt;($D$6-$C$6)/($E$6-$C$6),$C$6+SQRT($AB1816*($E$6-$C$6)*($D$6-$C$6)),$E$6-SQRT((1-$AB1816)*($E$6-$C$6)*($E$6-$D$6)))</f>
        <v/>
      </c>
      <c r="O1816" s="14">
        <f>_xlfn.NORM.INV($AC1816,$C$7,$D$7)</f>
        <v/>
      </c>
      <c r="P1816" s="14">
        <f>$C$8+($D$8-$C$8)*$AD1816</f>
        <v/>
      </c>
      <c r="Q1816" s="14">
        <f>$C$9</f>
        <v/>
      </c>
      <c r="R1816" s="14">
        <f>_xlfn.LOGNORM.INV($AF1816,LN($C$10)-0.5*LN(1+($D$10/$C$10)^2),SQRT(LN(1+($D$10/$C$10)^2)))</f>
        <v/>
      </c>
      <c r="S1816" s="14">
        <f>SUM(M1816:R1816)</f>
        <v/>
      </c>
      <c r="AA1816">
        <f>RAND()</f>
        <v/>
      </c>
      <c r="AB1816">
        <f>RAND()</f>
        <v/>
      </c>
      <c r="AC1816">
        <f>RAND()</f>
        <v/>
      </c>
      <c r="AD1816">
        <f>RAND()</f>
        <v/>
      </c>
      <c r="AE1816">
        <f>RAND()</f>
        <v/>
      </c>
      <c r="AF1816">
        <f>RAND()</f>
        <v/>
      </c>
    </row>
    <row r="1817">
      <c r="M1817" s="14">
        <f>_xlfn.BETA.INV($AA1817,1+4*($D$5-$C$5)/($E$5-$C$5),1+4*($E$5-$D$5)/($E$5-$C$5),$C$5,$E$5)</f>
        <v/>
      </c>
      <c r="N1817" s="14">
        <f>IF($AB1817&lt;($D$6-$C$6)/($E$6-$C$6),$C$6+SQRT($AB1817*($E$6-$C$6)*($D$6-$C$6)),$E$6-SQRT((1-$AB1817)*($E$6-$C$6)*($E$6-$D$6)))</f>
        <v/>
      </c>
      <c r="O1817" s="14">
        <f>_xlfn.NORM.INV($AC1817,$C$7,$D$7)</f>
        <v/>
      </c>
      <c r="P1817" s="14">
        <f>$C$8+($D$8-$C$8)*$AD1817</f>
        <v/>
      </c>
      <c r="Q1817" s="14">
        <f>$C$9</f>
        <v/>
      </c>
      <c r="R1817" s="14">
        <f>_xlfn.LOGNORM.INV($AF1817,LN($C$10)-0.5*LN(1+($D$10/$C$10)^2),SQRT(LN(1+($D$10/$C$10)^2)))</f>
        <v/>
      </c>
      <c r="S1817" s="14">
        <f>SUM(M1817:R1817)</f>
        <v/>
      </c>
      <c r="AA1817">
        <f>RAND()</f>
        <v/>
      </c>
      <c r="AB1817">
        <f>RAND()</f>
        <v/>
      </c>
      <c r="AC1817">
        <f>RAND()</f>
        <v/>
      </c>
      <c r="AD1817">
        <f>RAND()</f>
        <v/>
      </c>
      <c r="AE1817">
        <f>RAND()</f>
        <v/>
      </c>
      <c r="AF1817">
        <f>RAND()</f>
        <v/>
      </c>
    </row>
    <row r="1818">
      <c r="M1818" s="14">
        <f>_xlfn.BETA.INV($AA1818,1+4*($D$5-$C$5)/($E$5-$C$5),1+4*($E$5-$D$5)/($E$5-$C$5),$C$5,$E$5)</f>
        <v/>
      </c>
      <c r="N1818" s="14">
        <f>IF($AB1818&lt;($D$6-$C$6)/($E$6-$C$6),$C$6+SQRT($AB1818*($E$6-$C$6)*($D$6-$C$6)),$E$6-SQRT((1-$AB1818)*($E$6-$C$6)*($E$6-$D$6)))</f>
        <v/>
      </c>
      <c r="O1818" s="14">
        <f>_xlfn.NORM.INV($AC1818,$C$7,$D$7)</f>
        <v/>
      </c>
      <c r="P1818" s="14">
        <f>$C$8+($D$8-$C$8)*$AD1818</f>
        <v/>
      </c>
      <c r="Q1818" s="14">
        <f>$C$9</f>
        <v/>
      </c>
      <c r="R1818" s="14">
        <f>_xlfn.LOGNORM.INV($AF1818,LN($C$10)-0.5*LN(1+($D$10/$C$10)^2),SQRT(LN(1+($D$10/$C$10)^2)))</f>
        <v/>
      </c>
      <c r="S1818" s="14">
        <f>SUM(M1818:R1818)</f>
        <v/>
      </c>
      <c r="AA1818">
        <f>RAND()</f>
        <v/>
      </c>
      <c r="AB1818">
        <f>RAND()</f>
        <v/>
      </c>
      <c r="AC1818">
        <f>RAND()</f>
        <v/>
      </c>
      <c r="AD1818">
        <f>RAND()</f>
        <v/>
      </c>
      <c r="AE1818">
        <f>RAND()</f>
        <v/>
      </c>
      <c r="AF1818">
        <f>RAND()</f>
        <v/>
      </c>
    </row>
    <row r="1819">
      <c r="M1819" s="14">
        <f>_xlfn.BETA.INV($AA1819,1+4*($D$5-$C$5)/($E$5-$C$5),1+4*($E$5-$D$5)/($E$5-$C$5),$C$5,$E$5)</f>
        <v/>
      </c>
      <c r="N1819" s="14">
        <f>IF($AB1819&lt;($D$6-$C$6)/($E$6-$C$6),$C$6+SQRT($AB1819*($E$6-$C$6)*($D$6-$C$6)),$E$6-SQRT((1-$AB1819)*($E$6-$C$6)*($E$6-$D$6)))</f>
        <v/>
      </c>
      <c r="O1819" s="14">
        <f>_xlfn.NORM.INV($AC1819,$C$7,$D$7)</f>
        <v/>
      </c>
      <c r="P1819" s="14">
        <f>$C$8+($D$8-$C$8)*$AD1819</f>
        <v/>
      </c>
      <c r="Q1819" s="14">
        <f>$C$9</f>
        <v/>
      </c>
      <c r="R1819" s="14">
        <f>_xlfn.LOGNORM.INV($AF1819,LN($C$10)-0.5*LN(1+($D$10/$C$10)^2),SQRT(LN(1+($D$10/$C$10)^2)))</f>
        <v/>
      </c>
      <c r="S1819" s="14">
        <f>SUM(M1819:R1819)</f>
        <v/>
      </c>
      <c r="AA1819">
        <f>RAND()</f>
        <v/>
      </c>
      <c r="AB1819">
        <f>RAND()</f>
        <v/>
      </c>
      <c r="AC1819">
        <f>RAND()</f>
        <v/>
      </c>
      <c r="AD1819">
        <f>RAND()</f>
        <v/>
      </c>
      <c r="AE1819">
        <f>RAND()</f>
        <v/>
      </c>
      <c r="AF1819">
        <f>RAND()</f>
        <v/>
      </c>
    </row>
    <row r="1820">
      <c r="M1820" s="14">
        <f>_xlfn.BETA.INV($AA1820,1+4*($D$5-$C$5)/($E$5-$C$5),1+4*($E$5-$D$5)/($E$5-$C$5),$C$5,$E$5)</f>
        <v/>
      </c>
      <c r="N1820" s="14">
        <f>IF($AB1820&lt;($D$6-$C$6)/($E$6-$C$6),$C$6+SQRT($AB1820*($E$6-$C$6)*($D$6-$C$6)),$E$6-SQRT((1-$AB1820)*($E$6-$C$6)*($E$6-$D$6)))</f>
        <v/>
      </c>
      <c r="O1820" s="14">
        <f>_xlfn.NORM.INV($AC1820,$C$7,$D$7)</f>
        <v/>
      </c>
      <c r="P1820" s="14">
        <f>$C$8+($D$8-$C$8)*$AD1820</f>
        <v/>
      </c>
      <c r="Q1820" s="14">
        <f>$C$9</f>
        <v/>
      </c>
      <c r="R1820" s="14">
        <f>_xlfn.LOGNORM.INV($AF1820,LN($C$10)-0.5*LN(1+($D$10/$C$10)^2),SQRT(LN(1+($D$10/$C$10)^2)))</f>
        <v/>
      </c>
      <c r="S1820" s="14">
        <f>SUM(M1820:R1820)</f>
        <v/>
      </c>
      <c r="AA1820">
        <f>RAND()</f>
        <v/>
      </c>
      <c r="AB1820">
        <f>RAND()</f>
        <v/>
      </c>
      <c r="AC1820">
        <f>RAND()</f>
        <v/>
      </c>
      <c r="AD1820">
        <f>RAND()</f>
        <v/>
      </c>
      <c r="AE1820">
        <f>RAND()</f>
        <v/>
      </c>
      <c r="AF1820">
        <f>RAND()</f>
        <v/>
      </c>
    </row>
    <row r="1821">
      <c r="M1821" s="14">
        <f>_xlfn.BETA.INV($AA1821,1+4*($D$5-$C$5)/($E$5-$C$5),1+4*($E$5-$D$5)/($E$5-$C$5),$C$5,$E$5)</f>
        <v/>
      </c>
      <c r="N1821" s="14">
        <f>IF($AB1821&lt;($D$6-$C$6)/($E$6-$C$6),$C$6+SQRT($AB1821*($E$6-$C$6)*($D$6-$C$6)),$E$6-SQRT((1-$AB1821)*($E$6-$C$6)*($E$6-$D$6)))</f>
        <v/>
      </c>
      <c r="O1821" s="14">
        <f>_xlfn.NORM.INV($AC1821,$C$7,$D$7)</f>
        <v/>
      </c>
      <c r="P1821" s="14">
        <f>$C$8+($D$8-$C$8)*$AD1821</f>
        <v/>
      </c>
      <c r="Q1821" s="14">
        <f>$C$9</f>
        <v/>
      </c>
      <c r="R1821" s="14">
        <f>_xlfn.LOGNORM.INV($AF1821,LN($C$10)-0.5*LN(1+($D$10/$C$10)^2),SQRT(LN(1+($D$10/$C$10)^2)))</f>
        <v/>
      </c>
      <c r="S1821" s="14">
        <f>SUM(M1821:R1821)</f>
        <v/>
      </c>
      <c r="AA1821">
        <f>RAND()</f>
        <v/>
      </c>
      <c r="AB1821">
        <f>RAND()</f>
        <v/>
      </c>
      <c r="AC1821">
        <f>RAND()</f>
        <v/>
      </c>
      <c r="AD1821">
        <f>RAND()</f>
        <v/>
      </c>
      <c r="AE1821">
        <f>RAND()</f>
        <v/>
      </c>
      <c r="AF1821">
        <f>RAND()</f>
        <v/>
      </c>
    </row>
    <row r="1822">
      <c r="M1822" s="14">
        <f>_xlfn.BETA.INV($AA1822,1+4*($D$5-$C$5)/($E$5-$C$5),1+4*($E$5-$D$5)/($E$5-$C$5),$C$5,$E$5)</f>
        <v/>
      </c>
      <c r="N1822" s="14">
        <f>IF($AB1822&lt;($D$6-$C$6)/($E$6-$C$6),$C$6+SQRT($AB1822*($E$6-$C$6)*($D$6-$C$6)),$E$6-SQRT((1-$AB1822)*($E$6-$C$6)*($E$6-$D$6)))</f>
        <v/>
      </c>
      <c r="O1822" s="14">
        <f>_xlfn.NORM.INV($AC1822,$C$7,$D$7)</f>
        <v/>
      </c>
      <c r="P1822" s="14">
        <f>$C$8+($D$8-$C$8)*$AD1822</f>
        <v/>
      </c>
      <c r="Q1822" s="14">
        <f>$C$9</f>
        <v/>
      </c>
      <c r="R1822" s="14">
        <f>_xlfn.LOGNORM.INV($AF1822,LN($C$10)-0.5*LN(1+($D$10/$C$10)^2),SQRT(LN(1+($D$10/$C$10)^2)))</f>
        <v/>
      </c>
      <c r="S1822" s="14">
        <f>SUM(M1822:R1822)</f>
        <v/>
      </c>
      <c r="AA1822">
        <f>RAND()</f>
        <v/>
      </c>
      <c r="AB1822">
        <f>RAND()</f>
        <v/>
      </c>
      <c r="AC1822">
        <f>RAND()</f>
        <v/>
      </c>
      <c r="AD1822">
        <f>RAND()</f>
        <v/>
      </c>
      <c r="AE1822">
        <f>RAND()</f>
        <v/>
      </c>
      <c r="AF1822">
        <f>RAND()</f>
        <v/>
      </c>
    </row>
    <row r="1823">
      <c r="M1823" s="14">
        <f>_xlfn.BETA.INV($AA1823,1+4*($D$5-$C$5)/($E$5-$C$5),1+4*($E$5-$D$5)/($E$5-$C$5),$C$5,$E$5)</f>
        <v/>
      </c>
      <c r="N1823" s="14">
        <f>IF($AB1823&lt;($D$6-$C$6)/($E$6-$C$6),$C$6+SQRT($AB1823*($E$6-$C$6)*($D$6-$C$6)),$E$6-SQRT((1-$AB1823)*($E$6-$C$6)*($E$6-$D$6)))</f>
        <v/>
      </c>
      <c r="O1823" s="14">
        <f>_xlfn.NORM.INV($AC1823,$C$7,$D$7)</f>
        <v/>
      </c>
      <c r="P1823" s="14">
        <f>$C$8+($D$8-$C$8)*$AD1823</f>
        <v/>
      </c>
      <c r="Q1823" s="14">
        <f>$C$9</f>
        <v/>
      </c>
      <c r="R1823" s="14">
        <f>_xlfn.LOGNORM.INV($AF1823,LN($C$10)-0.5*LN(1+($D$10/$C$10)^2),SQRT(LN(1+($D$10/$C$10)^2)))</f>
        <v/>
      </c>
      <c r="S1823" s="14">
        <f>SUM(M1823:R1823)</f>
        <v/>
      </c>
      <c r="AA1823">
        <f>RAND()</f>
        <v/>
      </c>
      <c r="AB1823">
        <f>RAND()</f>
        <v/>
      </c>
      <c r="AC1823">
        <f>RAND()</f>
        <v/>
      </c>
      <c r="AD1823">
        <f>RAND()</f>
        <v/>
      </c>
      <c r="AE1823">
        <f>RAND()</f>
        <v/>
      </c>
      <c r="AF1823">
        <f>RAND()</f>
        <v/>
      </c>
    </row>
    <row r="1824">
      <c r="M1824" s="14">
        <f>_xlfn.BETA.INV($AA1824,1+4*($D$5-$C$5)/($E$5-$C$5),1+4*($E$5-$D$5)/($E$5-$C$5),$C$5,$E$5)</f>
        <v/>
      </c>
      <c r="N1824" s="14">
        <f>IF($AB1824&lt;($D$6-$C$6)/($E$6-$C$6),$C$6+SQRT($AB1824*($E$6-$C$6)*($D$6-$C$6)),$E$6-SQRT((1-$AB1824)*($E$6-$C$6)*($E$6-$D$6)))</f>
        <v/>
      </c>
      <c r="O1824" s="14">
        <f>_xlfn.NORM.INV($AC1824,$C$7,$D$7)</f>
        <v/>
      </c>
      <c r="P1824" s="14">
        <f>$C$8+($D$8-$C$8)*$AD1824</f>
        <v/>
      </c>
      <c r="Q1824" s="14">
        <f>$C$9</f>
        <v/>
      </c>
      <c r="R1824" s="14">
        <f>_xlfn.LOGNORM.INV($AF1824,LN($C$10)-0.5*LN(1+($D$10/$C$10)^2),SQRT(LN(1+($D$10/$C$10)^2)))</f>
        <v/>
      </c>
      <c r="S1824" s="14">
        <f>SUM(M1824:R1824)</f>
        <v/>
      </c>
      <c r="AA1824">
        <f>RAND()</f>
        <v/>
      </c>
      <c r="AB1824">
        <f>RAND()</f>
        <v/>
      </c>
      <c r="AC1824">
        <f>RAND()</f>
        <v/>
      </c>
      <c r="AD1824">
        <f>RAND()</f>
        <v/>
      </c>
      <c r="AE1824">
        <f>RAND()</f>
        <v/>
      </c>
      <c r="AF1824">
        <f>RAND()</f>
        <v/>
      </c>
    </row>
    <row r="1825">
      <c r="M1825" s="14">
        <f>_xlfn.BETA.INV($AA1825,1+4*($D$5-$C$5)/($E$5-$C$5),1+4*($E$5-$D$5)/($E$5-$C$5),$C$5,$E$5)</f>
        <v/>
      </c>
      <c r="N1825" s="14">
        <f>IF($AB1825&lt;($D$6-$C$6)/($E$6-$C$6),$C$6+SQRT($AB1825*($E$6-$C$6)*($D$6-$C$6)),$E$6-SQRT((1-$AB1825)*($E$6-$C$6)*($E$6-$D$6)))</f>
        <v/>
      </c>
      <c r="O1825" s="14">
        <f>_xlfn.NORM.INV($AC1825,$C$7,$D$7)</f>
        <v/>
      </c>
      <c r="P1825" s="14">
        <f>$C$8+($D$8-$C$8)*$AD1825</f>
        <v/>
      </c>
      <c r="Q1825" s="14">
        <f>$C$9</f>
        <v/>
      </c>
      <c r="R1825" s="14">
        <f>_xlfn.LOGNORM.INV($AF1825,LN($C$10)-0.5*LN(1+($D$10/$C$10)^2),SQRT(LN(1+($D$10/$C$10)^2)))</f>
        <v/>
      </c>
      <c r="S1825" s="14">
        <f>SUM(M1825:R1825)</f>
        <v/>
      </c>
      <c r="AA1825">
        <f>RAND()</f>
        <v/>
      </c>
      <c r="AB1825">
        <f>RAND()</f>
        <v/>
      </c>
      <c r="AC1825">
        <f>RAND()</f>
        <v/>
      </c>
      <c r="AD1825">
        <f>RAND()</f>
        <v/>
      </c>
      <c r="AE1825">
        <f>RAND()</f>
        <v/>
      </c>
      <c r="AF1825">
        <f>RAND()</f>
        <v/>
      </c>
    </row>
    <row r="1826">
      <c r="M1826" s="14">
        <f>_xlfn.BETA.INV($AA1826,1+4*($D$5-$C$5)/($E$5-$C$5),1+4*($E$5-$D$5)/($E$5-$C$5),$C$5,$E$5)</f>
        <v/>
      </c>
      <c r="N1826" s="14">
        <f>IF($AB1826&lt;($D$6-$C$6)/($E$6-$C$6),$C$6+SQRT($AB1826*($E$6-$C$6)*($D$6-$C$6)),$E$6-SQRT((1-$AB1826)*($E$6-$C$6)*($E$6-$D$6)))</f>
        <v/>
      </c>
      <c r="O1826" s="14">
        <f>_xlfn.NORM.INV($AC1826,$C$7,$D$7)</f>
        <v/>
      </c>
      <c r="P1826" s="14">
        <f>$C$8+($D$8-$C$8)*$AD1826</f>
        <v/>
      </c>
      <c r="Q1826" s="14">
        <f>$C$9</f>
        <v/>
      </c>
      <c r="R1826" s="14">
        <f>_xlfn.LOGNORM.INV($AF1826,LN($C$10)-0.5*LN(1+($D$10/$C$10)^2),SQRT(LN(1+($D$10/$C$10)^2)))</f>
        <v/>
      </c>
      <c r="S1826" s="14">
        <f>SUM(M1826:R1826)</f>
        <v/>
      </c>
      <c r="AA1826">
        <f>RAND()</f>
        <v/>
      </c>
      <c r="AB1826">
        <f>RAND()</f>
        <v/>
      </c>
      <c r="AC1826">
        <f>RAND()</f>
        <v/>
      </c>
      <c r="AD1826">
        <f>RAND()</f>
        <v/>
      </c>
      <c r="AE1826">
        <f>RAND()</f>
        <v/>
      </c>
      <c r="AF1826">
        <f>RAND()</f>
        <v/>
      </c>
    </row>
    <row r="1827">
      <c r="M1827" s="14">
        <f>_xlfn.BETA.INV($AA1827,1+4*($D$5-$C$5)/($E$5-$C$5),1+4*($E$5-$D$5)/($E$5-$C$5),$C$5,$E$5)</f>
        <v/>
      </c>
      <c r="N1827" s="14">
        <f>IF($AB1827&lt;($D$6-$C$6)/($E$6-$C$6),$C$6+SQRT($AB1827*($E$6-$C$6)*($D$6-$C$6)),$E$6-SQRT((1-$AB1827)*($E$6-$C$6)*($E$6-$D$6)))</f>
        <v/>
      </c>
      <c r="O1827" s="14">
        <f>_xlfn.NORM.INV($AC1827,$C$7,$D$7)</f>
        <v/>
      </c>
      <c r="P1827" s="14">
        <f>$C$8+($D$8-$C$8)*$AD1827</f>
        <v/>
      </c>
      <c r="Q1827" s="14">
        <f>$C$9</f>
        <v/>
      </c>
      <c r="R1827" s="14">
        <f>_xlfn.LOGNORM.INV($AF1827,LN($C$10)-0.5*LN(1+($D$10/$C$10)^2),SQRT(LN(1+($D$10/$C$10)^2)))</f>
        <v/>
      </c>
      <c r="S1827" s="14">
        <f>SUM(M1827:R1827)</f>
        <v/>
      </c>
      <c r="AA1827">
        <f>RAND()</f>
        <v/>
      </c>
      <c r="AB1827">
        <f>RAND()</f>
        <v/>
      </c>
      <c r="AC1827">
        <f>RAND()</f>
        <v/>
      </c>
      <c r="AD1827">
        <f>RAND()</f>
        <v/>
      </c>
      <c r="AE1827">
        <f>RAND()</f>
        <v/>
      </c>
      <c r="AF1827">
        <f>RAND()</f>
        <v/>
      </c>
    </row>
    <row r="1828">
      <c r="M1828" s="14">
        <f>_xlfn.BETA.INV($AA1828,1+4*($D$5-$C$5)/($E$5-$C$5),1+4*($E$5-$D$5)/($E$5-$C$5),$C$5,$E$5)</f>
        <v/>
      </c>
      <c r="N1828" s="14">
        <f>IF($AB1828&lt;($D$6-$C$6)/($E$6-$C$6),$C$6+SQRT($AB1828*($E$6-$C$6)*($D$6-$C$6)),$E$6-SQRT((1-$AB1828)*($E$6-$C$6)*($E$6-$D$6)))</f>
        <v/>
      </c>
      <c r="O1828" s="14">
        <f>_xlfn.NORM.INV($AC1828,$C$7,$D$7)</f>
        <v/>
      </c>
      <c r="P1828" s="14">
        <f>$C$8+($D$8-$C$8)*$AD1828</f>
        <v/>
      </c>
      <c r="Q1828" s="14">
        <f>$C$9</f>
        <v/>
      </c>
      <c r="R1828" s="14">
        <f>_xlfn.LOGNORM.INV($AF1828,LN($C$10)-0.5*LN(1+($D$10/$C$10)^2),SQRT(LN(1+($D$10/$C$10)^2)))</f>
        <v/>
      </c>
      <c r="S1828" s="14">
        <f>SUM(M1828:R1828)</f>
        <v/>
      </c>
      <c r="AA1828">
        <f>RAND()</f>
        <v/>
      </c>
      <c r="AB1828">
        <f>RAND()</f>
        <v/>
      </c>
      <c r="AC1828">
        <f>RAND()</f>
        <v/>
      </c>
      <c r="AD1828">
        <f>RAND()</f>
        <v/>
      </c>
      <c r="AE1828">
        <f>RAND()</f>
        <v/>
      </c>
      <c r="AF1828">
        <f>RAND()</f>
        <v/>
      </c>
    </row>
    <row r="1829">
      <c r="M1829" s="14">
        <f>_xlfn.BETA.INV($AA1829,1+4*($D$5-$C$5)/($E$5-$C$5),1+4*($E$5-$D$5)/($E$5-$C$5),$C$5,$E$5)</f>
        <v/>
      </c>
      <c r="N1829" s="14">
        <f>IF($AB1829&lt;($D$6-$C$6)/($E$6-$C$6),$C$6+SQRT($AB1829*($E$6-$C$6)*($D$6-$C$6)),$E$6-SQRT((1-$AB1829)*($E$6-$C$6)*($E$6-$D$6)))</f>
        <v/>
      </c>
      <c r="O1829" s="14">
        <f>_xlfn.NORM.INV($AC1829,$C$7,$D$7)</f>
        <v/>
      </c>
      <c r="P1829" s="14">
        <f>$C$8+($D$8-$C$8)*$AD1829</f>
        <v/>
      </c>
      <c r="Q1829" s="14">
        <f>$C$9</f>
        <v/>
      </c>
      <c r="R1829" s="14">
        <f>_xlfn.LOGNORM.INV($AF1829,LN($C$10)-0.5*LN(1+($D$10/$C$10)^2),SQRT(LN(1+($D$10/$C$10)^2)))</f>
        <v/>
      </c>
      <c r="S1829" s="14">
        <f>SUM(M1829:R1829)</f>
        <v/>
      </c>
      <c r="AA1829">
        <f>RAND()</f>
        <v/>
      </c>
      <c r="AB1829">
        <f>RAND()</f>
        <v/>
      </c>
      <c r="AC1829">
        <f>RAND()</f>
        <v/>
      </c>
      <c r="AD1829">
        <f>RAND()</f>
        <v/>
      </c>
      <c r="AE1829">
        <f>RAND()</f>
        <v/>
      </c>
      <c r="AF1829">
        <f>RAND()</f>
        <v/>
      </c>
    </row>
    <row r="1830">
      <c r="M1830" s="14">
        <f>_xlfn.BETA.INV($AA1830,1+4*($D$5-$C$5)/($E$5-$C$5),1+4*($E$5-$D$5)/($E$5-$C$5),$C$5,$E$5)</f>
        <v/>
      </c>
      <c r="N1830" s="14">
        <f>IF($AB1830&lt;($D$6-$C$6)/($E$6-$C$6),$C$6+SQRT($AB1830*($E$6-$C$6)*($D$6-$C$6)),$E$6-SQRT((1-$AB1830)*($E$6-$C$6)*($E$6-$D$6)))</f>
        <v/>
      </c>
      <c r="O1830" s="14">
        <f>_xlfn.NORM.INV($AC1830,$C$7,$D$7)</f>
        <v/>
      </c>
      <c r="P1830" s="14">
        <f>$C$8+($D$8-$C$8)*$AD1830</f>
        <v/>
      </c>
      <c r="Q1830" s="14">
        <f>$C$9</f>
        <v/>
      </c>
      <c r="R1830" s="14">
        <f>_xlfn.LOGNORM.INV($AF1830,LN($C$10)-0.5*LN(1+($D$10/$C$10)^2),SQRT(LN(1+($D$10/$C$10)^2)))</f>
        <v/>
      </c>
      <c r="S1830" s="14">
        <f>SUM(M1830:R1830)</f>
        <v/>
      </c>
      <c r="AA1830">
        <f>RAND()</f>
        <v/>
      </c>
      <c r="AB1830">
        <f>RAND()</f>
        <v/>
      </c>
      <c r="AC1830">
        <f>RAND()</f>
        <v/>
      </c>
      <c r="AD1830">
        <f>RAND()</f>
        <v/>
      </c>
      <c r="AE1830">
        <f>RAND()</f>
        <v/>
      </c>
      <c r="AF1830">
        <f>RAND()</f>
        <v/>
      </c>
    </row>
    <row r="1831">
      <c r="M1831" s="14">
        <f>_xlfn.BETA.INV($AA1831,1+4*($D$5-$C$5)/($E$5-$C$5),1+4*($E$5-$D$5)/($E$5-$C$5),$C$5,$E$5)</f>
        <v/>
      </c>
      <c r="N1831" s="14">
        <f>IF($AB1831&lt;($D$6-$C$6)/($E$6-$C$6),$C$6+SQRT($AB1831*($E$6-$C$6)*($D$6-$C$6)),$E$6-SQRT((1-$AB1831)*($E$6-$C$6)*($E$6-$D$6)))</f>
        <v/>
      </c>
      <c r="O1831" s="14">
        <f>_xlfn.NORM.INV($AC1831,$C$7,$D$7)</f>
        <v/>
      </c>
      <c r="P1831" s="14">
        <f>$C$8+($D$8-$C$8)*$AD1831</f>
        <v/>
      </c>
      <c r="Q1831" s="14">
        <f>$C$9</f>
        <v/>
      </c>
      <c r="R1831" s="14">
        <f>_xlfn.LOGNORM.INV($AF1831,LN($C$10)-0.5*LN(1+($D$10/$C$10)^2),SQRT(LN(1+($D$10/$C$10)^2)))</f>
        <v/>
      </c>
      <c r="S1831" s="14">
        <f>SUM(M1831:R1831)</f>
        <v/>
      </c>
      <c r="AA1831">
        <f>RAND()</f>
        <v/>
      </c>
      <c r="AB1831">
        <f>RAND()</f>
        <v/>
      </c>
      <c r="AC1831">
        <f>RAND()</f>
        <v/>
      </c>
      <c r="AD1831">
        <f>RAND()</f>
        <v/>
      </c>
      <c r="AE1831">
        <f>RAND()</f>
        <v/>
      </c>
      <c r="AF1831">
        <f>RAND()</f>
        <v/>
      </c>
    </row>
    <row r="1832">
      <c r="M1832" s="14">
        <f>_xlfn.BETA.INV($AA1832,1+4*($D$5-$C$5)/($E$5-$C$5),1+4*($E$5-$D$5)/($E$5-$C$5),$C$5,$E$5)</f>
        <v/>
      </c>
      <c r="N1832" s="14">
        <f>IF($AB1832&lt;($D$6-$C$6)/($E$6-$C$6),$C$6+SQRT($AB1832*($E$6-$C$6)*($D$6-$C$6)),$E$6-SQRT((1-$AB1832)*($E$6-$C$6)*($E$6-$D$6)))</f>
        <v/>
      </c>
      <c r="O1832" s="14">
        <f>_xlfn.NORM.INV($AC1832,$C$7,$D$7)</f>
        <v/>
      </c>
      <c r="P1832" s="14">
        <f>$C$8+($D$8-$C$8)*$AD1832</f>
        <v/>
      </c>
      <c r="Q1832" s="14">
        <f>$C$9</f>
        <v/>
      </c>
      <c r="R1832" s="14">
        <f>_xlfn.LOGNORM.INV($AF1832,LN($C$10)-0.5*LN(1+($D$10/$C$10)^2),SQRT(LN(1+($D$10/$C$10)^2)))</f>
        <v/>
      </c>
      <c r="S1832" s="14">
        <f>SUM(M1832:R1832)</f>
        <v/>
      </c>
      <c r="AA1832">
        <f>RAND()</f>
        <v/>
      </c>
      <c r="AB1832">
        <f>RAND()</f>
        <v/>
      </c>
      <c r="AC1832">
        <f>RAND()</f>
        <v/>
      </c>
      <c r="AD1832">
        <f>RAND()</f>
        <v/>
      </c>
      <c r="AE1832">
        <f>RAND()</f>
        <v/>
      </c>
      <c r="AF1832">
        <f>RAND()</f>
        <v/>
      </c>
    </row>
    <row r="1833">
      <c r="M1833" s="14">
        <f>_xlfn.BETA.INV($AA1833,1+4*($D$5-$C$5)/($E$5-$C$5),1+4*($E$5-$D$5)/($E$5-$C$5),$C$5,$E$5)</f>
        <v/>
      </c>
      <c r="N1833" s="14">
        <f>IF($AB1833&lt;($D$6-$C$6)/($E$6-$C$6),$C$6+SQRT($AB1833*($E$6-$C$6)*($D$6-$C$6)),$E$6-SQRT((1-$AB1833)*($E$6-$C$6)*($E$6-$D$6)))</f>
        <v/>
      </c>
      <c r="O1833" s="14">
        <f>_xlfn.NORM.INV($AC1833,$C$7,$D$7)</f>
        <v/>
      </c>
      <c r="P1833" s="14">
        <f>$C$8+($D$8-$C$8)*$AD1833</f>
        <v/>
      </c>
      <c r="Q1833" s="14">
        <f>$C$9</f>
        <v/>
      </c>
      <c r="R1833" s="14">
        <f>_xlfn.LOGNORM.INV($AF1833,LN($C$10)-0.5*LN(1+($D$10/$C$10)^2),SQRT(LN(1+($D$10/$C$10)^2)))</f>
        <v/>
      </c>
      <c r="S1833" s="14">
        <f>SUM(M1833:R1833)</f>
        <v/>
      </c>
      <c r="AA1833">
        <f>RAND()</f>
        <v/>
      </c>
      <c r="AB1833">
        <f>RAND()</f>
        <v/>
      </c>
      <c r="AC1833">
        <f>RAND()</f>
        <v/>
      </c>
      <c r="AD1833">
        <f>RAND()</f>
        <v/>
      </c>
      <c r="AE1833">
        <f>RAND()</f>
        <v/>
      </c>
      <c r="AF1833">
        <f>RAND()</f>
        <v/>
      </c>
    </row>
    <row r="1834">
      <c r="M1834" s="14">
        <f>_xlfn.BETA.INV($AA1834,1+4*($D$5-$C$5)/($E$5-$C$5),1+4*($E$5-$D$5)/($E$5-$C$5),$C$5,$E$5)</f>
        <v/>
      </c>
      <c r="N1834" s="14">
        <f>IF($AB1834&lt;($D$6-$C$6)/($E$6-$C$6),$C$6+SQRT($AB1834*($E$6-$C$6)*($D$6-$C$6)),$E$6-SQRT((1-$AB1834)*($E$6-$C$6)*($E$6-$D$6)))</f>
        <v/>
      </c>
      <c r="O1834" s="14">
        <f>_xlfn.NORM.INV($AC1834,$C$7,$D$7)</f>
        <v/>
      </c>
      <c r="P1834" s="14">
        <f>$C$8+($D$8-$C$8)*$AD1834</f>
        <v/>
      </c>
      <c r="Q1834" s="14">
        <f>$C$9</f>
        <v/>
      </c>
      <c r="R1834" s="14">
        <f>_xlfn.LOGNORM.INV($AF1834,LN($C$10)-0.5*LN(1+($D$10/$C$10)^2),SQRT(LN(1+($D$10/$C$10)^2)))</f>
        <v/>
      </c>
      <c r="S1834" s="14">
        <f>SUM(M1834:R1834)</f>
        <v/>
      </c>
      <c r="AA1834">
        <f>RAND()</f>
        <v/>
      </c>
      <c r="AB1834">
        <f>RAND()</f>
        <v/>
      </c>
      <c r="AC1834">
        <f>RAND()</f>
        <v/>
      </c>
      <c r="AD1834">
        <f>RAND()</f>
        <v/>
      </c>
      <c r="AE1834">
        <f>RAND()</f>
        <v/>
      </c>
      <c r="AF1834">
        <f>RAND()</f>
        <v/>
      </c>
    </row>
    <row r="1835">
      <c r="M1835" s="14">
        <f>_xlfn.BETA.INV($AA1835,1+4*($D$5-$C$5)/($E$5-$C$5),1+4*($E$5-$D$5)/($E$5-$C$5),$C$5,$E$5)</f>
        <v/>
      </c>
      <c r="N1835" s="14">
        <f>IF($AB1835&lt;($D$6-$C$6)/($E$6-$C$6),$C$6+SQRT($AB1835*($E$6-$C$6)*($D$6-$C$6)),$E$6-SQRT((1-$AB1835)*($E$6-$C$6)*($E$6-$D$6)))</f>
        <v/>
      </c>
      <c r="O1835" s="14">
        <f>_xlfn.NORM.INV($AC1835,$C$7,$D$7)</f>
        <v/>
      </c>
      <c r="P1835" s="14">
        <f>$C$8+($D$8-$C$8)*$AD1835</f>
        <v/>
      </c>
      <c r="Q1835" s="14">
        <f>$C$9</f>
        <v/>
      </c>
      <c r="R1835" s="14">
        <f>_xlfn.LOGNORM.INV($AF1835,LN($C$10)-0.5*LN(1+($D$10/$C$10)^2),SQRT(LN(1+($D$10/$C$10)^2)))</f>
        <v/>
      </c>
      <c r="S1835" s="14">
        <f>SUM(M1835:R1835)</f>
        <v/>
      </c>
      <c r="AA1835">
        <f>RAND()</f>
        <v/>
      </c>
      <c r="AB1835">
        <f>RAND()</f>
        <v/>
      </c>
      <c r="AC1835">
        <f>RAND()</f>
        <v/>
      </c>
      <c r="AD1835">
        <f>RAND()</f>
        <v/>
      </c>
      <c r="AE1835">
        <f>RAND()</f>
        <v/>
      </c>
      <c r="AF1835">
        <f>RAND()</f>
        <v/>
      </c>
    </row>
    <row r="1836">
      <c r="M1836" s="14">
        <f>_xlfn.BETA.INV($AA1836,1+4*($D$5-$C$5)/($E$5-$C$5),1+4*($E$5-$D$5)/($E$5-$C$5),$C$5,$E$5)</f>
        <v/>
      </c>
      <c r="N1836" s="14">
        <f>IF($AB1836&lt;($D$6-$C$6)/($E$6-$C$6),$C$6+SQRT($AB1836*($E$6-$C$6)*($D$6-$C$6)),$E$6-SQRT((1-$AB1836)*($E$6-$C$6)*($E$6-$D$6)))</f>
        <v/>
      </c>
      <c r="O1836" s="14">
        <f>_xlfn.NORM.INV($AC1836,$C$7,$D$7)</f>
        <v/>
      </c>
      <c r="P1836" s="14">
        <f>$C$8+($D$8-$C$8)*$AD1836</f>
        <v/>
      </c>
      <c r="Q1836" s="14">
        <f>$C$9</f>
        <v/>
      </c>
      <c r="R1836" s="14">
        <f>_xlfn.LOGNORM.INV($AF1836,LN($C$10)-0.5*LN(1+($D$10/$C$10)^2),SQRT(LN(1+($D$10/$C$10)^2)))</f>
        <v/>
      </c>
      <c r="S1836" s="14">
        <f>SUM(M1836:R1836)</f>
        <v/>
      </c>
      <c r="AA1836">
        <f>RAND()</f>
        <v/>
      </c>
      <c r="AB1836">
        <f>RAND()</f>
        <v/>
      </c>
      <c r="AC1836">
        <f>RAND()</f>
        <v/>
      </c>
      <c r="AD1836">
        <f>RAND()</f>
        <v/>
      </c>
      <c r="AE1836">
        <f>RAND()</f>
        <v/>
      </c>
      <c r="AF1836">
        <f>RAND()</f>
        <v/>
      </c>
    </row>
    <row r="1837">
      <c r="M1837" s="14">
        <f>_xlfn.BETA.INV($AA1837,1+4*($D$5-$C$5)/($E$5-$C$5),1+4*($E$5-$D$5)/($E$5-$C$5),$C$5,$E$5)</f>
        <v/>
      </c>
      <c r="N1837" s="14">
        <f>IF($AB1837&lt;($D$6-$C$6)/($E$6-$C$6),$C$6+SQRT($AB1837*($E$6-$C$6)*($D$6-$C$6)),$E$6-SQRT((1-$AB1837)*($E$6-$C$6)*($E$6-$D$6)))</f>
        <v/>
      </c>
      <c r="O1837" s="14">
        <f>_xlfn.NORM.INV($AC1837,$C$7,$D$7)</f>
        <v/>
      </c>
      <c r="P1837" s="14">
        <f>$C$8+($D$8-$C$8)*$AD1837</f>
        <v/>
      </c>
      <c r="Q1837" s="14">
        <f>$C$9</f>
        <v/>
      </c>
      <c r="R1837" s="14">
        <f>_xlfn.LOGNORM.INV($AF1837,LN($C$10)-0.5*LN(1+($D$10/$C$10)^2),SQRT(LN(1+($D$10/$C$10)^2)))</f>
        <v/>
      </c>
      <c r="S1837" s="14">
        <f>SUM(M1837:R1837)</f>
        <v/>
      </c>
      <c r="AA1837">
        <f>RAND()</f>
        <v/>
      </c>
      <c r="AB1837">
        <f>RAND()</f>
        <v/>
      </c>
      <c r="AC1837">
        <f>RAND()</f>
        <v/>
      </c>
      <c r="AD1837">
        <f>RAND()</f>
        <v/>
      </c>
      <c r="AE1837">
        <f>RAND()</f>
        <v/>
      </c>
      <c r="AF1837">
        <f>RAND()</f>
        <v/>
      </c>
    </row>
    <row r="1838">
      <c r="M1838" s="14">
        <f>_xlfn.BETA.INV($AA1838,1+4*($D$5-$C$5)/($E$5-$C$5),1+4*($E$5-$D$5)/($E$5-$C$5),$C$5,$E$5)</f>
        <v/>
      </c>
      <c r="N1838" s="14">
        <f>IF($AB1838&lt;($D$6-$C$6)/($E$6-$C$6),$C$6+SQRT($AB1838*($E$6-$C$6)*($D$6-$C$6)),$E$6-SQRT((1-$AB1838)*($E$6-$C$6)*($E$6-$D$6)))</f>
        <v/>
      </c>
      <c r="O1838" s="14">
        <f>_xlfn.NORM.INV($AC1838,$C$7,$D$7)</f>
        <v/>
      </c>
      <c r="P1838" s="14">
        <f>$C$8+($D$8-$C$8)*$AD1838</f>
        <v/>
      </c>
      <c r="Q1838" s="14">
        <f>$C$9</f>
        <v/>
      </c>
      <c r="R1838" s="14">
        <f>_xlfn.LOGNORM.INV($AF1838,LN($C$10)-0.5*LN(1+($D$10/$C$10)^2),SQRT(LN(1+($D$10/$C$10)^2)))</f>
        <v/>
      </c>
      <c r="S1838" s="14">
        <f>SUM(M1838:R1838)</f>
        <v/>
      </c>
      <c r="AA1838">
        <f>RAND()</f>
        <v/>
      </c>
      <c r="AB1838">
        <f>RAND()</f>
        <v/>
      </c>
      <c r="AC1838">
        <f>RAND()</f>
        <v/>
      </c>
      <c r="AD1838">
        <f>RAND()</f>
        <v/>
      </c>
      <c r="AE1838">
        <f>RAND()</f>
        <v/>
      </c>
      <c r="AF1838">
        <f>RAND()</f>
        <v/>
      </c>
    </row>
    <row r="1839">
      <c r="M1839" s="14">
        <f>_xlfn.BETA.INV($AA1839,1+4*($D$5-$C$5)/($E$5-$C$5),1+4*($E$5-$D$5)/($E$5-$C$5),$C$5,$E$5)</f>
        <v/>
      </c>
      <c r="N1839" s="14">
        <f>IF($AB1839&lt;($D$6-$C$6)/($E$6-$C$6),$C$6+SQRT($AB1839*($E$6-$C$6)*($D$6-$C$6)),$E$6-SQRT((1-$AB1839)*($E$6-$C$6)*($E$6-$D$6)))</f>
        <v/>
      </c>
      <c r="O1839" s="14">
        <f>_xlfn.NORM.INV($AC1839,$C$7,$D$7)</f>
        <v/>
      </c>
      <c r="P1839" s="14">
        <f>$C$8+($D$8-$C$8)*$AD1839</f>
        <v/>
      </c>
      <c r="Q1839" s="14">
        <f>$C$9</f>
        <v/>
      </c>
      <c r="R1839" s="14">
        <f>_xlfn.LOGNORM.INV($AF1839,LN($C$10)-0.5*LN(1+($D$10/$C$10)^2),SQRT(LN(1+($D$10/$C$10)^2)))</f>
        <v/>
      </c>
      <c r="S1839" s="14">
        <f>SUM(M1839:R1839)</f>
        <v/>
      </c>
      <c r="AA1839">
        <f>RAND()</f>
        <v/>
      </c>
      <c r="AB1839">
        <f>RAND()</f>
        <v/>
      </c>
      <c r="AC1839">
        <f>RAND()</f>
        <v/>
      </c>
      <c r="AD1839">
        <f>RAND()</f>
        <v/>
      </c>
      <c r="AE1839">
        <f>RAND()</f>
        <v/>
      </c>
      <c r="AF1839">
        <f>RAND()</f>
        <v/>
      </c>
    </row>
    <row r="1840">
      <c r="M1840" s="14">
        <f>_xlfn.BETA.INV($AA1840,1+4*($D$5-$C$5)/($E$5-$C$5),1+4*($E$5-$D$5)/($E$5-$C$5),$C$5,$E$5)</f>
        <v/>
      </c>
      <c r="N1840" s="14">
        <f>IF($AB1840&lt;($D$6-$C$6)/($E$6-$C$6),$C$6+SQRT($AB1840*($E$6-$C$6)*($D$6-$C$6)),$E$6-SQRT((1-$AB1840)*($E$6-$C$6)*($E$6-$D$6)))</f>
        <v/>
      </c>
      <c r="O1840" s="14">
        <f>_xlfn.NORM.INV($AC1840,$C$7,$D$7)</f>
        <v/>
      </c>
      <c r="P1840" s="14">
        <f>$C$8+($D$8-$C$8)*$AD1840</f>
        <v/>
      </c>
      <c r="Q1840" s="14">
        <f>$C$9</f>
        <v/>
      </c>
      <c r="R1840" s="14">
        <f>_xlfn.LOGNORM.INV($AF1840,LN($C$10)-0.5*LN(1+($D$10/$C$10)^2),SQRT(LN(1+($D$10/$C$10)^2)))</f>
        <v/>
      </c>
      <c r="S1840" s="14">
        <f>SUM(M1840:R1840)</f>
        <v/>
      </c>
      <c r="AA1840">
        <f>RAND()</f>
        <v/>
      </c>
      <c r="AB1840">
        <f>RAND()</f>
        <v/>
      </c>
      <c r="AC1840">
        <f>RAND()</f>
        <v/>
      </c>
      <c r="AD1840">
        <f>RAND()</f>
        <v/>
      </c>
      <c r="AE1840">
        <f>RAND()</f>
        <v/>
      </c>
      <c r="AF1840">
        <f>RAND()</f>
        <v/>
      </c>
    </row>
    <row r="1841">
      <c r="M1841" s="14">
        <f>_xlfn.BETA.INV($AA1841,1+4*($D$5-$C$5)/($E$5-$C$5),1+4*($E$5-$D$5)/($E$5-$C$5),$C$5,$E$5)</f>
        <v/>
      </c>
      <c r="N1841" s="14">
        <f>IF($AB1841&lt;($D$6-$C$6)/($E$6-$C$6),$C$6+SQRT($AB1841*($E$6-$C$6)*($D$6-$C$6)),$E$6-SQRT((1-$AB1841)*($E$6-$C$6)*($E$6-$D$6)))</f>
        <v/>
      </c>
      <c r="O1841" s="14">
        <f>_xlfn.NORM.INV($AC1841,$C$7,$D$7)</f>
        <v/>
      </c>
      <c r="P1841" s="14">
        <f>$C$8+($D$8-$C$8)*$AD1841</f>
        <v/>
      </c>
      <c r="Q1841" s="14">
        <f>$C$9</f>
        <v/>
      </c>
      <c r="R1841" s="14">
        <f>_xlfn.LOGNORM.INV($AF1841,LN($C$10)-0.5*LN(1+($D$10/$C$10)^2),SQRT(LN(1+($D$10/$C$10)^2)))</f>
        <v/>
      </c>
      <c r="S1841" s="14">
        <f>SUM(M1841:R1841)</f>
        <v/>
      </c>
      <c r="AA1841">
        <f>RAND()</f>
        <v/>
      </c>
      <c r="AB1841">
        <f>RAND()</f>
        <v/>
      </c>
      <c r="AC1841">
        <f>RAND()</f>
        <v/>
      </c>
      <c r="AD1841">
        <f>RAND()</f>
        <v/>
      </c>
      <c r="AE1841">
        <f>RAND()</f>
        <v/>
      </c>
      <c r="AF1841">
        <f>RAND()</f>
        <v/>
      </c>
    </row>
    <row r="1842">
      <c r="M1842" s="14">
        <f>_xlfn.BETA.INV($AA1842,1+4*($D$5-$C$5)/($E$5-$C$5),1+4*($E$5-$D$5)/($E$5-$C$5),$C$5,$E$5)</f>
        <v/>
      </c>
      <c r="N1842" s="14">
        <f>IF($AB1842&lt;($D$6-$C$6)/($E$6-$C$6),$C$6+SQRT($AB1842*($E$6-$C$6)*($D$6-$C$6)),$E$6-SQRT((1-$AB1842)*($E$6-$C$6)*($E$6-$D$6)))</f>
        <v/>
      </c>
      <c r="O1842" s="14">
        <f>_xlfn.NORM.INV($AC1842,$C$7,$D$7)</f>
        <v/>
      </c>
      <c r="P1842" s="14">
        <f>$C$8+($D$8-$C$8)*$AD1842</f>
        <v/>
      </c>
      <c r="Q1842" s="14">
        <f>$C$9</f>
        <v/>
      </c>
      <c r="R1842" s="14">
        <f>_xlfn.LOGNORM.INV($AF1842,LN($C$10)-0.5*LN(1+($D$10/$C$10)^2),SQRT(LN(1+($D$10/$C$10)^2)))</f>
        <v/>
      </c>
      <c r="S1842" s="14">
        <f>SUM(M1842:R1842)</f>
        <v/>
      </c>
      <c r="AA1842">
        <f>RAND()</f>
        <v/>
      </c>
      <c r="AB1842">
        <f>RAND()</f>
        <v/>
      </c>
      <c r="AC1842">
        <f>RAND()</f>
        <v/>
      </c>
      <c r="AD1842">
        <f>RAND()</f>
        <v/>
      </c>
      <c r="AE1842">
        <f>RAND()</f>
        <v/>
      </c>
      <c r="AF1842">
        <f>RAND()</f>
        <v/>
      </c>
    </row>
    <row r="1843">
      <c r="M1843" s="14">
        <f>_xlfn.BETA.INV($AA1843,1+4*($D$5-$C$5)/($E$5-$C$5),1+4*($E$5-$D$5)/($E$5-$C$5),$C$5,$E$5)</f>
        <v/>
      </c>
      <c r="N1843" s="14">
        <f>IF($AB1843&lt;($D$6-$C$6)/($E$6-$C$6),$C$6+SQRT($AB1843*($E$6-$C$6)*($D$6-$C$6)),$E$6-SQRT((1-$AB1843)*($E$6-$C$6)*($E$6-$D$6)))</f>
        <v/>
      </c>
      <c r="O1843" s="14">
        <f>_xlfn.NORM.INV($AC1843,$C$7,$D$7)</f>
        <v/>
      </c>
      <c r="P1843" s="14">
        <f>$C$8+($D$8-$C$8)*$AD1843</f>
        <v/>
      </c>
      <c r="Q1843" s="14">
        <f>$C$9</f>
        <v/>
      </c>
      <c r="R1843" s="14">
        <f>_xlfn.LOGNORM.INV($AF1843,LN($C$10)-0.5*LN(1+($D$10/$C$10)^2),SQRT(LN(1+($D$10/$C$10)^2)))</f>
        <v/>
      </c>
      <c r="S1843" s="14">
        <f>SUM(M1843:R1843)</f>
        <v/>
      </c>
      <c r="AA1843">
        <f>RAND()</f>
        <v/>
      </c>
      <c r="AB1843">
        <f>RAND()</f>
        <v/>
      </c>
      <c r="AC1843">
        <f>RAND()</f>
        <v/>
      </c>
      <c r="AD1843">
        <f>RAND()</f>
        <v/>
      </c>
      <c r="AE1843">
        <f>RAND()</f>
        <v/>
      </c>
      <c r="AF1843">
        <f>RAND()</f>
        <v/>
      </c>
    </row>
    <row r="1844">
      <c r="M1844" s="14">
        <f>_xlfn.BETA.INV($AA1844,1+4*($D$5-$C$5)/($E$5-$C$5),1+4*($E$5-$D$5)/($E$5-$C$5),$C$5,$E$5)</f>
        <v/>
      </c>
      <c r="N1844" s="14">
        <f>IF($AB1844&lt;($D$6-$C$6)/($E$6-$C$6),$C$6+SQRT($AB1844*($E$6-$C$6)*($D$6-$C$6)),$E$6-SQRT((1-$AB1844)*($E$6-$C$6)*($E$6-$D$6)))</f>
        <v/>
      </c>
      <c r="O1844" s="14">
        <f>_xlfn.NORM.INV($AC1844,$C$7,$D$7)</f>
        <v/>
      </c>
      <c r="P1844" s="14">
        <f>$C$8+($D$8-$C$8)*$AD1844</f>
        <v/>
      </c>
      <c r="Q1844" s="14">
        <f>$C$9</f>
        <v/>
      </c>
      <c r="R1844" s="14">
        <f>_xlfn.LOGNORM.INV($AF1844,LN($C$10)-0.5*LN(1+($D$10/$C$10)^2),SQRT(LN(1+($D$10/$C$10)^2)))</f>
        <v/>
      </c>
      <c r="S1844" s="14">
        <f>SUM(M1844:R1844)</f>
        <v/>
      </c>
      <c r="AA1844">
        <f>RAND()</f>
        <v/>
      </c>
      <c r="AB1844">
        <f>RAND()</f>
        <v/>
      </c>
      <c r="AC1844">
        <f>RAND()</f>
        <v/>
      </c>
      <c r="AD1844">
        <f>RAND()</f>
        <v/>
      </c>
      <c r="AE1844">
        <f>RAND()</f>
        <v/>
      </c>
      <c r="AF1844">
        <f>RAND()</f>
        <v/>
      </c>
    </row>
    <row r="1845">
      <c r="M1845" s="14">
        <f>_xlfn.BETA.INV($AA1845,1+4*($D$5-$C$5)/($E$5-$C$5),1+4*($E$5-$D$5)/($E$5-$C$5),$C$5,$E$5)</f>
        <v/>
      </c>
      <c r="N1845" s="14">
        <f>IF($AB1845&lt;($D$6-$C$6)/($E$6-$C$6),$C$6+SQRT($AB1845*($E$6-$C$6)*($D$6-$C$6)),$E$6-SQRT((1-$AB1845)*($E$6-$C$6)*($E$6-$D$6)))</f>
        <v/>
      </c>
      <c r="O1845" s="14">
        <f>_xlfn.NORM.INV($AC1845,$C$7,$D$7)</f>
        <v/>
      </c>
      <c r="P1845" s="14">
        <f>$C$8+($D$8-$C$8)*$AD1845</f>
        <v/>
      </c>
      <c r="Q1845" s="14">
        <f>$C$9</f>
        <v/>
      </c>
      <c r="R1845" s="14">
        <f>_xlfn.LOGNORM.INV($AF1845,LN($C$10)-0.5*LN(1+($D$10/$C$10)^2),SQRT(LN(1+($D$10/$C$10)^2)))</f>
        <v/>
      </c>
      <c r="S1845" s="14">
        <f>SUM(M1845:R1845)</f>
        <v/>
      </c>
      <c r="AA1845">
        <f>RAND()</f>
        <v/>
      </c>
      <c r="AB1845">
        <f>RAND()</f>
        <v/>
      </c>
      <c r="AC1845">
        <f>RAND()</f>
        <v/>
      </c>
      <c r="AD1845">
        <f>RAND()</f>
        <v/>
      </c>
      <c r="AE1845">
        <f>RAND()</f>
        <v/>
      </c>
      <c r="AF1845">
        <f>RAND()</f>
        <v/>
      </c>
    </row>
    <row r="1846">
      <c r="M1846" s="14">
        <f>_xlfn.BETA.INV($AA1846,1+4*($D$5-$C$5)/($E$5-$C$5),1+4*($E$5-$D$5)/($E$5-$C$5),$C$5,$E$5)</f>
        <v/>
      </c>
      <c r="N1846" s="14">
        <f>IF($AB1846&lt;($D$6-$C$6)/($E$6-$C$6),$C$6+SQRT($AB1846*($E$6-$C$6)*($D$6-$C$6)),$E$6-SQRT((1-$AB1846)*($E$6-$C$6)*($E$6-$D$6)))</f>
        <v/>
      </c>
      <c r="O1846" s="14">
        <f>_xlfn.NORM.INV($AC1846,$C$7,$D$7)</f>
        <v/>
      </c>
      <c r="P1846" s="14">
        <f>$C$8+($D$8-$C$8)*$AD1846</f>
        <v/>
      </c>
      <c r="Q1846" s="14">
        <f>$C$9</f>
        <v/>
      </c>
      <c r="R1846" s="14">
        <f>_xlfn.LOGNORM.INV($AF1846,LN($C$10)-0.5*LN(1+($D$10/$C$10)^2),SQRT(LN(1+($D$10/$C$10)^2)))</f>
        <v/>
      </c>
      <c r="S1846" s="14">
        <f>SUM(M1846:R1846)</f>
        <v/>
      </c>
      <c r="AA1846">
        <f>RAND()</f>
        <v/>
      </c>
      <c r="AB1846">
        <f>RAND()</f>
        <v/>
      </c>
      <c r="AC1846">
        <f>RAND()</f>
        <v/>
      </c>
      <c r="AD1846">
        <f>RAND()</f>
        <v/>
      </c>
      <c r="AE1846">
        <f>RAND()</f>
        <v/>
      </c>
      <c r="AF1846">
        <f>RAND()</f>
        <v/>
      </c>
    </row>
    <row r="1847">
      <c r="M1847" s="14">
        <f>_xlfn.BETA.INV($AA1847,1+4*($D$5-$C$5)/($E$5-$C$5),1+4*($E$5-$D$5)/($E$5-$C$5),$C$5,$E$5)</f>
        <v/>
      </c>
      <c r="N1847" s="14">
        <f>IF($AB1847&lt;($D$6-$C$6)/($E$6-$C$6),$C$6+SQRT($AB1847*($E$6-$C$6)*($D$6-$C$6)),$E$6-SQRT((1-$AB1847)*($E$6-$C$6)*($E$6-$D$6)))</f>
        <v/>
      </c>
      <c r="O1847" s="14">
        <f>_xlfn.NORM.INV($AC1847,$C$7,$D$7)</f>
        <v/>
      </c>
      <c r="P1847" s="14">
        <f>$C$8+($D$8-$C$8)*$AD1847</f>
        <v/>
      </c>
      <c r="Q1847" s="14">
        <f>$C$9</f>
        <v/>
      </c>
      <c r="R1847" s="14">
        <f>_xlfn.LOGNORM.INV($AF1847,LN($C$10)-0.5*LN(1+($D$10/$C$10)^2),SQRT(LN(1+($D$10/$C$10)^2)))</f>
        <v/>
      </c>
      <c r="S1847" s="14">
        <f>SUM(M1847:R1847)</f>
        <v/>
      </c>
      <c r="AA1847">
        <f>RAND()</f>
        <v/>
      </c>
      <c r="AB1847">
        <f>RAND()</f>
        <v/>
      </c>
      <c r="AC1847">
        <f>RAND()</f>
        <v/>
      </c>
      <c r="AD1847">
        <f>RAND()</f>
        <v/>
      </c>
      <c r="AE1847">
        <f>RAND()</f>
        <v/>
      </c>
      <c r="AF1847">
        <f>RAND()</f>
        <v/>
      </c>
    </row>
    <row r="1848">
      <c r="M1848" s="14">
        <f>_xlfn.BETA.INV($AA1848,1+4*($D$5-$C$5)/($E$5-$C$5),1+4*($E$5-$D$5)/($E$5-$C$5),$C$5,$E$5)</f>
        <v/>
      </c>
      <c r="N1848" s="14">
        <f>IF($AB1848&lt;($D$6-$C$6)/($E$6-$C$6),$C$6+SQRT($AB1848*($E$6-$C$6)*($D$6-$C$6)),$E$6-SQRT((1-$AB1848)*($E$6-$C$6)*($E$6-$D$6)))</f>
        <v/>
      </c>
      <c r="O1848" s="14">
        <f>_xlfn.NORM.INV($AC1848,$C$7,$D$7)</f>
        <v/>
      </c>
      <c r="P1848" s="14">
        <f>$C$8+($D$8-$C$8)*$AD1848</f>
        <v/>
      </c>
      <c r="Q1848" s="14">
        <f>$C$9</f>
        <v/>
      </c>
      <c r="R1848" s="14">
        <f>_xlfn.LOGNORM.INV($AF1848,LN($C$10)-0.5*LN(1+($D$10/$C$10)^2),SQRT(LN(1+($D$10/$C$10)^2)))</f>
        <v/>
      </c>
      <c r="S1848" s="14">
        <f>SUM(M1848:R1848)</f>
        <v/>
      </c>
      <c r="AA1848">
        <f>RAND()</f>
        <v/>
      </c>
      <c r="AB1848">
        <f>RAND()</f>
        <v/>
      </c>
      <c r="AC1848">
        <f>RAND()</f>
        <v/>
      </c>
      <c r="AD1848">
        <f>RAND()</f>
        <v/>
      </c>
      <c r="AE1848">
        <f>RAND()</f>
        <v/>
      </c>
      <c r="AF1848">
        <f>RAND()</f>
        <v/>
      </c>
    </row>
    <row r="1849">
      <c r="M1849" s="14">
        <f>_xlfn.BETA.INV($AA1849,1+4*($D$5-$C$5)/($E$5-$C$5),1+4*($E$5-$D$5)/($E$5-$C$5),$C$5,$E$5)</f>
        <v/>
      </c>
      <c r="N1849" s="14">
        <f>IF($AB1849&lt;($D$6-$C$6)/($E$6-$C$6),$C$6+SQRT($AB1849*($E$6-$C$6)*($D$6-$C$6)),$E$6-SQRT((1-$AB1849)*($E$6-$C$6)*($E$6-$D$6)))</f>
        <v/>
      </c>
      <c r="O1849" s="14">
        <f>_xlfn.NORM.INV($AC1849,$C$7,$D$7)</f>
        <v/>
      </c>
      <c r="P1849" s="14">
        <f>$C$8+($D$8-$C$8)*$AD1849</f>
        <v/>
      </c>
      <c r="Q1849" s="14">
        <f>$C$9</f>
        <v/>
      </c>
      <c r="R1849" s="14">
        <f>_xlfn.LOGNORM.INV($AF1849,LN($C$10)-0.5*LN(1+($D$10/$C$10)^2),SQRT(LN(1+($D$10/$C$10)^2)))</f>
        <v/>
      </c>
      <c r="S1849" s="14">
        <f>SUM(M1849:R1849)</f>
        <v/>
      </c>
      <c r="AA1849">
        <f>RAND()</f>
        <v/>
      </c>
      <c r="AB1849">
        <f>RAND()</f>
        <v/>
      </c>
      <c r="AC1849">
        <f>RAND()</f>
        <v/>
      </c>
      <c r="AD1849">
        <f>RAND()</f>
        <v/>
      </c>
      <c r="AE1849">
        <f>RAND()</f>
        <v/>
      </c>
      <c r="AF1849">
        <f>RAND()</f>
        <v/>
      </c>
    </row>
    <row r="1850">
      <c r="M1850" s="14">
        <f>_xlfn.BETA.INV($AA1850,1+4*($D$5-$C$5)/($E$5-$C$5),1+4*($E$5-$D$5)/($E$5-$C$5),$C$5,$E$5)</f>
        <v/>
      </c>
      <c r="N1850" s="14">
        <f>IF($AB1850&lt;($D$6-$C$6)/($E$6-$C$6),$C$6+SQRT($AB1850*($E$6-$C$6)*($D$6-$C$6)),$E$6-SQRT((1-$AB1850)*($E$6-$C$6)*($E$6-$D$6)))</f>
        <v/>
      </c>
      <c r="O1850" s="14">
        <f>_xlfn.NORM.INV($AC1850,$C$7,$D$7)</f>
        <v/>
      </c>
      <c r="P1850" s="14">
        <f>$C$8+($D$8-$C$8)*$AD1850</f>
        <v/>
      </c>
      <c r="Q1850" s="14">
        <f>$C$9</f>
        <v/>
      </c>
      <c r="R1850" s="14">
        <f>_xlfn.LOGNORM.INV($AF1850,LN($C$10)-0.5*LN(1+($D$10/$C$10)^2),SQRT(LN(1+($D$10/$C$10)^2)))</f>
        <v/>
      </c>
      <c r="S1850" s="14">
        <f>SUM(M1850:R1850)</f>
        <v/>
      </c>
      <c r="AA1850">
        <f>RAND()</f>
        <v/>
      </c>
      <c r="AB1850">
        <f>RAND()</f>
        <v/>
      </c>
      <c r="AC1850">
        <f>RAND()</f>
        <v/>
      </c>
      <c r="AD1850">
        <f>RAND()</f>
        <v/>
      </c>
      <c r="AE1850">
        <f>RAND()</f>
        <v/>
      </c>
      <c r="AF1850">
        <f>RAND()</f>
        <v/>
      </c>
    </row>
    <row r="1851">
      <c r="M1851" s="14">
        <f>_xlfn.BETA.INV($AA1851,1+4*($D$5-$C$5)/($E$5-$C$5),1+4*($E$5-$D$5)/($E$5-$C$5),$C$5,$E$5)</f>
        <v/>
      </c>
      <c r="N1851" s="14">
        <f>IF($AB1851&lt;($D$6-$C$6)/($E$6-$C$6),$C$6+SQRT($AB1851*($E$6-$C$6)*($D$6-$C$6)),$E$6-SQRT((1-$AB1851)*($E$6-$C$6)*($E$6-$D$6)))</f>
        <v/>
      </c>
      <c r="O1851" s="14">
        <f>_xlfn.NORM.INV($AC1851,$C$7,$D$7)</f>
        <v/>
      </c>
      <c r="P1851" s="14">
        <f>$C$8+($D$8-$C$8)*$AD1851</f>
        <v/>
      </c>
      <c r="Q1851" s="14">
        <f>$C$9</f>
        <v/>
      </c>
      <c r="R1851" s="14">
        <f>_xlfn.LOGNORM.INV($AF1851,LN($C$10)-0.5*LN(1+($D$10/$C$10)^2),SQRT(LN(1+($D$10/$C$10)^2)))</f>
        <v/>
      </c>
      <c r="S1851" s="14">
        <f>SUM(M1851:R1851)</f>
        <v/>
      </c>
      <c r="AA1851">
        <f>RAND()</f>
        <v/>
      </c>
      <c r="AB1851">
        <f>RAND()</f>
        <v/>
      </c>
      <c r="AC1851">
        <f>RAND()</f>
        <v/>
      </c>
      <c r="AD1851">
        <f>RAND()</f>
        <v/>
      </c>
      <c r="AE1851">
        <f>RAND()</f>
        <v/>
      </c>
      <c r="AF1851">
        <f>RAND()</f>
        <v/>
      </c>
    </row>
    <row r="1852">
      <c r="M1852" s="14">
        <f>_xlfn.BETA.INV($AA1852,1+4*($D$5-$C$5)/($E$5-$C$5),1+4*($E$5-$D$5)/($E$5-$C$5),$C$5,$E$5)</f>
        <v/>
      </c>
      <c r="N1852" s="14">
        <f>IF($AB1852&lt;($D$6-$C$6)/($E$6-$C$6),$C$6+SQRT($AB1852*($E$6-$C$6)*($D$6-$C$6)),$E$6-SQRT((1-$AB1852)*($E$6-$C$6)*($E$6-$D$6)))</f>
        <v/>
      </c>
      <c r="O1852" s="14">
        <f>_xlfn.NORM.INV($AC1852,$C$7,$D$7)</f>
        <v/>
      </c>
      <c r="P1852" s="14">
        <f>$C$8+($D$8-$C$8)*$AD1852</f>
        <v/>
      </c>
      <c r="Q1852" s="14">
        <f>$C$9</f>
        <v/>
      </c>
      <c r="R1852" s="14">
        <f>_xlfn.LOGNORM.INV($AF1852,LN($C$10)-0.5*LN(1+($D$10/$C$10)^2),SQRT(LN(1+($D$10/$C$10)^2)))</f>
        <v/>
      </c>
      <c r="S1852" s="14">
        <f>SUM(M1852:R1852)</f>
        <v/>
      </c>
      <c r="AA1852">
        <f>RAND()</f>
        <v/>
      </c>
      <c r="AB1852">
        <f>RAND()</f>
        <v/>
      </c>
      <c r="AC1852">
        <f>RAND()</f>
        <v/>
      </c>
      <c r="AD1852">
        <f>RAND()</f>
        <v/>
      </c>
      <c r="AE1852">
        <f>RAND()</f>
        <v/>
      </c>
      <c r="AF1852">
        <f>RAND()</f>
        <v/>
      </c>
    </row>
    <row r="1853">
      <c r="M1853" s="14">
        <f>_xlfn.BETA.INV($AA1853,1+4*($D$5-$C$5)/($E$5-$C$5),1+4*($E$5-$D$5)/($E$5-$C$5),$C$5,$E$5)</f>
        <v/>
      </c>
      <c r="N1853" s="14">
        <f>IF($AB1853&lt;($D$6-$C$6)/($E$6-$C$6),$C$6+SQRT($AB1853*($E$6-$C$6)*($D$6-$C$6)),$E$6-SQRT((1-$AB1853)*($E$6-$C$6)*($E$6-$D$6)))</f>
        <v/>
      </c>
      <c r="O1853" s="14">
        <f>_xlfn.NORM.INV($AC1853,$C$7,$D$7)</f>
        <v/>
      </c>
      <c r="P1853" s="14">
        <f>$C$8+($D$8-$C$8)*$AD1853</f>
        <v/>
      </c>
      <c r="Q1853" s="14">
        <f>$C$9</f>
        <v/>
      </c>
      <c r="R1853" s="14">
        <f>_xlfn.LOGNORM.INV($AF1853,LN($C$10)-0.5*LN(1+($D$10/$C$10)^2),SQRT(LN(1+($D$10/$C$10)^2)))</f>
        <v/>
      </c>
      <c r="S1853" s="14">
        <f>SUM(M1853:R1853)</f>
        <v/>
      </c>
      <c r="AA1853">
        <f>RAND()</f>
        <v/>
      </c>
      <c r="AB1853">
        <f>RAND()</f>
        <v/>
      </c>
      <c r="AC1853">
        <f>RAND()</f>
        <v/>
      </c>
      <c r="AD1853">
        <f>RAND()</f>
        <v/>
      </c>
      <c r="AE1853">
        <f>RAND()</f>
        <v/>
      </c>
      <c r="AF1853">
        <f>RAND()</f>
        <v/>
      </c>
    </row>
    <row r="1854">
      <c r="M1854" s="14">
        <f>_xlfn.BETA.INV($AA1854,1+4*($D$5-$C$5)/($E$5-$C$5),1+4*($E$5-$D$5)/($E$5-$C$5),$C$5,$E$5)</f>
        <v/>
      </c>
      <c r="N1854" s="14">
        <f>IF($AB1854&lt;($D$6-$C$6)/($E$6-$C$6),$C$6+SQRT($AB1854*($E$6-$C$6)*($D$6-$C$6)),$E$6-SQRT((1-$AB1854)*($E$6-$C$6)*($E$6-$D$6)))</f>
        <v/>
      </c>
      <c r="O1854" s="14">
        <f>_xlfn.NORM.INV($AC1854,$C$7,$D$7)</f>
        <v/>
      </c>
      <c r="P1854" s="14">
        <f>$C$8+($D$8-$C$8)*$AD1854</f>
        <v/>
      </c>
      <c r="Q1854" s="14">
        <f>$C$9</f>
        <v/>
      </c>
      <c r="R1854" s="14">
        <f>_xlfn.LOGNORM.INV($AF1854,LN($C$10)-0.5*LN(1+($D$10/$C$10)^2),SQRT(LN(1+($D$10/$C$10)^2)))</f>
        <v/>
      </c>
      <c r="S1854" s="14">
        <f>SUM(M1854:R1854)</f>
        <v/>
      </c>
      <c r="AA1854">
        <f>RAND()</f>
        <v/>
      </c>
      <c r="AB1854">
        <f>RAND()</f>
        <v/>
      </c>
      <c r="AC1854">
        <f>RAND()</f>
        <v/>
      </c>
      <c r="AD1854">
        <f>RAND()</f>
        <v/>
      </c>
      <c r="AE1854">
        <f>RAND()</f>
        <v/>
      </c>
      <c r="AF1854">
        <f>RAND()</f>
        <v/>
      </c>
    </row>
    <row r="1855">
      <c r="M1855" s="14">
        <f>_xlfn.BETA.INV($AA1855,1+4*($D$5-$C$5)/($E$5-$C$5),1+4*($E$5-$D$5)/($E$5-$C$5),$C$5,$E$5)</f>
        <v/>
      </c>
      <c r="N1855" s="14">
        <f>IF($AB1855&lt;($D$6-$C$6)/($E$6-$C$6),$C$6+SQRT($AB1855*($E$6-$C$6)*($D$6-$C$6)),$E$6-SQRT((1-$AB1855)*($E$6-$C$6)*($E$6-$D$6)))</f>
        <v/>
      </c>
      <c r="O1855" s="14">
        <f>_xlfn.NORM.INV($AC1855,$C$7,$D$7)</f>
        <v/>
      </c>
      <c r="P1855" s="14">
        <f>$C$8+($D$8-$C$8)*$AD1855</f>
        <v/>
      </c>
      <c r="Q1855" s="14">
        <f>$C$9</f>
        <v/>
      </c>
      <c r="R1855" s="14">
        <f>_xlfn.LOGNORM.INV($AF1855,LN($C$10)-0.5*LN(1+($D$10/$C$10)^2),SQRT(LN(1+($D$10/$C$10)^2)))</f>
        <v/>
      </c>
      <c r="S1855" s="14">
        <f>SUM(M1855:R1855)</f>
        <v/>
      </c>
      <c r="AA1855">
        <f>RAND()</f>
        <v/>
      </c>
      <c r="AB1855">
        <f>RAND()</f>
        <v/>
      </c>
      <c r="AC1855">
        <f>RAND()</f>
        <v/>
      </c>
      <c r="AD1855">
        <f>RAND()</f>
        <v/>
      </c>
      <c r="AE1855">
        <f>RAND()</f>
        <v/>
      </c>
      <c r="AF1855">
        <f>RAND()</f>
        <v/>
      </c>
    </row>
    <row r="1856">
      <c r="M1856" s="14">
        <f>_xlfn.BETA.INV($AA1856,1+4*($D$5-$C$5)/($E$5-$C$5),1+4*($E$5-$D$5)/($E$5-$C$5),$C$5,$E$5)</f>
        <v/>
      </c>
      <c r="N1856" s="14">
        <f>IF($AB1856&lt;($D$6-$C$6)/($E$6-$C$6),$C$6+SQRT($AB1856*($E$6-$C$6)*($D$6-$C$6)),$E$6-SQRT((1-$AB1856)*($E$6-$C$6)*($E$6-$D$6)))</f>
        <v/>
      </c>
      <c r="O1856" s="14">
        <f>_xlfn.NORM.INV($AC1856,$C$7,$D$7)</f>
        <v/>
      </c>
      <c r="P1856" s="14">
        <f>$C$8+($D$8-$C$8)*$AD1856</f>
        <v/>
      </c>
      <c r="Q1856" s="14">
        <f>$C$9</f>
        <v/>
      </c>
      <c r="R1856" s="14">
        <f>_xlfn.LOGNORM.INV($AF1856,LN($C$10)-0.5*LN(1+($D$10/$C$10)^2),SQRT(LN(1+($D$10/$C$10)^2)))</f>
        <v/>
      </c>
      <c r="S1856" s="14">
        <f>SUM(M1856:R1856)</f>
        <v/>
      </c>
      <c r="AA1856">
        <f>RAND()</f>
        <v/>
      </c>
      <c r="AB1856">
        <f>RAND()</f>
        <v/>
      </c>
      <c r="AC1856">
        <f>RAND()</f>
        <v/>
      </c>
      <c r="AD1856">
        <f>RAND()</f>
        <v/>
      </c>
      <c r="AE1856">
        <f>RAND()</f>
        <v/>
      </c>
      <c r="AF1856">
        <f>RAND()</f>
        <v/>
      </c>
    </row>
    <row r="1857">
      <c r="M1857" s="14">
        <f>_xlfn.BETA.INV($AA1857,1+4*($D$5-$C$5)/($E$5-$C$5),1+4*($E$5-$D$5)/($E$5-$C$5),$C$5,$E$5)</f>
        <v/>
      </c>
      <c r="N1857" s="14">
        <f>IF($AB1857&lt;($D$6-$C$6)/($E$6-$C$6),$C$6+SQRT($AB1857*($E$6-$C$6)*($D$6-$C$6)),$E$6-SQRT((1-$AB1857)*($E$6-$C$6)*($E$6-$D$6)))</f>
        <v/>
      </c>
      <c r="O1857" s="14">
        <f>_xlfn.NORM.INV($AC1857,$C$7,$D$7)</f>
        <v/>
      </c>
      <c r="P1857" s="14">
        <f>$C$8+($D$8-$C$8)*$AD1857</f>
        <v/>
      </c>
      <c r="Q1857" s="14">
        <f>$C$9</f>
        <v/>
      </c>
      <c r="R1857" s="14">
        <f>_xlfn.LOGNORM.INV($AF1857,LN($C$10)-0.5*LN(1+($D$10/$C$10)^2),SQRT(LN(1+($D$10/$C$10)^2)))</f>
        <v/>
      </c>
      <c r="S1857" s="14">
        <f>SUM(M1857:R1857)</f>
        <v/>
      </c>
      <c r="AA1857">
        <f>RAND()</f>
        <v/>
      </c>
      <c r="AB1857">
        <f>RAND()</f>
        <v/>
      </c>
      <c r="AC1857">
        <f>RAND()</f>
        <v/>
      </c>
      <c r="AD1857">
        <f>RAND()</f>
        <v/>
      </c>
      <c r="AE1857">
        <f>RAND()</f>
        <v/>
      </c>
      <c r="AF1857">
        <f>RAND()</f>
        <v/>
      </c>
    </row>
    <row r="1858">
      <c r="M1858" s="14">
        <f>_xlfn.BETA.INV($AA1858,1+4*($D$5-$C$5)/($E$5-$C$5),1+4*($E$5-$D$5)/($E$5-$C$5),$C$5,$E$5)</f>
        <v/>
      </c>
      <c r="N1858" s="14">
        <f>IF($AB1858&lt;($D$6-$C$6)/($E$6-$C$6),$C$6+SQRT($AB1858*($E$6-$C$6)*($D$6-$C$6)),$E$6-SQRT((1-$AB1858)*($E$6-$C$6)*($E$6-$D$6)))</f>
        <v/>
      </c>
      <c r="O1858" s="14">
        <f>_xlfn.NORM.INV($AC1858,$C$7,$D$7)</f>
        <v/>
      </c>
      <c r="P1858" s="14">
        <f>$C$8+($D$8-$C$8)*$AD1858</f>
        <v/>
      </c>
      <c r="Q1858" s="14">
        <f>$C$9</f>
        <v/>
      </c>
      <c r="R1858" s="14">
        <f>_xlfn.LOGNORM.INV($AF1858,LN($C$10)-0.5*LN(1+($D$10/$C$10)^2),SQRT(LN(1+($D$10/$C$10)^2)))</f>
        <v/>
      </c>
      <c r="S1858" s="14">
        <f>SUM(M1858:R1858)</f>
        <v/>
      </c>
      <c r="AA1858">
        <f>RAND()</f>
        <v/>
      </c>
      <c r="AB1858">
        <f>RAND()</f>
        <v/>
      </c>
      <c r="AC1858">
        <f>RAND()</f>
        <v/>
      </c>
      <c r="AD1858">
        <f>RAND()</f>
        <v/>
      </c>
      <c r="AE1858">
        <f>RAND()</f>
        <v/>
      </c>
      <c r="AF1858">
        <f>RAND()</f>
        <v/>
      </c>
    </row>
    <row r="1859">
      <c r="M1859" s="14">
        <f>_xlfn.BETA.INV($AA1859,1+4*($D$5-$C$5)/($E$5-$C$5),1+4*($E$5-$D$5)/($E$5-$C$5),$C$5,$E$5)</f>
        <v/>
      </c>
      <c r="N1859" s="14">
        <f>IF($AB1859&lt;($D$6-$C$6)/($E$6-$C$6),$C$6+SQRT($AB1859*($E$6-$C$6)*($D$6-$C$6)),$E$6-SQRT((1-$AB1859)*($E$6-$C$6)*($E$6-$D$6)))</f>
        <v/>
      </c>
      <c r="O1859" s="14">
        <f>_xlfn.NORM.INV($AC1859,$C$7,$D$7)</f>
        <v/>
      </c>
      <c r="P1859" s="14">
        <f>$C$8+($D$8-$C$8)*$AD1859</f>
        <v/>
      </c>
      <c r="Q1859" s="14">
        <f>$C$9</f>
        <v/>
      </c>
      <c r="R1859" s="14">
        <f>_xlfn.LOGNORM.INV($AF1859,LN($C$10)-0.5*LN(1+($D$10/$C$10)^2),SQRT(LN(1+($D$10/$C$10)^2)))</f>
        <v/>
      </c>
      <c r="S1859" s="14">
        <f>SUM(M1859:R1859)</f>
        <v/>
      </c>
      <c r="AA1859">
        <f>RAND()</f>
        <v/>
      </c>
      <c r="AB1859">
        <f>RAND()</f>
        <v/>
      </c>
      <c r="AC1859">
        <f>RAND()</f>
        <v/>
      </c>
      <c r="AD1859">
        <f>RAND()</f>
        <v/>
      </c>
      <c r="AE1859">
        <f>RAND()</f>
        <v/>
      </c>
      <c r="AF1859">
        <f>RAND()</f>
        <v/>
      </c>
    </row>
    <row r="1860">
      <c r="M1860" s="14">
        <f>_xlfn.BETA.INV($AA1860,1+4*($D$5-$C$5)/($E$5-$C$5),1+4*($E$5-$D$5)/($E$5-$C$5),$C$5,$E$5)</f>
        <v/>
      </c>
      <c r="N1860" s="14">
        <f>IF($AB1860&lt;($D$6-$C$6)/($E$6-$C$6),$C$6+SQRT($AB1860*($E$6-$C$6)*($D$6-$C$6)),$E$6-SQRT((1-$AB1860)*($E$6-$C$6)*($E$6-$D$6)))</f>
        <v/>
      </c>
      <c r="O1860" s="14">
        <f>_xlfn.NORM.INV($AC1860,$C$7,$D$7)</f>
        <v/>
      </c>
      <c r="P1860" s="14">
        <f>$C$8+($D$8-$C$8)*$AD1860</f>
        <v/>
      </c>
      <c r="Q1860" s="14">
        <f>$C$9</f>
        <v/>
      </c>
      <c r="R1860" s="14">
        <f>_xlfn.LOGNORM.INV($AF1860,LN($C$10)-0.5*LN(1+($D$10/$C$10)^2),SQRT(LN(1+($D$10/$C$10)^2)))</f>
        <v/>
      </c>
      <c r="S1860" s="14">
        <f>SUM(M1860:R1860)</f>
        <v/>
      </c>
      <c r="AA1860">
        <f>RAND()</f>
        <v/>
      </c>
      <c r="AB1860">
        <f>RAND()</f>
        <v/>
      </c>
      <c r="AC1860">
        <f>RAND()</f>
        <v/>
      </c>
      <c r="AD1860">
        <f>RAND()</f>
        <v/>
      </c>
      <c r="AE1860">
        <f>RAND()</f>
        <v/>
      </c>
      <c r="AF1860">
        <f>RAND()</f>
        <v/>
      </c>
    </row>
    <row r="1861">
      <c r="M1861" s="14">
        <f>_xlfn.BETA.INV($AA1861,1+4*($D$5-$C$5)/($E$5-$C$5),1+4*($E$5-$D$5)/($E$5-$C$5),$C$5,$E$5)</f>
        <v/>
      </c>
      <c r="N1861" s="14">
        <f>IF($AB1861&lt;($D$6-$C$6)/($E$6-$C$6),$C$6+SQRT($AB1861*($E$6-$C$6)*($D$6-$C$6)),$E$6-SQRT((1-$AB1861)*($E$6-$C$6)*($E$6-$D$6)))</f>
        <v/>
      </c>
      <c r="O1861" s="14">
        <f>_xlfn.NORM.INV($AC1861,$C$7,$D$7)</f>
        <v/>
      </c>
      <c r="P1861" s="14">
        <f>$C$8+($D$8-$C$8)*$AD1861</f>
        <v/>
      </c>
      <c r="Q1861" s="14">
        <f>$C$9</f>
        <v/>
      </c>
      <c r="R1861" s="14">
        <f>_xlfn.LOGNORM.INV($AF1861,LN($C$10)-0.5*LN(1+($D$10/$C$10)^2),SQRT(LN(1+($D$10/$C$10)^2)))</f>
        <v/>
      </c>
      <c r="S1861" s="14">
        <f>SUM(M1861:R1861)</f>
        <v/>
      </c>
      <c r="AA1861">
        <f>RAND()</f>
        <v/>
      </c>
      <c r="AB1861">
        <f>RAND()</f>
        <v/>
      </c>
      <c r="AC1861">
        <f>RAND()</f>
        <v/>
      </c>
      <c r="AD1861">
        <f>RAND()</f>
        <v/>
      </c>
      <c r="AE1861">
        <f>RAND()</f>
        <v/>
      </c>
      <c r="AF1861">
        <f>RAND()</f>
        <v/>
      </c>
    </row>
    <row r="1862">
      <c r="M1862" s="14">
        <f>_xlfn.BETA.INV($AA1862,1+4*($D$5-$C$5)/($E$5-$C$5),1+4*($E$5-$D$5)/($E$5-$C$5),$C$5,$E$5)</f>
        <v/>
      </c>
      <c r="N1862" s="14">
        <f>IF($AB1862&lt;($D$6-$C$6)/($E$6-$C$6),$C$6+SQRT($AB1862*($E$6-$C$6)*($D$6-$C$6)),$E$6-SQRT((1-$AB1862)*($E$6-$C$6)*($E$6-$D$6)))</f>
        <v/>
      </c>
      <c r="O1862" s="14">
        <f>_xlfn.NORM.INV($AC1862,$C$7,$D$7)</f>
        <v/>
      </c>
      <c r="P1862" s="14">
        <f>$C$8+($D$8-$C$8)*$AD1862</f>
        <v/>
      </c>
      <c r="Q1862" s="14">
        <f>$C$9</f>
        <v/>
      </c>
      <c r="R1862" s="14">
        <f>_xlfn.LOGNORM.INV($AF1862,LN($C$10)-0.5*LN(1+($D$10/$C$10)^2),SQRT(LN(1+($D$10/$C$10)^2)))</f>
        <v/>
      </c>
      <c r="S1862" s="14">
        <f>SUM(M1862:R1862)</f>
        <v/>
      </c>
      <c r="AA1862">
        <f>RAND()</f>
        <v/>
      </c>
      <c r="AB1862">
        <f>RAND()</f>
        <v/>
      </c>
      <c r="AC1862">
        <f>RAND()</f>
        <v/>
      </c>
      <c r="AD1862">
        <f>RAND()</f>
        <v/>
      </c>
      <c r="AE1862">
        <f>RAND()</f>
        <v/>
      </c>
      <c r="AF1862">
        <f>RAND()</f>
        <v/>
      </c>
    </row>
    <row r="1863">
      <c r="M1863" s="14">
        <f>_xlfn.BETA.INV($AA1863,1+4*($D$5-$C$5)/($E$5-$C$5),1+4*($E$5-$D$5)/($E$5-$C$5),$C$5,$E$5)</f>
        <v/>
      </c>
      <c r="N1863" s="14">
        <f>IF($AB1863&lt;($D$6-$C$6)/($E$6-$C$6),$C$6+SQRT($AB1863*($E$6-$C$6)*($D$6-$C$6)),$E$6-SQRT((1-$AB1863)*($E$6-$C$6)*($E$6-$D$6)))</f>
        <v/>
      </c>
      <c r="O1863" s="14">
        <f>_xlfn.NORM.INV($AC1863,$C$7,$D$7)</f>
        <v/>
      </c>
      <c r="P1863" s="14">
        <f>$C$8+($D$8-$C$8)*$AD1863</f>
        <v/>
      </c>
      <c r="Q1863" s="14">
        <f>$C$9</f>
        <v/>
      </c>
      <c r="R1863" s="14">
        <f>_xlfn.LOGNORM.INV($AF1863,LN($C$10)-0.5*LN(1+($D$10/$C$10)^2),SQRT(LN(1+($D$10/$C$10)^2)))</f>
        <v/>
      </c>
      <c r="S1863" s="14">
        <f>SUM(M1863:R1863)</f>
        <v/>
      </c>
      <c r="AA1863">
        <f>RAND()</f>
        <v/>
      </c>
      <c r="AB1863">
        <f>RAND()</f>
        <v/>
      </c>
      <c r="AC1863">
        <f>RAND()</f>
        <v/>
      </c>
      <c r="AD1863">
        <f>RAND()</f>
        <v/>
      </c>
      <c r="AE1863">
        <f>RAND()</f>
        <v/>
      </c>
      <c r="AF1863">
        <f>RAND()</f>
        <v/>
      </c>
    </row>
    <row r="1864">
      <c r="M1864" s="14">
        <f>_xlfn.BETA.INV($AA1864,1+4*($D$5-$C$5)/($E$5-$C$5),1+4*($E$5-$D$5)/($E$5-$C$5),$C$5,$E$5)</f>
        <v/>
      </c>
      <c r="N1864" s="14">
        <f>IF($AB1864&lt;($D$6-$C$6)/($E$6-$C$6),$C$6+SQRT($AB1864*($E$6-$C$6)*($D$6-$C$6)),$E$6-SQRT((1-$AB1864)*($E$6-$C$6)*($E$6-$D$6)))</f>
        <v/>
      </c>
      <c r="O1864" s="14">
        <f>_xlfn.NORM.INV($AC1864,$C$7,$D$7)</f>
        <v/>
      </c>
      <c r="P1864" s="14">
        <f>$C$8+($D$8-$C$8)*$AD1864</f>
        <v/>
      </c>
      <c r="Q1864" s="14">
        <f>$C$9</f>
        <v/>
      </c>
      <c r="R1864" s="14">
        <f>_xlfn.LOGNORM.INV($AF1864,LN($C$10)-0.5*LN(1+($D$10/$C$10)^2),SQRT(LN(1+($D$10/$C$10)^2)))</f>
        <v/>
      </c>
      <c r="S1864" s="14">
        <f>SUM(M1864:R1864)</f>
        <v/>
      </c>
      <c r="AA1864">
        <f>RAND()</f>
        <v/>
      </c>
      <c r="AB1864">
        <f>RAND()</f>
        <v/>
      </c>
      <c r="AC1864">
        <f>RAND()</f>
        <v/>
      </c>
      <c r="AD1864">
        <f>RAND()</f>
        <v/>
      </c>
      <c r="AE1864">
        <f>RAND()</f>
        <v/>
      </c>
      <c r="AF1864">
        <f>RAND()</f>
        <v/>
      </c>
    </row>
    <row r="1865">
      <c r="M1865" s="14">
        <f>_xlfn.BETA.INV($AA1865,1+4*($D$5-$C$5)/($E$5-$C$5),1+4*($E$5-$D$5)/($E$5-$C$5),$C$5,$E$5)</f>
        <v/>
      </c>
      <c r="N1865" s="14">
        <f>IF($AB1865&lt;($D$6-$C$6)/($E$6-$C$6),$C$6+SQRT($AB1865*($E$6-$C$6)*($D$6-$C$6)),$E$6-SQRT((1-$AB1865)*($E$6-$C$6)*($E$6-$D$6)))</f>
        <v/>
      </c>
      <c r="O1865" s="14">
        <f>_xlfn.NORM.INV($AC1865,$C$7,$D$7)</f>
        <v/>
      </c>
      <c r="P1865" s="14">
        <f>$C$8+($D$8-$C$8)*$AD1865</f>
        <v/>
      </c>
      <c r="Q1865" s="14">
        <f>$C$9</f>
        <v/>
      </c>
      <c r="R1865" s="14">
        <f>_xlfn.LOGNORM.INV($AF1865,LN($C$10)-0.5*LN(1+($D$10/$C$10)^2),SQRT(LN(1+($D$10/$C$10)^2)))</f>
        <v/>
      </c>
      <c r="S1865" s="14">
        <f>SUM(M1865:R1865)</f>
        <v/>
      </c>
      <c r="AA1865">
        <f>RAND()</f>
        <v/>
      </c>
      <c r="AB1865">
        <f>RAND()</f>
        <v/>
      </c>
      <c r="AC1865">
        <f>RAND()</f>
        <v/>
      </c>
      <c r="AD1865">
        <f>RAND()</f>
        <v/>
      </c>
      <c r="AE1865">
        <f>RAND()</f>
        <v/>
      </c>
      <c r="AF1865">
        <f>RAND()</f>
        <v/>
      </c>
    </row>
    <row r="1866">
      <c r="M1866" s="14">
        <f>_xlfn.BETA.INV($AA1866,1+4*($D$5-$C$5)/($E$5-$C$5),1+4*($E$5-$D$5)/($E$5-$C$5),$C$5,$E$5)</f>
        <v/>
      </c>
      <c r="N1866" s="14">
        <f>IF($AB1866&lt;($D$6-$C$6)/($E$6-$C$6),$C$6+SQRT($AB1866*($E$6-$C$6)*($D$6-$C$6)),$E$6-SQRT((1-$AB1866)*($E$6-$C$6)*($E$6-$D$6)))</f>
        <v/>
      </c>
      <c r="O1866" s="14">
        <f>_xlfn.NORM.INV($AC1866,$C$7,$D$7)</f>
        <v/>
      </c>
      <c r="P1866" s="14">
        <f>$C$8+($D$8-$C$8)*$AD1866</f>
        <v/>
      </c>
      <c r="Q1866" s="14">
        <f>$C$9</f>
        <v/>
      </c>
      <c r="R1866" s="14">
        <f>_xlfn.LOGNORM.INV($AF1866,LN($C$10)-0.5*LN(1+($D$10/$C$10)^2),SQRT(LN(1+($D$10/$C$10)^2)))</f>
        <v/>
      </c>
      <c r="S1866" s="14">
        <f>SUM(M1866:R1866)</f>
        <v/>
      </c>
      <c r="AA1866">
        <f>RAND()</f>
        <v/>
      </c>
      <c r="AB1866">
        <f>RAND()</f>
        <v/>
      </c>
      <c r="AC1866">
        <f>RAND()</f>
        <v/>
      </c>
      <c r="AD1866">
        <f>RAND()</f>
        <v/>
      </c>
      <c r="AE1866">
        <f>RAND()</f>
        <v/>
      </c>
      <c r="AF1866">
        <f>RAND()</f>
        <v/>
      </c>
    </row>
    <row r="1867">
      <c r="M1867" s="14">
        <f>_xlfn.BETA.INV($AA1867,1+4*($D$5-$C$5)/($E$5-$C$5),1+4*($E$5-$D$5)/($E$5-$C$5),$C$5,$E$5)</f>
        <v/>
      </c>
      <c r="N1867" s="14">
        <f>IF($AB1867&lt;($D$6-$C$6)/($E$6-$C$6),$C$6+SQRT($AB1867*($E$6-$C$6)*($D$6-$C$6)),$E$6-SQRT((1-$AB1867)*($E$6-$C$6)*($E$6-$D$6)))</f>
        <v/>
      </c>
      <c r="O1867" s="14">
        <f>_xlfn.NORM.INV($AC1867,$C$7,$D$7)</f>
        <v/>
      </c>
      <c r="P1867" s="14">
        <f>$C$8+($D$8-$C$8)*$AD1867</f>
        <v/>
      </c>
      <c r="Q1867" s="14">
        <f>$C$9</f>
        <v/>
      </c>
      <c r="R1867" s="14">
        <f>_xlfn.LOGNORM.INV($AF1867,LN($C$10)-0.5*LN(1+($D$10/$C$10)^2),SQRT(LN(1+($D$10/$C$10)^2)))</f>
        <v/>
      </c>
      <c r="S1867" s="14">
        <f>SUM(M1867:R1867)</f>
        <v/>
      </c>
      <c r="AA1867">
        <f>RAND()</f>
        <v/>
      </c>
      <c r="AB1867">
        <f>RAND()</f>
        <v/>
      </c>
      <c r="AC1867">
        <f>RAND()</f>
        <v/>
      </c>
      <c r="AD1867">
        <f>RAND()</f>
        <v/>
      </c>
      <c r="AE1867">
        <f>RAND()</f>
        <v/>
      </c>
      <c r="AF1867">
        <f>RAND()</f>
        <v/>
      </c>
    </row>
    <row r="1868">
      <c r="M1868" s="14">
        <f>_xlfn.BETA.INV($AA1868,1+4*($D$5-$C$5)/($E$5-$C$5),1+4*($E$5-$D$5)/($E$5-$C$5),$C$5,$E$5)</f>
        <v/>
      </c>
      <c r="N1868" s="14">
        <f>IF($AB1868&lt;($D$6-$C$6)/($E$6-$C$6),$C$6+SQRT($AB1868*($E$6-$C$6)*($D$6-$C$6)),$E$6-SQRT((1-$AB1868)*($E$6-$C$6)*($E$6-$D$6)))</f>
        <v/>
      </c>
      <c r="O1868" s="14">
        <f>_xlfn.NORM.INV($AC1868,$C$7,$D$7)</f>
        <v/>
      </c>
      <c r="P1868" s="14">
        <f>$C$8+($D$8-$C$8)*$AD1868</f>
        <v/>
      </c>
      <c r="Q1868" s="14">
        <f>$C$9</f>
        <v/>
      </c>
      <c r="R1868" s="14">
        <f>_xlfn.LOGNORM.INV($AF1868,LN($C$10)-0.5*LN(1+($D$10/$C$10)^2),SQRT(LN(1+($D$10/$C$10)^2)))</f>
        <v/>
      </c>
      <c r="S1868" s="14">
        <f>SUM(M1868:R1868)</f>
        <v/>
      </c>
      <c r="AA1868">
        <f>RAND()</f>
        <v/>
      </c>
      <c r="AB1868">
        <f>RAND()</f>
        <v/>
      </c>
      <c r="AC1868">
        <f>RAND()</f>
        <v/>
      </c>
      <c r="AD1868">
        <f>RAND()</f>
        <v/>
      </c>
      <c r="AE1868">
        <f>RAND()</f>
        <v/>
      </c>
      <c r="AF1868">
        <f>RAND()</f>
        <v/>
      </c>
    </row>
    <row r="1869">
      <c r="M1869" s="14">
        <f>_xlfn.BETA.INV($AA1869,1+4*($D$5-$C$5)/($E$5-$C$5),1+4*($E$5-$D$5)/($E$5-$C$5),$C$5,$E$5)</f>
        <v/>
      </c>
      <c r="N1869" s="14">
        <f>IF($AB1869&lt;($D$6-$C$6)/($E$6-$C$6),$C$6+SQRT($AB1869*($E$6-$C$6)*($D$6-$C$6)),$E$6-SQRT((1-$AB1869)*($E$6-$C$6)*($E$6-$D$6)))</f>
        <v/>
      </c>
      <c r="O1869" s="14">
        <f>_xlfn.NORM.INV($AC1869,$C$7,$D$7)</f>
        <v/>
      </c>
      <c r="P1869" s="14">
        <f>$C$8+($D$8-$C$8)*$AD1869</f>
        <v/>
      </c>
      <c r="Q1869" s="14">
        <f>$C$9</f>
        <v/>
      </c>
      <c r="R1869" s="14">
        <f>_xlfn.LOGNORM.INV($AF1869,LN($C$10)-0.5*LN(1+($D$10/$C$10)^2),SQRT(LN(1+($D$10/$C$10)^2)))</f>
        <v/>
      </c>
      <c r="S1869" s="14">
        <f>SUM(M1869:R1869)</f>
        <v/>
      </c>
      <c r="AA1869">
        <f>RAND()</f>
        <v/>
      </c>
      <c r="AB1869">
        <f>RAND()</f>
        <v/>
      </c>
      <c r="AC1869">
        <f>RAND()</f>
        <v/>
      </c>
      <c r="AD1869">
        <f>RAND()</f>
        <v/>
      </c>
      <c r="AE1869">
        <f>RAND()</f>
        <v/>
      </c>
      <c r="AF1869">
        <f>RAND()</f>
        <v/>
      </c>
    </row>
    <row r="1870">
      <c r="M1870" s="14">
        <f>_xlfn.BETA.INV($AA1870,1+4*($D$5-$C$5)/($E$5-$C$5),1+4*($E$5-$D$5)/($E$5-$C$5),$C$5,$E$5)</f>
        <v/>
      </c>
      <c r="N1870" s="14">
        <f>IF($AB1870&lt;($D$6-$C$6)/($E$6-$C$6),$C$6+SQRT($AB1870*($E$6-$C$6)*($D$6-$C$6)),$E$6-SQRT((1-$AB1870)*($E$6-$C$6)*($E$6-$D$6)))</f>
        <v/>
      </c>
      <c r="O1870" s="14">
        <f>_xlfn.NORM.INV($AC1870,$C$7,$D$7)</f>
        <v/>
      </c>
      <c r="P1870" s="14">
        <f>$C$8+($D$8-$C$8)*$AD1870</f>
        <v/>
      </c>
      <c r="Q1870" s="14">
        <f>$C$9</f>
        <v/>
      </c>
      <c r="R1870" s="14">
        <f>_xlfn.LOGNORM.INV($AF1870,LN($C$10)-0.5*LN(1+($D$10/$C$10)^2),SQRT(LN(1+($D$10/$C$10)^2)))</f>
        <v/>
      </c>
      <c r="S1870" s="14">
        <f>SUM(M1870:R1870)</f>
        <v/>
      </c>
      <c r="AA1870">
        <f>RAND()</f>
        <v/>
      </c>
      <c r="AB1870">
        <f>RAND()</f>
        <v/>
      </c>
      <c r="AC1870">
        <f>RAND()</f>
        <v/>
      </c>
      <c r="AD1870">
        <f>RAND()</f>
        <v/>
      </c>
      <c r="AE1870">
        <f>RAND()</f>
        <v/>
      </c>
      <c r="AF1870">
        <f>RAND()</f>
        <v/>
      </c>
    </row>
    <row r="1871">
      <c r="M1871" s="14">
        <f>_xlfn.BETA.INV($AA1871,1+4*($D$5-$C$5)/($E$5-$C$5),1+4*($E$5-$D$5)/($E$5-$C$5),$C$5,$E$5)</f>
        <v/>
      </c>
      <c r="N1871" s="14">
        <f>IF($AB1871&lt;($D$6-$C$6)/($E$6-$C$6),$C$6+SQRT($AB1871*($E$6-$C$6)*($D$6-$C$6)),$E$6-SQRT((1-$AB1871)*($E$6-$C$6)*($E$6-$D$6)))</f>
        <v/>
      </c>
      <c r="O1871" s="14">
        <f>_xlfn.NORM.INV($AC1871,$C$7,$D$7)</f>
        <v/>
      </c>
      <c r="P1871" s="14">
        <f>$C$8+($D$8-$C$8)*$AD1871</f>
        <v/>
      </c>
      <c r="Q1871" s="14">
        <f>$C$9</f>
        <v/>
      </c>
      <c r="R1871" s="14">
        <f>_xlfn.LOGNORM.INV($AF1871,LN($C$10)-0.5*LN(1+($D$10/$C$10)^2),SQRT(LN(1+($D$10/$C$10)^2)))</f>
        <v/>
      </c>
      <c r="S1871" s="14">
        <f>SUM(M1871:R1871)</f>
        <v/>
      </c>
      <c r="AA1871">
        <f>RAND()</f>
        <v/>
      </c>
      <c r="AB1871">
        <f>RAND()</f>
        <v/>
      </c>
      <c r="AC1871">
        <f>RAND()</f>
        <v/>
      </c>
      <c r="AD1871">
        <f>RAND()</f>
        <v/>
      </c>
      <c r="AE1871">
        <f>RAND()</f>
        <v/>
      </c>
      <c r="AF1871">
        <f>RAND()</f>
        <v/>
      </c>
    </row>
    <row r="1872">
      <c r="M1872" s="14">
        <f>_xlfn.BETA.INV($AA1872,1+4*($D$5-$C$5)/($E$5-$C$5),1+4*($E$5-$D$5)/($E$5-$C$5),$C$5,$E$5)</f>
        <v/>
      </c>
      <c r="N1872" s="14">
        <f>IF($AB1872&lt;($D$6-$C$6)/($E$6-$C$6),$C$6+SQRT($AB1872*($E$6-$C$6)*($D$6-$C$6)),$E$6-SQRT((1-$AB1872)*($E$6-$C$6)*($E$6-$D$6)))</f>
        <v/>
      </c>
      <c r="O1872" s="14">
        <f>_xlfn.NORM.INV($AC1872,$C$7,$D$7)</f>
        <v/>
      </c>
      <c r="P1872" s="14">
        <f>$C$8+($D$8-$C$8)*$AD1872</f>
        <v/>
      </c>
      <c r="Q1872" s="14">
        <f>$C$9</f>
        <v/>
      </c>
      <c r="R1872" s="14">
        <f>_xlfn.LOGNORM.INV($AF1872,LN($C$10)-0.5*LN(1+($D$10/$C$10)^2),SQRT(LN(1+($D$10/$C$10)^2)))</f>
        <v/>
      </c>
      <c r="S1872" s="14">
        <f>SUM(M1872:R1872)</f>
        <v/>
      </c>
      <c r="AA1872">
        <f>RAND()</f>
        <v/>
      </c>
      <c r="AB1872">
        <f>RAND()</f>
        <v/>
      </c>
      <c r="AC1872">
        <f>RAND()</f>
        <v/>
      </c>
      <c r="AD1872">
        <f>RAND()</f>
        <v/>
      </c>
      <c r="AE1872">
        <f>RAND()</f>
        <v/>
      </c>
      <c r="AF1872">
        <f>RAND()</f>
        <v/>
      </c>
    </row>
    <row r="1873">
      <c r="M1873" s="14">
        <f>_xlfn.BETA.INV($AA1873,1+4*($D$5-$C$5)/($E$5-$C$5),1+4*($E$5-$D$5)/($E$5-$C$5),$C$5,$E$5)</f>
        <v/>
      </c>
      <c r="N1873" s="14">
        <f>IF($AB1873&lt;($D$6-$C$6)/($E$6-$C$6),$C$6+SQRT($AB1873*($E$6-$C$6)*($D$6-$C$6)),$E$6-SQRT((1-$AB1873)*($E$6-$C$6)*($E$6-$D$6)))</f>
        <v/>
      </c>
      <c r="O1873" s="14">
        <f>_xlfn.NORM.INV($AC1873,$C$7,$D$7)</f>
        <v/>
      </c>
      <c r="P1873" s="14">
        <f>$C$8+($D$8-$C$8)*$AD1873</f>
        <v/>
      </c>
      <c r="Q1873" s="14">
        <f>$C$9</f>
        <v/>
      </c>
      <c r="R1873" s="14">
        <f>_xlfn.LOGNORM.INV($AF1873,LN($C$10)-0.5*LN(1+($D$10/$C$10)^2),SQRT(LN(1+($D$10/$C$10)^2)))</f>
        <v/>
      </c>
      <c r="S1873" s="14">
        <f>SUM(M1873:R1873)</f>
        <v/>
      </c>
      <c r="AA1873">
        <f>RAND()</f>
        <v/>
      </c>
      <c r="AB1873">
        <f>RAND()</f>
        <v/>
      </c>
      <c r="AC1873">
        <f>RAND()</f>
        <v/>
      </c>
      <c r="AD1873">
        <f>RAND()</f>
        <v/>
      </c>
      <c r="AE1873">
        <f>RAND()</f>
        <v/>
      </c>
      <c r="AF1873">
        <f>RAND()</f>
        <v/>
      </c>
    </row>
    <row r="1874">
      <c r="M1874" s="14">
        <f>_xlfn.BETA.INV($AA1874,1+4*($D$5-$C$5)/($E$5-$C$5),1+4*($E$5-$D$5)/($E$5-$C$5),$C$5,$E$5)</f>
        <v/>
      </c>
      <c r="N1874" s="14">
        <f>IF($AB1874&lt;($D$6-$C$6)/($E$6-$C$6),$C$6+SQRT($AB1874*($E$6-$C$6)*($D$6-$C$6)),$E$6-SQRT((1-$AB1874)*($E$6-$C$6)*($E$6-$D$6)))</f>
        <v/>
      </c>
      <c r="O1874" s="14">
        <f>_xlfn.NORM.INV($AC1874,$C$7,$D$7)</f>
        <v/>
      </c>
      <c r="P1874" s="14">
        <f>$C$8+($D$8-$C$8)*$AD1874</f>
        <v/>
      </c>
      <c r="Q1874" s="14">
        <f>$C$9</f>
        <v/>
      </c>
      <c r="R1874" s="14">
        <f>_xlfn.LOGNORM.INV($AF1874,LN($C$10)-0.5*LN(1+($D$10/$C$10)^2),SQRT(LN(1+($D$10/$C$10)^2)))</f>
        <v/>
      </c>
      <c r="S1874" s="14">
        <f>SUM(M1874:R1874)</f>
        <v/>
      </c>
      <c r="AA1874">
        <f>RAND()</f>
        <v/>
      </c>
      <c r="AB1874">
        <f>RAND()</f>
        <v/>
      </c>
      <c r="AC1874">
        <f>RAND()</f>
        <v/>
      </c>
      <c r="AD1874">
        <f>RAND()</f>
        <v/>
      </c>
      <c r="AE1874">
        <f>RAND()</f>
        <v/>
      </c>
      <c r="AF1874">
        <f>RAND()</f>
        <v/>
      </c>
    </row>
    <row r="1875">
      <c r="M1875" s="14">
        <f>_xlfn.BETA.INV($AA1875,1+4*($D$5-$C$5)/($E$5-$C$5),1+4*($E$5-$D$5)/($E$5-$C$5),$C$5,$E$5)</f>
        <v/>
      </c>
      <c r="N1875" s="14">
        <f>IF($AB1875&lt;($D$6-$C$6)/($E$6-$C$6),$C$6+SQRT($AB1875*($E$6-$C$6)*($D$6-$C$6)),$E$6-SQRT((1-$AB1875)*($E$6-$C$6)*($E$6-$D$6)))</f>
        <v/>
      </c>
      <c r="O1875" s="14">
        <f>_xlfn.NORM.INV($AC1875,$C$7,$D$7)</f>
        <v/>
      </c>
      <c r="P1875" s="14">
        <f>$C$8+($D$8-$C$8)*$AD1875</f>
        <v/>
      </c>
      <c r="Q1875" s="14">
        <f>$C$9</f>
        <v/>
      </c>
      <c r="R1875" s="14">
        <f>_xlfn.LOGNORM.INV($AF1875,LN($C$10)-0.5*LN(1+($D$10/$C$10)^2),SQRT(LN(1+($D$10/$C$10)^2)))</f>
        <v/>
      </c>
      <c r="S1875" s="14">
        <f>SUM(M1875:R1875)</f>
        <v/>
      </c>
      <c r="AA1875">
        <f>RAND()</f>
        <v/>
      </c>
      <c r="AB1875">
        <f>RAND()</f>
        <v/>
      </c>
      <c r="AC1875">
        <f>RAND()</f>
        <v/>
      </c>
      <c r="AD1875">
        <f>RAND()</f>
        <v/>
      </c>
      <c r="AE1875">
        <f>RAND()</f>
        <v/>
      </c>
      <c r="AF1875">
        <f>RAND()</f>
        <v/>
      </c>
    </row>
    <row r="1876">
      <c r="M1876" s="14">
        <f>_xlfn.BETA.INV($AA1876,1+4*($D$5-$C$5)/($E$5-$C$5),1+4*($E$5-$D$5)/($E$5-$C$5),$C$5,$E$5)</f>
        <v/>
      </c>
      <c r="N1876" s="14">
        <f>IF($AB1876&lt;($D$6-$C$6)/($E$6-$C$6),$C$6+SQRT($AB1876*($E$6-$C$6)*($D$6-$C$6)),$E$6-SQRT((1-$AB1876)*($E$6-$C$6)*($E$6-$D$6)))</f>
        <v/>
      </c>
      <c r="O1876" s="14">
        <f>_xlfn.NORM.INV($AC1876,$C$7,$D$7)</f>
        <v/>
      </c>
      <c r="P1876" s="14">
        <f>$C$8+($D$8-$C$8)*$AD1876</f>
        <v/>
      </c>
      <c r="Q1876" s="14">
        <f>$C$9</f>
        <v/>
      </c>
      <c r="R1876" s="14">
        <f>_xlfn.LOGNORM.INV($AF1876,LN($C$10)-0.5*LN(1+($D$10/$C$10)^2),SQRT(LN(1+($D$10/$C$10)^2)))</f>
        <v/>
      </c>
      <c r="S1876" s="14">
        <f>SUM(M1876:R1876)</f>
        <v/>
      </c>
      <c r="AA1876">
        <f>RAND()</f>
        <v/>
      </c>
      <c r="AB1876">
        <f>RAND()</f>
        <v/>
      </c>
      <c r="AC1876">
        <f>RAND()</f>
        <v/>
      </c>
      <c r="AD1876">
        <f>RAND()</f>
        <v/>
      </c>
      <c r="AE1876">
        <f>RAND()</f>
        <v/>
      </c>
      <c r="AF1876">
        <f>RAND()</f>
        <v/>
      </c>
    </row>
    <row r="1877">
      <c r="M1877" s="14">
        <f>_xlfn.BETA.INV($AA1877,1+4*($D$5-$C$5)/($E$5-$C$5),1+4*($E$5-$D$5)/($E$5-$C$5),$C$5,$E$5)</f>
        <v/>
      </c>
      <c r="N1877" s="14">
        <f>IF($AB1877&lt;($D$6-$C$6)/($E$6-$C$6),$C$6+SQRT($AB1877*($E$6-$C$6)*($D$6-$C$6)),$E$6-SQRT((1-$AB1877)*($E$6-$C$6)*($E$6-$D$6)))</f>
        <v/>
      </c>
      <c r="O1877" s="14">
        <f>_xlfn.NORM.INV($AC1877,$C$7,$D$7)</f>
        <v/>
      </c>
      <c r="P1877" s="14">
        <f>$C$8+($D$8-$C$8)*$AD1877</f>
        <v/>
      </c>
      <c r="Q1877" s="14">
        <f>$C$9</f>
        <v/>
      </c>
      <c r="R1877" s="14">
        <f>_xlfn.LOGNORM.INV($AF1877,LN($C$10)-0.5*LN(1+($D$10/$C$10)^2),SQRT(LN(1+($D$10/$C$10)^2)))</f>
        <v/>
      </c>
      <c r="S1877" s="14">
        <f>SUM(M1877:R1877)</f>
        <v/>
      </c>
      <c r="AA1877">
        <f>RAND()</f>
        <v/>
      </c>
      <c r="AB1877">
        <f>RAND()</f>
        <v/>
      </c>
      <c r="AC1877">
        <f>RAND()</f>
        <v/>
      </c>
      <c r="AD1877">
        <f>RAND()</f>
        <v/>
      </c>
      <c r="AE1877">
        <f>RAND()</f>
        <v/>
      </c>
      <c r="AF1877">
        <f>RAND()</f>
        <v/>
      </c>
    </row>
    <row r="1878">
      <c r="M1878" s="14">
        <f>_xlfn.BETA.INV($AA1878,1+4*($D$5-$C$5)/($E$5-$C$5),1+4*($E$5-$D$5)/($E$5-$C$5),$C$5,$E$5)</f>
        <v/>
      </c>
      <c r="N1878" s="14">
        <f>IF($AB1878&lt;($D$6-$C$6)/($E$6-$C$6),$C$6+SQRT($AB1878*($E$6-$C$6)*($D$6-$C$6)),$E$6-SQRT((1-$AB1878)*($E$6-$C$6)*($E$6-$D$6)))</f>
        <v/>
      </c>
      <c r="O1878" s="14">
        <f>_xlfn.NORM.INV($AC1878,$C$7,$D$7)</f>
        <v/>
      </c>
      <c r="P1878" s="14">
        <f>$C$8+($D$8-$C$8)*$AD1878</f>
        <v/>
      </c>
      <c r="Q1878" s="14">
        <f>$C$9</f>
        <v/>
      </c>
      <c r="R1878" s="14">
        <f>_xlfn.LOGNORM.INV($AF1878,LN($C$10)-0.5*LN(1+($D$10/$C$10)^2),SQRT(LN(1+($D$10/$C$10)^2)))</f>
        <v/>
      </c>
      <c r="S1878" s="14">
        <f>SUM(M1878:R1878)</f>
        <v/>
      </c>
      <c r="AA1878">
        <f>RAND()</f>
        <v/>
      </c>
      <c r="AB1878">
        <f>RAND()</f>
        <v/>
      </c>
      <c r="AC1878">
        <f>RAND()</f>
        <v/>
      </c>
      <c r="AD1878">
        <f>RAND()</f>
        <v/>
      </c>
      <c r="AE1878">
        <f>RAND()</f>
        <v/>
      </c>
      <c r="AF1878">
        <f>RAND()</f>
        <v/>
      </c>
    </row>
    <row r="1879">
      <c r="M1879" s="14">
        <f>_xlfn.BETA.INV($AA1879,1+4*($D$5-$C$5)/($E$5-$C$5),1+4*($E$5-$D$5)/($E$5-$C$5),$C$5,$E$5)</f>
        <v/>
      </c>
      <c r="N1879" s="14">
        <f>IF($AB1879&lt;($D$6-$C$6)/($E$6-$C$6),$C$6+SQRT($AB1879*($E$6-$C$6)*($D$6-$C$6)),$E$6-SQRT((1-$AB1879)*($E$6-$C$6)*($E$6-$D$6)))</f>
        <v/>
      </c>
      <c r="O1879" s="14">
        <f>_xlfn.NORM.INV($AC1879,$C$7,$D$7)</f>
        <v/>
      </c>
      <c r="P1879" s="14">
        <f>$C$8+($D$8-$C$8)*$AD1879</f>
        <v/>
      </c>
      <c r="Q1879" s="14">
        <f>$C$9</f>
        <v/>
      </c>
      <c r="R1879" s="14">
        <f>_xlfn.LOGNORM.INV($AF1879,LN($C$10)-0.5*LN(1+($D$10/$C$10)^2),SQRT(LN(1+($D$10/$C$10)^2)))</f>
        <v/>
      </c>
      <c r="S1879" s="14">
        <f>SUM(M1879:R1879)</f>
        <v/>
      </c>
      <c r="AA1879">
        <f>RAND()</f>
        <v/>
      </c>
      <c r="AB1879">
        <f>RAND()</f>
        <v/>
      </c>
      <c r="AC1879">
        <f>RAND()</f>
        <v/>
      </c>
      <c r="AD1879">
        <f>RAND()</f>
        <v/>
      </c>
      <c r="AE1879">
        <f>RAND()</f>
        <v/>
      </c>
      <c r="AF1879">
        <f>RAND()</f>
        <v/>
      </c>
    </row>
    <row r="1880">
      <c r="M1880" s="14">
        <f>_xlfn.BETA.INV($AA1880,1+4*($D$5-$C$5)/($E$5-$C$5),1+4*($E$5-$D$5)/($E$5-$C$5),$C$5,$E$5)</f>
        <v/>
      </c>
      <c r="N1880" s="14">
        <f>IF($AB1880&lt;($D$6-$C$6)/($E$6-$C$6),$C$6+SQRT($AB1880*($E$6-$C$6)*($D$6-$C$6)),$E$6-SQRT((1-$AB1880)*($E$6-$C$6)*($E$6-$D$6)))</f>
        <v/>
      </c>
      <c r="O1880" s="14">
        <f>_xlfn.NORM.INV($AC1880,$C$7,$D$7)</f>
        <v/>
      </c>
      <c r="P1880" s="14">
        <f>$C$8+($D$8-$C$8)*$AD1880</f>
        <v/>
      </c>
      <c r="Q1880" s="14">
        <f>$C$9</f>
        <v/>
      </c>
      <c r="R1880" s="14">
        <f>_xlfn.LOGNORM.INV($AF1880,LN($C$10)-0.5*LN(1+($D$10/$C$10)^2),SQRT(LN(1+($D$10/$C$10)^2)))</f>
        <v/>
      </c>
      <c r="S1880" s="14">
        <f>SUM(M1880:R1880)</f>
        <v/>
      </c>
      <c r="AA1880">
        <f>RAND()</f>
        <v/>
      </c>
      <c r="AB1880">
        <f>RAND()</f>
        <v/>
      </c>
      <c r="AC1880">
        <f>RAND()</f>
        <v/>
      </c>
      <c r="AD1880">
        <f>RAND()</f>
        <v/>
      </c>
      <c r="AE1880">
        <f>RAND()</f>
        <v/>
      </c>
      <c r="AF1880">
        <f>RAND()</f>
        <v/>
      </c>
    </row>
    <row r="1881">
      <c r="M1881" s="14">
        <f>_xlfn.BETA.INV($AA1881,1+4*($D$5-$C$5)/($E$5-$C$5),1+4*($E$5-$D$5)/($E$5-$C$5),$C$5,$E$5)</f>
        <v/>
      </c>
      <c r="N1881" s="14">
        <f>IF($AB1881&lt;($D$6-$C$6)/($E$6-$C$6),$C$6+SQRT($AB1881*($E$6-$C$6)*($D$6-$C$6)),$E$6-SQRT((1-$AB1881)*($E$6-$C$6)*($E$6-$D$6)))</f>
        <v/>
      </c>
      <c r="O1881" s="14">
        <f>_xlfn.NORM.INV($AC1881,$C$7,$D$7)</f>
        <v/>
      </c>
      <c r="P1881" s="14">
        <f>$C$8+($D$8-$C$8)*$AD1881</f>
        <v/>
      </c>
      <c r="Q1881" s="14">
        <f>$C$9</f>
        <v/>
      </c>
      <c r="R1881" s="14">
        <f>_xlfn.LOGNORM.INV($AF1881,LN($C$10)-0.5*LN(1+($D$10/$C$10)^2),SQRT(LN(1+($D$10/$C$10)^2)))</f>
        <v/>
      </c>
      <c r="S1881" s="14">
        <f>SUM(M1881:R1881)</f>
        <v/>
      </c>
      <c r="AA1881">
        <f>RAND()</f>
        <v/>
      </c>
      <c r="AB1881">
        <f>RAND()</f>
        <v/>
      </c>
      <c r="AC1881">
        <f>RAND()</f>
        <v/>
      </c>
      <c r="AD1881">
        <f>RAND()</f>
        <v/>
      </c>
      <c r="AE1881">
        <f>RAND()</f>
        <v/>
      </c>
      <c r="AF1881">
        <f>RAND()</f>
        <v/>
      </c>
    </row>
    <row r="1882">
      <c r="M1882" s="14">
        <f>_xlfn.BETA.INV($AA1882,1+4*($D$5-$C$5)/($E$5-$C$5),1+4*($E$5-$D$5)/($E$5-$C$5),$C$5,$E$5)</f>
        <v/>
      </c>
      <c r="N1882" s="14">
        <f>IF($AB1882&lt;($D$6-$C$6)/($E$6-$C$6),$C$6+SQRT($AB1882*($E$6-$C$6)*($D$6-$C$6)),$E$6-SQRT((1-$AB1882)*($E$6-$C$6)*($E$6-$D$6)))</f>
        <v/>
      </c>
      <c r="O1882" s="14">
        <f>_xlfn.NORM.INV($AC1882,$C$7,$D$7)</f>
        <v/>
      </c>
      <c r="P1882" s="14">
        <f>$C$8+($D$8-$C$8)*$AD1882</f>
        <v/>
      </c>
      <c r="Q1882" s="14">
        <f>$C$9</f>
        <v/>
      </c>
      <c r="R1882" s="14">
        <f>_xlfn.LOGNORM.INV($AF1882,LN($C$10)-0.5*LN(1+($D$10/$C$10)^2),SQRT(LN(1+($D$10/$C$10)^2)))</f>
        <v/>
      </c>
      <c r="S1882" s="14">
        <f>SUM(M1882:R1882)</f>
        <v/>
      </c>
      <c r="AA1882">
        <f>RAND()</f>
        <v/>
      </c>
      <c r="AB1882">
        <f>RAND()</f>
        <v/>
      </c>
      <c r="AC1882">
        <f>RAND()</f>
        <v/>
      </c>
      <c r="AD1882">
        <f>RAND()</f>
        <v/>
      </c>
      <c r="AE1882">
        <f>RAND()</f>
        <v/>
      </c>
      <c r="AF1882">
        <f>RAND()</f>
        <v/>
      </c>
    </row>
    <row r="1883">
      <c r="M1883" s="14">
        <f>_xlfn.BETA.INV($AA1883,1+4*($D$5-$C$5)/($E$5-$C$5),1+4*($E$5-$D$5)/($E$5-$C$5),$C$5,$E$5)</f>
        <v/>
      </c>
      <c r="N1883" s="14">
        <f>IF($AB1883&lt;($D$6-$C$6)/($E$6-$C$6),$C$6+SQRT($AB1883*($E$6-$C$6)*($D$6-$C$6)),$E$6-SQRT((1-$AB1883)*($E$6-$C$6)*($E$6-$D$6)))</f>
        <v/>
      </c>
      <c r="O1883" s="14">
        <f>_xlfn.NORM.INV($AC1883,$C$7,$D$7)</f>
        <v/>
      </c>
      <c r="P1883" s="14">
        <f>$C$8+($D$8-$C$8)*$AD1883</f>
        <v/>
      </c>
      <c r="Q1883" s="14">
        <f>$C$9</f>
        <v/>
      </c>
      <c r="R1883" s="14">
        <f>_xlfn.LOGNORM.INV($AF1883,LN($C$10)-0.5*LN(1+($D$10/$C$10)^2),SQRT(LN(1+($D$10/$C$10)^2)))</f>
        <v/>
      </c>
      <c r="S1883" s="14">
        <f>SUM(M1883:R1883)</f>
        <v/>
      </c>
      <c r="AA1883">
        <f>RAND()</f>
        <v/>
      </c>
      <c r="AB1883">
        <f>RAND()</f>
        <v/>
      </c>
      <c r="AC1883">
        <f>RAND()</f>
        <v/>
      </c>
      <c r="AD1883">
        <f>RAND()</f>
        <v/>
      </c>
      <c r="AE1883">
        <f>RAND()</f>
        <v/>
      </c>
      <c r="AF1883">
        <f>RAND()</f>
        <v/>
      </c>
    </row>
    <row r="1884">
      <c r="M1884" s="14">
        <f>_xlfn.BETA.INV($AA1884,1+4*($D$5-$C$5)/($E$5-$C$5),1+4*($E$5-$D$5)/($E$5-$C$5),$C$5,$E$5)</f>
        <v/>
      </c>
      <c r="N1884" s="14">
        <f>IF($AB1884&lt;($D$6-$C$6)/($E$6-$C$6),$C$6+SQRT($AB1884*($E$6-$C$6)*($D$6-$C$6)),$E$6-SQRT((1-$AB1884)*($E$6-$C$6)*($E$6-$D$6)))</f>
        <v/>
      </c>
      <c r="O1884" s="14">
        <f>_xlfn.NORM.INV($AC1884,$C$7,$D$7)</f>
        <v/>
      </c>
      <c r="P1884" s="14">
        <f>$C$8+($D$8-$C$8)*$AD1884</f>
        <v/>
      </c>
      <c r="Q1884" s="14">
        <f>$C$9</f>
        <v/>
      </c>
      <c r="R1884" s="14">
        <f>_xlfn.LOGNORM.INV($AF1884,LN($C$10)-0.5*LN(1+($D$10/$C$10)^2),SQRT(LN(1+($D$10/$C$10)^2)))</f>
        <v/>
      </c>
      <c r="S1884" s="14">
        <f>SUM(M1884:R1884)</f>
        <v/>
      </c>
      <c r="AA1884">
        <f>RAND()</f>
        <v/>
      </c>
      <c r="AB1884">
        <f>RAND()</f>
        <v/>
      </c>
      <c r="AC1884">
        <f>RAND()</f>
        <v/>
      </c>
      <c r="AD1884">
        <f>RAND()</f>
        <v/>
      </c>
      <c r="AE1884">
        <f>RAND()</f>
        <v/>
      </c>
      <c r="AF1884">
        <f>RAND()</f>
        <v/>
      </c>
    </row>
    <row r="1885">
      <c r="M1885" s="14">
        <f>_xlfn.BETA.INV($AA1885,1+4*($D$5-$C$5)/($E$5-$C$5),1+4*($E$5-$D$5)/($E$5-$C$5),$C$5,$E$5)</f>
        <v/>
      </c>
      <c r="N1885" s="14">
        <f>IF($AB1885&lt;($D$6-$C$6)/($E$6-$C$6),$C$6+SQRT($AB1885*($E$6-$C$6)*($D$6-$C$6)),$E$6-SQRT((1-$AB1885)*($E$6-$C$6)*($E$6-$D$6)))</f>
        <v/>
      </c>
      <c r="O1885" s="14">
        <f>_xlfn.NORM.INV($AC1885,$C$7,$D$7)</f>
        <v/>
      </c>
      <c r="P1885" s="14">
        <f>$C$8+($D$8-$C$8)*$AD1885</f>
        <v/>
      </c>
      <c r="Q1885" s="14">
        <f>$C$9</f>
        <v/>
      </c>
      <c r="R1885" s="14">
        <f>_xlfn.LOGNORM.INV($AF1885,LN($C$10)-0.5*LN(1+($D$10/$C$10)^2),SQRT(LN(1+($D$10/$C$10)^2)))</f>
        <v/>
      </c>
      <c r="S1885" s="14">
        <f>SUM(M1885:R1885)</f>
        <v/>
      </c>
      <c r="AA1885">
        <f>RAND()</f>
        <v/>
      </c>
      <c r="AB1885">
        <f>RAND()</f>
        <v/>
      </c>
      <c r="AC1885">
        <f>RAND()</f>
        <v/>
      </c>
      <c r="AD1885">
        <f>RAND()</f>
        <v/>
      </c>
      <c r="AE1885">
        <f>RAND()</f>
        <v/>
      </c>
      <c r="AF1885">
        <f>RAND()</f>
        <v/>
      </c>
    </row>
    <row r="1886">
      <c r="M1886" s="14">
        <f>_xlfn.BETA.INV($AA1886,1+4*($D$5-$C$5)/($E$5-$C$5),1+4*($E$5-$D$5)/($E$5-$C$5),$C$5,$E$5)</f>
        <v/>
      </c>
      <c r="N1886" s="14">
        <f>IF($AB1886&lt;($D$6-$C$6)/($E$6-$C$6),$C$6+SQRT($AB1886*($E$6-$C$6)*($D$6-$C$6)),$E$6-SQRT((1-$AB1886)*($E$6-$C$6)*($E$6-$D$6)))</f>
        <v/>
      </c>
      <c r="O1886" s="14">
        <f>_xlfn.NORM.INV($AC1886,$C$7,$D$7)</f>
        <v/>
      </c>
      <c r="P1886" s="14">
        <f>$C$8+($D$8-$C$8)*$AD1886</f>
        <v/>
      </c>
      <c r="Q1886" s="14">
        <f>$C$9</f>
        <v/>
      </c>
      <c r="R1886" s="14">
        <f>_xlfn.LOGNORM.INV($AF1886,LN($C$10)-0.5*LN(1+($D$10/$C$10)^2),SQRT(LN(1+($D$10/$C$10)^2)))</f>
        <v/>
      </c>
      <c r="S1886" s="14">
        <f>SUM(M1886:R1886)</f>
        <v/>
      </c>
      <c r="AA1886">
        <f>RAND()</f>
        <v/>
      </c>
      <c r="AB1886">
        <f>RAND()</f>
        <v/>
      </c>
      <c r="AC1886">
        <f>RAND()</f>
        <v/>
      </c>
      <c r="AD1886">
        <f>RAND()</f>
        <v/>
      </c>
      <c r="AE1886">
        <f>RAND()</f>
        <v/>
      </c>
      <c r="AF1886">
        <f>RAND()</f>
        <v/>
      </c>
    </row>
    <row r="1887">
      <c r="M1887" s="14">
        <f>_xlfn.BETA.INV($AA1887,1+4*($D$5-$C$5)/($E$5-$C$5),1+4*($E$5-$D$5)/($E$5-$C$5),$C$5,$E$5)</f>
        <v/>
      </c>
      <c r="N1887" s="14">
        <f>IF($AB1887&lt;($D$6-$C$6)/($E$6-$C$6),$C$6+SQRT($AB1887*($E$6-$C$6)*($D$6-$C$6)),$E$6-SQRT((1-$AB1887)*($E$6-$C$6)*($E$6-$D$6)))</f>
        <v/>
      </c>
      <c r="O1887" s="14">
        <f>_xlfn.NORM.INV($AC1887,$C$7,$D$7)</f>
        <v/>
      </c>
      <c r="P1887" s="14">
        <f>$C$8+($D$8-$C$8)*$AD1887</f>
        <v/>
      </c>
      <c r="Q1887" s="14">
        <f>$C$9</f>
        <v/>
      </c>
      <c r="R1887" s="14">
        <f>_xlfn.LOGNORM.INV($AF1887,LN($C$10)-0.5*LN(1+($D$10/$C$10)^2),SQRT(LN(1+($D$10/$C$10)^2)))</f>
        <v/>
      </c>
      <c r="S1887" s="14">
        <f>SUM(M1887:R1887)</f>
        <v/>
      </c>
      <c r="AA1887">
        <f>RAND()</f>
        <v/>
      </c>
      <c r="AB1887">
        <f>RAND()</f>
        <v/>
      </c>
      <c r="AC1887">
        <f>RAND()</f>
        <v/>
      </c>
      <c r="AD1887">
        <f>RAND()</f>
        <v/>
      </c>
      <c r="AE1887">
        <f>RAND()</f>
        <v/>
      </c>
      <c r="AF1887">
        <f>RAND()</f>
        <v/>
      </c>
    </row>
    <row r="1888">
      <c r="M1888" s="14">
        <f>_xlfn.BETA.INV($AA1888,1+4*($D$5-$C$5)/($E$5-$C$5),1+4*($E$5-$D$5)/($E$5-$C$5),$C$5,$E$5)</f>
        <v/>
      </c>
      <c r="N1888" s="14">
        <f>IF($AB1888&lt;($D$6-$C$6)/($E$6-$C$6),$C$6+SQRT($AB1888*($E$6-$C$6)*($D$6-$C$6)),$E$6-SQRT((1-$AB1888)*($E$6-$C$6)*($E$6-$D$6)))</f>
        <v/>
      </c>
      <c r="O1888" s="14">
        <f>_xlfn.NORM.INV($AC1888,$C$7,$D$7)</f>
        <v/>
      </c>
      <c r="P1888" s="14">
        <f>$C$8+($D$8-$C$8)*$AD1888</f>
        <v/>
      </c>
      <c r="Q1888" s="14">
        <f>$C$9</f>
        <v/>
      </c>
      <c r="R1888" s="14">
        <f>_xlfn.LOGNORM.INV($AF1888,LN($C$10)-0.5*LN(1+($D$10/$C$10)^2),SQRT(LN(1+($D$10/$C$10)^2)))</f>
        <v/>
      </c>
      <c r="S1888" s="14">
        <f>SUM(M1888:R1888)</f>
        <v/>
      </c>
      <c r="AA1888">
        <f>RAND()</f>
        <v/>
      </c>
      <c r="AB1888">
        <f>RAND()</f>
        <v/>
      </c>
      <c r="AC1888">
        <f>RAND()</f>
        <v/>
      </c>
      <c r="AD1888">
        <f>RAND()</f>
        <v/>
      </c>
      <c r="AE1888">
        <f>RAND()</f>
        <v/>
      </c>
      <c r="AF1888">
        <f>RAND()</f>
        <v/>
      </c>
    </row>
    <row r="1889">
      <c r="M1889" s="14">
        <f>_xlfn.BETA.INV($AA1889,1+4*($D$5-$C$5)/($E$5-$C$5),1+4*($E$5-$D$5)/($E$5-$C$5),$C$5,$E$5)</f>
        <v/>
      </c>
      <c r="N1889" s="14">
        <f>IF($AB1889&lt;($D$6-$C$6)/($E$6-$C$6),$C$6+SQRT($AB1889*($E$6-$C$6)*($D$6-$C$6)),$E$6-SQRT((1-$AB1889)*($E$6-$C$6)*($E$6-$D$6)))</f>
        <v/>
      </c>
      <c r="O1889" s="14">
        <f>_xlfn.NORM.INV($AC1889,$C$7,$D$7)</f>
        <v/>
      </c>
      <c r="P1889" s="14">
        <f>$C$8+($D$8-$C$8)*$AD1889</f>
        <v/>
      </c>
      <c r="Q1889" s="14">
        <f>$C$9</f>
        <v/>
      </c>
      <c r="R1889" s="14">
        <f>_xlfn.LOGNORM.INV($AF1889,LN($C$10)-0.5*LN(1+($D$10/$C$10)^2),SQRT(LN(1+($D$10/$C$10)^2)))</f>
        <v/>
      </c>
      <c r="S1889" s="14">
        <f>SUM(M1889:R1889)</f>
        <v/>
      </c>
      <c r="AA1889">
        <f>RAND()</f>
        <v/>
      </c>
      <c r="AB1889">
        <f>RAND()</f>
        <v/>
      </c>
      <c r="AC1889">
        <f>RAND()</f>
        <v/>
      </c>
      <c r="AD1889">
        <f>RAND()</f>
        <v/>
      </c>
      <c r="AE1889">
        <f>RAND()</f>
        <v/>
      </c>
      <c r="AF1889">
        <f>RAND()</f>
        <v/>
      </c>
    </row>
    <row r="1890">
      <c r="M1890" s="14">
        <f>_xlfn.BETA.INV($AA1890,1+4*($D$5-$C$5)/($E$5-$C$5),1+4*($E$5-$D$5)/($E$5-$C$5),$C$5,$E$5)</f>
        <v/>
      </c>
      <c r="N1890" s="14">
        <f>IF($AB1890&lt;($D$6-$C$6)/($E$6-$C$6),$C$6+SQRT($AB1890*($E$6-$C$6)*($D$6-$C$6)),$E$6-SQRT((1-$AB1890)*($E$6-$C$6)*($E$6-$D$6)))</f>
        <v/>
      </c>
      <c r="O1890" s="14">
        <f>_xlfn.NORM.INV($AC1890,$C$7,$D$7)</f>
        <v/>
      </c>
      <c r="P1890" s="14">
        <f>$C$8+($D$8-$C$8)*$AD1890</f>
        <v/>
      </c>
      <c r="Q1890" s="14">
        <f>$C$9</f>
        <v/>
      </c>
      <c r="R1890" s="14">
        <f>_xlfn.LOGNORM.INV($AF1890,LN($C$10)-0.5*LN(1+($D$10/$C$10)^2),SQRT(LN(1+($D$10/$C$10)^2)))</f>
        <v/>
      </c>
      <c r="S1890" s="14">
        <f>SUM(M1890:R1890)</f>
        <v/>
      </c>
      <c r="AA1890">
        <f>RAND()</f>
        <v/>
      </c>
      <c r="AB1890">
        <f>RAND()</f>
        <v/>
      </c>
      <c r="AC1890">
        <f>RAND()</f>
        <v/>
      </c>
      <c r="AD1890">
        <f>RAND()</f>
        <v/>
      </c>
      <c r="AE1890">
        <f>RAND()</f>
        <v/>
      </c>
      <c r="AF1890">
        <f>RAND()</f>
        <v/>
      </c>
    </row>
    <row r="1891">
      <c r="M1891" s="14">
        <f>_xlfn.BETA.INV($AA1891,1+4*($D$5-$C$5)/($E$5-$C$5),1+4*($E$5-$D$5)/($E$5-$C$5),$C$5,$E$5)</f>
        <v/>
      </c>
      <c r="N1891" s="14">
        <f>IF($AB1891&lt;($D$6-$C$6)/($E$6-$C$6),$C$6+SQRT($AB1891*($E$6-$C$6)*($D$6-$C$6)),$E$6-SQRT((1-$AB1891)*($E$6-$C$6)*($E$6-$D$6)))</f>
        <v/>
      </c>
      <c r="O1891" s="14">
        <f>_xlfn.NORM.INV($AC1891,$C$7,$D$7)</f>
        <v/>
      </c>
      <c r="P1891" s="14">
        <f>$C$8+($D$8-$C$8)*$AD1891</f>
        <v/>
      </c>
      <c r="Q1891" s="14">
        <f>$C$9</f>
        <v/>
      </c>
      <c r="R1891" s="14">
        <f>_xlfn.LOGNORM.INV($AF1891,LN($C$10)-0.5*LN(1+($D$10/$C$10)^2),SQRT(LN(1+($D$10/$C$10)^2)))</f>
        <v/>
      </c>
      <c r="S1891" s="14">
        <f>SUM(M1891:R1891)</f>
        <v/>
      </c>
      <c r="AA1891">
        <f>RAND()</f>
        <v/>
      </c>
      <c r="AB1891">
        <f>RAND()</f>
        <v/>
      </c>
      <c r="AC1891">
        <f>RAND()</f>
        <v/>
      </c>
      <c r="AD1891">
        <f>RAND()</f>
        <v/>
      </c>
      <c r="AE1891">
        <f>RAND()</f>
        <v/>
      </c>
      <c r="AF1891">
        <f>RAND()</f>
        <v/>
      </c>
    </row>
    <row r="1892">
      <c r="M1892" s="14">
        <f>_xlfn.BETA.INV($AA1892,1+4*($D$5-$C$5)/($E$5-$C$5),1+4*($E$5-$D$5)/($E$5-$C$5),$C$5,$E$5)</f>
        <v/>
      </c>
      <c r="N1892" s="14">
        <f>IF($AB1892&lt;($D$6-$C$6)/($E$6-$C$6),$C$6+SQRT($AB1892*($E$6-$C$6)*($D$6-$C$6)),$E$6-SQRT((1-$AB1892)*($E$6-$C$6)*($E$6-$D$6)))</f>
        <v/>
      </c>
      <c r="O1892" s="14">
        <f>_xlfn.NORM.INV($AC1892,$C$7,$D$7)</f>
        <v/>
      </c>
      <c r="P1892" s="14">
        <f>$C$8+($D$8-$C$8)*$AD1892</f>
        <v/>
      </c>
      <c r="Q1892" s="14">
        <f>$C$9</f>
        <v/>
      </c>
      <c r="R1892" s="14">
        <f>_xlfn.LOGNORM.INV($AF1892,LN($C$10)-0.5*LN(1+($D$10/$C$10)^2),SQRT(LN(1+($D$10/$C$10)^2)))</f>
        <v/>
      </c>
      <c r="S1892" s="14">
        <f>SUM(M1892:R1892)</f>
        <v/>
      </c>
      <c r="AA1892">
        <f>RAND()</f>
        <v/>
      </c>
      <c r="AB1892">
        <f>RAND()</f>
        <v/>
      </c>
      <c r="AC1892">
        <f>RAND()</f>
        <v/>
      </c>
      <c r="AD1892">
        <f>RAND()</f>
        <v/>
      </c>
      <c r="AE1892">
        <f>RAND()</f>
        <v/>
      </c>
      <c r="AF1892">
        <f>RAND()</f>
        <v/>
      </c>
    </row>
    <row r="1893">
      <c r="M1893" s="14">
        <f>_xlfn.BETA.INV($AA1893,1+4*($D$5-$C$5)/($E$5-$C$5),1+4*($E$5-$D$5)/($E$5-$C$5),$C$5,$E$5)</f>
        <v/>
      </c>
      <c r="N1893" s="14">
        <f>IF($AB1893&lt;($D$6-$C$6)/($E$6-$C$6),$C$6+SQRT($AB1893*($E$6-$C$6)*($D$6-$C$6)),$E$6-SQRT((1-$AB1893)*($E$6-$C$6)*($E$6-$D$6)))</f>
        <v/>
      </c>
      <c r="O1893" s="14">
        <f>_xlfn.NORM.INV($AC1893,$C$7,$D$7)</f>
        <v/>
      </c>
      <c r="P1893" s="14">
        <f>$C$8+($D$8-$C$8)*$AD1893</f>
        <v/>
      </c>
      <c r="Q1893" s="14">
        <f>$C$9</f>
        <v/>
      </c>
      <c r="R1893" s="14">
        <f>_xlfn.LOGNORM.INV($AF1893,LN($C$10)-0.5*LN(1+($D$10/$C$10)^2),SQRT(LN(1+($D$10/$C$10)^2)))</f>
        <v/>
      </c>
      <c r="S1893" s="14">
        <f>SUM(M1893:R1893)</f>
        <v/>
      </c>
      <c r="AA1893">
        <f>RAND()</f>
        <v/>
      </c>
      <c r="AB1893">
        <f>RAND()</f>
        <v/>
      </c>
      <c r="AC1893">
        <f>RAND()</f>
        <v/>
      </c>
      <c r="AD1893">
        <f>RAND()</f>
        <v/>
      </c>
      <c r="AE1893">
        <f>RAND()</f>
        <v/>
      </c>
      <c r="AF1893">
        <f>RAND()</f>
        <v/>
      </c>
    </row>
    <row r="1894">
      <c r="M1894" s="14">
        <f>_xlfn.BETA.INV($AA1894,1+4*($D$5-$C$5)/($E$5-$C$5),1+4*($E$5-$D$5)/($E$5-$C$5),$C$5,$E$5)</f>
        <v/>
      </c>
      <c r="N1894" s="14">
        <f>IF($AB1894&lt;($D$6-$C$6)/($E$6-$C$6),$C$6+SQRT($AB1894*($E$6-$C$6)*($D$6-$C$6)),$E$6-SQRT((1-$AB1894)*($E$6-$C$6)*($E$6-$D$6)))</f>
        <v/>
      </c>
      <c r="O1894" s="14">
        <f>_xlfn.NORM.INV($AC1894,$C$7,$D$7)</f>
        <v/>
      </c>
      <c r="P1894" s="14">
        <f>$C$8+($D$8-$C$8)*$AD1894</f>
        <v/>
      </c>
      <c r="Q1894" s="14">
        <f>$C$9</f>
        <v/>
      </c>
      <c r="R1894" s="14">
        <f>_xlfn.LOGNORM.INV($AF1894,LN($C$10)-0.5*LN(1+($D$10/$C$10)^2),SQRT(LN(1+($D$10/$C$10)^2)))</f>
        <v/>
      </c>
      <c r="S1894" s="14">
        <f>SUM(M1894:R1894)</f>
        <v/>
      </c>
      <c r="AA1894">
        <f>RAND()</f>
        <v/>
      </c>
      <c r="AB1894">
        <f>RAND()</f>
        <v/>
      </c>
      <c r="AC1894">
        <f>RAND()</f>
        <v/>
      </c>
      <c r="AD1894">
        <f>RAND()</f>
        <v/>
      </c>
      <c r="AE1894">
        <f>RAND()</f>
        <v/>
      </c>
      <c r="AF1894">
        <f>RAND()</f>
        <v/>
      </c>
    </row>
    <row r="1895">
      <c r="M1895" s="14">
        <f>_xlfn.BETA.INV($AA1895,1+4*($D$5-$C$5)/($E$5-$C$5),1+4*($E$5-$D$5)/($E$5-$C$5),$C$5,$E$5)</f>
        <v/>
      </c>
      <c r="N1895" s="14">
        <f>IF($AB1895&lt;($D$6-$C$6)/($E$6-$C$6),$C$6+SQRT($AB1895*($E$6-$C$6)*($D$6-$C$6)),$E$6-SQRT((1-$AB1895)*($E$6-$C$6)*($E$6-$D$6)))</f>
        <v/>
      </c>
      <c r="O1895" s="14">
        <f>_xlfn.NORM.INV($AC1895,$C$7,$D$7)</f>
        <v/>
      </c>
      <c r="P1895" s="14">
        <f>$C$8+($D$8-$C$8)*$AD1895</f>
        <v/>
      </c>
      <c r="Q1895" s="14">
        <f>$C$9</f>
        <v/>
      </c>
      <c r="R1895" s="14">
        <f>_xlfn.LOGNORM.INV($AF1895,LN($C$10)-0.5*LN(1+($D$10/$C$10)^2),SQRT(LN(1+($D$10/$C$10)^2)))</f>
        <v/>
      </c>
      <c r="S1895" s="14">
        <f>SUM(M1895:R1895)</f>
        <v/>
      </c>
      <c r="AA1895">
        <f>RAND()</f>
        <v/>
      </c>
      <c r="AB1895">
        <f>RAND()</f>
        <v/>
      </c>
      <c r="AC1895">
        <f>RAND()</f>
        <v/>
      </c>
      <c r="AD1895">
        <f>RAND()</f>
        <v/>
      </c>
      <c r="AE1895">
        <f>RAND()</f>
        <v/>
      </c>
      <c r="AF1895">
        <f>RAND()</f>
        <v/>
      </c>
    </row>
    <row r="1896">
      <c r="M1896" s="14">
        <f>_xlfn.BETA.INV($AA1896,1+4*($D$5-$C$5)/($E$5-$C$5),1+4*($E$5-$D$5)/($E$5-$C$5),$C$5,$E$5)</f>
        <v/>
      </c>
      <c r="N1896" s="14">
        <f>IF($AB1896&lt;($D$6-$C$6)/($E$6-$C$6),$C$6+SQRT($AB1896*($E$6-$C$6)*($D$6-$C$6)),$E$6-SQRT((1-$AB1896)*($E$6-$C$6)*($E$6-$D$6)))</f>
        <v/>
      </c>
      <c r="O1896" s="14">
        <f>_xlfn.NORM.INV($AC1896,$C$7,$D$7)</f>
        <v/>
      </c>
      <c r="P1896" s="14">
        <f>$C$8+($D$8-$C$8)*$AD1896</f>
        <v/>
      </c>
      <c r="Q1896" s="14">
        <f>$C$9</f>
        <v/>
      </c>
      <c r="R1896" s="14">
        <f>_xlfn.LOGNORM.INV($AF1896,LN($C$10)-0.5*LN(1+($D$10/$C$10)^2),SQRT(LN(1+($D$10/$C$10)^2)))</f>
        <v/>
      </c>
      <c r="S1896" s="14">
        <f>SUM(M1896:R1896)</f>
        <v/>
      </c>
      <c r="AA1896">
        <f>RAND()</f>
        <v/>
      </c>
      <c r="AB1896">
        <f>RAND()</f>
        <v/>
      </c>
      <c r="AC1896">
        <f>RAND()</f>
        <v/>
      </c>
      <c r="AD1896">
        <f>RAND()</f>
        <v/>
      </c>
      <c r="AE1896">
        <f>RAND()</f>
        <v/>
      </c>
      <c r="AF1896">
        <f>RAND()</f>
        <v/>
      </c>
    </row>
    <row r="1897">
      <c r="M1897" s="14">
        <f>_xlfn.BETA.INV($AA1897,1+4*($D$5-$C$5)/($E$5-$C$5),1+4*($E$5-$D$5)/($E$5-$C$5),$C$5,$E$5)</f>
        <v/>
      </c>
      <c r="N1897" s="14">
        <f>IF($AB1897&lt;($D$6-$C$6)/($E$6-$C$6),$C$6+SQRT($AB1897*($E$6-$C$6)*($D$6-$C$6)),$E$6-SQRT((1-$AB1897)*($E$6-$C$6)*($E$6-$D$6)))</f>
        <v/>
      </c>
      <c r="O1897" s="14">
        <f>_xlfn.NORM.INV($AC1897,$C$7,$D$7)</f>
        <v/>
      </c>
      <c r="P1897" s="14">
        <f>$C$8+($D$8-$C$8)*$AD1897</f>
        <v/>
      </c>
      <c r="Q1897" s="14">
        <f>$C$9</f>
        <v/>
      </c>
      <c r="R1897" s="14">
        <f>_xlfn.LOGNORM.INV($AF1897,LN($C$10)-0.5*LN(1+($D$10/$C$10)^2),SQRT(LN(1+($D$10/$C$10)^2)))</f>
        <v/>
      </c>
      <c r="S1897" s="14">
        <f>SUM(M1897:R1897)</f>
        <v/>
      </c>
      <c r="AA1897">
        <f>RAND()</f>
        <v/>
      </c>
      <c r="AB1897">
        <f>RAND()</f>
        <v/>
      </c>
      <c r="AC1897">
        <f>RAND()</f>
        <v/>
      </c>
      <c r="AD1897">
        <f>RAND()</f>
        <v/>
      </c>
      <c r="AE1897">
        <f>RAND()</f>
        <v/>
      </c>
      <c r="AF1897">
        <f>RAND()</f>
        <v/>
      </c>
    </row>
    <row r="1898">
      <c r="M1898" s="14">
        <f>_xlfn.BETA.INV($AA1898,1+4*($D$5-$C$5)/($E$5-$C$5),1+4*($E$5-$D$5)/($E$5-$C$5),$C$5,$E$5)</f>
        <v/>
      </c>
      <c r="N1898" s="14">
        <f>IF($AB1898&lt;($D$6-$C$6)/($E$6-$C$6),$C$6+SQRT($AB1898*($E$6-$C$6)*($D$6-$C$6)),$E$6-SQRT((1-$AB1898)*($E$6-$C$6)*($E$6-$D$6)))</f>
        <v/>
      </c>
      <c r="O1898" s="14">
        <f>_xlfn.NORM.INV($AC1898,$C$7,$D$7)</f>
        <v/>
      </c>
      <c r="P1898" s="14">
        <f>$C$8+($D$8-$C$8)*$AD1898</f>
        <v/>
      </c>
      <c r="Q1898" s="14">
        <f>$C$9</f>
        <v/>
      </c>
      <c r="R1898" s="14">
        <f>_xlfn.LOGNORM.INV($AF1898,LN($C$10)-0.5*LN(1+($D$10/$C$10)^2),SQRT(LN(1+($D$10/$C$10)^2)))</f>
        <v/>
      </c>
      <c r="S1898" s="14">
        <f>SUM(M1898:R1898)</f>
        <v/>
      </c>
      <c r="AA1898">
        <f>RAND()</f>
        <v/>
      </c>
      <c r="AB1898">
        <f>RAND()</f>
        <v/>
      </c>
      <c r="AC1898">
        <f>RAND()</f>
        <v/>
      </c>
      <c r="AD1898">
        <f>RAND()</f>
        <v/>
      </c>
      <c r="AE1898">
        <f>RAND()</f>
        <v/>
      </c>
      <c r="AF1898">
        <f>RAND()</f>
        <v/>
      </c>
    </row>
    <row r="1899">
      <c r="M1899" s="14">
        <f>_xlfn.BETA.INV($AA1899,1+4*($D$5-$C$5)/($E$5-$C$5),1+4*($E$5-$D$5)/($E$5-$C$5),$C$5,$E$5)</f>
        <v/>
      </c>
      <c r="N1899" s="14">
        <f>IF($AB1899&lt;($D$6-$C$6)/($E$6-$C$6),$C$6+SQRT($AB1899*($E$6-$C$6)*($D$6-$C$6)),$E$6-SQRT((1-$AB1899)*($E$6-$C$6)*($E$6-$D$6)))</f>
        <v/>
      </c>
      <c r="O1899" s="14">
        <f>_xlfn.NORM.INV($AC1899,$C$7,$D$7)</f>
        <v/>
      </c>
      <c r="P1899" s="14">
        <f>$C$8+($D$8-$C$8)*$AD1899</f>
        <v/>
      </c>
      <c r="Q1899" s="14">
        <f>$C$9</f>
        <v/>
      </c>
      <c r="R1899" s="14">
        <f>_xlfn.LOGNORM.INV($AF1899,LN($C$10)-0.5*LN(1+($D$10/$C$10)^2),SQRT(LN(1+($D$10/$C$10)^2)))</f>
        <v/>
      </c>
      <c r="S1899" s="14">
        <f>SUM(M1899:R1899)</f>
        <v/>
      </c>
      <c r="AA1899">
        <f>RAND()</f>
        <v/>
      </c>
      <c r="AB1899">
        <f>RAND()</f>
        <v/>
      </c>
      <c r="AC1899">
        <f>RAND()</f>
        <v/>
      </c>
      <c r="AD1899">
        <f>RAND()</f>
        <v/>
      </c>
      <c r="AE1899">
        <f>RAND()</f>
        <v/>
      </c>
      <c r="AF1899">
        <f>RAND()</f>
        <v/>
      </c>
    </row>
    <row r="1900">
      <c r="M1900" s="14">
        <f>_xlfn.BETA.INV($AA1900,1+4*($D$5-$C$5)/($E$5-$C$5),1+4*($E$5-$D$5)/($E$5-$C$5),$C$5,$E$5)</f>
        <v/>
      </c>
      <c r="N1900" s="14">
        <f>IF($AB1900&lt;($D$6-$C$6)/($E$6-$C$6),$C$6+SQRT($AB1900*($E$6-$C$6)*($D$6-$C$6)),$E$6-SQRT((1-$AB1900)*($E$6-$C$6)*($E$6-$D$6)))</f>
        <v/>
      </c>
      <c r="O1900" s="14">
        <f>_xlfn.NORM.INV($AC1900,$C$7,$D$7)</f>
        <v/>
      </c>
      <c r="P1900" s="14">
        <f>$C$8+($D$8-$C$8)*$AD1900</f>
        <v/>
      </c>
      <c r="Q1900" s="14">
        <f>$C$9</f>
        <v/>
      </c>
      <c r="R1900" s="14">
        <f>_xlfn.LOGNORM.INV($AF1900,LN($C$10)-0.5*LN(1+($D$10/$C$10)^2),SQRT(LN(1+($D$10/$C$10)^2)))</f>
        <v/>
      </c>
      <c r="S1900" s="14">
        <f>SUM(M1900:R1900)</f>
        <v/>
      </c>
      <c r="AA1900">
        <f>RAND()</f>
        <v/>
      </c>
      <c r="AB1900">
        <f>RAND()</f>
        <v/>
      </c>
      <c r="AC1900">
        <f>RAND()</f>
        <v/>
      </c>
      <c r="AD1900">
        <f>RAND()</f>
        <v/>
      </c>
      <c r="AE1900">
        <f>RAND()</f>
        <v/>
      </c>
      <c r="AF1900">
        <f>RAND()</f>
        <v/>
      </c>
    </row>
    <row r="1901">
      <c r="M1901" s="14">
        <f>_xlfn.BETA.INV($AA1901,1+4*($D$5-$C$5)/($E$5-$C$5),1+4*($E$5-$D$5)/($E$5-$C$5),$C$5,$E$5)</f>
        <v/>
      </c>
      <c r="N1901" s="14">
        <f>IF($AB1901&lt;($D$6-$C$6)/($E$6-$C$6),$C$6+SQRT($AB1901*($E$6-$C$6)*($D$6-$C$6)),$E$6-SQRT((1-$AB1901)*($E$6-$C$6)*($E$6-$D$6)))</f>
        <v/>
      </c>
      <c r="O1901" s="14">
        <f>_xlfn.NORM.INV($AC1901,$C$7,$D$7)</f>
        <v/>
      </c>
      <c r="P1901" s="14">
        <f>$C$8+($D$8-$C$8)*$AD1901</f>
        <v/>
      </c>
      <c r="Q1901" s="14">
        <f>$C$9</f>
        <v/>
      </c>
      <c r="R1901" s="14">
        <f>_xlfn.LOGNORM.INV($AF1901,LN($C$10)-0.5*LN(1+($D$10/$C$10)^2),SQRT(LN(1+($D$10/$C$10)^2)))</f>
        <v/>
      </c>
      <c r="S1901" s="14">
        <f>SUM(M1901:R1901)</f>
        <v/>
      </c>
      <c r="AA1901">
        <f>RAND()</f>
        <v/>
      </c>
      <c r="AB1901">
        <f>RAND()</f>
        <v/>
      </c>
      <c r="AC1901">
        <f>RAND()</f>
        <v/>
      </c>
      <c r="AD1901">
        <f>RAND()</f>
        <v/>
      </c>
      <c r="AE1901">
        <f>RAND()</f>
        <v/>
      </c>
      <c r="AF1901">
        <f>RAND()</f>
        <v/>
      </c>
    </row>
    <row r="1902">
      <c r="M1902" s="14">
        <f>_xlfn.BETA.INV($AA1902,1+4*($D$5-$C$5)/($E$5-$C$5),1+4*($E$5-$D$5)/($E$5-$C$5),$C$5,$E$5)</f>
        <v/>
      </c>
      <c r="N1902" s="14">
        <f>IF($AB1902&lt;($D$6-$C$6)/($E$6-$C$6),$C$6+SQRT($AB1902*($E$6-$C$6)*($D$6-$C$6)),$E$6-SQRT((1-$AB1902)*($E$6-$C$6)*($E$6-$D$6)))</f>
        <v/>
      </c>
      <c r="O1902" s="14">
        <f>_xlfn.NORM.INV($AC1902,$C$7,$D$7)</f>
        <v/>
      </c>
      <c r="P1902" s="14">
        <f>$C$8+($D$8-$C$8)*$AD1902</f>
        <v/>
      </c>
      <c r="Q1902" s="14">
        <f>$C$9</f>
        <v/>
      </c>
      <c r="R1902" s="14">
        <f>_xlfn.LOGNORM.INV($AF1902,LN($C$10)-0.5*LN(1+($D$10/$C$10)^2),SQRT(LN(1+($D$10/$C$10)^2)))</f>
        <v/>
      </c>
      <c r="S1902" s="14">
        <f>SUM(M1902:R1902)</f>
        <v/>
      </c>
      <c r="AA1902">
        <f>RAND()</f>
        <v/>
      </c>
      <c r="AB1902">
        <f>RAND()</f>
        <v/>
      </c>
      <c r="AC1902">
        <f>RAND()</f>
        <v/>
      </c>
      <c r="AD1902">
        <f>RAND()</f>
        <v/>
      </c>
      <c r="AE1902">
        <f>RAND()</f>
        <v/>
      </c>
      <c r="AF1902">
        <f>RAND()</f>
        <v/>
      </c>
    </row>
    <row r="1903">
      <c r="M1903" s="14">
        <f>_xlfn.BETA.INV($AA1903,1+4*($D$5-$C$5)/($E$5-$C$5),1+4*($E$5-$D$5)/($E$5-$C$5),$C$5,$E$5)</f>
        <v/>
      </c>
      <c r="N1903" s="14">
        <f>IF($AB1903&lt;($D$6-$C$6)/($E$6-$C$6),$C$6+SQRT($AB1903*($E$6-$C$6)*($D$6-$C$6)),$E$6-SQRT((1-$AB1903)*($E$6-$C$6)*($E$6-$D$6)))</f>
        <v/>
      </c>
      <c r="O1903" s="14">
        <f>_xlfn.NORM.INV($AC1903,$C$7,$D$7)</f>
        <v/>
      </c>
      <c r="P1903" s="14">
        <f>$C$8+($D$8-$C$8)*$AD1903</f>
        <v/>
      </c>
      <c r="Q1903" s="14">
        <f>$C$9</f>
        <v/>
      </c>
      <c r="R1903" s="14">
        <f>_xlfn.LOGNORM.INV($AF1903,LN($C$10)-0.5*LN(1+($D$10/$C$10)^2),SQRT(LN(1+($D$10/$C$10)^2)))</f>
        <v/>
      </c>
      <c r="S1903" s="14">
        <f>SUM(M1903:R1903)</f>
        <v/>
      </c>
      <c r="AA1903">
        <f>RAND()</f>
        <v/>
      </c>
      <c r="AB1903">
        <f>RAND()</f>
        <v/>
      </c>
      <c r="AC1903">
        <f>RAND()</f>
        <v/>
      </c>
      <c r="AD1903">
        <f>RAND()</f>
        <v/>
      </c>
      <c r="AE1903">
        <f>RAND()</f>
        <v/>
      </c>
      <c r="AF1903">
        <f>RAND()</f>
        <v/>
      </c>
    </row>
    <row r="1904">
      <c r="M1904" s="14">
        <f>_xlfn.BETA.INV($AA1904,1+4*($D$5-$C$5)/($E$5-$C$5),1+4*($E$5-$D$5)/($E$5-$C$5),$C$5,$E$5)</f>
        <v/>
      </c>
      <c r="N1904" s="14">
        <f>IF($AB1904&lt;($D$6-$C$6)/($E$6-$C$6),$C$6+SQRT($AB1904*($E$6-$C$6)*($D$6-$C$6)),$E$6-SQRT((1-$AB1904)*($E$6-$C$6)*($E$6-$D$6)))</f>
        <v/>
      </c>
      <c r="O1904" s="14">
        <f>_xlfn.NORM.INV($AC1904,$C$7,$D$7)</f>
        <v/>
      </c>
      <c r="P1904" s="14">
        <f>$C$8+($D$8-$C$8)*$AD1904</f>
        <v/>
      </c>
      <c r="Q1904" s="14">
        <f>$C$9</f>
        <v/>
      </c>
      <c r="R1904" s="14">
        <f>_xlfn.LOGNORM.INV($AF1904,LN($C$10)-0.5*LN(1+($D$10/$C$10)^2),SQRT(LN(1+($D$10/$C$10)^2)))</f>
        <v/>
      </c>
      <c r="S1904" s="14">
        <f>SUM(M1904:R1904)</f>
        <v/>
      </c>
      <c r="AA1904">
        <f>RAND()</f>
        <v/>
      </c>
      <c r="AB1904">
        <f>RAND()</f>
        <v/>
      </c>
      <c r="AC1904">
        <f>RAND()</f>
        <v/>
      </c>
      <c r="AD1904">
        <f>RAND()</f>
        <v/>
      </c>
      <c r="AE1904">
        <f>RAND()</f>
        <v/>
      </c>
      <c r="AF1904">
        <f>RAND()</f>
        <v/>
      </c>
    </row>
    <row r="1905">
      <c r="M1905" s="14">
        <f>_xlfn.BETA.INV($AA1905,1+4*($D$5-$C$5)/($E$5-$C$5),1+4*($E$5-$D$5)/($E$5-$C$5),$C$5,$E$5)</f>
        <v/>
      </c>
      <c r="N1905" s="14">
        <f>IF($AB1905&lt;($D$6-$C$6)/($E$6-$C$6),$C$6+SQRT($AB1905*($E$6-$C$6)*($D$6-$C$6)),$E$6-SQRT((1-$AB1905)*($E$6-$C$6)*($E$6-$D$6)))</f>
        <v/>
      </c>
      <c r="O1905" s="14">
        <f>_xlfn.NORM.INV($AC1905,$C$7,$D$7)</f>
        <v/>
      </c>
      <c r="P1905" s="14">
        <f>$C$8+($D$8-$C$8)*$AD1905</f>
        <v/>
      </c>
      <c r="Q1905" s="14">
        <f>$C$9</f>
        <v/>
      </c>
      <c r="R1905" s="14">
        <f>_xlfn.LOGNORM.INV($AF1905,LN($C$10)-0.5*LN(1+($D$10/$C$10)^2),SQRT(LN(1+($D$10/$C$10)^2)))</f>
        <v/>
      </c>
      <c r="S1905" s="14">
        <f>SUM(M1905:R1905)</f>
        <v/>
      </c>
      <c r="AA1905">
        <f>RAND()</f>
        <v/>
      </c>
      <c r="AB1905">
        <f>RAND()</f>
        <v/>
      </c>
      <c r="AC1905">
        <f>RAND()</f>
        <v/>
      </c>
      <c r="AD1905">
        <f>RAND()</f>
        <v/>
      </c>
      <c r="AE1905">
        <f>RAND()</f>
        <v/>
      </c>
      <c r="AF1905">
        <f>RAND()</f>
        <v/>
      </c>
    </row>
    <row r="1906">
      <c r="M1906" s="14">
        <f>_xlfn.BETA.INV($AA1906,1+4*($D$5-$C$5)/($E$5-$C$5),1+4*($E$5-$D$5)/($E$5-$C$5),$C$5,$E$5)</f>
        <v/>
      </c>
      <c r="N1906" s="14">
        <f>IF($AB1906&lt;($D$6-$C$6)/($E$6-$C$6),$C$6+SQRT($AB1906*($E$6-$C$6)*($D$6-$C$6)),$E$6-SQRT((1-$AB1906)*($E$6-$C$6)*($E$6-$D$6)))</f>
        <v/>
      </c>
      <c r="O1906" s="14">
        <f>_xlfn.NORM.INV($AC1906,$C$7,$D$7)</f>
        <v/>
      </c>
      <c r="P1906" s="14">
        <f>$C$8+($D$8-$C$8)*$AD1906</f>
        <v/>
      </c>
      <c r="Q1906" s="14">
        <f>$C$9</f>
        <v/>
      </c>
      <c r="R1906" s="14">
        <f>_xlfn.LOGNORM.INV($AF1906,LN($C$10)-0.5*LN(1+($D$10/$C$10)^2),SQRT(LN(1+($D$10/$C$10)^2)))</f>
        <v/>
      </c>
      <c r="S1906" s="14">
        <f>SUM(M1906:R1906)</f>
        <v/>
      </c>
      <c r="AA1906">
        <f>RAND()</f>
        <v/>
      </c>
      <c r="AB1906">
        <f>RAND()</f>
        <v/>
      </c>
      <c r="AC1906">
        <f>RAND()</f>
        <v/>
      </c>
      <c r="AD1906">
        <f>RAND()</f>
        <v/>
      </c>
      <c r="AE1906">
        <f>RAND()</f>
        <v/>
      </c>
      <c r="AF1906">
        <f>RAND()</f>
        <v/>
      </c>
    </row>
    <row r="1907">
      <c r="M1907" s="14">
        <f>_xlfn.BETA.INV($AA1907,1+4*($D$5-$C$5)/($E$5-$C$5),1+4*($E$5-$D$5)/($E$5-$C$5),$C$5,$E$5)</f>
        <v/>
      </c>
      <c r="N1907" s="14">
        <f>IF($AB1907&lt;($D$6-$C$6)/($E$6-$C$6),$C$6+SQRT($AB1907*($E$6-$C$6)*($D$6-$C$6)),$E$6-SQRT((1-$AB1907)*($E$6-$C$6)*($E$6-$D$6)))</f>
        <v/>
      </c>
      <c r="O1907" s="14">
        <f>_xlfn.NORM.INV($AC1907,$C$7,$D$7)</f>
        <v/>
      </c>
      <c r="P1907" s="14">
        <f>$C$8+($D$8-$C$8)*$AD1907</f>
        <v/>
      </c>
      <c r="Q1907" s="14">
        <f>$C$9</f>
        <v/>
      </c>
      <c r="R1907" s="14">
        <f>_xlfn.LOGNORM.INV($AF1907,LN($C$10)-0.5*LN(1+($D$10/$C$10)^2),SQRT(LN(1+($D$10/$C$10)^2)))</f>
        <v/>
      </c>
      <c r="S1907" s="14">
        <f>SUM(M1907:R1907)</f>
        <v/>
      </c>
      <c r="AA1907">
        <f>RAND()</f>
        <v/>
      </c>
      <c r="AB1907">
        <f>RAND()</f>
        <v/>
      </c>
      <c r="AC1907">
        <f>RAND()</f>
        <v/>
      </c>
      <c r="AD1907">
        <f>RAND()</f>
        <v/>
      </c>
      <c r="AE1907">
        <f>RAND()</f>
        <v/>
      </c>
      <c r="AF1907">
        <f>RAND()</f>
        <v/>
      </c>
    </row>
    <row r="1908">
      <c r="M1908" s="14">
        <f>_xlfn.BETA.INV($AA1908,1+4*($D$5-$C$5)/($E$5-$C$5),1+4*($E$5-$D$5)/($E$5-$C$5),$C$5,$E$5)</f>
        <v/>
      </c>
      <c r="N1908" s="14">
        <f>IF($AB1908&lt;($D$6-$C$6)/($E$6-$C$6),$C$6+SQRT($AB1908*($E$6-$C$6)*($D$6-$C$6)),$E$6-SQRT((1-$AB1908)*($E$6-$C$6)*($E$6-$D$6)))</f>
        <v/>
      </c>
      <c r="O1908" s="14">
        <f>_xlfn.NORM.INV($AC1908,$C$7,$D$7)</f>
        <v/>
      </c>
      <c r="P1908" s="14">
        <f>$C$8+($D$8-$C$8)*$AD1908</f>
        <v/>
      </c>
      <c r="Q1908" s="14">
        <f>$C$9</f>
        <v/>
      </c>
      <c r="R1908" s="14">
        <f>_xlfn.LOGNORM.INV($AF1908,LN($C$10)-0.5*LN(1+($D$10/$C$10)^2),SQRT(LN(1+($D$10/$C$10)^2)))</f>
        <v/>
      </c>
      <c r="S1908" s="14">
        <f>SUM(M1908:R1908)</f>
        <v/>
      </c>
      <c r="AA1908">
        <f>RAND()</f>
        <v/>
      </c>
      <c r="AB1908">
        <f>RAND()</f>
        <v/>
      </c>
      <c r="AC1908">
        <f>RAND()</f>
        <v/>
      </c>
      <c r="AD1908">
        <f>RAND()</f>
        <v/>
      </c>
      <c r="AE1908">
        <f>RAND()</f>
        <v/>
      </c>
      <c r="AF1908">
        <f>RAND()</f>
        <v/>
      </c>
    </row>
    <row r="1909">
      <c r="M1909" s="14">
        <f>_xlfn.BETA.INV($AA1909,1+4*($D$5-$C$5)/($E$5-$C$5),1+4*($E$5-$D$5)/($E$5-$C$5),$C$5,$E$5)</f>
        <v/>
      </c>
      <c r="N1909" s="14">
        <f>IF($AB1909&lt;($D$6-$C$6)/($E$6-$C$6),$C$6+SQRT($AB1909*($E$6-$C$6)*($D$6-$C$6)),$E$6-SQRT((1-$AB1909)*($E$6-$C$6)*($E$6-$D$6)))</f>
        <v/>
      </c>
      <c r="O1909" s="14">
        <f>_xlfn.NORM.INV($AC1909,$C$7,$D$7)</f>
        <v/>
      </c>
      <c r="P1909" s="14">
        <f>$C$8+($D$8-$C$8)*$AD1909</f>
        <v/>
      </c>
      <c r="Q1909" s="14">
        <f>$C$9</f>
        <v/>
      </c>
      <c r="R1909" s="14">
        <f>_xlfn.LOGNORM.INV($AF1909,LN($C$10)-0.5*LN(1+($D$10/$C$10)^2),SQRT(LN(1+($D$10/$C$10)^2)))</f>
        <v/>
      </c>
      <c r="S1909" s="14">
        <f>SUM(M1909:R1909)</f>
        <v/>
      </c>
      <c r="AA1909">
        <f>RAND()</f>
        <v/>
      </c>
      <c r="AB1909">
        <f>RAND()</f>
        <v/>
      </c>
      <c r="AC1909">
        <f>RAND()</f>
        <v/>
      </c>
      <c r="AD1909">
        <f>RAND()</f>
        <v/>
      </c>
      <c r="AE1909">
        <f>RAND()</f>
        <v/>
      </c>
      <c r="AF1909">
        <f>RAND()</f>
        <v/>
      </c>
    </row>
    <row r="1910">
      <c r="M1910" s="14">
        <f>_xlfn.BETA.INV($AA1910,1+4*($D$5-$C$5)/($E$5-$C$5),1+4*($E$5-$D$5)/($E$5-$C$5),$C$5,$E$5)</f>
        <v/>
      </c>
      <c r="N1910" s="14">
        <f>IF($AB1910&lt;($D$6-$C$6)/($E$6-$C$6),$C$6+SQRT($AB1910*($E$6-$C$6)*($D$6-$C$6)),$E$6-SQRT((1-$AB1910)*($E$6-$C$6)*($E$6-$D$6)))</f>
        <v/>
      </c>
      <c r="O1910" s="14">
        <f>_xlfn.NORM.INV($AC1910,$C$7,$D$7)</f>
        <v/>
      </c>
      <c r="P1910" s="14">
        <f>$C$8+($D$8-$C$8)*$AD1910</f>
        <v/>
      </c>
      <c r="Q1910" s="14">
        <f>$C$9</f>
        <v/>
      </c>
      <c r="R1910" s="14">
        <f>_xlfn.LOGNORM.INV($AF1910,LN($C$10)-0.5*LN(1+($D$10/$C$10)^2),SQRT(LN(1+($D$10/$C$10)^2)))</f>
        <v/>
      </c>
      <c r="S1910" s="14">
        <f>SUM(M1910:R1910)</f>
        <v/>
      </c>
      <c r="AA1910">
        <f>RAND()</f>
        <v/>
      </c>
      <c r="AB1910">
        <f>RAND()</f>
        <v/>
      </c>
      <c r="AC1910">
        <f>RAND()</f>
        <v/>
      </c>
      <c r="AD1910">
        <f>RAND()</f>
        <v/>
      </c>
      <c r="AE1910">
        <f>RAND()</f>
        <v/>
      </c>
      <c r="AF1910">
        <f>RAND()</f>
        <v/>
      </c>
    </row>
    <row r="1911">
      <c r="M1911" s="14">
        <f>_xlfn.BETA.INV($AA1911,1+4*($D$5-$C$5)/($E$5-$C$5),1+4*($E$5-$D$5)/($E$5-$C$5),$C$5,$E$5)</f>
        <v/>
      </c>
      <c r="N1911" s="14">
        <f>IF($AB1911&lt;($D$6-$C$6)/($E$6-$C$6),$C$6+SQRT($AB1911*($E$6-$C$6)*($D$6-$C$6)),$E$6-SQRT((1-$AB1911)*($E$6-$C$6)*($E$6-$D$6)))</f>
        <v/>
      </c>
      <c r="O1911" s="14">
        <f>_xlfn.NORM.INV($AC1911,$C$7,$D$7)</f>
        <v/>
      </c>
      <c r="P1911" s="14">
        <f>$C$8+($D$8-$C$8)*$AD1911</f>
        <v/>
      </c>
      <c r="Q1911" s="14">
        <f>$C$9</f>
        <v/>
      </c>
      <c r="R1911" s="14">
        <f>_xlfn.LOGNORM.INV($AF1911,LN($C$10)-0.5*LN(1+($D$10/$C$10)^2),SQRT(LN(1+($D$10/$C$10)^2)))</f>
        <v/>
      </c>
      <c r="S1911" s="14">
        <f>SUM(M1911:R1911)</f>
        <v/>
      </c>
      <c r="AA1911">
        <f>RAND()</f>
        <v/>
      </c>
      <c r="AB1911">
        <f>RAND()</f>
        <v/>
      </c>
      <c r="AC1911">
        <f>RAND()</f>
        <v/>
      </c>
      <c r="AD1911">
        <f>RAND()</f>
        <v/>
      </c>
      <c r="AE1911">
        <f>RAND()</f>
        <v/>
      </c>
      <c r="AF1911">
        <f>RAND()</f>
        <v/>
      </c>
    </row>
    <row r="1912">
      <c r="M1912" s="14">
        <f>_xlfn.BETA.INV($AA1912,1+4*($D$5-$C$5)/($E$5-$C$5),1+4*($E$5-$D$5)/($E$5-$C$5),$C$5,$E$5)</f>
        <v/>
      </c>
      <c r="N1912" s="14">
        <f>IF($AB1912&lt;($D$6-$C$6)/($E$6-$C$6),$C$6+SQRT($AB1912*($E$6-$C$6)*($D$6-$C$6)),$E$6-SQRT((1-$AB1912)*($E$6-$C$6)*($E$6-$D$6)))</f>
        <v/>
      </c>
      <c r="O1912" s="14">
        <f>_xlfn.NORM.INV($AC1912,$C$7,$D$7)</f>
        <v/>
      </c>
      <c r="P1912" s="14">
        <f>$C$8+($D$8-$C$8)*$AD1912</f>
        <v/>
      </c>
      <c r="Q1912" s="14">
        <f>$C$9</f>
        <v/>
      </c>
      <c r="R1912" s="14">
        <f>_xlfn.LOGNORM.INV($AF1912,LN($C$10)-0.5*LN(1+($D$10/$C$10)^2),SQRT(LN(1+($D$10/$C$10)^2)))</f>
        <v/>
      </c>
      <c r="S1912" s="14">
        <f>SUM(M1912:R1912)</f>
        <v/>
      </c>
      <c r="AA1912">
        <f>RAND()</f>
        <v/>
      </c>
      <c r="AB1912">
        <f>RAND()</f>
        <v/>
      </c>
      <c r="AC1912">
        <f>RAND()</f>
        <v/>
      </c>
      <c r="AD1912">
        <f>RAND()</f>
        <v/>
      </c>
      <c r="AE1912">
        <f>RAND()</f>
        <v/>
      </c>
      <c r="AF1912">
        <f>RAND()</f>
        <v/>
      </c>
    </row>
    <row r="1913">
      <c r="M1913" s="14">
        <f>_xlfn.BETA.INV($AA1913,1+4*($D$5-$C$5)/($E$5-$C$5),1+4*($E$5-$D$5)/($E$5-$C$5),$C$5,$E$5)</f>
        <v/>
      </c>
      <c r="N1913" s="14">
        <f>IF($AB1913&lt;($D$6-$C$6)/($E$6-$C$6),$C$6+SQRT($AB1913*($E$6-$C$6)*($D$6-$C$6)),$E$6-SQRT((1-$AB1913)*($E$6-$C$6)*($E$6-$D$6)))</f>
        <v/>
      </c>
      <c r="O1913" s="14">
        <f>_xlfn.NORM.INV($AC1913,$C$7,$D$7)</f>
        <v/>
      </c>
      <c r="P1913" s="14">
        <f>$C$8+($D$8-$C$8)*$AD1913</f>
        <v/>
      </c>
      <c r="Q1913" s="14">
        <f>$C$9</f>
        <v/>
      </c>
      <c r="R1913" s="14">
        <f>_xlfn.LOGNORM.INV($AF1913,LN($C$10)-0.5*LN(1+($D$10/$C$10)^2),SQRT(LN(1+($D$10/$C$10)^2)))</f>
        <v/>
      </c>
      <c r="S1913" s="14">
        <f>SUM(M1913:R1913)</f>
        <v/>
      </c>
      <c r="AA1913">
        <f>RAND()</f>
        <v/>
      </c>
      <c r="AB1913">
        <f>RAND()</f>
        <v/>
      </c>
      <c r="AC1913">
        <f>RAND()</f>
        <v/>
      </c>
      <c r="AD1913">
        <f>RAND()</f>
        <v/>
      </c>
      <c r="AE1913">
        <f>RAND()</f>
        <v/>
      </c>
      <c r="AF1913">
        <f>RAND()</f>
        <v/>
      </c>
    </row>
    <row r="1914">
      <c r="M1914" s="14">
        <f>_xlfn.BETA.INV($AA1914,1+4*($D$5-$C$5)/($E$5-$C$5),1+4*($E$5-$D$5)/($E$5-$C$5),$C$5,$E$5)</f>
        <v/>
      </c>
      <c r="N1914" s="14">
        <f>IF($AB1914&lt;($D$6-$C$6)/($E$6-$C$6),$C$6+SQRT($AB1914*($E$6-$C$6)*($D$6-$C$6)),$E$6-SQRT((1-$AB1914)*($E$6-$C$6)*($E$6-$D$6)))</f>
        <v/>
      </c>
      <c r="O1914" s="14">
        <f>_xlfn.NORM.INV($AC1914,$C$7,$D$7)</f>
        <v/>
      </c>
      <c r="P1914" s="14">
        <f>$C$8+($D$8-$C$8)*$AD1914</f>
        <v/>
      </c>
      <c r="Q1914" s="14">
        <f>$C$9</f>
        <v/>
      </c>
      <c r="R1914" s="14">
        <f>_xlfn.LOGNORM.INV($AF1914,LN($C$10)-0.5*LN(1+($D$10/$C$10)^2),SQRT(LN(1+($D$10/$C$10)^2)))</f>
        <v/>
      </c>
      <c r="S1914" s="14">
        <f>SUM(M1914:R1914)</f>
        <v/>
      </c>
      <c r="AA1914">
        <f>RAND()</f>
        <v/>
      </c>
      <c r="AB1914">
        <f>RAND()</f>
        <v/>
      </c>
      <c r="AC1914">
        <f>RAND()</f>
        <v/>
      </c>
      <c r="AD1914">
        <f>RAND()</f>
        <v/>
      </c>
      <c r="AE1914">
        <f>RAND()</f>
        <v/>
      </c>
      <c r="AF1914">
        <f>RAND()</f>
        <v/>
      </c>
    </row>
    <row r="1915">
      <c r="M1915" s="14">
        <f>_xlfn.BETA.INV($AA1915,1+4*($D$5-$C$5)/($E$5-$C$5),1+4*($E$5-$D$5)/($E$5-$C$5),$C$5,$E$5)</f>
        <v/>
      </c>
      <c r="N1915" s="14">
        <f>IF($AB1915&lt;($D$6-$C$6)/($E$6-$C$6),$C$6+SQRT($AB1915*($E$6-$C$6)*($D$6-$C$6)),$E$6-SQRT((1-$AB1915)*($E$6-$C$6)*($E$6-$D$6)))</f>
        <v/>
      </c>
      <c r="O1915" s="14">
        <f>_xlfn.NORM.INV($AC1915,$C$7,$D$7)</f>
        <v/>
      </c>
      <c r="P1915" s="14">
        <f>$C$8+($D$8-$C$8)*$AD1915</f>
        <v/>
      </c>
      <c r="Q1915" s="14">
        <f>$C$9</f>
        <v/>
      </c>
      <c r="R1915" s="14">
        <f>_xlfn.LOGNORM.INV($AF1915,LN($C$10)-0.5*LN(1+($D$10/$C$10)^2),SQRT(LN(1+($D$10/$C$10)^2)))</f>
        <v/>
      </c>
      <c r="S1915" s="14">
        <f>SUM(M1915:R1915)</f>
        <v/>
      </c>
      <c r="AA1915">
        <f>RAND()</f>
        <v/>
      </c>
      <c r="AB1915">
        <f>RAND()</f>
        <v/>
      </c>
      <c r="AC1915">
        <f>RAND()</f>
        <v/>
      </c>
      <c r="AD1915">
        <f>RAND()</f>
        <v/>
      </c>
      <c r="AE1915">
        <f>RAND()</f>
        <v/>
      </c>
      <c r="AF1915">
        <f>RAND()</f>
        <v/>
      </c>
    </row>
    <row r="1916">
      <c r="M1916" s="14">
        <f>_xlfn.BETA.INV($AA1916,1+4*($D$5-$C$5)/($E$5-$C$5),1+4*($E$5-$D$5)/($E$5-$C$5),$C$5,$E$5)</f>
        <v/>
      </c>
      <c r="N1916" s="14">
        <f>IF($AB1916&lt;($D$6-$C$6)/($E$6-$C$6),$C$6+SQRT($AB1916*($E$6-$C$6)*($D$6-$C$6)),$E$6-SQRT((1-$AB1916)*($E$6-$C$6)*($E$6-$D$6)))</f>
        <v/>
      </c>
      <c r="O1916" s="14">
        <f>_xlfn.NORM.INV($AC1916,$C$7,$D$7)</f>
        <v/>
      </c>
      <c r="P1916" s="14">
        <f>$C$8+($D$8-$C$8)*$AD1916</f>
        <v/>
      </c>
      <c r="Q1916" s="14">
        <f>$C$9</f>
        <v/>
      </c>
      <c r="R1916" s="14">
        <f>_xlfn.LOGNORM.INV($AF1916,LN($C$10)-0.5*LN(1+($D$10/$C$10)^2),SQRT(LN(1+($D$10/$C$10)^2)))</f>
        <v/>
      </c>
      <c r="S1916" s="14">
        <f>SUM(M1916:R1916)</f>
        <v/>
      </c>
      <c r="AA1916">
        <f>RAND()</f>
        <v/>
      </c>
      <c r="AB1916">
        <f>RAND()</f>
        <v/>
      </c>
      <c r="AC1916">
        <f>RAND()</f>
        <v/>
      </c>
      <c r="AD1916">
        <f>RAND()</f>
        <v/>
      </c>
      <c r="AE1916">
        <f>RAND()</f>
        <v/>
      </c>
      <c r="AF1916">
        <f>RAND()</f>
        <v/>
      </c>
    </row>
    <row r="1917">
      <c r="M1917" s="14">
        <f>_xlfn.BETA.INV($AA1917,1+4*($D$5-$C$5)/($E$5-$C$5),1+4*($E$5-$D$5)/($E$5-$C$5),$C$5,$E$5)</f>
        <v/>
      </c>
      <c r="N1917" s="14">
        <f>IF($AB1917&lt;($D$6-$C$6)/($E$6-$C$6),$C$6+SQRT($AB1917*($E$6-$C$6)*($D$6-$C$6)),$E$6-SQRT((1-$AB1917)*($E$6-$C$6)*($E$6-$D$6)))</f>
        <v/>
      </c>
      <c r="O1917" s="14">
        <f>_xlfn.NORM.INV($AC1917,$C$7,$D$7)</f>
        <v/>
      </c>
      <c r="P1917" s="14">
        <f>$C$8+($D$8-$C$8)*$AD1917</f>
        <v/>
      </c>
      <c r="Q1917" s="14">
        <f>$C$9</f>
        <v/>
      </c>
      <c r="R1917" s="14">
        <f>_xlfn.LOGNORM.INV($AF1917,LN($C$10)-0.5*LN(1+($D$10/$C$10)^2),SQRT(LN(1+($D$10/$C$10)^2)))</f>
        <v/>
      </c>
      <c r="S1917" s="14">
        <f>SUM(M1917:R1917)</f>
        <v/>
      </c>
      <c r="AA1917">
        <f>RAND()</f>
        <v/>
      </c>
      <c r="AB1917">
        <f>RAND()</f>
        <v/>
      </c>
      <c r="AC1917">
        <f>RAND()</f>
        <v/>
      </c>
      <c r="AD1917">
        <f>RAND()</f>
        <v/>
      </c>
      <c r="AE1917">
        <f>RAND()</f>
        <v/>
      </c>
      <c r="AF1917">
        <f>RAND()</f>
        <v/>
      </c>
    </row>
    <row r="1918">
      <c r="M1918" s="14">
        <f>_xlfn.BETA.INV($AA1918,1+4*($D$5-$C$5)/($E$5-$C$5),1+4*($E$5-$D$5)/($E$5-$C$5),$C$5,$E$5)</f>
        <v/>
      </c>
      <c r="N1918" s="14">
        <f>IF($AB1918&lt;($D$6-$C$6)/($E$6-$C$6),$C$6+SQRT($AB1918*($E$6-$C$6)*($D$6-$C$6)),$E$6-SQRT((1-$AB1918)*($E$6-$C$6)*($E$6-$D$6)))</f>
        <v/>
      </c>
      <c r="O1918" s="14">
        <f>_xlfn.NORM.INV($AC1918,$C$7,$D$7)</f>
        <v/>
      </c>
      <c r="P1918" s="14">
        <f>$C$8+($D$8-$C$8)*$AD1918</f>
        <v/>
      </c>
      <c r="Q1918" s="14">
        <f>$C$9</f>
        <v/>
      </c>
      <c r="R1918" s="14">
        <f>_xlfn.LOGNORM.INV($AF1918,LN($C$10)-0.5*LN(1+($D$10/$C$10)^2),SQRT(LN(1+($D$10/$C$10)^2)))</f>
        <v/>
      </c>
      <c r="S1918" s="14">
        <f>SUM(M1918:R1918)</f>
        <v/>
      </c>
      <c r="AA1918">
        <f>RAND()</f>
        <v/>
      </c>
      <c r="AB1918">
        <f>RAND()</f>
        <v/>
      </c>
      <c r="AC1918">
        <f>RAND()</f>
        <v/>
      </c>
      <c r="AD1918">
        <f>RAND()</f>
        <v/>
      </c>
      <c r="AE1918">
        <f>RAND()</f>
        <v/>
      </c>
      <c r="AF1918">
        <f>RAND()</f>
        <v/>
      </c>
    </row>
    <row r="1919">
      <c r="M1919" s="14">
        <f>_xlfn.BETA.INV($AA1919,1+4*($D$5-$C$5)/($E$5-$C$5),1+4*($E$5-$D$5)/($E$5-$C$5),$C$5,$E$5)</f>
        <v/>
      </c>
      <c r="N1919" s="14">
        <f>IF($AB1919&lt;($D$6-$C$6)/($E$6-$C$6),$C$6+SQRT($AB1919*($E$6-$C$6)*($D$6-$C$6)),$E$6-SQRT((1-$AB1919)*($E$6-$C$6)*($E$6-$D$6)))</f>
        <v/>
      </c>
      <c r="O1919" s="14">
        <f>_xlfn.NORM.INV($AC1919,$C$7,$D$7)</f>
        <v/>
      </c>
      <c r="P1919" s="14">
        <f>$C$8+($D$8-$C$8)*$AD1919</f>
        <v/>
      </c>
      <c r="Q1919" s="14">
        <f>$C$9</f>
        <v/>
      </c>
      <c r="R1919" s="14">
        <f>_xlfn.LOGNORM.INV($AF1919,LN($C$10)-0.5*LN(1+($D$10/$C$10)^2),SQRT(LN(1+($D$10/$C$10)^2)))</f>
        <v/>
      </c>
      <c r="S1919" s="14">
        <f>SUM(M1919:R1919)</f>
        <v/>
      </c>
      <c r="AA1919">
        <f>RAND()</f>
        <v/>
      </c>
      <c r="AB1919">
        <f>RAND()</f>
        <v/>
      </c>
      <c r="AC1919">
        <f>RAND()</f>
        <v/>
      </c>
      <c r="AD1919">
        <f>RAND()</f>
        <v/>
      </c>
      <c r="AE1919">
        <f>RAND()</f>
        <v/>
      </c>
      <c r="AF1919">
        <f>RAND()</f>
        <v/>
      </c>
    </row>
    <row r="1920">
      <c r="M1920" s="14">
        <f>_xlfn.BETA.INV($AA1920,1+4*($D$5-$C$5)/($E$5-$C$5),1+4*($E$5-$D$5)/($E$5-$C$5),$C$5,$E$5)</f>
        <v/>
      </c>
      <c r="N1920" s="14">
        <f>IF($AB1920&lt;($D$6-$C$6)/($E$6-$C$6),$C$6+SQRT($AB1920*($E$6-$C$6)*($D$6-$C$6)),$E$6-SQRT((1-$AB1920)*($E$6-$C$6)*($E$6-$D$6)))</f>
        <v/>
      </c>
      <c r="O1920" s="14">
        <f>_xlfn.NORM.INV($AC1920,$C$7,$D$7)</f>
        <v/>
      </c>
      <c r="P1920" s="14">
        <f>$C$8+($D$8-$C$8)*$AD1920</f>
        <v/>
      </c>
      <c r="Q1920" s="14">
        <f>$C$9</f>
        <v/>
      </c>
      <c r="R1920" s="14">
        <f>_xlfn.LOGNORM.INV($AF1920,LN($C$10)-0.5*LN(1+($D$10/$C$10)^2),SQRT(LN(1+($D$10/$C$10)^2)))</f>
        <v/>
      </c>
      <c r="S1920" s="14">
        <f>SUM(M1920:R1920)</f>
        <v/>
      </c>
      <c r="AA1920">
        <f>RAND()</f>
        <v/>
      </c>
      <c r="AB1920">
        <f>RAND()</f>
        <v/>
      </c>
      <c r="AC1920">
        <f>RAND()</f>
        <v/>
      </c>
      <c r="AD1920">
        <f>RAND()</f>
        <v/>
      </c>
      <c r="AE1920">
        <f>RAND()</f>
        <v/>
      </c>
      <c r="AF1920">
        <f>RAND()</f>
        <v/>
      </c>
    </row>
    <row r="1921">
      <c r="M1921" s="14">
        <f>_xlfn.BETA.INV($AA1921,1+4*($D$5-$C$5)/($E$5-$C$5),1+4*($E$5-$D$5)/($E$5-$C$5),$C$5,$E$5)</f>
        <v/>
      </c>
      <c r="N1921" s="14">
        <f>IF($AB1921&lt;($D$6-$C$6)/($E$6-$C$6),$C$6+SQRT($AB1921*($E$6-$C$6)*($D$6-$C$6)),$E$6-SQRT((1-$AB1921)*($E$6-$C$6)*($E$6-$D$6)))</f>
        <v/>
      </c>
      <c r="O1921" s="14">
        <f>_xlfn.NORM.INV($AC1921,$C$7,$D$7)</f>
        <v/>
      </c>
      <c r="P1921" s="14">
        <f>$C$8+($D$8-$C$8)*$AD1921</f>
        <v/>
      </c>
      <c r="Q1921" s="14">
        <f>$C$9</f>
        <v/>
      </c>
      <c r="R1921" s="14">
        <f>_xlfn.LOGNORM.INV($AF1921,LN($C$10)-0.5*LN(1+($D$10/$C$10)^2),SQRT(LN(1+($D$10/$C$10)^2)))</f>
        <v/>
      </c>
      <c r="S1921" s="14">
        <f>SUM(M1921:R1921)</f>
        <v/>
      </c>
      <c r="AA1921">
        <f>RAND()</f>
        <v/>
      </c>
      <c r="AB1921">
        <f>RAND()</f>
        <v/>
      </c>
      <c r="AC1921">
        <f>RAND()</f>
        <v/>
      </c>
      <c r="AD1921">
        <f>RAND()</f>
        <v/>
      </c>
      <c r="AE1921">
        <f>RAND()</f>
        <v/>
      </c>
      <c r="AF1921">
        <f>RAND()</f>
        <v/>
      </c>
    </row>
    <row r="1922">
      <c r="M1922" s="14">
        <f>_xlfn.BETA.INV($AA1922,1+4*($D$5-$C$5)/($E$5-$C$5),1+4*($E$5-$D$5)/($E$5-$C$5),$C$5,$E$5)</f>
        <v/>
      </c>
      <c r="N1922" s="14">
        <f>IF($AB1922&lt;($D$6-$C$6)/($E$6-$C$6),$C$6+SQRT($AB1922*($E$6-$C$6)*($D$6-$C$6)),$E$6-SQRT((1-$AB1922)*($E$6-$C$6)*($E$6-$D$6)))</f>
        <v/>
      </c>
      <c r="O1922" s="14">
        <f>_xlfn.NORM.INV($AC1922,$C$7,$D$7)</f>
        <v/>
      </c>
      <c r="P1922" s="14">
        <f>$C$8+($D$8-$C$8)*$AD1922</f>
        <v/>
      </c>
      <c r="Q1922" s="14">
        <f>$C$9</f>
        <v/>
      </c>
      <c r="R1922" s="14">
        <f>_xlfn.LOGNORM.INV($AF1922,LN($C$10)-0.5*LN(1+($D$10/$C$10)^2),SQRT(LN(1+($D$10/$C$10)^2)))</f>
        <v/>
      </c>
      <c r="S1922" s="14">
        <f>SUM(M1922:R1922)</f>
        <v/>
      </c>
      <c r="AA1922">
        <f>RAND()</f>
        <v/>
      </c>
      <c r="AB1922">
        <f>RAND()</f>
        <v/>
      </c>
      <c r="AC1922">
        <f>RAND()</f>
        <v/>
      </c>
      <c r="AD1922">
        <f>RAND()</f>
        <v/>
      </c>
      <c r="AE1922">
        <f>RAND()</f>
        <v/>
      </c>
      <c r="AF1922">
        <f>RAND()</f>
        <v/>
      </c>
    </row>
    <row r="1923">
      <c r="M1923" s="14">
        <f>_xlfn.BETA.INV($AA1923,1+4*($D$5-$C$5)/($E$5-$C$5),1+4*($E$5-$D$5)/($E$5-$C$5),$C$5,$E$5)</f>
        <v/>
      </c>
      <c r="N1923" s="14">
        <f>IF($AB1923&lt;($D$6-$C$6)/($E$6-$C$6),$C$6+SQRT($AB1923*($E$6-$C$6)*($D$6-$C$6)),$E$6-SQRT((1-$AB1923)*($E$6-$C$6)*($E$6-$D$6)))</f>
        <v/>
      </c>
      <c r="O1923" s="14">
        <f>_xlfn.NORM.INV($AC1923,$C$7,$D$7)</f>
        <v/>
      </c>
      <c r="P1923" s="14">
        <f>$C$8+($D$8-$C$8)*$AD1923</f>
        <v/>
      </c>
      <c r="Q1923" s="14">
        <f>$C$9</f>
        <v/>
      </c>
      <c r="R1923" s="14">
        <f>_xlfn.LOGNORM.INV($AF1923,LN($C$10)-0.5*LN(1+($D$10/$C$10)^2),SQRT(LN(1+($D$10/$C$10)^2)))</f>
        <v/>
      </c>
      <c r="S1923" s="14">
        <f>SUM(M1923:R1923)</f>
        <v/>
      </c>
      <c r="AA1923">
        <f>RAND()</f>
        <v/>
      </c>
      <c r="AB1923">
        <f>RAND()</f>
        <v/>
      </c>
      <c r="AC1923">
        <f>RAND()</f>
        <v/>
      </c>
      <c r="AD1923">
        <f>RAND()</f>
        <v/>
      </c>
      <c r="AE1923">
        <f>RAND()</f>
        <v/>
      </c>
      <c r="AF1923">
        <f>RAND()</f>
        <v/>
      </c>
    </row>
    <row r="1924">
      <c r="M1924" s="14">
        <f>_xlfn.BETA.INV($AA1924,1+4*($D$5-$C$5)/($E$5-$C$5),1+4*($E$5-$D$5)/($E$5-$C$5),$C$5,$E$5)</f>
        <v/>
      </c>
      <c r="N1924" s="14">
        <f>IF($AB1924&lt;($D$6-$C$6)/($E$6-$C$6),$C$6+SQRT($AB1924*($E$6-$C$6)*($D$6-$C$6)),$E$6-SQRT((1-$AB1924)*($E$6-$C$6)*($E$6-$D$6)))</f>
        <v/>
      </c>
      <c r="O1924" s="14">
        <f>_xlfn.NORM.INV($AC1924,$C$7,$D$7)</f>
        <v/>
      </c>
      <c r="P1924" s="14">
        <f>$C$8+($D$8-$C$8)*$AD1924</f>
        <v/>
      </c>
      <c r="Q1924" s="14">
        <f>$C$9</f>
        <v/>
      </c>
      <c r="R1924" s="14">
        <f>_xlfn.LOGNORM.INV($AF1924,LN($C$10)-0.5*LN(1+($D$10/$C$10)^2),SQRT(LN(1+($D$10/$C$10)^2)))</f>
        <v/>
      </c>
      <c r="S1924" s="14">
        <f>SUM(M1924:R1924)</f>
        <v/>
      </c>
      <c r="AA1924">
        <f>RAND()</f>
        <v/>
      </c>
      <c r="AB1924">
        <f>RAND()</f>
        <v/>
      </c>
      <c r="AC1924">
        <f>RAND()</f>
        <v/>
      </c>
      <c r="AD1924">
        <f>RAND()</f>
        <v/>
      </c>
      <c r="AE1924">
        <f>RAND()</f>
        <v/>
      </c>
      <c r="AF1924">
        <f>RAND()</f>
        <v/>
      </c>
    </row>
    <row r="1925">
      <c r="M1925" s="14">
        <f>_xlfn.BETA.INV($AA1925,1+4*($D$5-$C$5)/($E$5-$C$5),1+4*($E$5-$D$5)/($E$5-$C$5),$C$5,$E$5)</f>
        <v/>
      </c>
      <c r="N1925" s="14">
        <f>IF($AB1925&lt;($D$6-$C$6)/($E$6-$C$6),$C$6+SQRT($AB1925*($E$6-$C$6)*($D$6-$C$6)),$E$6-SQRT((1-$AB1925)*($E$6-$C$6)*($E$6-$D$6)))</f>
        <v/>
      </c>
      <c r="O1925" s="14">
        <f>_xlfn.NORM.INV($AC1925,$C$7,$D$7)</f>
        <v/>
      </c>
      <c r="P1925" s="14">
        <f>$C$8+($D$8-$C$8)*$AD1925</f>
        <v/>
      </c>
      <c r="Q1925" s="14">
        <f>$C$9</f>
        <v/>
      </c>
      <c r="R1925" s="14">
        <f>_xlfn.LOGNORM.INV($AF1925,LN($C$10)-0.5*LN(1+($D$10/$C$10)^2),SQRT(LN(1+($D$10/$C$10)^2)))</f>
        <v/>
      </c>
      <c r="S1925" s="14">
        <f>SUM(M1925:R1925)</f>
        <v/>
      </c>
      <c r="AA1925">
        <f>RAND()</f>
        <v/>
      </c>
      <c r="AB1925">
        <f>RAND()</f>
        <v/>
      </c>
      <c r="AC1925">
        <f>RAND()</f>
        <v/>
      </c>
      <c r="AD1925">
        <f>RAND()</f>
        <v/>
      </c>
      <c r="AE1925">
        <f>RAND()</f>
        <v/>
      </c>
      <c r="AF1925">
        <f>RAND()</f>
        <v/>
      </c>
    </row>
    <row r="1926">
      <c r="M1926" s="14">
        <f>_xlfn.BETA.INV($AA1926,1+4*($D$5-$C$5)/($E$5-$C$5),1+4*($E$5-$D$5)/($E$5-$C$5),$C$5,$E$5)</f>
        <v/>
      </c>
      <c r="N1926" s="14">
        <f>IF($AB1926&lt;($D$6-$C$6)/($E$6-$C$6),$C$6+SQRT($AB1926*($E$6-$C$6)*($D$6-$C$6)),$E$6-SQRT((1-$AB1926)*($E$6-$C$6)*($E$6-$D$6)))</f>
        <v/>
      </c>
      <c r="O1926" s="14">
        <f>_xlfn.NORM.INV($AC1926,$C$7,$D$7)</f>
        <v/>
      </c>
      <c r="P1926" s="14">
        <f>$C$8+($D$8-$C$8)*$AD1926</f>
        <v/>
      </c>
      <c r="Q1926" s="14">
        <f>$C$9</f>
        <v/>
      </c>
      <c r="R1926" s="14">
        <f>_xlfn.LOGNORM.INV($AF1926,LN($C$10)-0.5*LN(1+($D$10/$C$10)^2),SQRT(LN(1+($D$10/$C$10)^2)))</f>
        <v/>
      </c>
      <c r="S1926" s="14">
        <f>SUM(M1926:R1926)</f>
        <v/>
      </c>
      <c r="AA1926">
        <f>RAND()</f>
        <v/>
      </c>
      <c r="AB1926">
        <f>RAND()</f>
        <v/>
      </c>
      <c r="AC1926">
        <f>RAND()</f>
        <v/>
      </c>
      <c r="AD1926">
        <f>RAND()</f>
        <v/>
      </c>
      <c r="AE1926">
        <f>RAND()</f>
        <v/>
      </c>
      <c r="AF1926">
        <f>RAND()</f>
        <v/>
      </c>
    </row>
    <row r="1927">
      <c r="M1927" s="14">
        <f>_xlfn.BETA.INV($AA1927,1+4*($D$5-$C$5)/($E$5-$C$5),1+4*($E$5-$D$5)/($E$5-$C$5),$C$5,$E$5)</f>
        <v/>
      </c>
      <c r="N1927" s="14">
        <f>IF($AB1927&lt;($D$6-$C$6)/($E$6-$C$6),$C$6+SQRT($AB1927*($E$6-$C$6)*($D$6-$C$6)),$E$6-SQRT((1-$AB1927)*($E$6-$C$6)*($E$6-$D$6)))</f>
        <v/>
      </c>
      <c r="O1927" s="14">
        <f>_xlfn.NORM.INV($AC1927,$C$7,$D$7)</f>
        <v/>
      </c>
      <c r="P1927" s="14">
        <f>$C$8+($D$8-$C$8)*$AD1927</f>
        <v/>
      </c>
      <c r="Q1927" s="14">
        <f>$C$9</f>
        <v/>
      </c>
      <c r="R1927" s="14">
        <f>_xlfn.LOGNORM.INV($AF1927,LN($C$10)-0.5*LN(1+($D$10/$C$10)^2),SQRT(LN(1+($D$10/$C$10)^2)))</f>
        <v/>
      </c>
      <c r="S1927" s="14">
        <f>SUM(M1927:R1927)</f>
        <v/>
      </c>
      <c r="AA1927">
        <f>RAND()</f>
        <v/>
      </c>
      <c r="AB1927">
        <f>RAND()</f>
        <v/>
      </c>
      <c r="AC1927">
        <f>RAND()</f>
        <v/>
      </c>
      <c r="AD1927">
        <f>RAND()</f>
        <v/>
      </c>
      <c r="AE1927">
        <f>RAND()</f>
        <v/>
      </c>
      <c r="AF1927">
        <f>RAND()</f>
        <v/>
      </c>
    </row>
    <row r="1928">
      <c r="M1928" s="14">
        <f>_xlfn.BETA.INV($AA1928,1+4*($D$5-$C$5)/($E$5-$C$5),1+4*($E$5-$D$5)/($E$5-$C$5),$C$5,$E$5)</f>
        <v/>
      </c>
      <c r="N1928" s="14">
        <f>IF($AB1928&lt;($D$6-$C$6)/($E$6-$C$6),$C$6+SQRT($AB1928*($E$6-$C$6)*($D$6-$C$6)),$E$6-SQRT((1-$AB1928)*($E$6-$C$6)*($E$6-$D$6)))</f>
        <v/>
      </c>
      <c r="O1928" s="14">
        <f>_xlfn.NORM.INV($AC1928,$C$7,$D$7)</f>
        <v/>
      </c>
      <c r="P1928" s="14">
        <f>$C$8+($D$8-$C$8)*$AD1928</f>
        <v/>
      </c>
      <c r="Q1928" s="14">
        <f>$C$9</f>
        <v/>
      </c>
      <c r="R1928" s="14">
        <f>_xlfn.LOGNORM.INV($AF1928,LN($C$10)-0.5*LN(1+($D$10/$C$10)^2),SQRT(LN(1+($D$10/$C$10)^2)))</f>
        <v/>
      </c>
      <c r="S1928" s="14">
        <f>SUM(M1928:R1928)</f>
        <v/>
      </c>
      <c r="AA1928">
        <f>RAND()</f>
        <v/>
      </c>
      <c r="AB1928">
        <f>RAND()</f>
        <v/>
      </c>
      <c r="AC1928">
        <f>RAND()</f>
        <v/>
      </c>
      <c r="AD1928">
        <f>RAND()</f>
        <v/>
      </c>
      <c r="AE1928">
        <f>RAND()</f>
        <v/>
      </c>
      <c r="AF1928">
        <f>RAND()</f>
        <v/>
      </c>
    </row>
    <row r="1929">
      <c r="M1929" s="14">
        <f>_xlfn.BETA.INV($AA1929,1+4*($D$5-$C$5)/($E$5-$C$5),1+4*($E$5-$D$5)/($E$5-$C$5),$C$5,$E$5)</f>
        <v/>
      </c>
      <c r="N1929" s="14">
        <f>IF($AB1929&lt;($D$6-$C$6)/($E$6-$C$6),$C$6+SQRT($AB1929*($E$6-$C$6)*($D$6-$C$6)),$E$6-SQRT((1-$AB1929)*($E$6-$C$6)*($E$6-$D$6)))</f>
        <v/>
      </c>
      <c r="O1929" s="14">
        <f>_xlfn.NORM.INV($AC1929,$C$7,$D$7)</f>
        <v/>
      </c>
      <c r="P1929" s="14">
        <f>$C$8+($D$8-$C$8)*$AD1929</f>
        <v/>
      </c>
      <c r="Q1929" s="14">
        <f>$C$9</f>
        <v/>
      </c>
      <c r="R1929" s="14">
        <f>_xlfn.LOGNORM.INV($AF1929,LN($C$10)-0.5*LN(1+($D$10/$C$10)^2),SQRT(LN(1+($D$10/$C$10)^2)))</f>
        <v/>
      </c>
      <c r="S1929" s="14">
        <f>SUM(M1929:R1929)</f>
        <v/>
      </c>
      <c r="AA1929">
        <f>RAND()</f>
        <v/>
      </c>
      <c r="AB1929">
        <f>RAND()</f>
        <v/>
      </c>
      <c r="AC1929">
        <f>RAND()</f>
        <v/>
      </c>
      <c r="AD1929">
        <f>RAND()</f>
        <v/>
      </c>
      <c r="AE1929">
        <f>RAND()</f>
        <v/>
      </c>
      <c r="AF1929">
        <f>RAND()</f>
        <v/>
      </c>
    </row>
    <row r="1930">
      <c r="M1930" s="14">
        <f>_xlfn.BETA.INV($AA1930,1+4*($D$5-$C$5)/($E$5-$C$5),1+4*($E$5-$D$5)/($E$5-$C$5),$C$5,$E$5)</f>
        <v/>
      </c>
      <c r="N1930" s="14">
        <f>IF($AB1930&lt;($D$6-$C$6)/($E$6-$C$6),$C$6+SQRT($AB1930*($E$6-$C$6)*($D$6-$C$6)),$E$6-SQRT((1-$AB1930)*($E$6-$C$6)*($E$6-$D$6)))</f>
        <v/>
      </c>
      <c r="O1930" s="14">
        <f>_xlfn.NORM.INV($AC1930,$C$7,$D$7)</f>
        <v/>
      </c>
      <c r="P1930" s="14">
        <f>$C$8+($D$8-$C$8)*$AD1930</f>
        <v/>
      </c>
      <c r="Q1930" s="14">
        <f>$C$9</f>
        <v/>
      </c>
      <c r="R1930" s="14">
        <f>_xlfn.LOGNORM.INV($AF1930,LN($C$10)-0.5*LN(1+($D$10/$C$10)^2),SQRT(LN(1+($D$10/$C$10)^2)))</f>
        <v/>
      </c>
      <c r="S1930" s="14">
        <f>SUM(M1930:R1930)</f>
        <v/>
      </c>
      <c r="AA1930">
        <f>RAND()</f>
        <v/>
      </c>
      <c r="AB1930">
        <f>RAND()</f>
        <v/>
      </c>
      <c r="AC1930">
        <f>RAND()</f>
        <v/>
      </c>
      <c r="AD1930">
        <f>RAND()</f>
        <v/>
      </c>
      <c r="AE1930">
        <f>RAND()</f>
        <v/>
      </c>
      <c r="AF1930">
        <f>RAND()</f>
        <v/>
      </c>
    </row>
    <row r="1931">
      <c r="M1931" s="14">
        <f>_xlfn.BETA.INV($AA1931,1+4*($D$5-$C$5)/($E$5-$C$5),1+4*($E$5-$D$5)/($E$5-$C$5),$C$5,$E$5)</f>
        <v/>
      </c>
      <c r="N1931" s="14">
        <f>IF($AB1931&lt;($D$6-$C$6)/($E$6-$C$6),$C$6+SQRT($AB1931*($E$6-$C$6)*($D$6-$C$6)),$E$6-SQRT((1-$AB1931)*($E$6-$C$6)*($E$6-$D$6)))</f>
        <v/>
      </c>
      <c r="O1931" s="14">
        <f>_xlfn.NORM.INV($AC1931,$C$7,$D$7)</f>
        <v/>
      </c>
      <c r="P1931" s="14">
        <f>$C$8+($D$8-$C$8)*$AD1931</f>
        <v/>
      </c>
      <c r="Q1931" s="14">
        <f>$C$9</f>
        <v/>
      </c>
      <c r="R1931" s="14">
        <f>_xlfn.LOGNORM.INV($AF1931,LN($C$10)-0.5*LN(1+($D$10/$C$10)^2),SQRT(LN(1+($D$10/$C$10)^2)))</f>
        <v/>
      </c>
      <c r="S1931" s="14">
        <f>SUM(M1931:R1931)</f>
        <v/>
      </c>
      <c r="AA1931">
        <f>RAND()</f>
        <v/>
      </c>
      <c r="AB1931">
        <f>RAND()</f>
        <v/>
      </c>
      <c r="AC1931">
        <f>RAND()</f>
        <v/>
      </c>
      <c r="AD1931">
        <f>RAND()</f>
        <v/>
      </c>
      <c r="AE1931">
        <f>RAND()</f>
        <v/>
      </c>
      <c r="AF1931">
        <f>RAND()</f>
        <v/>
      </c>
    </row>
    <row r="1932">
      <c r="M1932" s="14">
        <f>_xlfn.BETA.INV($AA1932,1+4*($D$5-$C$5)/($E$5-$C$5),1+4*($E$5-$D$5)/($E$5-$C$5),$C$5,$E$5)</f>
        <v/>
      </c>
      <c r="N1932" s="14">
        <f>IF($AB1932&lt;($D$6-$C$6)/($E$6-$C$6),$C$6+SQRT($AB1932*($E$6-$C$6)*($D$6-$C$6)),$E$6-SQRT((1-$AB1932)*($E$6-$C$6)*($E$6-$D$6)))</f>
        <v/>
      </c>
      <c r="O1932" s="14">
        <f>_xlfn.NORM.INV($AC1932,$C$7,$D$7)</f>
        <v/>
      </c>
      <c r="P1932" s="14">
        <f>$C$8+($D$8-$C$8)*$AD1932</f>
        <v/>
      </c>
      <c r="Q1932" s="14">
        <f>$C$9</f>
        <v/>
      </c>
      <c r="R1932" s="14">
        <f>_xlfn.LOGNORM.INV($AF1932,LN($C$10)-0.5*LN(1+($D$10/$C$10)^2),SQRT(LN(1+($D$10/$C$10)^2)))</f>
        <v/>
      </c>
      <c r="S1932" s="14">
        <f>SUM(M1932:R1932)</f>
        <v/>
      </c>
      <c r="AA1932">
        <f>RAND()</f>
        <v/>
      </c>
      <c r="AB1932">
        <f>RAND()</f>
        <v/>
      </c>
      <c r="AC1932">
        <f>RAND()</f>
        <v/>
      </c>
      <c r="AD1932">
        <f>RAND()</f>
        <v/>
      </c>
      <c r="AE1932">
        <f>RAND()</f>
        <v/>
      </c>
      <c r="AF1932">
        <f>RAND()</f>
        <v/>
      </c>
    </row>
    <row r="1933">
      <c r="M1933" s="14">
        <f>_xlfn.BETA.INV($AA1933,1+4*($D$5-$C$5)/($E$5-$C$5),1+4*($E$5-$D$5)/($E$5-$C$5),$C$5,$E$5)</f>
        <v/>
      </c>
      <c r="N1933" s="14">
        <f>IF($AB1933&lt;($D$6-$C$6)/($E$6-$C$6),$C$6+SQRT($AB1933*($E$6-$C$6)*($D$6-$C$6)),$E$6-SQRT((1-$AB1933)*($E$6-$C$6)*($E$6-$D$6)))</f>
        <v/>
      </c>
      <c r="O1933" s="14">
        <f>_xlfn.NORM.INV($AC1933,$C$7,$D$7)</f>
        <v/>
      </c>
      <c r="P1933" s="14">
        <f>$C$8+($D$8-$C$8)*$AD1933</f>
        <v/>
      </c>
      <c r="Q1933" s="14">
        <f>$C$9</f>
        <v/>
      </c>
      <c r="R1933" s="14">
        <f>_xlfn.LOGNORM.INV($AF1933,LN($C$10)-0.5*LN(1+($D$10/$C$10)^2),SQRT(LN(1+($D$10/$C$10)^2)))</f>
        <v/>
      </c>
      <c r="S1933" s="14">
        <f>SUM(M1933:R1933)</f>
        <v/>
      </c>
      <c r="AA1933">
        <f>RAND()</f>
        <v/>
      </c>
      <c r="AB1933">
        <f>RAND()</f>
        <v/>
      </c>
      <c r="AC1933">
        <f>RAND()</f>
        <v/>
      </c>
      <c r="AD1933">
        <f>RAND()</f>
        <v/>
      </c>
      <c r="AE1933">
        <f>RAND()</f>
        <v/>
      </c>
      <c r="AF1933">
        <f>RAND()</f>
        <v/>
      </c>
    </row>
    <row r="1934">
      <c r="M1934" s="14">
        <f>_xlfn.BETA.INV($AA1934,1+4*($D$5-$C$5)/($E$5-$C$5),1+4*($E$5-$D$5)/($E$5-$C$5),$C$5,$E$5)</f>
        <v/>
      </c>
      <c r="N1934" s="14">
        <f>IF($AB1934&lt;($D$6-$C$6)/($E$6-$C$6),$C$6+SQRT($AB1934*($E$6-$C$6)*($D$6-$C$6)),$E$6-SQRT((1-$AB1934)*($E$6-$C$6)*($E$6-$D$6)))</f>
        <v/>
      </c>
      <c r="O1934" s="14">
        <f>_xlfn.NORM.INV($AC1934,$C$7,$D$7)</f>
        <v/>
      </c>
      <c r="P1934" s="14">
        <f>$C$8+($D$8-$C$8)*$AD1934</f>
        <v/>
      </c>
      <c r="Q1934" s="14">
        <f>$C$9</f>
        <v/>
      </c>
      <c r="R1934" s="14">
        <f>_xlfn.LOGNORM.INV($AF1934,LN($C$10)-0.5*LN(1+($D$10/$C$10)^2),SQRT(LN(1+($D$10/$C$10)^2)))</f>
        <v/>
      </c>
      <c r="S1934" s="14">
        <f>SUM(M1934:R1934)</f>
        <v/>
      </c>
      <c r="AA1934">
        <f>RAND()</f>
        <v/>
      </c>
      <c r="AB1934">
        <f>RAND()</f>
        <v/>
      </c>
      <c r="AC1934">
        <f>RAND()</f>
        <v/>
      </c>
      <c r="AD1934">
        <f>RAND()</f>
        <v/>
      </c>
      <c r="AE1934">
        <f>RAND()</f>
        <v/>
      </c>
      <c r="AF1934">
        <f>RAND()</f>
        <v/>
      </c>
    </row>
    <row r="1935">
      <c r="M1935" s="14">
        <f>_xlfn.BETA.INV($AA1935,1+4*($D$5-$C$5)/($E$5-$C$5),1+4*($E$5-$D$5)/($E$5-$C$5),$C$5,$E$5)</f>
        <v/>
      </c>
      <c r="N1935" s="14">
        <f>IF($AB1935&lt;($D$6-$C$6)/($E$6-$C$6),$C$6+SQRT($AB1935*($E$6-$C$6)*($D$6-$C$6)),$E$6-SQRT((1-$AB1935)*($E$6-$C$6)*($E$6-$D$6)))</f>
        <v/>
      </c>
      <c r="O1935" s="14">
        <f>_xlfn.NORM.INV($AC1935,$C$7,$D$7)</f>
        <v/>
      </c>
      <c r="P1935" s="14">
        <f>$C$8+($D$8-$C$8)*$AD1935</f>
        <v/>
      </c>
      <c r="Q1935" s="14">
        <f>$C$9</f>
        <v/>
      </c>
      <c r="R1935" s="14">
        <f>_xlfn.LOGNORM.INV($AF1935,LN($C$10)-0.5*LN(1+($D$10/$C$10)^2),SQRT(LN(1+($D$10/$C$10)^2)))</f>
        <v/>
      </c>
      <c r="S1935" s="14">
        <f>SUM(M1935:R1935)</f>
        <v/>
      </c>
      <c r="AA1935">
        <f>RAND()</f>
        <v/>
      </c>
      <c r="AB1935">
        <f>RAND()</f>
        <v/>
      </c>
      <c r="AC1935">
        <f>RAND()</f>
        <v/>
      </c>
      <c r="AD1935">
        <f>RAND()</f>
        <v/>
      </c>
      <c r="AE1935">
        <f>RAND()</f>
        <v/>
      </c>
      <c r="AF1935">
        <f>RAND()</f>
        <v/>
      </c>
    </row>
    <row r="1936">
      <c r="M1936" s="14">
        <f>_xlfn.BETA.INV($AA1936,1+4*($D$5-$C$5)/($E$5-$C$5),1+4*($E$5-$D$5)/($E$5-$C$5),$C$5,$E$5)</f>
        <v/>
      </c>
      <c r="N1936" s="14">
        <f>IF($AB1936&lt;($D$6-$C$6)/($E$6-$C$6),$C$6+SQRT($AB1936*($E$6-$C$6)*($D$6-$C$6)),$E$6-SQRT((1-$AB1936)*($E$6-$C$6)*($E$6-$D$6)))</f>
        <v/>
      </c>
      <c r="O1936" s="14">
        <f>_xlfn.NORM.INV($AC1936,$C$7,$D$7)</f>
        <v/>
      </c>
      <c r="P1936" s="14">
        <f>$C$8+($D$8-$C$8)*$AD1936</f>
        <v/>
      </c>
      <c r="Q1936" s="14">
        <f>$C$9</f>
        <v/>
      </c>
      <c r="R1936" s="14">
        <f>_xlfn.LOGNORM.INV($AF1936,LN($C$10)-0.5*LN(1+($D$10/$C$10)^2),SQRT(LN(1+($D$10/$C$10)^2)))</f>
        <v/>
      </c>
      <c r="S1936" s="14">
        <f>SUM(M1936:R1936)</f>
        <v/>
      </c>
      <c r="AA1936">
        <f>RAND()</f>
        <v/>
      </c>
      <c r="AB1936">
        <f>RAND()</f>
        <v/>
      </c>
      <c r="AC1936">
        <f>RAND()</f>
        <v/>
      </c>
      <c r="AD1936">
        <f>RAND()</f>
        <v/>
      </c>
      <c r="AE1936">
        <f>RAND()</f>
        <v/>
      </c>
      <c r="AF1936">
        <f>RAND()</f>
        <v/>
      </c>
    </row>
    <row r="1937">
      <c r="M1937" s="14">
        <f>_xlfn.BETA.INV($AA1937,1+4*($D$5-$C$5)/($E$5-$C$5),1+4*($E$5-$D$5)/($E$5-$C$5),$C$5,$E$5)</f>
        <v/>
      </c>
      <c r="N1937" s="14">
        <f>IF($AB1937&lt;($D$6-$C$6)/($E$6-$C$6),$C$6+SQRT($AB1937*($E$6-$C$6)*($D$6-$C$6)),$E$6-SQRT((1-$AB1937)*($E$6-$C$6)*($E$6-$D$6)))</f>
        <v/>
      </c>
      <c r="O1937" s="14">
        <f>_xlfn.NORM.INV($AC1937,$C$7,$D$7)</f>
        <v/>
      </c>
      <c r="P1937" s="14">
        <f>$C$8+($D$8-$C$8)*$AD1937</f>
        <v/>
      </c>
      <c r="Q1937" s="14">
        <f>$C$9</f>
        <v/>
      </c>
      <c r="R1937" s="14">
        <f>_xlfn.LOGNORM.INV($AF1937,LN($C$10)-0.5*LN(1+($D$10/$C$10)^2),SQRT(LN(1+($D$10/$C$10)^2)))</f>
        <v/>
      </c>
      <c r="S1937" s="14">
        <f>SUM(M1937:R1937)</f>
        <v/>
      </c>
      <c r="AA1937">
        <f>RAND()</f>
        <v/>
      </c>
      <c r="AB1937">
        <f>RAND()</f>
        <v/>
      </c>
      <c r="AC1937">
        <f>RAND()</f>
        <v/>
      </c>
      <c r="AD1937">
        <f>RAND()</f>
        <v/>
      </c>
      <c r="AE1937">
        <f>RAND()</f>
        <v/>
      </c>
      <c r="AF1937">
        <f>RAND()</f>
        <v/>
      </c>
    </row>
    <row r="1938">
      <c r="M1938" s="14">
        <f>_xlfn.BETA.INV($AA1938,1+4*($D$5-$C$5)/($E$5-$C$5),1+4*($E$5-$D$5)/($E$5-$C$5),$C$5,$E$5)</f>
        <v/>
      </c>
      <c r="N1938" s="14">
        <f>IF($AB1938&lt;($D$6-$C$6)/($E$6-$C$6),$C$6+SQRT($AB1938*($E$6-$C$6)*($D$6-$C$6)),$E$6-SQRT((1-$AB1938)*($E$6-$C$6)*($E$6-$D$6)))</f>
        <v/>
      </c>
      <c r="O1938" s="14">
        <f>_xlfn.NORM.INV($AC1938,$C$7,$D$7)</f>
        <v/>
      </c>
      <c r="P1938" s="14">
        <f>$C$8+($D$8-$C$8)*$AD1938</f>
        <v/>
      </c>
      <c r="Q1938" s="14">
        <f>$C$9</f>
        <v/>
      </c>
      <c r="R1938" s="14">
        <f>_xlfn.LOGNORM.INV($AF1938,LN($C$10)-0.5*LN(1+($D$10/$C$10)^2),SQRT(LN(1+($D$10/$C$10)^2)))</f>
        <v/>
      </c>
      <c r="S1938" s="14">
        <f>SUM(M1938:R1938)</f>
        <v/>
      </c>
      <c r="AA1938">
        <f>RAND()</f>
        <v/>
      </c>
      <c r="AB1938">
        <f>RAND()</f>
        <v/>
      </c>
      <c r="AC1938">
        <f>RAND()</f>
        <v/>
      </c>
      <c r="AD1938">
        <f>RAND()</f>
        <v/>
      </c>
      <c r="AE1938">
        <f>RAND()</f>
        <v/>
      </c>
      <c r="AF1938">
        <f>RAND()</f>
        <v/>
      </c>
    </row>
    <row r="1939">
      <c r="M1939" s="14">
        <f>_xlfn.BETA.INV($AA1939,1+4*($D$5-$C$5)/($E$5-$C$5),1+4*($E$5-$D$5)/($E$5-$C$5),$C$5,$E$5)</f>
        <v/>
      </c>
      <c r="N1939" s="14">
        <f>IF($AB1939&lt;($D$6-$C$6)/($E$6-$C$6),$C$6+SQRT($AB1939*($E$6-$C$6)*($D$6-$C$6)),$E$6-SQRT((1-$AB1939)*($E$6-$C$6)*($E$6-$D$6)))</f>
        <v/>
      </c>
      <c r="O1939" s="14">
        <f>_xlfn.NORM.INV($AC1939,$C$7,$D$7)</f>
        <v/>
      </c>
      <c r="P1939" s="14">
        <f>$C$8+($D$8-$C$8)*$AD1939</f>
        <v/>
      </c>
      <c r="Q1939" s="14">
        <f>$C$9</f>
        <v/>
      </c>
      <c r="R1939" s="14">
        <f>_xlfn.LOGNORM.INV($AF1939,LN($C$10)-0.5*LN(1+($D$10/$C$10)^2),SQRT(LN(1+($D$10/$C$10)^2)))</f>
        <v/>
      </c>
      <c r="S1939" s="14">
        <f>SUM(M1939:R1939)</f>
        <v/>
      </c>
      <c r="AA1939">
        <f>RAND()</f>
        <v/>
      </c>
      <c r="AB1939">
        <f>RAND()</f>
        <v/>
      </c>
      <c r="AC1939">
        <f>RAND()</f>
        <v/>
      </c>
      <c r="AD1939">
        <f>RAND()</f>
        <v/>
      </c>
      <c r="AE1939">
        <f>RAND()</f>
        <v/>
      </c>
      <c r="AF1939">
        <f>RAND()</f>
        <v/>
      </c>
    </row>
    <row r="1940">
      <c r="M1940" s="14">
        <f>_xlfn.BETA.INV($AA1940,1+4*($D$5-$C$5)/($E$5-$C$5),1+4*($E$5-$D$5)/($E$5-$C$5),$C$5,$E$5)</f>
        <v/>
      </c>
      <c r="N1940" s="14">
        <f>IF($AB1940&lt;($D$6-$C$6)/($E$6-$C$6),$C$6+SQRT($AB1940*($E$6-$C$6)*($D$6-$C$6)),$E$6-SQRT((1-$AB1940)*($E$6-$C$6)*($E$6-$D$6)))</f>
        <v/>
      </c>
      <c r="O1940" s="14">
        <f>_xlfn.NORM.INV($AC1940,$C$7,$D$7)</f>
        <v/>
      </c>
      <c r="P1940" s="14">
        <f>$C$8+($D$8-$C$8)*$AD1940</f>
        <v/>
      </c>
      <c r="Q1940" s="14">
        <f>$C$9</f>
        <v/>
      </c>
      <c r="R1940" s="14">
        <f>_xlfn.LOGNORM.INV($AF1940,LN($C$10)-0.5*LN(1+($D$10/$C$10)^2),SQRT(LN(1+($D$10/$C$10)^2)))</f>
        <v/>
      </c>
      <c r="S1940" s="14">
        <f>SUM(M1940:R1940)</f>
        <v/>
      </c>
      <c r="AA1940">
        <f>RAND()</f>
        <v/>
      </c>
      <c r="AB1940">
        <f>RAND()</f>
        <v/>
      </c>
      <c r="AC1940">
        <f>RAND()</f>
        <v/>
      </c>
      <c r="AD1940">
        <f>RAND()</f>
        <v/>
      </c>
      <c r="AE1940">
        <f>RAND()</f>
        <v/>
      </c>
      <c r="AF1940">
        <f>RAND()</f>
        <v/>
      </c>
    </row>
    <row r="1941">
      <c r="M1941" s="14">
        <f>_xlfn.BETA.INV($AA1941,1+4*($D$5-$C$5)/($E$5-$C$5),1+4*($E$5-$D$5)/($E$5-$C$5),$C$5,$E$5)</f>
        <v/>
      </c>
      <c r="N1941" s="14">
        <f>IF($AB1941&lt;($D$6-$C$6)/($E$6-$C$6),$C$6+SQRT($AB1941*($E$6-$C$6)*($D$6-$C$6)),$E$6-SQRT((1-$AB1941)*($E$6-$C$6)*($E$6-$D$6)))</f>
        <v/>
      </c>
      <c r="O1941" s="14">
        <f>_xlfn.NORM.INV($AC1941,$C$7,$D$7)</f>
        <v/>
      </c>
      <c r="P1941" s="14">
        <f>$C$8+($D$8-$C$8)*$AD1941</f>
        <v/>
      </c>
      <c r="Q1941" s="14">
        <f>$C$9</f>
        <v/>
      </c>
      <c r="R1941" s="14">
        <f>_xlfn.LOGNORM.INV($AF1941,LN($C$10)-0.5*LN(1+($D$10/$C$10)^2),SQRT(LN(1+($D$10/$C$10)^2)))</f>
        <v/>
      </c>
      <c r="S1941" s="14">
        <f>SUM(M1941:R1941)</f>
        <v/>
      </c>
      <c r="AA1941">
        <f>RAND()</f>
        <v/>
      </c>
      <c r="AB1941">
        <f>RAND()</f>
        <v/>
      </c>
      <c r="AC1941">
        <f>RAND()</f>
        <v/>
      </c>
      <c r="AD1941">
        <f>RAND()</f>
        <v/>
      </c>
      <c r="AE1941">
        <f>RAND()</f>
        <v/>
      </c>
      <c r="AF1941">
        <f>RAND()</f>
        <v/>
      </c>
    </row>
    <row r="1942">
      <c r="M1942" s="14">
        <f>_xlfn.BETA.INV($AA1942,1+4*($D$5-$C$5)/($E$5-$C$5),1+4*($E$5-$D$5)/($E$5-$C$5),$C$5,$E$5)</f>
        <v/>
      </c>
      <c r="N1942" s="14">
        <f>IF($AB1942&lt;($D$6-$C$6)/($E$6-$C$6),$C$6+SQRT($AB1942*($E$6-$C$6)*($D$6-$C$6)),$E$6-SQRT((1-$AB1942)*($E$6-$C$6)*($E$6-$D$6)))</f>
        <v/>
      </c>
      <c r="O1942" s="14">
        <f>_xlfn.NORM.INV($AC1942,$C$7,$D$7)</f>
        <v/>
      </c>
      <c r="P1942" s="14">
        <f>$C$8+($D$8-$C$8)*$AD1942</f>
        <v/>
      </c>
      <c r="Q1942" s="14">
        <f>$C$9</f>
        <v/>
      </c>
      <c r="R1942" s="14">
        <f>_xlfn.LOGNORM.INV($AF1942,LN($C$10)-0.5*LN(1+($D$10/$C$10)^2),SQRT(LN(1+($D$10/$C$10)^2)))</f>
        <v/>
      </c>
      <c r="S1942" s="14">
        <f>SUM(M1942:R1942)</f>
        <v/>
      </c>
      <c r="AA1942">
        <f>RAND()</f>
        <v/>
      </c>
      <c r="AB1942">
        <f>RAND()</f>
        <v/>
      </c>
      <c r="AC1942">
        <f>RAND()</f>
        <v/>
      </c>
      <c r="AD1942">
        <f>RAND()</f>
        <v/>
      </c>
      <c r="AE1942">
        <f>RAND()</f>
        <v/>
      </c>
      <c r="AF1942">
        <f>RAND()</f>
        <v/>
      </c>
    </row>
    <row r="1943">
      <c r="M1943" s="14">
        <f>_xlfn.BETA.INV($AA1943,1+4*($D$5-$C$5)/($E$5-$C$5),1+4*($E$5-$D$5)/($E$5-$C$5),$C$5,$E$5)</f>
        <v/>
      </c>
      <c r="N1943" s="14">
        <f>IF($AB1943&lt;($D$6-$C$6)/($E$6-$C$6),$C$6+SQRT($AB1943*($E$6-$C$6)*($D$6-$C$6)),$E$6-SQRT((1-$AB1943)*($E$6-$C$6)*($E$6-$D$6)))</f>
        <v/>
      </c>
      <c r="O1943" s="14">
        <f>_xlfn.NORM.INV($AC1943,$C$7,$D$7)</f>
        <v/>
      </c>
      <c r="P1943" s="14">
        <f>$C$8+($D$8-$C$8)*$AD1943</f>
        <v/>
      </c>
      <c r="Q1943" s="14">
        <f>$C$9</f>
        <v/>
      </c>
      <c r="R1943" s="14">
        <f>_xlfn.LOGNORM.INV($AF1943,LN($C$10)-0.5*LN(1+($D$10/$C$10)^2),SQRT(LN(1+($D$10/$C$10)^2)))</f>
        <v/>
      </c>
      <c r="S1943" s="14">
        <f>SUM(M1943:R1943)</f>
        <v/>
      </c>
      <c r="AA1943">
        <f>RAND()</f>
        <v/>
      </c>
      <c r="AB1943">
        <f>RAND()</f>
        <v/>
      </c>
      <c r="AC1943">
        <f>RAND()</f>
        <v/>
      </c>
      <c r="AD1943">
        <f>RAND()</f>
        <v/>
      </c>
      <c r="AE1943">
        <f>RAND()</f>
        <v/>
      </c>
      <c r="AF1943">
        <f>RAND()</f>
        <v/>
      </c>
    </row>
    <row r="1944">
      <c r="M1944" s="14">
        <f>_xlfn.BETA.INV($AA1944,1+4*($D$5-$C$5)/($E$5-$C$5),1+4*($E$5-$D$5)/($E$5-$C$5),$C$5,$E$5)</f>
        <v/>
      </c>
      <c r="N1944" s="14">
        <f>IF($AB1944&lt;($D$6-$C$6)/($E$6-$C$6),$C$6+SQRT($AB1944*($E$6-$C$6)*($D$6-$C$6)),$E$6-SQRT((1-$AB1944)*($E$6-$C$6)*($E$6-$D$6)))</f>
        <v/>
      </c>
      <c r="O1944" s="14">
        <f>_xlfn.NORM.INV($AC1944,$C$7,$D$7)</f>
        <v/>
      </c>
      <c r="P1944" s="14">
        <f>$C$8+($D$8-$C$8)*$AD1944</f>
        <v/>
      </c>
      <c r="Q1944" s="14">
        <f>$C$9</f>
        <v/>
      </c>
      <c r="R1944" s="14">
        <f>_xlfn.LOGNORM.INV($AF1944,LN($C$10)-0.5*LN(1+($D$10/$C$10)^2),SQRT(LN(1+($D$10/$C$10)^2)))</f>
        <v/>
      </c>
      <c r="S1944" s="14">
        <f>SUM(M1944:R1944)</f>
        <v/>
      </c>
      <c r="AA1944">
        <f>RAND()</f>
        <v/>
      </c>
      <c r="AB1944">
        <f>RAND()</f>
        <v/>
      </c>
      <c r="AC1944">
        <f>RAND()</f>
        <v/>
      </c>
      <c r="AD1944">
        <f>RAND()</f>
        <v/>
      </c>
      <c r="AE1944">
        <f>RAND()</f>
        <v/>
      </c>
      <c r="AF1944">
        <f>RAND()</f>
        <v/>
      </c>
    </row>
    <row r="1945">
      <c r="M1945" s="14">
        <f>_xlfn.BETA.INV($AA1945,1+4*($D$5-$C$5)/($E$5-$C$5),1+4*($E$5-$D$5)/($E$5-$C$5),$C$5,$E$5)</f>
        <v/>
      </c>
      <c r="N1945" s="14">
        <f>IF($AB1945&lt;($D$6-$C$6)/($E$6-$C$6),$C$6+SQRT($AB1945*($E$6-$C$6)*($D$6-$C$6)),$E$6-SQRT((1-$AB1945)*($E$6-$C$6)*($E$6-$D$6)))</f>
        <v/>
      </c>
      <c r="O1945" s="14">
        <f>_xlfn.NORM.INV($AC1945,$C$7,$D$7)</f>
        <v/>
      </c>
      <c r="P1945" s="14">
        <f>$C$8+($D$8-$C$8)*$AD1945</f>
        <v/>
      </c>
      <c r="Q1945" s="14">
        <f>$C$9</f>
        <v/>
      </c>
      <c r="R1945" s="14">
        <f>_xlfn.LOGNORM.INV($AF1945,LN($C$10)-0.5*LN(1+($D$10/$C$10)^2),SQRT(LN(1+($D$10/$C$10)^2)))</f>
        <v/>
      </c>
      <c r="S1945" s="14">
        <f>SUM(M1945:R1945)</f>
        <v/>
      </c>
      <c r="AA1945">
        <f>RAND()</f>
        <v/>
      </c>
      <c r="AB1945">
        <f>RAND()</f>
        <v/>
      </c>
      <c r="AC1945">
        <f>RAND()</f>
        <v/>
      </c>
      <c r="AD1945">
        <f>RAND()</f>
        <v/>
      </c>
      <c r="AE1945">
        <f>RAND()</f>
        <v/>
      </c>
      <c r="AF1945">
        <f>RAND()</f>
        <v/>
      </c>
    </row>
    <row r="1946">
      <c r="M1946" s="14">
        <f>_xlfn.BETA.INV($AA1946,1+4*($D$5-$C$5)/($E$5-$C$5),1+4*($E$5-$D$5)/($E$5-$C$5),$C$5,$E$5)</f>
        <v/>
      </c>
      <c r="N1946" s="14">
        <f>IF($AB1946&lt;($D$6-$C$6)/($E$6-$C$6),$C$6+SQRT($AB1946*($E$6-$C$6)*($D$6-$C$6)),$E$6-SQRT((1-$AB1946)*($E$6-$C$6)*($E$6-$D$6)))</f>
        <v/>
      </c>
      <c r="O1946" s="14">
        <f>_xlfn.NORM.INV($AC1946,$C$7,$D$7)</f>
        <v/>
      </c>
      <c r="P1946" s="14">
        <f>$C$8+($D$8-$C$8)*$AD1946</f>
        <v/>
      </c>
      <c r="Q1946" s="14">
        <f>$C$9</f>
        <v/>
      </c>
      <c r="R1946" s="14">
        <f>_xlfn.LOGNORM.INV($AF1946,LN($C$10)-0.5*LN(1+($D$10/$C$10)^2),SQRT(LN(1+($D$10/$C$10)^2)))</f>
        <v/>
      </c>
      <c r="S1946" s="14">
        <f>SUM(M1946:R1946)</f>
        <v/>
      </c>
      <c r="AA1946">
        <f>RAND()</f>
        <v/>
      </c>
      <c r="AB1946">
        <f>RAND()</f>
        <v/>
      </c>
      <c r="AC1946">
        <f>RAND()</f>
        <v/>
      </c>
      <c r="AD1946">
        <f>RAND()</f>
        <v/>
      </c>
      <c r="AE1946">
        <f>RAND()</f>
        <v/>
      </c>
      <c r="AF1946">
        <f>RAND()</f>
        <v/>
      </c>
    </row>
    <row r="1947">
      <c r="M1947" s="14">
        <f>_xlfn.BETA.INV($AA1947,1+4*($D$5-$C$5)/($E$5-$C$5),1+4*($E$5-$D$5)/($E$5-$C$5),$C$5,$E$5)</f>
        <v/>
      </c>
      <c r="N1947" s="14">
        <f>IF($AB1947&lt;($D$6-$C$6)/($E$6-$C$6),$C$6+SQRT($AB1947*($E$6-$C$6)*($D$6-$C$6)),$E$6-SQRT((1-$AB1947)*($E$6-$C$6)*($E$6-$D$6)))</f>
        <v/>
      </c>
      <c r="O1947" s="14">
        <f>_xlfn.NORM.INV($AC1947,$C$7,$D$7)</f>
        <v/>
      </c>
      <c r="P1947" s="14">
        <f>$C$8+($D$8-$C$8)*$AD1947</f>
        <v/>
      </c>
      <c r="Q1947" s="14">
        <f>$C$9</f>
        <v/>
      </c>
      <c r="R1947" s="14">
        <f>_xlfn.LOGNORM.INV($AF1947,LN($C$10)-0.5*LN(1+($D$10/$C$10)^2),SQRT(LN(1+($D$10/$C$10)^2)))</f>
        <v/>
      </c>
      <c r="S1947" s="14">
        <f>SUM(M1947:R1947)</f>
        <v/>
      </c>
      <c r="AA1947">
        <f>RAND()</f>
        <v/>
      </c>
      <c r="AB1947">
        <f>RAND()</f>
        <v/>
      </c>
      <c r="AC1947">
        <f>RAND()</f>
        <v/>
      </c>
      <c r="AD1947">
        <f>RAND()</f>
        <v/>
      </c>
      <c r="AE1947">
        <f>RAND()</f>
        <v/>
      </c>
      <c r="AF1947">
        <f>RAND()</f>
        <v/>
      </c>
    </row>
    <row r="1948">
      <c r="M1948" s="14">
        <f>_xlfn.BETA.INV($AA1948,1+4*($D$5-$C$5)/($E$5-$C$5),1+4*($E$5-$D$5)/($E$5-$C$5),$C$5,$E$5)</f>
        <v/>
      </c>
      <c r="N1948" s="14">
        <f>IF($AB1948&lt;($D$6-$C$6)/($E$6-$C$6),$C$6+SQRT($AB1948*($E$6-$C$6)*($D$6-$C$6)),$E$6-SQRT((1-$AB1948)*($E$6-$C$6)*($E$6-$D$6)))</f>
        <v/>
      </c>
      <c r="O1948" s="14">
        <f>_xlfn.NORM.INV($AC1948,$C$7,$D$7)</f>
        <v/>
      </c>
      <c r="P1948" s="14">
        <f>$C$8+($D$8-$C$8)*$AD1948</f>
        <v/>
      </c>
      <c r="Q1948" s="14">
        <f>$C$9</f>
        <v/>
      </c>
      <c r="R1948" s="14">
        <f>_xlfn.LOGNORM.INV($AF1948,LN($C$10)-0.5*LN(1+($D$10/$C$10)^2),SQRT(LN(1+($D$10/$C$10)^2)))</f>
        <v/>
      </c>
      <c r="S1948" s="14">
        <f>SUM(M1948:R1948)</f>
        <v/>
      </c>
      <c r="AA1948">
        <f>RAND()</f>
        <v/>
      </c>
      <c r="AB1948">
        <f>RAND()</f>
        <v/>
      </c>
      <c r="AC1948">
        <f>RAND()</f>
        <v/>
      </c>
      <c r="AD1948">
        <f>RAND()</f>
        <v/>
      </c>
      <c r="AE1948">
        <f>RAND()</f>
        <v/>
      </c>
      <c r="AF1948">
        <f>RAND()</f>
        <v/>
      </c>
    </row>
    <row r="1949">
      <c r="M1949" s="14">
        <f>_xlfn.BETA.INV($AA1949,1+4*($D$5-$C$5)/($E$5-$C$5),1+4*($E$5-$D$5)/($E$5-$C$5),$C$5,$E$5)</f>
        <v/>
      </c>
      <c r="N1949" s="14">
        <f>IF($AB1949&lt;($D$6-$C$6)/($E$6-$C$6),$C$6+SQRT($AB1949*($E$6-$C$6)*($D$6-$C$6)),$E$6-SQRT((1-$AB1949)*($E$6-$C$6)*($E$6-$D$6)))</f>
        <v/>
      </c>
      <c r="O1949" s="14">
        <f>_xlfn.NORM.INV($AC1949,$C$7,$D$7)</f>
        <v/>
      </c>
      <c r="P1949" s="14">
        <f>$C$8+($D$8-$C$8)*$AD1949</f>
        <v/>
      </c>
      <c r="Q1949" s="14">
        <f>$C$9</f>
        <v/>
      </c>
      <c r="R1949" s="14">
        <f>_xlfn.LOGNORM.INV($AF1949,LN($C$10)-0.5*LN(1+($D$10/$C$10)^2),SQRT(LN(1+($D$10/$C$10)^2)))</f>
        <v/>
      </c>
      <c r="S1949" s="14">
        <f>SUM(M1949:R1949)</f>
        <v/>
      </c>
      <c r="AA1949">
        <f>RAND()</f>
        <v/>
      </c>
      <c r="AB1949">
        <f>RAND()</f>
        <v/>
      </c>
      <c r="AC1949">
        <f>RAND()</f>
        <v/>
      </c>
      <c r="AD1949">
        <f>RAND()</f>
        <v/>
      </c>
      <c r="AE1949">
        <f>RAND()</f>
        <v/>
      </c>
      <c r="AF1949">
        <f>RAND()</f>
        <v/>
      </c>
    </row>
    <row r="1950">
      <c r="M1950" s="14">
        <f>_xlfn.BETA.INV($AA1950,1+4*($D$5-$C$5)/($E$5-$C$5),1+4*($E$5-$D$5)/($E$5-$C$5),$C$5,$E$5)</f>
        <v/>
      </c>
      <c r="N1950" s="14">
        <f>IF($AB1950&lt;($D$6-$C$6)/($E$6-$C$6),$C$6+SQRT($AB1950*($E$6-$C$6)*($D$6-$C$6)),$E$6-SQRT((1-$AB1950)*($E$6-$C$6)*($E$6-$D$6)))</f>
        <v/>
      </c>
      <c r="O1950" s="14">
        <f>_xlfn.NORM.INV($AC1950,$C$7,$D$7)</f>
        <v/>
      </c>
      <c r="P1950" s="14">
        <f>$C$8+($D$8-$C$8)*$AD1950</f>
        <v/>
      </c>
      <c r="Q1950" s="14">
        <f>$C$9</f>
        <v/>
      </c>
      <c r="R1950" s="14">
        <f>_xlfn.LOGNORM.INV($AF1950,LN($C$10)-0.5*LN(1+($D$10/$C$10)^2),SQRT(LN(1+($D$10/$C$10)^2)))</f>
        <v/>
      </c>
      <c r="S1950" s="14">
        <f>SUM(M1950:R1950)</f>
        <v/>
      </c>
      <c r="AA1950">
        <f>RAND()</f>
        <v/>
      </c>
      <c r="AB1950">
        <f>RAND()</f>
        <v/>
      </c>
      <c r="AC1950">
        <f>RAND()</f>
        <v/>
      </c>
      <c r="AD1950">
        <f>RAND()</f>
        <v/>
      </c>
      <c r="AE1950">
        <f>RAND()</f>
        <v/>
      </c>
      <c r="AF1950">
        <f>RAND()</f>
        <v/>
      </c>
    </row>
    <row r="1951">
      <c r="M1951" s="14">
        <f>_xlfn.BETA.INV($AA1951,1+4*($D$5-$C$5)/($E$5-$C$5),1+4*($E$5-$D$5)/($E$5-$C$5),$C$5,$E$5)</f>
        <v/>
      </c>
      <c r="N1951" s="14">
        <f>IF($AB1951&lt;($D$6-$C$6)/($E$6-$C$6),$C$6+SQRT($AB1951*($E$6-$C$6)*($D$6-$C$6)),$E$6-SQRT((1-$AB1951)*($E$6-$C$6)*($E$6-$D$6)))</f>
        <v/>
      </c>
      <c r="O1951" s="14">
        <f>_xlfn.NORM.INV($AC1951,$C$7,$D$7)</f>
        <v/>
      </c>
      <c r="P1951" s="14">
        <f>$C$8+($D$8-$C$8)*$AD1951</f>
        <v/>
      </c>
      <c r="Q1951" s="14">
        <f>$C$9</f>
        <v/>
      </c>
      <c r="R1951" s="14">
        <f>_xlfn.LOGNORM.INV($AF1951,LN($C$10)-0.5*LN(1+($D$10/$C$10)^2),SQRT(LN(1+($D$10/$C$10)^2)))</f>
        <v/>
      </c>
      <c r="S1951" s="14">
        <f>SUM(M1951:R1951)</f>
        <v/>
      </c>
      <c r="AA1951">
        <f>RAND()</f>
        <v/>
      </c>
      <c r="AB1951">
        <f>RAND()</f>
        <v/>
      </c>
      <c r="AC1951">
        <f>RAND()</f>
        <v/>
      </c>
      <c r="AD1951">
        <f>RAND()</f>
        <v/>
      </c>
      <c r="AE1951">
        <f>RAND()</f>
        <v/>
      </c>
      <c r="AF1951">
        <f>RAND()</f>
        <v/>
      </c>
    </row>
    <row r="1952">
      <c r="M1952" s="14">
        <f>_xlfn.BETA.INV($AA1952,1+4*($D$5-$C$5)/($E$5-$C$5),1+4*($E$5-$D$5)/($E$5-$C$5),$C$5,$E$5)</f>
        <v/>
      </c>
      <c r="N1952" s="14">
        <f>IF($AB1952&lt;($D$6-$C$6)/($E$6-$C$6),$C$6+SQRT($AB1952*($E$6-$C$6)*($D$6-$C$6)),$E$6-SQRT((1-$AB1952)*($E$6-$C$6)*($E$6-$D$6)))</f>
        <v/>
      </c>
      <c r="O1952" s="14">
        <f>_xlfn.NORM.INV($AC1952,$C$7,$D$7)</f>
        <v/>
      </c>
      <c r="P1952" s="14">
        <f>$C$8+($D$8-$C$8)*$AD1952</f>
        <v/>
      </c>
      <c r="Q1952" s="14">
        <f>$C$9</f>
        <v/>
      </c>
      <c r="R1952" s="14">
        <f>_xlfn.LOGNORM.INV($AF1952,LN($C$10)-0.5*LN(1+($D$10/$C$10)^2),SQRT(LN(1+($D$10/$C$10)^2)))</f>
        <v/>
      </c>
      <c r="S1952" s="14">
        <f>SUM(M1952:R1952)</f>
        <v/>
      </c>
      <c r="AA1952">
        <f>RAND()</f>
        <v/>
      </c>
      <c r="AB1952">
        <f>RAND()</f>
        <v/>
      </c>
      <c r="AC1952">
        <f>RAND()</f>
        <v/>
      </c>
      <c r="AD1952">
        <f>RAND()</f>
        <v/>
      </c>
      <c r="AE1952">
        <f>RAND()</f>
        <v/>
      </c>
      <c r="AF1952">
        <f>RAND()</f>
        <v/>
      </c>
    </row>
    <row r="1953">
      <c r="M1953" s="14">
        <f>_xlfn.BETA.INV($AA1953,1+4*($D$5-$C$5)/($E$5-$C$5),1+4*($E$5-$D$5)/($E$5-$C$5),$C$5,$E$5)</f>
        <v/>
      </c>
      <c r="N1953" s="14">
        <f>IF($AB1953&lt;($D$6-$C$6)/($E$6-$C$6),$C$6+SQRT($AB1953*($E$6-$C$6)*($D$6-$C$6)),$E$6-SQRT((1-$AB1953)*($E$6-$C$6)*($E$6-$D$6)))</f>
        <v/>
      </c>
      <c r="O1953" s="14">
        <f>_xlfn.NORM.INV($AC1953,$C$7,$D$7)</f>
        <v/>
      </c>
      <c r="P1953" s="14">
        <f>$C$8+($D$8-$C$8)*$AD1953</f>
        <v/>
      </c>
      <c r="Q1953" s="14">
        <f>$C$9</f>
        <v/>
      </c>
      <c r="R1953" s="14">
        <f>_xlfn.LOGNORM.INV($AF1953,LN($C$10)-0.5*LN(1+($D$10/$C$10)^2),SQRT(LN(1+($D$10/$C$10)^2)))</f>
        <v/>
      </c>
      <c r="S1953" s="14">
        <f>SUM(M1953:R1953)</f>
        <v/>
      </c>
      <c r="AA1953">
        <f>RAND()</f>
        <v/>
      </c>
      <c r="AB1953">
        <f>RAND()</f>
        <v/>
      </c>
      <c r="AC1953">
        <f>RAND()</f>
        <v/>
      </c>
      <c r="AD1953">
        <f>RAND()</f>
        <v/>
      </c>
      <c r="AE1953">
        <f>RAND()</f>
        <v/>
      </c>
      <c r="AF1953">
        <f>RAND()</f>
        <v/>
      </c>
    </row>
    <row r="1954">
      <c r="M1954" s="14">
        <f>_xlfn.BETA.INV($AA1954,1+4*($D$5-$C$5)/($E$5-$C$5),1+4*($E$5-$D$5)/($E$5-$C$5),$C$5,$E$5)</f>
        <v/>
      </c>
      <c r="N1954" s="14">
        <f>IF($AB1954&lt;($D$6-$C$6)/($E$6-$C$6),$C$6+SQRT($AB1954*($E$6-$C$6)*($D$6-$C$6)),$E$6-SQRT((1-$AB1954)*($E$6-$C$6)*($E$6-$D$6)))</f>
        <v/>
      </c>
      <c r="O1954" s="14">
        <f>_xlfn.NORM.INV($AC1954,$C$7,$D$7)</f>
        <v/>
      </c>
      <c r="P1954" s="14">
        <f>$C$8+($D$8-$C$8)*$AD1954</f>
        <v/>
      </c>
      <c r="Q1954" s="14">
        <f>$C$9</f>
        <v/>
      </c>
      <c r="R1954" s="14">
        <f>_xlfn.LOGNORM.INV($AF1954,LN($C$10)-0.5*LN(1+($D$10/$C$10)^2),SQRT(LN(1+($D$10/$C$10)^2)))</f>
        <v/>
      </c>
      <c r="S1954" s="14">
        <f>SUM(M1954:R1954)</f>
        <v/>
      </c>
      <c r="AA1954">
        <f>RAND()</f>
        <v/>
      </c>
      <c r="AB1954">
        <f>RAND()</f>
        <v/>
      </c>
      <c r="AC1954">
        <f>RAND()</f>
        <v/>
      </c>
      <c r="AD1954">
        <f>RAND()</f>
        <v/>
      </c>
      <c r="AE1954">
        <f>RAND()</f>
        <v/>
      </c>
      <c r="AF1954">
        <f>RAND()</f>
        <v/>
      </c>
    </row>
    <row r="1955">
      <c r="M1955" s="14">
        <f>_xlfn.BETA.INV($AA1955,1+4*($D$5-$C$5)/($E$5-$C$5),1+4*($E$5-$D$5)/($E$5-$C$5),$C$5,$E$5)</f>
        <v/>
      </c>
      <c r="N1955" s="14">
        <f>IF($AB1955&lt;($D$6-$C$6)/($E$6-$C$6),$C$6+SQRT($AB1955*($E$6-$C$6)*($D$6-$C$6)),$E$6-SQRT((1-$AB1955)*($E$6-$C$6)*($E$6-$D$6)))</f>
        <v/>
      </c>
      <c r="O1955" s="14">
        <f>_xlfn.NORM.INV($AC1955,$C$7,$D$7)</f>
        <v/>
      </c>
      <c r="P1955" s="14">
        <f>$C$8+($D$8-$C$8)*$AD1955</f>
        <v/>
      </c>
      <c r="Q1955" s="14">
        <f>$C$9</f>
        <v/>
      </c>
      <c r="R1955" s="14">
        <f>_xlfn.LOGNORM.INV($AF1955,LN($C$10)-0.5*LN(1+($D$10/$C$10)^2),SQRT(LN(1+($D$10/$C$10)^2)))</f>
        <v/>
      </c>
      <c r="S1955" s="14">
        <f>SUM(M1955:R1955)</f>
        <v/>
      </c>
      <c r="AA1955">
        <f>RAND()</f>
        <v/>
      </c>
      <c r="AB1955">
        <f>RAND()</f>
        <v/>
      </c>
      <c r="AC1955">
        <f>RAND()</f>
        <v/>
      </c>
      <c r="AD1955">
        <f>RAND()</f>
        <v/>
      </c>
      <c r="AE1955">
        <f>RAND()</f>
        <v/>
      </c>
      <c r="AF1955">
        <f>RAND()</f>
        <v/>
      </c>
    </row>
    <row r="1956">
      <c r="M1956" s="14">
        <f>_xlfn.BETA.INV($AA1956,1+4*($D$5-$C$5)/($E$5-$C$5),1+4*($E$5-$D$5)/($E$5-$C$5),$C$5,$E$5)</f>
        <v/>
      </c>
      <c r="N1956" s="14">
        <f>IF($AB1956&lt;($D$6-$C$6)/($E$6-$C$6),$C$6+SQRT($AB1956*($E$6-$C$6)*($D$6-$C$6)),$E$6-SQRT((1-$AB1956)*($E$6-$C$6)*($E$6-$D$6)))</f>
        <v/>
      </c>
      <c r="O1956" s="14">
        <f>_xlfn.NORM.INV($AC1956,$C$7,$D$7)</f>
        <v/>
      </c>
      <c r="P1956" s="14">
        <f>$C$8+($D$8-$C$8)*$AD1956</f>
        <v/>
      </c>
      <c r="Q1956" s="14">
        <f>$C$9</f>
        <v/>
      </c>
      <c r="R1956" s="14">
        <f>_xlfn.LOGNORM.INV($AF1956,LN($C$10)-0.5*LN(1+($D$10/$C$10)^2),SQRT(LN(1+($D$10/$C$10)^2)))</f>
        <v/>
      </c>
      <c r="S1956" s="14">
        <f>SUM(M1956:R1956)</f>
        <v/>
      </c>
      <c r="AA1956">
        <f>RAND()</f>
        <v/>
      </c>
      <c r="AB1956">
        <f>RAND()</f>
        <v/>
      </c>
      <c r="AC1956">
        <f>RAND()</f>
        <v/>
      </c>
      <c r="AD1956">
        <f>RAND()</f>
        <v/>
      </c>
      <c r="AE1956">
        <f>RAND()</f>
        <v/>
      </c>
      <c r="AF1956">
        <f>RAND()</f>
        <v/>
      </c>
    </row>
    <row r="1957">
      <c r="M1957" s="14">
        <f>_xlfn.BETA.INV($AA1957,1+4*($D$5-$C$5)/($E$5-$C$5),1+4*($E$5-$D$5)/($E$5-$C$5),$C$5,$E$5)</f>
        <v/>
      </c>
      <c r="N1957" s="14">
        <f>IF($AB1957&lt;($D$6-$C$6)/($E$6-$C$6),$C$6+SQRT($AB1957*($E$6-$C$6)*($D$6-$C$6)),$E$6-SQRT((1-$AB1957)*($E$6-$C$6)*($E$6-$D$6)))</f>
        <v/>
      </c>
      <c r="O1957" s="14">
        <f>_xlfn.NORM.INV($AC1957,$C$7,$D$7)</f>
        <v/>
      </c>
      <c r="P1957" s="14">
        <f>$C$8+($D$8-$C$8)*$AD1957</f>
        <v/>
      </c>
      <c r="Q1957" s="14">
        <f>$C$9</f>
        <v/>
      </c>
      <c r="R1957" s="14">
        <f>_xlfn.LOGNORM.INV($AF1957,LN($C$10)-0.5*LN(1+($D$10/$C$10)^2),SQRT(LN(1+($D$10/$C$10)^2)))</f>
        <v/>
      </c>
      <c r="S1957" s="14">
        <f>SUM(M1957:R1957)</f>
        <v/>
      </c>
      <c r="AA1957">
        <f>RAND()</f>
        <v/>
      </c>
      <c r="AB1957">
        <f>RAND()</f>
        <v/>
      </c>
      <c r="AC1957">
        <f>RAND()</f>
        <v/>
      </c>
      <c r="AD1957">
        <f>RAND()</f>
        <v/>
      </c>
      <c r="AE1957">
        <f>RAND()</f>
        <v/>
      </c>
      <c r="AF1957">
        <f>RAND()</f>
        <v/>
      </c>
    </row>
    <row r="1958">
      <c r="M1958" s="14">
        <f>_xlfn.BETA.INV($AA1958,1+4*($D$5-$C$5)/($E$5-$C$5),1+4*($E$5-$D$5)/($E$5-$C$5),$C$5,$E$5)</f>
        <v/>
      </c>
      <c r="N1958" s="14">
        <f>IF($AB1958&lt;($D$6-$C$6)/($E$6-$C$6),$C$6+SQRT($AB1958*($E$6-$C$6)*($D$6-$C$6)),$E$6-SQRT((1-$AB1958)*($E$6-$C$6)*($E$6-$D$6)))</f>
        <v/>
      </c>
      <c r="O1958" s="14">
        <f>_xlfn.NORM.INV($AC1958,$C$7,$D$7)</f>
        <v/>
      </c>
      <c r="P1958" s="14">
        <f>$C$8+($D$8-$C$8)*$AD1958</f>
        <v/>
      </c>
      <c r="Q1958" s="14">
        <f>$C$9</f>
        <v/>
      </c>
      <c r="R1958" s="14">
        <f>_xlfn.LOGNORM.INV($AF1958,LN($C$10)-0.5*LN(1+($D$10/$C$10)^2),SQRT(LN(1+($D$10/$C$10)^2)))</f>
        <v/>
      </c>
      <c r="S1958" s="14">
        <f>SUM(M1958:R1958)</f>
        <v/>
      </c>
      <c r="AA1958">
        <f>RAND()</f>
        <v/>
      </c>
      <c r="AB1958">
        <f>RAND()</f>
        <v/>
      </c>
      <c r="AC1958">
        <f>RAND()</f>
        <v/>
      </c>
      <c r="AD1958">
        <f>RAND()</f>
        <v/>
      </c>
      <c r="AE1958">
        <f>RAND()</f>
        <v/>
      </c>
      <c r="AF1958">
        <f>RAND()</f>
        <v/>
      </c>
    </row>
    <row r="1959">
      <c r="M1959" s="14">
        <f>_xlfn.BETA.INV($AA1959,1+4*($D$5-$C$5)/($E$5-$C$5),1+4*($E$5-$D$5)/($E$5-$C$5),$C$5,$E$5)</f>
        <v/>
      </c>
      <c r="N1959" s="14">
        <f>IF($AB1959&lt;($D$6-$C$6)/($E$6-$C$6),$C$6+SQRT($AB1959*($E$6-$C$6)*($D$6-$C$6)),$E$6-SQRT((1-$AB1959)*($E$6-$C$6)*($E$6-$D$6)))</f>
        <v/>
      </c>
      <c r="O1959" s="14">
        <f>_xlfn.NORM.INV($AC1959,$C$7,$D$7)</f>
        <v/>
      </c>
      <c r="P1959" s="14">
        <f>$C$8+($D$8-$C$8)*$AD1959</f>
        <v/>
      </c>
      <c r="Q1959" s="14">
        <f>$C$9</f>
        <v/>
      </c>
      <c r="R1959" s="14">
        <f>_xlfn.LOGNORM.INV($AF1959,LN($C$10)-0.5*LN(1+($D$10/$C$10)^2),SQRT(LN(1+($D$10/$C$10)^2)))</f>
        <v/>
      </c>
      <c r="S1959" s="14">
        <f>SUM(M1959:R1959)</f>
        <v/>
      </c>
      <c r="AA1959">
        <f>RAND()</f>
        <v/>
      </c>
      <c r="AB1959">
        <f>RAND()</f>
        <v/>
      </c>
      <c r="AC1959">
        <f>RAND()</f>
        <v/>
      </c>
      <c r="AD1959">
        <f>RAND()</f>
        <v/>
      </c>
      <c r="AE1959">
        <f>RAND()</f>
        <v/>
      </c>
      <c r="AF1959">
        <f>RAND()</f>
        <v/>
      </c>
    </row>
    <row r="1960">
      <c r="M1960" s="14">
        <f>_xlfn.BETA.INV($AA1960,1+4*($D$5-$C$5)/($E$5-$C$5),1+4*($E$5-$D$5)/($E$5-$C$5),$C$5,$E$5)</f>
        <v/>
      </c>
      <c r="N1960" s="14">
        <f>IF($AB1960&lt;($D$6-$C$6)/($E$6-$C$6),$C$6+SQRT($AB1960*($E$6-$C$6)*($D$6-$C$6)),$E$6-SQRT((1-$AB1960)*($E$6-$C$6)*($E$6-$D$6)))</f>
        <v/>
      </c>
      <c r="O1960" s="14">
        <f>_xlfn.NORM.INV($AC1960,$C$7,$D$7)</f>
        <v/>
      </c>
      <c r="P1960" s="14">
        <f>$C$8+($D$8-$C$8)*$AD1960</f>
        <v/>
      </c>
      <c r="Q1960" s="14">
        <f>$C$9</f>
        <v/>
      </c>
      <c r="R1960" s="14">
        <f>_xlfn.LOGNORM.INV($AF1960,LN($C$10)-0.5*LN(1+($D$10/$C$10)^2),SQRT(LN(1+($D$10/$C$10)^2)))</f>
        <v/>
      </c>
      <c r="S1960" s="14">
        <f>SUM(M1960:R1960)</f>
        <v/>
      </c>
      <c r="AA1960">
        <f>RAND()</f>
        <v/>
      </c>
      <c r="AB1960">
        <f>RAND()</f>
        <v/>
      </c>
      <c r="AC1960">
        <f>RAND()</f>
        <v/>
      </c>
      <c r="AD1960">
        <f>RAND()</f>
        <v/>
      </c>
      <c r="AE1960">
        <f>RAND()</f>
        <v/>
      </c>
      <c r="AF1960">
        <f>RAND()</f>
        <v/>
      </c>
    </row>
    <row r="1961">
      <c r="M1961" s="14">
        <f>_xlfn.BETA.INV($AA1961,1+4*($D$5-$C$5)/($E$5-$C$5),1+4*($E$5-$D$5)/($E$5-$C$5),$C$5,$E$5)</f>
        <v/>
      </c>
      <c r="N1961" s="14">
        <f>IF($AB1961&lt;($D$6-$C$6)/($E$6-$C$6),$C$6+SQRT($AB1961*($E$6-$C$6)*($D$6-$C$6)),$E$6-SQRT((1-$AB1961)*($E$6-$C$6)*($E$6-$D$6)))</f>
        <v/>
      </c>
      <c r="O1961" s="14">
        <f>_xlfn.NORM.INV($AC1961,$C$7,$D$7)</f>
        <v/>
      </c>
      <c r="P1961" s="14">
        <f>$C$8+($D$8-$C$8)*$AD1961</f>
        <v/>
      </c>
      <c r="Q1961" s="14">
        <f>$C$9</f>
        <v/>
      </c>
      <c r="R1961" s="14">
        <f>_xlfn.LOGNORM.INV($AF1961,LN($C$10)-0.5*LN(1+($D$10/$C$10)^2),SQRT(LN(1+($D$10/$C$10)^2)))</f>
        <v/>
      </c>
      <c r="S1961" s="14">
        <f>SUM(M1961:R1961)</f>
        <v/>
      </c>
      <c r="AA1961">
        <f>RAND()</f>
        <v/>
      </c>
      <c r="AB1961">
        <f>RAND()</f>
        <v/>
      </c>
      <c r="AC1961">
        <f>RAND()</f>
        <v/>
      </c>
      <c r="AD1961">
        <f>RAND()</f>
        <v/>
      </c>
      <c r="AE1961">
        <f>RAND()</f>
        <v/>
      </c>
      <c r="AF1961">
        <f>RAND()</f>
        <v/>
      </c>
    </row>
    <row r="1962">
      <c r="M1962" s="14">
        <f>_xlfn.BETA.INV($AA1962,1+4*($D$5-$C$5)/($E$5-$C$5),1+4*($E$5-$D$5)/($E$5-$C$5),$C$5,$E$5)</f>
        <v/>
      </c>
      <c r="N1962" s="14">
        <f>IF($AB1962&lt;($D$6-$C$6)/($E$6-$C$6),$C$6+SQRT($AB1962*($E$6-$C$6)*($D$6-$C$6)),$E$6-SQRT((1-$AB1962)*($E$6-$C$6)*($E$6-$D$6)))</f>
        <v/>
      </c>
      <c r="O1962" s="14">
        <f>_xlfn.NORM.INV($AC1962,$C$7,$D$7)</f>
        <v/>
      </c>
      <c r="P1962" s="14">
        <f>$C$8+($D$8-$C$8)*$AD1962</f>
        <v/>
      </c>
      <c r="Q1962" s="14">
        <f>$C$9</f>
        <v/>
      </c>
      <c r="R1962" s="14">
        <f>_xlfn.LOGNORM.INV($AF1962,LN($C$10)-0.5*LN(1+($D$10/$C$10)^2),SQRT(LN(1+($D$10/$C$10)^2)))</f>
        <v/>
      </c>
      <c r="S1962" s="14">
        <f>SUM(M1962:R1962)</f>
        <v/>
      </c>
      <c r="AA1962">
        <f>RAND()</f>
        <v/>
      </c>
      <c r="AB1962">
        <f>RAND()</f>
        <v/>
      </c>
      <c r="AC1962">
        <f>RAND()</f>
        <v/>
      </c>
      <c r="AD1962">
        <f>RAND()</f>
        <v/>
      </c>
      <c r="AE1962">
        <f>RAND()</f>
        <v/>
      </c>
      <c r="AF1962">
        <f>RAND()</f>
        <v/>
      </c>
    </row>
    <row r="1963">
      <c r="M1963" s="14">
        <f>_xlfn.BETA.INV($AA1963,1+4*($D$5-$C$5)/($E$5-$C$5),1+4*($E$5-$D$5)/($E$5-$C$5),$C$5,$E$5)</f>
        <v/>
      </c>
      <c r="N1963" s="14">
        <f>IF($AB1963&lt;($D$6-$C$6)/($E$6-$C$6),$C$6+SQRT($AB1963*($E$6-$C$6)*($D$6-$C$6)),$E$6-SQRT((1-$AB1963)*($E$6-$C$6)*($E$6-$D$6)))</f>
        <v/>
      </c>
      <c r="O1963" s="14">
        <f>_xlfn.NORM.INV($AC1963,$C$7,$D$7)</f>
        <v/>
      </c>
      <c r="P1963" s="14">
        <f>$C$8+($D$8-$C$8)*$AD1963</f>
        <v/>
      </c>
      <c r="Q1963" s="14">
        <f>$C$9</f>
        <v/>
      </c>
      <c r="R1963" s="14">
        <f>_xlfn.LOGNORM.INV($AF1963,LN($C$10)-0.5*LN(1+($D$10/$C$10)^2),SQRT(LN(1+($D$10/$C$10)^2)))</f>
        <v/>
      </c>
      <c r="S1963" s="14">
        <f>SUM(M1963:R1963)</f>
        <v/>
      </c>
      <c r="AA1963">
        <f>RAND()</f>
        <v/>
      </c>
      <c r="AB1963">
        <f>RAND()</f>
        <v/>
      </c>
      <c r="AC1963">
        <f>RAND()</f>
        <v/>
      </c>
      <c r="AD1963">
        <f>RAND()</f>
        <v/>
      </c>
      <c r="AE1963">
        <f>RAND()</f>
        <v/>
      </c>
      <c r="AF1963">
        <f>RAND()</f>
        <v/>
      </c>
    </row>
    <row r="1964">
      <c r="M1964" s="14">
        <f>_xlfn.BETA.INV($AA1964,1+4*($D$5-$C$5)/($E$5-$C$5),1+4*($E$5-$D$5)/($E$5-$C$5),$C$5,$E$5)</f>
        <v/>
      </c>
      <c r="N1964" s="14">
        <f>IF($AB1964&lt;($D$6-$C$6)/($E$6-$C$6),$C$6+SQRT($AB1964*($E$6-$C$6)*($D$6-$C$6)),$E$6-SQRT((1-$AB1964)*($E$6-$C$6)*($E$6-$D$6)))</f>
        <v/>
      </c>
      <c r="O1964" s="14">
        <f>_xlfn.NORM.INV($AC1964,$C$7,$D$7)</f>
        <v/>
      </c>
      <c r="P1964" s="14">
        <f>$C$8+($D$8-$C$8)*$AD1964</f>
        <v/>
      </c>
      <c r="Q1964" s="14">
        <f>$C$9</f>
        <v/>
      </c>
      <c r="R1964" s="14">
        <f>_xlfn.LOGNORM.INV($AF1964,LN($C$10)-0.5*LN(1+($D$10/$C$10)^2),SQRT(LN(1+($D$10/$C$10)^2)))</f>
        <v/>
      </c>
      <c r="S1964" s="14">
        <f>SUM(M1964:R1964)</f>
        <v/>
      </c>
      <c r="AA1964">
        <f>RAND()</f>
        <v/>
      </c>
      <c r="AB1964">
        <f>RAND()</f>
        <v/>
      </c>
      <c r="AC1964">
        <f>RAND()</f>
        <v/>
      </c>
      <c r="AD1964">
        <f>RAND()</f>
        <v/>
      </c>
      <c r="AE1964">
        <f>RAND()</f>
        <v/>
      </c>
      <c r="AF1964">
        <f>RAND()</f>
        <v/>
      </c>
    </row>
    <row r="1965">
      <c r="M1965" s="14">
        <f>_xlfn.BETA.INV($AA1965,1+4*($D$5-$C$5)/($E$5-$C$5),1+4*($E$5-$D$5)/($E$5-$C$5),$C$5,$E$5)</f>
        <v/>
      </c>
      <c r="N1965" s="14">
        <f>IF($AB1965&lt;($D$6-$C$6)/($E$6-$C$6),$C$6+SQRT($AB1965*($E$6-$C$6)*($D$6-$C$6)),$E$6-SQRT((1-$AB1965)*($E$6-$C$6)*($E$6-$D$6)))</f>
        <v/>
      </c>
      <c r="O1965" s="14">
        <f>_xlfn.NORM.INV($AC1965,$C$7,$D$7)</f>
        <v/>
      </c>
      <c r="P1965" s="14">
        <f>$C$8+($D$8-$C$8)*$AD1965</f>
        <v/>
      </c>
      <c r="Q1965" s="14">
        <f>$C$9</f>
        <v/>
      </c>
      <c r="R1965" s="14">
        <f>_xlfn.LOGNORM.INV($AF1965,LN($C$10)-0.5*LN(1+($D$10/$C$10)^2),SQRT(LN(1+($D$10/$C$10)^2)))</f>
        <v/>
      </c>
      <c r="S1965" s="14">
        <f>SUM(M1965:R1965)</f>
        <v/>
      </c>
      <c r="AA1965">
        <f>RAND()</f>
        <v/>
      </c>
      <c r="AB1965">
        <f>RAND()</f>
        <v/>
      </c>
      <c r="AC1965">
        <f>RAND()</f>
        <v/>
      </c>
      <c r="AD1965">
        <f>RAND()</f>
        <v/>
      </c>
      <c r="AE1965">
        <f>RAND()</f>
        <v/>
      </c>
      <c r="AF1965">
        <f>RAND()</f>
        <v/>
      </c>
    </row>
    <row r="1966">
      <c r="M1966" s="14">
        <f>_xlfn.BETA.INV($AA1966,1+4*($D$5-$C$5)/($E$5-$C$5),1+4*($E$5-$D$5)/($E$5-$C$5),$C$5,$E$5)</f>
        <v/>
      </c>
      <c r="N1966" s="14">
        <f>IF($AB1966&lt;($D$6-$C$6)/($E$6-$C$6),$C$6+SQRT($AB1966*($E$6-$C$6)*($D$6-$C$6)),$E$6-SQRT((1-$AB1966)*($E$6-$C$6)*($E$6-$D$6)))</f>
        <v/>
      </c>
      <c r="O1966" s="14">
        <f>_xlfn.NORM.INV($AC1966,$C$7,$D$7)</f>
        <v/>
      </c>
      <c r="P1966" s="14">
        <f>$C$8+($D$8-$C$8)*$AD1966</f>
        <v/>
      </c>
      <c r="Q1966" s="14">
        <f>$C$9</f>
        <v/>
      </c>
      <c r="R1966" s="14">
        <f>_xlfn.LOGNORM.INV($AF1966,LN($C$10)-0.5*LN(1+($D$10/$C$10)^2),SQRT(LN(1+($D$10/$C$10)^2)))</f>
        <v/>
      </c>
      <c r="S1966" s="14">
        <f>SUM(M1966:R1966)</f>
        <v/>
      </c>
      <c r="AA1966">
        <f>RAND()</f>
        <v/>
      </c>
      <c r="AB1966">
        <f>RAND()</f>
        <v/>
      </c>
      <c r="AC1966">
        <f>RAND()</f>
        <v/>
      </c>
      <c r="AD1966">
        <f>RAND()</f>
        <v/>
      </c>
      <c r="AE1966">
        <f>RAND()</f>
        <v/>
      </c>
      <c r="AF1966">
        <f>RAND()</f>
        <v/>
      </c>
    </row>
    <row r="1967">
      <c r="M1967" s="14">
        <f>_xlfn.BETA.INV($AA1967,1+4*($D$5-$C$5)/($E$5-$C$5),1+4*($E$5-$D$5)/($E$5-$C$5),$C$5,$E$5)</f>
        <v/>
      </c>
      <c r="N1967" s="14">
        <f>IF($AB1967&lt;($D$6-$C$6)/($E$6-$C$6),$C$6+SQRT($AB1967*($E$6-$C$6)*($D$6-$C$6)),$E$6-SQRT((1-$AB1967)*($E$6-$C$6)*($E$6-$D$6)))</f>
        <v/>
      </c>
      <c r="O1967" s="14">
        <f>_xlfn.NORM.INV($AC1967,$C$7,$D$7)</f>
        <v/>
      </c>
      <c r="P1967" s="14">
        <f>$C$8+($D$8-$C$8)*$AD1967</f>
        <v/>
      </c>
      <c r="Q1967" s="14">
        <f>$C$9</f>
        <v/>
      </c>
      <c r="R1967" s="14">
        <f>_xlfn.LOGNORM.INV($AF1967,LN($C$10)-0.5*LN(1+($D$10/$C$10)^2),SQRT(LN(1+($D$10/$C$10)^2)))</f>
        <v/>
      </c>
      <c r="S1967" s="14">
        <f>SUM(M1967:R1967)</f>
        <v/>
      </c>
      <c r="AA1967">
        <f>RAND()</f>
        <v/>
      </c>
      <c r="AB1967">
        <f>RAND()</f>
        <v/>
      </c>
      <c r="AC1967">
        <f>RAND()</f>
        <v/>
      </c>
      <c r="AD1967">
        <f>RAND()</f>
        <v/>
      </c>
      <c r="AE1967">
        <f>RAND()</f>
        <v/>
      </c>
      <c r="AF1967">
        <f>RAND()</f>
        <v/>
      </c>
    </row>
    <row r="1968">
      <c r="M1968" s="14">
        <f>_xlfn.BETA.INV($AA1968,1+4*($D$5-$C$5)/($E$5-$C$5),1+4*($E$5-$D$5)/($E$5-$C$5),$C$5,$E$5)</f>
        <v/>
      </c>
      <c r="N1968" s="14">
        <f>IF($AB1968&lt;($D$6-$C$6)/($E$6-$C$6),$C$6+SQRT($AB1968*($E$6-$C$6)*($D$6-$C$6)),$E$6-SQRT((1-$AB1968)*($E$6-$C$6)*($E$6-$D$6)))</f>
        <v/>
      </c>
      <c r="O1968" s="14">
        <f>_xlfn.NORM.INV($AC1968,$C$7,$D$7)</f>
        <v/>
      </c>
      <c r="P1968" s="14">
        <f>$C$8+($D$8-$C$8)*$AD1968</f>
        <v/>
      </c>
      <c r="Q1968" s="14">
        <f>$C$9</f>
        <v/>
      </c>
      <c r="R1968" s="14">
        <f>_xlfn.LOGNORM.INV($AF1968,LN($C$10)-0.5*LN(1+($D$10/$C$10)^2),SQRT(LN(1+($D$10/$C$10)^2)))</f>
        <v/>
      </c>
      <c r="S1968" s="14">
        <f>SUM(M1968:R1968)</f>
        <v/>
      </c>
      <c r="AA1968">
        <f>RAND()</f>
        <v/>
      </c>
      <c r="AB1968">
        <f>RAND()</f>
        <v/>
      </c>
      <c r="AC1968">
        <f>RAND()</f>
        <v/>
      </c>
      <c r="AD1968">
        <f>RAND()</f>
        <v/>
      </c>
      <c r="AE1968">
        <f>RAND()</f>
        <v/>
      </c>
      <c r="AF1968">
        <f>RAND()</f>
        <v/>
      </c>
    </row>
    <row r="1969">
      <c r="M1969" s="14">
        <f>_xlfn.BETA.INV($AA1969,1+4*($D$5-$C$5)/($E$5-$C$5),1+4*($E$5-$D$5)/($E$5-$C$5),$C$5,$E$5)</f>
        <v/>
      </c>
      <c r="N1969" s="14">
        <f>IF($AB1969&lt;($D$6-$C$6)/($E$6-$C$6),$C$6+SQRT($AB1969*($E$6-$C$6)*($D$6-$C$6)),$E$6-SQRT((1-$AB1969)*($E$6-$C$6)*($E$6-$D$6)))</f>
        <v/>
      </c>
      <c r="O1969" s="14">
        <f>_xlfn.NORM.INV($AC1969,$C$7,$D$7)</f>
        <v/>
      </c>
      <c r="P1969" s="14">
        <f>$C$8+($D$8-$C$8)*$AD1969</f>
        <v/>
      </c>
      <c r="Q1969" s="14">
        <f>$C$9</f>
        <v/>
      </c>
      <c r="R1969" s="14">
        <f>_xlfn.LOGNORM.INV($AF1969,LN($C$10)-0.5*LN(1+($D$10/$C$10)^2),SQRT(LN(1+($D$10/$C$10)^2)))</f>
        <v/>
      </c>
      <c r="S1969" s="14">
        <f>SUM(M1969:R1969)</f>
        <v/>
      </c>
      <c r="AA1969">
        <f>RAND()</f>
        <v/>
      </c>
      <c r="AB1969">
        <f>RAND()</f>
        <v/>
      </c>
      <c r="AC1969">
        <f>RAND()</f>
        <v/>
      </c>
      <c r="AD1969">
        <f>RAND()</f>
        <v/>
      </c>
      <c r="AE1969">
        <f>RAND()</f>
        <v/>
      </c>
      <c r="AF1969">
        <f>RAND()</f>
        <v/>
      </c>
    </row>
    <row r="1970">
      <c r="M1970" s="14">
        <f>_xlfn.BETA.INV($AA1970,1+4*($D$5-$C$5)/($E$5-$C$5),1+4*($E$5-$D$5)/($E$5-$C$5),$C$5,$E$5)</f>
        <v/>
      </c>
      <c r="N1970" s="14">
        <f>IF($AB1970&lt;($D$6-$C$6)/($E$6-$C$6),$C$6+SQRT($AB1970*($E$6-$C$6)*($D$6-$C$6)),$E$6-SQRT((1-$AB1970)*($E$6-$C$6)*($E$6-$D$6)))</f>
        <v/>
      </c>
      <c r="O1970" s="14">
        <f>_xlfn.NORM.INV($AC1970,$C$7,$D$7)</f>
        <v/>
      </c>
      <c r="P1970" s="14">
        <f>$C$8+($D$8-$C$8)*$AD1970</f>
        <v/>
      </c>
      <c r="Q1970" s="14">
        <f>$C$9</f>
        <v/>
      </c>
      <c r="R1970" s="14">
        <f>_xlfn.LOGNORM.INV($AF1970,LN($C$10)-0.5*LN(1+($D$10/$C$10)^2),SQRT(LN(1+($D$10/$C$10)^2)))</f>
        <v/>
      </c>
      <c r="S1970" s="14">
        <f>SUM(M1970:R1970)</f>
        <v/>
      </c>
      <c r="AA1970">
        <f>RAND()</f>
        <v/>
      </c>
      <c r="AB1970">
        <f>RAND()</f>
        <v/>
      </c>
      <c r="AC1970">
        <f>RAND()</f>
        <v/>
      </c>
      <c r="AD1970">
        <f>RAND()</f>
        <v/>
      </c>
      <c r="AE1970">
        <f>RAND()</f>
        <v/>
      </c>
      <c r="AF1970">
        <f>RAND()</f>
        <v/>
      </c>
    </row>
    <row r="1971">
      <c r="M1971" s="14">
        <f>_xlfn.BETA.INV($AA1971,1+4*($D$5-$C$5)/($E$5-$C$5),1+4*($E$5-$D$5)/($E$5-$C$5),$C$5,$E$5)</f>
        <v/>
      </c>
      <c r="N1971" s="14">
        <f>IF($AB1971&lt;($D$6-$C$6)/($E$6-$C$6),$C$6+SQRT($AB1971*($E$6-$C$6)*($D$6-$C$6)),$E$6-SQRT((1-$AB1971)*($E$6-$C$6)*($E$6-$D$6)))</f>
        <v/>
      </c>
      <c r="O1971" s="14">
        <f>_xlfn.NORM.INV($AC1971,$C$7,$D$7)</f>
        <v/>
      </c>
      <c r="P1971" s="14">
        <f>$C$8+($D$8-$C$8)*$AD1971</f>
        <v/>
      </c>
      <c r="Q1971" s="14">
        <f>$C$9</f>
        <v/>
      </c>
      <c r="R1971" s="14">
        <f>_xlfn.LOGNORM.INV($AF1971,LN($C$10)-0.5*LN(1+($D$10/$C$10)^2),SQRT(LN(1+($D$10/$C$10)^2)))</f>
        <v/>
      </c>
      <c r="S1971" s="14">
        <f>SUM(M1971:R1971)</f>
        <v/>
      </c>
      <c r="AA1971">
        <f>RAND()</f>
        <v/>
      </c>
      <c r="AB1971">
        <f>RAND()</f>
        <v/>
      </c>
      <c r="AC1971">
        <f>RAND()</f>
        <v/>
      </c>
      <c r="AD1971">
        <f>RAND()</f>
        <v/>
      </c>
      <c r="AE1971">
        <f>RAND()</f>
        <v/>
      </c>
      <c r="AF1971">
        <f>RAND()</f>
        <v/>
      </c>
    </row>
    <row r="1972">
      <c r="M1972" s="14">
        <f>_xlfn.BETA.INV($AA1972,1+4*($D$5-$C$5)/($E$5-$C$5),1+4*($E$5-$D$5)/($E$5-$C$5),$C$5,$E$5)</f>
        <v/>
      </c>
      <c r="N1972" s="14">
        <f>IF($AB1972&lt;($D$6-$C$6)/($E$6-$C$6),$C$6+SQRT($AB1972*($E$6-$C$6)*($D$6-$C$6)),$E$6-SQRT((1-$AB1972)*($E$6-$C$6)*($E$6-$D$6)))</f>
        <v/>
      </c>
      <c r="O1972" s="14">
        <f>_xlfn.NORM.INV($AC1972,$C$7,$D$7)</f>
        <v/>
      </c>
      <c r="P1972" s="14">
        <f>$C$8+($D$8-$C$8)*$AD1972</f>
        <v/>
      </c>
      <c r="Q1972" s="14">
        <f>$C$9</f>
        <v/>
      </c>
      <c r="R1972" s="14">
        <f>_xlfn.LOGNORM.INV($AF1972,LN($C$10)-0.5*LN(1+($D$10/$C$10)^2),SQRT(LN(1+($D$10/$C$10)^2)))</f>
        <v/>
      </c>
      <c r="S1972" s="14">
        <f>SUM(M1972:R1972)</f>
        <v/>
      </c>
      <c r="AA1972">
        <f>RAND()</f>
        <v/>
      </c>
      <c r="AB1972">
        <f>RAND()</f>
        <v/>
      </c>
      <c r="AC1972">
        <f>RAND()</f>
        <v/>
      </c>
      <c r="AD1972">
        <f>RAND()</f>
        <v/>
      </c>
      <c r="AE1972">
        <f>RAND()</f>
        <v/>
      </c>
      <c r="AF1972">
        <f>RAND()</f>
        <v/>
      </c>
    </row>
    <row r="1973">
      <c r="M1973" s="14">
        <f>_xlfn.BETA.INV($AA1973,1+4*($D$5-$C$5)/($E$5-$C$5),1+4*($E$5-$D$5)/($E$5-$C$5),$C$5,$E$5)</f>
        <v/>
      </c>
      <c r="N1973" s="14">
        <f>IF($AB1973&lt;($D$6-$C$6)/($E$6-$C$6),$C$6+SQRT($AB1973*($E$6-$C$6)*($D$6-$C$6)),$E$6-SQRT((1-$AB1973)*($E$6-$C$6)*($E$6-$D$6)))</f>
        <v/>
      </c>
      <c r="O1973" s="14">
        <f>_xlfn.NORM.INV($AC1973,$C$7,$D$7)</f>
        <v/>
      </c>
      <c r="P1973" s="14">
        <f>$C$8+($D$8-$C$8)*$AD1973</f>
        <v/>
      </c>
      <c r="Q1973" s="14">
        <f>$C$9</f>
        <v/>
      </c>
      <c r="R1973" s="14">
        <f>_xlfn.LOGNORM.INV($AF1973,LN($C$10)-0.5*LN(1+($D$10/$C$10)^2),SQRT(LN(1+($D$10/$C$10)^2)))</f>
        <v/>
      </c>
      <c r="S1973" s="14">
        <f>SUM(M1973:R1973)</f>
        <v/>
      </c>
      <c r="AA1973">
        <f>RAND()</f>
        <v/>
      </c>
      <c r="AB1973">
        <f>RAND()</f>
        <v/>
      </c>
      <c r="AC1973">
        <f>RAND()</f>
        <v/>
      </c>
      <c r="AD1973">
        <f>RAND()</f>
        <v/>
      </c>
      <c r="AE1973">
        <f>RAND()</f>
        <v/>
      </c>
      <c r="AF1973">
        <f>RAND()</f>
        <v/>
      </c>
    </row>
    <row r="1974">
      <c r="M1974" s="14">
        <f>_xlfn.BETA.INV($AA1974,1+4*($D$5-$C$5)/($E$5-$C$5),1+4*($E$5-$D$5)/($E$5-$C$5),$C$5,$E$5)</f>
        <v/>
      </c>
      <c r="N1974" s="14">
        <f>IF($AB1974&lt;($D$6-$C$6)/($E$6-$C$6),$C$6+SQRT($AB1974*($E$6-$C$6)*($D$6-$C$6)),$E$6-SQRT((1-$AB1974)*($E$6-$C$6)*($E$6-$D$6)))</f>
        <v/>
      </c>
      <c r="O1974" s="14">
        <f>_xlfn.NORM.INV($AC1974,$C$7,$D$7)</f>
        <v/>
      </c>
      <c r="P1974" s="14">
        <f>$C$8+($D$8-$C$8)*$AD1974</f>
        <v/>
      </c>
      <c r="Q1974" s="14">
        <f>$C$9</f>
        <v/>
      </c>
      <c r="R1974" s="14">
        <f>_xlfn.LOGNORM.INV($AF1974,LN($C$10)-0.5*LN(1+($D$10/$C$10)^2),SQRT(LN(1+($D$10/$C$10)^2)))</f>
        <v/>
      </c>
      <c r="S1974" s="14">
        <f>SUM(M1974:R1974)</f>
        <v/>
      </c>
      <c r="AA1974">
        <f>RAND()</f>
        <v/>
      </c>
      <c r="AB1974">
        <f>RAND()</f>
        <v/>
      </c>
      <c r="AC1974">
        <f>RAND()</f>
        <v/>
      </c>
      <c r="AD1974">
        <f>RAND()</f>
        <v/>
      </c>
      <c r="AE1974">
        <f>RAND()</f>
        <v/>
      </c>
      <c r="AF1974">
        <f>RAND()</f>
        <v/>
      </c>
    </row>
    <row r="1975">
      <c r="M1975" s="14">
        <f>_xlfn.BETA.INV($AA1975,1+4*($D$5-$C$5)/($E$5-$C$5),1+4*($E$5-$D$5)/($E$5-$C$5),$C$5,$E$5)</f>
        <v/>
      </c>
      <c r="N1975" s="14">
        <f>IF($AB1975&lt;($D$6-$C$6)/($E$6-$C$6),$C$6+SQRT($AB1975*($E$6-$C$6)*($D$6-$C$6)),$E$6-SQRT((1-$AB1975)*($E$6-$C$6)*($E$6-$D$6)))</f>
        <v/>
      </c>
      <c r="O1975" s="14">
        <f>_xlfn.NORM.INV($AC1975,$C$7,$D$7)</f>
        <v/>
      </c>
      <c r="P1975" s="14">
        <f>$C$8+($D$8-$C$8)*$AD1975</f>
        <v/>
      </c>
      <c r="Q1975" s="14">
        <f>$C$9</f>
        <v/>
      </c>
      <c r="R1975" s="14">
        <f>_xlfn.LOGNORM.INV($AF1975,LN($C$10)-0.5*LN(1+($D$10/$C$10)^2),SQRT(LN(1+($D$10/$C$10)^2)))</f>
        <v/>
      </c>
      <c r="S1975" s="14">
        <f>SUM(M1975:R1975)</f>
        <v/>
      </c>
      <c r="AA1975">
        <f>RAND()</f>
        <v/>
      </c>
      <c r="AB1975">
        <f>RAND()</f>
        <v/>
      </c>
      <c r="AC1975">
        <f>RAND()</f>
        <v/>
      </c>
      <c r="AD1975">
        <f>RAND()</f>
        <v/>
      </c>
      <c r="AE1975">
        <f>RAND()</f>
        <v/>
      </c>
      <c r="AF1975">
        <f>RAND()</f>
        <v/>
      </c>
    </row>
    <row r="1976">
      <c r="M1976" s="14">
        <f>_xlfn.BETA.INV($AA1976,1+4*($D$5-$C$5)/($E$5-$C$5),1+4*($E$5-$D$5)/($E$5-$C$5),$C$5,$E$5)</f>
        <v/>
      </c>
      <c r="N1976" s="14">
        <f>IF($AB1976&lt;($D$6-$C$6)/($E$6-$C$6),$C$6+SQRT($AB1976*($E$6-$C$6)*($D$6-$C$6)),$E$6-SQRT((1-$AB1976)*($E$6-$C$6)*($E$6-$D$6)))</f>
        <v/>
      </c>
      <c r="O1976" s="14">
        <f>_xlfn.NORM.INV($AC1976,$C$7,$D$7)</f>
        <v/>
      </c>
      <c r="P1976" s="14">
        <f>$C$8+($D$8-$C$8)*$AD1976</f>
        <v/>
      </c>
      <c r="Q1976" s="14">
        <f>$C$9</f>
        <v/>
      </c>
      <c r="R1976" s="14">
        <f>_xlfn.LOGNORM.INV($AF1976,LN($C$10)-0.5*LN(1+($D$10/$C$10)^2),SQRT(LN(1+($D$10/$C$10)^2)))</f>
        <v/>
      </c>
      <c r="S1976" s="14">
        <f>SUM(M1976:R1976)</f>
        <v/>
      </c>
      <c r="AA1976">
        <f>RAND()</f>
        <v/>
      </c>
      <c r="AB1976">
        <f>RAND()</f>
        <v/>
      </c>
      <c r="AC1976">
        <f>RAND()</f>
        <v/>
      </c>
      <c r="AD1976">
        <f>RAND()</f>
        <v/>
      </c>
      <c r="AE1976">
        <f>RAND()</f>
        <v/>
      </c>
      <c r="AF1976">
        <f>RAND()</f>
        <v/>
      </c>
    </row>
    <row r="1977">
      <c r="M1977" s="14">
        <f>_xlfn.BETA.INV($AA1977,1+4*($D$5-$C$5)/($E$5-$C$5),1+4*($E$5-$D$5)/($E$5-$C$5),$C$5,$E$5)</f>
        <v/>
      </c>
      <c r="N1977" s="14">
        <f>IF($AB1977&lt;($D$6-$C$6)/($E$6-$C$6),$C$6+SQRT($AB1977*($E$6-$C$6)*($D$6-$C$6)),$E$6-SQRT((1-$AB1977)*($E$6-$C$6)*($E$6-$D$6)))</f>
        <v/>
      </c>
      <c r="O1977" s="14">
        <f>_xlfn.NORM.INV($AC1977,$C$7,$D$7)</f>
        <v/>
      </c>
      <c r="P1977" s="14">
        <f>$C$8+($D$8-$C$8)*$AD1977</f>
        <v/>
      </c>
      <c r="Q1977" s="14">
        <f>$C$9</f>
        <v/>
      </c>
      <c r="R1977" s="14">
        <f>_xlfn.LOGNORM.INV($AF1977,LN($C$10)-0.5*LN(1+($D$10/$C$10)^2),SQRT(LN(1+($D$10/$C$10)^2)))</f>
        <v/>
      </c>
      <c r="S1977" s="14">
        <f>SUM(M1977:R1977)</f>
        <v/>
      </c>
      <c r="AA1977">
        <f>RAND()</f>
        <v/>
      </c>
      <c r="AB1977">
        <f>RAND()</f>
        <v/>
      </c>
      <c r="AC1977">
        <f>RAND()</f>
        <v/>
      </c>
      <c r="AD1977">
        <f>RAND()</f>
        <v/>
      </c>
      <c r="AE1977">
        <f>RAND()</f>
        <v/>
      </c>
      <c r="AF1977">
        <f>RAND()</f>
        <v/>
      </c>
    </row>
    <row r="1978">
      <c r="M1978" s="14">
        <f>_xlfn.BETA.INV($AA1978,1+4*($D$5-$C$5)/($E$5-$C$5),1+4*($E$5-$D$5)/($E$5-$C$5),$C$5,$E$5)</f>
        <v/>
      </c>
      <c r="N1978" s="14">
        <f>IF($AB1978&lt;($D$6-$C$6)/($E$6-$C$6),$C$6+SQRT($AB1978*($E$6-$C$6)*($D$6-$C$6)),$E$6-SQRT((1-$AB1978)*($E$6-$C$6)*($E$6-$D$6)))</f>
        <v/>
      </c>
      <c r="O1978" s="14">
        <f>_xlfn.NORM.INV($AC1978,$C$7,$D$7)</f>
        <v/>
      </c>
      <c r="P1978" s="14">
        <f>$C$8+($D$8-$C$8)*$AD1978</f>
        <v/>
      </c>
      <c r="Q1978" s="14">
        <f>$C$9</f>
        <v/>
      </c>
      <c r="R1978" s="14">
        <f>_xlfn.LOGNORM.INV($AF1978,LN($C$10)-0.5*LN(1+($D$10/$C$10)^2),SQRT(LN(1+($D$10/$C$10)^2)))</f>
        <v/>
      </c>
      <c r="S1978" s="14">
        <f>SUM(M1978:R1978)</f>
        <v/>
      </c>
      <c r="AA1978">
        <f>RAND()</f>
        <v/>
      </c>
      <c r="AB1978">
        <f>RAND()</f>
        <v/>
      </c>
      <c r="AC1978">
        <f>RAND()</f>
        <v/>
      </c>
      <c r="AD1978">
        <f>RAND()</f>
        <v/>
      </c>
      <c r="AE1978">
        <f>RAND()</f>
        <v/>
      </c>
      <c r="AF1978">
        <f>RAND()</f>
        <v/>
      </c>
    </row>
    <row r="1979">
      <c r="M1979" s="14">
        <f>_xlfn.BETA.INV($AA1979,1+4*($D$5-$C$5)/($E$5-$C$5),1+4*($E$5-$D$5)/($E$5-$C$5),$C$5,$E$5)</f>
        <v/>
      </c>
      <c r="N1979" s="14">
        <f>IF($AB1979&lt;($D$6-$C$6)/($E$6-$C$6),$C$6+SQRT($AB1979*($E$6-$C$6)*($D$6-$C$6)),$E$6-SQRT((1-$AB1979)*($E$6-$C$6)*($E$6-$D$6)))</f>
        <v/>
      </c>
      <c r="O1979" s="14">
        <f>_xlfn.NORM.INV($AC1979,$C$7,$D$7)</f>
        <v/>
      </c>
      <c r="P1979" s="14">
        <f>$C$8+($D$8-$C$8)*$AD1979</f>
        <v/>
      </c>
      <c r="Q1979" s="14">
        <f>$C$9</f>
        <v/>
      </c>
      <c r="R1979" s="14">
        <f>_xlfn.LOGNORM.INV($AF1979,LN($C$10)-0.5*LN(1+($D$10/$C$10)^2),SQRT(LN(1+($D$10/$C$10)^2)))</f>
        <v/>
      </c>
      <c r="S1979" s="14">
        <f>SUM(M1979:R1979)</f>
        <v/>
      </c>
      <c r="AA1979">
        <f>RAND()</f>
        <v/>
      </c>
      <c r="AB1979">
        <f>RAND()</f>
        <v/>
      </c>
      <c r="AC1979">
        <f>RAND()</f>
        <v/>
      </c>
      <c r="AD1979">
        <f>RAND()</f>
        <v/>
      </c>
      <c r="AE1979">
        <f>RAND()</f>
        <v/>
      </c>
      <c r="AF1979">
        <f>RAND()</f>
        <v/>
      </c>
    </row>
    <row r="1980">
      <c r="M1980" s="14">
        <f>_xlfn.BETA.INV($AA1980,1+4*($D$5-$C$5)/($E$5-$C$5),1+4*($E$5-$D$5)/($E$5-$C$5),$C$5,$E$5)</f>
        <v/>
      </c>
      <c r="N1980" s="14">
        <f>IF($AB1980&lt;($D$6-$C$6)/($E$6-$C$6),$C$6+SQRT($AB1980*($E$6-$C$6)*($D$6-$C$6)),$E$6-SQRT((1-$AB1980)*($E$6-$C$6)*($E$6-$D$6)))</f>
        <v/>
      </c>
      <c r="O1980" s="14">
        <f>_xlfn.NORM.INV($AC1980,$C$7,$D$7)</f>
        <v/>
      </c>
      <c r="P1980" s="14">
        <f>$C$8+($D$8-$C$8)*$AD1980</f>
        <v/>
      </c>
      <c r="Q1980" s="14">
        <f>$C$9</f>
        <v/>
      </c>
      <c r="R1980" s="14">
        <f>_xlfn.LOGNORM.INV($AF1980,LN($C$10)-0.5*LN(1+($D$10/$C$10)^2),SQRT(LN(1+($D$10/$C$10)^2)))</f>
        <v/>
      </c>
      <c r="S1980" s="14">
        <f>SUM(M1980:R1980)</f>
        <v/>
      </c>
      <c r="AA1980">
        <f>RAND()</f>
        <v/>
      </c>
      <c r="AB1980">
        <f>RAND()</f>
        <v/>
      </c>
      <c r="AC1980">
        <f>RAND()</f>
        <v/>
      </c>
      <c r="AD1980">
        <f>RAND()</f>
        <v/>
      </c>
      <c r="AE1980">
        <f>RAND()</f>
        <v/>
      </c>
      <c r="AF1980">
        <f>RAND()</f>
        <v/>
      </c>
    </row>
    <row r="1981">
      <c r="M1981" s="14">
        <f>_xlfn.BETA.INV($AA1981,1+4*($D$5-$C$5)/($E$5-$C$5),1+4*($E$5-$D$5)/($E$5-$C$5),$C$5,$E$5)</f>
        <v/>
      </c>
      <c r="N1981" s="14">
        <f>IF($AB1981&lt;($D$6-$C$6)/($E$6-$C$6),$C$6+SQRT($AB1981*($E$6-$C$6)*($D$6-$C$6)),$E$6-SQRT((1-$AB1981)*($E$6-$C$6)*($E$6-$D$6)))</f>
        <v/>
      </c>
      <c r="O1981" s="14">
        <f>_xlfn.NORM.INV($AC1981,$C$7,$D$7)</f>
        <v/>
      </c>
      <c r="P1981" s="14">
        <f>$C$8+($D$8-$C$8)*$AD1981</f>
        <v/>
      </c>
      <c r="Q1981" s="14">
        <f>$C$9</f>
        <v/>
      </c>
      <c r="R1981" s="14">
        <f>_xlfn.LOGNORM.INV($AF1981,LN($C$10)-0.5*LN(1+($D$10/$C$10)^2),SQRT(LN(1+($D$10/$C$10)^2)))</f>
        <v/>
      </c>
      <c r="S1981" s="14">
        <f>SUM(M1981:R1981)</f>
        <v/>
      </c>
      <c r="AA1981">
        <f>RAND()</f>
        <v/>
      </c>
      <c r="AB1981">
        <f>RAND()</f>
        <v/>
      </c>
      <c r="AC1981">
        <f>RAND()</f>
        <v/>
      </c>
      <c r="AD1981">
        <f>RAND()</f>
        <v/>
      </c>
      <c r="AE1981">
        <f>RAND()</f>
        <v/>
      </c>
      <c r="AF1981">
        <f>RAND()</f>
        <v/>
      </c>
    </row>
    <row r="1982">
      <c r="M1982" s="14">
        <f>_xlfn.BETA.INV($AA1982,1+4*($D$5-$C$5)/($E$5-$C$5),1+4*($E$5-$D$5)/($E$5-$C$5),$C$5,$E$5)</f>
        <v/>
      </c>
      <c r="N1982" s="14">
        <f>IF($AB1982&lt;($D$6-$C$6)/($E$6-$C$6),$C$6+SQRT($AB1982*($E$6-$C$6)*($D$6-$C$6)),$E$6-SQRT((1-$AB1982)*($E$6-$C$6)*($E$6-$D$6)))</f>
        <v/>
      </c>
      <c r="O1982" s="14">
        <f>_xlfn.NORM.INV($AC1982,$C$7,$D$7)</f>
        <v/>
      </c>
      <c r="P1982" s="14">
        <f>$C$8+($D$8-$C$8)*$AD1982</f>
        <v/>
      </c>
      <c r="Q1982" s="14">
        <f>$C$9</f>
        <v/>
      </c>
      <c r="R1982" s="14">
        <f>_xlfn.LOGNORM.INV($AF1982,LN($C$10)-0.5*LN(1+($D$10/$C$10)^2),SQRT(LN(1+($D$10/$C$10)^2)))</f>
        <v/>
      </c>
      <c r="S1982" s="14">
        <f>SUM(M1982:R1982)</f>
        <v/>
      </c>
      <c r="AA1982">
        <f>RAND()</f>
        <v/>
      </c>
      <c r="AB1982">
        <f>RAND()</f>
        <v/>
      </c>
      <c r="AC1982">
        <f>RAND()</f>
        <v/>
      </c>
      <c r="AD1982">
        <f>RAND()</f>
        <v/>
      </c>
      <c r="AE1982">
        <f>RAND()</f>
        <v/>
      </c>
      <c r="AF1982">
        <f>RAND()</f>
        <v/>
      </c>
    </row>
    <row r="1983">
      <c r="M1983" s="14">
        <f>_xlfn.BETA.INV($AA1983,1+4*($D$5-$C$5)/($E$5-$C$5),1+4*($E$5-$D$5)/($E$5-$C$5),$C$5,$E$5)</f>
        <v/>
      </c>
      <c r="N1983" s="14">
        <f>IF($AB1983&lt;($D$6-$C$6)/($E$6-$C$6),$C$6+SQRT($AB1983*($E$6-$C$6)*($D$6-$C$6)),$E$6-SQRT((1-$AB1983)*($E$6-$C$6)*($E$6-$D$6)))</f>
        <v/>
      </c>
      <c r="O1983" s="14">
        <f>_xlfn.NORM.INV($AC1983,$C$7,$D$7)</f>
        <v/>
      </c>
      <c r="P1983" s="14">
        <f>$C$8+($D$8-$C$8)*$AD1983</f>
        <v/>
      </c>
      <c r="Q1983" s="14">
        <f>$C$9</f>
        <v/>
      </c>
      <c r="R1983" s="14">
        <f>_xlfn.LOGNORM.INV($AF1983,LN($C$10)-0.5*LN(1+($D$10/$C$10)^2),SQRT(LN(1+($D$10/$C$10)^2)))</f>
        <v/>
      </c>
      <c r="S1983" s="14">
        <f>SUM(M1983:R1983)</f>
        <v/>
      </c>
      <c r="AA1983">
        <f>RAND()</f>
        <v/>
      </c>
      <c r="AB1983">
        <f>RAND()</f>
        <v/>
      </c>
      <c r="AC1983">
        <f>RAND()</f>
        <v/>
      </c>
      <c r="AD1983">
        <f>RAND()</f>
        <v/>
      </c>
      <c r="AE1983">
        <f>RAND()</f>
        <v/>
      </c>
      <c r="AF1983">
        <f>RAND()</f>
        <v/>
      </c>
    </row>
    <row r="1984">
      <c r="M1984" s="14">
        <f>_xlfn.BETA.INV($AA1984,1+4*($D$5-$C$5)/($E$5-$C$5),1+4*($E$5-$D$5)/($E$5-$C$5),$C$5,$E$5)</f>
        <v/>
      </c>
      <c r="N1984" s="14">
        <f>IF($AB1984&lt;($D$6-$C$6)/($E$6-$C$6),$C$6+SQRT($AB1984*($E$6-$C$6)*($D$6-$C$6)),$E$6-SQRT((1-$AB1984)*($E$6-$C$6)*($E$6-$D$6)))</f>
        <v/>
      </c>
      <c r="O1984" s="14">
        <f>_xlfn.NORM.INV($AC1984,$C$7,$D$7)</f>
        <v/>
      </c>
      <c r="P1984" s="14">
        <f>$C$8+($D$8-$C$8)*$AD1984</f>
        <v/>
      </c>
      <c r="Q1984" s="14">
        <f>$C$9</f>
        <v/>
      </c>
      <c r="R1984" s="14">
        <f>_xlfn.LOGNORM.INV($AF1984,LN($C$10)-0.5*LN(1+($D$10/$C$10)^2),SQRT(LN(1+($D$10/$C$10)^2)))</f>
        <v/>
      </c>
      <c r="S1984" s="14">
        <f>SUM(M1984:R1984)</f>
        <v/>
      </c>
      <c r="AA1984">
        <f>RAND()</f>
        <v/>
      </c>
      <c r="AB1984">
        <f>RAND()</f>
        <v/>
      </c>
      <c r="AC1984">
        <f>RAND()</f>
        <v/>
      </c>
      <c r="AD1984">
        <f>RAND()</f>
        <v/>
      </c>
      <c r="AE1984">
        <f>RAND()</f>
        <v/>
      </c>
      <c r="AF1984">
        <f>RAND()</f>
        <v/>
      </c>
    </row>
    <row r="1985">
      <c r="M1985" s="14">
        <f>_xlfn.BETA.INV($AA1985,1+4*($D$5-$C$5)/($E$5-$C$5),1+4*($E$5-$D$5)/($E$5-$C$5),$C$5,$E$5)</f>
        <v/>
      </c>
      <c r="N1985" s="14">
        <f>IF($AB1985&lt;($D$6-$C$6)/($E$6-$C$6),$C$6+SQRT($AB1985*($E$6-$C$6)*($D$6-$C$6)),$E$6-SQRT((1-$AB1985)*($E$6-$C$6)*($E$6-$D$6)))</f>
        <v/>
      </c>
      <c r="O1985" s="14">
        <f>_xlfn.NORM.INV($AC1985,$C$7,$D$7)</f>
        <v/>
      </c>
      <c r="P1985" s="14">
        <f>$C$8+($D$8-$C$8)*$AD1985</f>
        <v/>
      </c>
      <c r="Q1985" s="14">
        <f>$C$9</f>
        <v/>
      </c>
      <c r="R1985" s="14">
        <f>_xlfn.LOGNORM.INV($AF1985,LN($C$10)-0.5*LN(1+($D$10/$C$10)^2),SQRT(LN(1+($D$10/$C$10)^2)))</f>
        <v/>
      </c>
      <c r="S1985" s="14">
        <f>SUM(M1985:R1985)</f>
        <v/>
      </c>
      <c r="AA1985">
        <f>RAND()</f>
        <v/>
      </c>
      <c r="AB1985">
        <f>RAND()</f>
        <v/>
      </c>
      <c r="AC1985">
        <f>RAND()</f>
        <v/>
      </c>
      <c r="AD1985">
        <f>RAND()</f>
        <v/>
      </c>
      <c r="AE1985">
        <f>RAND()</f>
        <v/>
      </c>
      <c r="AF1985">
        <f>RAND()</f>
        <v/>
      </c>
    </row>
    <row r="1986">
      <c r="M1986" s="14">
        <f>_xlfn.BETA.INV($AA1986,1+4*($D$5-$C$5)/($E$5-$C$5),1+4*($E$5-$D$5)/($E$5-$C$5),$C$5,$E$5)</f>
        <v/>
      </c>
      <c r="N1986" s="14">
        <f>IF($AB1986&lt;($D$6-$C$6)/($E$6-$C$6),$C$6+SQRT($AB1986*($E$6-$C$6)*($D$6-$C$6)),$E$6-SQRT((1-$AB1986)*($E$6-$C$6)*($E$6-$D$6)))</f>
        <v/>
      </c>
      <c r="O1986" s="14">
        <f>_xlfn.NORM.INV($AC1986,$C$7,$D$7)</f>
        <v/>
      </c>
      <c r="P1986" s="14">
        <f>$C$8+($D$8-$C$8)*$AD1986</f>
        <v/>
      </c>
      <c r="Q1986" s="14">
        <f>$C$9</f>
        <v/>
      </c>
      <c r="R1986" s="14">
        <f>_xlfn.LOGNORM.INV($AF1986,LN($C$10)-0.5*LN(1+($D$10/$C$10)^2),SQRT(LN(1+($D$10/$C$10)^2)))</f>
        <v/>
      </c>
      <c r="S1986" s="14">
        <f>SUM(M1986:R1986)</f>
        <v/>
      </c>
      <c r="AA1986">
        <f>RAND()</f>
        <v/>
      </c>
      <c r="AB1986">
        <f>RAND()</f>
        <v/>
      </c>
      <c r="AC1986">
        <f>RAND()</f>
        <v/>
      </c>
      <c r="AD1986">
        <f>RAND()</f>
        <v/>
      </c>
      <c r="AE1986">
        <f>RAND()</f>
        <v/>
      </c>
      <c r="AF1986">
        <f>RAND()</f>
        <v/>
      </c>
    </row>
    <row r="1987">
      <c r="M1987" s="14">
        <f>_xlfn.BETA.INV($AA1987,1+4*($D$5-$C$5)/($E$5-$C$5),1+4*($E$5-$D$5)/($E$5-$C$5),$C$5,$E$5)</f>
        <v/>
      </c>
      <c r="N1987" s="14">
        <f>IF($AB1987&lt;($D$6-$C$6)/($E$6-$C$6),$C$6+SQRT($AB1987*($E$6-$C$6)*($D$6-$C$6)),$E$6-SQRT((1-$AB1987)*($E$6-$C$6)*($E$6-$D$6)))</f>
        <v/>
      </c>
      <c r="O1987" s="14">
        <f>_xlfn.NORM.INV($AC1987,$C$7,$D$7)</f>
        <v/>
      </c>
      <c r="P1987" s="14">
        <f>$C$8+($D$8-$C$8)*$AD1987</f>
        <v/>
      </c>
      <c r="Q1987" s="14">
        <f>$C$9</f>
        <v/>
      </c>
      <c r="R1987" s="14">
        <f>_xlfn.LOGNORM.INV($AF1987,LN($C$10)-0.5*LN(1+($D$10/$C$10)^2),SQRT(LN(1+($D$10/$C$10)^2)))</f>
        <v/>
      </c>
      <c r="S1987" s="14">
        <f>SUM(M1987:R1987)</f>
        <v/>
      </c>
      <c r="AA1987">
        <f>RAND()</f>
        <v/>
      </c>
      <c r="AB1987">
        <f>RAND()</f>
        <v/>
      </c>
      <c r="AC1987">
        <f>RAND()</f>
        <v/>
      </c>
      <c r="AD1987">
        <f>RAND()</f>
        <v/>
      </c>
      <c r="AE1987">
        <f>RAND()</f>
        <v/>
      </c>
      <c r="AF1987">
        <f>RAND()</f>
        <v/>
      </c>
    </row>
    <row r="1988">
      <c r="M1988" s="14">
        <f>_xlfn.BETA.INV($AA1988,1+4*($D$5-$C$5)/($E$5-$C$5),1+4*($E$5-$D$5)/($E$5-$C$5),$C$5,$E$5)</f>
        <v/>
      </c>
      <c r="N1988" s="14">
        <f>IF($AB1988&lt;($D$6-$C$6)/($E$6-$C$6),$C$6+SQRT($AB1988*($E$6-$C$6)*($D$6-$C$6)),$E$6-SQRT((1-$AB1988)*($E$6-$C$6)*($E$6-$D$6)))</f>
        <v/>
      </c>
      <c r="O1988" s="14">
        <f>_xlfn.NORM.INV($AC1988,$C$7,$D$7)</f>
        <v/>
      </c>
      <c r="P1988" s="14">
        <f>$C$8+($D$8-$C$8)*$AD1988</f>
        <v/>
      </c>
      <c r="Q1988" s="14">
        <f>$C$9</f>
        <v/>
      </c>
      <c r="R1988" s="14">
        <f>_xlfn.LOGNORM.INV($AF1988,LN($C$10)-0.5*LN(1+($D$10/$C$10)^2),SQRT(LN(1+($D$10/$C$10)^2)))</f>
        <v/>
      </c>
      <c r="S1988" s="14">
        <f>SUM(M1988:R1988)</f>
        <v/>
      </c>
      <c r="AA1988">
        <f>RAND()</f>
        <v/>
      </c>
      <c r="AB1988">
        <f>RAND()</f>
        <v/>
      </c>
      <c r="AC1988">
        <f>RAND()</f>
        <v/>
      </c>
      <c r="AD1988">
        <f>RAND()</f>
        <v/>
      </c>
      <c r="AE1988">
        <f>RAND()</f>
        <v/>
      </c>
      <c r="AF1988">
        <f>RAND()</f>
        <v/>
      </c>
    </row>
    <row r="1989">
      <c r="M1989" s="14">
        <f>_xlfn.BETA.INV($AA1989,1+4*($D$5-$C$5)/($E$5-$C$5),1+4*($E$5-$D$5)/($E$5-$C$5),$C$5,$E$5)</f>
        <v/>
      </c>
      <c r="N1989" s="14">
        <f>IF($AB1989&lt;($D$6-$C$6)/($E$6-$C$6),$C$6+SQRT($AB1989*($E$6-$C$6)*($D$6-$C$6)),$E$6-SQRT((1-$AB1989)*($E$6-$C$6)*($E$6-$D$6)))</f>
        <v/>
      </c>
      <c r="O1989" s="14">
        <f>_xlfn.NORM.INV($AC1989,$C$7,$D$7)</f>
        <v/>
      </c>
      <c r="P1989" s="14">
        <f>$C$8+($D$8-$C$8)*$AD1989</f>
        <v/>
      </c>
      <c r="Q1989" s="14">
        <f>$C$9</f>
        <v/>
      </c>
      <c r="R1989" s="14">
        <f>_xlfn.LOGNORM.INV($AF1989,LN($C$10)-0.5*LN(1+($D$10/$C$10)^2),SQRT(LN(1+($D$10/$C$10)^2)))</f>
        <v/>
      </c>
      <c r="S1989" s="14">
        <f>SUM(M1989:R1989)</f>
        <v/>
      </c>
      <c r="AA1989">
        <f>RAND()</f>
        <v/>
      </c>
      <c r="AB1989">
        <f>RAND()</f>
        <v/>
      </c>
      <c r="AC1989">
        <f>RAND()</f>
        <v/>
      </c>
      <c r="AD1989">
        <f>RAND()</f>
        <v/>
      </c>
      <c r="AE1989">
        <f>RAND()</f>
        <v/>
      </c>
      <c r="AF1989">
        <f>RAND()</f>
        <v/>
      </c>
    </row>
    <row r="1990">
      <c r="M1990" s="14">
        <f>_xlfn.BETA.INV($AA1990,1+4*($D$5-$C$5)/($E$5-$C$5),1+4*($E$5-$D$5)/($E$5-$C$5),$C$5,$E$5)</f>
        <v/>
      </c>
      <c r="N1990" s="14">
        <f>IF($AB1990&lt;($D$6-$C$6)/($E$6-$C$6),$C$6+SQRT($AB1990*($E$6-$C$6)*($D$6-$C$6)),$E$6-SQRT((1-$AB1990)*($E$6-$C$6)*($E$6-$D$6)))</f>
        <v/>
      </c>
      <c r="O1990" s="14">
        <f>_xlfn.NORM.INV($AC1990,$C$7,$D$7)</f>
        <v/>
      </c>
      <c r="P1990" s="14">
        <f>$C$8+($D$8-$C$8)*$AD1990</f>
        <v/>
      </c>
      <c r="Q1990" s="14">
        <f>$C$9</f>
        <v/>
      </c>
      <c r="R1990" s="14">
        <f>_xlfn.LOGNORM.INV($AF1990,LN($C$10)-0.5*LN(1+($D$10/$C$10)^2),SQRT(LN(1+($D$10/$C$10)^2)))</f>
        <v/>
      </c>
      <c r="S1990" s="14">
        <f>SUM(M1990:R1990)</f>
        <v/>
      </c>
      <c r="AA1990">
        <f>RAND()</f>
        <v/>
      </c>
      <c r="AB1990">
        <f>RAND()</f>
        <v/>
      </c>
      <c r="AC1990">
        <f>RAND()</f>
        <v/>
      </c>
      <c r="AD1990">
        <f>RAND()</f>
        <v/>
      </c>
      <c r="AE1990">
        <f>RAND()</f>
        <v/>
      </c>
      <c r="AF1990">
        <f>RAND()</f>
        <v/>
      </c>
    </row>
    <row r="1991">
      <c r="M1991" s="14">
        <f>_xlfn.BETA.INV($AA1991,1+4*($D$5-$C$5)/($E$5-$C$5),1+4*($E$5-$D$5)/($E$5-$C$5),$C$5,$E$5)</f>
        <v/>
      </c>
      <c r="N1991" s="14">
        <f>IF($AB1991&lt;($D$6-$C$6)/($E$6-$C$6),$C$6+SQRT($AB1991*($E$6-$C$6)*($D$6-$C$6)),$E$6-SQRT((1-$AB1991)*($E$6-$C$6)*($E$6-$D$6)))</f>
        <v/>
      </c>
      <c r="O1991" s="14">
        <f>_xlfn.NORM.INV($AC1991,$C$7,$D$7)</f>
        <v/>
      </c>
      <c r="P1991" s="14">
        <f>$C$8+($D$8-$C$8)*$AD1991</f>
        <v/>
      </c>
      <c r="Q1991" s="14">
        <f>$C$9</f>
        <v/>
      </c>
      <c r="R1991" s="14">
        <f>_xlfn.LOGNORM.INV($AF1991,LN($C$10)-0.5*LN(1+($D$10/$C$10)^2),SQRT(LN(1+($D$10/$C$10)^2)))</f>
        <v/>
      </c>
      <c r="S1991" s="14">
        <f>SUM(M1991:R1991)</f>
        <v/>
      </c>
      <c r="AA1991">
        <f>RAND()</f>
        <v/>
      </c>
      <c r="AB1991">
        <f>RAND()</f>
        <v/>
      </c>
      <c r="AC1991">
        <f>RAND()</f>
        <v/>
      </c>
      <c r="AD1991">
        <f>RAND()</f>
        <v/>
      </c>
      <c r="AE1991">
        <f>RAND()</f>
        <v/>
      </c>
      <c r="AF1991">
        <f>RAND()</f>
        <v/>
      </c>
    </row>
    <row r="1992">
      <c r="M1992" s="14">
        <f>_xlfn.BETA.INV($AA1992,1+4*($D$5-$C$5)/($E$5-$C$5),1+4*($E$5-$D$5)/($E$5-$C$5),$C$5,$E$5)</f>
        <v/>
      </c>
      <c r="N1992" s="14">
        <f>IF($AB1992&lt;($D$6-$C$6)/($E$6-$C$6),$C$6+SQRT($AB1992*($E$6-$C$6)*($D$6-$C$6)),$E$6-SQRT((1-$AB1992)*($E$6-$C$6)*($E$6-$D$6)))</f>
        <v/>
      </c>
      <c r="O1992" s="14">
        <f>_xlfn.NORM.INV($AC1992,$C$7,$D$7)</f>
        <v/>
      </c>
      <c r="P1992" s="14">
        <f>$C$8+($D$8-$C$8)*$AD1992</f>
        <v/>
      </c>
      <c r="Q1992" s="14">
        <f>$C$9</f>
        <v/>
      </c>
      <c r="R1992" s="14">
        <f>_xlfn.LOGNORM.INV($AF1992,LN($C$10)-0.5*LN(1+($D$10/$C$10)^2),SQRT(LN(1+($D$10/$C$10)^2)))</f>
        <v/>
      </c>
      <c r="S1992" s="14">
        <f>SUM(M1992:R1992)</f>
        <v/>
      </c>
      <c r="AA1992">
        <f>RAND()</f>
        <v/>
      </c>
      <c r="AB1992">
        <f>RAND()</f>
        <v/>
      </c>
      <c r="AC1992">
        <f>RAND()</f>
        <v/>
      </c>
      <c r="AD1992">
        <f>RAND()</f>
        <v/>
      </c>
      <c r="AE1992">
        <f>RAND()</f>
        <v/>
      </c>
      <c r="AF1992">
        <f>RAND()</f>
        <v/>
      </c>
    </row>
    <row r="1993">
      <c r="M1993" s="14">
        <f>_xlfn.BETA.INV($AA1993,1+4*($D$5-$C$5)/($E$5-$C$5),1+4*($E$5-$D$5)/($E$5-$C$5),$C$5,$E$5)</f>
        <v/>
      </c>
      <c r="N1993" s="14">
        <f>IF($AB1993&lt;($D$6-$C$6)/($E$6-$C$6),$C$6+SQRT($AB1993*($E$6-$C$6)*($D$6-$C$6)),$E$6-SQRT((1-$AB1993)*($E$6-$C$6)*($E$6-$D$6)))</f>
        <v/>
      </c>
      <c r="O1993" s="14">
        <f>_xlfn.NORM.INV($AC1993,$C$7,$D$7)</f>
        <v/>
      </c>
      <c r="P1993" s="14">
        <f>$C$8+($D$8-$C$8)*$AD1993</f>
        <v/>
      </c>
      <c r="Q1993" s="14">
        <f>$C$9</f>
        <v/>
      </c>
      <c r="R1993" s="14">
        <f>_xlfn.LOGNORM.INV($AF1993,LN($C$10)-0.5*LN(1+($D$10/$C$10)^2),SQRT(LN(1+($D$10/$C$10)^2)))</f>
        <v/>
      </c>
      <c r="S1993" s="14">
        <f>SUM(M1993:R1993)</f>
        <v/>
      </c>
      <c r="AA1993">
        <f>RAND()</f>
        <v/>
      </c>
      <c r="AB1993">
        <f>RAND()</f>
        <v/>
      </c>
      <c r="AC1993">
        <f>RAND()</f>
        <v/>
      </c>
      <c r="AD1993">
        <f>RAND()</f>
        <v/>
      </c>
      <c r="AE1993">
        <f>RAND()</f>
        <v/>
      </c>
      <c r="AF1993">
        <f>RAND()</f>
        <v/>
      </c>
    </row>
    <row r="1994">
      <c r="M1994" s="14">
        <f>_xlfn.BETA.INV($AA1994,1+4*($D$5-$C$5)/($E$5-$C$5),1+4*($E$5-$D$5)/($E$5-$C$5),$C$5,$E$5)</f>
        <v/>
      </c>
      <c r="N1994" s="14">
        <f>IF($AB1994&lt;($D$6-$C$6)/($E$6-$C$6),$C$6+SQRT($AB1994*($E$6-$C$6)*($D$6-$C$6)),$E$6-SQRT((1-$AB1994)*($E$6-$C$6)*($E$6-$D$6)))</f>
        <v/>
      </c>
      <c r="O1994" s="14">
        <f>_xlfn.NORM.INV($AC1994,$C$7,$D$7)</f>
        <v/>
      </c>
      <c r="P1994" s="14">
        <f>$C$8+($D$8-$C$8)*$AD1994</f>
        <v/>
      </c>
      <c r="Q1994" s="14">
        <f>$C$9</f>
        <v/>
      </c>
      <c r="R1994" s="14">
        <f>_xlfn.LOGNORM.INV($AF1994,LN($C$10)-0.5*LN(1+($D$10/$C$10)^2),SQRT(LN(1+($D$10/$C$10)^2)))</f>
        <v/>
      </c>
      <c r="S1994" s="14">
        <f>SUM(M1994:R1994)</f>
        <v/>
      </c>
      <c r="AA1994">
        <f>RAND()</f>
        <v/>
      </c>
      <c r="AB1994">
        <f>RAND()</f>
        <v/>
      </c>
      <c r="AC1994">
        <f>RAND()</f>
        <v/>
      </c>
      <c r="AD1994">
        <f>RAND()</f>
        <v/>
      </c>
      <c r="AE1994">
        <f>RAND()</f>
        <v/>
      </c>
      <c r="AF1994">
        <f>RAND()</f>
        <v/>
      </c>
    </row>
    <row r="1995">
      <c r="M1995" s="14">
        <f>_xlfn.BETA.INV($AA1995,1+4*($D$5-$C$5)/($E$5-$C$5),1+4*($E$5-$D$5)/($E$5-$C$5),$C$5,$E$5)</f>
        <v/>
      </c>
      <c r="N1995" s="14">
        <f>IF($AB1995&lt;($D$6-$C$6)/($E$6-$C$6),$C$6+SQRT($AB1995*($E$6-$C$6)*($D$6-$C$6)),$E$6-SQRT((1-$AB1995)*($E$6-$C$6)*($E$6-$D$6)))</f>
        <v/>
      </c>
      <c r="O1995" s="14">
        <f>_xlfn.NORM.INV($AC1995,$C$7,$D$7)</f>
        <v/>
      </c>
      <c r="P1995" s="14">
        <f>$C$8+($D$8-$C$8)*$AD1995</f>
        <v/>
      </c>
      <c r="Q1995" s="14">
        <f>$C$9</f>
        <v/>
      </c>
      <c r="R1995" s="14">
        <f>_xlfn.LOGNORM.INV($AF1995,LN($C$10)-0.5*LN(1+($D$10/$C$10)^2),SQRT(LN(1+($D$10/$C$10)^2)))</f>
        <v/>
      </c>
      <c r="S1995" s="14">
        <f>SUM(M1995:R1995)</f>
        <v/>
      </c>
      <c r="AA1995">
        <f>RAND()</f>
        <v/>
      </c>
      <c r="AB1995">
        <f>RAND()</f>
        <v/>
      </c>
      <c r="AC1995">
        <f>RAND()</f>
        <v/>
      </c>
      <c r="AD1995">
        <f>RAND()</f>
        <v/>
      </c>
      <c r="AE1995">
        <f>RAND()</f>
        <v/>
      </c>
      <c r="AF1995">
        <f>RAND()</f>
        <v/>
      </c>
    </row>
    <row r="1996">
      <c r="M1996" s="14">
        <f>_xlfn.BETA.INV($AA1996,1+4*($D$5-$C$5)/($E$5-$C$5),1+4*($E$5-$D$5)/($E$5-$C$5),$C$5,$E$5)</f>
        <v/>
      </c>
      <c r="N1996" s="14">
        <f>IF($AB1996&lt;($D$6-$C$6)/($E$6-$C$6),$C$6+SQRT($AB1996*($E$6-$C$6)*($D$6-$C$6)),$E$6-SQRT((1-$AB1996)*($E$6-$C$6)*($E$6-$D$6)))</f>
        <v/>
      </c>
      <c r="O1996" s="14">
        <f>_xlfn.NORM.INV($AC1996,$C$7,$D$7)</f>
        <v/>
      </c>
      <c r="P1996" s="14">
        <f>$C$8+($D$8-$C$8)*$AD1996</f>
        <v/>
      </c>
      <c r="Q1996" s="14">
        <f>$C$9</f>
        <v/>
      </c>
      <c r="R1996" s="14">
        <f>_xlfn.LOGNORM.INV($AF1996,LN($C$10)-0.5*LN(1+($D$10/$C$10)^2),SQRT(LN(1+($D$10/$C$10)^2)))</f>
        <v/>
      </c>
      <c r="S1996" s="14">
        <f>SUM(M1996:R1996)</f>
        <v/>
      </c>
      <c r="AA1996">
        <f>RAND()</f>
        <v/>
      </c>
      <c r="AB1996">
        <f>RAND()</f>
        <v/>
      </c>
      <c r="AC1996">
        <f>RAND()</f>
        <v/>
      </c>
      <c r="AD1996">
        <f>RAND()</f>
        <v/>
      </c>
      <c r="AE1996">
        <f>RAND()</f>
        <v/>
      </c>
      <c r="AF1996">
        <f>RAND()</f>
        <v/>
      </c>
    </row>
    <row r="1997">
      <c r="M1997" s="14">
        <f>_xlfn.BETA.INV($AA1997,1+4*($D$5-$C$5)/($E$5-$C$5),1+4*($E$5-$D$5)/($E$5-$C$5),$C$5,$E$5)</f>
        <v/>
      </c>
      <c r="N1997" s="14">
        <f>IF($AB1997&lt;($D$6-$C$6)/($E$6-$C$6),$C$6+SQRT($AB1997*($E$6-$C$6)*($D$6-$C$6)),$E$6-SQRT((1-$AB1997)*($E$6-$C$6)*($E$6-$D$6)))</f>
        <v/>
      </c>
      <c r="O1997" s="14">
        <f>_xlfn.NORM.INV($AC1997,$C$7,$D$7)</f>
        <v/>
      </c>
      <c r="P1997" s="14">
        <f>$C$8+($D$8-$C$8)*$AD1997</f>
        <v/>
      </c>
      <c r="Q1997" s="14">
        <f>$C$9</f>
        <v/>
      </c>
      <c r="R1997" s="14">
        <f>_xlfn.LOGNORM.INV($AF1997,LN($C$10)-0.5*LN(1+($D$10/$C$10)^2),SQRT(LN(1+($D$10/$C$10)^2)))</f>
        <v/>
      </c>
      <c r="S1997" s="14">
        <f>SUM(M1997:R1997)</f>
        <v/>
      </c>
      <c r="AA1997">
        <f>RAND()</f>
        <v/>
      </c>
      <c r="AB1997">
        <f>RAND()</f>
        <v/>
      </c>
      <c r="AC1997">
        <f>RAND()</f>
        <v/>
      </c>
      <c r="AD1997">
        <f>RAND()</f>
        <v/>
      </c>
      <c r="AE1997">
        <f>RAND()</f>
        <v/>
      </c>
      <c r="AF1997">
        <f>RAND()</f>
        <v/>
      </c>
    </row>
    <row r="1998">
      <c r="M1998" s="14">
        <f>_xlfn.BETA.INV($AA1998,1+4*($D$5-$C$5)/($E$5-$C$5),1+4*($E$5-$D$5)/($E$5-$C$5),$C$5,$E$5)</f>
        <v/>
      </c>
      <c r="N1998" s="14">
        <f>IF($AB1998&lt;($D$6-$C$6)/($E$6-$C$6),$C$6+SQRT($AB1998*($E$6-$C$6)*($D$6-$C$6)),$E$6-SQRT((1-$AB1998)*($E$6-$C$6)*($E$6-$D$6)))</f>
        <v/>
      </c>
      <c r="O1998" s="14">
        <f>_xlfn.NORM.INV($AC1998,$C$7,$D$7)</f>
        <v/>
      </c>
      <c r="P1998" s="14">
        <f>$C$8+($D$8-$C$8)*$AD1998</f>
        <v/>
      </c>
      <c r="Q1998" s="14">
        <f>$C$9</f>
        <v/>
      </c>
      <c r="R1998" s="14">
        <f>_xlfn.LOGNORM.INV($AF1998,LN($C$10)-0.5*LN(1+($D$10/$C$10)^2),SQRT(LN(1+($D$10/$C$10)^2)))</f>
        <v/>
      </c>
      <c r="S1998" s="14">
        <f>SUM(M1998:R1998)</f>
        <v/>
      </c>
      <c r="AA1998">
        <f>RAND()</f>
        <v/>
      </c>
      <c r="AB1998">
        <f>RAND()</f>
        <v/>
      </c>
      <c r="AC1998">
        <f>RAND()</f>
        <v/>
      </c>
      <c r="AD1998">
        <f>RAND()</f>
        <v/>
      </c>
      <c r="AE1998">
        <f>RAND()</f>
        <v/>
      </c>
      <c r="AF1998">
        <f>RAND()</f>
        <v/>
      </c>
    </row>
    <row r="1999">
      <c r="M1999" s="14">
        <f>_xlfn.BETA.INV($AA1999,1+4*($D$5-$C$5)/($E$5-$C$5),1+4*($E$5-$D$5)/($E$5-$C$5),$C$5,$E$5)</f>
        <v/>
      </c>
      <c r="N1999" s="14">
        <f>IF($AB1999&lt;($D$6-$C$6)/($E$6-$C$6),$C$6+SQRT($AB1999*($E$6-$C$6)*($D$6-$C$6)),$E$6-SQRT((1-$AB1999)*($E$6-$C$6)*($E$6-$D$6)))</f>
        <v/>
      </c>
      <c r="O1999" s="14">
        <f>_xlfn.NORM.INV($AC1999,$C$7,$D$7)</f>
        <v/>
      </c>
      <c r="P1999" s="14">
        <f>$C$8+($D$8-$C$8)*$AD1999</f>
        <v/>
      </c>
      <c r="Q1999" s="14">
        <f>$C$9</f>
        <v/>
      </c>
      <c r="R1999" s="14">
        <f>_xlfn.LOGNORM.INV($AF1999,LN($C$10)-0.5*LN(1+($D$10/$C$10)^2),SQRT(LN(1+($D$10/$C$10)^2)))</f>
        <v/>
      </c>
      <c r="S1999" s="14">
        <f>SUM(M1999:R1999)</f>
        <v/>
      </c>
      <c r="AA1999">
        <f>RAND()</f>
        <v/>
      </c>
      <c r="AB1999">
        <f>RAND()</f>
        <v/>
      </c>
      <c r="AC1999">
        <f>RAND()</f>
        <v/>
      </c>
      <c r="AD1999">
        <f>RAND()</f>
        <v/>
      </c>
      <c r="AE1999">
        <f>RAND()</f>
        <v/>
      </c>
      <c r="AF1999">
        <f>RAND()</f>
        <v/>
      </c>
    </row>
    <row r="2000">
      <c r="M2000" s="14">
        <f>_xlfn.BETA.INV($AA2000,1+4*($D$5-$C$5)/($E$5-$C$5),1+4*($E$5-$D$5)/($E$5-$C$5),$C$5,$E$5)</f>
        <v/>
      </c>
      <c r="N2000" s="14">
        <f>IF($AB2000&lt;($D$6-$C$6)/($E$6-$C$6),$C$6+SQRT($AB2000*($E$6-$C$6)*($D$6-$C$6)),$E$6-SQRT((1-$AB2000)*($E$6-$C$6)*($E$6-$D$6)))</f>
        <v/>
      </c>
      <c r="O2000" s="14">
        <f>_xlfn.NORM.INV($AC2000,$C$7,$D$7)</f>
        <v/>
      </c>
      <c r="P2000" s="14">
        <f>$C$8+($D$8-$C$8)*$AD2000</f>
        <v/>
      </c>
      <c r="Q2000" s="14">
        <f>$C$9</f>
        <v/>
      </c>
      <c r="R2000" s="14">
        <f>_xlfn.LOGNORM.INV($AF2000,LN($C$10)-0.5*LN(1+($D$10/$C$10)^2),SQRT(LN(1+($D$10/$C$10)^2)))</f>
        <v/>
      </c>
      <c r="S2000" s="14">
        <f>SUM(M2000:R2000)</f>
        <v/>
      </c>
      <c r="AA2000">
        <f>RAND()</f>
        <v/>
      </c>
      <c r="AB2000">
        <f>RAND()</f>
        <v/>
      </c>
      <c r="AC2000">
        <f>RAND()</f>
        <v/>
      </c>
      <c r="AD2000">
        <f>RAND()</f>
        <v/>
      </c>
      <c r="AE2000">
        <f>RAND()</f>
        <v/>
      </c>
      <c r="AF2000">
        <f>RAND()</f>
        <v/>
      </c>
    </row>
    <row r="2001">
      <c r="M2001" s="14">
        <f>_xlfn.BETA.INV($AA2001,1+4*($D$5-$C$5)/($E$5-$C$5),1+4*($E$5-$D$5)/($E$5-$C$5),$C$5,$E$5)</f>
        <v/>
      </c>
      <c r="N2001" s="14">
        <f>IF($AB2001&lt;($D$6-$C$6)/($E$6-$C$6),$C$6+SQRT($AB2001*($E$6-$C$6)*($D$6-$C$6)),$E$6-SQRT((1-$AB2001)*($E$6-$C$6)*($E$6-$D$6)))</f>
        <v/>
      </c>
      <c r="O2001" s="14">
        <f>_xlfn.NORM.INV($AC2001,$C$7,$D$7)</f>
        <v/>
      </c>
      <c r="P2001" s="14">
        <f>$C$8+($D$8-$C$8)*$AD2001</f>
        <v/>
      </c>
      <c r="Q2001" s="14">
        <f>$C$9</f>
        <v/>
      </c>
      <c r="R2001" s="14">
        <f>_xlfn.LOGNORM.INV($AF2001,LN($C$10)-0.5*LN(1+($D$10/$C$10)^2),SQRT(LN(1+($D$10/$C$10)^2)))</f>
        <v/>
      </c>
      <c r="S2001" s="14">
        <f>SUM(M2001:R2001)</f>
        <v/>
      </c>
      <c r="AA2001">
        <f>RAND()</f>
        <v/>
      </c>
      <c r="AB2001">
        <f>RAND()</f>
        <v/>
      </c>
      <c r="AC2001">
        <f>RAND()</f>
        <v/>
      </c>
      <c r="AD2001">
        <f>RAND()</f>
        <v/>
      </c>
      <c r="AE2001">
        <f>RAND()</f>
        <v/>
      </c>
      <c r="AF2001">
        <f>RAND()</f>
        <v/>
      </c>
    </row>
    <row r="2002">
      <c r="M2002" s="14">
        <f>_xlfn.BETA.INV($AA2002,1+4*($D$5-$C$5)/($E$5-$C$5),1+4*($E$5-$D$5)/($E$5-$C$5),$C$5,$E$5)</f>
        <v/>
      </c>
      <c r="N2002" s="14">
        <f>IF($AB2002&lt;($D$6-$C$6)/($E$6-$C$6),$C$6+SQRT($AB2002*($E$6-$C$6)*($D$6-$C$6)),$E$6-SQRT((1-$AB2002)*($E$6-$C$6)*($E$6-$D$6)))</f>
        <v/>
      </c>
      <c r="O2002" s="14">
        <f>_xlfn.NORM.INV($AC2002,$C$7,$D$7)</f>
        <v/>
      </c>
      <c r="P2002" s="14">
        <f>$C$8+($D$8-$C$8)*$AD2002</f>
        <v/>
      </c>
      <c r="Q2002" s="14">
        <f>$C$9</f>
        <v/>
      </c>
      <c r="R2002" s="14">
        <f>_xlfn.LOGNORM.INV($AF2002,LN($C$10)-0.5*LN(1+($D$10/$C$10)^2),SQRT(LN(1+($D$10/$C$10)^2)))</f>
        <v/>
      </c>
      <c r="S2002" s="14">
        <f>SUM(M2002:R2002)</f>
        <v/>
      </c>
      <c r="AA2002">
        <f>RAND()</f>
        <v/>
      </c>
      <c r="AB2002">
        <f>RAND()</f>
        <v/>
      </c>
      <c r="AC2002">
        <f>RAND()</f>
        <v/>
      </c>
      <c r="AD2002">
        <f>RAND()</f>
        <v/>
      </c>
      <c r="AE2002">
        <f>RAND()</f>
        <v/>
      </c>
      <c r="AF2002">
        <f>RAND()</f>
        <v/>
      </c>
    </row>
    <row r="2003">
      <c r="M2003" s="14">
        <f>_xlfn.BETA.INV($AA2003,1+4*($D$5-$C$5)/($E$5-$C$5),1+4*($E$5-$D$5)/($E$5-$C$5),$C$5,$E$5)</f>
        <v/>
      </c>
      <c r="N2003" s="14">
        <f>IF($AB2003&lt;($D$6-$C$6)/($E$6-$C$6),$C$6+SQRT($AB2003*($E$6-$C$6)*($D$6-$C$6)),$E$6-SQRT((1-$AB2003)*($E$6-$C$6)*($E$6-$D$6)))</f>
        <v/>
      </c>
      <c r="O2003" s="14">
        <f>_xlfn.NORM.INV($AC2003,$C$7,$D$7)</f>
        <v/>
      </c>
      <c r="P2003" s="14">
        <f>$C$8+($D$8-$C$8)*$AD2003</f>
        <v/>
      </c>
      <c r="Q2003" s="14">
        <f>$C$9</f>
        <v/>
      </c>
      <c r="R2003" s="14">
        <f>_xlfn.LOGNORM.INV($AF2003,LN($C$10)-0.5*LN(1+($D$10/$C$10)^2),SQRT(LN(1+($D$10/$C$10)^2)))</f>
        <v/>
      </c>
      <c r="S2003" s="14">
        <f>SUM(M2003:R2003)</f>
        <v/>
      </c>
      <c r="AA2003">
        <f>RAND()</f>
        <v/>
      </c>
      <c r="AB2003">
        <f>RAND()</f>
        <v/>
      </c>
      <c r="AC2003">
        <f>RAND()</f>
        <v/>
      </c>
      <c r="AD2003">
        <f>RAND()</f>
        <v/>
      </c>
      <c r="AE2003">
        <f>RAND()</f>
        <v/>
      </c>
      <c r="AF2003">
        <f>RAND()</f>
        <v/>
      </c>
    </row>
    <row r="2004">
      <c r="M2004" s="14">
        <f>_xlfn.BETA.INV($AA2004,1+4*($D$5-$C$5)/($E$5-$C$5),1+4*($E$5-$D$5)/($E$5-$C$5),$C$5,$E$5)</f>
        <v/>
      </c>
      <c r="N2004" s="14">
        <f>IF($AB2004&lt;($D$6-$C$6)/($E$6-$C$6),$C$6+SQRT($AB2004*($E$6-$C$6)*($D$6-$C$6)),$E$6-SQRT((1-$AB2004)*($E$6-$C$6)*($E$6-$D$6)))</f>
        <v/>
      </c>
      <c r="O2004" s="14">
        <f>_xlfn.NORM.INV($AC2004,$C$7,$D$7)</f>
        <v/>
      </c>
      <c r="P2004" s="14">
        <f>$C$8+($D$8-$C$8)*$AD2004</f>
        <v/>
      </c>
      <c r="Q2004" s="14">
        <f>$C$9</f>
        <v/>
      </c>
      <c r="R2004" s="14">
        <f>_xlfn.LOGNORM.INV($AF2004,LN($C$10)-0.5*LN(1+($D$10/$C$10)^2),SQRT(LN(1+($D$10/$C$10)^2)))</f>
        <v/>
      </c>
      <c r="S2004" s="14">
        <f>SUM(M2004:R2004)</f>
        <v/>
      </c>
      <c r="AA2004">
        <f>RAND()</f>
        <v/>
      </c>
      <c r="AB2004">
        <f>RAND()</f>
        <v/>
      </c>
      <c r="AC2004">
        <f>RAND()</f>
        <v/>
      </c>
      <c r="AD2004">
        <f>RAND()</f>
        <v/>
      </c>
      <c r="AE2004">
        <f>RAND()</f>
        <v/>
      </c>
      <c r="AF2004">
        <f>RAND()</f>
        <v/>
      </c>
    </row>
    <row r="2005">
      <c r="M2005" s="14">
        <f>_xlfn.BETA.INV($AA2005,1+4*($D$5-$C$5)/($E$5-$C$5),1+4*($E$5-$D$5)/($E$5-$C$5),$C$5,$E$5)</f>
        <v/>
      </c>
      <c r="N2005" s="14">
        <f>IF($AB2005&lt;($D$6-$C$6)/($E$6-$C$6),$C$6+SQRT($AB2005*($E$6-$C$6)*($D$6-$C$6)),$E$6-SQRT((1-$AB2005)*($E$6-$C$6)*($E$6-$D$6)))</f>
        <v/>
      </c>
      <c r="O2005" s="14">
        <f>_xlfn.NORM.INV($AC2005,$C$7,$D$7)</f>
        <v/>
      </c>
      <c r="P2005" s="14">
        <f>$C$8+($D$8-$C$8)*$AD2005</f>
        <v/>
      </c>
      <c r="Q2005" s="14">
        <f>$C$9</f>
        <v/>
      </c>
      <c r="R2005" s="14">
        <f>_xlfn.LOGNORM.INV($AF2005,LN($C$10)-0.5*LN(1+($D$10/$C$10)^2),SQRT(LN(1+($D$10/$C$10)^2)))</f>
        <v/>
      </c>
      <c r="S2005" s="14">
        <f>SUM(M2005:R2005)</f>
        <v/>
      </c>
      <c r="AA2005">
        <f>RAND()</f>
        <v/>
      </c>
      <c r="AB2005">
        <f>RAND()</f>
        <v/>
      </c>
      <c r="AC2005">
        <f>RAND()</f>
        <v/>
      </c>
      <c r="AD2005">
        <f>RAND()</f>
        <v/>
      </c>
      <c r="AE2005">
        <f>RAND()</f>
        <v/>
      </c>
      <c r="AF2005">
        <f>RAND()</f>
        <v/>
      </c>
    </row>
    <row r="2006">
      <c r="M2006" s="14">
        <f>_xlfn.BETA.INV($AA2006,1+4*($D$5-$C$5)/($E$5-$C$5),1+4*($E$5-$D$5)/($E$5-$C$5),$C$5,$E$5)</f>
        <v/>
      </c>
      <c r="N2006" s="14">
        <f>IF($AB2006&lt;($D$6-$C$6)/($E$6-$C$6),$C$6+SQRT($AB2006*($E$6-$C$6)*($D$6-$C$6)),$E$6-SQRT((1-$AB2006)*($E$6-$C$6)*($E$6-$D$6)))</f>
        <v/>
      </c>
      <c r="O2006" s="14">
        <f>_xlfn.NORM.INV($AC2006,$C$7,$D$7)</f>
        <v/>
      </c>
      <c r="P2006" s="14">
        <f>$C$8+($D$8-$C$8)*$AD2006</f>
        <v/>
      </c>
      <c r="Q2006" s="14">
        <f>$C$9</f>
        <v/>
      </c>
      <c r="R2006" s="14">
        <f>_xlfn.LOGNORM.INV($AF2006,LN($C$10)-0.5*LN(1+($D$10/$C$10)^2),SQRT(LN(1+($D$10/$C$10)^2)))</f>
        <v/>
      </c>
      <c r="S2006" s="14">
        <f>SUM(M2006:R2006)</f>
        <v/>
      </c>
      <c r="AA2006">
        <f>RAND()</f>
        <v/>
      </c>
      <c r="AB2006">
        <f>RAND()</f>
        <v/>
      </c>
      <c r="AC2006">
        <f>RAND()</f>
        <v/>
      </c>
      <c r="AD2006">
        <f>RAND()</f>
        <v/>
      </c>
      <c r="AE2006">
        <f>RAND()</f>
        <v/>
      </c>
      <c r="AF2006">
        <f>RAND()</f>
        <v/>
      </c>
    </row>
    <row r="2007">
      <c r="M2007" s="14">
        <f>_xlfn.BETA.INV($AA2007,1+4*($D$5-$C$5)/($E$5-$C$5),1+4*($E$5-$D$5)/($E$5-$C$5),$C$5,$E$5)</f>
        <v/>
      </c>
      <c r="N2007" s="14">
        <f>IF($AB2007&lt;($D$6-$C$6)/($E$6-$C$6),$C$6+SQRT($AB2007*($E$6-$C$6)*($D$6-$C$6)),$E$6-SQRT((1-$AB2007)*($E$6-$C$6)*($E$6-$D$6)))</f>
        <v/>
      </c>
      <c r="O2007" s="14">
        <f>_xlfn.NORM.INV($AC2007,$C$7,$D$7)</f>
        <v/>
      </c>
      <c r="P2007" s="14">
        <f>$C$8+($D$8-$C$8)*$AD2007</f>
        <v/>
      </c>
      <c r="Q2007" s="14">
        <f>$C$9</f>
        <v/>
      </c>
      <c r="R2007" s="14">
        <f>_xlfn.LOGNORM.INV($AF2007,LN($C$10)-0.5*LN(1+($D$10/$C$10)^2),SQRT(LN(1+($D$10/$C$10)^2)))</f>
        <v/>
      </c>
      <c r="S2007" s="14">
        <f>SUM(M2007:R2007)</f>
        <v/>
      </c>
      <c r="AA2007">
        <f>RAND()</f>
        <v/>
      </c>
      <c r="AB2007">
        <f>RAND()</f>
        <v/>
      </c>
      <c r="AC2007">
        <f>RAND()</f>
        <v/>
      </c>
      <c r="AD2007">
        <f>RAND()</f>
        <v/>
      </c>
      <c r="AE2007">
        <f>RAND()</f>
        <v/>
      </c>
      <c r="AF2007">
        <f>RAND()</f>
        <v/>
      </c>
    </row>
    <row r="2008">
      <c r="M2008" s="14">
        <f>_xlfn.BETA.INV($AA2008,1+4*($D$5-$C$5)/($E$5-$C$5),1+4*($E$5-$D$5)/($E$5-$C$5),$C$5,$E$5)</f>
        <v/>
      </c>
      <c r="N2008" s="14">
        <f>IF($AB2008&lt;($D$6-$C$6)/($E$6-$C$6),$C$6+SQRT($AB2008*($E$6-$C$6)*($D$6-$C$6)),$E$6-SQRT((1-$AB2008)*($E$6-$C$6)*($E$6-$D$6)))</f>
        <v/>
      </c>
      <c r="O2008" s="14">
        <f>_xlfn.NORM.INV($AC2008,$C$7,$D$7)</f>
        <v/>
      </c>
      <c r="P2008" s="14">
        <f>$C$8+($D$8-$C$8)*$AD2008</f>
        <v/>
      </c>
      <c r="Q2008" s="14">
        <f>$C$9</f>
        <v/>
      </c>
      <c r="R2008" s="14">
        <f>_xlfn.LOGNORM.INV($AF2008,LN($C$10)-0.5*LN(1+($D$10/$C$10)^2),SQRT(LN(1+($D$10/$C$10)^2)))</f>
        <v/>
      </c>
      <c r="S2008" s="14">
        <f>SUM(M2008:R2008)</f>
        <v/>
      </c>
      <c r="AA2008">
        <f>RAND()</f>
        <v/>
      </c>
      <c r="AB2008">
        <f>RAND()</f>
        <v/>
      </c>
      <c r="AC2008">
        <f>RAND()</f>
        <v/>
      </c>
      <c r="AD2008">
        <f>RAND()</f>
        <v/>
      </c>
      <c r="AE2008">
        <f>RAND()</f>
        <v/>
      </c>
      <c r="AF2008">
        <f>RAND()</f>
        <v/>
      </c>
    </row>
    <row r="2009">
      <c r="M2009" s="14">
        <f>_xlfn.BETA.INV($AA2009,1+4*($D$5-$C$5)/($E$5-$C$5),1+4*($E$5-$D$5)/($E$5-$C$5),$C$5,$E$5)</f>
        <v/>
      </c>
      <c r="N2009" s="14">
        <f>IF($AB2009&lt;($D$6-$C$6)/($E$6-$C$6),$C$6+SQRT($AB2009*($E$6-$C$6)*($D$6-$C$6)),$E$6-SQRT((1-$AB2009)*($E$6-$C$6)*($E$6-$D$6)))</f>
        <v/>
      </c>
      <c r="O2009" s="14">
        <f>_xlfn.NORM.INV($AC2009,$C$7,$D$7)</f>
        <v/>
      </c>
      <c r="P2009" s="14">
        <f>$C$8+($D$8-$C$8)*$AD2009</f>
        <v/>
      </c>
      <c r="Q2009" s="14">
        <f>$C$9</f>
        <v/>
      </c>
      <c r="R2009" s="14">
        <f>_xlfn.LOGNORM.INV($AF2009,LN($C$10)-0.5*LN(1+($D$10/$C$10)^2),SQRT(LN(1+($D$10/$C$10)^2)))</f>
        <v/>
      </c>
      <c r="S2009" s="14">
        <f>SUM(M2009:R2009)</f>
        <v/>
      </c>
      <c r="AA2009">
        <f>RAND()</f>
        <v/>
      </c>
      <c r="AB2009">
        <f>RAND()</f>
        <v/>
      </c>
      <c r="AC2009">
        <f>RAND()</f>
        <v/>
      </c>
      <c r="AD2009">
        <f>RAND()</f>
        <v/>
      </c>
      <c r="AE2009">
        <f>RAND()</f>
        <v/>
      </c>
      <c r="AF2009">
        <f>RAND()</f>
        <v/>
      </c>
    </row>
    <row r="2010">
      <c r="M2010" s="14">
        <f>_xlfn.BETA.INV($AA2010,1+4*($D$5-$C$5)/($E$5-$C$5),1+4*($E$5-$D$5)/($E$5-$C$5),$C$5,$E$5)</f>
        <v/>
      </c>
      <c r="N2010" s="14">
        <f>IF($AB2010&lt;($D$6-$C$6)/($E$6-$C$6),$C$6+SQRT($AB2010*($E$6-$C$6)*($D$6-$C$6)),$E$6-SQRT((1-$AB2010)*($E$6-$C$6)*($E$6-$D$6)))</f>
        <v/>
      </c>
      <c r="O2010" s="14">
        <f>_xlfn.NORM.INV($AC2010,$C$7,$D$7)</f>
        <v/>
      </c>
      <c r="P2010" s="14">
        <f>$C$8+($D$8-$C$8)*$AD2010</f>
        <v/>
      </c>
      <c r="Q2010" s="14">
        <f>$C$9</f>
        <v/>
      </c>
      <c r="R2010" s="14">
        <f>_xlfn.LOGNORM.INV($AF2010,LN($C$10)-0.5*LN(1+($D$10/$C$10)^2),SQRT(LN(1+($D$10/$C$10)^2)))</f>
        <v/>
      </c>
      <c r="S2010" s="14">
        <f>SUM(M2010:R2010)</f>
        <v/>
      </c>
      <c r="AA2010">
        <f>RAND()</f>
        <v/>
      </c>
      <c r="AB2010">
        <f>RAND()</f>
        <v/>
      </c>
      <c r="AC2010">
        <f>RAND()</f>
        <v/>
      </c>
      <c r="AD2010">
        <f>RAND()</f>
        <v/>
      </c>
      <c r="AE2010">
        <f>RAND()</f>
        <v/>
      </c>
      <c r="AF2010">
        <f>RAND()</f>
        <v/>
      </c>
    </row>
    <row r="2011">
      <c r="M2011" s="14">
        <f>_xlfn.BETA.INV($AA2011,1+4*($D$5-$C$5)/($E$5-$C$5),1+4*($E$5-$D$5)/($E$5-$C$5),$C$5,$E$5)</f>
        <v/>
      </c>
      <c r="N2011" s="14">
        <f>IF($AB2011&lt;($D$6-$C$6)/($E$6-$C$6),$C$6+SQRT($AB2011*($E$6-$C$6)*($D$6-$C$6)),$E$6-SQRT((1-$AB2011)*($E$6-$C$6)*($E$6-$D$6)))</f>
        <v/>
      </c>
      <c r="O2011" s="14">
        <f>_xlfn.NORM.INV($AC2011,$C$7,$D$7)</f>
        <v/>
      </c>
      <c r="P2011" s="14">
        <f>$C$8+($D$8-$C$8)*$AD2011</f>
        <v/>
      </c>
      <c r="Q2011" s="14">
        <f>$C$9</f>
        <v/>
      </c>
      <c r="R2011" s="14">
        <f>_xlfn.LOGNORM.INV($AF2011,LN($C$10)-0.5*LN(1+($D$10/$C$10)^2),SQRT(LN(1+($D$10/$C$10)^2)))</f>
        <v/>
      </c>
      <c r="S2011" s="14">
        <f>SUM(M2011:R2011)</f>
        <v/>
      </c>
      <c r="AA2011">
        <f>RAND()</f>
        <v/>
      </c>
      <c r="AB2011">
        <f>RAND()</f>
        <v/>
      </c>
      <c r="AC2011">
        <f>RAND()</f>
        <v/>
      </c>
      <c r="AD2011">
        <f>RAND()</f>
        <v/>
      </c>
      <c r="AE2011">
        <f>RAND()</f>
        <v/>
      </c>
      <c r="AF2011">
        <f>RAND()</f>
        <v/>
      </c>
    </row>
    <row r="2012">
      <c r="M2012" s="14">
        <f>_xlfn.BETA.INV($AA2012,1+4*($D$5-$C$5)/($E$5-$C$5),1+4*($E$5-$D$5)/($E$5-$C$5),$C$5,$E$5)</f>
        <v/>
      </c>
      <c r="N2012" s="14">
        <f>IF($AB2012&lt;($D$6-$C$6)/($E$6-$C$6),$C$6+SQRT($AB2012*($E$6-$C$6)*($D$6-$C$6)),$E$6-SQRT((1-$AB2012)*($E$6-$C$6)*($E$6-$D$6)))</f>
        <v/>
      </c>
      <c r="O2012" s="14">
        <f>_xlfn.NORM.INV($AC2012,$C$7,$D$7)</f>
        <v/>
      </c>
      <c r="P2012" s="14">
        <f>$C$8+($D$8-$C$8)*$AD2012</f>
        <v/>
      </c>
      <c r="Q2012" s="14">
        <f>$C$9</f>
        <v/>
      </c>
      <c r="R2012" s="14">
        <f>_xlfn.LOGNORM.INV($AF2012,LN($C$10)-0.5*LN(1+($D$10/$C$10)^2),SQRT(LN(1+($D$10/$C$10)^2)))</f>
        <v/>
      </c>
      <c r="S2012" s="14">
        <f>SUM(M2012:R2012)</f>
        <v/>
      </c>
      <c r="AA2012">
        <f>RAND()</f>
        <v/>
      </c>
      <c r="AB2012">
        <f>RAND()</f>
        <v/>
      </c>
      <c r="AC2012">
        <f>RAND()</f>
        <v/>
      </c>
      <c r="AD2012">
        <f>RAND()</f>
        <v/>
      </c>
      <c r="AE2012">
        <f>RAND()</f>
        <v/>
      </c>
      <c r="AF2012">
        <f>RAND()</f>
        <v/>
      </c>
    </row>
    <row r="2013">
      <c r="M2013" s="14">
        <f>_xlfn.BETA.INV($AA2013,1+4*($D$5-$C$5)/($E$5-$C$5),1+4*($E$5-$D$5)/($E$5-$C$5),$C$5,$E$5)</f>
        <v/>
      </c>
      <c r="N2013" s="14">
        <f>IF($AB2013&lt;($D$6-$C$6)/($E$6-$C$6),$C$6+SQRT($AB2013*($E$6-$C$6)*($D$6-$C$6)),$E$6-SQRT((1-$AB2013)*($E$6-$C$6)*($E$6-$D$6)))</f>
        <v/>
      </c>
      <c r="O2013" s="14">
        <f>_xlfn.NORM.INV($AC2013,$C$7,$D$7)</f>
        <v/>
      </c>
      <c r="P2013" s="14">
        <f>$C$8+($D$8-$C$8)*$AD2013</f>
        <v/>
      </c>
      <c r="Q2013" s="14">
        <f>$C$9</f>
        <v/>
      </c>
      <c r="R2013" s="14">
        <f>_xlfn.LOGNORM.INV($AF2013,LN($C$10)-0.5*LN(1+($D$10/$C$10)^2),SQRT(LN(1+($D$10/$C$10)^2)))</f>
        <v/>
      </c>
      <c r="S2013" s="14">
        <f>SUM(M2013:R2013)</f>
        <v/>
      </c>
      <c r="AA2013">
        <f>RAND()</f>
        <v/>
      </c>
      <c r="AB2013">
        <f>RAND()</f>
        <v/>
      </c>
      <c r="AC2013">
        <f>RAND()</f>
        <v/>
      </c>
      <c r="AD2013">
        <f>RAND()</f>
        <v/>
      </c>
      <c r="AE2013">
        <f>RAND()</f>
        <v/>
      </c>
      <c r="AF2013">
        <f>RAND()</f>
        <v/>
      </c>
    </row>
    <row r="2014">
      <c r="M2014" s="14">
        <f>_xlfn.BETA.INV($AA2014,1+4*($D$5-$C$5)/($E$5-$C$5),1+4*($E$5-$D$5)/($E$5-$C$5),$C$5,$E$5)</f>
        <v/>
      </c>
      <c r="N2014" s="14">
        <f>IF($AB2014&lt;($D$6-$C$6)/($E$6-$C$6),$C$6+SQRT($AB2014*($E$6-$C$6)*($D$6-$C$6)),$E$6-SQRT((1-$AB2014)*($E$6-$C$6)*($E$6-$D$6)))</f>
        <v/>
      </c>
      <c r="O2014" s="14">
        <f>_xlfn.NORM.INV($AC2014,$C$7,$D$7)</f>
        <v/>
      </c>
      <c r="P2014" s="14">
        <f>$C$8+($D$8-$C$8)*$AD2014</f>
        <v/>
      </c>
      <c r="Q2014" s="14">
        <f>$C$9</f>
        <v/>
      </c>
      <c r="R2014" s="14">
        <f>_xlfn.LOGNORM.INV($AF2014,LN($C$10)-0.5*LN(1+($D$10/$C$10)^2),SQRT(LN(1+($D$10/$C$10)^2)))</f>
        <v/>
      </c>
      <c r="S2014" s="14">
        <f>SUM(M2014:R2014)</f>
        <v/>
      </c>
      <c r="AA2014">
        <f>RAND()</f>
        <v/>
      </c>
      <c r="AB2014">
        <f>RAND()</f>
        <v/>
      </c>
      <c r="AC2014">
        <f>RAND()</f>
        <v/>
      </c>
      <c r="AD2014">
        <f>RAND()</f>
        <v/>
      </c>
      <c r="AE2014">
        <f>RAND()</f>
        <v/>
      </c>
      <c r="AF2014">
        <f>RAND()</f>
        <v/>
      </c>
    </row>
    <row r="2015">
      <c r="M2015" s="14">
        <f>_xlfn.BETA.INV($AA2015,1+4*($D$5-$C$5)/($E$5-$C$5),1+4*($E$5-$D$5)/($E$5-$C$5),$C$5,$E$5)</f>
        <v/>
      </c>
      <c r="N2015" s="14">
        <f>IF($AB2015&lt;($D$6-$C$6)/($E$6-$C$6),$C$6+SQRT($AB2015*($E$6-$C$6)*($D$6-$C$6)),$E$6-SQRT((1-$AB2015)*($E$6-$C$6)*($E$6-$D$6)))</f>
        <v/>
      </c>
      <c r="O2015" s="14">
        <f>_xlfn.NORM.INV($AC2015,$C$7,$D$7)</f>
        <v/>
      </c>
      <c r="P2015" s="14">
        <f>$C$8+($D$8-$C$8)*$AD2015</f>
        <v/>
      </c>
      <c r="Q2015" s="14">
        <f>$C$9</f>
        <v/>
      </c>
      <c r="R2015" s="14">
        <f>_xlfn.LOGNORM.INV($AF2015,LN($C$10)-0.5*LN(1+($D$10/$C$10)^2),SQRT(LN(1+($D$10/$C$10)^2)))</f>
        <v/>
      </c>
      <c r="S2015" s="14">
        <f>SUM(M2015:R2015)</f>
        <v/>
      </c>
      <c r="AA2015">
        <f>RAND()</f>
        <v/>
      </c>
      <c r="AB2015">
        <f>RAND()</f>
        <v/>
      </c>
      <c r="AC2015">
        <f>RAND()</f>
        <v/>
      </c>
      <c r="AD2015">
        <f>RAND()</f>
        <v/>
      </c>
      <c r="AE2015">
        <f>RAND()</f>
        <v/>
      </c>
      <c r="AF2015">
        <f>RAND()</f>
        <v/>
      </c>
    </row>
    <row r="2016">
      <c r="M2016" s="14">
        <f>_xlfn.BETA.INV($AA2016,1+4*($D$5-$C$5)/($E$5-$C$5),1+4*($E$5-$D$5)/($E$5-$C$5),$C$5,$E$5)</f>
        <v/>
      </c>
      <c r="N2016" s="14">
        <f>IF($AB2016&lt;($D$6-$C$6)/($E$6-$C$6),$C$6+SQRT($AB2016*($E$6-$C$6)*($D$6-$C$6)),$E$6-SQRT((1-$AB2016)*($E$6-$C$6)*($E$6-$D$6)))</f>
        <v/>
      </c>
      <c r="O2016" s="14">
        <f>_xlfn.NORM.INV($AC2016,$C$7,$D$7)</f>
        <v/>
      </c>
      <c r="P2016" s="14">
        <f>$C$8+($D$8-$C$8)*$AD2016</f>
        <v/>
      </c>
      <c r="Q2016" s="14">
        <f>$C$9</f>
        <v/>
      </c>
      <c r="R2016" s="14">
        <f>_xlfn.LOGNORM.INV($AF2016,LN($C$10)-0.5*LN(1+($D$10/$C$10)^2),SQRT(LN(1+($D$10/$C$10)^2)))</f>
        <v/>
      </c>
      <c r="S2016" s="14">
        <f>SUM(M2016:R2016)</f>
        <v/>
      </c>
      <c r="AA2016">
        <f>RAND()</f>
        <v/>
      </c>
      <c r="AB2016">
        <f>RAND()</f>
        <v/>
      </c>
      <c r="AC2016">
        <f>RAND()</f>
        <v/>
      </c>
      <c r="AD2016">
        <f>RAND()</f>
        <v/>
      </c>
      <c r="AE2016">
        <f>RAND()</f>
        <v/>
      </c>
      <c r="AF2016">
        <f>RAND()</f>
        <v/>
      </c>
    </row>
    <row r="2017">
      <c r="M2017" s="14">
        <f>_xlfn.BETA.INV($AA2017,1+4*($D$5-$C$5)/($E$5-$C$5),1+4*($E$5-$D$5)/($E$5-$C$5),$C$5,$E$5)</f>
        <v/>
      </c>
      <c r="N2017" s="14">
        <f>IF($AB2017&lt;($D$6-$C$6)/($E$6-$C$6),$C$6+SQRT($AB2017*($E$6-$C$6)*($D$6-$C$6)),$E$6-SQRT((1-$AB2017)*($E$6-$C$6)*($E$6-$D$6)))</f>
        <v/>
      </c>
      <c r="O2017" s="14">
        <f>_xlfn.NORM.INV($AC2017,$C$7,$D$7)</f>
        <v/>
      </c>
      <c r="P2017" s="14">
        <f>$C$8+($D$8-$C$8)*$AD2017</f>
        <v/>
      </c>
      <c r="Q2017" s="14">
        <f>$C$9</f>
        <v/>
      </c>
      <c r="R2017" s="14">
        <f>_xlfn.LOGNORM.INV($AF2017,LN($C$10)-0.5*LN(1+($D$10/$C$10)^2),SQRT(LN(1+($D$10/$C$10)^2)))</f>
        <v/>
      </c>
      <c r="S2017" s="14">
        <f>SUM(M2017:R2017)</f>
        <v/>
      </c>
      <c r="AA2017">
        <f>RAND()</f>
        <v/>
      </c>
      <c r="AB2017">
        <f>RAND()</f>
        <v/>
      </c>
      <c r="AC2017">
        <f>RAND()</f>
        <v/>
      </c>
      <c r="AD2017">
        <f>RAND()</f>
        <v/>
      </c>
      <c r="AE2017">
        <f>RAND()</f>
        <v/>
      </c>
      <c r="AF2017">
        <f>RAND()</f>
        <v/>
      </c>
    </row>
    <row r="2018">
      <c r="M2018" s="14">
        <f>_xlfn.BETA.INV($AA2018,1+4*($D$5-$C$5)/($E$5-$C$5),1+4*($E$5-$D$5)/($E$5-$C$5),$C$5,$E$5)</f>
        <v/>
      </c>
      <c r="N2018" s="14">
        <f>IF($AB2018&lt;($D$6-$C$6)/($E$6-$C$6),$C$6+SQRT($AB2018*($E$6-$C$6)*($D$6-$C$6)),$E$6-SQRT((1-$AB2018)*($E$6-$C$6)*($E$6-$D$6)))</f>
        <v/>
      </c>
      <c r="O2018" s="14">
        <f>_xlfn.NORM.INV($AC2018,$C$7,$D$7)</f>
        <v/>
      </c>
      <c r="P2018" s="14">
        <f>$C$8+($D$8-$C$8)*$AD2018</f>
        <v/>
      </c>
      <c r="Q2018" s="14">
        <f>$C$9</f>
        <v/>
      </c>
      <c r="R2018" s="14">
        <f>_xlfn.LOGNORM.INV($AF2018,LN($C$10)-0.5*LN(1+($D$10/$C$10)^2),SQRT(LN(1+($D$10/$C$10)^2)))</f>
        <v/>
      </c>
      <c r="S2018" s="14">
        <f>SUM(M2018:R2018)</f>
        <v/>
      </c>
      <c r="AA2018">
        <f>RAND()</f>
        <v/>
      </c>
      <c r="AB2018">
        <f>RAND()</f>
        <v/>
      </c>
      <c r="AC2018">
        <f>RAND()</f>
        <v/>
      </c>
      <c r="AD2018">
        <f>RAND()</f>
        <v/>
      </c>
      <c r="AE2018">
        <f>RAND()</f>
        <v/>
      </c>
      <c r="AF2018">
        <f>RAND()</f>
        <v/>
      </c>
    </row>
    <row r="2019">
      <c r="M2019" s="14">
        <f>_xlfn.BETA.INV($AA2019,1+4*($D$5-$C$5)/($E$5-$C$5),1+4*($E$5-$D$5)/($E$5-$C$5),$C$5,$E$5)</f>
        <v/>
      </c>
      <c r="N2019" s="14">
        <f>IF($AB2019&lt;($D$6-$C$6)/($E$6-$C$6),$C$6+SQRT($AB2019*($E$6-$C$6)*($D$6-$C$6)),$E$6-SQRT((1-$AB2019)*($E$6-$C$6)*($E$6-$D$6)))</f>
        <v/>
      </c>
      <c r="O2019" s="14">
        <f>_xlfn.NORM.INV($AC2019,$C$7,$D$7)</f>
        <v/>
      </c>
      <c r="P2019" s="14">
        <f>$C$8+($D$8-$C$8)*$AD2019</f>
        <v/>
      </c>
      <c r="Q2019" s="14">
        <f>$C$9</f>
        <v/>
      </c>
      <c r="R2019" s="14">
        <f>_xlfn.LOGNORM.INV($AF2019,LN($C$10)-0.5*LN(1+($D$10/$C$10)^2),SQRT(LN(1+($D$10/$C$10)^2)))</f>
        <v/>
      </c>
      <c r="S2019" s="14">
        <f>SUM(M2019:R2019)</f>
        <v/>
      </c>
      <c r="AA2019">
        <f>RAND()</f>
        <v/>
      </c>
      <c r="AB2019">
        <f>RAND()</f>
        <v/>
      </c>
      <c r="AC2019">
        <f>RAND()</f>
        <v/>
      </c>
      <c r="AD2019">
        <f>RAND()</f>
        <v/>
      </c>
      <c r="AE2019">
        <f>RAND()</f>
        <v/>
      </c>
      <c r="AF2019">
        <f>RAND()</f>
        <v/>
      </c>
    </row>
    <row r="2020">
      <c r="M2020" s="14">
        <f>_xlfn.BETA.INV($AA2020,1+4*($D$5-$C$5)/($E$5-$C$5),1+4*($E$5-$D$5)/($E$5-$C$5),$C$5,$E$5)</f>
        <v/>
      </c>
      <c r="N2020" s="14">
        <f>IF($AB2020&lt;($D$6-$C$6)/($E$6-$C$6),$C$6+SQRT($AB2020*($E$6-$C$6)*($D$6-$C$6)),$E$6-SQRT((1-$AB2020)*($E$6-$C$6)*($E$6-$D$6)))</f>
        <v/>
      </c>
      <c r="O2020" s="14">
        <f>_xlfn.NORM.INV($AC2020,$C$7,$D$7)</f>
        <v/>
      </c>
      <c r="P2020" s="14">
        <f>$C$8+($D$8-$C$8)*$AD2020</f>
        <v/>
      </c>
      <c r="Q2020" s="14">
        <f>$C$9</f>
        <v/>
      </c>
      <c r="R2020" s="14">
        <f>_xlfn.LOGNORM.INV($AF2020,LN($C$10)-0.5*LN(1+($D$10/$C$10)^2),SQRT(LN(1+($D$10/$C$10)^2)))</f>
        <v/>
      </c>
      <c r="S2020" s="14">
        <f>SUM(M2020:R2020)</f>
        <v/>
      </c>
      <c r="AA2020">
        <f>RAND()</f>
        <v/>
      </c>
      <c r="AB2020">
        <f>RAND()</f>
        <v/>
      </c>
      <c r="AC2020">
        <f>RAND()</f>
        <v/>
      </c>
      <c r="AD2020">
        <f>RAND()</f>
        <v/>
      </c>
      <c r="AE2020">
        <f>RAND()</f>
        <v/>
      </c>
      <c r="AF2020">
        <f>RAND()</f>
        <v/>
      </c>
    </row>
    <row r="2021">
      <c r="M2021" s="14">
        <f>_xlfn.BETA.INV($AA2021,1+4*($D$5-$C$5)/($E$5-$C$5),1+4*($E$5-$D$5)/($E$5-$C$5),$C$5,$E$5)</f>
        <v/>
      </c>
      <c r="N2021" s="14">
        <f>IF($AB2021&lt;($D$6-$C$6)/($E$6-$C$6),$C$6+SQRT($AB2021*($E$6-$C$6)*($D$6-$C$6)),$E$6-SQRT((1-$AB2021)*($E$6-$C$6)*($E$6-$D$6)))</f>
        <v/>
      </c>
      <c r="O2021" s="14">
        <f>_xlfn.NORM.INV($AC2021,$C$7,$D$7)</f>
        <v/>
      </c>
      <c r="P2021" s="14">
        <f>$C$8+($D$8-$C$8)*$AD2021</f>
        <v/>
      </c>
      <c r="Q2021" s="14">
        <f>$C$9</f>
        <v/>
      </c>
      <c r="R2021" s="14">
        <f>_xlfn.LOGNORM.INV($AF2021,LN($C$10)-0.5*LN(1+($D$10/$C$10)^2),SQRT(LN(1+($D$10/$C$10)^2)))</f>
        <v/>
      </c>
      <c r="S2021" s="14">
        <f>SUM(M2021:R2021)</f>
        <v/>
      </c>
      <c r="AA2021">
        <f>RAND()</f>
        <v/>
      </c>
      <c r="AB2021">
        <f>RAND()</f>
        <v/>
      </c>
      <c r="AC2021">
        <f>RAND()</f>
        <v/>
      </c>
      <c r="AD2021">
        <f>RAND()</f>
        <v/>
      </c>
      <c r="AE2021">
        <f>RAND()</f>
        <v/>
      </c>
      <c r="AF2021">
        <f>RAND()</f>
        <v/>
      </c>
    </row>
    <row r="2022">
      <c r="M2022" s="14">
        <f>_xlfn.BETA.INV($AA2022,1+4*($D$5-$C$5)/($E$5-$C$5),1+4*($E$5-$D$5)/($E$5-$C$5),$C$5,$E$5)</f>
        <v/>
      </c>
      <c r="N2022" s="14">
        <f>IF($AB2022&lt;($D$6-$C$6)/($E$6-$C$6),$C$6+SQRT($AB2022*($E$6-$C$6)*($D$6-$C$6)),$E$6-SQRT((1-$AB2022)*($E$6-$C$6)*($E$6-$D$6)))</f>
        <v/>
      </c>
      <c r="O2022" s="14">
        <f>_xlfn.NORM.INV($AC2022,$C$7,$D$7)</f>
        <v/>
      </c>
      <c r="P2022" s="14">
        <f>$C$8+($D$8-$C$8)*$AD2022</f>
        <v/>
      </c>
      <c r="Q2022" s="14">
        <f>$C$9</f>
        <v/>
      </c>
      <c r="R2022" s="14">
        <f>_xlfn.LOGNORM.INV($AF2022,LN($C$10)-0.5*LN(1+($D$10/$C$10)^2),SQRT(LN(1+($D$10/$C$10)^2)))</f>
        <v/>
      </c>
      <c r="S2022" s="14">
        <f>SUM(M2022:R2022)</f>
        <v/>
      </c>
      <c r="AA2022">
        <f>RAND()</f>
        <v/>
      </c>
      <c r="AB2022">
        <f>RAND()</f>
        <v/>
      </c>
      <c r="AC2022">
        <f>RAND()</f>
        <v/>
      </c>
      <c r="AD2022">
        <f>RAND()</f>
        <v/>
      </c>
      <c r="AE2022">
        <f>RAND()</f>
        <v/>
      </c>
      <c r="AF2022">
        <f>RAND()</f>
        <v/>
      </c>
    </row>
    <row r="2023">
      <c r="M2023" s="14">
        <f>_xlfn.BETA.INV($AA2023,1+4*($D$5-$C$5)/($E$5-$C$5),1+4*($E$5-$D$5)/($E$5-$C$5),$C$5,$E$5)</f>
        <v/>
      </c>
      <c r="N2023" s="14">
        <f>IF($AB2023&lt;($D$6-$C$6)/($E$6-$C$6),$C$6+SQRT($AB2023*($E$6-$C$6)*($D$6-$C$6)),$E$6-SQRT((1-$AB2023)*($E$6-$C$6)*($E$6-$D$6)))</f>
        <v/>
      </c>
      <c r="O2023" s="14">
        <f>_xlfn.NORM.INV($AC2023,$C$7,$D$7)</f>
        <v/>
      </c>
      <c r="P2023" s="14">
        <f>$C$8+($D$8-$C$8)*$AD2023</f>
        <v/>
      </c>
      <c r="Q2023" s="14">
        <f>$C$9</f>
        <v/>
      </c>
      <c r="R2023" s="14">
        <f>_xlfn.LOGNORM.INV($AF2023,LN($C$10)-0.5*LN(1+($D$10/$C$10)^2),SQRT(LN(1+($D$10/$C$10)^2)))</f>
        <v/>
      </c>
      <c r="S2023" s="14">
        <f>SUM(M2023:R2023)</f>
        <v/>
      </c>
      <c r="AA2023">
        <f>RAND()</f>
        <v/>
      </c>
      <c r="AB2023">
        <f>RAND()</f>
        <v/>
      </c>
      <c r="AC2023">
        <f>RAND()</f>
        <v/>
      </c>
      <c r="AD2023">
        <f>RAND()</f>
        <v/>
      </c>
      <c r="AE2023">
        <f>RAND()</f>
        <v/>
      </c>
      <c r="AF2023">
        <f>RAND()</f>
        <v/>
      </c>
    </row>
    <row r="2024">
      <c r="M2024" s="14">
        <f>_xlfn.BETA.INV($AA2024,1+4*($D$5-$C$5)/($E$5-$C$5),1+4*($E$5-$D$5)/($E$5-$C$5),$C$5,$E$5)</f>
        <v/>
      </c>
      <c r="N2024" s="14">
        <f>IF($AB2024&lt;($D$6-$C$6)/($E$6-$C$6),$C$6+SQRT($AB2024*($E$6-$C$6)*($D$6-$C$6)),$E$6-SQRT((1-$AB2024)*($E$6-$C$6)*($E$6-$D$6)))</f>
        <v/>
      </c>
      <c r="O2024" s="14">
        <f>_xlfn.NORM.INV($AC2024,$C$7,$D$7)</f>
        <v/>
      </c>
      <c r="P2024" s="14">
        <f>$C$8+($D$8-$C$8)*$AD2024</f>
        <v/>
      </c>
      <c r="Q2024" s="14">
        <f>$C$9</f>
        <v/>
      </c>
      <c r="R2024" s="14">
        <f>_xlfn.LOGNORM.INV($AF2024,LN($C$10)-0.5*LN(1+($D$10/$C$10)^2),SQRT(LN(1+($D$10/$C$10)^2)))</f>
        <v/>
      </c>
      <c r="S2024" s="14">
        <f>SUM(M2024:R2024)</f>
        <v/>
      </c>
      <c r="AA2024">
        <f>RAND()</f>
        <v/>
      </c>
      <c r="AB2024">
        <f>RAND()</f>
        <v/>
      </c>
      <c r="AC2024">
        <f>RAND()</f>
        <v/>
      </c>
      <c r="AD2024">
        <f>RAND()</f>
        <v/>
      </c>
      <c r="AE2024">
        <f>RAND()</f>
        <v/>
      </c>
      <c r="AF2024">
        <f>RAND()</f>
        <v/>
      </c>
    </row>
    <row r="2025">
      <c r="M2025" s="14">
        <f>_xlfn.BETA.INV($AA2025,1+4*($D$5-$C$5)/($E$5-$C$5),1+4*($E$5-$D$5)/($E$5-$C$5),$C$5,$E$5)</f>
        <v/>
      </c>
      <c r="N2025" s="14">
        <f>IF($AB2025&lt;($D$6-$C$6)/($E$6-$C$6),$C$6+SQRT($AB2025*($E$6-$C$6)*($D$6-$C$6)),$E$6-SQRT((1-$AB2025)*($E$6-$C$6)*($E$6-$D$6)))</f>
        <v/>
      </c>
      <c r="O2025" s="14">
        <f>_xlfn.NORM.INV($AC2025,$C$7,$D$7)</f>
        <v/>
      </c>
      <c r="P2025" s="14">
        <f>$C$8+($D$8-$C$8)*$AD2025</f>
        <v/>
      </c>
      <c r="Q2025" s="14">
        <f>$C$9</f>
        <v/>
      </c>
      <c r="R2025" s="14">
        <f>_xlfn.LOGNORM.INV($AF2025,LN($C$10)-0.5*LN(1+($D$10/$C$10)^2),SQRT(LN(1+($D$10/$C$10)^2)))</f>
        <v/>
      </c>
      <c r="S2025" s="14">
        <f>SUM(M2025:R2025)</f>
        <v/>
      </c>
      <c r="AA2025">
        <f>RAND()</f>
        <v/>
      </c>
      <c r="AB2025">
        <f>RAND()</f>
        <v/>
      </c>
      <c r="AC2025">
        <f>RAND()</f>
        <v/>
      </c>
      <c r="AD2025">
        <f>RAND()</f>
        <v/>
      </c>
      <c r="AE2025">
        <f>RAND()</f>
        <v/>
      </c>
      <c r="AF2025">
        <f>RAND()</f>
        <v/>
      </c>
    </row>
    <row r="2026">
      <c r="M2026" s="14">
        <f>_xlfn.BETA.INV($AA2026,1+4*($D$5-$C$5)/($E$5-$C$5),1+4*($E$5-$D$5)/($E$5-$C$5),$C$5,$E$5)</f>
        <v/>
      </c>
      <c r="N2026" s="14">
        <f>IF($AB2026&lt;($D$6-$C$6)/($E$6-$C$6),$C$6+SQRT($AB2026*($E$6-$C$6)*($D$6-$C$6)),$E$6-SQRT((1-$AB2026)*($E$6-$C$6)*($E$6-$D$6)))</f>
        <v/>
      </c>
      <c r="O2026" s="14">
        <f>_xlfn.NORM.INV($AC2026,$C$7,$D$7)</f>
        <v/>
      </c>
      <c r="P2026" s="14">
        <f>$C$8+($D$8-$C$8)*$AD2026</f>
        <v/>
      </c>
      <c r="Q2026" s="14">
        <f>$C$9</f>
        <v/>
      </c>
      <c r="R2026" s="14">
        <f>_xlfn.LOGNORM.INV($AF2026,LN($C$10)-0.5*LN(1+($D$10/$C$10)^2),SQRT(LN(1+($D$10/$C$10)^2)))</f>
        <v/>
      </c>
      <c r="S2026" s="14">
        <f>SUM(M2026:R2026)</f>
        <v/>
      </c>
      <c r="AA2026">
        <f>RAND()</f>
        <v/>
      </c>
      <c r="AB2026">
        <f>RAND()</f>
        <v/>
      </c>
      <c r="AC2026">
        <f>RAND()</f>
        <v/>
      </c>
      <c r="AD2026">
        <f>RAND()</f>
        <v/>
      </c>
      <c r="AE2026">
        <f>RAND()</f>
        <v/>
      </c>
      <c r="AF2026">
        <f>RAND()</f>
        <v/>
      </c>
    </row>
    <row r="2027">
      <c r="M2027" s="14">
        <f>_xlfn.BETA.INV($AA2027,1+4*($D$5-$C$5)/($E$5-$C$5),1+4*($E$5-$D$5)/($E$5-$C$5),$C$5,$E$5)</f>
        <v/>
      </c>
      <c r="N2027" s="14">
        <f>IF($AB2027&lt;($D$6-$C$6)/($E$6-$C$6),$C$6+SQRT($AB2027*($E$6-$C$6)*($D$6-$C$6)),$E$6-SQRT((1-$AB2027)*($E$6-$C$6)*($E$6-$D$6)))</f>
        <v/>
      </c>
      <c r="O2027" s="14">
        <f>_xlfn.NORM.INV($AC2027,$C$7,$D$7)</f>
        <v/>
      </c>
      <c r="P2027" s="14">
        <f>$C$8+($D$8-$C$8)*$AD2027</f>
        <v/>
      </c>
      <c r="Q2027" s="14">
        <f>$C$9</f>
        <v/>
      </c>
      <c r="R2027" s="14">
        <f>_xlfn.LOGNORM.INV($AF2027,LN($C$10)-0.5*LN(1+($D$10/$C$10)^2),SQRT(LN(1+($D$10/$C$10)^2)))</f>
        <v/>
      </c>
      <c r="S2027" s="14">
        <f>SUM(M2027:R2027)</f>
        <v/>
      </c>
      <c r="AA2027">
        <f>RAND()</f>
        <v/>
      </c>
      <c r="AB2027">
        <f>RAND()</f>
        <v/>
      </c>
      <c r="AC2027">
        <f>RAND()</f>
        <v/>
      </c>
      <c r="AD2027">
        <f>RAND()</f>
        <v/>
      </c>
      <c r="AE2027">
        <f>RAND()</f>
        <v/>
      </c>
      <c r="AF2027">
        <f>RAND()</f>
        <v/>
      </c>
    </row>
    <row r="2028">
      <c r="M2028" s="14">
        <f>_xlfn.BETA.INV($AA2028,1+4*($D$5-$C$5)/($E$5-$C$5),1+4*($E$5-$D$5)/($E$5-$C$5),$C$5,$E$5)</f>
        <v/>
      </c>
      <c r="N2028" s="14">
        <f>IF($AB2028&lt;($D$6-$C$6)/($E$6-$C$6),$C$6+SQRT($AB2028*($E$6-$C$6)*($D$6-$C$6)),$E$6-SQRT((1-$AB2028)*($E$6-$C$6)*($E$6-$D$6)))</f>
        <v/>
      </c>
      <c r="O2028" s="14">
        <f>_xlfn.NORM.INV($AC2028,$C$7,$D$7)</f>
        <v/>
      </c>
      <c r="P2028" s="14">
        <f>$C$8+($D$8-$C$8)*$AD2028</f>
        <v/>
      </c>
      <c r="Q2028" s="14">
        <f>$C$9</f>
        <v/>
      </c>
      <c r="R2028" s="14">
        <f>_xlfn.LOGNORM.INV($AF2028,LN($C$10)-0.5*LN(1+($D$10/$C$10)^2),SQRT(LN(1+($D$10/$C$10)^2)))</f>
        <v/>
      </c>
      <c r="S2028" s="14">
        <f>SUM(M2028:R2028)</f>
        <v/>
      </c>
      <c r="AA2028">
        <f>RAND()</f>
        <v/>
      </c>
      <c r="AB2028">
        <f>RAND()</f>
        <v/>
      </c>
      <c r="AC2028">
        <f>RAND()</f>
        <v/>
      </c>
      <c r="AD2028">
        <f>RAND()</f>
        <v/>
      </c>
      <c r="AE2028">
        <f>RAND()</f>
        <v/>
      </c>
      <c r="AF2028">
        <f>RAND()</f>
        <v/>
      </c>
    </row>
    <row r="2029">
      <c r="M2029" s="14">
        <f>_xlfn.BETA.INV($AA2029,1+4*($D$5-$C$5)/($E$5-$C$5),1+4*($E$5-$D$5)/($E$5-$C$5),$C$5,$E$5)</f>
        <v/>
      </c>
      <c r="N2029" s="14">
        <f>IF($AB2029&lt;($D$6-$C$6)/($E$6-$C$6),$C$6+SQRT($AB2029*($E$6-$C$6)*($D$6-$C$6)),$E$6-SQRT((1-$AB2029)*($E$6-$C$6)*($E$6-$D$6)))</f>
        <v/>
      </c>
      <c r="O2029" s="14">
        <f>_xlfn.NORM.INV($AC2029,$C$7,$D$7)</f>
        <v/>
      </c>
      <c r="P2029" s="14">
        <f>$C$8+($D$8-$C$8)*$AD2029</f>
        <v/>
      </c>
      <c r="Q2029" s="14">
        <f>$C$9</f>
        <v/>
      </c>
      <c r="R2029" s="14">
        <f>_xlfn.LOGNORM.INV($AF2029,LN($C$10)-0.5*LN(1+($D$10/$C$10)^2),SQRT(LN(1+($D$10/$C$10)^2)))</f>
        <v/>
      </c>
      <c r="S2029" s="14">
        <f>SUM(M2029:R2029)</f>
        <v/>
      </c>
      <c r="AA2029">
        <f>RAND()</f>
        <v/>
      </c>
      <c r="AB2029">
        <f>RAND()</f>
        <v/>
      </c>
      <c r="AC2029">
        <f>RAND()</f>
        <v/>
      </c>
      <c r="AD2029">
        <f>RAND()</f>
        <v/>
      </c>
      <c r="AE2029">
        <f>RAND()</f>
        <v/>
      </c>
      <c r="AF2029">
        <f>RAND()</f>
        <v/>
      </c>
    </row>
    <row r="2030">
      <c r="M2030" s="14">
        <f>_xlfn.BETA.INV($AA2030,1+4*($D$5-$C$5)/($E$5-$C$5),1+4*($E$5-$D$5)/($E$5-$C$5),$C$5,$E$5)</f>
        <v/>
      </c>
      <c r="N2030" s="14">
        <f>IF($AB2030&lt;($D$6-$C$6)/($E$6-$C$6),$C$6+SQRT($AB2030*($E$6-$C$6)*($D$6-$C$6)),$E$6-SQRT((1-$AB2030)*($E$6-$C$6)*($E$6-$D$6)))</f>
        <v/>
      </c>
      <c r="O2030" s="14">
        <f>_xlfn.NORM.INV($AC2030,$C$7,$D$7)</f>
        <v/>
      </c>
      <c r="P2030" s="14">
        <f>$C$8+($D$8-$C$8)*$AD2030</f>
        <v/>
      </c>
      <c r="Q2030" s="14">
        <f>$C$9</f>
        <v/>
      </c>
      <c r="R2030" s="14">
        <f>_xlfn.LOGNORM.INV($AF2030,LN($C$10)-0.5*LN(1+($D$10/$C$10)^2),SQRT(LN(1+($D$10/$C$10)^2)))</f>
        <v/>
      </c>
      <c r="S2030" s="14">
        <f>SUM(M2030:R2030)</f>
        <v/>
      </c>
      <c r="AA2030">
        <f>RAND()</f>
        <v/>
      </c>
      <c r="AB2030">
        <f>RAND()</f>
        <v/>
      </c>
      <c r="AC2030">
        <f>RAND()</f>
        <v/>
      </c>
      <c r="AD2030">
        <f>RAND()</f>
        <v/>
      </c>
      <c r="AE2030">
        <f>RAND()</f>
        <v/>
      </c>
      <c r="AF2030">
        <f>RAND()</f>
        <v/>
      </c>
    </row>
    <row r="2031">
      <c r="M2031" s="14">
        <f>_xlfn.BETA.INV($AA2031,1+4*($D$5-$C$5)/($E$5-$C$5),1+4*($E$5-$D$5)/($E$5-$C$5),$C$5,$E$5)</f>
        <v/>
      </c>
      <c r="N2031" s="14">
        <f>IF($AB2031&lt;($D$6-$C$6)/($E$6-$C$6),$C$6+SQRT($AB2031*($E$6-$C$6)*($D$6-$C$6)),$E$6-SQRT((1-$AB2031)*($E$6-$C$6)*($E$6-$D$6)))</f>
        <v/>
      </c>
      <c r="O2031" s="14">
        <f>_xlfn.NORM.INV($AC2031,$C$7,$D$7)</f>
        <v/>
      </c>
      <c r="P2031" s="14">
        <f>$C$8+($D$8-$C$8)*$AD2031</f>
        <v/>
      </c>
      <c r="Q2031" s="14">
        <f>$C$9</f>
        <v/>
      </c>
      <c r="R2031" s="14">
        <f>_xlfn.LOGNORM.INV($AF2031,LN($C$10)-0.5*LN(1+($D$10/$C$10)^2),SQRT(LN(1+($D$10/$C$10)^2)))</f>
        <v/>
      </c>
      <c r="S2031" s="14">
        <f>SUM(M2031:R2031)</f>
        <v/>
      </c>
      <c r="AA2031">
        <f>RAND()</f>
        <v/>
      </c>
      <c r="AB2031">
        <f>RAND()</f>
        <v/>
      </c>
      <c r="AC2031">
        <f>RAND()</f>
        <v/>
      </c>
      <c r="AD2031">
        <f>RAND()</f>
        <v/>
      </c>
      <c r="AE2031">
        <f>RAND()</f>
        <v/>
      </c>
      <c r="AF2031">
        <f>RAND()</f>
        <v/>
      </c>
    </row>
    <row r="2032">
      <c r="M2032" s="14">
        <f>_xlfn.BETA.INV($AA2032,1+4*($D$5-$C$5)/($E$5-$C$5),1+4*($E$5-$D$5)/($E$5-$C$5),$C$5,$E$5)</f>
        <v/>
      </c>
      <c r="N2032" s="14">
        <f>IF($AB2032&lt;($D$6-$C$6)/($E$6-$C$6),$C$6+SQRT($AB2032*($E$6-$C$6)*($D$6-$C$6)),$E$6-SQRT((1-$AB2032)*($E$6-$C$6)*($E$6-$D$6)))</f>
        <v/>
      </c>
      <c r="O2032" s="14">
        <f>_xlfn.NORM.INV($AC2032,$C$7,$D$7)</f>
        <v/>
      </c>
      <c r="P2032" s="14">
        <f>$C$8+($D$8-$C$8)*$AD2032</f>
        <v/>
      </c>
      <c r="Q2032" s="14">
        <f>$C$9</f>
        <v/>
      </c>
      <c r="R2032" s="14">
        <f>_xlfn.LOGNORM.INV($AF2032,LN($C$10)-0.5*LN(1+($D$10/$C$10)^2),SQRT(LN(1+($D$10/$C$10)^2)))</f>
        <v/>
      </c>
      <c r="S2032" s="14">
        <f>SUM(M2032:R2032)</f>
        <v/>
      </c>
      <c r="AA2032">
        <f>RAND()</f>
        <v/>
      </c>
      <c r="AB2032">
        <f>RAND()</f>
        <v/>
      </c>
      <c r="AC2032">
        <f>RAND()</f>
        <v/>
      </c>
      <c r="AD2032">
        <f>RAND()</f>
        <v/>
      </c>
      <c r="AE2032">
        <f>RAND()</f>
        <v/>
      </c>
      <c r="AF2032">
        <f>RAND()</f>
        <v/>
      </c>
    </row>
    <row r="2033">
      <c r="M2033" s="14">
        <f>_xlfn.BETA.INV($AA2033,1+4*($D$5-$C$5)/($E$5-$C$5),1+4*($E$5-$D$5)/($E$5-$C$5),$C$5,$E$5)</f>
        <v/>
      </c>
      <c r="N2033" s="14">
        <f>IF($AB2033&lt;($D$6-$C$6)/($E$6-$C$6),$C$6+SQRT($AB2033*($E$6-$C$6)*($D$6-$C$6)),$E$6-SQRT((1-$AB2033)*($E$6-$C$6)*($E$6-$D$6)))</f>
        <v/>
      </c>
      <c r="O2033" s="14">
        <f>_xlfn.NORM.INV($AC2033,$C$7,$D$7)</f>
        <v/>
      </c>
      <c r="P2033" s="14">
        <f>$C$8+($D$8-$C$8)*$AD2033</f>
        <v/>
      </c>
      <c r="Q2033" s="14">
        <f>$C$9</f>
        <v/>
      </c>
      <c r="R2033" s="14">
        <f>_xlfn.LOGNORM.INV($AF2033,LN($C$10)-0.5*LN(1+($D$10/$C$10)^2),SQRT(LN(1+($D$10/$C$10)^2)))</f>
        <v/>
      </c>
      <c r="S2033" s="14">
        <f>SUM(M2033:R2033)</f>
        <v/>
      </c>
      <c r="AA2033">
        <f>RAND()</f>
        <v/>
      </c>
      <c r="AB2033">
        <f>RAND()</f>
        <v/>
      </c>
      <c r="AC2033">
        <f>RAND()</f>
        <v/>
      </c>
      <c r="AD2033">
        <f>RAND()</f>
        <v/>
      </c>
      <c r="AE2033">
        <f>RAND()</f>
        <v/>
      </c>
      <c r="AF2033">
        <f>RAND()</f>
        <v/>
      </c>
    </row>
    <row r="2034">
      <c r="M2034" s="14">
        <f>_xlfn.BETA.INV($AA2034,1+4*($D$5-$C$5)/($E$5-$C$5),1+4*($E$5-$D$5)/($E$5-$C$5),$C$5,$E$5)</f>
        <v/>
      </c>
      <c r="N2034" s="14">
        <f>IF($AB2034&lt;($D$6-$C$6)/($E$6-$C$6),$C$6+SQRT($AB2034*($E$6-$C$6)*($D$6-$C$6)),$E$6-SQRT((1-$AB2034)*($E$6-$C$6)*($E$6-$D$6)))</f>
        <v/>
      </c>
      <c r="O2034" s="14">
        <f>_xlfn.NORM.INV($AC2034,$C$7,$D$7)</f>
        <v/>
      </c>
      <c r="P2034" s="14">
        <f>$C$8+($D$8-$C$8)*$AD2034</f>
        <v/>
      </c>
      <c r="Q2034" s="14">
        <f>$C$9</f>
        <v/>
      </c>
      <c r="R2034" s="14">
        <f>_xlfn.LOGNORM.INV($AF2034,LN($C$10)-0.5*LN(1+($D$10/$C$10)^2),SQRT(LN(1+($D$10/$C$10)^2)))</f>
        <v/>
      </c>
      <c r="S2034" s="14">
        <f>SUM(M2034:R2034)</f>
        <v/>
      </c>
      <c r="AA2034">
        <f>RAND()</f>
        <v/>
      </c>
      <c r="AB2034">
        <f>RAND()</f>
        <v/>
      </c>
      <c r="AC2034">
        <f>RAND()</f>
        <v/>
      </c>
      <c r="AD2034">
        <f>RAND()</f>
        <v/>
      </c>
      <c r="AE2034">
        <f>RAND()</f>
        <v/>
      </c>
      <c r="AF2034">
        <f>RAND()</f>
        <v/>
      </c>
    </row>
    <row r="2035">
      <c r="M2035" s="14">
        <f>_xlfn.BETA.INV($AA2035,1+4*($D$5-$C$5)/($E$5-$C$5),1+4*($E$5-$D$5)/($E$5-$C$5),$C$5,$E$5)</f>
        <v/>
      </c>
      <c r="N2035" s="14">
        <f>IF($AB2035&lt;($D$6-$C$6)/($E$6-$C$6),$C$6+SQRT($AB2035*($E$6-$C$6)*($D$6-$C$6)),$E$6-SQRT((1-$AB2035)*($E$6-$C$6)*($E$6-$D$6)))</f>
        <v/>
      </c>
      <c r="O2035" s="14">
        <f>_xlfn.NORM.INV($AC2035,$C$7,$D$7)</f>
        <v/>
      </c>
      <c r="P2035" s="14">
        <f>$C$8+($D$8-$C$8)*$AD2035</f>
        <v/>
      </c>
      <c r="Q2035" s="14">
        <f>$C$9</f>
        <v/>
      </c>
      <c r="R2035" s="14">
        <f>_xlfn.LOGNORM.INV($AF2035,LN($C$10)-0.5*LN(1+($D$10/$C$10)^2),SQRT(LN(1+($D$10/$C$10)^2)))</f>
        <v/>
      </c>
      <c r="S2035" s="14">
        <f>SUM(M2035:R2035)</f>
        <v/>
      </c>
      <c r="AA2035">
        <f>RAND()</f>
        <v/>
      </c>
      <c r="AB2035">
        <f>RAND()</f>
        <v/>
      </c>
      <c r="AC2035">
        <f>RAND()</f>
        <v/>
      </c>
      <c r="AD2035">
        <f>RAND()</f>
        <v/>
      </c>
      <c r="AE2035">
        <f>RAND()</f>
        <v/>
      </c>
      <c r="AF2035">
        <f>RAND()</f>
        <v/>
      </c>
    </row>
    <row r="2036">
      <c r="M2036" s="14">
        <f>_xlfn.BETA.INV($AA2036,1+4*($D$5-$C$5)/($E$5-$C$5),1+4*($E$5-$D$5)/($E$5-$C$5),$C$5,$E$5)</f>
        <v/>
      </c>
      <c r="N2036" s="14">
        <f>IF($AB2036&lt;($D$6-$C$6)/($E$6-$C$6),$C$6+SQRT($AB2036*($E$6-$C$6)*($D$6-$C$6)),$E$6-SQRT((1-$AB2036)*($E$6-$C$6)*($E$6-$D$6)))</f>
        <v/>
      </c>
      <c r="O2036" s="14">
        <f>_xlfn.NORM.INV($AC2036,$C$7,$D$7)</f>
        <v/>
      </c>
      <c r="P2036" s="14">
        <f>$C$8+($D$8-$C$8)*$AD2036</f>
        <v/>
      </c>
      <c r="Q2036" s="14">
        <f>$C$9</f>
        <v/>
      </c>
      <c r="R2036" s="14">
        <f>_xlfn.LOGNORM.INV($AF2036,LN($C$10)-0.5*LN(1+($D$10/$C$10)^2),SQRT(LN(1+($D$10/$C$10)^2)))</f>
        <v/>
      </c>
      <c r="S2036" s="14">
        <f>SUM(M2036:R2036)</f>
        <v/>
      </c>
      <c r="AA2036">
        <f>RAND()</f>
        <v/>
      </c>
      <c r="AB2036">
        <f>RAND()</f>
        <v/>
      </c>
      <c r="AC2036">
        <f>RAND()</f>
        <v/>
      </c>
      <c r="AD2036">
        <f>RAND()</f>
        <v/>
      </c>
      <c r="AE2036">
        <f>RAND()</f>
        <v/>
      </c>
      <c r="AF2036">
        <f>RAND()</f>
        <v/>
      </c>
    </row>
    <row r="2037">
      <c r="M2037" s="14">
        <f>_xlfn.BETA.INV($AA2037,1+4*($D$5-$C$5)/($E$5-$C$5),1+4*($E$5-$D$5)/($E$5-$C$5),$C$5,$E$5)</f>
        <v/>
      </c>
      <c r="N2037" s="14">
        <f>IF($AB2037&lt;($D$6-$C$6)/($E$6-$C$6),$C$6+SQRT($AB2037*($E$6-$C$6)*($D$6-$C$6)),$E$6-SQRT((1-$AB2037)*($E$6-$C$6)*($E$6-$D$6)))</f>
        <v/>
      </c>
      <c r="O2037" s="14">
        <f>_xlfn.NORM.INV($AC2037,$C$7,$D$7)</f>
        <v/>
      </c>
      <c r="P2037" s="14">
        <f>$C$8+($D$8-$C$8)*$AD2037</f>
        <v/>
      </c>
      <c r="Q2037" s="14">
        <f>$C$9</f>
        <v/>
      </c>
      <c r="R2037" s="14">
        <f>_xlfn.LOGNORM.INV($AF2037,LN($C$10)-0.5*LN(1+($D$10/$C$10)^2),SQRT(LN(1+($D$10/$C$10)^2)))</f>
        <v/>
      </c>
      <c r="S2037" s="14">
        <f>SUM(M2037:R2037)</f>
        <v/>
      </c>
      <c r="AA2037">
        <f>RAND()</f>
        <v/>
      </c>
      <c r="AB2037">
        <f>RAND()</f>
        <v/>
      </c>
      <c r="AC2037">
        <f>RAND()</f>
        <v/>
      </c>
      <c r="AD2037">
        <f>RAND()</f>
        <v/>
      </c>
      <c r="AE2037">
        <f>RAND()</f>
        <v/>
      </c>
      <c r="AF2037">
        <f>RAND()</f>
        <v/>
      </c>
    </row>
    <row r="2038">
      <c r="M2038" s="14">
        <f>_xlfn.BETA.INV($AA2038,1+4*($D$5-$C$5)/($E$5-$C$5),1+4*($E$5-$D$5)/($E$5-$C$5),$C$5,$E$5)</f>
        <v/>
      </c>
      <c r="N2038" s="14">
        <f>IF($AB2038&lt;($D$6-$C$6)/($E$6-$C$6),$C$6+SQRT($AB2038*($E$6-$C$6)*($D$6-$C$6)),$E$6-SQRT((1-$AB2038)*($E$6-$C$6)*($E$6-$D$6)))</f>
        <v/>
      </c>
      <c r="O2038" s="14">
        <f>_xlfn.NORM.INV($AC2038,$C$7,$D$7)</f>
        <v/>
      </c>
      <c r="P2038" s="14">
        <f>$C$8+($D$8-$C$8)*$AD2038</f>
        <v/>
      </c>
      <c r="Q2038" s="14">
        <f>$C$9</f>
        <v/>
      </c>
      <c r="R2038" s="14">
        <f>_xlfn.LOGNORM.INV($AF2038,LN($C$10)-0.5*LN(1+($D$10/$C$10)^2),SQRT(LN(1+($D$10/$C$10)^2)))</f>
        <v/>
      </c>
      <c r="S2038" s="14">
        <f>SUM(M2038:R2038)</f>
        <v/>
      </c>
      <c r="AA2038">
        <f>RAND()</f>
        <v/>
      </c>
      <c r="AB2038">
        <f>RAND()</f>
        <v/>
      </c>
      <c r="AC2038">
        <f>RAND()</f>
        <v/>
      </c>
      <c r="AD2038">
        <f>RAND()</f>
        <v/>
      </c>
      <c r="AE2038">
        <f>RAND()</f>
        <v/>
      </c>
      <c r="AF2038">
        <f>RAND()</f>
        <v/>
      </c>
    </row>
    <row r="2039">
      <c r="M2039" s="14">
        <f>_xlfn.BETA.INV($AA2039,1+4*($D$5-$C$5)/($E$5-$C$5),1+4*($E$5-$D$5)/($E$5-$C$5),$C$5,$E$5)</f>
        <v/>
      </c>
      <c r="N2039" s="14">
        <f>IF($AB2039&lt;($D$6-$C$6)/($E$6-$C$6),$C$6+SQRT($AB2039*($E$6-$C$6)*($D$6-$C$6)),$E$6-SQRT((1-$AB2039)*($E$6-$C$6)*($E$6-$D$6)))</f>
        <v/>
      </c>
      <c r="O2039" s="14">
        <f>_xlfn.NORM.INV($AC2039,$C$7,$D$7)</f>
        <v/>
      </c>
      <c r="P2039" s="14">
        <f>$C$8+($D$8-$C$8)*$AD2039</f>
        <v/>
      </c>
      <c r="Q2039" s="14">
        <f>$C$9</f>
        <v/>
      </c>
      <c r="R2039" s="14">
        <f>_xlfn.LOGNORM.INV($AF2039,LN($C$10)-0.5*LN(1+($D$10/$C$10)^2),SQRT(LN(1+($D$10/$C$10)^2)))</f>
        <v/>
      </c>
      <c r="S2039" s="14">
        <f>SUM(M2039:R2039)</f>
        <v/>
      </c>
      <c r="AA2039">
        <f>RAND()</f>
        <v/>
      </c>
      <c r="AB2039">
        <f>RAND()</f>
        <v/>
      </c>
      <c r="AC2039">
        <f>RAND()</f>
        <v/>
      </c>
      <c r="AD2039">
        <f>RAND()</f>
        <v/>
      </c>
      <c r="AE2039">
        <f>RAND()</f>
        <v/>
      </c>
      <c r="AF2039">
        <f>RAND()</f>
        <v/>
      </c>
    </row>
    <row r="2040">
      <c r="M2040" s="14">
        <f>_xlfn.BETA.INV($AA2040,1+4*($D$5-$C$5)/($E$5-$C$5),1+4*($E$5-$D$5)/($E$5-$C$5),$C$5,$E$5)</f>
        <v/>
      </c>
      <c r="N2040" s="14">
        <f>IF($AB2040&lt;($D$6-$C$6)/($E$6-$C$6),$C$6+SQRT($AB2040*($E$6-$C$6)*($D$6-$C$6)),$E$6-SQRT((1-$AB2040)*($E$6-$C$6)*($E$6-$D$6)))</f>
        <v/>
      </c>
      <c r="O2040" s="14">
        <f>_xlfn.NORM.INV($AC2040,$C$7,$D$7)</f>
        <v/>
      </c>
      <c r="P2040" s="14">
        <f>$C$8+($D$8-$C$8)*$AD2040</f>
        <v/>
      </c>
      <c r="Q2040" s="14">
        <f>$C$9</f>
        <v/>
      </c>
      <c r="R2040" s="14">
        <f>_xlfn.LOGNORM.INV($AF2040,LN($C$10)-0.5*LN(1+($D$10/$C$10)^2),SQRT(LN(1+($D$10/$C$10)^2)))</f>
        <v/>
      </c>
      <c r="S2040" s="14">
        <f>SUM(M2040:R2040)</f>
        <v/>
      </c>
      <c r="AA2040">
        <f>RAND()</f>
        <v/>
      </c>
      <c r="AB2040">
        <f>RAND()</f>
        <v/>
      </c>
      <c r="AC2040">
        <f>RAND()</f>
        <v/>
      </c>
      <c r="AD2040">
        <f>RAND()</f>
        <v/>
      </c>
      <c r="AE2040">
        <f>RAND()</f>
        <v/>
      </c>
      <c r="AF2040">
        <f>RAND()</f>
        <v/>
      </c>
    </row>
    <row r="2041">
      <c r="M2041" s="14">
        <f>_xlfn.BETA.INV($AA2041,1+4*($D$5-$C$5)/($E$5-$C$5),1+4*($E$5-$D$5)/($E$5-$C$5),$C$5,$E$5)</f>
        <v/>
      </c>
      <c r="N2041" s="14">
        <f>IF($AB2041&lt;($D$6-$C$6)/($E$6-$C$6),$C$6+SQRT($AB2041*($E$6-$C$6)*($D$6-$C$6)),$E$6-SQRT((1-$AB2041)*($E$6-$C$6)*($E$6-$D$6)))</f>
        <v/>
      </c>
      <c r="O2041" s="14">
        <f>_xlfn.NORM.INV($AC2041,$C$7,$D$7)</f>
        <v/>
      </c>
      <c r="P2041" s="14">
        <f>$C$8+($D$8-$C$8)*$AD2041</f>
        <v/>
      </c>
      <c r="Q2041" s="14">
        <f>$C$9</f>
        <v/>
      </c>
      <c r="R2041" s="14">
        <f>_xlfn.LOGNORM.INV($AF2041,LN($C$10)-0.5*LN(1+($D$10/$C$10)^2),SQRT(LN(1+($D$10/$C$10)^2)))</f>
        <v/>
      </c>
      <c r="S2041" s="14">
        <f>SUM(M2041:R2041)</f>
        <v/>
      </c>
      <c r="AA2041">
        <f>RAND()</f>
        <v/>
      </c>
      <c r="AB2041">
        <f>RAND()</f>
        <v/>
      </c>
      <c r="AC2041">
        <f>RAND()</f>
        <v/>
      </c>
      <c r="AD2041">
        <f>RAND()</f>
        <v/>
      </c>
      <c r="AE2041">
        <f>RAND()</f>
        <v/>
      </c>
      <c r="AF2041">
        <f>RAND()</f>
        <v/>
      </c>
    </row>
    <row r="2042">
      <c r="M2042" s="14">
        <f>_xlfn.BETA.INV($AA2042,1+4*($D$5-$C$5)/($E$5-$C$5),1+4*($E$5-$D$5)/($E$5-$C$5),$C$5,$E$5)</f>
        <v/>
      </c>
      <c r="N2042" s="14">
        <f>IF($AB2042&lt;($D$6-$C$6)/($E$6-$C$6),$C$6+SQRT($AB2042*($E$6-$C$6)*($D$6-$C$6)),$E$6-SQRT((1-$AB2042)*($E$6-$C$6)*($E$6-$D$6)))</f>
        <v/>
      </c>
      <c r="O2042" s="14">
        <f>_xlfn.NORM.INV($AC2042,$C$7,$D$7)</f>
        <v/>
      </c>
      <c r="P2042" s="14">
        <f>$C$8+($D$8-$C$8)*$AD2042</f>
        <v/>
      </c>
      <c r="Q2042" s="14">
        <f>$C$9</f>
        <v/>
      </c>
      <c r="R2042" s="14">
        <f>_xlfn.LOGNORM.INV($AF2042,LN($C$10)-0.5*LN(1+($D$10/$C$10)^2),SQRT(LN(1+($D$10/$C$10)^2)))</f>
        <v/>
      </c>
      <c r="S2042" s="14">
        <f>SUM(M2042:R2042)</f>
        <v/>
      </c>
      <c r="AA2042">
        <f>RAND()</f>
        <v/>
      </c>
      <c r="AB2042">
        <f>RAND()</f>
        <v/>
      </c>
      <c r="AC2042">
        <f>RAND()</f>
        <v/>
      </c>
      <c r="AD2042">
        <f>RAND()</f>
        <v/>
      </c>
      <c r="AE2042">
        <f>RAND()</f>
        <v/>
      </c>
      <c r="AF2042">
        <f>RAND()</f>
        <v/>
      </c>
    </row>
    <row r="2043">
      <c r="M2043" s="14">
        <f>_xlfn.BETA.INV($AA2043,1+4*($D$5-$C$5)/($E$5-$C$5),1+4*($E$5-$D$5)/($E$5-$C$5),$C$5,$E$5)</f>
        <v/>
      </c>
      <c r="N2043" s="14">
        <f>IF($AB2043&lt;($D$6-$C$6)/($E$6-$C$6),$C$6+SQRT($AB2043*($E$6-$C$6)*($D$6-$C$6)),$E$6-SQRT((1-$AB2043)*($E$6-$C$6)*($E$6-$D$6)))</f>
        <v/>
      </c>
      <c r="O2043" s="14">
        <f>_xlfn.NORM.INV($AC2043,$C$7,$D$7)</f>
        <v/>
      </c>
      <c r="P2043" s="14">
        <f>$C$8+($D$8-$C$8)*$AD2043</f>
        <v/>
      </c>
      <c r="Q2043" s="14">
        <f>$C$9</f>
        <v/>
      </c>
      <c r="R2043" s="14">
        <f>_xlfn.LOGNORM.INV($AF2043,LN($C$10)-0.5*LN(1+($D$10/$C$10)^2),SQRT(LN(1+($D$10/$C$10)^2)))</f>
        <v/>
      </c>
      <c r="S2043" s="14">
        <f>SUM(M2043:R2043)</f>
        <v/>
      </c>
      <c r="AA2043">
        <f>RAND()</f>
        <v/>
      </c>
      <c r="AB2043">
        <f>RAND()</f>
        <v/>
      </c>
      <c r="AC2043">
        <f>RAND()</f>
        <v/>
      </c>
      <c r="AD2043">
        <f>RAND()</f>
        <v/>
      </c>
      <c r="AE2043">
        <f>RAND()</f>
        <v/>
      </c>
      <c r="AF2043">
        <f>RAND()</f>
        <v/>
      </c>
    </row>
    <row r="2044">
      <c r="M2044" s="14">
        <f>_xlfn.BETA.INV($AA2044,1+4*($D$5-$C$5)/($E$5-$C$5),1+4*($E$5-$D$5)/($E$5-$C$5),$C$5,$E$5)</f>
        <v/>
      </c>
      <c r="N2044" s="14">
        <f>IF($AB2044&lt;($D$6-$C$6)/($E$6-$C$6),$C$6+SQRT($AB2044*($E$6-$C$6)*($D$6-$C$6)),$E$6-SQRT((1-$AB2044)*($E$6-$C$6)*($E$6-$D$6)))</f>
        <v/>
      </c>
      <c r="O2044" s="14">
        <f>_xlfn.NORM.INV($AC2044,$C$7,$D$7)</f>
        <v/>
      </c>
      <c r="P2044" s="14">
        <f>$C$8+($D$8-$C$8)*$AD2044</f>
        <v/>
      </c>
      <c r="Q2044" s="14">
        <f>$C$9</f>
        <v/>
      </c>
      <c r="R2044" s="14">
        <f>_xlfn.LOGNORM.INV($AF2044,LN($C$10)-0.5*LN(1+($D$10/$C$10)^2),SQRT(LN(1+($D$10/$C$10)^2)))</f>
        <v/>
      </c>
      <c r="S2044" s="14">
        <f>SUM(M2044:R2044)</f>
        <v/>
      </c>
      <c r="AA2044">
        <f>RAND()</f>
        <v/>
      </c>
      <c r="AB2044">
        <f>RAND()</f>
        <v/>
      </c>
      <c r="AC2044">
        <f>RAND()</f>
        <v/>
      </c>
      <c r="AD2044">
        <f>RAND()</f>
        <v/>
      </c>
      <c r="AE2044">
        <f>RAND()</f>
        <v/>
      </c>
      <c r="AF2044">
        <f>RAND()</f>
        <v/>
      </c>
    </row>
    <row r="2045">
      <c r="M2045" s="14">
        <f>_xlfn.BETA.INV($AA2045,1+4*($D$5-$C$5)/($E$5-$C$5),1+4*($E$5-$D$5)/($E$5-$C$5),$C$5,$E$5)</f>
        <v/>
      </c>
      <c r="N2045" s="14">
        <f>IF($AB2045&lt;($D$6-$C$6)/($E$6-$C$6),$C$6+SQRT($AB2045*($E$6-$C$6)*($D$6-$C$6)),$E$6-SQRT((1-$AB2045)*($E$6-$C$6)*($E$6-$D$6)))</f>
        <v/>
      </c>
      <c r="O2045" s="14">
        <f>_xlfn.NORM.INV($AC2045,$C$7,$D$7)</f>
        <v/>
      </c>
      <c r="P2045" s="14">
        <f>$C$8+($D$8-$C$8)*$AD2045</f>
        <v/>
      </c>
      <c r="Q2045" s="14">
        <f>$C$9</f>
        <v/>
      </c>
      <c r="R2045" s="14">
        <f>_xlfn.LOGNORM.INV($AF2045,LN($C$10)-0.5*LN(1+($D$10/$C$10)^2),SQRT(LN(1+($D$10/$C$10)^2)))</f>
        <v/>
      </c>
      <c r="S2045" s="14">
        <f>SUM(M2045:R2045)</f>
        <v/>
      </c>
      <c r="AA2045">
        <f>RAND()</f>
        <v/>
      </c>
      <c r="AB2045">
        <f>RAND()</f>
        <v/>
      </c>
      <c r="AC2045">
        <f>RAND()</f>
        <v/>
      </c>
      <c r="AD2045">
        <f>RAND()</f>
        <v/>
      </c>
      <c r="AE2045">
        <f>RAND()</f>
        <v/>
      </c>
      <c r="AF2045">
        <f>RAND()</f>
        <v/>
      </c>
    </row>
    <row r="2046">
      <c r="M2046" s="14">
        <f>_xlfn.BETA.INV($AA2046,1+4*($D$5-$C$5)/($E$5-$C$5),1+4*($E$5-$D$5)/($E$5-$C$5),$C$5,$E$5)</f>
        <v/>
      </c>
      <c r="N2046" s="14">
        <f>IF($AB2046&lt;($D$6-$C$6)/($E$6-$C$6),$C$6+SQRT($AB2046*($E$6-$C$6)*($D$6-$C$6)),$E$6-SQRT((1-$AB2046)*($E$6-$C$6)*($E$6-$D$6)))</f>
        <v/>
      </c>
      <c r="O2046" s="14">
        <f>_xlfn.NORM.INV($AC2046,$C$7,$D$7)</f>
        <v/>
      </c>
      <c r="P2046" s="14">
        <f>$C$8+($D$8-$C$8)*$AD2046</f>
        <v/>
      </c>
      <c r="Q2046" s="14">
        <f>$C$9</f>
        <v/>
      </c>
      <c r="R2046" s="14">
        <f>_xlfn.LOGNORM.INV($AF2046,LN($C$10)-0.5*LN(1+($D$10/$C$10)^2),SQRT(LN(1+($D$10/$C$10)^2)))</f>
        <v/>
      </c>
      <c r="S2046" s="14">
        <f>SUM(M2046:R2046)</f>
        <v/>
      </c>
      <c r="AA2046">
        <f>RAND()</f>
        <v/>
      </c>
      <c r="AB2046">
        <f>RAND()</f>
        <v/>
      </c>
      <c r="AC2046">
        <f>RAND()</f>
        <v/>
      </c>
      <c r="AD2046">
        <f>RAND()</f>
        <v/>
      </c>
      <c r="AE2046">
        <f>RAND()</f>
        <v/>
      </c>
      <c r="AF2046">
        <f>RAND()</f>
        <v/>
      </c>
    </row>
    <row r="2047">
      <c r="M2047" s="14">
        <f>_xlfn.BETA.INV($AA2047,1+4*($D$5-$C$5)/($E$5-$C$5),1+4*($E$5-$D$5)/($E$5-$C$5),$C$5,$E$5)</f>
        <v/>
      </c>
      <c r="N2047" s="14">
        <f>IF($AB2047&lt;($D$6-$C$6)/($E$6-$C$6),$C$6+SQRT($AB2047*($E$6-$C$6)*($D$6-$C$6)),$E$6-SQRT((1-$AB2047)*($E$6-$C$6)*($E$6-$D$6)))</f>
        <v/>
      </c>
      <c r="O2047" s="14">
        <f>_xlfn.NORM.INV($AC2047,$C$7,$D$7)</f>
        <v/>
      </c>
      <c r="P2047" s="14">
        <f>$C$8+($D$8-$C$8)*$AD2047</f>
        <v/>
      </c>
      <c r="Q2047" s="14">
        <f>$C$9</f>
        <v/>
      </c>
      <c r="R2047" s="14">
        <f>_xlfn.LOGNORM.INV($AF2047,LN($C$10)-0.5*LN(1+($D$10/$C$10)^2),SQRT(LN(1+($D$10/$C$10)^2)))</f>
        <v/>
      </c>
      <c r="S2047" s="14">
        <f>SUM(M2047:R2047)</f>
        <v/>
      </c>
      <c r="AA2047">
        <f>RAND()</f>
        <v/>
      </c>
      <c r="AB2047">
        <f>RAND()</f>
        <v/>
      </c>
      <c r="AC2047">
        <f>RAND()</f>
        <v/>
      </c>
      <c r="AD2047">
        <f>RAND()</f>
        <v/>
      </c>
      <c r="AE2047">
        <f>RAND()</f>
        <v/>
      </c>
      <c r="AF2047">
        <f>RAND()</f>
        <v/>
      </c>
    </row>
    <row r="2048">
      <c r="M2048" s="14">
        <f>_xlfn.BETA.INV($AA2048,1+4*($D$5-$C$5)/($E$5-$C$5),1+4*($E$5-$D$5)/($E$5-$C$5),$C$5,$E$5)</f>
        <v/>
      </c>
      <c r="N2048" s="14">
        <f>IF($AB2048&lt;($D$6-$C$6)/($E$6-$C$6),$C$6+SQRT($AB2048*($E$6-$C$6)*($D$6-$C$6)),$E$6-SQRT((1-$AB2048)*($E$6-$C$6)*($E$6-$D$6)))</f>
        <v/>
      </c>
      <c r="O2048" s="14">
        <f>_xlfn.NORM.INV($AC2048,$C$7,$D$7)</f>
        <v/>
      </c>
      <c r="P2048" s="14">
        <f>$C$8+($D$8-$C$8)*$AD2048</f>
        <v/>
      </c>
      <c r="Q2048" s="14">
        <f>$C$9</f>
        <v/>
      </c>
      <c r="R2048" s="14">
        <f>_xlfn.LOGNORM.INV($AF2048,LN($C$10)-0.5*LN(1+($D$10/$C$10)^2),SQRT(LN(1+($D$10/$C$10)^2)))</f>
        <v/>
      </c>
      <c r="S2048" s="14">
        <f>SUM(M2048:R2048)</f>
        <v/>
      </c>
      <c r="AA2048">
        <f>RAND()</f>
        <v/>
      </c>
      <c r="AB2048">
        <f>RAND()</f>
        <v/>
      </c>
      <c r="AC2048">
        <f>RAND()</f>
        <v/>
      </c>
      <c r="AD2048">
        <f>RAND()</f>
        <v/>
      </c>
      <c r="AE2048">
        <f>RAND()</f>
        <v/>
      </c>
      <c r="AF2048">
        <f>RAND()</f>
        <v/>
      </c>
    </row>
    <row r="2049">
      <c r="M2049" s="14">
        <f>_xlfn.BETA.INV($AA2049,1+4*($D$5-$C$5)/($E$5-$C$5),1+4*($E$5-$D$5)/($E$5-$C$5),$C$5,$E$5)</f>
        <v/>
      </c>
      <c r="N2049" s="14">
        <f>IF($AB2049&lt;($D$6-$C$6)/($E$6-$C$6),$C$6+SQRT($AB2049*($E$6-$C$6)*($D$6-$C$6)),$E$6-SQRT((1-$AB2049)*($E$6-$C$6)*($E$6-$D$6)))</f>
        <v/>
      </c>
      <c r="O2049" s="14">
        <f>_xlfn.NORM.INV($AC2049,$C$7,$D$7)</f>
        <v/>
      </c>
      <c r="P2049" s="14">
        <f>$C$8+($D$8-$C$8)*$AD2049</f>
        <v/>
      </c>
      <c r="Q2049" s="14">
        <f>$C$9</f>
        <v/>
      </c>
      <c r="R2049" s="14">
        <f>_xlfn.LOGNORM.INV($AF2049,LN($C$10)-0.5*LN(1+($D$10/$C$10)^2),SQRT(LN(1+($D$10/$C$10)^2)))</f>
        <v/>
      </c>
      <c r="S2049" s="14">
        <f>SUM(M2049:R2049)</f>
        <v/>
      </c>
      <c r="AA2049">
        <f>RAND()</f>
        <v/>
      </c>
      <c r="AB2049">
        <f>RAND()</f>
        <v/>
      </c>
      <c r="AC2049">
        <f>RAND()</f>
        <v/>
      </c>
      <c r="AD2049">
        <f>RAND()</f>
        <v/>
      </c>
      <c r="AE2049">
        <f>RAND()</f>
        <v/>
      </c>
      <c r="AF2049">
        <f>RAND()</f>
        <v/>
      </c>
    </row>
    <row r="2050">
      <c r="M2050" s="14">
        <f>_xlfn.BETA.INV($AA2050,1+4*($D$5-$C$5)/($E$5-$C$5),1+4*($E$5-$D$5)/($E$5-$C$5),$C$5,$E$5)</f>
        <v/>
      </c>
      <c r="N2050" s="14">
        <f>IF($AB2050&lt;($D$6-$C$6)/($E$6-$C$6),$C$6+SQRT($AB2050*($E$6-$C$6)*($D$6-$C$6)),$E$6-SQRT((1-$AB2050)*($E$6-$C$6)*($E$6-$D$6)))</f>
        <v/>
      </c>
      <c r="O2050" s="14">
        <f>_xlfn.NORM.INV($AC2050,$C$7,$D$7)</f>
        <v/>
      </c>
      <c r="P2050" s="14">
        <f>$C$8+($D$8-$C$8)*$AD2050</f>
        <v/>
      </c>
      <c r="Q2050" s="14">
        <f>$C$9</f>
        <v/>
      </c>
      <c r="R2050" s="14">
        <f>_xlfn.LOGNORM.INV($AF2050,LN($C$10)-0.5*LN(1+($D$10/$C$10)^2),SQRT(LN(1+($D$10/$C$10)^2)))</f>
        <v/>
      </c>
      <c r="S2050" s="14">
        <f>SUM(M2050:R2050)</f>
        <v/>
      </c>
      <c r="AA2050">
        <f>RAND()</f>
        <v/>
      </c>
      <c r="AB2050">
        <f>RAND()</f>
        <v/>
      </c>
      <c r="AC2050">
        <f>RAND()</f>
        <v/>
      </c>
      <c r="AD2050">
        <f>RAND()</f>
        <v/>
      </c>
      <c r="AE2050">
        <f>RAND()</f>
        <v/>
      </c>
      <c r="AF2050">
        <f>RAND()</f>
        <v/>
      </c>
    </row>
    <row r="2051">
      <c r="M2051" s="14">
        <f>_xlfn.BETA.INV($AA2051,1+4*($D$5-$C$5)/($E$5-$C$5),1+4*($E$5-$D$5)/($E$5-$C$5),$C$5,$E$5)</f>
        <v/>
      </c>
      <c r="N2051" s="14">
        <f>IF($AB2051&lt;($D$6-$C$6)/($E$6-$C$6),$C$6+SQRT($AB2051*($E$6-$C$6)*($D$6-$C$6)),$E$6-SQRT((1-$AB2051)*($E$6-$C$6)*($E$6-$D$6)))</f>
        <v/>
      </c>
      <c r="O2051" s="14">
        <f>_xlfn.NORM.INV($AC2051,$C$7,$D$7)</f>
        <v/>
      </c>
      <c r="P2051" s="14">
        <f>$C$8+($D$8-$C$8)*$AD2051</f>
        <v/>
      </c>
      <c r="Q2051" s="14">
        <f>$C$9</f>
        <v/>
      </c>
      <c r="R2051" s="14">
        <f>_xlfn.LOGNORM.INV($AF2051,LN($C$10)-0.5*LN(1+($D$10/$C$10)^2),SQRT(LN(1+($D$10/$C$10)^2)))</f>
        <v/>
      </c>
      <c r="S2051" s="14">
        <f>SUM(M2051:R2051)</f>
        <v/>
      </c>
      <c r="AA2051">
        <f>RAND()</f>
        <v/>
      </c>
      <c r="AB2051">
        <f>RAND()</f>
        <v/>
      </c>
      <c r="AC2051">
        <f>RAND()</f>
        <v/>
      </c>
      <c r="AD2051">
        <f>RAND()</f>
        <v/>
      </c>
      <c r="AE2051">
        <f>RAND()</f>
        <v/>
      </c>
      <c r="AF2051">
        <f>RAND()</f>
        <v/>
      </c>
    </row>
    <row r="2052">
      <c r="M2052" s="14">
        <f>_xlfn.BETA.INV($AA2052,1+4*($D$5-$C$5)/($E$5-$C$5),1+4*($E$5-$D$5)/($E$5-$C$5),$C$5,$E$5)</f>
        <v/>
      </c>
      <c r="N2052" s="14">
        <f>IF($AB2052&lt;($D$6-$C$6)/($E$6-$C$6),$C$6+SQRT($AB2052*($E$6-$C$6)*($D$6-$C$6)),$E$6-SQRT((1-$AB2052)*($E$6-$C$6)*($E$6-$D$6)))</f>
        <v/>
      </c>
      <c r="O2052" s="14">
        <f>_xlfn.NORM.INV($AC2052,$C$7,$D$7)</f>
        <v/>
      </c>
      <c r="P2052" s="14">
        <f>$C$8+($D$8-$C$8)*$AD2052</f>
        <v/>
      </c>
      <c r="Q2052" s="14">
        <f>$C$9</f>
        <v/>
      </c>
      <c r="R2052" s="14">
        <f>_xlfn.LOGNORM.INV($AF2052,LN($C$10)-0.5*LN(1+($D$10/$C$10)^2),SQRT(LN(1+($D$10/$C$10)^2)))</f>
        <v/>
      </c>
      <c r="S2052" s="14">
        <f>SUM(M2052:R2052)</f>
        <v/>
      </c>
      <c r="AA2052">
        <f>RAND()</f>
        <v/>
      </c>
      <c r="AB2052">
        <f>RAND()</f>
        <v/>
      </c>
      <c r="AC2052">
        <f>RAND()</f>
        <v/>
      </c>
      <c r="AD2052">
        <f>RAND()</f>
        <v/>
      </c>
      <c r="AE2052">
        <f>RAND()</f>
        <v/>
      </c>
      <c r="AF2052">
        <f>RAND()</f>
        <v/>
      </c>
    </row>
    <row r="2053">
      <c r="M2053" s="14">
        <f>_xlfn.BETA.INV($AA2053,1+4*($D$5-$C$5)/($E$5-$C$5),1+4*($E$5-$D$5)/($E$5-$C$5),$C$5,$E$5)</f>
        <v/>
      </c>
      <c r="N2053" s="14">
        <f>IF($AB2053&lt;($D$6-$C$6)/($E$6-$C$6),$C$6+SQRT($AB2053*($E$6-$C$6)*($D$6-$C$6)),$E$6-SQRT((1-$AB2053)*($E$6-$C$6)*($E$6-$D$6)))</f>
        <v/>
      </c>
      <c r="O2053" s="14">
        <f>_xlfn.NORM.INV($AC2053,$C$7,$D$7)</f>
        <v/>
      </c>
      <c r="P2053" s="14">
        <f>$C$8+($D$8-$C$8)*$AD2053</f>
        <v/>
      </c>
      <c r="Q2053" s="14">
        <f>$C$9</f>
        <v/>
      </c>
      <c r="R2053" s="14">
        <f>_xlfn.LOGNORM.INV($AF2053,LN($C$10)-0.5*LN(1+($D$10/$C$10)^2),SQRT(LN(1+($D$10/$C$10)^2)))</f>
        <v/>
      </c>
      <c r="S2053" s="14">
        <f>SUM(M2053:R2053)</f>
        <v/>
      </c>
      <c r="AA2053">
        <f>RAND()</f>
        <v/>
      </c>
      <c r="AB2053">
        <f>RAND()</f>
        <v/>
      </c>
      <c r="AC2053">
        <f>RAND()</f>
        <v/>
      </c>
      <c r="AD2053">
        <f>RAND()</f>
        <v/>
      </c>
      <c r="AE2053">
        <f>RAND()</f>
        <v/>
      </c>
      <c r="AF2053">
        <f>RAND()</f>
        <v/>
      </c>
    </row>
    <row r="2054">
      <c r="M2054" s="14">
        <f>_xlfn.BETA.INV($AA2054,1+4*($D$5-$C$5)/($E$5-$C$5),1+4*($E$5-$D$5)/($E$5-$C$5),$C$5,$E$5)</f>
        <v/>
      </c>
      <c r="N2054" s="14">
        <f>IF($AB2054&lt;($D$6-$C$6)/($E$6-$C$6),$C$6+SQRT($AB2054*($E$6-$C$6)*($D$6-$C$6)),$E$6-SQRT((1-$AB2054)*($E$6-$C$6)*($E$6-$D$6)))</f>
        <v/>
      </c>
      <c r="O2054" s="14">
        <f>_xlfn.NORM.INV($AC2054,$C$7,$D$7)</f>
        <v/>
      </c>
      <c r="P2054" s="14">
        <f>$C$8+($D$8-$C$8)*$AD2054</f>
        <v/>
      </c>
      <c r="Q2054" s="14">
        <f>$C$9</f>
        <v/>
      </c>
      <c r="R2054" s="14">
        <f>_xlfn.LOGNORM.INV($AF2054,LN($C$10)-0.5*LN(1+($D$10/$C$10)^2),SQRT(LN(1+($D$10/$C$10)^2)))</f>
        <v/>
      </c>
      <c r="S2054" s="14">
        <f>SUM(M2054:R2054)</f>
        <v/>
      </c>
      <c r="AA2054">
        <f>RAND()</f>
        <v/>
      </c>
      <c r="AB2054">
        <f>RAND()</f>
        <v/>
      </c>
      <c r="AC2054">
        <f>RAND()</f>
        <v/>
      </c>
      <c r="AD2054">
        <f>RAND()</f>
        <v/>
      </c>
      <c r="AE2054">
        <f>RAND()</f>
        <v/>
      </c>
      <c r="AF2054">
        <f>RAND()</f>
        <v/>
      </c>
    </row>
    <row r="2055">
      <c r="M2055" s="14">
        <f>_xlfn.BETA.INV($AA2055,1+4*($D$5-$C$5)/($E$5-$C$5),1+4*($E$5-$D$5)/($E$5-$C$5),$C$5,$E$5)</f>
        <v/>
      </c>
      <c r="N2055" s="14">
        <f>IF($AB2055&lt;($D$6-$C$6)/($E$6-$C$6),$C$6+SQRT($AB2055*($E$6-$C$6)*($D$6-$C$6)),$E$6-SQRT((1-$AB2055)*($E$6-$C$6)*($E$6-$D$6)))</f>
        <v/>
      </c>
      <c r="O2055" s="14">
        <f>_xlfn.NORM.INV($AC2055,$C$7,$D$7)</f>
        <v/>
      </c>
      <c r="P2055" s="14">
        <f>$C$8+($D$8-$C$8)*$AD2055</f>
        <v/>
      </c>
      <c r="Q2055" s="14">
        <f>$C$9</f>
        <v/>
      </c>
      <c r="R2055" s="14">
        <f>_xlfn.LOGNORM.INV($AF2055,LN($C$10)-0.5*LN(1+($D$10/$C$10)^2),SQRT(LN(1+($D$10/$C$10)^2)))</f>
        <v/>
      </c>
      <c r="S2055" s="14">
        <f>SUM(M2055:R2055)</f>
        <v/>
      </c>
      <c r="AA2055">
        <f>RAND()</f>
        <v/>
      </c>
      <c r="AB2055">
        <f>RAND()</f>
        <v/>
      </c>
      <c r="AC2055">
        <f>RAND()</f>
        <v/>
      </c>
      <c r="AD2055">
        <f>RAND()</f>
        <v/>
      </c>
      <c r="AE2055">
        <f>RAND()</f>
        <v/>
      </c>
      <c r="AF2055">
        <f>RAND()</f>
        <v/>
      </c>
    </row>
    <row r="2056">
      <c r="M2056" s="14">
        <f>_xlfn.BETA.INV($AA2056,1+4*($D$5-$C$5)/($E$5-$C$5),1+4*($E$5-$D$5)/($E$5-$C$5),$C$5,$E$5)</f>
        <v/>
      </c>
      <c r="N2056" s="14">
        <f>IF($AB2056&lt;($D$6-$C$6)/($E$6-$C$6),$C$6+SQRT($AB2056*($E$6-$C$6)*($D$6-$C$6)),$E$6-SQRT((1-$AB2056)*($E$6-$C$6)*($E$6-$D$6)))</f>
        <v/>
      </c>
      <c r="O2056" s="14">
        <f>_xlfn.NORM.INV($AC2056,$C$7,$D$7)</f>
        <v/>
      </c>
      <c r="P2056" s="14">
        <f>$C$8+($D$8-$C$8)*$AD2056</f>
        <v/>
      </c>
      <c r="Q2056" s="14">
        <f>$C$9</f>
        <v/>
      </c>
      <c r="R2056" s="14">
        <f>_xlfn.LOGNORM.INV($AF2056,LN($C$10)-0.5*LN(1+($D$10/$C$10)^2),SQRT(LN(1+($D$10/$C$10)^2)))</f>
        <v/>
      </c>
      <c r="S2056" s="14">
        <f>SUM(M2056:R2056)</f>
        <v/>
      </c>
      <c r="AA2056">
        <f>RAND()</f>
        <v/>
      </c>
      <c r="AB2056">
        <f>RAND()</f>
        <v/>
      </c>
      <c r="AC2056">
        <f>RAND()</f>
        <v/>
      </c>
      <c r="AD2056">
        <f>RAND()</f>
        <v/>
      </c>
      <c r="AE2056">
        <f>RAND()</f>
        <v/>
      </c>
      <c r="AF2056">
        <f>RAND()</f>
        <v/>
      </c>
    </row>
    <row r="2057">
      <c r="M2057" s="14">
        <f>_xlfn.BETA.INV($AA2057,1+4*($D$5-$C$5)/($E$5-$C$5),1+4*($E$5-$D$5)/($E$5-$C$5),$C$5,$E$5)</f>
        <v/>
      </c>
      <c r="N2057" s="14">
        <f>IF($AB2057&lt;($D$6-$C$6)/($E$6-$C$6),$C$6+SQRT($AB2057*($E$6-$C$6)*($D$6-$C$6)),$E$6-SQRT((1-$AB2057)*($E$6-$C$6)*($E$6-$D$6)))</f>
        <v/>
      </c>
      <c r="O2057" s="14">
        <f>_xlfn.NORM.INV($AC2057,$C$7,$D$7)</f>
        <v/>
      </c>
      <c r="P2057" s="14">
        <f>$C$8+($D$8-$C$8)*$AD2057</f>
        <v/>
      </c>
      <c r="Q2057" s="14">
        <f>$C$9</f>
        <v/>
      </c>
      <c r="R2057" s="14">
        <f>_xlfn.LOGNORM.INV($AF2057,LN($C$10)-0.5*LN(1+($D$10/$C$10)^2),SQRT(LN(1+($D$10/$C$10)^2)))</f>
        <v/>
      </c>
      <c r="S2057" s="14">
        <f>SUM(M2057:R2057)</f>
        <v/>
      </c>
      <c r="AA2057">
        <f>RAND()</f>
        <v/>
      </c>
      <c r="AB2057">
        <f>RAND()</f>
        <v/>
      </c>
      <c r="AC2057">
        <f>RAND()</f>
        <v/>
      </c>
      <c r="AD2057">
        <f>RAND()</f>
        <v/>
      </c>
      <c r="AE2057">
        <f>RAND()</f>
        <v/>
      </c>
      <c r="AF2057">
        <f>RAND()</f>
        <v/>
      </c>
    </row>
    <row r="2058">
      <c r="M2058" s="14">
        <f>_xlfn.BETA.INV($AA2058,1+4*($D$5-$C$5)/($E$5-$C$5),1+4*($E$5-$D$5)/($E$5-$C$5),$C$5,$E$5)</f>
        <v/>
      </c>
      <c r="N2058" s="14">
        <f>IF($AB2058&lt;($D$6-$C$6)/($E$6-$C$6),$C$6+SQRT($AB2058*($E$6-$C$6)*($D$6-$C$6)),$E$6-SQRT((1-$AB2058)*($E$6-$C$6)*($E$6-$D$6)))</f>
        <v/>
      </c>
      <c r="O2058" s="14">
        <f>_xlfn.NORM.INV($AC2058,$C$7,$D$7)</f>
        <v/>
      </c>
      <c r="P2058" s="14">
        <f>$C$8+($D$8-$C$8)*$AD2058</f>
        <v/>
      </c>
      <c r="Q2058" s="14">
        <f>$C$9</f>
        <v/>
      </c>
      <c r="R2058" s="14">
        <f>_xlfn.LOGNORM.INV($AF2058,LN($C$10)-0.5*LN(1+($D$10/$C$10)^2),SQRT(LN(1+($D$10/$C$10)^2)))</f>
        <v/>
      </c>
      <c r="S2058" s="14">
        <f>SUM(M2058:R2058)</f>
        <v/>
      </c>
      <c r="AA2058">
        <f>RAND()</f>
        <v/>
      </c>
      <c r="AB2058">
        <f>RAND()</f>
        <v/>
      </c>
      <c r="AC2058">
        <f>RAND()</f>
        <v/>
      </c>
      <c r="AD2058">
        <f>RAND()</f>
        <v/>
      </c>
      <c r="AE2058">
        <f>RAND()</f>
        <v/>
      </c>
      <c r="AF2058">
        <f>RAND()</f>
        <v/>
      </c>
    </row>
    <row r="2059">
      <c r="M2059" s="14">
        <f>_xlfn.BETA.INV($AA2059,1+4*($D$5-$C$5)/($E$5-$C$5),1+4*($E$5-$D$5)/($E$5-$C$5),$C$5,$E$5)</f>
        <v/>
      </c>
      <c r="N2059" s="14">
        <f>IF($AB2059&lt;($D$6-$C$6)/($E$6-$C$6),$C$6+SQRT($AB2059*($E$6-$C$6)*($D$6-$C$6)),$E$6-SQRT((1-$AB2059)*($E$6-$C$6)*($E$6-$D$6)))</f>
        <v/>
      </c>
      <c r="O2059" s="14">
        <f>_xlfn.NORM.INV($AC2059,$C$7,$D$7)</f>
        <v/>
      </c>
      <c r="P2059" s="14">
        <f>$C$8+($D$8-$C$8)*$AD2059</f>
        <v/>
      </c>
      <c r="Q2059" s="14">
        <f>$C$9</f>
        <v/>
      </c>
      <c r="R2059" s="14">
        <f>_xlfn.LOGNORM.INV($AF2059,LN($C$10)-0.5*LN(1+($D$10/$C$10)^2),SQRT(LN(1+($D$10/$C$10)^2)))</f>
        <v/>
      </c>
      <c r="S2059" s="14">
        <f>SUM(M2059:R2059)</f>
        <v/>
      </c>
      <c r="AA2059">
        <f>RAND()</f>
        <v/>
      </c>
      <c r="AB2059">
        <f>RAND()</f>
        <v/>
      </c>
      <c r="AC2059">
        <f>RAND()</f>
        <v/>
      </c>
      <c r="AD2059">
        <f>RAND()</f>
        <v/>
      </c>
      <c r="AE2059">
        <f>RAND()</f>
        <v/>
      </c>
      <c r="AF2059">
        <f>RAND()</f>
        <v/>
      </c>
    </row>
    <row r="2060">
      <c r="M2060" s="14">
        <f>_xlfn.BETA.INV($AA2060,1+4*($D$5-$C$5)/($E$5-$C$5),1+4*($E$5-$D$5)/($E$5-$C$5),$C$5,$E$5)</f>
        <v/>
      </c>
      <c r="N2060" s="14">
        <f>IF($AB2060&lt;($D$6-$C$6)/($E$6-$C$6),$C$6+SQRT($AB2060*($E$6-$C$6)*($D$6-$C$6)),$E$6-SQRT((1-$AB2060)*($E$6-$C$6)*($E$6-$D$6)))</f>
        <v/>
      </c>
      <c r="O2060" s="14">
        <f>_xlfn.NORM.INV($AC2060,$C$7,$D$7)</f>
        <v/>
      </c>
      <c r="P2060" s="14">
        <f>$C$8+($D$8-$C$8)*$AD2060</f>
        <v/>
      </c>
      <c r="Q2060" s="14">
        <f>$C$9</f>
        <v/>
      </c>
      <c r="R2060" s="14">
        <f>_xlfn.LOGNORM.INV($AF2060,LN($C$10)-0.5*LN(1+($D$10/$C$10)^2),SQRT(LN(1+($D$10/$C$10)^2)))</f>
        <v/>
      </c>
      <c r="S2060" s="14">
        <f>SUM(M2060:R2060)</f>
        <v/>
      </c>
      <c r="AA2060">
        <f>RAND()</f>
        <v/>
      </c>
      <c r="AB2060">
        <f>RAND()</f>
        <v/>
      </c>
      <c r="AC2060">
        <f>RAND()</f>
        <v/>
      </c>
      <c r="AD2060">
        <f>RAND()</f>
        <v/>
      </c>
      <c r="AE2060">
        <f>RAND()</f>
        <v/>
      </c>
      <c r="AF2060">
        <f>RAND()</f>
        <v/>
      </c>
    </row>
    <row r="2061">
      <c r="M2061" s="14">
        <f>_xlfn.BETA.INV($AA2061,1+4*($D$5-$C$5)/($E$5-$C$5),1+4*($E$5-$D$5)/($E$5-$C$5),$C$5,$E$5)</f>
        <v/>
      </c>
      <c r="N2061" s="14">
        <f>IF($AB2061&lt;($D$6-$C$6)/($E$6-$C$6),$C$6+SQRT($AB2061*($E$6-$C$6)*($D$6-$C$6)),$E$6-SQRT((1-$AB2061)*($E$6-$C$6)*($E$6-$D$6)))</f>
        <v/>
      </c>
      <c r="O2061" s="14">
        <f>_xlfn.NORM.INV($AC2061,$C$7,$D$7)</f>
        <v/>
      </c>
      <c r="P2061" s="14">
        <f>$C$8+($D$8-$C$8)*$AD2061</f>
        <v/>
      </c>
      <c r="Q2061" s="14">
        <f>$C$9</f>
        <v/>
      </c>
      <c r="R2061" s="14">
        <f>_xlfn.LOGNORM.INV($AF2061,LN($C$10)-0.5*LN(1+($D$10/$C$10)^2),SQRT(LN(1+($D$10/$C$10)^2)))</f>
        <v/>
      </c>
      <c r="S2061" s="14">
        <f>SUM(M2061:R2061)</f>
        <v/>
      </c>
      <c r="AA2061">
        <f>RAND()</f>
        <v/>
      </c>
      <c r="AB2061">
        <f>RAND()</f>
        <v/>
      </c>
      <c r="AC2061">
        <f>RAND()</f>
        <v/>
      </c>
      <c r="AD2061">
        <f>RAND()</f>
        <v/>
      </c>
      <c r="AE2061">
        <f>RAND()</f>
        <v/>
      </c>
      <c r="AF2061">
        <f>RAND()</f>
        <v/>
      </c>
    </row>
    <row r="2062">
      <c r="M2062" s="14">
        <f>_xlfn.BETA.INV($AA2062,1+4*($D$5-$C$5)/($E$5-$C$5),1+4*($E$5-$D$5)/($E$5-$C$5),$C$5,$E$5)</f>
        <v/>
      </c>
      <c r="N2062" s="14">
        <f>IF($AB2062&lt;($D$6-$C$6)/($E$6-$C$6),$C$6+SQRT($AB2062*($E$6-$C$6)*($D$6-$C$6)),$E$6-SQRT((1-$AB2062)*($E$6-$C$6)*($E$6-$D$6)))</f>
        <v/>
      </c>
      <c r="O2062" s="14">
        <f>_xlfn.NORM.INV($AC2062,$C$7,$D$7)</f>
        <v/>
      </c>
      <c r="P2062" s="14">
        <f>$C$8+($D$8-$C$8)*$AD2062</f>
        <v/>
      </c>
      <c r="Q2062" s="14">
        <f>$C$9</f>
        <v/>
      </c>
      <c r="R2062" s="14">
        <f>_xlfn.LOGNORM.INV($AF2062,LN($C$10)-0.5*LN(1+($D$10/$C$10)^2),SQRT(LN(1+($D$10/$C$10)^2)))</f>
        <v/>
      </c>
      <c r="S2062" s="14">
        <f>SUM(M2062:R2062)</f>
        <v/>
      </c>
      <c r="AA2062">
        <f>RAND()</f>
        <v/>
      </c>
      <c r="AB2062">
        <f>RAND()</f>
        <v/>
      </c>
      <c r="AC2062">
        <f>RAND()</f>
        <v/>
      </c>
      <c r="AD2062">
        <f>RAND()</f>
        <v/>
      </c>
      <c r="AE2062">
        <f>RAND()</f>
        <v/>
      </c>
      <c r="AF2062">
        <f>RAND()</f>
        <v/>
      </c>
    </row>
    <row r="2063">
      <c r="M2063" s="14">
        <f>_xlfn.BETA.INV($AA2063,1+4*($D$5-$C$5)/($E$5-$C$5),1+4*($E$5-$D$5)/($E$5-$C$5),$C$5,$E$5)</f>
        <v/>
      </c>
      <c r="N2063" s="14">
        <f>IF($AB2063&lt;($D$6-$C$6)/($E$6-$C$6),$C$6+SQRT($AB2063*($E$6-$C$6)*($D$6-$C$6)),$E$6-SQRT((1-$AB2063)*($E$6-$C$6)*($E$6-$D$6)))</f>
        <v/>
      </c>
      <c r="O2063" s="14">
        <f>_xlfn.NORM.INV($AC2063,$C$7,$D$7)</f>
        <v/>
      </c>
      <c r="P2063" s="14">
        <f>$C$8+($D$8-$C$8)*$AD2063</f>
        <v/>
      </c>
      <c r="Q2063" s="14">
        <f>$C$9</f>
        <v/>
      </c>
      <c r="R2063" s="14">
        <f>_xlfn.LOGNORM.INV($AF2063,LN($C$10)-0.5*LN(1+($D$10/$C$10)^2),SQRT(LN(1+($D$10/$C$10)^2)))</f>
        <v/>
      </c>
      <c r="S2063" s="14">
        <f>SUM(M2063:R2063)</f>
        <v/>
      </c>
      <c r="AA2063">
        <f>RAND()</f>
        <v/>
      </c>
      <c r="AB2063">
        <f>RAND()</f>
        <v/>
      </c>
      <c r="AC2063">
        <f>RAND()</f>
        <v/>
      </c>
      <c r="AD2063">
        <f>RAND()</f>
        <v/>
      </c>
      <c r="AE2063">
        <f>RAND()</f>
        <v/>
      </c>
      <c r="AF2063">
        <f>RAND()</f>
        <v/>
      </c>
    </row>
    <row r="2064">
      <c r="M2064" s="14">
        <f>_xlfn.BETA.INV($AA2064,1+4*($D$5-$C$5)/($E$5-$C$5),1+4*($E$5-$D$5)/($E$5-$C$5),$C$5,$E$5)</f>
        <v/>
      </c>
      <c r="N2064" s="14">
        <f>IF($AB2064&lt;($D$6-$C$6)/($E$6-$C$6),$C$6+SQRT($AB2064*($E$6-$C$6)*($D$6-$C$6)),$E$6-SQRT((1-$AB2064)*($E$6-$C$6)*($E$6-$D$6)))</f>
        <v/>
      </c>
      <c r="O2064" s="14">
        <f>_xlfn.NORM.INV($AC2064,$C$7,$D$7)</f>
        <v/>
      </c>
      <c r="P2064" s="14">
        <f>$C$8+($D$8-$C$8)*$AD2064</f>
        <v/>
      </c>
      <c r="Q2064" s="14">
        <f>$C$9</f>
        <v/>
      </c>
      <c r="R2064" s="14">
        <f>_xlfn.LOGNORM.INV($AF2064,LN($C$10)-0.5*LN(1+($D$10/$C$10)^2),SQRT(LN(1+($D$10/$C$10)^2)))</f>
        <v/>
      </c>
      <c r="S2064" s="14">
        <f>SUM(M2064:R2064)</f>
        <v/>
      </c>
      <c r="AA2064">
        <f>RAND()</f>
        <v/>
      </c>
      <c r="AB2064">
        <f>RAND()</f>
        <v/>
      </c>
      <c r="AC2064">
        <f>RAND()</f>
        <v/>
      </c>
      <c r="AD2064">
        <f>RAND()</f>
        <v/>
      </c>
      <c r="AE2064">
        <f>RAND()</f>
        <v/>
      </c>
      <c r="AF2064">
        <f>RAND()</f>
        <v/>
      </c>
    </row>
    <row r="2065">
      <c r="M2065" s="14">
        <f>_xlfn.BETA.INV($AA2065,1+4*($D$5-$C$5)/($E$5-$C$5),1+4*($E$5-$D$5)/($E$5-$C$5),$C$5,$E$5)</f>
        <v/>
      </c>
      <c r="N2065" s="14">
        <f>IF($AB2065&lt;($D$6-$C$6)/($E$6-$C$6),$C$6+SQRT($AB2065*($E$6-$C$6)*($D$6-$C$6)),$E$6-SQRT((1-$AB2065)*($E$6-$C$6)*($E$6-$D$6)))</f>
        <v/>
      </c>
      <c r="O2065" s="14">
        <f>_xlfn.NORM.INV($AC2065,$C$7,$D$7)</f>
        <v/>
      </c>
      <c r="P2065" s="14">
        <f>$C$8+($D$8-$C$8)*$AD2065</f>
        <v/>
      </c>
      <c r="Q2065" s="14">
        <f>$C$9</f>
        <v/>
      </c>
      <c r="R2065" s="14">
        <f>_xlfn.LOGNORM.INV($AF2065,LN($C$10)-0.5*LN(1+($D$10/$C$10)^2),SQRT(LN(1+($D$10/$C$10)^2)))</f>
        <v/>
      </c>
      <c r="S2065" s="14">
        <f>SUM(M2065:R2065)</f>
        <v/>
      </c>
      <c r="AA2065">
        <f>RAND()</f>
        <v/>
      </c>
      <c r="AB2065">
        <f>RAND()</f>
        <v/>
      </c>
      <c r="AC2065">
        <f>RAND()</f>
        <v/>
      </c>
      <c r="AD2065">
        <f>RAND()</f>
        <v/>
      </c>
      <c r="AE2065">
        <f>RAND()</f>
        <v/>
      </c>
      <c r="AF2065">
        <f>RAND()</f>
        <v/>
      </c>
    </row>
    <row r="2066">
      <c r="M2066" s="14">
        <f>_xlfn.BETA.INV($AA2066,1+4*($D$5-$C$5)/($E$5-$C$5),1+4*($E$5-$D$5)/($E$5-$C$5),$C$5,$E$5)</f>
        <v/>
      </c>
      <c r="N2066" s="14">
        <f>IF($AB2066&lt;($D$6-$C$6)/($E$6-$C$6),$C$6+SQRT($AB2066*($E$6-$C$6)*($D$6-$C$6)),$E$6-SQRT((1-$AB2066)*($E$6-$C$6)*($E$6-$D$6)))</f>
        <v/>
      </c>
      <c r="O2066" s="14">
        <f>_xlfn.NORM.INV($AC2066,$C$7,$D$7)</f>
        <v/>
      </c>
      <c r="P2066" s="14">
        <f>$C$8+($D$8-$C$8)*$AD2066</f>
        <v/>
      </c>
      <c r="Q2066" s="14">
        <f>$C$9</f>
        <v/>
      </c>
      <c r="R2066" s="14">
        <f>_xlfn.LOGNORM.INV($AF2066,LN($C$10)-0.5*LN(1+($D$10/$C$10)^2),SQRT(LN(1+($D$10/$C$10)^2)))</f>
        <v/>
      </c>
      <c r="S2066" s="14">
        <f>SUM(M2066:R2066)</f>
        <v/>
      </c>
      <c r="AA2066">
        <f>RAND()</f>
        <v/>
      </c>
      <c r="AB2066">
        <f>RAND()</f>
        <v/>
      </c>
      <c r="AC2066">
        <f>RAND()</f>
        <v/>
      </c>
      <c r="AD2066">
        <f>RAND()</f>
        <v/>
      </c>
      <c r="AE2066">
        <f>RAND()</f>
        <v/>
      </c>
      <c r="AF2066">
        <f>RAND()</f>
        <v/>
      </c>
    </row>
    <row r="2067">
      <c r="M2067" s="14">
        <f>_xlfn.BETA.INV($AA2067,1+4*($D$5-$C$5)/($E$5-$C$5),1+4*($E$5-$D$5)/($E$5-$C$5),$C$5,$E$5)</f>
        <v/>
      </c>
      <c r="N2067" s="14">
        <f>IF($AB2067&lt;($D$6-$C$6)/($E$6-$C$6),$C$6+SQRT($AB2067*($E$6-$C$6)*($D$6-$C$6)),$E$6-SQRT((1-$AB2067)*($E$6-$C$6)*($E$6-$D$6)))</f>
        <v/>
      </c>
      <c r="O2067" s="14">
        <f>_xlfn.NORM.INV($AC2067,$C$7,$D$7)</f>
        <v/>
      </c>
      <c r="P2067" s="14">
        <f>$C$8+($D$8-$C$8)*$AD2067</f>
        <v/>
      </c>
      <c r="Q2067" s="14">
        <f>$C$9</f>
        <v/>
      </c>
      <c r="R2067" s="14">
        <f>_xlfn.LOGNORM.INV($AF2067,LN($C$10)-0.5*LN(1+($D$10/$C$10)^2),SQRT(LN(1+($D$10/$C$10)^2)))</f>
        <v/>
      </c>
      <c r="S2067" s="14">
        <f>SUM(M2067:R2067)</f>
        <v/>
      </c>
      <c r="AA2067">
        <f>RAND()</f>
        <v/>
      </c>
      <c r="AB2067">
        <f>RAND()</f>
        <v/>
      </c>
      <c r="AC2067">
        <f>RAND()</f>
        <v/>
      </c>
      <c r="AD2067">
        <f>RAND()</f>
        <v/>
      </c>
      <c r="AE2067">
        <f>RAND()</f>
        <v/>
      </c>
      <c r="AF2067">
        <f>RAND()</f>
        <v/>
      </c>
    </row>
    <row r="2068">
      <c r="M2068" s="14">
        <f>_xlfn.BETA.INV($AA2068,1+4*($D$5-$C$5)/($E$5-$C$5),1+4*($E$5-$D$5)/($E$5-$C$5),$C$5,$E$5)</f>
        <v/>
      </c>
      <c r="N2068" s="14">
        <f>IF($AB2068&lt;($D$6-$C$6)/($E$6-$C$6),$C$6+SQRT($AB2068*($E$6-$C$6)*($D$6-$C$6)),$E$6-SQRT((1-$AB2068)*($E$6-$C$6)*($E$6-$D$6)))</f>
        <v/>
      </c>
      <c r="O2068" s="14">
        <f>_xlfn.NORM.INV($AC2068,$C$7,$D$7)</f>
        <v/>
      </c>
      <c r="P2068" s="14">
        <f>$C$8+($D$8-$C$8)*$AD2068</f>
        <v/>
      </c>
      <c r="Q2068" s="14">
        <f>$C$9</f>
        <v/>
      </c>
      <c r="R2068" s="14">
        <f>_xlfn.LOGNORM.INV($AF2068,LN($C$10)-0.5*LN(1+($D$10/$C$10)^2),SQRT(LN(1+($D$10/$C$10)^2)))</f>
        <v/>
      </c>
      <c r="S2068" s="14">
        <f>SUM(M2068:R2068)</f>
        <v/>
      </c>
      <c r="AA2068">
        <f>RAND()</f>
        <v/>
      </c>
      <c r="AB2068">
        <f>RAND()</f>
        <v/>
      </c>
      <c r="AC2068">
        <f>RAND()</f>
        <v/>
      </c>
      <c r="AD2068">
        <f>RAND()</f>
        <v/>
      </c>
      <c r="AE2068">
        <f>RAND()</f>
        <v/>
      </c>
      <c r="AF2068">
        <f>RAND()</f>
        <v/>
      </c>
    </row>
    <row r="2069">
      <c r="M2069" s="14">
        <f>_xlfn.BETA.INV($AA2069,1+4*($D$5-$C$5)/($E$5-$C$5),1+4*($E$5-$D$5)/($E$5-$C$5),$C$5,$E$5)</f>
        <v/>
      </c>
      <c r="N2069" s="14">
        <f>IF($AB2069&lt;($D$6-$C$6)/($E$6-$C$6),$C$6+SQRT($AB2069*($E$6-$C$6)*($D$6-$C$6)),$E$6-SQRT((1-$AB2069)*($E$6-$C$6)*($E$6-$D$6)))</f>
        <v/>
      </c>
      <c r="O2069" s="14">
        <f>_xlfn.NORM.INV($AC2069,$C$7,$D$7)</f>
        <v/>
      </c>
      <c r="P2069" s="14">
        <f>$C$8+($D$8-$C$8)*$AD2069</f>
        <v/>
      </c>
      <c r="Q2069" s="14">
        <f>$C$9</f>
        <v/>
      </c>
      <c r="R2069" s="14">
        <f>_xlfn.LOGNORM.INV($AF2069,LN($C$10)-0.5*LN(1+($D$10/$C$10)^2),SQRT(LN(1+($D$10/$C$10)^2)))</f>
        <v/>
      </c>
      <c r="S2069" s="14">
        <f>SUM(M2069:R2069)</f>
        <v/>
      </c>
      <c r="AA2069">
        <f>RAND()</f>
        <v/>
      </c>
      <c r="AB2069">
        <f>RAND()</f>
        <v/>
      </c>
      <c r="AC2069">
        <f>RAND()</f>
        <v/>
      </c>
      <c r="AD2069">
        <f>RAND()</f>
        <v/>
      </c>
      <c r="AE2069">
        <f>RAND()</f>
        <v/>
      </c>
      <c r="AF2069">
        <f>RAND()</f>
        <v/>
      </c>
    </row>
    <row r="2070">
      <c r="M2070" s="14">
        <f>_xlfn.BETA.INV($AA2070,1+4*($D$5-$C$5)/($E$5-$C$5),1+4*($E$5-$D$5)/($E$5-$C$5),$C$5,$E$5)</f>
        <v/>
      </c>
      <c r="N2070" s="14">
        <f>IF($AB2070&lt;($D$6-$C$6)/($E$6-$C$6),$C$6+SQRT($AB2070*($E$6-$C$6)*($D$6-$C$6)),$E$6-SQRT((1-$AB2070)*($E$6-$C$6)*($E$6-$D$6)))</f>
        <v/>
      </c>
      <c r="O2070" s="14">
        <f>_xlfn.NORM.INV($AC2070,$C$7,$D$7)</f>
        <v/>
      </c>
      <c r="P2070" s="14">
        <f>$C$8+($D$8-$C$8)*$AD2070</f>
        <v/>
      </c>
      <c r="Q2070" s="14">
        <f>$C$9</f>
        <v/>
      </c>
      <c r="R2070" s="14">
        <f>_xlfn.LOGNORM.INV($AF2070,LN($C$10)-0.5*LN(1+($D$10/$C$10)^2),SQRT(LN(1+($D$10/$C$10)^2)))</f>
        <v/>
      </c>
      <c r="S2070" s="14">
        <f>SUM(M2070:R2070)</f>
        <v/>
      </c>
      <c r="AA2070">
        <f>RAND()</f>
        <v/>
      </c>
      <c r="AB2070">
        <f>RAND()</f>
        <v/>
      </c>
      <c r="AC2070">
        <f>RAND()</f>
        <v/>
      </c>
      <c r="AD2070">
        <f>RAND()</f>
        <v/>
      </c>
      <c r="AE2070">
        <f>RAND()</f>
        <v/>
      </c>
      <c r="AF2070">
        <f>RAND()</f>
        <v/>
      </c>
    </row>
    <row r="2071">
      <c r="M2071" s="14">
        <f>_xlfn.BETA.INV($AA2071,1+4*($D$5-$C$5)/($E$5-$C$5),1+4*($E$5-$D$5)/($E$5-$C$5),$C$5,$E$5)</f>
        <v/>
      </c>
      <c r="N2071" s="14">
        <f>IF($AB2071&lt;($D$6-$C$6)/($E$6-$C$6),$C$6+SQRT($AB2071*($E$6-$C$6)*($D$6-$C$6)),$E$6-SQRT((1-$AB2071)*($E$6-$C$6)*($E$6-$D$6)))</f>
        <v/>
      </c>
      <c r="O2071" s="14">
        <f>_xlfn.NORM.INV($AC2071,$C$7,$D$7)</f>
        <v/>
      </c>
      <c r="P2071" s="14">
        <f>$C$8+($D$8-$C$8)*$AD2071</f>
        <v/>
      </c>
      <c r="Q2071" s="14">
        <f>$C$9</f>
        <v/>
      </c>
      <c r="R2071" s="14">
        <f>_xlfn.LOGNORM.INV($AF2071,LN($C$10)-0.5*LN(1+($D$10/$C$10)^2),SQRT(LN(1+($D$10/$C$10)^2)))</f>
        <v/>
      </c>
      <c r="S2071" s="14">
        <f>SUM(M2071:R2071)</f>
        <v/>
      </c>
      <c r="AA2071">
        <f>RAND()</f>
        <v/>
      </c>
      <c r="AB2071">
        <f>RAND()</f>
        <v/>
      </c>
      <c r="AC2071">
        <f>RAND()</f>
        <v/>
      </c>
      <c r="AD2071">
        <f>RAND()</f>
        <v/>
      </c>
      <c r="AE2071">
        <f>RAND()</f>
        <v/>
      </c>
      <c r="AF2071">
        <f>RAND()</f>
        <v/>
      </c>
    </row>
    <row r="2072">
      <c r="M2072" s="14">
        <f>_xlfn.BETA.INV($AA2072,1+4*($D$5-$C$5)/($E$5-$C$5),1+4*($E$5-$D$5)/($E$5-$C$5),$C$5,$E$5)</f>
        <v/>
      </c>
      <c r="N2072" s="14">
        <f>IF($AB2072&lt;($D$6-$C$6)/($E$6-$C$6),$C$6+SQRT($AB2072*($E$6-$C$6)*($D$6-$C$6)),$E$6-SQRT((1-$AB2072)*($E$6-$C$6)*($E$6-$D$6)))</f>
        <v/>
      </c>
      <c r="O2072" s="14">
        <f>_xlfn.NORM.INV($AC2072,$C$7,$D$7)</f>
        <v/>
      </c>
      <c r="P2072" s="14">
        <f>$C$8+($D$8-$C$8)*$AD2072</f>
        <v/>
      </c>
      <c r="Q2072" s="14">
        <f>$C$9</f>
        <v/>
      </c>
      <c r="R2072" s="14">
        <f>_xlfn.LOGNORM.INV($AF2072,LN($C$10)-0.5*LN(1+($D$10/$C$10)^2),SQRT(LN(1+($D$10/$C$10)^2)))</f>
        <v/>
      </c>
      <c r="S2072" s="14">
        <f>SUM(M2072:R2072)</f>
        <v/>
      </c>
      <c r="AA2072">
        <f>RAND()</f>
        <v/>
      </c>
      <c r="AB2072">
        <f>RAND()</f>
        <v/>
      </c>
      <c r="AC2072">
        <f>RAND()</f>
        <v/>
      </c>
      <c r="AD2072">
        <f>RAND()</f>
        <v/>
      </c>
      <c r="AE2072">
        <f>RAND()</f>
        <v/>
      </c>
      <c r="AF2072">
        <f>RAND()</f>
        <v/>
      </c>
    </row>
    <row r="2073">
      <c r="M2073" s="14">
        <f>_xlfn.BETA.INV($AA2073,1+4*($D$5-$C$5)/($E$5-$C$5),1+4*($E$5-$D$5)/($E$5-$C$5),$C$5,$E$5)</f>
        <v/>
      </c>
      <c r="N2073" s="14">
        <f>IF($AB2073&lt;($D$6-$C$6)/($E$6-$C$6),$C$6+SQRT($AB2073*($E$6-$C$6)*($D$6-$C$6)),$E$6-SQRT((1-$AB2073)*($E$6-$C$6)*($E$6-$D$6)))</f>
        <v/>
      </c>
      <c r="O2073" s="14">
        <f>_xlfn.NORM.INV($AC2073,$C$7,$D$7)</f>
        <v/>
      </c>
      <c r="P2073" s="14">
        <f>$C$8+($D$8-$C$8)*$AD2073</f>
        <v/>
      </c>
      <c r="Q2073" s="14">
        <f>$C$9</f>
        <v/>
      </c>
      <c r="R2073" s="14">
        <f>_xlfn.LOGNORM.INV($AF2073,LN($C$10)-0.5*LN(1+($D$10/$C$10)^2),SQRT(LN(1+($D$10/$C$10)^2)))</f>
        <v/>
      </c>
      <c r="S2073" s="14">
        <f>SUM(M2073:R2073)</f>
        <v/>
      </c>
      <c r="AA2073">
        <f>RAND()</f>
        <v/>
      </c>
      <c r="AB2073">
        <f>RAND()</f>
        <v/>
      </c>
      <c r="AC2073">
        <f>RAND()</f>
        <v/>
      </c>
      <c r="AD2073">
        <f>RAND()</f>
        <v/>
      </c>
      <c r="AE2073">
        <f>RAND()</f>
        <v/>
      </c>
      <c r="AF2073">
        <f>RAND()</f>
        <v/>
      </c>
    </row>
    <row r="2074">
      <c r="M2074" s="14">
        <f>_xlfn.BETA.INV($AA2074,1+4*($D$5-$C$5)/($E$5-$C$5),1+4*($E$5-$D$5)/($E$5-$C$5),$C$5,$E$5)</f>
        <v/>
      </c>
      <c r="N2074" s="14">
        <f>IF($AB2074&lt;($D$6-$C$6)/($E$6-$C$6),$C$6+SQRT($AB2074*($E$6-$C$6)*($D$6-$C$6)),$E$6-SQRT((1-$AB2074)*($E$6-$C$6)*($E$6-$D$6)))</f>
        <v/>
      </c>
      <c r="O2074" s="14">
        <f>_xlfn.NORM.INV($AC2074,$C$7,$D$7)</f>
        <v/>
      </c>
      <c r="P2074" s="14">
        <f>$C$8+($D$8-$C$8)*$AD2074</f>
        <v/>
      </c>
      <c r="Q2074" s="14">
        <f>$C$9</f>
        <v/>
      </c>
      <c r="R2074" s="14">
        <f>_xlfn.LOGNORM.INV($AF2074,LN($C$10)-0.5*LN(1+($D$10/$C$10)^2),SQRT(LN(1+($D$10/$C$10)^2)))</f>
        <v/>
      </c>
      <c r="S2074" s="14">
        <f>SUM(M2074:R2074)</f>
        <v/>
      </c>
      <c r="AA2074">
        <f>RAND()</f>
        <v/>
      </c>
      <c r="AB2074">
        <f>RAND()</f>
        <v/>
      </c>
      <c r="AC2074">
        <f>RAND()</f>
        <v/>
      </c>
      <c r="AD2074">
        <f>RAND()</f>
        <v/>
      </c>
      <c r="AE2074">
        <f>RAND()</f>
        <v/>
      </c>
      <c r="AF2074">
        <f>RAND()</f>
        <v/>
      </c>
    </row>
    <row r="2075">
      <c r="M2075" s="14">
        <f>_xlfn.BETA.INV($AA2075,1+4*($D$5-$C$5)/($E$5-$C$5),1+4*($E$5-$D$5)/($E$5-$C$5),$C$5,$E$5)</f>
        <v/>
      </c>
      <c r="N2075" s="14">
        <f>IF($AB2075&lt;($D$6-$C$6)/($E$6-$C$6),$C$6+SQRT($AB2075*($E$6-$C$6)*($D$6-$C$6)),$E$6-SQRT((1-$AB2075)*($E$6-$C$6)*($E$6-$D$6)))</f>
        <v/>
      </c>
      <c r="O2075" s="14">
        <f>_xlfn.NORM.INV($AC2075,$C$7,$D$7)</f>
        <v/>
      </c>
      <c r="P2075" s="14">
        <f>$C$8+($D$8-$C$8)*$AD2075</f>
        <v/>
      </c>
      <c r="Q2075" s="14">
        <f>$C$9</f>
        <v/>
      </c>
      <c r="R2075" s="14">
        <f>_xlfn.LOGNORM.INV($AF2075,LN($C$10)-0.5*LN(1+($D$10/$C$10)^2),SQRT(LN(1+($D$10/$C$10)^2)))</f>
        <v/>
      </c>
      <c r="S2075" s="14">
        <f>SUM(M2075:R2075)</f>
        <v/>
      </c>
      <c r="AA2075">
        <f>RAND()</f>
        <v/>
      </c>
      <c r="AB2075">
        <f>RAND()</f>
        <v/>
      </c>
      <c r="AC2075">
        <f>RAND()</f>
        <v/>
      </c>
      <c r="AD2075">
        <f>RAND()</f>
        <v/>
      </c>
      <c r="AE2075">
        <f>RAND()</f>
        <v/>
      </c>
      <c r="AF2075">
        <f>RAND()</f>
        <v/>
      </c>
    </row>
    <row r="2076">
      <c r="M2076" s="14">
        <f>_xlfn.BETA.INV($AA2076,1+4*($D$5-$C$5)/($E$5-$C$5),1+4*($E$5-$D$5)/($E$5-$C$5),$C$5,$E$5)</f>
        <v/>
      </c>
      <c r="N2076" s="14">
        <f>IF($AB2076&lt;($D$6-$C$6)/($E$6-$C$6),$C$6+SQRT($AB2076*($E$6-$C$6)*($D$6-$C$6)),$E$6-SQRT((1-$AB2076)*($E$6-$C$6)*($E$6-$D$6)))</f>
        <v/>
      </c>
      <c r="O2076" s="14">
        <f>_xlfn.NORM.INV($AC2076,$C$7,$D$7)</f>
        <v/>
      </c>
      <c r="P2076" s="14">
        <f>$C$8+($D$8-$C$8)*$AD2076</f>
        <v/>
      </c>
      <c r="Q2076" s="14">
        <f>$C$9</f>
        <v/>
      </c>
      <c r="R2076" s="14">
        <f>_xlfn.LOGNORM.INV($AF2076,LN($C$10)-0.5*LN(1+($D$10/$C$10)^2),SQRT(LN(1+($D$10/$C$10)^2)))</f>
        <v/>
      </c>
      <c r="S2076" s="14">
        <f>SUM(M2076:R2076)</f>
        <v/>
      </c>
      <c r="AA2076">
        <f>RAND()</f>
        <v/>
      </c>
      <c r="AB2076">
        <f>RAND()</f>
        <v/>
      </c>
      <c r="AC2076">
        <f>RAND()</f>
        <v/>
      </c>
      <c r="AD2076">
        <f>RAND()</f>
        <v/>
      </c>
      <c r="AE2076">
        <f>RAND()</f>
        <v/>
      </c>
      <c r="AF2076">
        <f>RAND()</f>
        <v/>
      </c>
    </row>
    <row r="2077">
      <c r="M2077" s="14">
        <f>_xlfn.BETA.INV($AA2077,1+4*($D$5-$C$5)/($E$5-$C$5),1+4*($E$5-$D$5)/($E$5-$C$5),$C$5,$E$5)</f>
        <v/>
      </c>
      <c r="N2077" s="14">
        <f>IF($AB2077&lt;($D$6-$C$6)/($E$6-$C$6),$C$6+SQRT($AB2077*($E$6-$C$6)*($D$6-$C$6)),$E$6-SQRT((1-$AB2077)*($E$6-$C$6)*($E$6-$D$6)))</f>
        <v/>
      </c>
      <c r="O2077" s="14">
        <f>_xlfn.NORM.INV($AC2077,$C$7,$D$7)</f>
        <v/>
      </c>
      <c r="P2077" s="14">
        <f>$C$8+($D$8-$C$8)*$AD2077</f>
        <v/>
      </c>
      <c r="Q2077" s="14">
        <f>$C$9</f>
        <v/>
      </c>
      <c r="R2077" s="14">
        <f>_xlfn.LOGNORM.INV($AF2077,LN($C$10)-0.5*LN(1+($D$10/$C$10)^2),SQRT(LN(1+($D$10/$C$10)^2)))</f>
        <v/>
      </c>
      <c r="S2077" s="14">
        <f>SUM(M2077:R2077)</f>
        <v/>
      </c>
      <c r="AA2077">
        <f>RAND()</f>
        <v/>
      </c>
      <c r="AB2077">
        <f>RAND()</f>
        <v/>
      </c>
      <c r="AC2077">
        <f>RAND()</f>
        <v/>
      </c>
      <c r="AD2077">
        <f>RAND()</f>
        <v/>
      </c>
      <c r="AE2077">
        <f>RAND()</f>
        <v/>
      </c>
      <c r="AF2077">
        <f>RAND()</f>
        <v/>
      </c>
    </row>
    <row r="2078">
      <c r="M2078" s="14">
        <f>_xlfn.BETA.INV($AA2078,1+4*($D$5-$C$5)/($E$5-$C$5),1+4*($E$5-$D$5)/($E$5-$C$5),$C$5,$E$5)</f>
        <v/>
      </c>
      <c r="N2078" s="14">
        <f>IF($AB2078&lt;($D$6-$C$6)/($E$6-$C$6),$C$6+SQRT($AB2078*($E$6-$C$6)*($D$6-$C$6)),$E$6-SQRT((1-$AB2078)*($E$6-$C$6)*($E$6-$D$6)))</f>
        <v/>
      </c>
      <c r="O2078" s="14">
        <f>_xlfn.NORM.INV($AC2078,$C$7,$D$7)</f>
        <v/>
      </c>
      <c r="P2078" s="14">
        <f>$C$8+($D$8-$C$8)*$AD2078</f>
        <v/>
      </c>
      <c r="Q2078" s="14">
        <f>$C$9</f>
        <v/>
      </c>
      <c r="R2078" s="14">
        <f>_xlfn.LOGNORM.INV($AF2078,LN($C$10)-0.5*LN(1+($D$10/$C$10)^2),SQRT(LN(1+($D$10/$C$10)^2)))</f>
        <v/>
      </c>
      <c r="S2078" s="14">
        <f>SUM(M2078:R2078)</f>
        <v/>
      </c>
      <c r="AA2078">
        <f>RAND()</f>
        <v/>
      </c>
      <c r="AB2078">
        <f>RAND()</f>
        <v/>
      </c>
      <c r="AC2078">
        <f>RAND()</f>
        <v/>
      </c>
      <c r="AD2078">
        <f>RAND()</f>
        <v/>
      </c>
      <c r="AE2078">
        <f>RAND()</f>
        <v/>
      </c>
      <c r="AF2078">
        <f>RAND()</f>
        <v/>
      </c>
    </row>
    <row r="2079">
      <c r="M2079" s="14">
        <f>_xlfn.BETA.INV($AA2079,1+4*($D$5-$C$5)/($E$5-$C$5),1+4*($E$5-$D$5)/($E$5-$C$5),$C$5,$E$5)</f>
        <v/>
      </c>
      <c r="N2079" s="14">
        <f>IF($AB2079&lt;($D$6-$C$6)/($E$6-$C$6),$C$6+SQRT($AB2079*($E$6-$C$6)*($D$6-$C$6)),$E$6-SQRT((1-$AB2079)*($E$6-$C$6)*($E$6-$D$6)))</f>
        <v/>
      </c>
      <c r="O2079" s="14">
        <f>_xlfn.NORM.INV($AC2079,$C$7,$D$7)</f>
        <v/>
      </c>
      <c r="P2079" s="14">
        <f>$C$8+($D$8-$C$8)*$AD2079</f>
        <v/>
      </c>
      <c r="Q2079" s="14">
        <f>$C$9</f>
        <v/>
      </c>
      <c r="R2079" s="14">
        <f>_xlfn.LOGNORM.INV($AF2079,LN($C$10)-0.5*LN(1+($D$10/$C$10)^2),SQRT(LN(1+($D$10/$C$10)^2)))</f>
        <v/>
      </c>
      <c r="S2079" s="14">
        <f>SUM(M2079:R2079)</f>
        <v/>
      </c>
      <c r="AA2079">
        <f>RAND()</f>
        <v/>
      </c>
      <c r="AB2079">
        <f>RAND()</f>
        <v/>
      </c>
      <c r="AC2079">
        <f>RAND()</f>
        <v/>
      </c>
      <c r="AD2079">
        <f>RAND()</f>
        <v/>
      </c>
      <c r="AE2079">
        <f>RAND()</f>
        <v/>
      </c>
      <c r="AF2079">
        <f>RAND()</f>
        <v/>
      </c>
    </row>
    <row r="2080">
      <c r="M2080" s="14">
        <f>_xlfn.BETA.INV($AA2080,1+4*($D$5-$C$5)/($E$5-$C$5),1+4*($E$5-$D$5)/($E$5-$C$5),$C$5,$E$5)</f>
        <v/>
      </c>
      <c r="N2080" s="14">
        <f>IF($AB2080&lt;($D$6-$C$6)/($E$6-$C$6),$C$6+SQRT($AB2080*($E$6-$C$6)*($D$6-$C$6)),$E$6-SQRT((1-$AB2080)*($E$6-$C$6)*($E$6-$D$6)))</f>
        <v/>
      </c>
      <c r="O2080" s="14">
        <f>_xlfn.NORM.INV($AC2080,$C$7,$D$7)</f>
        <v/>
      </c>
      <c r="P2080" s="14">
        <f>$C$8+($D$8-$C$8)*$AD2080</f>
        <v/>
      </c>
      <c r="Q2080" s="14">
        <f>$C$9</f>
        <v/>
      </c>
      <c r="R2080" s="14">
        <f>_xlfn.LOGNORM.INV($AF2080,LN($C$10)-0.5*LN(1+($D$10/$C$10)^2),SQRT(LN(1+($D$10/$C$10)^2)))</f>
        <v/>
      </c>
      <c r="S2080" s="14">
        <f>SUM(M2080:R2080)</f>
        <v/>
      </c>
      <c r="AA2080">
        <f>RAND()</f>
        <v/>
      </c>
      <c r="AB2080">
        <f>RAND()</f>
        <v/>
      </c>
      <c r="AC2080">
        <f>RAND()</f>
        <v/>
      </c>
      <c r="AD2080">
        <f>RAND()</f>
        <v/>
      </c>
      <c r="AE2080">
        <f>RAND()</f>
        <v/>
      </c>
      <c r="AF2080">
        <f>RAND()</f>
        <v/>
      </c>
    </row>
    <row r="2081">
      <c r="M2081" s="14">
        <f>_xlfn.BETA.INV($AA2081,1+4*($D$5-$C$5)/($E$5-$C$5),1+4*($E$5-$D$5)/($E$5-$C$5),$C$5,$E$5)</f>
        <v/>
      </c>
      <c r="N2081" s="14">
        <f>IF($AB2081&lt;($D$6-$C$6)/($E$6-$C$6),$C$6+SQRT($AB2081*($E$6-$C$6)*($D$6-$C$6)),$E$6-SQRT((1-$AB2081)*($E$6-$C$6)*($E$6-$D$6)))</f>
        <v/>
      </c>
      <c r="O2081" s="14">
        <f>_xlfn.NORM.INV($AC2081,$C$7,$D$7)</f>
        <v/>
      </c>
      <c r="P2081" s="14">
        <f>$C$8+($D$8-$C$8)*$AD2081</f>
        <v/>
      </c>
      <c r="Q2081" s="14">
        <f>$C$9</f>
        <v/>
      </c>
      <c r="R2081" s="14">
        <f>_xlfn.LOGNORM.INV($AF2081,LN($C$10)-0.5*LN(1+($D$10/$C$10)^2),SQRT(LN(1+($D$10/$C$10)^2)))</f>
        <v/>
      </c>
      <c r="S2081" s="14">
        <f>SUM(M2081:R2081)</f>
        <v/>
      </c>
      <c r="AA2081">
        <f>RAND()</f>
        <v/>
      </c>
      <c r="AB2081">
        <f>RAND()</f>
        <v/>
      </c>
      <c r="AC2081">
        <f>RAND()</f>
        <v/>
      </c>
      <c r="AD2081">
        <f>RAND()</f>
        <v/>
      </c>
      <c r="AE2081">
        <f>RAND()</f>
        <v/>
      </c>
      <c r="AF2081">
        <f>RAND()</f>
        <v/>
      </c>
    </row>
    <row r="2082">
      <c r="M2082" s="14">
        <f>_xlfn.BETA.INV($AA2082,1+4*($D$5-$C$5)/($E$5-$C$5),1+4*($E$5-$D$5)/($E$5-$C$5),$C$5,$E$5)</f>
        <v/>
      </c>
      <c r="N2082" s="14">
        <f>IF($AB2082&lt;($D$6-$C$6)/($E$6-$C$6),$C$6+SQRT($AB2082*($E$6-$C$6)*($D$6-$C$6)),$E$6-SQRT((1-$AB2082)*($E$6-$C$6)*($E$6-$D$6)))</f>
        <v/>
      </c>
      <c r="O2082" s="14">
        <f>_xlfn.NORM.INV($AC2082,$C$7,$D$7)</f>
        <v/>
      </c>
      <c r="P2082" s="14">
        <f>$C$8+($D$8-$C$8)*$AD2082</f>
        <v/>
      </c>
      <c r="Q2082" s="14">
        <f>$C$9</f>
        <v/>
      </c>
      <c r="R2082" s="14">
        <f>_xlfn.LOGNORM.INV($AF2082,LN($C$10)-0.5*LN(1+($D$10/$C$10)^2),SQRT(LN(1+($D$10/$C$10)^2)))</f>
        <v/>
      </c>
      <c r="S2082" s="14">
        <f>SUM(M2082:R2082)</f>
        <v/>
      </c>
      <c r="AA2082">
        <f>RAND()</f>
        <v/>
      </c>
      <c r="AB2082">
        <f>RAND()</f>
        <v/>
      </c>
      <c r="AC2082">
        <f>RAND()</f>
        <v/>
      </c>
      <c r="AD2082">
        <f>RAND()</f>
        <v/>
      </c>
      <c r="AE2082">
        <f>RAND()</f>
        <v/>
      </c>
      <c r="AF2082">
        <f>RAND()</f>
        <v/>
      </c>
    </row>
    <row r="2083">
      <c r="M2083" s="14">
        <f>_xlfn.BETA.INV($AA2083,1+4*($D$5-$C$5)/($E$5-$C$5),1+4*($E$5-$D$5)/($E$5-$C$5),$C$5,$E$5)</f>
        <v/>
      </c>
      <c r="N2083" s="14">
        <f>IF($AB2083&lt;($D$6-$C$6)/($E$6-$C$6),$C$6+SQRT($AB2083*($E$6-$C$6)*($D$6-$C$6)),$E$6-SQRT((1-$AB2083)*($E$6-$C$6)*($E$6-$D$6)))</f>
        <v/>
      </c>
      <c r="O2083" s="14">
        <f>_xlfn.NORM.INV($AC2083,$C$7,$D$7)</f>
        <v/>
      </c>
      <c r="P2083" s="14">
        <f>$C$8+($D$8-$C$8)*$AD2083</f>
        <v/>
      </c>
      <c r="Q2083" s="14">
        <f>$C$9</f>
        <v/>
      </c>
      <c r="R2083" s="14">
        <f>_xlfn.LOGNORM.INV($AF2083,LN($C$10)-0.5*LN(1+($D$10/$C$10)^2),SQRT(LN(1+($D$10/$C$10)^2)))</f>
        <v/>
      </c>
      <c r="S2083" s="14">
        <f>SUM(M2083:R2083)</f>
        <v/>
      </c>
      <c r="AA2083">
        <f>RAND()</f>
        <v/>
      </c>
      <c r="AB2083">
        <f>RAND()</f>
        <v/>
      </c>
      <c r="AC2083">
        <f>RAND()</f>
        <v/>
      </c>
      <c r="AD2083">
        <f>RAND()</f>
        <v/>
      </c>
      <c r="AE2083">
        <f>RAND()</f>
        <v/>
      </c>
      <c r="AF2083">
        <f>RAND()</f>
        <v/>
      </c>
    </row>
    <row r="2084">
      <c r="M2084" s="14">
        <f>_xlfn.BETA.INV($AA2084,1+4*($D$5-$C$5)/($E$5-$C$5),1+4*($E$5-$D$5)/($E$5-$C$5),$C$5,$E$5)</f>
        <v/>
      </c>
      <c r="N2084" s="14">
        <f>IF($AB2084&lt;($D$6-$C$6)/($E$6-$C$6),$C$6+SQRT($AB2084*($E$6-$C$6)*($D$6-$C$6)),$E$6-SQRT((1-$AB2084)*($E$6-$C$6)*($E$6-$D$6)))</f>
        <v/>
      </c>
      <c r="O2084" s="14">
        <f>_xlfn.NORM.INV($AC2084,$C$7,$D$7)</f>
        <v/>
      </c>
      <c r="P2084" s="14">
        <f>$C$8+($D$8-$C$8)*$AD2084</f>
        <v/>
      </c>
      <c r="Q2084" s="14">
        <f>$C$9</f>
        <v/>
      </c>
      <c r="R2084" s="14">
        <f>_xlfn.LOGNORM.INV($AF2084,LN($C$10)-0.5*LN(1+($D$10/$C$10)^2),SQRT(LN(1+($D$10/$C$10)^2)))</f>
        <v/>
      </c>
      <c r="S2084" s="14">
        <f>SUM(M2084:R2084)</f>
        <v/>
      </c>
      <c r="AA2084">
        <f>RAND()</f>
        <v/>
      </c>
      <c r="AB2084">
        <f>RAND()</f>
        <v/>
      </c>
      <c r="AC2084">
        <f>RAND()</f>
        <v/>
      </c>
      <c r="AD2084">
        <f>RAND()</f>
        <v/>
      </c>
      <c r="AE2084">
        <f>RAND()</f>
        <v/>
      </c>
      <c r="AF2084">
        <f>RAND()</f>
        <v/>
      </c>
    </row>
    <row r="2085">
      <c r="M2085" s="14">
        <f>_xlfn.BETA.INV($AA2085,1+4*($D$5-$C$5)/($E$5-$C$5),1+4*($E$5-$D$5)/($E$5-$C$5),$C$5,$E$5)</f>
        <v/>
      </c>
      <c r="N2085" s="14">
        <f>IF($AB2085&lt;($D$6-$C$6)/($E$6-$C$6),$C$6+SQRT($AB2085*($E$6-$C$6)*($D$6-$C$6)),$E$6-SQRT((1-$AB2085)*($E$6-$C$6)*($E$6-$D$6)))</f>
        <v/>
      </c>
      <c r="O2085" s="14">
        <f>_xlfn.NORM.INV($AC2085,$C$7,$D$7)</f>
        <v/>
      </c>
      <c r="P2085" s="14">
        <f>$C$8+($D$8-$C$8)*$AD2085</f>
        <v/>
      </c>
      <c r="Q2085" s="14">
        <f>$C$9</f>
        <v/>
      </c>
      <c r="R2085" s="14">
        <f>_xlfn.LOGNORM.INV($AF2085,LN($C$10)-0.5*LN(1+($D$10/$C$10)^2),SQRT(LN(1+($D$10/$C$10)^2)))</f>
        <v/>
      </c>
      <c r="S2085" s="14">
        <f>SUM(M2085:R2085)</f>
        <v/>
      </c>
      <c r="AA2085">
        <f>RAND()</f>
        <v/>
      </c>
      <c r="AB2085">
        <f>RAND()</f>
        <v/>
      </c>
      <c r="AC2085">
        <f>RAND()</f>
        <v/>
      </c>
      <c r="AD2085">
        <f>RAND()</f>
        <v/>
      </c>
      <c r="AE2085">
        <f>RAND()</f>
        <v/>
      </c>
      <c r="AF2085">
        <f>RAND()</f>
        <v/>
      </c>
    </row>
    <row r="2086">
      <c r="M2086" s="14">
        <f>_xlfn.BETA.INV($AA2086,1+4*($D$5-$C$5)/($E$5-$C$5),1+4*($E$5-$D$5)/($E$5-$C$5),$C$5,$E$5)</f>
        <v/>
      </c>
      <c r="N2086" s="14">
        <f>IF($AB2086&lt;($D$6-$C$6)/($E$6-$C$6),$C$6+SQRT($AB2086*($E$6-$C$6)*($D$6-$C$6)),$E$6-SQRT((1-$AB2086)*($E$6-$C$6)*($E$6-$D$6)))</f>
        <v/>
      </c>
      <c r="O2086" s="14">
        <f>_xlfn.NORM.INV($AC2086,$C$7,$D$7)</f>
        <v/>
      </c>
      <c r="P2086" s="14">
        <f>$C$8+($D$8-$C$8)*$AD2086</f>
        <v/>
      </c>
      <c r="Q2086" s="14">
        <f>$C$9</f>
        <v/>
      </c>
      <c r="R2086" s="14">
        <f>_xlfn.LOGNORM.INV($AF2086,LN($C$10)-0.5*LN(1+($D$10/$C$10)^2),SQRT(LN(1+($D$10/$C$10)^2)))</f>
        <v/>
      </c>
      <c r="S2086" s="14">
        <f>SUM(M2086:R2086)</f>
        <v/>
      </c>
      <c r="AA2086">
        <f>RAND()</f>
        <v/>
      </c>
      <c r="AB2086">
        <f>RAND()</f>
        <v/>
      </c>
      <c r="AC2086">
        <f>RAND()</f>
        <v/>
      </c>
      <c r="AD2086">
        <f>RAND()</f>
        <v/>
      </c>
      <c r="AE2086">
        <f>RAND()</f>
        <v/>
      </c>
      <c r="AF2086">
        <f>RAND()</f>
        <v/>
      </c>
    </row>
    <row r="2087">
      <c r="M2087" s="14">
        <f>_xlfn.BETA.INV($AA2087,1+4*($D$5-$C$5)/($E$5-$C$5),1+4*($E$5-$D$5)/($E$5-$C$5),$C$5,$E$5)</f>
        <v/>
      </c>
      <c r="N2087" s="14">
        <f>IF($AB2087&lt;($D$6-$C$6)/($E$6-$C$6),$C$6+SQRT($AB2087*($E$6-$C$6)*($D$6-$C$6)),$E$6-SQRT((1-$AB2087)*($E$6-$C$6)*($E$6-$D$6)))</f>
        <v/>
      </c>
      <c r="O2087" s="14">
        <f>_xlfn.NORM.INV($AC2087,$C$7,$D$7)</f>
        <v/>
      </c>
      <c r="P2087" s="14">
        <f>$C$8+($D$8-$C$8)*$AD2087</f>
        <v/>
      </c>
      <c r="Q2087" s="14">
        <f>$C$9</f>
        <v/>
      </c>
      <c r="R2087" s="14">
        <f>_xlfn.LOGNORM.INV($AF2087,LN($C$10)-0.5*LN(1+($D$10/$C$10)^2),SQRT(LN(1+($D$10/$C$10)^2)))</f>
        <v/>
      </c>
      <c r="S2087" s="14">
        <f>SUM(M2087:R2087)</f>
        <v/>
      </c>
      <c r="AA2087">
        <f>RAND()</f>
        <v/>
      </c>
      <c r="AB2087">
        <f>RAND()</f>
        <v/>
      </c>
      <c r="AC2087">
        <f>RAND()</f>
        <v/>
      </c>
      <c r="AD2087">
        <f>RAND()</f>
        <v/>
      </c>
      <c r="AE2087">
        <f>RAND()</f>
        <v/>
      </c>
      <c r="AF2087">
        <f>RAND()</f>
        <v/>
      </c>
    </row>
    <row r="2088">
      <c r="M2088" s="14">
        <f>_xlfn.BETA.INV($AA2088,1+4*($D$5-$C$5)/($E$5-$C$5),1+4*($E$5-$D$5)/($E$5-$C$5),$C$5,$E$5)</f>
        <v/>
      </c>
      <c r="N2088" s="14">
        <f>IF($AB2088&lt;($D$6-$C$6)/($E$6-$C$6),$C$6+SQRT($AB2088*($E$6-$C$6)*($D$6-$C$6)),$E$6-SQRT((1-$AB2088)*($E$6-$C$6)*($E$6-$D$6)))</f>
        <v/>
      </c>
      <c r="O2088" s="14">
        <f>_xlfn.NORM.INV($AC2088,$C$7,$D$7)</f>
        <v/>
      </c>
      <c r="P2088" s="14">
        <f>$C$8+($D$8-$C$8)*$AD2088</f>
        <v/>
      </c>
      <c r="Q2088" s="14">
        <f>$C$9</f>
        <v/>
      </c>
      <c r="R2088" s="14">
        <f>_xlfn.LOGNORM.INV($AF2088,LN($C$10)-0.5*LN(1+($D$10/$C$10)^2),SQRT(LN(1+($D$10/$C$10)^2)))</f>
        <v/>
      </c>
      <c r="S2088" s="14">
        <f>SUM(M2088:R2088)</f>
        <v/>
      </c>
      <c r="AA2088">
        <f>RAND()</f>
        <v/>
      </c>
      <c r="AB2088">
        <f>RAND()</f>
        <v/>
      </c>
      <c r="AC2088">
        <f>RAND()</f>
        <v/>
      </c>
      <c r="AD2088">
        <f>RAND()</f>
        <v/>
      </c>
      <c r="AE2088">
        <f>RAND()</f>
        <v/>
      </c>
      <c r="AF2088">
        <f>RAND()</f>
        <v/>
      </c>
    </row>
    <row r="2089">
      <c r="M2089" s="14">
        <f>_xlfn.BETA.INV($AA2089,1+4*($D$5-$C$5)/($E$5-$C$5),1+4*($E$5-$D$5)/($E$5-$C$5),$C$5,$E$5)</f>
        <v/>
      </c>
      <c r="N2089" s="14">
        <f>IF($AB2089&lt;($D$6-$C$6)/($E$6-$C$6),$C$6+SQRT($AB2089*($E$6-$C$6)*($D$6-$C$6)),$E$6-SQRT((1-$AB2089)*($E$6-$C$6)*($E$6-$D$6)))</f>
        <v/>
      </c>
      <c r="O2089" s="14">
        <f>_xlfn.NORM.INV($AC2089,$C$7,$D$7)</f>
        <v/>
      </c>
      <c r="P2089" s="14">
        <f>$C$8+($D$8-$C$8)*$AD2089</f>
        <v/>
      </c>
      <c r="Q2089" s="14">
        <f>$C$9</f>
        <v/>
      </c>
      <c r="R2089" s="14">
        <f>_xlfn.LOGNORM.INV($AF2089,LN($C$10)-0.5*LN(1+($D$10/$C$10)^2),SQRT(LN(1+($D$10/$C$10)^2)))</f>
        <v/>
      </c>
      <c r="S2089" s="14">
        <f>SUM(M2089:R2089)</f>
        <v/>
      </c>
      <c r="AA2089">
        <f>RAND()</f>
        <v/>
      </c>
      <c r="AB2089">
        <f>RAND()</f>
        <v/>
      </c>
      <c r="AC2089">
        <f>RAND()</f>
        <v/>
      </c>
      <c r="AD2089">
        <f>RAND()</f>
        <v/>
      </c>
      <c r="AE2089">
        <f>RAND()</f>
        <v/>
      </c>
      <c r="AF2089">
        <f>RAND()</f>
        <v/>
      </c>
    </row>
    <row r="2090">
      <c r="M2090" s="14">
        <f>_xlfn.BETA.INV($AA2090,1+4*($D$5-$C$5)/($E$5-$C$5),1+4*($E$5-$D$5)/($E$5-$C$5),$C$5,$E$5)</f>
        <v/>
      </c>
      <c r="N2090" s="14">
        <f>IF($AB2090&lt;($D$6-$C$6)/($E$6-$C$6),$C$6+SQRT($AB2090*($E$6-$C$6)*($D$6-$C$6)),$E$6-SQRT((1-$AB2090)*($E$6-$C$6)*($E$6-$D$6)))</f>
        <v/>
      </c>
      <c r="O2090" s="14">
        <f>_xlfn.NORM.INV($AC2090,$C$7,$D$7)</f>
        <v/>
      </c>
      <c r="P2090" s="14">
        <f>$C$8+($D$8-$C$8)*$AD2090</f>
        <v/>
      </c>
      <c r="Q2090" s="14">
        <f>$C$9</f>
        <v/>
      </c>
      <c r="R2090" s="14">
        <f>_xlfn.LOGNORM.INV($AF2090,LN($C$10)-0.5*LN(1+($D$10/$C$10)^2),SQRT(LN(1+($D$10/$C$10)^2)))</f>
        <v/>
      </c>
      <c r="S2090" s="14">
        <f>SUM(M2090:R2090)</f>
        <v/>
      </c>
      <c r="AA2090">
        <f>RAND()</f>
        <v/>
      </c>
      <c r="AB2090">
        <f>RAND()</f>
        <v/>
      </c>
      <c r="AC2090">
        <f>RAND()</f>
        <v/>
      </c>
      <c r="AD2090">
        <f>RAND()</f>
        <v/>
      </c>
      <c r="AE2090">
        <f>RAND()</f>
        <v/>
      </c>
      <c r="AF2090">
        <f>RAND()</f>
        <v/>
      </c>
    </row>
    <row r="2091">
      <c r="M2091" s="14">
        <f>_xlfn.BETA.INV($AA2091,1+4*($D$5-$C$5)/($E$5-$C$5),1+4*($E$5-$D$5)/($E$5-$C$5),$C$5,$E$5)</f>
        <v/>
      </c>
      <c r="N2091" s="14">
        <f>IF($AB2091&lt;($D$6-$C$6)/($E$6-$C$6),$C$6+SQRT($AB2091*($E$6-$C$6)*($D$6-$C$6)),$E$6-SQRT((1-$AB2091)*($E$6-$C$6)*($E$6-$D$6)))</f>
        <v/>
      </c>
      <c r="O2091" s="14">
        <f>_xlfn.NORM.INV($AC2091,$C$7,$D$7)</f>
        <v/>
      </c>
      <c r="P2091" s="14">
        <f>$C$8+($D$8-$C$8)*$AD2091</f>
        <v/>
      </c>
      <c r="Q2091" s="14">
        <f>$C$9</f>
        <v/>
      </c>
      <c r="R2091" s="14">
        <f>_xlfn.LOGNORM.INV($AF2091,LN($C$10)-0.5*LN(1+($D$10/$C$10)^2),SQRT(LN(1+($D$10/$C$10)^2)))</f>
        <v/>
      </c>
      <c r="S2091" s="14">
        <f>SUM(M2091:R2091)</f>
        <v/>
      </c>
      <c r="AA2091">
        <f>RAND()</f>
        <v/>
      </c>
      <c r="AB2091">
        <f>RAND()</f>
        <v/>
      </c>
      <c r="AC2091">
        <f>RAND()</f>
        <v/>
      </c>
      <c r="AD2091">
        <f>RAND()</f>
        <v/>
      </c>
      <c r="AE2091">
        <f>RAND()</f>
        <v/>
      </c>
      <c r="AF2091">
        <f>RAND()</f>
        <v/>
      </c>
    </row>
    <row r="2092">
      <c r="M2092" s="14">
        <f>_xlfn.BETA.INV($AA2092,1+4*($D$5-$C$5)/($E$5-$C$5),1+4*($E$5-$D$5)/($E$5-$C$5),$C$5,$E$5)</f>
        <v/>
      </c>
      <c r="N2092" s="14">
        <f>IF($AB2092&lt;($D$6-$C$6)/($E$6-$C$6),$C$6+SQRT($AB2092*($E$6-$C$6)*($D$6-$C$6)),$E$6-SQRT((1-$AB2092)*($E$6-$C$6)*($E$6-$D$6)))</f>
        <v/>
      </c>
      <c r="O2092" s="14">
        <f>_xlfn.NORM.INV($AC2092,$C$7,$D$7)</f>
        <v/>
      </c>
      <c r="P2092" s="14">
        <f>$C$8+($D$8-$C$8)*$AD2092</f>
        <v/>
      </c>
      <c r="Q2092" s="14">
        <f>$C$9</f>
        <v/>
      </c>
      <c r="R2092" s="14">
        <f>_xlfn.LOGNORM.INV($AF2092,LN($C$10)-0.5*LN(1+($D$10/$C$10)^2),SQRT(LN(1+($D$10/$C$10)^2)))</f>
        <v/>
      </c>
      <c r="S2092" s="14">
        <f>SUM(M2092:R2092)</f>
        <v/>
      </c>
      <c r="AA2092">
        <f>RAND()</f>
        <v/>
      </c>
      <c r="AB2092">
        <f>RAND()</f>
        <v/>
      </c>
      <c r="AC2092">
        <f>RAND()</f>
        <v/>
      </c>
      <c r="AD2092">
        <f>RAND()</f>
        <v/>
      </c>
      <c r="AE2092">
        <f>RAND()</f>
        <v/>
      </c>
      <c r="AF2092">
        <f>RAND()</f>
        <v/>
      </c>
    </row>
    <row r="2093">
      <c r="M2093" s="14">
        <f>_xlfn.BETA.INV($AA2093,1+4*($D$5-$C$5)/($E$5-$C$5),1+4*($E$5-$D$5)/($E$5-$C$5),$C$5,$E$5)</f>
        <v/>
      </c>
      <c r="N2093" s="14">
        <f>IF($AB2093&lt;($D$6-$C$6)/($E$6-$C$6),$C$6+SQRT($AB2093*($E$6-$C$6)*($D$6-$C$6)),$E$6-SQRT((1-$AB2093)*($E$6-$C$6)*($E$6-$D$6)))</f>
        <v/>
      </c>
      <c r="O2093" s="14">
        <f>_xlfn.NORM.INV($AC2093,$C$7,$D$7)</f>
        <v/>
      </c>
      <c r="P2093" s="14">
        <f>$C$8+($D$8-$C$8)*$AD2093</f>
        <v/>
      </c>
      <c r="Q2093" s="14">
        <f>$C$9</f>
        <v/>
      </c>
      <c r="R2093" s="14">
        <f>_xlfn.LOGNORM.INV($AF2093,LN($C$10)-0.5*LN(1+($D$10/$C$10)^2),SQRT(LN(1+($D$10/$C$10)^2)))</f>
        <v/>
      </c>
      <c r="S2093" s="14">
        <f>SUM(M2093:R2093)</f>
        <v/>
      </c>
      <c r="AA2093">
        <f>RAND()</f>
        <v/>
      </c>
      <c r="AB2093">
        <f>RAND()</f>
        <v/>
      </c>
      <c r="AC2093">
        <f>RAND()</f>
        <v/>
      </c>
      <c r="AD2093">
        <f>RAND()</f>
        <v/>
      </c>
      <c r="AE2093">
        <f>RAND()</f>
        <v/>
      </c>
      <c r="AF2093">
        <f>RAND()</f>
        <v/>
      </c>
    </row>
    <row r="2094">
      <c r="M2094" s="14">
        <f>_xlfn.BETA.INV($AA2094,1+4*($D$5-$C$5)/($E$5-$C$5),1+4*($E$5-$D$5)/($E$5-$C$5),$C$5,$E$5)</f>
        <v/>
      </c>
      <c r="N2094" s="14">
        <f>IF($AB2094&lt;($D$6-$C$6)/($E$6-$C$6),$C$6+SQRT($AB2094*($E$6-$C$6)*($D$6-$C$6)),$E$6-SQRT((1-$AB2094)*($E$6-$C$6)*($E$6-$D$6)))</f>
        <v/>
      </c>
      <c r="O2094" s="14">
        <f>_xlfn.NORM.INV($AC2094,$C$7,$D$7)</f>
        <v/>
      </c>
      <c r="P2094" s="14">
        <f>$C$8+($D$8-$C$8)*$AD2094</f>
        <v/>
      </c>
      <c r="Q2094" s="14">
        <f>$C$9</f>
        <v/>
      </c>
      <c r="R2094" s="14">
        <f>_xlfn.LOGNORM.INV($AF2094,LN($C$10)-0.5*LN(1+($D$10/$C$10)^2),SQRT(LN(1+($D$10/$C$10)^2)))</f>
        <v/>
      </c>
      <c r="S2094" s="14">
        <f>SUM(M2094:R2094)</f>
        <v/>
      </c>
      <c r="AA2094">
        <f>RAND()</f>
        <v/>
      </c>
      <c r="AB2094">
        <f>RAND()</f>
        <v/>
      </c>
      <c r="AC2094">
        <f>RAND()</f>
        <v/>
      </c>
      <c r="AD2094">
        <f>RAND()</f>
        <v/>
      </c>
      <c r="AE2094">
        <f>RAND()</f>
        <v/>
      </c>
      <c r="AF2094">
        <f>RAND()</f>
        <v/>
      </c>
    </row>
    <row r="2095">
      <c r="M2095" s="14">
        <f>_xlfn.BETA.INV($AA2095,1+4*($D$5-$C$5)/($E$5-$C$5),1+4*($E$5-$D$5)/($E$5-$C$5),$C$5,$E$5)</f>
        <v/>
      </c>
      <c r="N2095" s="14">
        <f>IF($AB2095&lt;($D$6-$C$6)/($E$6-$C$6),$C$6+SQRT($AB2095*($E$6-$C$6)*($D$6-$C$6)),$E$6-SQRT((1-$AB2095)*($E$6-$C$6)*($E$6-$D$6)))</f>
        <v/>
      </c>
      <c r="O2095" s="14">
        <f>_xlfn.NORM.INV($AC2095,$C$7,$D$7)</f>
        <v/>
      </c>
      <c r="P2095" s="14">
        <f>$C$8+($D$8-$C$8)*$AD2095</f>
        <v/>
      </c>
      <c r="Q2095" s="14">
        <f>$C$9</f>
        <v/>
      </c>
      <c r="R2095" s="14">
        <f>_xlfn.LOGNORM.INV($AF2095,LN($C$10)-0.5*LN(1+($D$10/$C$10)^2),SQRT(LN(1+($D$10/$C$10)^2)))</f>
        <v/>
      </c>
      <c r="S2095" s="14">
        <f>SUM(M2095:R2095)</f>
        <v/>
      </c>
      <c r="AA2095">
        <f>RAND()</f>
        <v/>
      </c>
      <c r="AB2095">
        <f>RAND()</f>
        <v/>
      </c>
      <c r="AC2095">
        <f>RAND()</f>
        <v/>
      </c>
      <c r="AD2095">
        <f>RAND()</f>
        <v/>
      </c>
      <c r="AE2095">
        <f>RAND()</f>
        <v/>
      </c>
      <c r="AF2095">
        <f>RAND()</f>
        <v/>
      </c>
    </row>
    <row r="2096">
      <c r="M2096" s="14">
        <f>_xlfn.BETA.INV($AA2096,1+4*($D$5-$C$5)/($E$5-$C$5),1+4*($E$5-$D$5)/($E$5-$C$5),$C$5,$E$5)</f>
        <v/>
      </c>
      <c r="N2096" s="14">
        <f>IF($AB2096&lt;($D$6-$C$6)/($E$6-$C$6),$C$6+SQRT($AB2096*($E$6-$C$6)*($D$6-$C$6)),$E$6-SQRT((1-$AB2096)*($E$6-$C$6)*($E$6-$D$6)))</f>
        <v/>
      </c>
      <c r="O2096" s="14">
        <f>_xlfn.NORM.INV($AC2096,$C$7,$D$7)</f>
        <v/>
      </c>
      <c r="P2096" s="14">
        <f>$C$8+($D$8-$C$8)*$AD2096</f>
        <v/>
      </c>
      <c r="Q2096" s="14">
        <f>$C$9</f>
        <v/>
      </c>
      <c r="R2096" s="14">
        <f>_xlfn.LOGNORM.INV($AF2096,LN($C$10)-0.5*LN(1+($D$10/$C$10)^2),SQRT(LN(1+($D$10/$C$10)^2)))</f>
        <v/>
      </c>
      <c r="S2096" s="14">
        <f>SUM(M2096:R2096)</f>
        <v/>
      </c>
      <c r="AA2096">
        <f>RAND()</f>
        <v/>
      </c>
      <c r="AB2096">
        <f>RAND()</f>
        <v/>
      </c>
      <c r="AC2096">
        <f>RAND()</f>
        <v/>
      </c>
      <c r="AD2096">
        <f>RAND()</f>
        <v/>
      </c>
      <c r="AE2096">
        <f>RAND()</f>
        <v/>
      </c>
      <c r="AF2096">
        <f>RAND()</f>
        <v/>
      </c>
    </row>
    <row r="2097">
      <c r="M2097" s="14">
        <f>_xlfn.BETA.INV($AA2097,1+4*($D$5-$C$5)/($E$5-$C$5),1+4*($E$5-$D$5)/($E$5-$C$5),$C$5,$E$5)</f>
        <v/>
      </c>
      <c r="N2097" s="14">
        <f>IF($AB2097&lt;($D$6-$C$6)/($E$6-$C$6),$C$6+SQRT($AB2097*($E$6-$C$6)*($D$6-$C$6)),$E$6-SQRT((1-$AB2097)*($E$6-$C$6)*($E$6-$D$6)))</f>
        <v/>
      </c>
      <c r="O2097" s="14">
        <f>_xlfn.NORM.INV($AC2097,$C$7,$D$7)</f>
        <v/>
      </c>
      <c r="P2097" s="14">
        <f>$C$8+($D$8-$C$8)*$AD2097</f>
        <v/>
      </c>
      <c r="Q2097" s="14">
        <f>$C$9</f>
        <v/>
      </c>
      <c r="R2097" s="14">
        <f>_xlfn.LOGNORM.INV($AF2097,LN($C$10)-0.5*LN(1+($D$10/$C$10)^2),SQRT(LN(1+($D$10/$C$10)^2)))</f>
        <v/>
      </c>
      <c r="S2097" s="14">
        <f>SUM(M2097:R2097)</f>
        <v/>
      </c>
      <c r="AA2097">
        <f>RAND()</f>
        <v/>
      </c>
      <c r="AB2097">
        <f>RAND()</f>
        <v/>
      </c>
      <c r="AC2097">
        <f>RAND()</f>
        <v/>
      </c>
      <c r="AD2097">
        <f>RAND()</f>
        <v/>
      </c>
      <c r="AE2097">
        <f>RAND()</f>
        <v/>
      </c>
      <c r="AF2097">
        <f>RAND()</f>
        <v/>
      </c>
    </row>
    <row r="2098">
      <c r="M2098" s="14">
        <f>_xlfn.BETA.INV($AA2098,1+4*($D$5-$C$5)/($E$5-$C$5),1+4*($E$5-$D$5)/($E$5-$C$5),$C$5,$E$5)</f>
        <v/>
      </c>
      <c r="N2098" s="14">
        <f>IF($AB2098&lt;($D$6-$C$6)/($E$6-$C$6),$C$6+SQRT($AB2098*($E$6-$C$6)*($D$6-$C$6)),$E$6-SQRT((1-$AB2098)*($E$6-$C$6)*($E$6-$D$6)))</f>
        <v/>
      </c>
      <c r="O2098" s="14">
        <f>_xlfn.NORM.INV($AC2098,$C$7,$D$7)</f>
        <v/>
      </c>
      <c r="P2098" s="14">
        <f>$C$8+($D$8-$C$8)*$AD2098</f>
        <v/>
      </c>
      <c r="Q2098" s="14">
        <f>$C$9</f>
        <v/>
      </c>
      <c r="R2098" s="14">
        <f>_xlfn.LOGNORM.INV($AF2098,LN($C$10)-0.5*LN(1+($D$10/$C$10)^2),SQRT(LN(1+($D$10/$C$10)^2)))</f>
        <v/>
      </c>
      <c r="S2098" s="14">
        <f>SUM(M2098:R2098)</f>
        <v/>
      </c>
      <c r="AA2098">
        <f>RAND()</f>
        <v/>
      </c>
      <c r="AB2098">
        <f>RAND()</f>
        <v/>
      </c>
      <c r="AC2098">
        <f>RAND()</f>
        <v/>
      </c>
      <c r="AD2098">
        <f>RAND()</f>
        <v/>
      </c>
      <c r="AE2098">
        <f>RAND()</f>
        <v/>
      </c>
      <c r="AF2098">
        <f>RAND()</f>
        <v/>
      </c>
    </row>
    <row r="2099">
      <c r="M2099" s="14">
        <f>_xlfn.BETA.INV($AA2099,1+4*($D$5-$C$5)/($E$5-$C$5),1+4*($E$5-$D$5)/($E$5-$C$5),$C$5,$E$5)</f>
        <v/>
      </c>
      <c r="N2099" s="14">
        <f>IF($AB2099&lt;($D$6-$C$6)/($E$6-$C$6),$C$6+SQRT($AB2099*($E$6-$C$6)*($D$6-$C$6)),$E$6-SQRT((1-$AB2099)*($E$6-$C$6)*($E$6-$D$6)))</f>
        <v/>
      </c>
      <c r="O2099" s="14">
        <f>_xlfn.NORM.INV($AC2099,$C$7,$D$7)</f>
        <v/>
      </c>
      <c r="P2099" s="14">
        <f>$C$8+($D$8-$C$8)*$AD2099</f>
        <v/>
      </c>
      <c r="Q2099" s="14">
        <f>$C$9</f>
        <v/>
      </c>
      <c r="R2099" s="14">
        <f>_xlfn.LOGNORM.INV($AF2099,LN($C$10)-0.5*LN(1+($D$10/$C$10)^2),SQRT(LN(1+($D$10/$C$10)^2)))</f>
        <v/>
      </c>
      <c r="S2099" s="14">
        <f>SUM(M2099:R2099)</f>
        <v/>
      </c>
      <c r="AA2099">
        <f>RAND()</f>
        <v/>
      </c>
      <c r="AB2099">
        <f>RAND()</f>
        <v/>
      </c>
      <c r="AC2099">
        <f>RAND()</f>
        <v/>
      </c>
      <c r="AD2099">
        <f>RAND()</f>
        <v/>
      </c>
      <c r="AE2099">
        <f>RAND()</f>
        <v/>
      </c>
      <c r="AF2099">
        <f>RAND()</f>
        <v/>
      </c>
    </row>
    <row r="2100">
      <c r="M2100" s="14">
        <f>_xlfn.BETA.INV($AA2100,1+4*($D$5-$C$5)/($E$5-$C$5),1+4*($E$5-$D$5)/($E$5-$C$5),$C$5,$E$5)</f>
        <v/>
      </c>
      <c r="N2100" s="14">
        <f>IF($AB2100&lt;($D$6-$C$6)/($E$6-$C$6),$C$6+SQRT($AB2100*($E$6-$C$6)*($D$6-$C$6)),$E$6-SQRT((1-$AB2100)*($E$6-$C$6)*($E$6-$D$6)))</f>
        <v/>
      </c>
      <c r="O2100" s="14">
        <f>_xlfn.NORM.INV($AC2100,$C$7,$D$7)</f>
        <v/>
      </c>
      <c r="P2100" s="14">
        <f>$C$8+($D$8-$C$8)*$AD2100</f>
        <v/>
      </c>
      <c r="Q2100" s="14">
        <f>$C$9</f>
        <v/>
      </c>
      <c r="R2100" s="14">
        <f>_xlfn.LOGNORM.INV($AF2100,LN($C$10)-0.5*LN(1+($D$10/$C$10)^2),SQRT(LN(1+($D$10/$C$10)^2)))</f>
        <v/>
      </c>
      <c r="S2100" s="14">
        <f>SUM(M2100:R2100)</f>
        <v/>
      </c>
      <c r="AA2100">
        <f>RAND()</f>
        <v/>
      </c>
      <c r="AB2100">
        <f>RAND()</f>
        <v/>
      </c>
      <c r="AC2100">
        <f>RAND()</f>
        <v/>
      </c>
      <c r="AD2100">
        <f>RAND()</f>
        <v/>
      </c>
      <c r="AE2100">
        <f>RAND()</f>
        <v/>
      </c>
      <c r="AF2100">
        <f>RAND()</f>
        <v/>
      </c>
    </row>
    <row r="2101">
      <c r="M2101" s="14">
        <f>_xlfn.BETA.INV($AA2101,1+4*($D$5-$C$5)/($E$5-$C$5),1+4*($E$5-$D$5)/($E$5-$C$5),$C$5,$E$5)</f>
        <v/>
      </c>
      <c r="N2101" s="14">
        <f>IF($AB2101&lt;($D$6-$C$6)/($E$6-$C$6),$C$6+SQRT($AB2101*($E$6-$C$6)*($D$6-$C$6)),$E$6-SQRT((1-$AB2101)*($E$6-$C$6)*($E$6-$D$6)))</f>
        <v/>
      </c>
      <c r="O2101" s="14">
        <f>_xlfn.NORM.INV($AC2101,$C$7,$D$7)</f>
        <v/>
      </c>
      <c r="P2101" s="14">
        <f>$C$8+($D$8-$C$8)*$AD2101</f>
        <v/>
      </c>
      <c r="Q2101" s="14">
        <f>$C$9</f>
        <v/>
      </c>
      <c r="R2101" s="14">
        <f>_xlfn.LOGNORM.INV($AF2101,LN($C$10)-0.5*LN(1+($D$10/$C$10)^2),SQRT(LN(1+($D$10/$C$10)^2)))</f>
        <v/>
      </c>
      <c r="S2101" s="14">
        <f>SUM(M2101:R2101)</f>
        <v/>
      </c>
      <c r="AA2101">
        <f>RAND()</f>
        <v/>
      </c>
      <c r="AB2101">
        <f>RAND()</f>
        <v/>
      </c>
      <c r="AC2101">
        <f>RAND()</f>
        <v/>
      </c>
      <c r="AD2101">
        <f>RAND()</f>
        <v/>
      </c>
      <c r="AE2101">
        <f>RAND()</f>
        <v/>
      </c>
      <c r="AF2101">
        <f>RAND()</f>
        <v/>
      </c>
    </row>
    <row r="2102">
      <c r="M2102" s="14">
        <f>_xlfn.BETA.INV($AA2102,1+4*($D$5-$C$5)/($E$5-$C$5),1+4*($E$5-$D$5)/($E$5-$C$5),$C$5,$E$5)</f>
        <v/>
      </c>
      <c r="N2102" s="14">
        <f>IF($AB2102&lt;($D$6-$C$6)/($E$6-$C$6),$C$6+SQRT($AB2102*($E$6-$C$6)*($D$6-$C$6)),$E$6-SQRT((1-$AB2102)*($E$6-$C$6)*($E$6-$D$6)))</f>
        <v/>
      </c>
      <c r="O2102" s="14">
        <f>_xlfn.NORM.INV($AC2102,$C$7,$D$7)</f>
        <v/>
      </c>
      <c r="P2102" s="14">
        <f>$C$8+($D$8-$C$8)*$AD2102</f>
        <v/>
      </c>
      <c r="Q2102" s="14">
        <f>$C$9</f>
        <v/>
      </c>
      <c r="R2102" s="14">
        <f>_xlfn.LOGNORM.INV($AF2102,LN($C$10)-0.5*LN(1+($D$10/$C$10)^2),SQRT(LN(1+($D$10/$C$10)^2)))</f>
        <v/>
      </c>
      <c r="S2102" s="14">
        <f>SUM(M2102:R2102)</f>
        <v/>
      </c>
      <c r="AA2102">
        <f>RAND()</f>
        <v/>
      </c>
      <c r="AB2102">
        <f>RAND()</f>
        <v/>
      </c>
      <c r="AC2102">
        <f>RAND()</f>
        <v/>
      </c>
      <c r="AD2102">
        <f>RAND()</f>
        <v/>
      </c>
      <c r="AE2102">
        <f>RAND()</f>
        <v/>
      </c>
      <c r="AF2102">
        <f>RAND()</f>
        <v/>
      </c>
    </row>
    <row r="2103">
      <c r="M2103" s="14">
        <f>_xlfn.BETA.INV($AA2103,1+4*($D$5-$C$5)/($E$5-$C$5),1+4*($E$5-$D$5)/($E$5-$C$5),$C$5,$E$5)</f>
        <v/>
      </c>
      <c r="N2103" s="14">
        <f>IF($AB2103&lt;($D$6-$C$6)/($E$6-$C$6),$C$6+SQRT($AB2103*($E$6-$C$6)*($D$6-$C$6)),$E$6-SQRT((1-$AB2103)*($E$6-$C$6)*($E$6-$D$6)))</f>
        <v/>
      </c>
      <c r="O2103" s="14">
        <f>_xlfn.NORM.INV($AC2103,$C$7,$D$7)</f>
        <v/>
      </c>
      <c r="P2103" s="14">
        <f>$C$8+($D$8-$C$8)*$AD2103</f>
        <v/>
      </c>
      <c r="Q2103" s="14">
        <f>$C$9</f>
        <v/>
      </c>
      <c r="R2103" s="14">
        <f>_xlfn.LOGNORM.INV($AF2103,LN($C$10)-0.5*LN(1+($D$10/$C$10)^2),SQRT(LN(1+($D$10/$C$10)^2)))</f>
        <v/>
      </c>
      <c r="S2103" s="14">
        <f>SUM(M2103:R2103)</f>
        <v/>
      </c>
      <c r="AA2103">
        <f>RAND()</f>
        <v/>
      </c>
      <c r="AB2103">
        <f>RAND()</f>
        <v/>
      </c>
      <c r="AC2103">
        <f>RAND()</f>
        <v/>
      </c>
      <c r="AD2103">
        <f>RAND()</f>
        <v/>
      </c>
      <c r="AE2103">
        <f>RAND()</f>
        <v/>
      </c>
      <c r="AF2103">
        <f>RAND()</f>
        <v/>
      </c>
    </row>
    <row r="2104">
      <c r="M2104" s="14">
        <f>_xlfn.BETA.INV($AA2104,1+4*($D$5-$C$5)/($E$5-$C$5),1+4*($E$5-$D$5)/($E$5-$C$5),$C$5,$E$5)</f>
        <v/>
      </c>
      <c r="N2104" s="14">
        <f>IF($AB2104&lt;($D$6-$C$6)/($E$6-$C$6),$C$6+SQRT($AB2104*($E$6-$C$6)*($D$6-$C$6)),$E$6-SQRT((1-$AB2104)*($E$6-$C$6)*($E$6-$D$6)))</f>
        <v/>
      </c>
      <c r="O2104" s="14">
        <f>_xlfn.NORM.INV($AC2104,$C$7,$D$7)</f>
        <v/>
      </c>
      <c r="P2104" s="14">
        <f>$C$8+($D$8-$C$8)*$AD2104</f>
        <v/>
      </c>
      <c r="Q2104" s="14">
        <f>$C$9</f>
        <v/>
      </c>
      <c r="R2104" s="14">
        <f>_xlfn.LOGNORM.INV($AF2104,LN($C$10)-0.5*LN(1+($D$10/$C$10)^2),SQRT(LN(1+($D$10/$C$10)^2)))</f>
        <v/>
      </c>
      <c r="S2104" s="14">
        <f>SUM(M2104:R2104)</f>
        <v/>
      </c>
      <c r="AA2104">
        <f>RAND()</f>
        <v/>
      </c>
      <c r="AB2104">
        <f>RAND()</f>
        <v/>
      </c>
      <c r="AC2104">
        <f>RAND()</f>
        <v/>
      </c>
      <c r="AD2104">
        <f>RAND()</f>
        <v/>
      </c>
      <c r="AE2104">
        <f>RAND()</f>
        <v/>
      </c>
      <c r="AF2104">
        <f>RAND()</f>
        <v/>
      </c>
    </row>
    <row r="2105">
      <c r="M2105" s="14">
        <f>_xlfn.BETA.INV($AA2105,1+4*($D$5-$C$5)/($E$5-$C$5),1+4*($E$5-$D$5)/($E$5-$C$5),$C$5,$E$5)</f>
        <v/>
      </c>
      <c r="N2105" s="14">
        <f>IF($AB2105&lt;($D$6-$C$6)/($E$6-$C$6),$C$6+SQRT($AB2105*($E$6-$C$6)*($D$6-$C$6)),$E$6-SQRT((1-$AB2105)*($E$6-$C$6)*($E$6-$D$6)))</f>
        <v/>
      </c>
      <c r="O2105" s="14">
        <f>_xlfn.NORM.INV($AC2105,$C$7,$D$7)</f>
        <v/>
      </c>
      <c r="P2105" s="14">
        <f>$C$8+($D$8-$C$8)*$AD2105</f>
        <v/>
      </c>
      <c r="Q2105" s="14">
        <f>$C$9</f>
        <v/>
      </c>
      <c r="R2105" s="14">
        <f>_xlfn.LOGNORM.INV($AF2105,LN($C$10)-0.5*LN(1+($D$10/$C$10)^2),SQRT(LN(1+($D$10/$C$10)^2)))</f>
        <v/>
      </c>
      <c r="S2105" s="14">
        <f>SUM(M2105:R2105)</f>
        <v/>
      </c>
      <c r="AA2105">
        <f>RAND()</f>
        <v/>
      </c>
      <c r="AB2105">
        <f>RAND()</f>
        <v/>
      </c>
      <c r="AC2105">
        <f>RAND()</f>
        <v/>
      </c>
      <c r="AD2105">
        <f>RAND()</f>
        <v/>
      </c>
      <c r="AE2105">
        <f>RAND()</f>
        <v/>
      </c>
      <c r="AF2105">
        <f>RAND()</f>
        <v/>
      </c>
    </row>
    <row r="2106">
      <c r="M2106" s="14">
        <f>_xlfn.BETA.INV($AA2106,1+4*($D$5-$C$5)/($E$5-$C$5),1+4*($E$5-$D$5)/($E$5-$C$5),$C$5,$E$5)</f>
        <v/>
      </c>
      <c r="N2106" s="14">
        <f>IF($AB2106&lt;($D$6-$C$6)/($E$6-$C$6),$C$6+SQRT($AB2106*($E$6-$C$6)*($D$6-$C$6)),$E$6-SQRT((1-$AB2106)*($E$6-$C$6)*($E$6-$D$6)))</f>
        <v/>
      </c>
      <c r="O2106" s="14">
        <f>_xlfn.NORM.INV($AC2106,$C$7,$D$7)</f>
        <v/>
      </c>
      <c r="P2106" s="14">
        <f>$C$8+($D$8-$C$8)*$AD2106</f>
        <v/>
      </c>
      <c r="Q2106" s="14">
        <f>$C$9</f>
        <v/>
      </c>
      <c r="R2106" s="14">
        <f>_xlfn.LOGNORM.INV($AF2106,LN($C$10)-0.5*LN(1+($D$10/$C$10)^2),SQRT(LN(1+($D$10/$C$10)^2)))</f>
        <v/>
      </c>
      <c r="S2106" s="14">
        <f>SUM(M2106:R2106)</f>
        <v/>
      </c>
      <c r="AA2106">
        <f>RAND()</f>
        <v/>
      </c>
      <c r="AB2106">
        <f>RAND()</f>
        <v/>
      </c>
      <c r="AC2106">
        <f>RAND()</f>
        <v/>
      </c>
      <c r="AD2106">
        <f>RAND()</f>
        <v/>
      </c>
      <c r="AE2106">
        <f>RAND()</f>
        <v/>
      </c>
      <c r="AF2106">
        <f>RAND()</f>
        <v/>
      </c>
    </row>
    <row r="2107">
      <c r="M2107" s="14">
        <f>_xlfn.BETA.INV($AA2107,1+4*($D$5-$C$5)/($E$5-$C$5),1+4*($E$5-$D$5)/($E$5-$C$5),$C$5,$E$5)</f>
        <v/>
      </c>
      <c r="N2107" s="14">
        <f>IF($AB2107&lt;($D$6-$C$6)/($E$6-$C$6),$C$6+SQRT($AB2107*($E$6-$C$6)*($D$6-$C$6)),$E$6-SQRT((1-$AB2107)*($E$6-$C$6)*($E$6-$D$6)))</f>
        <v/>
      </c>
      <c r="O2107" s="14">
        <f>_xlfn.NORM.INV($AC2107,$C$7,$D$7)</f>
        <v/>
      </c>
      <c r="P2107" s="14">
        <f>$C$8+($D$8-$C$8)*$AD2107</f>
        <v/>
      </c>
      <c r="Q2107" s="14">
        <f>$C$9</f>
        <v/>
      </c>
      <c r="R2107" s="14">
        <f>_xlfn.LOGNORM.INV($AF2107,LN($C$10)-0.5*LN(1+($D$10/$C$10)^2),SQRT(LN(1+($D$10/$C$10)^2)))</f>
        <v/>
      </c>
      <c r="S2107" s="14">
        <f>SUM(M2107:R2107)</f>
        <v/>
      </c>
      <c r="AA2107">
        <f>RAND()</f>
        <v/>
      </c>
      <c r="AB2107">
        <f>RAND()</f>
        <v/>
      </c>
      <c r="AC2107">
        <f>RAND()</f>
        <v/>
      </c>
      <c r="AD2107">
        <f>RAND()</f>
        <v/>
      </c>
      <c r="AE2107">
        <f>RAND()</f>
        <v/>
      </c>
      <c r="AF2107">
        <f>RAND()</f>
        <v/>
      </c>
    </row>
    <row r="2108">
      <c r="M2108" s="14">
        <f>_xlfn.BETA.INV($AA2108,1+4*($D$5-$C$5)/($E$5-$C$5),1+4*($E$5-$D$5)/($E$5-$C$5),$C$5,$E$5)</f>
        <v/>
      </c>
      <c r="N2108" s="14">
        <f>IF($AB2108&lt;($D$6-$C$6)/($E$6-$C$6),$C$6+SQRT($AB2108*($E$6-$C$6)*($D$6-$C$6)),$E$6-SQRT((1-$AB2108)*($E$6-$C$6)*($E$6-$D$6)))</f>
        <v/>
      </c>
      <c r="O2108" s="14">
        <f>_xlfn.NORM.INV($AC2108,$C$7,$D$7)</f>
        <v/>
      </c>
      <c r="P2108" s="14">
        <f>$C$8+($D$8-$C$8)*$AD2108</f>
        <v/>
      </c>
      <c r="Q2108" s="14">
        <f>$C$9</f>
        <v/>
      </c>
      <c r="R2108" s="14">
        <f>_xlfn.LOGNORM.INV($AF2108,LN($C$10)-0.5*LN(1+($D$10/$C$10)^2),SQRT(LN(1+($D$10/$C$10)^2)))</f>
        <v/>
      </c>
      <c r="S2108" s="14">
        <f>SUM(M2108:R2108)</f>
        <v/>
      </c>
      <c r="AA2108">
        <f>RAND()</f>
        <v/>
      </c>
      <c r="AB2108">
        <f>RAND()</f>
        <v/>
      </c>
      <c r="AC2108">
        <f>RAND()</f>
        <v/>
      </c>
      <c r="AD2108">
        <f>RAND()</f>
        <v/>
      </c>
      <c r="AE2108">
        <f>RAND()</f>
        <v/>
      </c>
      <c r="AF2108">
        <f>RAND()</f>
        <v/>
      </c>
    </row>
    <row r="2109">
      <c r="M2109" s="14">
        <f>_xlfn.BETA.INV($AA2109,1+4*($D$5-$C$5)/($E$5-$C$5),1+4*($E$5-$D$5)/($E$5-$C$5),$C$5,$E$5)</f>
        <v/>
      </c>
      <c r="N2109" s="14">
        <f>IF($AB2109&lt;($D$6-$C$6)/($E$6-$C$6),$C$6+SQRT($AB2109*($E$6-$C$6)*($D$6-$C$6)),$E$6-SQRT((1-$AB2109)*($E$6-$C$6)*($E$6-$D$6)))</f>
        <v/>
      </c>
      <c r="O2109" s="14">
        <f>_xlfn.NORM.INV($AC2109,$C$7,$D$7)</f>
        <v/>
      </c>
      <c r="P2109" s="14">
        <f>$C$8+($D$8-$C$8)*$AD2109</f>
        <v/>
      </c>
      <c r="Q2109" s="14">
        <f>$C$9</f>
        <v/>
      </c>
      <c r="R2109" s="14">
        <f>_xlfn.LOGNORM.INV($AF2109,LN($C$10)-0.5*LN(1+($D$10/$C$10)^2),SQRT(LN(1+($D$10/$C$10)^2)))</f>
        <v/>
      </c>
      <c r="S2109" s="14">
        <f>SUM(M2109:R2109)</f>
        <v/>
      </c>
      <c r="AA2109">
        <f>RAND()</f>
        <v/>
      </c>
      <c r="AB2109">
        <f>RAND()</f>
        <v/>
      </c>
      <c r="AC2109">
        <f>RAND()</f>
        <v/>
      </c>
      <c r="AD2109">
        <f>RAND()</f>
        <v/>
      </c>
      <c r="AE2109">
        <f>RAND()</f>
        <v/>
      </c>
      <c r="AF2109">
        <f>RAND()</f>
        <v/>
      </c>
    </row>
    <row r="2110">
      <c r="M2110" s="14">
        <f>_xlfn.BETA.INV($AA2110,1+4*($D$5-$C$5)/($E$5-$C$5),1+4*($E$5-$D$5)/($E$5-$C$5),$C$5,$E$5)</f>
        <v/>
      </c>
      <c r="N2110" s="14">
        <f>IF($AB2110&lt;($D$6-$C$6)/($E$6-$C$6),$C$6+SQRT($AB2110*($E$6-$C$6)*($D$6-$C$6)),$E$6-SQRT((1-$AB2110)*($E$6-$C$6)*($E$6-$D$6)))</f>
        <v/>
      </c>
      <c r="O2110" s="14">
        <f>_xlfn.NORM.INV($AC2110,$C$7,$D$7)</f>
        <v/>
      </c>
      <c r="P2110" s="14">
        <f>$C$8+($D$8-$C$8)*$AD2110</f>
        <v/>
      </c>
      <c r="Q2110" s="14">
        <f>$C$9</f>
        <v/>
      </c>
      <c r="R2110" s="14">
        <f>_xlfn.LOGNORM.INV($AF2110,LN($C$10)-0.5*LN(1+($D$10/$C$10)^2),SQRT(LN(1+($D$10/$C$10)^2)))</f>
        <v/>
      </c>
      <c r="S2110" s="14">
        <f>SUM(M2110:R2110)</f>
        <v/>
      </c>
      <c r="AA2110">
        <f>RAND()</f>
        <v/>
      </c>
      <c r="AB2110">
        <f>RAND()</f>
        <v/>
      </c>
      <c r="AC2110">
        <f>RAND()</f>
        <v/>
      </c>
      <c r="AD2110">
        <f>RAND()</f>
        <v/>
      </c>
      <c r="AE2110">
        <f>RAND()</f>
        <v/>
      </c>
      <c r="AF2110">
        <f>RAND()</f>
        <v/>
      </c>
    </row>
    <row r="2111">
      <c r="M2111" s="14">
        <f>_xlfn.BETA.INV($AA2111,1+4*($D$5-$C$5)/($E$5-$C$5),1+4*($E$5-$D$5)/($E$5-$C$5),$C$5,$E$5)</f>
        <v/>
      </c>
      <c r="N2111" s="14">
        <f>IF($AB2111&lt;($D$6-$C$6)/($E$6-$C$6),$C$6+SQRT($AB2111*($E$6-$C$6)*($D$6-$C$6)),$E$6-SQRT((1-$AB2111)*($E$6-$C$6)*($E$6-$D$6)))</f>
        <v/>
      </c>
      <c r="O2111" s="14">
        <f>_xlfn.NORM.INV($AC2111,$C$7,$D$7)</f>
        <v/>
      </c>
      <c r="P2111" s="14">
        <f>$C$8+($D$8-$C$8)*$AD2111</f>
        <v/>
      </c>
      <c r="Q2111" s="14">
        <f>$C$9</f>
        <v/>
      </c>
      <c r="R2111" s="14">
        <f>_xlfn.LOGNORM.INV($AF2111,LN($C$10)-0.5*LN(1+($D$10/$C$10)^2),SQRT(LN(1+($D$10/$C$10)^2)))</f>
        <v/>
      </c>
      <c r="S2111" s="14">
        <f>SUM(M2111:R2111)</f>
        <v/>
      </c>
      <c r="AA2111">
        <f>RAND()</f>
        <v/>
      </c>
      <c r="AB2111">
        <f>RAND()</f>
        <v/>
      </c>
      <c r="AC2111">
        <f>RAND()</f>
        <v/>
      </c>
      <c r="AD2111">
        <f>RAND()</f>
        <v/>
      </c>
      <c r="AE2111">
        <f>RAND()</f>
        <v/>
      </c>
      <c r="AF2111">
        <f>RAND()</f>
        <v/>
      </c>
    </row>
    <row r="2112">
      <c r="M2112" s="14">
        <f>_xlfn.BETA.INV($AA2112,1+4*($D$5-$C$5)/($E$5-$C$5),1+4*($E$5-$D$5)/($E$5-$C$5),$C$5,$E$5)</f>
        <v/>
      </c>
      <c r="N2112" s="14">
        <f>IF($AB2112&lt;($D$6-$C$6)/($E$6-$C$6),$C$6+SQRT($AB2112*($E$6-$C$6)*($D$6-$C$6)),$E$6-SQRT((1-$AB2112)*($E$6-$C$6)*($E$6-$D$6)))</f>
        <v/>
      </c>
      <c r="O2112" s="14">
        <f>_xlfn.NORM.INV($AC2112,$C$7,$D$7)</f>
        <v/>
      </c>
      <c r="P2112" s="14">
        <f>$C$8+($D$8-$C$8)*$AD2112</f>
        <v/>
      </c>
      <c r="Q2112" s="14">
        <f>$C$9</f>
        <v/>
      </c>
      <c r="R2112" s="14">
        <f>_xlfn.LOGNORM.INV($AF2112,LN($C$10)-0.5*LN(1+($D$10/$C$10)^2),SQRT(LN(1+($D$10/$C$10)^2)))</f>
        <v/>
      </c>
      <c r="S2112" s="14">
        <f>SUM(M2112:R2112)</f>
        <v/>
      </c>
      <c r="AA2112">
        <f>RAND()</f>
        <v/>
      </c>
      <c r="AB2112">
        <f>RAND()</f>
        <v/>
      </c>
      <c r="AC2112">
        <f>RAND()</f>
        <v/>
      </c>
      <c r="AD2112">
        <f>RAND()</f>
        <v/>
      </c>
      <c r="AE2112">
        <f>RAND()</f>
        <v/>
      </c>
      <c r="AF2112">
        <f>RAND()</f>
        <v/>
      </c>
    </row>
    <row r="2113">
      <c r="M2113" s="14">
        <f>_xlfn.BETA.INV($AA2113,1+4*($D$5-$C$5)/($E$5-$C$5),1+4*($E$5-$D$5)/($E$5-$C$5),$C$5,$E$5)</f>
        <v/>
      </c>
      <c r="N2113" s="14">
        <f>IF($AB2113&lt;($D$6-$C$6)/($E$6-$C$6),$C$6+SQRT($AB2113*($E$6-$C$6)*($D$6-$C$6)),$E$6-SQRT((1-$AB2113)*($E$6-$C$6)*($E$6-$D$6)))</f>
        <v/>
      </c>
      <c r="O2113" s="14">
        <f>_xlfn.NORM.INV($AC2113,$C$7,$D$7)</f>
        <v/>
      </c>
      <c r="P2113" s="14">
        <f>$C$8+($D$8-$C$8)*$AD2113</f>
        <v/>
      </c>
      <c r="Q2113" s="14">
        <f>$C$9</f>
        <v/>
      </c>
      <c r="R2113" s="14">
        <f>_xlfn.LOGNORM.INV($AF2113,LN($C$10)-0.5*LN(1+($D$10/$C$10)^2),SQRT(LN(1+($D$10/$C$10)^2)))</f>
        <v/>
      </c>
      <c r="S2113" s="14">
        <f>SUM(M2113:R2113)</f>
        <v/>
      </c>
      <c r="AA2113">
        <f>RAND()</f>
        <v/>
      </c>
      <c r="AB2113">
        <f>RAND()</f>
        <v/>
      </c>
      <c r="AC2113">
        <f>RAND()</f>
        <v/>
      </c>
      <c r="AD2113">
        <f>RAND()</f>
        <v/>
      </c>
      <c r="AE2113">
        <f>RAND()</f>
        <v/>
      </c>
      <c r="AF2113">
        <f>RAND()</f>
        <v/>
      </c>
    </row>
    <row r="2114">
      <c r="M2114" s="14">
        <f>_xlfn.BETA.INV($AA2114,1+4*($D$5-$C$5)/($E$5-$C$5),1+4*($E$5-$D$5)/($E$5-$C$5),$C$5,$E$5)</f>
        <v/>
      </c>
      <c r="N2114" s="14">
        <f>IF($AB2114&lt;($D$6-$C$6)/($E$6-$C$6),$C$6+SQRT($AB2114*($E$6-$C$6)*($D$6-$C$6)),$E$6-SQRT((1-$AB2114)*($E$6-$C$6)*($E$6-$D$6)))</f>
        <v/>
      </c>
      <c r="O2114" s="14">
        <f>_xlfn.NORM.INV($AC2114,$C$7,$D$7)</f>
        <v/>
      </c>
      <c r="P2114" s="14">
        <f>$C$8+($D$8-$C$8)*$AD2114</f>
        <v/>
      </c>
      <c r="Q2114" s="14">
        <f>$C$9</f>
        <v/>
      </c>
      <c r="R2114" s="14">
        <f>_xlfn.LOGNORM.INV($AF2114,LN($C$10)-0.5*LN(1+($D$10/$C$10)^2),SQRT(LN(1+($D$10/$C$10)^2)))</f>
        <v/>
      </c>
      <c r="S2114" s="14">
        <f>SUM(M2114:R2114)</f>
        <v/>
      </c>
      <c r="AA2114">
        <f>RAND()</f>
        <v/>
      </c>
      <c r="AB2114">
        <f>RAND()</f>
        <v/>
      </c>
      <c r="AC2114">
        <f>RAND()</f>
        <v/>
      </c>
      <c r="AD2114">
        <f>RAND()</f>
        <v/>
      </c>
      <c r="AE2114">
        <f>RAND()</f>
        <v/>
      </c>
      <c r="AF2114">
        <f>RAND()</f>
        <v/>
      </c>
    </row>
    <row r="2115">
      <c r="M2115" s="14">
        <f>_xlfn.BETA.INV($AA2115,1+4*($D$5-$C$5)/($E$5-$C$5),1+4*($E$5-$D$5)/($E$5-$C$5),$C$5,$E$5)</f>
        <v/>
      </c>
      <c r="N2115" s="14">
        <f>IF($AB2115&lt;($D$6-$C$6)/($E$6-$C$6),$C$6+SQRT($AB2115*($E$6-$C$6)*($D$6-$C$6)),$E$6-SQRT((1-$AB2115)*($E$6-$C$6)*($E$6-$D$6)))</f>
        <v/>
      </c>
      <c r="O2115" s="14">
        <f>_xlfn.NORM.INV($AC2115,$C$7,$D$7)</f>
        <v/>
      </c>
      <c r="P2115" s="14">
        <f>$C$8+($D$8-$C$8)*$AD2115</f>
        <v/>
      </c>
      <c r="Q2115" s="14">
        <f>$C$9</f>
        <v/>
      </c>
      <c r="R2115" s="14">
        <f>_xlfn.LOGNORM.INV($AF2115,LN($C$10)-0.5*LN(1+($D$10/$C$10)^2),SQRT(LN(1+($D$10/$C$10)^2)))</f>
        <v/>
      </c>
      <c r="S2115" s="14">
        <f>SUM(M2115:R2115)</f>
        <v/>
      </c>
      <c r="AA2115">
        <f>RAND()</f>
        <v/>
      </c>
      <c r="AB2115">
        <f>RAND()</f>
        <v/>
      </c>
      <c r="AC2115">
        <f>RAND()</f>
        <v/>
      </c>
      <c r="AD2115">
        <f>RAND()</f>
        <v/>
      </c>
      <c r="AE2115">
        <f>RAND()</f>
        <v/>
      </c>
      <c r="AF2115">
        <f>RAND()</f>
        <v/>
      </c>
    </row>
    <row r="2116">
      <c r="M2116" s="14">
        <f>_xlfn.BETA.INV($AA2116,1+4*($D$5-$C$5)/($E$5-$C$5),1+4*($E$5-$D$5)/($E$5-$C$5),$C$5,$E$5)</f>
        <v/>
      </c>
      <c r="N2116" s="14">
        <f>IF($AB2116&lt;($D$6-$C$6)/($E$6-$C$6),$C$6+SQRT($AB2116*($E$6-$C$6)*($D$6-$C$6)),$E$6-SQRT((1-$AB2116)*($E$6-$C$6)*($E$6-$D$6)))</f>
        <v/>
      </c>
      <c r="O2116" s="14">
        <f>_xlfn.NORM.INV($AC2116,$C$7,$D$7)</f>
        <v/>
      </c>
      <c r="P2116" s="14">
        <f>$C$8+($D$8-$C$8)*$AD2116</f>
        <v/>
      </c>
      <c r="Q2116" s="14">
        <f>$C$9</f>
        <v/>
      </c>
      <c r="R2116" s="14">
        <f>_xlfn.LOGNORM.INV($AF2116,LN($C$10)-0.5*LN(1+($D$10/$C$10)^2),SQRT(LN(1+($D$10/$C$10)^2)))</f>
        <v/>
      </c>
      <c r="S2116" s="14">
        <f>SUM(M2116:R2116)</f>
        <v/>
      </c>
      <c r="AA2116">
        <f>RAND()</f>
        <v/>
      </c>
      <c r="AB2116">
        <f>RAND()</f>
        <v/>
      </c>
      <c r="AC2116">
        <f>RAND()</f>
        <v/>
      </c>
      <c r="AD2116">
        <f>RAND()</f>
        <v/>
      </c>
      <c r="AE2116">
        <f>RAND()</f>
        <v/>
      </c>
      <c r="AF2116">
        <f>RAND()</f>
        <v/>
      </c>
    </row>
    <row r="2117">
      <c r="M2117" s="14">
        <f>_xlfn.BETA.INV($AA2117,1+4*($D$5-$C$5)/($E$5-$C$5),1+4*($E$5-$D$5)/($E$5-$C$5),$C$5,$E$5)</f>
        <v/>
      </c>
      <c r="N2117" s="14">
        <f>IF($AB2117&lt;($D$6-$C$6)/($E$6-$C$6),$C$6+SQRT($AB2117*($E$6-$C$6)*($D$6-$C$6)),$E$6-SQRT((1-$AB2117)*($E$6-$C$6)*($E$6-$D$6)))</f>
        <v/>
      </c>
      <c r="O2117" s="14">
        <f>_xlfn.NORM.INV($AC2117,$C$7,$D$7)</f>
        <v/>
      </c>
      <c r="P2117" s="14">
        <f>$C$8+($D$8-$C$8)*$AD2117</f>
        <v/>
      </c>
      <c r="Q2117" s="14">
        <f>$C$9</f>
        <v/>
      </c>
      <c r="R2117" s="14">
        <f>_xlfn.LOGNORM.INV($AF2117,LN($C$10)-0.5*LN(1+($D$10/$C$10)^2),SQRT(LN(1+($D$10/$C$10)^2)))</f>
        <v/>
      </c>
      <c r="S2117" s="14">
        <f>SUM(M2117:R2117)</f>
        <v/>
      </c>
      <c r="AA2117">
        <f>RAND()</f>
        <v/>
      </c>
      <c r="AB2117">
        <f>RAND()</f>
        <v/>
      </c>
      <c r="AC2117">
        <f>RAND()</f>
        <v/>
      </c>
      <c r="AD2117">
        <f>RAND()</f>
        <v/>
      </c>
      <c r="AE2117">
        <f>RAND()</f>
        <v/>
      </c>
      <c r="AF2117">
        <f>RAND()</f>
        <v/>
      </c>
    </row>
    <row r="2118">
      <c r="M2118" s="14">
        <f>_xlfn.BETA.INV($AA2118,1+4*($D$5-$C$5)/($E$5-$C$5),1+4*($E$5-$D$5)/($E$5-$C$5),$C$5,$E$5)</f>
        <v/>
      </c>
      <c r="N2118" s="14">
        <f>IF($AB2118&lt;($D$6-$C$6)/($E$6-$C$6),$C$6+SQRT($AB2118*($E$6-$C$6)*($D$6-$C$6)),$E$6-SQRT((1-$AB2118)*($E$6-$C$6)*($E$6-$D$6)))</f>
        <v/>
      </c>
      <c r="O2118" s="14">
        <f>_xlfn.NORM.INV($AC2118,$C$7,$D$7)</f>
        <v/>
      </c>
      <c r="P2118" s="14">
        <f>$C$8+($D$8-$C$8)*$AD2118</f>
        <v/>
      </c>
      <c r="Q2118" s="14">
        <f>$C$9</f>
        <v/>
      </c>
      <c r="R2118" s="14">
        <f>_xlfn.LOGNORM.INV($AF2118,LN($C$10)-0.5*LN(1+($D$10/$C$10)^2),SQRT(LN(1+($D$10/$C$10)^2)))</f>
        <v/>
      </c>
      <c r="S2118" s="14">
        <f>SUM(M2118:R2118)</f>
        <v/>
      </c>
      <c r="AA2118">
        <f>RAND()</f>
        <v/>
      </c>
      <c r="AB2118">
        <f>RAND()</f>
        <v/>
      </c>
      <c r="AC2118">
        <f>RAND()</f>
        <v/>
      </c>
      <c r="AD2118">
        <f>RAND()</f>
        <v/>
      </c>
      <c r="AE2118">
        <f>RAND()</f>
        <v/>
      </c>
      <c r="AF2118">
        <f>RAND()</f>
        <v/>
      </c>
    </row>
    <row r="2119">
      <c r="M2119" s="14">
        <f>_xlfn.BETA.INV($AA2119,1+4*($D$5-$C$5)/($E$5-$C$5),1+4*($E$5-$D$5)/($E$5-$C$5),$C$5,$E$5)</f>
        <v/>
      </c>
      <c r="N2119" s="14">
        <f>IF($AB2119&lt;($D$6-$C$6)/($E$6-$C$6),$C$6+SQRT($AB2119*($E$6-$C$6)*($D$6-$C$6)),$E$6-SQRT((1-$AB2119)*($E$6-$C$6)*($E$6-$D$6)))</f>
        <v/>
      </c>
      <c r="O2119" s="14">
        <f>_xlfn.NORM.INV($AC2119,$C$7,$D$7)</f>
        <v/>
      </c>
      <c r="P2119" s="14">
        <f>$C$8+($D$8-$C$8)*$AD2119</f>
        <v/>
      </c>
      <c r="Q2119" s="14">
        <f>$C$9</f>
        <v/>
      </c>
      <c r="R2119" s="14">
        <f>_xlfn.LOGNORM.INV($AF2119,LN($C$10)-0.5*LN(1+($D$10/$C$10)^2),SQRT(LN(1+($D$10/$C$10)^2)))</f>
        <v/>
      </c>
      <c r="S2119" s="14">
        <f>SUM(M2119:R2119)</f>
        <v/>
      </c>
      <c r="AA2119">
        <f>RAND()</f>
        <v/>
      </c>
      <c r="AB2119">
        <f>RAND()</f>
        <v/>
      </c>
      <c r="AC2119">
        <f>RAND()</f>
        <v/>
      </c>
      <c r="AD2119">
        <f>RAND()</f>
        <v/>
      </c>
      <c r="AE2119">
        <f>RAND()</f>
        <v/>
      </c>
      <c r="AF2119">
        <f>RAND()</f>
        <v/>
      </c>
    </row>
    <row r="2120">
      <c r="M2120" s="14">
        <f>_xlfn.BETA.INV($AA2120,1+4*($D$5-$C$5)/($E$5-$C$5),1+4*($E$5-$D$5)/($E$5-$C$5),$C$5,$E$5)</f>
        <v/>
      </c>
      <c r="N2120" s="14">
        <f>IF($AB2120&lt;($D$6-$C$6)/($E$6-$C$6),$C$6+SQRT($AB2120*($E$6-$C$6)*($D$6-$C$6)),$E$6-SQRT((1-$AB2120)*($E$6-$C$6)*($E$6-$D$6)))</f>
        <v/>
      </c>
      <c r="O2120" s="14">
        <f>_xlfn.NORM.INV($AC2120,$C$7,$D$7)</f>
        <v/>
      </c>
      <c r="P2120" s="14">
        <f>$C$8+($D$8-$C$8)*$AD2120</f>
        <v/>
      </c>
      <c r="Q2120" s="14">
        <f>$C$9</f>
        <v/>
      </c>
      <c r="R2120" s="14">
        <f>_xlfn.LOGNORM.INV($AF2120,LN($C$10)-0.5*LN(1+($D$10/$C$10)^2),SQRT(LN(1+($D$10/$C$10)^2)))</f>
        <v/>
      </c>
      <c r="S2120" s="14">
        <f>SUM(M2120:R2120)</f>
        <v/>
      </c>
      <c r="AA2120">
        <f>RAND()</f>
        <v/>
      </c>
      <c r="AB2120">
        <f>RAND()</f>
        <v/>
      </c>
      <c r="AC2120">
        <f>RAND()</f>
        <v/>
      </c>
      <c r="AD2120">
        <f>RAND()</f>
        <v/>
      </c>
      <c r="AE2120">
        <f>RAND()</f>
        <v/>
      </c>
      <c r="AF2120">
        <f>RAND()</f>
        <v/>
      </c>
    </row>
    <row r="2121">
      <c r="M2121" s="14">
        <f>_xlfn.BETA.INV($AA2121,1+4*($D$5-$C$5)/($E$5-$C$5),1+4*($E$5-$D$5)/($E$5-$C$5),$C$5,$E$5)</f>
        <v/>
      </c>
      <c r="N2121" s="14">
        <f>IF($AB2121&lt;($D$6-$C$6)/($E$6-$C$6),$C$6+SQRT($AB2121*($E$6-$C$6)*($D$6-$C$6)),$E$6-SQRT((1-$AB2121)*($E$6-$C$6)*($E$6-$D$6)))</f>
        <v/>
      </c>
      <c r="O2121" s="14">
        <f>_xlfn.NORM.INV($AC2121,$C$7,$D$7)</f>
        <v/>
      </c>
      <c r="P2121" s="14">
        <f>$C$8+($D$8-$C$8)*$AD2121</f>
        <v/>
      </c>
      <c r="Q2121" s="14">
        <f>$C$9</f>
        <v/>
      </c>
      <c r="R2121" s="14">
        <f>_xlfn.LOGNORM.INV($AF2121,LN($C$10)-0.5*LN(1+($D$10/$C$10)^2),SQRT(LN(1+($D$10/$C$10)^2)))</f>
        <v/>
      </c>
      <c r="S2121" s="14">
        <f>SUM(M2121:R2121)</f>
        <v/>
      </c>
      <c r="AA2121">
        <f>RAND()</f>
        <v/>
      </c>
      <c r="AB2121">
        <f>RAND()</f>
        <v/>
      </c>
      <c r="AC2121">
        <f>RAND()</f>
        <v/>
      </c>
      <c r="AD2121">
        <f>RAND()</f>
        <v/>
      </c>
      <c r="AE2121">
        <f>RAND()</f>
        <v/>
      </c>
      <c r="AF2121">
        <f>RAND()</f>
        <v/>
      </c>
    </row>
    <row r="2122">
      <c r="M2122" s="14">
        <f>_xlfn.BETA.INV($AA2122,1+4*($D$5-$C$5)/($E$5-$C$5),1+4*($E$5-$D$5)/($E$5-$C$5),$C$5,$E$5)</f>
        <v/>
      </c>
      <c r="N2122" s="14">
        <f>IF($AB2122&lt;($D$6-$C$6)/($E$6-$C$6),$C$6+SQRT($AB2122*($E$6-$C$6)*($D$6-$C$6)),$E$6-SQRT((1-$AB2122)*($E$6-$C$6)*($E$6-$D$6)))</f>
        <v/>
      </c>
      <c r="O2122" s="14">
        <f>_xlfn.NORM.INV($AC2122,$C$7,$D$7)</f>
        <v/>
      </c>
      <c r="P2122" s="14">
        <f>$C$8+($D$8-$C$8)*$AD2122</f>
        <v/>
      </c>
      <c r="Q2122" s="14">
        <f>$C$9</f>
        <v/>
      </c>
      <c r="R2122" s="14">
        <f>_xlfn.LOGNORM.INV($AF2122,LN($C$10)-0.5*LN(1+($D$10/$C$10)^2),SQRT(LN(1+($D$10/$C$10)^2)))</f>
        <v/>
      </c>
      <c r="S2122" s="14">
        <f>SUM(M2122:R2122)</f>
        <v/>
      </c>
      <c r="AA2122">
        <f>RAND()</f>
        <v/>
      </c>
      <c r="AB2122">
        <f>RAND()</f>
        <v/>
      </c>
      <c r="AC2122">
        <f>RAND()</f>
        <v/>
      </c>
      <c r="AD2122">
        <f>RAND()</f>
        <v/>
      </c>
      <c r="AE2122">
        <f>RAND()</f>
        <v/>
      </c>
      <c r="AF2122">
        <f>RAND()</f>
        <v/>
      </c>
    </row>
    <row r="2123">
      <c r="M2123" s="14">
        <f>_xlfn.BETA.INV($AA2123,1+4*($D$5-$C$5)/($E$5-$C$5),1+4*($E$5-$D$5)/($E$5-$C$5),$C$5,$E$5)</f>
        <v/>
      </c>
      <c r="N2123" s="14">
        <f>IF($AB2123&lt;($D$6-$C$6)/($E$6-$C$6),$C$6+SQRT($AB2123*($E$6-$C$6)*($D$6-$C$6)),$E$6-SQRT((1-$AB2123)*($E$6-$C$6)*($E$6-$D$6)))</f>
        <v/>
      </c>
      <c r="O2123" s="14">
        <f>_xlfn.NORM.INV($AC2123,$C$7,$D$7)</f>
        <v/>
      </c>
      <c r="P2123" s="14">
        <f>$C$8+($D$8-$C$8)*$AD2123</f>
        <v/>
      </c>
      <c r="Q2123" s="14">
        <f>$C$9</f>
        <v/>
      </c>
      <c r="R2123" s="14">
        <f>_xlfn.LOGNORM.INV($AF2123,LN($C$10)-0.5*LN(1+($D$10/$C$10)^2),SQRT(LN(1+($D$10/$C$10)^2)))</f>
        <v/>
      </c>
      <c r="S2123" s="14">
        <f>SUM(M2123:R2123)</f>
        <v/>
      </c>
      <c r="AA2123">
        <f>RAND()</f>
        <v/>
      </c>
      <c r="AB2123">
        <f>RAND()</f>
        <v/>
      </c>
      <c r="AC2123">
        <f>RAND()</f>
        <v/>
      </c>
      <c r="AD2123">
        <f>RAND()</f>
        <v/>
      </c>
      <c r="AE2123">
        <f>RAND()</f>
        <v/>
      </c>
      <c r="AF2123">
        <f>RAND()</f>
        <v/>
      </c>
    </row>
    <row r="2124">
      <c r="M2124" s="14">
        <f>_xlfn.BETA.INV($AA2124,1+4*($D$5-$C$5)/($E$5-$C$5),1+4*($E$5-$D$5)/($E$5-$C$5),$C$5,$E$5)</f>
        <v/>
      </c>
      <c r="N2124" s="14">
        <f>IF($AB2124&lt;($D$6-$C$6)/($E$6-$C$6),$C$6+SQRT($AB2124*($E$6-$C$6)*($D$6-$C$6)),$E$6-SQRT((1-$AB2124)*($E$6-$C$6)*($E$6-$D$6)))</f>
        <v/>
      </c>
      <c r="O2124" s="14">
        <f>_xlfn.NORM.INV($AC2124,$C$7,$D$7)</f>
        <v/>
      </c>
      <c r="P2124" s="14">
        <f>$C$8+($D$8-$C$8)*$AD2124</f>
        <v/>
      </c>
      <c r="Q2124" s="14">
        <f>$C$9</f>
        <v/>
      </c>
      <c r="R2124" s="14">
        <f>_xlfn.LOGNORM.INV($AF2124,LN($C$10)-0.5*LN(1+($D$10/$C$10)^2),SQRT(LN(1+($D$10/$C$10)^2)))</f>
        <v/>
      </c>
      <c r="S2124" s="14">
        <f>SUM(M2124:R2124)</f>
        <v/>
      </c>
      <c r="AA2124">
        <f>RAND()</f>
        <v/>
      </c>
      <c r="AB2124">
        <f>RAND()</f>
        <v/>
      </c>
      <c r="AC2124">
        <f>RAND()</f>
        <v/>
      </c>
      <c r="AD2124">
        <f>RAND()</f>
        <v/>
      </c>
      <c r="AE2124">
        <f>RAND()</f>
        <v/>
      </c>
      <c r="AF2124">
        <f>RAND()</f>
        <v/>
      </c>
    </row>
    <row r="2125">
      <c r="M2125" s="14">
        <f>_xlfn.BETA.INV($AA2125,1+4*($D$5-$C$5)/($E$5-$C$5),1+4*($E$5-$D$5)/($E$5-$C$5),$C$5,$E$5)</f>
        <v/>
      </c>
      <c r="N2125" s="14">
        <f>IF($AB2125&lt;($D$6-$C$6)/($E$6-$C$6),$C$6+SQRT($AB2125*($E$6-$C$6)*($D$6-$C$6)),$E$6-SQRT((1-$AB2125)*($E$6-$C$6)*($E$6-$D$6)))</f>
        <v/>
      </c>
      <c r="O2125" s="14">
        <f>_xlfn.NORM.INV($AC2125,$C$7,$D$7)</f>
        <v/>
      </c>
      <c r="P2125" s="14">
        <f>$C$8+($D$8-$C$8)*$AD2125</f>
        <v/>
      </c>
      <c r="Q2125" s="14">
        <f>$C$9</f>
        <v/>
      </c>
      <c r="R2125" s="14">
        <f>_xlfn.LOGNORM.INV($AF2125,LN($C$10)-0.5*LN(1+($D$10/$C$10)^2),SQRT(LN(1+($D$10/$C$10)^2)))</f>
        <v/>
      </c>
      <c r="S2125" s="14">
        <f>SUM(M2125:R2125)</f>
        <v/>
      </c>
      <c r="AA2125">
        <f>RAND()</f>
        <v/>
      </c>
      <c r="AB2125">
        <f>RAND()</f>
        <v/>
      </c>
      <c r="AC2125">
        <f>RAND()</f>
        <v/>
      </c>
      <c r="AD2125">
        <f>RAND()</f>
        <v/>
      </c>
      <c r="AE2125">
        <f>RAND()</f>
        <v/>
      </c>
      <c r="AF2125">
        <f>RAND()</f>
        <v/>
      </c>
    </row>
    <row r="2126">
      <c r="M2126" s="14">
        <f>_xlfn.BETA.INV($AA2126,1+4*($D$5-$C$5)/($E$5-$C$5),1+4*($E$5-$D$5)/($E$5-$C$5),$C$5,$E$5)</f>
        <v/>
      </c>
      <c r="N2126" s="14">
        <f>IF($AB2126&lt;($D$6-$C$6)/($E$6-$C$6),$C$6+SQRT($AB2126*($E$6-$C$6)*($D$6-$C$6)),$E$6-SQRT((1-$AB2126)*($E$6-$C$6)*($E$6-$D$6)))</f>
        <v/>
      </c>
      <c r="O2126" s="14">
        <f>_xlfn.NORM.INV($AC2126,$C$7,$D$7)</f>
        <v/>
      </c>
      <c r="P2126" s="14">
        <f>$C$8+($D$8-$C$8)*$AD2126</f>
        <v/>
      </c>
      <c r="Q2126" s="14">
        <f>$C$9</f>
        <v/>
      </c>
      <c r="R2126" s="14">
        <f>_xlfn.LOGNORM.INV($AF2126,LN($C$10)-0.5*LN(1+($D$10/$C$10)^2),SQRT(LN(1+($D$10/$C$10)^2)))</f>
        <v/>
      </c>
      <c r="S2126" s="14">
        <f>SUM(M2126:R2126)</f>
        <v/>
      </c>
      <c r="AA2126">
        <f>RAND()</f>
        <v/>
      </c>
      <c r="AB2126">
        <f>RAND()</f>
        <v/>
      </c>
      <c r="AC2126">
        <f>RAND()</f>
        <v/>
      </c>
      <c r="AD2126">
        <f>RAND()</f>
        <v/>
      </c>
      <c r="AE2126">
        <f>RAND()</f>
        <v/>
      </c>
      <c r="AF2126">
        <f>RAND()</f>
        <v/>
      </c>
    </row>
    <row r="2127">
      <c r="M2127" s="14">
        <f>_xlfn.BETA.INV($AA2127,1+4*($D$5-$C$5)/($E$5-$C$5),1+4*($E$5-$D$5)/($E$5-$C$5),$C$5,$E$5)</f>
        <v/>
      </c>
      <c r="N2127" s="14">
        <f>IF($AB2127&lt;($D$6-$C$6)/($E$6-$C$6),$C$6+SQRT($AB2127*($E$6-$C$6)*($D$6-$C$6)),$E$6-SQRT((1-$AB2127)*($E$6-$C$6)*($E$6-$D$6)))</f>
        <v/>
      </c>
      <c r="O2127" s="14">
        <f>_xlfn.NORM.INV($AC2127,$C$7,$D$7)</f>
        <v/>
      </c>
      <c r="P2127" s="14">
        <f>$C$8+($D$8-$C$8)*$AD2127</f>
        <v/>
      </c>
      <c r="Q2127" s="14">
        <f>$C$9</f>
        <v/>
      </c>
      <c r="R2127" s="14">
        <f>_xlfn.LOGNORM.INV($AF2127,LN($C$10)-0.5*LN(1+($D$10/$C$10)^2),SQRT(LN(1+($D$10/$C$10)^2)))</f>
        <v/>
      </c>
      <c r="S2127" s="14">
        <f>SUM(M2127:R2127)</f>
        <v/>
      </c>
      <c r="AA2127">
        <f>RAND()</f>
        <v/>
      </c>
      <c r="AB2127">
        <f>RAND()</f>
        <v/>
      </c>
      <c r="AC2127">
        <f>RAND()</f>
        <v/>
      </c>
      <c r="AD2127">
        <f>RAND()</f>
        <v/>
      </c>
      <c r="AE2127">
        <f>RAND()</f>
        <v/>
      </c>
      <c r="AF2127">
        <f>RAND()</f>
        <v/>
      </c>
    </row>
    <row r="2128">
      <c r="M2128" s="14">
        <f>_xlfn.BETA.INV($AA2128,1+4*($D$5-$C$5)/($E$5-$C$5),1+4*($E$5-$D$5)/($E$5-$C$5),$C$5,$E$5)</f>
        <v/>
      </c>
      <c r="N2128" s="14">
        <f>IF($AB2128&lt;($D$6-$C$6)/($E$6-$C$6),$C$6+SQRT($AB2128*($E$6-$C$6)*($D$6-$C$6)),$E$6-SQRT((1-$AB2128)*($E$6-$C$6)*($E$6-$D$6)))</f>
        <v/>
      </c>
      <c r="O2128" s="14">
        <f>_xlfn.NORM.INV($AC2128,$C$7,$D$7)</f>
        <v/>
      </c>
      <c r="P2128" s="14">
        <f>$C$8+($D$8-$C$8)*$AD2128</f>
        <v/>
      </c>
      <c r="Q2128" s="14">
        <f>$C$9</f>
        <v/>
      </c>
      <c r="R2128" s="14">
        <f>_xlfn.LOGNORM.INV($AF2128,LN($C$10)-0.5*LN(1+($D$10/$C$10)^2),SQRT(LN(1+($D$10/$C$10)^2)))</f>
        <v/>
      </c>
      <c r="S2128" s="14">
        <f>SUM(M2128:R2128)</f>
        <v/>
      </c>
      <c r="AA2128">
        <f>RAND()</f>
        <v/>
      </c>
      <c r="AB2128">
        <f>RAND()</f>
        <v/>
      </c>
      <c r="AC2128">
        <f>RAND()</f>
        <v/>
      </c>
      <c r="AD2128">
        <f>RAND()</f>
        <v/>
      </c>
      <c r="AE2128">
        <f>RAND()</f>
        <v/>
      </c>
      <c r="AF2128">
        <f>RAND()</f>
        <v/>
      </c>
    </row>
    <row r="2129">
      <c r="M2129" s="14">
        <f>_xlfn.BETA.INV($AA2129,1+4*($D$5-$C$5)/($E$5-$C$5),1+4*($E$5-$D$5)/($E$5-$C$5),$C$5,$E$5)</f>
        <v/>
      </c>
      <c r="N2129" s="14">
        <f>IF($AB2129&lt;($D$6-$C$6)/($E$6-$C$6),$C$6+SQRT($AB2129*($E$6-$C$6)*($D$6-$C$6)),$E$6-SQRT((1-$AB2129)*($E$6-$C$6)*($E$6-$D$6)))</f>
        <v/>
      </c>
      <c r="O2129" s="14">
        <f>_xlfn.NORM.INV($AC2129,$C$7,$D$7)</f>
        <v/>
      </c>
      <c r="P2129" s="14">
        <f>$C$8+($D$8-$C$8)*$AD2129</f>
        <v/>
      </c>
      <c r="Q2129" s="14">
        <f>$C$9</f>
        <v/>
      </c>
      <c r="R2129" s="14">
        <f>_xlfn.LOGNORM.INV($AF2129,LN($C$10)-0.5*LN(1+($D$10/$C$10)^2),SQRT(LN(1+($D$10/$C$10)^2)))</f>
        <v/>
      </c>
      <c r="S2129" s="14">
        <f>SUM(M2129:R2129)</f>
        <v/>
      </c>
      <c r="AA2129">
        <f>RAND()</f>
        <v/>
      </c>
      <c r="AB2129">
        <f>RAND()</f>
        <v/>
      </c>
      <c r="AC2129">
        <f>RAND()</f>
        <v/>
      </c>
      <c r="AD2129">
        <f>RAND()</f>
        <v/>
      </c>
      <c r="AE2129">
        <f>RAND()</f>
        <v/>
      </c>
      <c r="AF2129">
        <f>RAND()</f>
        <v/>
      </c>
    </row>
    <row r="2130">
      <c r="M2130" s="14">
        <f>_xlfn.BETA.INV($AA2130,1+4*($D$5-$C$5)/($E$5-$C$5),1+4*($E$5-$D$5)/($E$5-$C$5),$C$5,$E$5)</f>
        <v/>
      </c>
      <c r="N2130" s="14">
        <f>IF($AB2130&lt;($D$6-$C$6)/($E$6-$C$6),$C$6+SQRT($AB2130*($E$6-$C$6)*($D$6-$C$6)),$E$6-SQRT((1-$AB2130)*($E$6-$C$6)*($E$6-$D$6)))</f>
        <v/>
      </c>
      <c r="O2130" s="14">
        <f>_xlfn.NORM.INV($AC2130,$C$7,$D$7)</f>
        <v/>
      </c>
      <c r="P2130" s="14">
        <f>$C$8+($D$8-$C$8)*$AD2130</f>
        <v/>
      </c>
      <c r="Q2130" s="14">
        <f>$C$9</f>
        <v/>
      </c>
      <c r="R2130" s="14">
        <f>_xlfn.LOGNORM.INV($AF2130,LN($C$10)-0.5*LN(1+($D$10/$C$10)^2),SQRT(LN(1+($D$10/$C$10)^2)))</f>
        <v/>
      </c>
      <c r="S2130" s="14">
        <f>SUM(M2130:R2130)</f>
        <v/>
      </c>
      <c r="AA2130">
        <f>RAND()</f>
        <v/>
      </c>
      <c r="AB2130">
        <f>RAND()</f>
        <v/>
      </c>
      <c r="AC2130">
        <f>RAND()</f>
        <v/>
      </c>
      <c r="AD2130">
        <f>RAND()</f>
        <v/>
      </c>
      <c r="AE2130">
        <f>RAND()</f>
        <v/>
      </c>
      <c r="AF2130">
        <f>RAND()</f>
        <v/>
      </c>
    </row>
    <row r="2131">
      <c r="M2131" s="14">
        <f>_xlfn.BETA.INV($AA2131,1+4*($D$5-$C$5)/($E$5-$C$5),1+4*($E$5-$D$5)/($E$5-$C$5),$C$5,$E$5)</f>
        <v/>
      </c>
      <c r="N2131" s="14">
        <f>IF($AB2131&lt;($D$6-$C$6)/($E$6-$C$6),$C$6+SQRT($AB2131*($E$6-$C$6)*($D$6-$C$6)),$E$6-SQRT((1-$AB2131)*($E$6-$C$6)*($E$6-$D$6)))</f>
        <v/>
      </c>
      <c r="O2131" s="14">
        <f>_xlfn.NORM.INV($AC2131,$C$7,$D$7)</f>
        <v/>
      </c>
      <c r="P2131" s="14">
        <f>$C$8+($D$8-$C$8)*$AD2131</f>
        <v/>
      </c>
      <c r="Q2131" s="14">
        <f>$C$9</f>
        <v/>
      </c>
      <c r="R2131" s="14">
        <f>_xlfn.LOGNORM.INV($AF2131,LN($C$10)-0.5*LN(1+($D$10/$C$10)^2),SQRT(LN(1+($D$10/$C$10)^2)))</f>
        <v/>
      </c>
      <c r="S2131" s="14">
        <f>SUM(M2131:R2131)</f>
        <v/>
      </c>
      <c r="AA2131">
        <f>RAND()</f>
        <v/>
      </c>
      <c r="AB2131">
        <f>RAND()</f>
        <v/>
      </c>
      <c r="AC2131">
        <f>RAND()</f>
        <v/>
      </c>
      <c r="AD2131">
        <f>RAND()</f>
        <v/>
      </c>
      <c r="AE2131">
        <f>RAND()</f>
        <v/>
      </c>
      <c r="AF2131">
        <f>RAND()</f>
        <v/>
      </c>
    </row>
    <row r="2132">
      <c r="M2132" s="14">
        <f>_xlfn.BETA.INV($AA2132,1+4*($D$5-$C$5)/($E$5-$C$5),1+4*($E$5-$D$5)/($E$5-$C$5),$C$5,$E$5)</f>
        <v/>
      </c>
      <c r="N2132" s="14">
        <f>IF($AB2132&lt;($D$6-$C$6)/($E$6-$C$6),$C$6+SQRT($AB2132*($E$6-$C$6)*($D$6-$C$6)),$E$6-SQRT((1-$AB2132)*($E$6-$C$6)*($E$6-$D$6)))</f>
        <v/>
      </c>
      <c r="O2132" s="14">
        <f>_xlfn.NORM.INV($AC2132,$C$7,$D$7)</f>
        <v/>
      </c>
      <c r="P2132" s="14">
        <f>$C$8+($D$8-$C$8)*$AD2132</f>
        <v/>
      </c>
      <c r="Q2132" s="14">
        <f>$C$9</f>
        <v/>
      </c>
      <c r="R2132" s="14">
        <f>_xlfn.LOGNORM.INV($AF2132,LN($C$10)-0.5*LN(1+($D$10/$C$10)^2),SQRT(LN(1+($D$10/$C$10)^2)))</f>
        <v/>
      </c>
      <c r="S2132" s="14">
        <f>SUM(M2132:R2132)</f>
        <v/>
      </c>
      <c r="AA2132">
        <f>RAND()</f>
        <v/>
      </c>
      <c r="AB2132">
        <f>RAND()</f>
        <v/>
      </c>
      <c r="AC2132">
        <f>RAND()</f>
        <v/>
      </c>
      <c r="AD2132">
        <f>RAND()</f>
        <v/>
      </c>
      <c r="AE2132">
        <f>RAND()</f>
        <v/>
      </c>
      <c r="AF2132">
        <f>RAND()</f>
        <v/>
      </c>
    </row>
    <row r="2133">
      <c r="M2133" s="14">
        <f>_xlfn.BETA.INV($AA2133,1+4*($D$5-$C$5)/($E$5-$C$5),1+4*($E$5-$D$5)/($E$5-$C$5),$C$5,$E$5)</f>
        <v/>
      </c>
      <c r="N2133" s="14">
        <f>IF($AB2133&lt;($D$6-$C$6)/($E$6-$C$6),$C$6+SQRT($AB2133*($E$6-$C$6)*($D$6-$C$6)),$E$6-SQRT((1-$AB2133)*($E$6-$C$6)*($E$6-$D$6)))</f>
        <v/>
      </c>
      <c r="O2133" s="14">
        <f>_xlfn.NORM.INV($AC2133,$C$7,$D$7)</f>
        <v/>
      </c>
      <c r="P2133" s="14">
        <f>$C$8+($D$8-$C$8)*$AD2133</f>
        <v/>
      </c>
      <c r="Q2133" s="14">
        <f>$C$9</f>
        <v/>
      </c>
      <c r="R2133" s="14">
        <f>_xlfn.LOGNORM.INV($AF2133,LN($C$10)-0.5*LN(1+($D$10/$C$10)^2),SQRT(LN(1+($D$10/$C$10)^2)))</f>
        <v/>
      </c>
      <c r="S2133" s="14">
        <f>SUM(M2133:R2133)</f>
        <v/>
      </c>
      <c r="AA2133">
        <f>RAND()</f>
        <v/>
      </c>
      <c r="AB2133">
        <f>RAND()</f>
        <v/>
      </c>
      <c r="AC2133">
        <f>RAND()</f>
        <v/>
      </c>
      <c r="AD2133">
        <f>RAND()</f>
        <v/>
      </c>
      <c r="AE2133">
        <f>RAND()</f>
        <v/>
      </c>
      <c r="AF2133">
        <f>RAND()</f>
        <v/>
      </c>
    </row>
    <row r="2134">
      <c r="M2134" s="14">
        <f>_xlfn.BETA.INV($AA2134,1+4*($D$5-$C$5)/($E$5-$C$5),1+4*($E$5-$D$5)/($E$5-$C$5),$C$5,$E$5)</f>
        <v/>
      </c>
      <c r="N2134" s="14">
        <f>IF($AB2134&lt;($D$6-$C$6)/($E$6-$C$6),$C$6+SQRT($AB2134*($E$6-$C$6)*($D$6-$C$6)),$E$6-SQRT((1-$AB2134)*($E$6-$C$6)*($E$6-$D$6)))</f>
        <v/>
      </c>
      <c r="O2134" s="14">
        <f>_xlfn.NORM.INV($AC2134,$C$7,$D$7)</f>
        <v/>
      </c>
      <c r="P2134" s="14">
        <f>$C$8+($D$8-$C$8)*$AD2134</f>
        <v/>
      </c>
      <c r="Q2134" s="14">
        <f>$C$9</f>
        <v/>
      </c>
      <c r="R2134" s="14">
        <f>_xlfn.LOGNORM.INV($AF2134,LN($C$10)-0.5*LN(1+($D$10/$C$10)^2),SQRT(LN(1+($D$10/$C$10)^2)))</f>
        <v/>
      </c>
      <c r="S2134" s="14">
        <f>SUM(M2134:R2134)</f>
        <v/>
      </c>
      <c r="AA2134">
        <f>RAND()</f>
        <v/>
      </c>
      <c r="AB2134">
        <f>RAND()</f>
        <v/>
      </c>
      <c r="AC2134">
        <f>RAND()</f>
        <v/>
      </c>
      <c r="AD2134">
        <f>RAND()</f>
        <v/>
      </c>
      <c r="AE2134">
        <f>RAND()</f>
        <v/>
      </c>
      <c r="AF2134">
        <f>RAND()</f>
        <v/>
      </c>
    </row>
    <row r="2135">
      <c r="M2135" s="14">
        <f>_xlfn.BETA.INV($AA2135,1+4*($D$5-$C$5)/($E$5-$C$5),1+4*($E$5-$D$5)/($E$5-$C$5),$C$5,$E$5)</f>
        <v/>
      </c>
      <c r="N2135" s="14">
        <f>IF($AB2135&lt;($D$6-$C$6)/($E$6-$C$6),$C$6+SQRT($AB2135*($E$6-$C$6)*($D$6-$C$6)),$E$6-SQRT((1-$AB2135)*($E$6-$C$6)*($E$6-$D$6)))</f>
        <v/>
      </c>
      <c r="O2135" s="14">
        <f>_xlfn.NORM.INV($AC2135,$C$7,$D$7)</f>
        <v/>
      </c>
      <c r="P2135" s="14">
        <f>$C$8+($D$8-$C$8)*$AD2135</f>
        <v/>
      </c>
      <c r="Q2135" s="14">
        <f>$C$9</f>
        <v/>
      </c>
      <c r="R2135" s="14">
        <f>_xlfn.LOGNORM.INV($AF2135,LN($C$10)-0.5*LN(1+($D$10/$C$10)^2),SQRT(LN(1+($D$10/$C$10)^2)))</f>
        <v/>
      </c>
      <c r="S2135" s="14">
        <f>SUM(M2135:R2135)</f>
        <v/>
      </c>
      <c r="AA2135">
        <f>RAND()</f>
        <v/>
      </c>
      <c r="AB2135">
        <f>RAND()</f>
        <v/>
      </c>
      <c r="AC2135">
        <f>RAND()</f>
        <v/>
      </c>
      <c r="AD2135">
        <f>RAND()</f>
        <v/>
      </c>
      <c r="AE2135">
        <f>RAND()</f>
        <v/>
      </c>
      <c r="AF2135">
        <f>RAND()</f>
        <v/>
      </c>
    </row>
    <row r="2136">
      <c r="M2136" s="14">
        <f>_xlfn.BETA.INV($AA2136,1+4*($D$5-$C$5)/($E$5-$C$5),1+4*($E$5-$D$5)/($E$5-$C$5),$C$5,$E$5)</f>
        <v/>
      </c>
      <c r="N2136" s="14">
        <f>IF($AB2136&lt;($D$6-$C$6)/($E$6-$C$6),$C$6+SQRT($AB2136*($E$6-$C$6)*($D$6-$C$6)),$E$6-SQRT((1-$AB2136)*($E$6-$C$6)*($E$6-$D$6)))</f>
        <v/>
      </c>
      <c r="O2136" s="14">
        <f>_xlfn.NORM.INV($AC2136,$C$7,$D$7)</f>
        <v/>
      </c>
      <c r="P2136" s="14">
        <f>$C$8+($D$8-$C$8)*$AD2136</f>
        <v/>
      </c>
      <c r="Q2136" s="14">
        <f>$C$9</f>
        <v/>
      </c>
      <c r="R2136" s="14">
        <f>_xlfn.LOGNORM.INV($AF2136,LN($C$10)-0.5*LN(1+($D$10/$C$10)^2),SQRT(LN(1+($D$10/$C$10)^2)))</f>
        <v/>
      </c>
      <c r="S2136" s="14">
        <f>SUM(M2136:R2136)</f>
        <v/>
      </c>
      <c r="AA2136">
        <f>RAND()</f>
        <v/>
      </c>
      <c r="AB2136">
        <f>RAND()</f>
        <v/>
      </c>
      <c r="AC2136">
        <f>RAND()</f>
        <v/>
      </c>
      <c r="AD2136">
        <f>RAND()</f>
        <v/>
      </c>
      <c r="AE2136">
        <f>RAND()</f>
        <v/>
      </c>
      <c r="AF2136">
        <f>RAND()</f>
        <v/>
      </c>
    </row>
    <row r="2137">
      <c r="M2137" s="14">
        <f>_xlfn.BETA.INV($AA2137,1+4*($D$5-$C$5)/($E$5-$C$5),1+4*($E$5-$D$5)/($E$5-$C$5),$C$5,$E$5)</f>
        <v/>
      </c>
      <c r="N2137" s="14">
        <f>IF($AB2137&lt;($D$6-$C$6)/($E$6-$C$6),$C$6+SQRT($AB2137*($E$6-$C$6)*($D$6-$C$6)),$E$6-SQRT((1-$AB2137)*($E$6-$C$6)*($E$6-$D$6)))</f>
        <v/>
      </c>
      <c r="O2137" s="14">
        <f>_xlfn.NORM.INV($AC2137,$C$7,$D$7)</f>
        <v/>
      </c>
      <c r="P2137" s="14">
        <f>$C$8+($D$8-$C$8)*$AD2137</f>
        <v/>
      </c>
      <c r="Q2137" s="14">
        <f>$C$9</f>
        <v/>
      </c>
      <c r="R2137" s="14">
        <f>_xlfn.LOGNORM.INV($AF2137,LN($C$10)-0.5*LN(1+($D$10/$C$10)^2),SQRT(LN(1+($D$10/$C$10)^2)))</f>
        <v/>
      </c>
      <c r="S2137" s="14">
        <f>SUM(M2137:R2137)</f>
        <v/>
      </c>
      <c r="AA2137">
        <f>RAND()</f>
        <v/>
      </c>
      <c r="AB2137">
        <f>RAND()</f>
        <v/>
      </c>
      <c r="AC2137">
        <f>RAND()</f>
        <v/>
      </c>
      <c r="AD2137">
        <f>RAND()</f>
        <v/>
      </c>
      <c r="AE2137">
        <f>RAND()</f>
        <v/>
      </c>
      <c r="AF2137">
        <f>RAND()</f>
        <v/>
      </c>
    </row>
    <row r="2138">
      <c r="M2138" s="14">
        <f>_xlfn.BETA.INV($AA2138,1+4*($D$5-$C$5)/($E$5-$C$5),1+4*($E$5-$D$5)/($E$5-$C$5),$C$5,$E$5)</f>
        <v/>
      </c>
      <c r="N2138" s="14">
        <f>IF($AB2138&lt;($D$6-$C$6)/($E$6-$C$6),$C$6+SQRT($AB2138*($E$6-$C$6)*($D$6-$C$6)),$E$6-SQRT((1-$AB2138)*($E$6-$C$6)*($E$6-$D$6)))</f>
        <v/>
      </c>
      <c r="O2138" s="14">
        <f>_xlfn.NORM.INV($AC2138,$C$7,$D$7)</f>
        <v/>
      </c>
      <c r="P2138" s="14">
        <f>$C$8+($D$8-$C$8)*$AD2138</f>
        <v/>
      </c>
      <c r="Q2138" s="14">
        <f>$C$9</f>
        <v/>
      </c>
      <c r="R2138" s="14">
        <f>_xlfn.LOGNORM.INV($AF2138,LN($C$10)-0.5*LN(1+($D$10/$C$10)^2),SQRT(LN(1+($D$10/$C$10)^2)))</f>
        <v/>
      </c>
      <c r="S2138" s="14">
        <f>SUM(M2138:R2138)</f>
        <v/>
      </c>
      <c r="AA2138">
        <f>RAND()</f>
        <v/>
      </c>
      <c r="AB2138">
        <f>RAND()</f>
        <v/>
      </c>
      <c r="AC2138">
        <f>RAND()</f>
        <v/>
      </c>
      <c r="AD2138">
        <f>RAND()</f>
        <v/>
      </c>
      <c r="AE2138">
        <f>RAND()</f>
        <v/>
      </c>
      <c r="AF2138">
        <f>RAND()</f>
        <v/>
      </c>
    </row>
    <row r="2139">
      <c r="M2139" s="14">
        <f>_xlfn.BETA.INV($AA2139,1+4*($D$5-$C$5)/($E$5-$C$5),1+4*($E$5-$D$5)/($E$5-$C$5),$C$5,$E$5)</f>
        <v/>
      </c>
      <c r="N2139" s="14">
        <f>IF($AB2139&lt;($D$6-$C$6)/($E$6-$C$6),$C$6+SQRT($AB2139*($E$6-$C$6)*($D$6-$C$6)),$E$6-SQRT((1-$AB2139)*($E$6-$C$6)*($E$6-$D$6)))</f>
        <v/>
      </c>
      <c r="O2139" s="14">
        <f>_xlfn.NORM.INV($AC2139,$C$7,$D$7)</f>
        <v/>
      </c>
      <c r="P2139" s="14">
        <f>$C$8+($D$8-$C$8)*$AD2139</f>
        <v/>
      </c>
      <c r="Q2139" s="14">
        <f>$C$9</f>
        <v/>
      </c>
      <c r="R2139" s="14">
        <f>_xlfn.LOGNORM.INV($AF2139,LN($C$10)-0.5*LN(1+($D$10/$C$10)^2),SQRT(LN(1+($D$10/$C$10)^2)))</f>
        <v/>
      </c>
      <c r="S2139" s="14">
        <f>SUM(M2139:R2139)</f>
        <v/>
      </c>
      <c r="AA2139">
        <f>RAND()</f>
        <v/>
      </c>
      <c r="AB2139">
        <f>RAND()</f>
        <v/>
      </c>
      <c r="AC2139">
        <f>RAND()</f>
        <v/>
      </c>
      <c r="AD2139">
        <f>RAND()</f>
        <v/>
      </c>
      <c r="AE2139">
        <f>RAND()</f>
        <v/>
      </c>
      <c r="AF2139">
        <f>RAND()</f>
        <v/>
      </c>
    </row>
    <row r="2140">
      <c r="M2140" s="14">
        <f>_xlfn.BETA.INV($AA2140,1+4*($D$5-$C$5)/($E$5-$C$5),1+4*($E$5-$D$5)/($E$5-$C$5),$C$5,$E$5)</f>
        <v/>
      </c>
      <c r="N2140" s="14">
        <f>IF($AB2140&lt;($D$6-$C$6)/($E$6-$C$6),$C$6+SQRT($AB2140*($E$6-$C$6)*($D$6-$C$6)),$E$6-SQRT((1-$AB2140)*($E$6-$C$6)*($E$6-$D$6)))</f>
        <v/>
      </c>
      <c r="O2140" s="14">
        <f>_xlfn.NORM.INV($AC2140,$C$7,$D$7)</f>
        <v/>
      </c>
      <c r="P2140" s="14">
        <f>$C$8+($D$8-$C$8)*$AD2140</f>
        <v/>
      </c>
      <c r="Q2140" s="14">
        <f>$C$9</f>
        <v/>
      </c>
      <c r="R2140" s="14">
        <f>_xlfn.LOGNORM.INV($AF2140,LN($C$10)-0.5*LN(1+($D$10/$C$10)^2),SQRT(LN(1+($D$10/$C$10)^2)))</f>
        <v/>
      </c>
      <c r="S2140" s="14">
        <f>SUM(M2140:R2140)</f>
        <v/>
      </c>
      <c r="AA2140">
        <f>RAND()</f>
        <v/>
      </c>
      <c r="AB2140">
        <f>RAND()</f>
        <v/>
      </c>
      <c r="AC2140">
        <f>RAND()</f>
        <v/>
      </c>
      <c r="AD2140">
        <f>RAND()</f>
        <v/>
      </c>
      <c r="AE2140">
        <f>RAND()</f>
        <v/>
      </c>
      <c r="AF2140">
        <f>RAND()</f>
        <v/>
      </c>
    </row>
    <row r="2141">
      <c r="M2141" s="14">
        <f>_xlfn.BETA.INV($AA2141,1+4*($D$5-$C$5)/($E$5-$C$5),1+4*($E$5-$D$5)/($E$5-$C$5),$C$5,$E$5)</f>
        <v/>
      </c>
      <c r="N2141" s="14">
        <f>IF($AB2141&lt;($D$6-$C$6)/($E$6-$C$6),$C$6+SQRT($AB2141*($E$6-$C$6)*($D$6-$C$6)),$E$6-SQRT((1-$AB2141)*($E$6-$C$6)*($E$6-$D$6)))</f>
        <v/>
      </c>
      <c r="O2141" s="14">
        <f>_xlfn.NORM.INV($AC2141,$C$7,$D$7)</f>
        <v/>
      </c>
      <c r="P2141" s="14">
        <f>$C$8+($D$8-$C$8)*$AD2141</f>
        <v/>
      </c>
      <c r="Q2141" s="14">
        <f>$C$9</f>
        <v/>
      </c>
      <c r="R2141" s="14">
        <f>_xlfn.LOGNORM.INV($AF2141,LN($C$10)-0.5*LN(1+($D$10/$C$10)^2),SQRT(LN(1+($D$10/$C$10)^2)))</f>
        <v/>
      </c>
      <c r="S2141" s="14">
        <f>SUM(M2141:R2141)</f>
        <v/>
      </c>
      <c r="AA2141">
        <f>RAND()</f>
        <v/>
      </c>
      <c r="AB2141">
        <f>RAND()</f>
        <v/>
      </c>
      <c r="AC2141">
        <f>RAND()</f>
        <v/>
      </c>
      <c r="AD2141">
        <f>RAND()</f>
        <v/>
      </c>
      <c r="AE2141">
        <f>RAND()</f>
        <v/>
      </c>
      <c r="AF2141">
        <f>RAND()</f>
        <v/>
      </c>
    </row>
    <row r="2142">
      <c r="M2142" s="14">
        <f>_xlfn.BETA.INV($AA2142,1+4*($D$5-$C$5)/($E$5-$C$5),1+4*($E$5-$D$5)/($E$5-$C$5),$C$5,$E$5)</f>
        <v/>
      </c>
      <c r="N2142" s="14">
        <f>IF($AB2142&lt;($D$6-$C$6)/($E$6-$C$6),$C$6+SQRT($AB2142*($E$6-$C$6)*($D$6-$C$6)),$E$6-SQRT((1-$AB2142)*($E$6-$C$6)*($E$6-$D$6)))</f>
        <v/>
      </c>
      <c r="O2142" s="14">
        <f>_xlfn.NORM.INV($AC2142,$C$7,$D$7)</f>
        <v/>
      </c>
      <c r="P2142" s="14">
        <f>$C$8+($D$8-$C$8)*$AD2142</f>
        <v/>
      </c>
      <c r="Q2142" s="14">
        <f>$C$9</f>
        <v/>
      </c>
      <c r="R2142" s="14">
        <f>_xlfn.LOGNORM.INV($AF2142,LN($C$10)-0.5*LN(1+($D$10/$C$10)^2),SQRT(LN(1+($D$10/$C$10)^2)))</f>
        <v/>
      </c>
      <c r="S2142" s="14">
        <f>SUM(M2142:R2142)</f>
        <v/>
      </c>
      <c r="AA2142">
        <f>RAND()</f>
        <v/>
      </c>
      <c r="AB2142">
        <f>RAND()</f>
        <v/>
      </c>
      <c r="AC2142">
        <f>RAND()</f>
        <v/>
      </c>
      <c r="AD2142">
        <f>RAND()</f>
        <v/>
      </c>
      <c r="AE2142">
        <f>RAND()</f>
        <v/>
      </c>
      <c r="AF2142">
        <f>RAND()</f>
        <v/>
      </c>
    </row>
    <row r="2143">
      <c r="M2143" s="14">
        <f>_xlfn.BETA.INV($AA2143,1+4*($D$5-$C$5)/($E$5-$C$5),1+4*($E$5-$D$5)/($E$5-$C$5),$C$5,$E$5)</f>
        <v/>
      </c>
      <c r="N2143" s="14">
        <f>IF($AB2143&lt;($D$6-$C$6)/($E$6-$C$6),$C$6+SQRT($AB2143*($E$6-$C$6)*($D$6-$C$6)),$E$6-SQRT((1-$AB2143)*($E$6-$C$6)*($E$6-$D$6)))</f>
        <v/>
      </c>
      <c r="O2143" s="14">
        <f>_xlfn.NORM.INV($AC2143,$C$7,$D$7)</f>
        <v/>
      </c>
      <c r="P2143" s="14">
        <f>$C$8+($D$8-$C$8)*$AD2143</f>
        <v/>
      </c>
      <c r="Q2143" s="14">
        <f>$C$9</f>
        <v/>
      </c>
      <c r="R2143" s="14">
        <f>_xlfn.LOGNORM.INV($AF2143,LN($C$10)-0.5*LN(1+($D$10/$C$10)^2),SQRT(LN(1+($D$10/$C$10)^2)))</f>
        <v/>
      </c>
      <c r="S2143" s="14">
        <f>SUM(M2143:R2143)</f>
        <v/>
      </c>
      <c r="AA2143">
        <f>RAND()</f>
        <v/>
      </c>
      <c r="AB2143">
        <f>RAND()</f>
        <v/>
      </c>
      <c r="AC2143">
        <f>RAND()</f>
        <v/>
      </c>
      <c r="AD2143">
        <f>RAND()</f>
        <v/>
      </c>
      <c r="AE2143">
        <f>RAND()</f>
        <v/>
      </c>
      <c r="AF2143">
        <f>RAND()</f>
        <v/>
      </c>
    </row>
    <row r="2144">
      <c r="M2144" s="14">
        <f>_xlfn.BETA.INV($AA2144,1+4*($D$5-$C$5)/($E$5-$C$5),1+4*($E$5-$D$5)/($E$5-$C$5),$C$5,$E$5)</f>
        <v/>
      </c>
      <c r="N2144" s="14">
        <f>IF($AB2144&lt;($D$6-$C$6)/($E$6-$C$6),$C$6+SQRT($AB2144*($E$6-$C$6)*($D$6-$C$6)),$E$6-SQRT((1-$AB2144)*($E$6-$C$6)*($E$6-$D$6)))</f>
        <v/>
      </c>
      <c r="O2144" s="14">
        <f>_xlfn.NORM.INV($AC2144,$C$7,$D$7)</f>
        <v/>
      </c>
      <c r="P2144" s="14">
        <f>$C$8+($D$8-$C$8)*$AD2144</f>
        <v/>
      </c>
      <c r="Q2144" s="14">
        <f>$C$9</f>
        <v/>
      </c>
      <c r="R2144" s="14">
        <f>_xlfn.LOGNORM.INV($AF2144,LN($C$10)-0.5*LN(1+($D$10/$C$10)^2),SQRT(LN(1+($D$10/$C$10)^2)))</f>
        <v/>
      </c>
      <c r="S2144" s="14">
        <f>SUM(M2144:R2144)</f>
        <v/>
      </c>
      <c r="AA2144">
        <f>RAND()</f>
        <v/>
      </c>
      <c r="AB2144">
        <f>RAND()</f>
        <v/>
      </c>
      <c r="AC2144">
        <f>RAND()</f>
        <v/>
      </c>
      <c r="AD2144">
        <f>RAND()</f>
        <v/>
      </c>
      <c r="AE2144">
        <f>RAND()</f>
        <v/>
      </c>
      <c r="AF2144">
        <f>RAND()</f>
        <v/>
      </c>
    </row>
    <row r="2145">
      <c r="M2145" s="14">
        <f>_xlfn.BETA.INV($AA2145,1+4*($D$5-$C$5)/($E$5-$C$5),1+4*($E$5-$D$5)/($E$5-$C$5),$C$5,$E$5)</f>
        <v/>
      </c>
      <c r="N2145" s="14">
        <f>IF($AB2145&lt;($D$6-$C$6)/($E$6-$C$6),$C$6+SQRT($AB2145*($E$6-$C$6)*($D$6-$C$6)),$E$6-SQRT((1-$AB2145)*($E$6-$C$6)*($E$6-$D$6)))</f>
        <v/>
      </c>
      <c r="O2145" s="14">
        <f>_xlfn.NORM.INV($AC2145,$C$7,$D$7)</f>
        <v/>
      </c>
      <c r="P2145" s="14">
        <f>$C$8+($D$8-$C$8)*$AD2145</f>
        <v/>
      </c>
      <c r="Q2145" s="14">
        <f>$C$9</f>
        <v/>
      </c>
      <c r="R2145" s="14">
        <f>_xlfn.LOGNORM.INV($AF2145,LN($C$10)-0.5*LN(1+($D$10/$C$10)^2),SQRT(LN(1+($D$10/$C$10)^2)))</f>
        <v/>
      </c>
      <c r="S2145" s="14">
        <f>SUM(M2145:R2145)</f>
        <v/>
      </c>
      <c r="AA2145">
        <f>RAND()</f>
        <v/>
      </c>
      <c r="AB2145">
        <f>RAND()</f>
        <v/>
      </c>
      <c r="AC2145">
        <f>RAND()</f>
        <v/>
      </c>
      <c r="AD2145">
        <f>RAND()</f>
        <v/>
      </c>
      <c r="AE2145">
        <f>RAND()</f>
        <v/>
      </c>
      <c r="AF2145">
        <f>RAND()</f>
        <v/>
      </c>
    </row>
    <row r="2146">
      <c r="M2146" s="14">
        <f>_xlfn.BETA.INV($AA2146,1+4*($D$5-$C$5)/($E$5-$C$5),1+4*($E$5-$D$5)/($E$5-$C$5),$C$5,$E$5)</f>
        <v/>
      </c>
      <c r="N2146" s="14">
        <f>IF($AB2146&lt;($D$6-$C$6)/($E$6-$C$6),$C$6+SQRT($AB2146*($E$6-$C$6)*($D$6-$C$6)),$E$6-SQRT((1-$AB2146)*($E$6-$C$6)*($E$6-$D$6)))</f>
        <v/>
      </c>
      <c r="O2146" s="14">
        <f>_xlfn.NORM.INV($AC2146,$C$7,$D$7)</f>
        <v/>
      </c>
      <c r="P2146" s="14">
        <f>$C$8+($D$8-$C$8)*$AD2146</f>
        <v/>
      </c>
      <c r="Q2146" s="14">
        <f>$C$9</f>
        <v/>
      </c>
      <c r="R2146" s="14">
        <f>_xlfn.LOGNORM.INV($AF2146,LN($C$10)-0.5*LN(1+($D$10/$C$10)^2),SQRT(LN(1+($D$10/$C$10)^2)))</f>
        <v/>
      </c>
      <c r="S2146" s="14">
        <f>SUM(M2146:R2146)</f>
        <v/>
      </c>
      <c r="AA2146">
        <f>RAND()</f>
        <v/>
      </c>
      <c r="AB2146">
        <f>RAND()</f>
        <v/>
      </c>
      <c r="AC2146">
        <f>RAND()</f>
        <v/>
      </c>
      <c r="AD2146">
        <f>RAND()</f>
        <v/>
      </c>
      <c r="AE2146">
        <f>RAND()</f>
        <v/>
      </c>
      <c r="AF2146">
        <f>RAND()</f>
        <v/>
      </c>
    </row>
    <row r="2147">
      <c r="M2147" s="14">
        <f>_xlfn.BETA.INV($AA2147,1+4*($D$5-$C$5)/($E$5-$C$5),1+4*($E$5-$D$5)/($E$5-$C$5),$C$5,$E$5)</f>
        <v/>
      </c>
      <c r="N2147" s="14">
        <f>IF($AB2147&lt;($D$6-$C$6)/($E$6-$C$6),$C$6+SQRT($AB2147*($E$6-$C$6)*($D$6-$C$6)),$E$6-SQRT((1-$AB2147)*($E$6-$C$6)*($E$6-$D$6)))</f>
        <v/>
      </c>
      <c r="O2147" s="14">
        <f>_xlfn.NORM.INV($AC2147,$C$7,$D$7)</f>
        <v/>
      </c>
      <c r="P2147" s="14">
        <f>$C$8+($D$8-$C$8)*$AD2147</f>
        <v/>
      </c>
      <c r="Q2147" s="14">
        <f>$C$9</f>
        <v/>
      </c>
      <c r="R2147" s="14">
        <f>_xlfn.LOGNORM.INV($AF2147,LN($C$10)-0.5*LN(1+($D$10/$C$10)^2),SQRT(LN(1+($D$10/$C$10)^2)))</f>
        <v/>
      </c>
      <c r="S2147" s="14">
        <f>SUM(M2147:R2147)</f>
        <v/>
      </c>
      <c r="AA2147">
        <f>RAND()</f>
        <v/>
      </c>
      <c r="AB2147">
        <f>RAND()</f>
        <v/>
      </c>
      <c r="AC2147">
        <f>RAND()</f>
        <v/>
      </c>
      <c r="AD2147">
        <f>RAND()</f>
        <v/>
      </c>
      <c r="AE2147">
        <f>RAND()</f>
        <v/>
      </c>
      <c r="AF2147">
        <f>RAND()</f>
        <v/>
      </c>
    </row>
    <row r="2148">
      <c r="M2148" s="14">
        <f>_xlfn.BETA.INV($AA2148,1+4*($D$5-$C$5)/($E$5-$C$5),1+4*($E$5-$D$5)/($E$5-$C$5),$C$5,$E$5)</f>
        <v/>
      </c>
      <c r="N2148" s="14">
        <f>IF($AB2148&lt;($D$6-$C$6)/($E$6-$C$6),$C$6+SQRT($AB2148*($E$6-$C$6)*($D$6-$C$6)),$E$6-SQRT((1-$AB2148)*($E$6-$C$6)*($E$6-$D$6)))</f>
        <v/>
      </c>
      <c r="O2148" s="14">
        <f>_xlfn.NORM.INV($AC2148,$C$7,$D$7)</f>
        <v/>
      </c>
      <c r="P2148" s="14">
        <f>$C$8+($D$8-$C$8)*$AD2148</f>
        <v/>
      </c>
      <c r="Q2148" s="14">
        <f>$C$9</f>
        <v/>
      </c>
      <c r="R2148" s="14">
        <f>_xlfn.LOGNORM.INV($AF2148,LN($C$10)-0.5*LN(1+($D$10/$C$10)^2),SQRT(LN(1+($D$10/$C$10)^2)))</f>
        <v/>
      </c>
      <c r="S2148" s="14">
        <f>SUM(M2148:R2148)</f>
        <v/>
      </c>
      <c r="AA2148">
        <f>RAND()</f>
        <v/>
      </c>
      <c r="AB2148">
        <f>RAND()</f>
        <v/>
      </c>
      <c r="AC2148">
        <f>RAND()</f>
        <v/>
      </c>
      <c r="AD2148">
        <f>RAND()</f>
        <v/>
      </c>
      <c r="AE2148">
        <f>RAND()</f>
        <v/>
      </c>
      <c r="AF2148">
        <f>RAND()</f>
        <v/>
      </c>
    </row>
    <row r="2149">
      <c r="M2149" s="14">
        <f>_xlfn.BETA.INV($AA2149,1+4*($D$5-$C$5)/($E$5-$C$5),1+4*($E$5-$D$5)/($E$5-$C$5),$C$5,$E$5)</f>
        <v/>
      </c>
      <c r="N2149" s="14">
        <f>IF($AB2149&lt;($D$6-$C$6)/($E$6-$C$6),$C$6+SQRT($AB2149*($E$6-$C$6)*($D$6-$C$6)),$E$6-SQRT((1-$AB2149)*($E$6-$C$6)*($E$6-$D$6)))</f>
        <v/>
      </c>
      <c r="O2149" s="14">
        <f>_xlfn.NORM.INV($AC2149,$C$7,$D$7)</f>
        <v/>
      </c>
      <c r="P2149" s="14">
        <f>$C$8+($D$8-$C$8)*$AD2149</f>
        <v/>
      </c>
      <c r="Q2149" s="14">
        <f>$C$9</f>
        <v/>
      </c>
      <c r="R2149" s="14">
        <f>_xlfn.LOGNORM.INV($AF2149,LN($C$10)-0.5*LN(1+($D$10/$C$10)^2),SQRT(LN(1+($D$10/$C$10)^2)))</f>
        <v/>
      </c>
      <c r="S2149" s="14">
        <f>SUM(M2149:R2149)</f>
        <v/>
      </c>
      <c r="AA2149">
        <f>RAND()</f>
        <v/>
      </c>
      <c r="AB2149">
        <f>RAND()</f>
        <v/>
      </c>
      <c r="AC2149">
        <f>RAND()</f>
        <v/>
      </c>
      <c r="AD2149">
        <f>RAND()</f>
        <v/>
      </c>
      <c r="AE2149">
        <f>RAND()</f>
        <v/>
      </c>
      <c r="AF2149">
        <f>RAND()</f>
        <v/>
      </c>
    </row>
    <row r="2150">
      <c r="M2150" s="14">
        <f>_xlfn.BETA.INV($AA2150,1+4*($D$5-$C$5)/($E$5-$C$5),1+4*($E$5-$D$5)/($E$5-$C$5),$C$5,$E$5)</f>
        <v/>
      </c>
      <c r="N2150" s="14">
        <f>IF($AB2150&lt;($D$6-$C$6)/($E$6-$C$6),$C$6+SQRT($AB2150*($E$6-$C$6)*($D$6-$C$6)),$E$6-SQRT((1-$AB2150)*($E$6-$C$6)*($E$6-$D$6)))</f>
        <v/>
      </c>
      <c r="O2150" s="14">
        <f>_xlfn.NORM.INV($AC2150,$C$7,$D$7)</f>
        <v/>
      </c>
      <c r="P2150" s="14">
        <f>$C$8+($D$8-$C$8)*$AD2150</f>
        <v/>
      </c>
      <c r="Q2150" s="14">
        <f>$C$9</f>
        <v/>
      </c>
      <c r="R2150" s="14">
        <f>_xlfn.LOGNORM.INV($AF2150,LN($C$10)-0.5*LN(1+($D$10/$C$10)^2),SQRT(LN(1+($D$10/$C$10)^2)))</f>
        <v/>
      </c>
      <c r="S2150" s="14">
        <f>SUM(M2150:R2150)</f>
        <v/>
      </c>
      <c r="AA2150">
        <f>RAND()</f>
        <v/>
      </c>
      <c r="AB2150">
        <f>RAND()</f>
        <v/>
      </c>
      <c r="AC2150">
        <f>RAND()</f>
        <v/>
      </c>
      <c r="AD2150">
        <f>RAND()</f>
        <v/>
      </c>
      <c r="AE2150">
        <f>RAND()</f>
        <v/>
      </c>
      <c r="AF2150">
        <f>RAND()</f>
        <v/>
      </c>
    </row>
    <row r="2151">
      <c r="M2151" s="14">
        <f>_xlfn.BETA.INV($AA2151,1+4*($D$5-$C$5)/($E$5-$C$5),1+4*($E$5-$D$5)/($E$5-$C$5),$C$5,$E$5)</f>
        <v/>
      </c>
      <c r="N2151" s="14">
        <f>IF($AB2151&lt;($D$6-$C$6)/($E$6-$C$6),$C$6+SQRT($AB2151*($E$6-$C$6)*($D$6-$C$6)),$E$6-SQRT((1-$AB2151)*($E$6-$C$6)*($E$6-$D$6)))</f>
        <v/>
      </c>
      <c r="O2151" s="14">
        <f>_xlfn.NORM.INV($AC2151,$C$7,$D$7)</f>
        <v/>
      </c>
      <c r="P2151" s="14">
        <f>$C$8+($D$8-$C$8)*$AD2151</f>
        <v/>
      </c>
      <c r="Q2151" s="14">
        <f>$C$9</f>
        <v/>
      </c>
      <c r="R2151" s="14">
        <f>_xlfn.LOGNORM.INV($AF2151,LN($C$10)-0.5*LN(1+($D$10/$C$10)^2),SQRT(LN(1+($D$10/$C$10)^2)))</f>
        <v/>
      </c>
      <c r="S2151" s="14">
        <f>SUM(M2151:R2151)</f>
        <v/>
      </c>
      <c r="AA2151">
        <f>RAND()</f>
        <v/>
      </c>
      <c r="AB2151">
        <f>RAND()</f>
        <v/>
      </c>
      <c r="AC2151">
        <f>RAND()</f>
        <v/>
      </c>
      <c r="AD2151">
        <f>RAND()</f>
        <v/>
      </c>
      <c r="AE2151">
        <f>RAND()</f>
        <v/>
      </c>
      <c r="AF2151">
        <f>RAND()</f>
        <v/>
      </c>
    </row>
    <row r="2152">
      <c r="M2152" s="14">
        <f>_xlfn.BETA.INV($AA2152,1+4*($D$5-$C$5)/($E$5-$C$5),1+4*($E$5-$D$5)/($E$5-$C$5),$C$5,$E$5)</f>
        <v/>
      </c>
      <c r="N2152" s="14">
        <f>IF($AB2152&lt;($D$6-$C$6)/($E$6-$C$6),$C$6+SQRT($AB2152*($E$6-$C$6)*($D$6-$C$6)),$E$6-SQRT((1-$AB2152)*($E$6-$C$6)*($E$6-$D$6)))</f>
        <v/>
      </c>
      <c r="O2152" s="14">
        <f>_xlfn.NORM.INV($AC2152,$C$7,$D$7)</f>
        <v/>
      </c>
      <c r="P2152" s="14">
        <f>$C$8+($D$8-$C$8)*$AD2152</f>
        <v/>
      </c>
      <c r="Q2152" s="14">
        <f>$C$9</f>
        <v/>
      </c>
      <c r="R2152" s="14">
        <f>_xlfn.LOGNORM.INV($AF2152,LN($C$10)-0.5*LN(1+($D$10/$C$10)^2),SQRT(LN(1+($D$10/$C$10)^2)))</f>
        <v/>
      </c>
      <c r="S2152" s="14">
        <f>SUM(M2152:R2152)</f>
        <v/>
      </c>
      <c r="AA2152">
        <f>RAND()</f>
        <v/>
      </c>
      <c r="AB2152">
        <f>RAND()</f>
        <v/>
      </c>
      <c r="AC2152">
        <f>RAND()</f>
        <v/>
      </c>
      <c r="AD2152">
        <f>RAND()</f>
        <v/>
      </c>
      <c r="AE2152">
        <f>RAND()</f>
        <v/>
      </c>
      <c r="AF2152">
        <f>RAND()</f>
        <v/>
      </c>
    </row>
    <row r="2153">
      <c r="M2153" s="14">
        <f>_xlfn.BETA.INV($AA2153,1+4*($D$5-$C$5)/($E$5-$C$5),1+4*($E$5-$D$5)/($E$5-$C$5),$C$5,$E$5)</f>
        <v/>
      </c>
      <c r="N2153" s="14">
        <f>IF($AB2153&lt;($D$6-$C$6)/($E$6-$C$6),$C$6+SQRT($AB2153*($E$6-$C$6)*($D$6-$C$6)),$E$6-SQRT((1-$AB2153)*($E$6-$C$6)*($E$6-$D$6)))</f>
        <v/>
      </c>
      <c r="O2153" s="14">
        <f>_xlfn.NORM.INV($AC2153,$C$7,$D$7)</f>
        <v/>
      </c>
      <c r="P2153" s="14">
        <f>$C$8+($D$8-$C$8)*$AD2153</f>
        <v/>
      </c>
      <c r="Q2153" s="14">
        <f>$C$9</f>
        <v/>
      </c>
      <c r="R2153" s="14">
        <f>_xlfn.LOGNORM.INV($AF2153,LN($C$10)-0.5*LN(1+($D$10/$C$10)^2),SQRT(LN(1+($D$10/$C$10)^2)))</f>
        <v/>
      </c>
      <c r="S2153" s="14">
        <f>SUM(M2153:R2153)</f>
        <v/>
      </c>
      <c r="AA2153">
        <f>RAND()</f>
        <v/>
      </c>
      <c r="AB2153">
        <f>RAND()</f>
        <v/>
      </c>
      <c r="AC2153">
        <f>RAND()</f>
        <v/>
      </c>
      <c r="AD2153">
        <f>RAND()</f>
        <v/>
      </c>
      <c r="AE2153">
        <f>RAND()</f>
        <v/>
      </c>
      <c r="AF2153">
        <f>RAND()</f>
        <v/>
      </c>
    </row>
    <row r="2154">
      <c r="M2154" s="14">
        <f>_xlfn.BETA.INV($AA2154,1+4*($D$5-$C$5)/($E$5-$C$5),1+4*($E$5-$D$5)/($E$5-$C$5),$C$5,$E$5)</f>
        <v/>
      </c>
      <c r="N2154" s="14">
        <f>IF($AB2154&lt;($D$6-$C$6)/($E$6-$C$6),$C$6+SQRT($AB2154*($E$6-$C$6)*($D$6-$C$6)),$E$6-SQRT((1-$AB2154)*($E$6-$C$6)*($E$6-$D$6)))</f>
        <v/>
      </c>
      <c r="O2154" s="14">
        <f>_xlfn.NORM.INV($AC2154,$C$7,$D$7)</f>
        <v/>
      </c>
      <c r="P2154" s="14">
        <f>$C$8+($D$8-$C$8)*$AD2154</f>
        <v/>
      </c>
      <c r="Q2154" s="14">
        <f>$C$9</f>
        <v/>
      </c>
      <c r="R2154" s="14">
        <f>_xlfn.LOGNORM.INV($AF2154,LN($C$10)-0.5*LN(1+($D$10/$C$10)^2),SQRT(LN(1+($D$10/$C$10)^2)))</f>
        <v/>
      </c>
      <c r="S2154" s="14">
        <f>SUM(M2154:R2154)</f>
        <v/>
      </c>
      <c r="AA2154">
        <f>RAND()</f>
        <v/>
      </c>
      <c r="AB2154">
        <f>RAND()</f>
        <v/>
      </c>
      <c r="AC2154">
        <f>RAND()</f>
        <v/>
      </c>
      <c r="AD2154">
        <f>RAND()</f>
        <v/>
      </c>
      <c r="AE2154">
        <f>RAND()</f>
        <v/>
      </c>
      <c r="AF2154">
        <f>RAND()</f>
        <v/>
      </c>
    </row>
    <row r="2155">
      <c r="M2155" s="14">
        <f>_xlfn.BETA.INV($AA2155,1+4*($D$5-$C$5)/($E$5-$C$5),1+4*($E$5-$D$5)/($E$5-$C$5),$C$5,$E$5)</f>
        <v/>
      </c>
      <c r="N2155" s="14">
        <f>IF($AB2155&lt;($D$6-$C$6)/($E$6-$C$6),$C$6+SQRT($AB2155*($E$6-$C$6)*($D$6-$C$6)),$E$6-SQRT((1-$AB2155)*($E$6-$C$6)*($E$6-$D$6)))</f>
        <v/>
      </c>
      <c r="O2155" s="14">
        <f>_xlfn.NORM.INV($AC2155,$C$7,$D$7)</f>
        <v/>
      </c>
      <c r="P2155" s="14">
        <f>$C$8+($D$8-$C$8)*$AD2155</f>
        <v/>
      </c>
      <c r="Q2155" s="14">
        <f>$C$9</f>
        <v/>
      </c>
      <c r="R2155" s="14">
        <f>_xlfn.LOGNORM.INV($AF2155,LN($C$10)-0.5*LN(1+($D$10/$C$10)^2),SQRT(LN(1+($D$10/$C$10)^2)))</f>
        <v/>
      </c>
      <c r="S2155" s="14">
        <f>SUM(M2155:R2155)</f>
        <v/>
      </c>
      <c r="AA2155">
        <f>RAND()</f>
        <v/>
      </c>
      <c r="AB2155">
        <f>RAND()</f>
        <v/>
      </c>
      <c r="AC2155">
        <f>RAND()</f>
        <v/>
      </c>
      <c r="AD2155">
        <f>RAND()</f>
        <v/>
      </c>
      <c r="AE2155">
        <f>RAND()</f>
        <v/>
      </c>
      <c r="AF2155">
        <f>RAND()</f>
        <v/>
      </c>
    </row>
    <row r="2156">
      <c r="M2156" s="14">
        <f>_xlfn.BETA.INV($AA2156,1+4*($D$5-$C$5)/($E$5-$C$5),1+4*($E$5-$D$5)/($E$5-$C$5),$C$5,$E$5)</f>
        <v/>
      </c>
      <c r="N2156" s="14">
        <f>IF($AB2156&lt;($D$6-$C$6)/($E$6-$C$6),$C$6+SQRT($AB2156*($E$6-$C$6)*($D$6-$C$6)),$E$6-SQRT((1-$AB2156)*($E$6-$C$6)*($E$6-$D$6)))</f>
        <v/>
      </c>
      <c r="O2156" s="14">
        <f>_xlfn.NORM.INV($AC2156,$C$7,$D$7)</f>
        <v/>
      </c>
      <c r="P2156" s="14">
        <f>$C$8+($D$8-$C$8)*$AD2156</f>
        <v/>
      </c>
      <c r="Q2156" s="14">
        <f>$C$9</f>
        <v/>
      </c>
      <c r="R2156" s="14">
        <f>_xlfn.LOGNORM.INV($AF2156,LN($C$10)-0.5*LN(1+($D$10/$C$10)^2),SQRT(LN(1+($D$10/$C$10)^2)))</f>
        <v/>
      </c>
      <c r="S2156" s="14">
        <f>SUM(M2156:R2156)</f>
        <v/>
      </c>
      <c r="AA2156">
        <f>RAND()</f>
        <v/>
      </c>
      <c r="AB2156">
        <f>RAND()</f>
        <v/>
      </c>
      <c r="AC2156">
        <f>RAND()</f>
        <v/>
      </c>
      <c r="AD2156">
        <f>RAND()</f>
        <v/>
      </c>
      <c r="AE2156">
        <f>RAND()</f>
        <v/>
      </c>
      <c r="AF2156">
        <f>RAND()</f>
        <v/>
      </c>
    </row>
    <row r="2157">
      <c r="M2157" s="14">
        <f>_xlfn.BETA.INV($AA2157,1+4*($D$5-$C$5)/($E$5-$C$5),1+4*($E$5-$D$5)/($E$5-$C$5),$C$5,$E$5)</f>
        <v/>
      </c>
      <c r="N2157" s="14">
        <f>IF($AB2157&lt;($D$6-$C$6)/($E$6-$C$6),$C$6+SQRT($AB2157*($E$6-$C$6)*($D$6-$C$6)),$E$6-SQRT((1-$AB2157)*($E$6-$C$6)*($E$6-$D$6)))</f>
        <v/>
      </c>
      <c r="O2157" s="14">
        <f>_xlfn.NORM.INV($AC2157,$C$7,$D$7)</f>
        <v/>
      </c>
      <c r="P2157" s="14">
        <f>$C$8+($D$8-$C$8)*$AD2157</f>
        <v/>
      </c>
      <c r="Q2157" s="14">
        <f>$C$9</f>
        <v/>
      </c>
      <c r="R2157" s="14">
        <f>_xlfn.LOGNORM.INV($AF2157,LN($C$10)-0.5*LN(1+($D$10/$C$10)^2),SQRT(LN(1+($D$10/$C$10)^2)))</f>
        <v/>
      </c>
      <c r="S2157" s="14">
        <f>SUM(M2157:R2157)</f>
        <v/>
      </c>
      <c r="AA2157">
        <f>RAND()</f>
        <v/>
      </c>
      <c r="AB2157">
        <f>RAND()</f>
        <v/>
      </c>
      <c r="AC2157">
        <f>RAND()</f>
        <v/>
      </c>
      <c r="AD2157">
        <f>RAND()</f>
        <v/>
      </c>
      <c r="AE2157">
        <f>RAND()</f>
        <v/>
      </c>
      <c r="AF2157">
        <f>RAND()</f>
        <v/>
      </c>
    </row>
    <row r="2158">
      <c r="M2158" s="14">
        <f>_xlfn.BETA.INV($AA2158,1+4*($D$5-$C$5)/($E$5-$C$5),1+4*($E$5-$D$5)/($E$5-$C$5),$C$5,$E$5)</f>
        <v/>
      </c>
      <c r="N2158" s="14">
        <f>IF($AB2158&lt;($D$6-$C$6)/($E$6-$C$6),$C$6+SQRT($AB2158*($E$6-$C$6)*($D$6-$C$6)),$E$6-SQRT((1-$AB2158)*($E$6-$C$6)*($E$6-$D$6)))</f>
        <v/>
      </c>
      <c r="O2158" s="14">
        <f>_xlfn.NORM.INV($AC2158,$C$7,$D$7)</f>
        <v/>
      </c>
      <c r="P2158" s="14">
        <f>$C$8+($D$8-$C$8)*$AD2158</f>
        <v/>
      </c>
      <c r="Q2158" s="14">
        <f>$C$9</f>
        <v/>
      </c>
      <c r="R2158" s="14">
        <f>_xlfn.LOGNORM.INV($AF2158,LN($C$10)-0.5*LN(1+($D$10/$C$10)^2),SQRT(LN(1+($D$10/$C$10)^2)))</f>
        <v/>
      </c>
      <c r="S2158" s="14">
        <f>SUM(M2158:R2158)</f>
        <v/>
      </c>
      <c r="AA2158">
        <f>RAND()</f>
        <v/>
      </c>
      <c r="AB2158">
        <f>RAND()</f>
        <v/>
      </c>
      <c r="AC2158">
        <f>RAND()</f>
        <v/>
      </c>
      <c r="AD2158">
        <f>RAND()</f>
        <v/>
      </c>
      <c r="AE2158">
        <f>RAND()</f>
        <v/>
      </c>
      <c r="AF2158">
        <f>RAND()</f>
        <v/>
      </c>
    </row>
    <row r="2159">
      <c r="M2159" s="14">
        <f>_xlfn.BETA.INV($AA2159,1+4*($D$5-$C$5)/($E$5-$C$5),1+4*($E$5-$D$5)/($E$5-$C$5),$C$5,$E$5)</f>
        <v/>
      </c>
      <c r="N2159" s="14">
        <f>IF($AB2159&lt;($D$6-$C$6)/($E$6-$C$6),$C$6+SQRT($AB2159*($E$6-$C$6)*($D$6-$C$6)),$E$6-SQRT((1-$AB2159)*($E$6-$C$6)*($E$6-$D$6)))</f>
        <v/>
      </c>
      <c r="O2159" s="14">
        <f>_xlfn.NORM.INV($AC2159,$C$7,$D$7)</f>
        <v/>
      </c>
      <c r="P2159" s="14">
        <f>$C$8+($D$8-$C$8)*$AD2159</f>
        <v/>
      </c>
      <c r="Q2159" s="14">
        <f>$C$9</f>
        <v/>
      </c>
      <c r="R2159" s="14">
        <f>_xlfn.LOGNORM.INV($AF2159,LN($C$10)-0.5*LN(1+($D$10/$C$10)^2),SQRT(LN(1+($D$10/$C$10)^2)))</f>
        <v/>
      </c>
      <c r="S2159" s="14">
        <f>SUM(M2159:R2159)</f>
        <v/>
      </c>
      <c r="AA2159">
        <f>RAND()</f>
        <v/>
      </c>
      <c r="AB2159">
        <f>RAND()</f>
        <v/>
      </c>
      <c r="AC2159">
        <f>RAND()</f>
        <v/>
      </c>
      <c r="AD2159">
        <f>RAND()</f>
        <v/>
      </c>
      <c r="AE2159">
        <f>RAND()</f>
        <v/>
      </c>
      <c r="AF2159">
        <f>RAND()</f>
        <v/>
      </c>
    </row>
    <row r="2160">
      <c r="M2160" s="14">
        <f>_xlfn.BETA.INV($AA2160,1+4*($D$5-$C$5)/($E$5-$C$5),1+4*($E$5-$D$5)/($E$5-$C$5),$C$5,$E$5)</f>
        <v/>
      </c>
      <c r="N2160" s="14">
        <f>IF($AB2160&lt;($D$6-$C$6)/($E$6-$C$6),$C$6+SQRT($AB2160*($E$6-$C$6)*($D$6-$C$6)),$E$6-SQRT((1-$AB2160)*($E$6-$C$6)*($E$6-$D$6)))</f>
        <v/>
      </c>
      <c r="O2160" s="14">
        <f>_xlfn.NORM.INV($AC2160,$C$7,$D$7)</f>
        <v/>
      </c>
      <c r="P2160" s="14">
        <f>$C$8+($D$8-$C$8)*$AD2160</f>
        <v/>
      </c>
      <c r="Q2160" s="14">
        <f>$C$9</f>
        <v/>
      </c>
      <c r="R2160" s="14">
        <f>_xlfn.LOGNORM.INV($AF2160,LN($C$10)-0.5*LN(1+($D$10/$C$10)^2),SQRT(LN(1+($D$10/$C$10)^2)))</f>
        <v/>
      </c>
      <c r="S2160" s="14">
        <f>SUM(M2160:R2160)</f>
        <v/>
      </c>
      <c r="AA2160">
        <f>RAND()</f>
        <v/>
      </c>
      <c r="AB2160">
        <f>RAND()</f>
        <v/>
      </c>
      <c r="AC2160">
        <f>RAND()</f>
        <v/>
      </c>
      <c r="AD2160">
        <f>RAND()</f>
        <v/>
      </c>
      <c r="AE2160">
        <f>RAND()</f>
        <v/>
      </c>
      <c r="AF2160">
        <f>RAND()</f>
        <v/>
      </c>
    </row>
    <row r="2161">
      <c r="M2161" s="14">
        <f>_xlfn.BETA.INV($AA2161,1+4*($D$5-$C$5)/($E$5-$C$5),1+4*($E$5-$D$5)/($E$5-$C$5),$C$5,$E$5)</f>
        <v/>
      </c>
      <c r="N2161" s="14">
        <f>IF($AB2161&lt;($D$6-$C$6)/($E$6-$C$6),$C$6+SQRT($AB2161*($E$6-$C$6)*($D$6-$C$6)),$E$6-SQRT((1-$AB2161)*($E$6-$C$6)*($E$6-$D$6)))</f>
        <v/>
      </c>
      <c r="O2161" s="14">
        <f>_xlfn.NORM.INV($AC2161,$C$7,$D$7)</f>
        <v/>
      </c>
      <c r="P2161" s="14">
        <f>$C$8+($D$8-$C$8)*$AD2161</f>
        <v/>
      </c>
      <c r="Q2161" s="14">
        <f>$C$9</f>
        <v/>
      </c>
      <c r="R2161" s="14">
        <f>_xlfn.LOGNORM.INV($AF2161,LN($C$10)-0.5*LN(1+($D$10/$C$10)^2),SQRT(LN(1+($D$10/$C$10)^2)))</f>
        <v/>
      </c>
      <c r="S2161" s="14">
        <f>SUM(M2161:R2161)</f>
        <v/>
      </c>
      <c r="AA2161">
        <f>RAND()</f>
        <v/>
      </c>
      <c r="AB2161">
        <f>RAND()</f>
        <v/>
      </c>
      <c r="AC2161">
        <f>RAND()</f>
        <v/>
      </c>
      <c r="AD2161">
        <f>RAND()</f>
        <v/>
      </c>
      <c r="AE2161">
        <f>RAND()</f>
        <v/>
      </c>
      <c r="AF2161">
        <f>RAND()</f>
        <v/>
      </c>
    </row>
    <row r="2162">
      <c r="M2162" s="14">
        <f>_xlfn.BETA.INV($AA2162,1+4*($D$5-$C$5)/($E$5-$C$5),1+4*($E$5-$D$5)/($E$5-$C$5),$C$5,$E$5)</f>
        <v/>
      </c>
      <c r="N2162" s="14">
        <f>IF($AB2162&lt;($D$6-$C$6)/($E$6-$C$6),$C$6+SQRT($AB2162*($E$6-$C$6)*($D$6-$C$6)),$E$6-SQRT((1-$AB2162)*($E$6-$C$6)*($E$6-$D$6)))</f>
        <v/>
      </c>
      <c r="O2162" s="14">
        <f>_xlfn.NORM.INV($AC2162,$C$7,$D$7)</f>
        <v/>
      </c>
      <c r="P2162" s="14">
        <f>$C$8+($D$8-$C$8)*$AD2162</f>
        <v/>
      </c>
      <c r="Q2162" s="14">
        <f>$C$9</f>
        <v/>
      </c>
      <c r="R2162" s="14">
        <f>_xlfn.LOGNORM.INV($AF2162,LN($C$10)-0.5*LN(1+($D$10/$C$10)^2),SQRT(LN(1+($D$10/$C$10)^2)))</f>
        <v/>
      </c>
      <c r="S2162" s="14">
        <f>SUM(M2162:R2162)</f>
        <v/>
      </c>
      <c r="AA2162">
        <f>RAND()</f>
        <v/>
      </c>
      <c r="AB2162">
        <f>RAND()</f>
        <v/>
      </c>
      <c r="AC2162">
        <f>RAND()</f>
        <v/>
      </c>
      <c r="AD2162">
        <f>RAND()</f>
        <v/>
      </c>
      <c r="AE2162">
        <f>RAND()</f>
        <v/>
      </c>
      <c r="AF2162">
        <f>RAND()</f>
        <v/>
      </c>
    </row>
    <row r="2163">
      <c r="M2163" s="14">
        <f>_xlfn.BETA.INV($AA2163,1+4*($D$5-$C$5)/($E$5-$C$5),1+4*($E$5-$D$5)/($E$5-$C$5),$C$5,$E$5)</f>
        <v/>
      </c>
      <c r="N2163" s="14">
        <f>IF($AB2163&lt;($D$6-$C$6)/($E$6-$C$6),$C$6+SQRT($AB2163*($E$6-$C$6)*($D$6-$C$6)),$E$6-SQRT((1-$AB2163)*($E$6-$C$6)*($E$6-$D$6)))</f>
        <v/>
      </c>
      <c r="O2163" s="14">
        <f>_xlfn.NORM.INV($AC2163,$C$7,$D$7)</f>
        <v/>
      </c>
      <c r="P2163" s="14">
        <f>$C$8+($D$8-$C$8)*$AD2163</f>
        <v/>
      </c>
      <c r="Q2163" s="14">
        <f>$C$9</f>
        <v/>
      </c>
      <c r="R2163" s="14">
        <f>_xlfn.LOGNORM.INV($AF2163,LN($C$10)-0.5*LN(1+($D$10/$C$10)^2),SQRT(LN(1+($D$10/$C$10)^2)))</f>
        <v/>
      </c>
      <c r="S2163" s="14">
        <f>SUM(M2163:R2163)</f>
        <v/>
      </c>
      <c r="AA2163">
        <f>RAND()</f>
        <v/>
      </c>
      <c r="AB2163">
        <f>RAND()</f>
        <v/>
      </c>
      <c r="AC2163">
        <f>RAND()</f>
        <v/>
      </c>
      <c r="AD2163">
        <f>RAND()</f>
        <v/>
      </c>
      <c r="AE2163">
        <f>RAND()</f>
        <v/>
      </c>
      <c r="AF2163">
        <f>RAND()</f>
        <v/>
      </c>
    </row>
    <row r="2164">
      <c r="M2164" s="14">
        <f>_xlfn.BETA.INV($AA2164,1+4*($D$5-$C$5)/($E$5-$C$5),1+4*($E$5-$D$5)/($E$5-$C$5),$C$5,$E$5)</f>
        <v/>
      </c>
      <c r="N2164" s="14">
        <f>IF($AB2164&lt;($D$6-$C$6)/($E$6-$C$6),$C$6+SQRT($AB2164*($E$6-$C$6)*($D$6-$C$6)),$E$6-SQRT((1-$AB2164)*($E$6-$C$6)*($E$6-$D$6)))</f>
        <v/>
      </c>
      <c r="O2164" s="14">
        <f>_xlfn.NORM.INV($AC2164,$C$7,$D$7)</f>
        <v/>
      </c>
      <c r="P2164" s="14">
        <f>$C$8+($D$8-$C$8)*$AD2164</f>
        <v/>
      </c>
      <c r="Q2164" s="14">
        <f>$C$9</f>
        <v/>
      </c>
      <c r="R2164" s="14">
        <f>_xlfn.LOGNORM.INV($AF2164,LN($C$10)-0.5*LN(1+($D$10/$C$10)^2),SQRT(LN(1+($D$10/$C$10)^2)))</f>
        <v/>
      </c>
      <c r="S2164" s="14">
        <f>SUM(M2164:R2164)</f>
        <v/>
      </c>
      <c r="AA2164">
        <f>RAND()</f>
        <v/>
      </c>
      <c r="AB2164">
        <f>RAND()</f>
        <v/>
      </c>
      <c r="AC2164">
        <f>RAND()</f>
        <v/>
      </c>
      <c r="AD2164">
        <f>RAND()</f>
        <v/>
      </c>
      <c r="AE2164">
        <f>RAND()</f>
        <v/>
      </c>
      <c r="AF2164">
        <f>RAND()</f>
        <v/>
      </c>
    </row>
    <row r="2165">
      <c r="M2165" s="14">
        <f>_xlfn.BETA.INV($AA2165,1+4*($D$5-$C$5)/($E$5-$C$5),1+4*($E$5-$D$5)/($E$5-$C$5),$C$5,$E$5)</f>
        <v/>
      </c>
      <c r="N2165" s="14">
        <f>IF($AB2165&lt;($D$6-$C$6)/($E$6-$C$6),$C$6+SQRT($AB2165*($E$6-$C$6)*($D$6-$C$6)),$E$6-SQRT((1-$AB2165)*($E$6-$C$6)*($E$6-$D$6)))</f>
        <v/>
      </c>
      <c r="O2165" s="14">
        <f>_xlfn.NORM.INV($AC2165,$C$7,$D$7)</f>
        <v/>
      </c>
      <c r="P2165" s="14">
        <f>$C$8+($D$8-$C$8)*$AD2165</f>
        <v/>
      </c>
      <c r="Q2165" s="14">
        <f>$C$9</f>
        <v/>
      </c>
      <c r="R2165" s="14">
        <f>_xlfn.LOGNORM.INV($AF2165,LN($C$10)-0.5*LN(1+($D$10/$C$10)^2),SQRT(LN(1+($D$10/$C$10)^2)))</f>
        <v/>
      </c>
      <c r="S2165" s="14">
        <f>SUM(M2165:R2165)</f>
        <v/>
      </c>
      <c r="AA2165">
        <f>RAND()</f>
        <v/>
      </c>
      <c r="AB2165">
        <f>RAND()</f>
        <v/>
      </c>
      <c r="AC2165">
        <f>RAND()</f>
        <v/>
      </c>
      <c r="AD2165">
        <f>RAND()</f>
        <v/>
      </c>
      <c r="AE2165">
        <f>RAND()</f>
        <v/>
      </c>
      <c r="AF2165">
        <f>RAND()</f>
        <v/>
      </c>
    </row>
    <row r="2166">
      <c r="M2166" s="14">
        <f>_xlfn.BETA.INV($AA2166,1+4*($D$5-$C$5)/($E$5-$C$5),1+4*($E$5-$D$5)/($E$5-$C$5),$C$5,$E$5)</f>
        <v/>
      </c>
      <c r="N2166" s="14">
        <f>IF($AB2166&lt;($D$6-$C$6)/($E$6-$C$6),$C$6+SQRT($AB2166*($E$6-$C$6)*($D$6-$C$6)),$E$6-SQRT((1-$AB2166)*($E$6-$C$6)*($E$6-$D$6)))</f>
        <v/>
      </c>
      <c r="O2166" s="14">
        <f>_xlfn.NORM.INV($AC2166,$C$7,$D$7)</f>
        <v/>
      </c>
      <c r="P2166" s="14">
        <f>$C$8+($D$8-$C$8)*$AD2166</f>
        <v/>
      </c>
      <c r="Q2166" s="14">
        <f>$C$9</f>
        <v/>
      </c>
      <c r="R2166" s="14">
        <f>_xlfn.LOGNORM.INV($AF2166,LN($C$10)-0.5*LN(1+($D$10/$C$10)^2),SQRT(LN(1+($D$10/$C$10)^2)))</f>
        <v/>
      </c>
      <c r="S2166" s="14">
        <f>SUM(M2166:R2166)</f>
        <v/>
      </c>
      <c r="AA2166">
        <f>RAND()</f>
        <v/>
      </c>
      <c r="AB2166">
        <f>RAND()</f>
        <v/>
      </c>
      <c r="AC2166">
        <f>RAND()</f>
        <v/>
      </c>
      <c r="AD2166">
        <f>RAND()</f>
        <v/>
      </c>
      <c r="AE2166">
        <f>RAND()</f>
        <v/>
      </c>
      <c r="AF2166">
        <f>RAND()</f>
        <v/>
      </c>
    </row>
    <row r="2167">
      <c r="M2167" s="14">
        <f>_xlfn.BETA.INV($AA2167,1+4*($D$5-$C$5)/($E$5-$C$5),1+4*($E$5-$D$5)/($E$5-$C$5),$C$5,$E$5)</f>
        <v/>
      </c>
      <c r="N2167" s="14">
        <f>IF($AB2167&lt;($D$6-$C$6)/($E$6-$C$6),$C$6+SQRT($AB2167*($E$6-$C$6)*($D$6-$C$6)),$E$6-SQRT((1-$AB2167)*($E$6-$C$6)*($E$6-$D$6)))</f>
        <v/>
      </c>
      <c r="O2167" s="14">
        <f>_xlfn.NORM.INV($AC2167,$C$7,$D$7)</f>
        <v/>
      </c>
      <c r="P2167" s="14">
        <f>$C$8+($D$8-$C$8)*$AD2167</f>
        <v/>
      </c>
      <c r="Q2167" s="14">
        <f>$C$9</f>
        <v/>
      </c>
      <c r="R2167" s="14">
        <f>_xlfn.LOGNORM.INV($AF2167,LN($C$10)-0.5*LN(1+($D$10/$C$10)^2),SQRT(LN(1+($D$10/$C$10)^2)))</f>
        <v/>
      </c>
      <c r="S2167" s="14">
        <f>SUM(M2167:R2167)</f>
        <v/>
      </c>
      <c r="AA2167">
        <f>RAND()</f>
        <v/>
      </c>
      <c r="AB2167">
        <f>RAND()</f>
        <v/>
      </c>
      <c r="AC2167">
        <f>RAND()</f>
        <v/>
      </c>
      <c r="AD2167">
        <f>RAND()</f>
        <v/>
      </c>
      <c r="AE2167">
        <f>RAND()</f>
        <v/>
      </c>
      <c r="AF2167">
        <f>RAND()</f>
        <v/>
      </c>
    </row>
    <row r="2168">
      <c r="M2168" s="14">
        <f>_xlfn.BETA.INV($AA2168,1+4*($D$5-$C$5)/($E$5-$C$5),1+4*($E$5-$D$5)/($E$5-$C$5),$C$5,$E$5)</f>
        <v/>
      </c>
      <c r="N2168" s="14">
        <f>IF($AB2168&lt;($D$6-$C$6)/($E$6-$C$6),$C$6+SQRT($AB2168*($E$6-$C$6)*($D$6-$C$6)),$E$6-SQRT((1-$AB2168)*($E$6-$C$6)*($E$6-$D$6)))</f>
        <v/>
      </c>
      <c r="O2168" s="14">
        <f>_xlfn.NORM.INV($AC2168,$C$7,$D$7)</f>
        <v/>
      </c>
      <c r="P2168" s="14">
        <f>$C$8+($D$8-$C$8)*$AD2168</f>
        <v/>
      </c>
      <c r="Q2168" s="14">
        <f>$C$9</f>
        <v/>
      </c>
      <c r="R2168" s="14">
        <f>_xlfn.LOGNORM.INV($AF2168,LN($C$10)-0.5*LN(1+($D$10/$C$10)^2),SQRT(LN(1+($D$10/$C$10)^2)))</f>
        <v/>
      </c>
      <c r="S2168" s="14">
        <f>SUM(M2168:R2168)</f>
        <v/>
      </c>
      <c r="AA2168">
        <f>RAND()</f>
        <v/>
      </c>
      <c r="AB2168">
        <f>RAND()</f>
        <v/>
      </c>
      <c r="AC2168">
        <f>RAND()</f>
        <v/>
      </c>
      <c r="AD2168">
        <f>RAND()</f>
        <v/>
      </c>
      <c r="AE2168">
        <f>RAND()</f>
        <v/>
      </c>
      <c r="AF2168">
        <f>RAND()</f>
        <v/>
      </c>
    </row>
    <row r="2169">
      <c r="M2169" s="14">
        <f>_xlfn.BETA.INV($AA2169,1+4*($D$5-$C$5)/($E$5-$C$5),1+4*($E$5-$D$5)/($E$5-$C$5),$C$5,$E$5)</f>
        <v/>
      </c>
      <c r="N2169" s="14">
        <f>IF($AB2169&lt;($D$6-$C$6)/($E$6-$C$6),$C$6+SQRT($AB2169*($E$6-$C$6)*($D$6-$C$6)),$E$6-SQRT((1-$AB2169)*($E$6-$C$6)*($E$6-$D$6)))</f>
        <v/>
      </c>
      <c r="O2169" s="14">
        <f>_xlfn.NORM.INV($AC2169,$C$7,$D$7)</f>
        <v/>
      </c>
      <c r="P2169" s="14">
        <f>$C$8+($D$8-$C$8)*$AD2169</f>
        <v/>
      </c>
      <c r="Q2169" s="14">
        <f>$C$9</f>
        <v/>
      </c>
      <c r="R2169" s="14">
        <f>_xlfn.LOGNORM.INV($AF2169,LN($C$10)-0.5*LN(1+($D$10/$C$10)^2),SQRT(LN(1+($D$10/$C$10)^2)))</f>
        <v/>
      </c>
      <c r="S2169" s="14">
        <f>SUM(M2169:R2169)</f>
        <v/>
      </c>
      <c r="AA2169">
        <f>RAND()</f>
        <v/>
      </c>
      <c r="AB2169">
        <f>RAND()</f>
        <v/>
      </c>
      <c r="AC2169">
        <f>RAND()</f>
        <v/>
      </c>
      <c r="AD2169">
        <f>RAND()</f>
        <v/>
      </c>
      <c r="AE2169">
        <f>RAND()</f>
        <v/>
      </c>
      <c r="AF2169">
        <f>RAND()</f>
        <v/>
      </c>
    </row>
    <row r="2170">
      <c r="M2170" s="14">
        <f>_xlfn.BETA.INV($AA2170,1+4*($D$5-$C$5)/($E$5-$C$5),1+4*($E$5-$D$5)/($E$5-$C$5),$C$5,$E$5)</f>
        <v/>
      </c>
      <c r="N2170" s="14">
        <f>IF($AB2170&lt;($D$6-$C$6)/($E$6-$C$6),$C$6+SQRT($AB2170*($E$6-$C$6)*($D$6-$C$6)),$E$6-SQRT((1-$AB2170)*($E$6-$C$6)*($E$6-$D$6)))</f>
        <v/>
      </c>
      <c r="O2170" s="14">
        <f>_xlfn.NORM.INV($AC2170,$C$7,$D$7)</f>
        <v/>
      </c>
      <c r="P2170" s="14">
        <f>$C$8+($D$8-$C$8)*$AD2170</f>
        <v/>
      </c>
      <c r="Q2170" s="14">
        <f>$C$9</f>
        <v/>
      </c>
      <c r="R2170" s="14">
        <f>_xlfn.LOGNORM.INV($AF2170,LN($C$10)-0.5*LN(1+($D$10/$C$10)^2),SQRT(LN(1+($D$10/$C$10)^2)))</f>
        <v/>
      </c>
      <c r="S2170" s="14">
        <f>SUM(M2170:R2170)</f>
        <v/>
      </c>
      <c r="AA2170">
        <f>RAND()</f>
        <v/>
      </c>
      <c r="AB2170">
        <f>RAND()</f>
        <v/>
      </c>
      <c r="AC2170">
        <f>RAND()</f>
        <v/>
      </c>
      <c r="AD2170">
        <f>RAND()</f>
        <v/>
      </c>
      <c r="AE2170">
        <f>RAND()</f>
        <v/>
      </c>
      <c r="AF2170">
        <f>RAND()</f>
        <v/>
      </c>
    </row>
    <row r="2171">
      <c r="M2171" s="14">
        <f>_xlfn.BETA.INV($AA2171,1+4*($D$5-$C$5)/($E$5-$C$5),1+4*($E$5-$D$5)/($E$5-$C$5),$C$5,$E$5)</f>
        <v/>
      </c>
      <c r="N2171" s="14">
        <f>IF($AB2171&lt;($D$6-$C$6)/($E$6-$C$6),$C$6+SQRT($AB2171*($E$6-$C$6)*($D$6-$C$6)),$E$6-SQRT((1-$AB2171)*($E$6-$C$6)*($E$6-$D$6)))</f>
        <v/>
      </c>
      <c r="O2171" s="14">
        <f>_xlfn.NORM.INV($AC2171,$C$7,$D$7)</f>
        <v/>
      </c>
      <c r="P2171" s="14">
        <f>$C$8+($D$8-$C$8)*$AD2171</f>
        <v/>
      </c>
      <c r="Q2171" s="14">
        <f>$C$9</f>
        <v/>
      </c>
      <c r="R2171" s="14">
        <f>_xlfn.LOGNORM.INV($AF2171,LN($C$10)-0.5*LN(1+($D$10/$C$10)^2),SQRT(LN(1+($D$10/$C$10)^2)))</f>
        <v/>
      </c>
      <c r="S2171" s="14">
        <f>SUM(M2171:R2171)</f>
        <v/>
      </c>
      <c r="AA2171">
        <f>RAND()</f>
        <v/>
      </c>
      <c r="AB2171">
        <f>RAND()</f>
        <v/>
      </c>
      <c r="AC2171">
        <f>RAND()</f>
        <v/>
      </c>
      <c r="AD2171">
        <f>RAND()</f>
        <v/>
      </c>
      <c r="AE2171">
        <f>RAND()</f>
        <v/>
      </c>
      <c r="AF2171">
        <f>RAND()</f>
        <v/>
      </c>
    </row>
    <row r="2172">
      <c r="M2172" s="14">
        <f>_xlfn.BETA.INV($AA2172,1+4*($D$5-$C$5)/($E$5-$C$5),1+4*($E$5-$D$5)/($E$5-$C$5),$C$5,$E$5)</f>
        <v/>
      </c>
      <c r="N2172" s="14">
        <f>IF($AB2172&lt;($D$6-$C$6)/($E$6-$C$6),$C$6+SQRT($AB2172*($E$6-$C$6)*($D$6-$C$6)),$E$6-SQRT((1-$AB2172)*($E$6-$C$6)*($E$6-$D$6)))</f>
        <v/>
      </c>
      <c r="O2172" s="14">
        <f>_xlfn.NORM.INV($AC2172,$C$7,$D$7)</f>
        <v/>
      </c>
      <c r="P2172" s="14">
        <f>$C$8+($D$8-$C$8)*$AD2172</f>
        <v/>
      </c>
      <c r="Q2172" s="14">
        <f>$C$9</f>
        <v/>
      </c>
      <c r="R2172" s="14">
        <f>_xlfn.LOGNORM.INV($AF2172,LN($C$10)-0.5*LN(1+($D$10/$C$10)^2),SQRT(LN(1+($D$10/$C$10)^2)))</f>
        <v/>
      </c>
      <c r="S2172" s="14">
        <f>SUM(M2172:R2172)</f>
        <v/>
      </c>
      <c r="AA2172">
        <f>RAND()</f>
        <v/>
      </c>
      <c r="AB2172">
        <f>RAND()</f>
        <v/>
      </c>
      <c r="AC2172">
        <f>RAND()</f>
        <v/>
      </c>
      <c r="AD2172">
        <f>RAND()</f>
        <v/>
      </c>
      <c r="AE2172">
        <f>RAND()</f>
        <v/>
      </c>
      <c r="AF2172">
        <f>RAND()</f>
        <v/>
      </c>
    </row>
    <row r="2173">
      <c r="M2173" s="14">
        <f>_xlfn.BETA.INV($AA2173,1+4*($D$5-$C$5)/($E$5-$C$5),1+4*($E$5-$D$5)/($E$5-$C$5),$C$5,$E$5)</f>
        <v/>
      </c>
      <c r="N2173" s="14">
        <f>IF($AB2173&lt;($D$6-$C$6)/($E$6-$C$6),$C$6+SQRT($AB2173*($E$6-$C$6)*($D$6-$C$6)),$E$6-SQRT((1-$AB2173)*($E$6-$C$6)*($E$6-$D$6)))</f>
        <v/>
      </c>
      <c r="O2173" s="14">
        <f>_xlfn.NORM.INV($AC2173,$C$7,$D$7)</f>
        <v/>
      </c>
      <c r="P2173" s="14">
        <f>$C$8+($D$8-$C$8)*$AD2173</f>
        <v/>
      </c>
      <c r="Q2173" s="14">
        <f>$C$9</f>
        <v/>
      </c>
      <c r="R2173" s="14">
        <f>_xlfn.LOGNORM.INV($AF2173,LN($C$10)-0.5*LN(1+($D$10/$C$10)^2),SQRT(LN(1+($D$10/$C$10)^2)))</f>
        <v/>
      </c>
      <c r="S2173" s="14">
        <f>SUM(M2173:R2173)</f>
        <v/>
      </c>
      <c r="AA2173">
        <f>RAND()</f>
        <v/>
      </c>
      <c r="AB2173">
        <f>RAND()</f>
        <v/>
      </c>
      <c r="AC2173">
        <f>RAND()</f>
        <v/>
      </c>
      <c r="AD2173">
        <f>RAND()</f>
        <v/>
      </c>
      <c r="AE2173">
        <f>RAND()</f>
        <v/>
      </c>
      <c r="AF2173">
        <f>RAND()</f>
        <v/>
      </c>
    </row>
    <row r="2174">
      <c r="M2174" s="14">
        <f>_xlfn.BETA.INV($AA2174,1+4*($D$5-$C$5)/($E$5-$C$5),1+4*($E$5-$D$5)/($E$5-$C$5),$C$5,$E$5)</f>
        <v/>
      </c>
      <c r="N2174" s="14">
        <f>IF($AB2174&lt;($D$6-$C$6)/($E$6-$C$6),$C$6+SQRT($AB2174*($E$6-$C$6)*($D$6-$C$6)),$E$6-SQRT((1-$AB2174)*($E$6-$C$6)*($E$6-$D$6)))</f>
        <v/>
      </c>
      <c r="O2174" s="14">
        <f>_xlfn.NORM.INV($AC2174,$C$7,$D$7)</f>
        <v/>
      </c>
      <c r="P2174" s="14">
        <f>$C$8+($D$8-$C$8)*$AD2174</f>
        <v/>
      </c>
      <c r="Q2174" s="14">
        <f>$C$9</f>
        <v/>
      </c>
      <c r="R2174" s="14">
        <f>_xlfn.LOGNORM.INV($AF2174,LN($C$10)-0.5*LN(1+($D$10/$C$10)^2),SQRT(LN(1+($D$10/$C$10)^2)))</f>
        <v/>
      </c>
      <c r="S2174" s="14">
        <f>SUM(M2174:R2174)</f>
        <v/>
      </c>
      <c r="AA2174">
        <f>RAND()</f>
        <v/>
      </c>
      <c r="AB2174">
        <f>RAND()</f>
        <v/>
      </c>
      <c r="AC2174">
        <f>RAND()</f>
        <v/>
      </c>
      <c r="AD2174">
        <f>RAND()</f>
        <v/>
      </c>
      <c r="AE2174">
        <f>RAND()</f>
        <v/>
      </c>
      <c r="AF2174">
        <f>RAND()</f>
        <v/>
      </c>
    </row>
    <row r="2175">
      <c r="M2175" s="14">
        <f>_xlfn.BETA.INV($AA2175,1+4*($D$5-$C$5)/($E$5-$C$5),1+4*($E$5-$D$5)/($E$5-$C$5),$C$5,$E$5)</f>
        <v/>
      </c>
      <c r="N2175" s="14">
        <f>IF($AB2175&lt;($D$6-$C$6)/($E$6-$C$6),$C$6+SQRT($AB2175*($E$6-$C$6)*($D$6-$C$6)),$E$6-SQRT((1-$AB2175)*($E$6-$C$6)*($E$6-$D$6)))</f>
        <v/>
      </c>
      <c r="O2175" s="14">
        <f>_xlfn.NORM.INV($AC2175,$C$7,$D$7)</f>
        <v/>
      </c>
      <c r="P2175" s="14">
        <f>$C$8+($D$8-$C$8)*$AD2175</f>
        <v/>
      </c>
      <c r="Q2175" s="14">
        <f>$C$9</f>
        <v/>
      </c>
      <c r="R2175" s="14">
        <f>_xlfn.LOGNORM.INV($AF2175,LN($C$10)-0.5*LN(1+($D$10/$C$10)^2),SQRT(LN(1+($D$10/$C$10)^2)))</f>
        <v/>
      </c>
      <c r="S2175" s="14">
        <f>SUM(M2175:R2175)</f>
        <v/>
      </c>
      <c r="AA2175">
        <f>RAND()</f>
        <v/>
      </c>
      <c r="AB2175">
        <f>RAND()</f>
        <v/>
      </c>
      <c r="AC2175">
        <f>RAND()</f>
        <v/>
      </c>
      <c r="AD2175">
        <f>RAND()</f>
        <v/>
      </c>
      <c r="AE2175">
        <f>RAND()</f>
        <v/>
      </c>
      <c r="AF2175">
        <f>RAND()</f>
        <v/>
      </c>
    </row>
    <row r="2176">
      <c r="M2176" s="14">
        <f>_xlfn.BETA.INV($AA2176,1+4*($D$5-$C$5)/($E$5-$C$5),1+4*($E$5-$D$5)/($E$5-$C$5),$C$5,$E$5)</f>
        <v/>
      </c>
      <c r="N2176" s="14">
        <f>IF($AB2176&lt;($D$6-$C$6)/($E$6-$C$6),$C$6+SQRT($AB2176*($E$6-$C$6)*($D$6-$C$6)),$E$6-SQRT((1-$AB2176)*($E$6-$C$6)*($E$6-$D$6)))</f>
        <v/>
      </c>
      <c r="O2176" s="14">
        <f>_xlfn.NORM.INV($AC2176,$C$7,$D$7)</f>
        <v/>
      </c>
      <c r="P2176" s="14">
        <f>$C$8+($D$8-$C$8)*$AD2176</f>
        <v/>
      </c>
      <c r="Q2176" s="14">
        <f>$C$9</f>
        <v/>
      </c>
      <c r="R2176" s="14">
        <f>_xlfn.LOGNORM.INV($AF2176,LN($C$10)-0.5*LN(1+($D$10/$C$10)^2),SQRT(LN(1+($D$10/$C$10)^2)))</f>
        <v/>
      </c>
      <c r="S2176" s="14">
        <f>SUM(M2176:R2176)</f>
        <v/>
      </c>
      <c r="AA2176">
        <f>RAND()</f>
        <v/>
      </c>
      <c r="AB2176">
        <f>RAND()</f>
        <v/>
      </c>
      <c r="AC2176">
        <f>RAND()</f>
        <v/>
      </c>
      <c r="AD2176">
        <f>RAND()</f>
        <v/>
      </c>
      <c r="AE2176">
        <f>RAND()</f>
        <v/>
      </c>
      <c r="AF2176">
        <f>RAND()</f>
        <v/>
      </c>
    </row>
    <row r="2177">
      <c r="M2177" s="14">
        <f>_xlfn.BETA.INV($AA2177,1+4*($D$5-$C$5)/($E$5-$C$5),1+4*($E$5-$D$5)/($E$5-$C$5),$C$5,$E$5)</f>
        <v/>
      </c>
      <c r="N2177" s="14">
        <f>IF($AB2177&lt;($D$6-$C$6)/($E$6-$C$6),$C$6+SQRT($AB2177*($E$6-$C$6)*($D$6-$C$6)),$E$6-SQRT((1-$AB2177)*($E$6-$C$6)*($E$6-$D$6)))</f>
        <v/>
      </c>
      <c r="O2177" s="14">
        <f>_xlfn.NORM.INV($AC2177,$C$7,$D$7)</f>
        <v/>
      </c>
      <c r="P2177" s="14">
        <f>$C$8+($D$8-$C$8)*$AD2177</f>
        <v/>
      </c>
      <c r="Q2177" s="14">
        <f>$C$9</f>
        <v/>
      </c>
      <c r="R2177" s="14">
        <f>_xlfn.LOGNORM.INV($AF2177,LN($C$10)-0.5*LN(1+($D$10/$C$10)^2),SQRT(LN(1+($D$10/$C$10)^2)))</f>
        <v/>
      </c>
      <c r="S2177" s="14">
        <f>SUM(M2177:R2177)</f>
        <v/>
      </c>
      <c r="AA2177">
        <f>RAND()</f>
        <v/>
      </c>
      <c r="AB2177">
        <f>RAND()</f>
        <v/>
      </c>
      <c r="AC2177">
        <f>RAND()</f>
        <v/>
      </c>
      <c r="AD2177">
        <f>RAND()</f>
        <v/>
      </c>
      <c r="AE2177">
        <f>RAND()</f>
        <v/>
      </c>
      <c r="AF2177">
        <f>RAND()</f>
        <v/>
      </c>
    </row>
    <row r="2178">
      <c r="M2178" s="14">
        <f>_xlfn.BETA.INV($AA2178,1+4*($D$5-$C$5)/($E$5-$C$5),1+4*($E$5-$D$5)/($E$5-$C$5),$C$5,$E$5)</f>
        <v/>
      </c>
      <c r="N2178" s="14">
        <f>IF($AB2178&lt;($D$6-$C$6)/($E$6-$C$6),$C$6+SQRT($AB2178*($E$6-$C$6)*($D$6-$C$6)),$E$6-SQRT((1-$AB2178)*($E$6-$C$6)*($E$6-$D$6)))</f>
        <v/>
      </c>
      <c r="O2178" s="14">
        <f>_xlfn.NORM.INV($AC2178,$C$7,$D$7)</f>
        <v/>
      </c>
      <c r="P2178" s="14">
        <f>$C$8+($D$8-$C$8)*$AD2178</f>
        <v/>
      </c>
      <c r="Q2178" s="14">
        <f>$C$9</f>
        <v/>
      </c>
      <c r="R2178" s="14">
        <f>_xlfn.LOGNORM.INV($AF2178,LN($C$10)-0.5*LN(1+($D$10/$C$10)^2),SQRT(LN(1+($D$10/$C$10)^2)))</f>
        <v/>
      </c>
      <c r="S2178" s="14">
        <f>SUM(M2178:R2178)</f>
        <v/>
      </c>
      <c r="AA2178">
        <f>RAND()</f>
        <v/>
      </c>
      <c r="AB2178">
        <f>RAND()</f>
        <v/>
      </c>
      <c r="AC2178">
        <f>RAND()</f>
        <v/>
      </c>
      <c r="AD2178">
        <f>RAND()</f>
        <v/>
      </c>
      <c r="AE2178">
        <f>RAND()</f>
        <v/>
      </c>
      <c r="AF2178">
        <f>RAND()</f>
        <v/>
      </c>
    </row>
    <row r="2179">
      <c r="M2179" s="14">
        <f>_xlfn.BETA.INV($AA2179,1+4*($D$5-$C$5)/($E$5-$C$5),1+4*($E$5-$D$5)/($E$5-$C$5),$C$5,$E$5)</f>
        <v/>
      </c>
      <c r="N2179" s="14">
        <f>IF($AB2179&lt;($D$6-$C$6)/($E$6-$C$6),$C$6+SQRT($AB2179*($E$6-$C$6)*($D$6-$C$6)),$E$6-SQRT((1-$AB2179)*($E$6-$C$6)*($E$6-$D$6)))</f>
        <v/>
      </c>
      <c r="O2179" s="14">
        <f>_xlfn.NORM.INV($AC2179,$C$7,$D$7)</f>
        <v/>
      </c>
      <c r="P2179" s="14">
        <f>$C$8+($D$8-$C$8)*$AD2179</f>
        <v/>
      </c>
      <c r="Q2179" s="14">
        <f>$C$9</f>
        <v/>
      </c>
      <c r="R2179" s="14">
        <f>_xlfn.LOGNORM.INV($AF2179,LN($C$10)-0.5*LN(1+($D$10/$C$10)^2),SQRT(LN(1+($D$10/$C$10)^2)))</f>
        <v/>
      </c>
      <c r="S2179" s="14">
        <f>SUM(M2179:R2179)</f>
        <v/>
      </c>
      <c r="AA2179">
        <f>RAND()</f>
        <v/>
      </c>
      <c r="AB2179">
        <f>RAND()</f>
        <v/>
      </c>
      <c r="AC2179">
        <f>RAND()</f>
        <v/>
      </c>
      <c r="AD2179">
        <f>RAND()</f>
        <v/>
      </c>
      <c r="AE2179">
        <f>RAND()</f>
        <v/>
      </c>
      <c r="AF2179">
        <f>RAND()</f>
        <v/>
      </c>
    </row>
    <row r="2180">
      <c r="M2180" s="14">
        <f>_xlfn.BETA.INV($AA2180,1+4*($D$5-$C$5)/($E$5-$C$5),1+4*($E$5-$D$5)/($E$5-$C$5),$C$5,$E$5)</f>
        <v/>
      </c>
      <c r="N2180" s="14">
        <f>IF($AB2180&lt;($D$6-$C$6)/($E$6-$C$6),$C$6+SQRT($AB2180*($E$6-$C$6)*($D$6-$C$6)),$E$6-SQRT((1-$AB2180)*($E$6-$C$6)*($E$6-$D$6)))</f>
        <v/>
      </c>
      <c r="O2180" s="14">
        <f>_xlfn.NORM.INV($AC2180,$C$7,$D$7)</f>
        <v/>
      </c>
      <c r="P2180" s="14">
        <f>$C$8+($D$8-$C$8)*$AD2180</f>
        <v/>
      </c>
      <c r="Q2180" s="14">
        <f>$C$9</f>
        <v/>
      </c>
      <c r="R2180" s="14">
        <f>_xlfn.LOGNORM.INV($AF2180,LN($C$10)-0.5*LN(1+($D$10/$C$10)^2),SQRT(LN(1+($D$10/$C$10)^2)))</f>
        <v/>
      </c>
      <c r="S2180" s="14">
        <f>SUM(M2180:R2180)</f>
        <v/>
      </c>
      <c r="AA2180">
        <f>RAND()</f>
        <v/>
      </c>
      <c r="AB2180">
        <f>RAND()</f>
        <v/>
      </c>
      <c r="AC2180">
        <f>RAND()</f>
        <v/>
      </c>
      <c r="AD2180">
        <f>RAND()</f>
        <v/>
      </c>
      <c r="AE2180">
        <f>RAND()</f>
        <v/>
      </c>
      <c r="AF2180">
        <f>RAND()</f>
        <v/>
      </c>
    </row>
    <row r="2181">
      <c r="M2181" s="14">
        <f>_xlfn.BETA.INV($AA2181,1+4*($D$5-$C$5)/($E$5-$C$5),1+4*($E$5-$D$5)/($E$5-$C$5),$C$5,$E$5)</f>
        <v/>
      </c>
      <c r="N2181" s="14">
        <f>IF($AB2181&lt;($D$6-$C$6)/($E$6-$C$6),$C$6+SQRT($AB2181*($E$6-$C$6)*($D$6-$C$6)),$E$6-SQRT((1-$AB2181)*($E$6-$C$6)*($E$6-$D$6)))</f>
        <v/>
      </c>
      <c r="O2181" s="14">
        <f>_xlfn.NORM.INV($AC2181,$C$7,$D$7)</f>
        <v/>
      </c>
      <c r="P2181" s="14">
        <f>$C$8+($D$8-$C$8)*$AD2181</f>
        <v/>
      </c>
      <c r="Q2181" s="14">
        <f>$C$9</f>
        <v/>
      </c>
      <c r="R2181" s="14">
        <f>_xlfn.LOGNORM.INV($AF2181,LN($C$10)-0.5*LN(1+($D$10/$C$10)^2),SQRT(LN(1+($D$10/$C$10)^2)))</f>
        <v/>
      </c>
      <c r="S2181" s="14">
        <f>SUM(M2181:R2181)</f>
        <v/>
      </c>
      <c r="AA2181">
        <f>RAND()</f>
        <v/>
      </c>
      <c r="AB2181">
        <f>RAND()</f>
        <v/>
      </c>
      <c r="AC2181">
        <f>RAND()</f>
        <v/>
      </c>
      <c r="AD2181">
        <f>RAND()</f>
        <v/>
      </c>
      <c r="AE2181">
        <f>RAND()</f>
        <v/>
      </c>
      <c r="AF2181">
        <f>RAND()</f>
        <v/>
      </c>
    </row>
    <row r="2182">
      <c r="M2182" s="14">
        <f>_xlfn.BETA.INV($AA2182,1+4*($D$5-$C$5)/($E$5-$C$5),1+4*($E$5-$D$5)/($E$5-$C$5),$C$5,$E$5)</f>
        <v/>
      </c>
      <c r="N2182" s="14">
        <f>IF($AB2182&lt;($D$6-$C$6)/($E$6-$C$6),$C$6+SQRT($AB2182*($E$6-$C$6)*($D$6-$C$6)),$E$6-SQRT((1-$AB2182)*($E$6-$C$6)*($E$6-$D$6)))</f>
        <v/>
      </c>
      <c r="O2182" s="14">
        <f>_xlfn.NORM.INV($AC2182,$C$7,$D$7)</f>
        <v/>
      </c>
      <c r="P2182" s="14">
        <f>$C$8+($D$8-$C$8)*$AD2182</f>
        <v/>
      </c>
      <c r="Q2182" s="14">
        <f>$C$9</f>
        <v/>
      </c>
      <c r="R2182" s="14">
        <f>_xlfn.LOGNORM.INV($AF2182,LN($C$10)-0.5*LN(1+($D$10/$C$10)^2),SQRT(LN(1+($D$10/$C$10)^2)))</f>
        <v/>
      </c>
      <c r="S2182" s="14">
        <f>SUM(M2182:R2182)</f>
        <v/>
      </c>
      <c r="AA2182">
        <f>RAND()</f>
        <v/>
      </c>
      <c r="AB2182">
        <f>RAND()</f>
        <v/>
      </c>
      <c r="AC2182">
        <f>RAND()</f>
        <v/>
      </c>
      <c r="AD2182">
        <f>RAND()</f>
        <v/>
      </c>
      <c r="AE2182">
        <f>RAND()</f>
        <v/>
      </c>
      <c r="AF2182">
        <f>RAND()</f>
        <v/>
      </c>
    </row>
    <row r="2183">
      <c r="M2183" s="14">
        <f>_xlfn.BETA.INV($AA2183,1+4*($D$5-$C$5)/($E$5-$C$5),1+4*($E$5-$D$5)/($E$5-$C$5),$C$5,$E$5)</f>
        <v/>
      </c>
      <c r="N2183" s="14">
        <f>IF($AB2183&lt;($D$6-$C$6)/($E$6-$C$6),$C$6+SQRT($AB2183*($E$6-$C$6)*($D$6-$C$6)),$E$6-SQRT((1-$AB2183)*($E$6-$C$6)*($E$6-$D$6)))</f>
        <v/>
      </c>
      <c r="O2183" s="14">
        <f>_xlfn.NORM.INV($AC2183,$C$7,$D$7)</f>
        <v/>
      </c>
      <c r="P2183" s="14">
        <f>$C$8+($D$8-$C$8)*$AD2183</f>
        <v/>
      </c>
      <c r="Q2183" s="14">
        <f>$C$9</f>
        <v/>
      </c>
      <c r="R2183" s="14">
        <f>_xlfn.LOGNORM.INV($AF2183,LN($C$10)-0.5*LN(1+($D$10/$C$10)^2),SQRT(LN(1+($D$10/$C$10)^2)))</f>
        <v/>
      </c>
      <c r="S2183" s="14">
        <f>SUM(M2183:R2183)</f>
        <v/>
      </c>
      <c r="AA2183">
        <f>RAND()</f>
        <v/>
      </c>
      <c r="AB2183">
        <f>RAND()</f>
        <v/>
      </c>
      <c r="AC2183">
        <f>RAND()</f>
        <v/>
      </c>
      <c r="AD2183">
        <f>RAND()</f>
        <v/>
      </c>
      <c r="AE2183">
        <f>RAND()</f>
        <v/>
      </c>
      <c r="AF2183">
        <f>RAND()</f>
        <v/>
      </c>
    </row>
    <row r="2184">
      <c r="M2184" s="14">
        <f>_xlfn.BETA.INV($AA2184,1+4*($D$5-$C$5)/($E$5-$C$5),1+4*($E$5-$D$5)/($E$5-$C$5),$C$5,$E$5)</f>
        <v/>
      </c>
      <c r="N2184" s="14">
        <f>IF($AB2184&lt;($D$6-$C$6)/($E$6-$C$6),$C$6+SQRT($AB2184*($E$6-$C$6)*($D$6-$C$6)),$E$6-SQRT((1-$AB2184)*($E$6-$C$6)*($E$6-$D$6)))</f>
        <v/>
      </c>
      <c r="O2184" s="14">
        <f>_xlfn.NORM.INV($AC2184,$C$7,$D$7)</f>
        <v/>
      </c>
      <c r="P2184" s="14">
        <f>$C$8+($D$8-$C$8)*$AD2184</f>
        <v/>
      </c>
      <c r="Q2184" s="14">
        <f>$C$9</f>
        <v/>
      </c>
      <c r="R2184" s="14">
        <f>_xlfn.LOGNORM.INV($AF2184,LN($C$10)-0.5*LN(1+($D$10/$C$10)^2),SQRT(LN(1+($D$10/$C$10)^2)))</f>
        <v/>
      </c>
      <c r="S2184" s="14">
        <f>SUM(M2184:R2184)</f>
        <v/>
      </c>
      <c r="AA2184">
        <f>RAND()</f>
        <v/>
      </c>
      <c r="AB2184">
        <f>RAND()</f>
        <v/>
      </c>
      <c r="AC2184">
        <f>RAND()</f>
        <v/>
      </c>
      <c r="AD2184">
        <f>RAND()</f>
        <v/>
      </c>
      <c r="AE2184">
        <f>RAND()</f>
        <v/>
      </c>
      <c r="AF2184">
        <f>RAND()</f>
        <v/>
      </c>
    </row>
    <row r="2185">
      <c r="M2185" s="14">
        <f>_xlfn.BETA.INV($AA2185,1+4*($D$5-$C$5)/($E$5-$C$5),1+4*($E$5-$D$5)/($E$5-$C$5),$C$5,$E$5)</f>
        <v/>
      </c>
      <c r="N2185" s="14">
        <f>IF($AB2185&lt;($D$6-$C$6)/($E$6-$C$6),$C$6+SQRT($AB2185*($E$6-$C$6)*($D$6-$C$6)),$E$6-SQRT((1-$AB2185)*($E$6-$C$6)*($E$6-$D$6)))</f>
        <v/>
      </c>
      <c r="O2185" s="14">
        <f>_xlfn.NORM.INV($AC2185,$C$7,$D$7)</f>
        <v/>
      </c>
      <c r="P2185" s="14">
        <f>$C$8+($D$8-$C$8)*$AD2185</f>
        <v/>
      </c>
      <c r="Q2185" s="14">
        <f>$C$9</f>
        <v/>
      </c>
      <c r="R2185" s="14">
        <f>_xlfn.LOGNORM.INV($AF2185,LN($C$10)-0.5*LN(1+($D$10/$C$10)^2),SQRT(LN(1+($D$10/$C$10)^2)))</f>
        <v/>
      </c>
      <c r="S2185" s="14">
        <f>SUM(M2185:R2185)</f>
        <v/>
      </c>
      <c r="AA2185">
        <f>RAND()</f>
        <v/>
      </c>
      <c r="AB2185">
        <f>RAND()</f>
        <v/>
      </c>
      <c r="AC2185">
        <f>RAND()</f>
        <v/>
      </c>
      <c r="AD2185">
        <f>RAND()</f>
        <v/>
      </c>
      <c r="AE2185">
        <f>RAND()</f>
        <v/>
      </c>
      <c r="AF2185">
        <f>RAND()</f>
        <v/>
      </c>
    </row>
    <row r="2186">
      <c r="M2186" s="14">
        <f>_xlfn.BETA.INV($AA2186,1+4*($D$5-$C$5)/($E$5-$C$5),1+4*($E$5-$D$5)/($E$5-$C$5),$C$5,$E$5)</f>
        <v/>
      </c>
      <c r="N2186" s="14">
        <f>IF($AB2186&lt;($D$6-$C$6)/($E$6-$C$6),$C$6+SQRT($AB2186*($E$6-$C$6)*($D$6-$C$6)),$E$6-SQRT((1-$AB2186)*($E$6-$C$6)*($E$6-$D$6)))</f>
        <v/>
      </c>
      <c r="O2186" s="14">
        <f>_xlfn.NORM.INV($AC2186,$C$7,$D$7)</f>
        <v/>
      </c>
      <c r="P2186" s="14">
        <f>$C$8+($D$8-$C$8)*$AD2186</f>
        <v/>
      </c>
      <c r="Q2186" s="14">
        <f>$C$9</f>
        <v/>
      </c>
      <c r="R2186" s="14">
        <f>_xlfn.LOGNORM.INV($AF2186,LN($C$10)-0.5*LN(1+($D$10/$C$10)^2),SQRT(LN(1+($D$10/$C$10)^2)))</f>
        <v/>
      </c>
      <c r="S2186" s="14">
        <f>SUM(M2186:R2186)</f>
        <v/>
      </c>
      <c r="AA2186">
        <f>RAND()</f>
        <v/>
      </c>
      <c r="AB2186">
        <f>RAND()</f>
        <v/>
      </c>
      <c r="AC2186">
        <f>RAND()</f>
        <v/>
      </c>
      <c r="AD2186">
        <f>RAND()</f>
        <v/>
      </c>
      <c r="AE2186">
        <f>RAND()</f>
        <v/>
      </c>
      <c r="AF2186">
        <f>RAND()</f>
        <v/>
      </c>
    </row>
    <row r="2187">
      <c r="M2187" s="14">
        <f>_xlfn.BETA.INV($AA2187,1+4*($D$5-$C$5)/($E$5-$C$5),1+4*($E$5-$D$5)/($E$5-$C$5),$C$5,$E$5)</f>
        <v/>
      </c>
      <c r="N2187" s="14">
        <f>IF($AB2187&lt;($D$6-$C$6)/($E$6-$C$6),$C$6+SQRT($AB2187*($E$6-$C$6)*($D$6-$C$6)),$E$6-SQRT((1-$AB2187)*($E$6-$C$6)*($E$6-$D$6)))</f>
        <v/>
      </c>
      <c r="O2187" s="14">
        <f>_xlfn.NORM.INV($AC2187,$C$7,$D$7)</f>
        <v/>
      </c>
      <c r="P2187" s="14">
        <f>$C$8+($D$8-$C$8)*$AD2187</f>
        <v/>
      </c>
      <c r="Q2187" s="14">
        <f>$C$9</f>
        <v/>
      </c>
      <c r="R2187" s="14">
        <f>_xlfn.LOGNORM.INV($AF2187,LN($C$10)-0.5*LN(1+($D$10/$C$10)^2),SQRT(LN(1+($D$10/$C$10)^2)))</f>
        <v/>
      </c>
      <c r="S2187" s="14">
        <f>SUM(M2187:R2187)</f>
        <v/>
      </c>
      <c r="AA2187">
        <f>RAND()</f>
        <v/>
      </c>
      <c r="AB2187">
        <f>RAND()</f>
        <v/>
      </c>
      <c r="AC2187">
        <f>RAND()</f>
        <v/>
      </c>
      <c r="AD2187">
        <f>RAND()</f>
        <v/>
      </c>
      <c r="AE2187">
        <f>RAND()</f>
        <v/>
      </c>
      <c r="AF2187">
        <f>RAND()</f>
        <v/>
      </c>
    </row>
    <row r="2188">
      <c r="M2188" s="14">
        <f>_xlfn.BETA.INV($AA2188,1+4*($D$5-$C$5)/($E$5-$C$5),1+4*($E$5-$D$5)/($E$5-$C$5),$C$5,$E$5)</f>
        <v/>
      </c>
      <c r="N2188" s="14">
        <f>IF($AB2188&lt;($D$6-$C$6)/($E$6-$C$6),$C$6+SQRT($AB2188*($E$6-$C$6)*($D$6-$C$6)),$E$6-SQRT((1-$AB2188)*($E$6-$C$6)*($E$6-$D$6)))</f>
        <v/>
      </c>
      <c r="O2188" s="14">
        <f>_xlfn.NORM.INV($AC2188,$C$7,$D$7)</f>
        <v/>
      </c>
      <c r="P2188" s="14">
        <f>$C$8+($D$8-$C$8)*$AD2188</f>
        <v/>
      </c>
      <c r="Q2188" s="14">
        <f>$C$9</f>
        <v/>
      </c>
      <c r="R2188" s="14">
        <f>_xlfn.LOGNORM.INV($AF2188,LN($C$10)-0.5*LN(1+($D$10/$C$10)^2),SQRT(LN(1+($D$10/$C$10)^2)))</f>
        <v/>
      </c>
      <c r="S2188" s="14">
        <f>SUM(M2188:R2188)</f>
        <v/>
      </c>
      <c r="AA2188">
        <f>RAND()</f>
        <v/>
      </c>
      <c r="AB2188">
        <f>RAND()</f>
        <v/>
      </c>
      <c r="AC2188">
        <f>RAND()</f>
        <v/>
      </c>
      <c r="AD2188">
        <f>RAND()</f>
        <v/>
      </c>
      <c r="AE2188">
        <f>RAND()</f>
        <v/>
      </c>
      <c r="AF2188">
        <f>RAND()</f>
        <v/>
      </c>
    </row>
    <row r="2189">
      <c r="M2189" s="14">
        <f>_xlfn.BETA.INV($AA2189,1+4*($D$5-$C$5)/($E$5-$C$5),1+4*($E$5-$D$5)/($E$5-$C$5),$C$5,$E$5)</f>
        <v/>
      </c>
      <c r="N2189" s="14">
        <f>IF($AB2189&lt;($D$6-$C$6)/($E$6-$C$6),$C$6+SQRT($AB2189*($E$6-$C$6)*($D$6-$C$6)),$E$6-SQRT((1-$AB2189)*($E$6-$C$6)*($E$6-$D$6)))</f>
        <v/>
      </c>
      <c r="O2189" s="14">
        <f>_xlfn.NORM.INV($AC2189,$C$7,$D$7)</f>
        <v/>
      </c>
      <c r="P2189" s="14">
        <f>$C$8+($D$8-$C$8)*$AD2189</f>
        <v/>
      </c>
      <c r="Q2189" s="14">
        <f>$C$9</f>
        <v/>
      </c>
      <c r="R2189" s="14">
        <f>_xlfn.LOGNORM.INV($AF2189,LN($C$10)-0.5*LN(1+($D$10/$C$10)^2),SQRT(LN(1+($D$10/$C$10)^2)))</f>
        <v/>
      </c>
      <c r="S2189" s="14">
        <f>SUM(M2189:R2189)</f>
        <v/>
      </c>
      <c r="AA2189">
        <f>RAND()</f>
        <v/>
      </c>
      <c r="AB2189">
        <f>RAND()</f>
        <v/>
      </c>
      <c r="AC2189">
        <f>RAND()</f>
        <v/>
      </c>
      <c r="AD2189">
        <f>RAND()</f>
        <v/>
      </c>
      <c r="AE2189">
        <f>RAND()</f>
        <v/>
      </c>
      <c r="AF2189">
        <f>RAND()</f>
        <v/>
      </c>
    </row>
    <row r="2190">
      <c r="M2190" s="14">
        <f>_xlfn.BETA.INV($AA2190,1+4*($D$5-$C$5)/($E$5-$C$5),1+4*($E$5-$D$5)/($E$5-$C$5),$C$5,$E$5)</f>
        <v/>
      </c>
      <c r="N2190" s="14">
        <f>IF($AB2190&lt;($D$6-$C$6)/($E$6-$C$6),$C$6+SQRT($AB2190*($E$6-$C$6)*($D$6-$C$6)),$E$6-SQRT((1-$AB2190)*($E$6-$C$6)*($E$6-$D$6)))</f>
        <v/>
      </c>
      <c r="O2190" s="14">
        <f>_xlfn.NORM.INV($AC2190,$C$7,$D$7)</f>
        <v/>
      </c>
      <c r="P2190" s="14">
        <f>$C$8+($D$8-$C$8)*$AD2190</f>
        <v/>
      </c>
      <c r="Q2190" s="14">
        <f>$C$9</f>
        <v/>
      </c>
      <c r="R2190" s="14">
        <f>_xlfn.LOGNORM.INV($AF2190,LN($C$10)-0.5*LN(1+($D$10/$C$10)^2),SQRT(LN(1+($D$10/$C$10)^2)))</f>
        <v/>
      </c>
      <c r="S2190" s="14">
        <f>SUM(M2190:R2190)</f>
        <v/>
      </c>
      <c r="AA2190">
        <f>RAND()</f>
        <v/>
      </c>
      <c r="AB2190">
        <f>RAND()</f>
        <v/>
      </c>
      <c r="AC2190">
        <f>RAND()</f>
        <v/>
      </c>
      <c r="AD2190">
        <f>RAND()</f>
        <v/>
      </c>
      <c r="AE2190">
        <f>RAND()</f>
        <v/>
      </c>
      <c r="AF2190">
        <f>RAND()</f>
        <v/>
      </c>
    </row>
    <row r="2191">
      <c r="M2191" s="14">
        <f>_xlfn.BETA.INV($AA2191,1+4*($D$5-$C$5)/($E$5-$C$5),1+4*($E$5-$D$5)/($E$5-$C$5),$C$5,$E$5)</f>
        <v/>
      </c>
      <c r="N2191" s="14">
        <f>IF($AB2191&lt;($D$6-$C$6)/($E$6-$C$6),$C$6+SQRT($AB2191*($E$6-$C$6)*($D$6-$C$6)),$E$6-SQRT((1-$AB2191)*($E$6-$C$6)*($E$6-$D$6)))</f>
        <v/>
      </c>
      <c r="O2191" s="14">
        <f>_xlfn.NORM.INV($AC2191,$C$7,$D$7)</f>
        <v/>
      </c>
      <c r="P2191" s="14">
        <f>$C$8+($D$8-$C$8)*$AD2191</f>
        <v/>
      </c>
      <c r="Q2191" s="14">
        <f>$C$9</f>
        <v/>
      </c>
      <c r="R2191" s="14">
        <f>_xlfn.LOGNORM.INV($AF2191,LN($C$10)-0.5*LN(1+($D$10/$C$10)^2),SQRT(LN(1+($D$10/$C$10)^2)))</f>
        <v/>
      </c>
      <c r="S2191" s="14">
        <f>SUM(M2191:R2191)</f>
        <v/>
      </c>
      <c r="AA2191">
        <f>RAND()</f>
        <v/>
      </c>
      <c r="AB2191">
        <f>RAND()</f>
        <v/>
      </c>
      <c r="AC2191">
        <f>RAND()</f>
        <v/>
      </c>
      <c r="AD2191">
        <f>RAND()</f>
        <v/>
      </c>
      <c r="AE2191">
        <f>RAND()</f>
        <v/>
      </c>
      <c r="AF2191">
        <f>RAND()</f>
        <v/>
      </c>
    </row>
    <row r="2192">
      <c r="M2192" s="14">
        <f>_xlfn.BETA.INV($AA2192,1+4*($D$5-$C$5)/($E$5-$C$5),1+4*($E$5-$D$5)/($E$5-$C$5),$C$5,$E$5)</f>
        <v/>
      </c>
      <c r="N2192" s="14">
        <f>IF($AB2192&lt;($D$6-$C$6)/($E$6-$C$6),$C$6+SQRT($AB2192*($E$6-$C$6)*($D$6-$C$6)),$E$6-SQRT((1-$AB2192)*($E$6-$C$6)*($E$6-$D$6)))</f>
        <v/>
      </c>
      <c r="O2192" s="14">
        <f>_xlfn.NORM.INV($AC2192,$C$7,$D$7)</f>
        <v/>
      </c>
      <c r="P2192" s="14">
        <f>$C$8+($D$8-$C$8)*$AD2192</f>
        <v/>
      </c>
      <c r="Q2192" s="14">
        <f>$C$9</f>
        <v/>
      </c>
      <c r="R2192" s="14">
        <f>_xlfn.LOGNORM.INV($AF2192,LN($C$10)-0.5*LN(1+($D$10/$C$10)^2),SQRT(LN(1+($D$10/$C$10)^2)))</f>
        <v/>
      </c>
      <c r="S2192" s="14">
        <f>SUM(M2192:R2192)</f>
        <v/>
      </c>
      <c r="AA2192">
        <f>RAND()</f>
        <v/>
      </c>
      <c r="AB2192">
        <f>RAND()</f>
        <v/>
      </c>
      <c r="AC2192">
        <f>RAND()</f>
        <v/>
      </c>
      <c r="AD2192">
        <f>RAND()</f>
        <v/>
      </c>
      <c r="AE2192">
        <f>RAND()</f>
        <v/>
      </c>
      <c r="AF2192">
        <f>RAND()</f>
        <v/>
      </c>
    </row>
    <row r="2193">
      <c r="M2193" s="14">
        <f>_xlfn.BETA.INV($AA2193,1+4*($D$5-$C$5)/($E$5-$C$5),1+4*($E$5-$D$5)/($E$5-$C$5),$C$5,$E$5)</f>
        <v/>
      </c>
      <c r="N2193" s="14">
        <f>IF($AB2193&lt;($D$6-$C$6)/($E$6-$C$6),$C$6+SQRT($AB2193*($E$6-$C$6)*($D$6-$C$6)),$E$6-SQRT((1-$AB2193)*($E$6-$C$6)*($E$6-$D$6)))</f>
        <v/>
      </c>
      <c r="O2193" s="14">
        <f>_xlfn.NORM.INV($AC2193,$C$7,$D$7)</f>
        <v/>
      </c>
      <c r="P2193" s="14">
        <f>$C$8+($D$8-$C$8)*$AD2193</f>
        <v/>
      </c>
      <c r="Q2193" s="14">
        <f>$C$9</f>
        <v/>
      </c>
      <c r="R2193" s="14">
        <f>_xlfn.LOGNORM.INV($AF2193,LN($C$10)-0.5*LN(1+($D$10/$C$10)^2),SQRT(LN(1+($D$10/$C$10)^2)))</f>
        <v/>
      </c>
      <c r="S2193" s="14">
        <f>SUM(M2193:R2193)</f>
        <v/>
      </c>
      <c r="AA2193">
        <f>RAND()</f>
        <v/>
      </c>
      <c r="AB2193">
        <f>RAND()</f>
        <v/>
      </c>
      <c r="AC2193">
        <f>RAND()</f>
        <v/>
      </c>
      <c r="AD2193">
        <f>RAND()</f>
        <v/>
      </c>
      <c r="AE2193">
        <f>RAND()</f>
        <v/>
      </c>
      <c r="AF2193">
        <f>RAND()</f>
        <v/>
      </c>
    </row>
    <row r="2194">
      <c r="M2194" s="14">
        <f>_xlfn.BETA.INV($AA2194,1+4*($D$5-$C$5)/($E$5-$C$5),1+4*($E$5-$D$5)/($E$5-$C$5),$C$5,$E$5)</f>
        <v/>
      </c>
      <c r="N2194" s="14">
        <f>IF($AB2194&lt;($D$6-$C$6)/($E$6-$C$6),$C$6+SQRT($AB2194*($E$6-$C$6)*($D$6-$C$6)),$E$6-SQRT((1-$AB2194)*($E$6-$C$6)*($E$6-$D$6)))</f>
        <v/>
      </c>
      <c r="O2194" s="14">
        <f>_xlfn.NORM.INV($AC2194,$C$7,$D$7)</f>
        <v/>
      </c>
      <c r="P2194" s="14">
        <f>$C$8+($D$8-$C$8)*$AD2194</f>
        <v/>
      </c>
      <c r="Q2194" s="14">
        <f>$C$9</f>
        <v/>
      </c>
      <c r="R2194" s="14">
        <f>_xlfn.LOGNORM.INV($AF2194,LN($C$10)-0.5*LN(1+($D$10/$C$10)^2),SQRT(LN(1+($D$10/$C$10)^2)))</f>
        <v/>
      </c>
      <c r="S2194" s="14">
        <f>SUM(M2194:R2194)</f>
        <v/>
      </c>
      <c r="AA2194">
        <f>RAND()</f>
        <v/>
      </c>
      <c r="AB2194">
        <f>RAND()</f>
        <v/>
      </c>
      <c r="AC2194">
        <f>RAND()</f>
        <v/>
      </c>
      <c r="AD2194">
        <f>RAND()</f>
        <v/>
      </c>
      <c r="AE2194">
        <f>RAND()</f>
        <v/>
      </c>
      <c r="AF2194">
        <f>RAND()</f>
        <v/>
      </c>
    </row>
    <row r="2195">
      <c r="M2195" s="14">
        <f>_xlfn.BETA.INV($AA2195,1+4*($D$5-$C$5)/($E$5-$C$5),1+4*($E$5-$D$5)/($E$5-$C$5),$C$5,$E$5)</f>
        <v/>
      </c>
      <c r="N2195" s="14">
        <f>IF($AB2195&lt;($D$6-$C$6)/($E$6-$C$6),$C$6+SQRT($AB2195*($E$6-$C$6)*($D$6-$C$6)),$E$6-SQRT((1-$AB2195)*($E$6-$C$6)*($E$6-$D$6)))</f>
        <v/>
      </c>
      <c r="O2195" s="14">
        <f>_xlfn.NORM.INV($AC2195,$C$7,$D$7)</f>
        <v/>
      </c>
      <c r="P2195" s="14">
        <f>$C$8+($D$8-$C$8)*$AD2195</f>
        <v/>
      </c>
      <c r="Q2195" s="14">
        <f>$C$9</f>
        <v/>
      </c>
      <c r="R2195" s="14">
        <f>_xlfn.LOGNORM.INV($AF2195,LN($C$10)-0.5*LN(1+($D$10/$C$10)^2),SQRT(LN(1+($D$10/$C$10)^2)))</f>
        <v/>
      </c>
      <c r="S2195" s="14">
        <f>SUM(M2195:R2195)</f>
        <v/>
      </c>
      <c r="AA2195">
        <f>RAND()</f>
        <v/>
      </c>
      <c r="AB2195">
        <f>RAND()</f>
        <v/>
      </c>
      <c r="AC2195">
        <f>RAND()</f>
        <v/>
      </c>
      <c r="AD2195">
        <f>RAND()</f>
        <v/>
      </c>
      <c r="AE2195">
        <f>RAND()</f>
        <v/>
      </c>
      <c r="AF2195">
        <f>RAND()</f>
        <v/>
      </c>
    </row>
    <row r="2196">
      <c r="M2196" s="14">
        <f>_xlfn.BETA.INV($AA2196,1+4*($D$5-$C$5)/($E$5-$C$5),1+4*($E$5-$D$5)/($E$5-$C$5),$C$5,$E$5)</f>
        <v/>
      </c>
      <c r="N2196" s="14">
        <f>IF($AB2196&lt;($D$6-$C$6)/($E$6-$C$6),$C$6+SQRT($AB2196*($E$6-$C$6)*($D$6-$C$6)),$E$6-SQRT((1-$AB2196)*($E$6-$C$6)*($E$6-$D$6)))</f>
        <v/>
      </c>
      <c r="O2196" s="14">
        <f>_xlfn.NORM.INV($AC2196,$C$7,$D$7)</f>
        <v/>
      </c>
      <c r="P2196" s="14">
        <f>$C$8+($D$8-$C$8)*$AD2196</f>
        <v/>
      </c>
      <c r="Q2196" s="14">
        <f>$C$9</f>
        <v/>
      </c>
      <c r="R2196" s="14">
        <f>_xlfn.LOGNORM.INV($AF2196,LN($C$10)-0.5*LN(1+($D$10/$C$10)^2),SQRT(LN(1+($D$10/$C$10)^2)))</f>
        <v/>
      </c>
      <c r="S2196" s="14">
        <f>SUM(M2196:R2196)</f>
        <v/>
      </c>
      <c r="AA2196">
        <f>RAND()</f>
        <v/>
      </c>
      <c r="AB2196">
        <f>RAND()</f>
        <v/>
      </c>
      <c r="AC2196">
        <f>RAND()</f>
        <v/>
      </c>
      <c r="AD2196">
        <f>RAND()</f>
        <v/>
      </c>
      <c r="AE2196">
        <f>RAND()</f>
        <v/>
      </c>
      <c r="AF2196">
        <f>RAND()</f>
        <v/>
      </c>
    </row>
    <row r="2197">
      <c r="M2197" s="14">
        <f>_xlfn.BETA.INV($AA2197,1+4*($D$5-$C$5)/($E$5-$C$5),1+4*($E$5-$D$5)/($E$5-$C$5),$C$5,$E$5)</f>
        <v/>
      </c>
      <c r="N2197" s="14">
        <f>IF($AB2197&lt;($D$6-$C$6)/($E$6-$C$6),$C$6+SQRT($AB2197*($E$6-$C$6)*($D$6-$C$6)),$E$6-SQRT((1-$AB2197)*($E$6-$C$6)*($E$6-$D$6)))</f>
        <v/>
      </c>
      <c r="O2197" s="14">
        <f>_xlfn.NORM.INV($AC2197,$C$7,$D$7)</f>
        <v/>
      </c>
      <c r="P2197" s="14">
        <f>$C$8+($D$8-$C$8)*$AD2197</f>
        <v/>
      </c>
      <c r="Q2197" s="14">
        <f>$C$9</f>
        <v/>
      </c>
      <c r="R2197" s="14">
        <f>_xlfn.LOGNORM.INV($AF2197,LN($C$10)-0.5*LN(1+($D$10/$C$10)^2),SQRT(LN(1+($D$10/$C$10)^2)))</f>
        <v/>
      </c>
      <c r="S2197" s="14">
        <f>SUM(M2197:R2197)</f>
        <v/>
      </c>
      <c r="AA2197">
        <f>RAND()</f>
        <v/>
      </c>
      <c r="AB2197">
        <f>RAND()</f>
        <v/>
      </c>
      <c r="AC2197">
        <f>RAND()</f>
        <v/>
      </c>
      <c r="AD2197">
        <f>RAND()</f>
        <v/>
      </c>
      <c r="AE2197">
        <f>RAND()</f>
        <v/>
      </c>
      <c r="AF2197">
        <f>RAND()</f>
        <v/>
      </c>
    </row>
    <row r="2198">
      <c r="M2198" s="14">
        <f>_xlfn.BETA.INV($AA2198,1+4*($D$5-$C$5)/($E$5-$C$5),1+4*($E$5-$D$5)/($E$5-$C$5),$C$5,$E$5)</f>
        <v/>
      </c>
      <c r="N2198" s="14">
        <f>IF($AB2198&lt;($D$6-$C$6)/($E$6-$C$6),$C$6+SQRT($AB2198*($E$6-$C$6)*($D$6-$C$6)),$E$6-SQRT((1-$AB2198)*($E$6-$C$6)*($E$6-$D$6)))</f>
        <v/>
      </c>
      <c r="O2198" s="14">
        <f>_xlfn.NORM.INV($AC2198,$C$7,$D$7)</f>
        <v/>
      </c>
      <c r="P2198" s="14">
        <f>$C$8+($D$8-$C$8)*$AD2198</f>
        <v/>
      </c>
      <c r="Q2198" s="14">
        <f>$C$9</f>
        <v/>
      </c>
      <c r="R2198" s="14">
        <f>_xlfn.LOGNORM.INV($AF2198,LN($C$10)-0.5*LN(1+($D$10/$C$10)^2),SQRT(LN(1+($D$10/$C$10)^2)))</f>
        <v/>
      </c>
      <c r="S2198" s="14">
        <f>SUM(M2198:R2198)</f>
        <v/>
      </c>
      <c r="AA2198">
        <f>RAND()</f>
        <v/>
      </c>
      <c r="AB2198">
        <f>RAND()</f>
        <v/>
      </c>
      <c r="AC2198">
        <f>RAND()</f>
        <v/>
      </c>
      <c r="AD2198">
        <f>RAND()</f>
        <v/>
      </c>
      <c r="AE2198">
        <f>RAND()</f>
        <v/>
      </c>
      <c r="AF2198">
        <f>RAND()</f>
        <v/>
      </c>
    </row>
    <row r="2199">
      <c r="M2199" s="14">
        <f>_xlfn.BETA.INV($AA2199,1+4*($D$5-$C$5)/($E$5-$C$5),1+4*($E$5-$D$5)/($E$5-$C$5),$C$5,$E$5)</f>
        <v/>
      </c>
      <c r="N2199" s="14">
        <f>IF($AB2199&lt;($D$6-$C$6)/($E$6-$C$6),$C$6+SQRT($AB2199*($E$6-$C$6)*($D$6-$C$6)),$E$6-SQRT((1-$AB2199)*($E$6-$C$6)*($E$6-$D$6)))</f>
        <v/>
      </c>
      <c r="O2199" s="14">
        <f>_xlfn.NORM.INV($AC2199,$C$7,$D$7)</f>
        <v/>
      </c>
      <c r="P2199" s="14">
        <f>$C$8+($D$8-$C$8)*$AD2199</f>
        <v/>
      </c>
      <c r="Q2199" s="14">
        <f>$C$9</f>
        <v/>
      </c>
      <c r="R2199" s="14">
        <f>_xlfn.LOGNORM.INV($AF2199,LN($C$10)-0.5*LN(1+($D$10/$C$10)^2),SQRT(LN(1+($D$10/$C$10)^2)))</f>
        <v/>
      </c>
      <c r="S2199" s="14">
        <f>SUM(M2199:R2199)</f>
        <v/>
      </c>
      <c r="AA2199">
        <f>RAND()</f>
        <v/>
      </c>
      <c r="AB2199">
        <f>RAND()</f>
        <v/>
      </c>
      <c r="AC2199">
        <f>RAND()</f>
        <v/>
      </c>
      <c r="AD2199">
        <f>RAND()</f>
        <v/>
      </c>
      <c r="AE2199">
        <f>RAND()</f>
        <v/>
      </c>
      <c r="AF2199">
        <f>RAND()</f>
        <v/>
      </c>
    </row>
    <row r="2200">
      <c r="M2200" s="14">
        <f>_xlfn.BETA.INV($AA2200,1+4*($D$5-$C$5)/($E$5-$C$5),1+4*($E$5-$D$5)/($E$5-$C$5),$C$5,$E$5)</f>
        <v/>
      </c>
      <c r="N2200" s="14">
        <f>IF($AB2200&lt;($D$6-$C$6)/($E$6-$C$6),$C$6+SQRT($AB2200*($E$6-$C$6)*($D$6-$C$6)),$E$6-SQRT((1-$AB2200)*($E$6-$C$6)*($E$6-$D$6)))</f>
        <v/>
      </c>
      <c r="O2200" s="14">
        <f>_xlfn.NORM.INV($AC2200,$C$7,$D$7)</f>
        <v/>
      </c>
      <c r="P2200" s="14">
        <f>$C$8+($D$8-$C$8)*$AD2200</f>
        <v/>
      </c>
      <c r="Q2200" s="14">
        <f>$C$9</f>
        <v/>
      </c>
      <c r="R2200" s="14">
        <f>_xlfn.LOGNORM.INV($AF2200,LN($C$10)-0.5*LN(1+($D$10/$C$10)^2),SQRT(LN(1+($D$10/$C$10)^2)))</f>
        <v/>
      </c>
      <c r="S2200" s="14">
        <f>SUM(M2200:R2200)</f>
        <v/>
      </c>
      <c r="AA2200">
        <f>RAND()</f>
        <v/>
      </c>
      <c r="AB2200">
        <f>RAND()</f>
        <v/>
      </c>
      <c r="AC2200">
        <f>RAND()</f>
        <v/>
      </c>
      <c r="AD2200">
        <f>RAND()</f>
        <v/>
      </c>
      <c r="AE2200">
        <f>RAND()</f>
        <v/>
      </c>
      <c r="AF2200">
        <f>RAND()</f>
        <v/>
      </c>
    </row>
    <row r="2201">
      <c r="M2201" s="14">
        <f>_xlfn.BETA.INV($AA2201,1+4*($D$5-$C$5)/($E$5-$C$5),1+4*($E$5-$D$5)/($E$5-$C$5),$C$5,$E$5)</f>
        <v/>
      </c>
      <c r="N2201" s="14">
        <f>IF($AB2201&lt;($D$6-$C$6)/($E$6-$C$6),$C$6+SQRT($AB2201*($E$6-$C$6)*($D$6-$C$6)),$E$6-SQRT((1-$AB2201)*($E$6-$C$6)*($E$6-$D$6)))</f>
        <v/>
      </c>
      <c r="O2201" s="14">
        <f>_xlfn.NORM.INV($AC2201,$C$7,$D$7)</f>
        <v/>
      </c>
      <c r="P2201" s="14">
        <f>$C$8+($D$8-$C$8)*$AD2201</f>
        <v/>
      </c>
      <c r="Q2201" s="14">
        <f>$C$9</f>
        <v/>
      </c>
      <c r="R2201" s="14">
        <f>_xlfn.LOGNORM.INV($AF2201,LN($C$10)-0.5*LN(1+($D$10/$C$10)^2),SQRT(LN(1+($D$10/$C$10)^2)))</f>
        <v/>
      </c>
      <c r="S2201" s="14">
        <f>SUM(M2201:R2201)</f>
        <v/>
      </c>
      <c r="AA2201">
        <f>RAND()</f>
        <v/>
      </c>
      <c r="AB2201">
        <f>RAND()</f>
        <v/>
      </c>
      <c r="AC2201">
        <f>RAND()</f>
        <v/>
      </c>
      <c r="AD2201">
        <f>RAND()</f>
        <v/>
      </c>
      <c r="AE2201">
        <f>RAND()</f>
        <v/>
      </c>
      <c r="AF2201">
        <f>RAND()</f>
        <v/>
      </c>
    </row>
    <row r="2202">
      <c r="M2202" s="14">
        <f>_xlfn.BETA.INV($AA2202,1+4*($D$5-$C$5)/($E$5-$C$5),1+4*($E$5-$D$5)/($E$5-$C$5),$C$5,$E$5)</f>
        <v/>
      </c>
      <c r="N2202" s="14">
        <f>IF($AB2202&lt;($D$6-$C$6)/($E$6-$C$6),$C$6+SQRT($AB2202*($E$6-$C$6)*($D$6-$C$6)),$E$6-SQRT((1-$AB2202)*($E$6-$C$6)*($E$6-$D$6)))</f>
        <v/>
      </c>
      <c r="O2202" s="14">
        <f>_xlfn.NORM.INV($AC2202,$C$7,$D$7)</f>
        <v/>
      </c>
      <c r="P2202" s="14">
        <f>$C$8+($D$8-$C$8)*$AD2202</f>
        <v/>
      </c>
      <c r="Q2202" s="14">
        <f>$C$9</f>
        <v/>
      </c>
      <c r="R2202" s="14">
        <f>_xlfn.LOGNORM.INV($AF2202,LN($C$10)-0.5*LN(1+($D$10/$C$10)^2),SQRT(LN(1+($D$10/$C$10)^2)))</f>
        <v/>
      </c>
      <c r="S2202" s="14">
        <f>SUM(M2202:R2202)</f>
        <v/>
      </c>
      <c r="AA2202">
        <f>RAND()</f>
        <v/>
      </c>
      <c r="AB2202">
        <f>RAND()</f>
        <v/>
      </c>
      <c r="AC2202">
        <f>RAND()</f>
        <v/>
      </c>
      <c r="AD2202">
        <f>RAND()</f>
        <v/>
      </c>
      <c r="AE2202">
        <f>RAND()</f>
        <v/>
      </c>
      <c r="AF2202">
        <f>RAND()</f>
        <v/>
      </c>
    </row>
    <row r="2203">
      <c r="M2203" s="14">
        <f>_xlfn.BETA.INV($AA2203,1+4*($D$5-$C$5)/($E$5-$C$5),1+4*($E$5-$D$5)/($E$5-$C$5),$C$5,$E$5)</f>
        <v/>
      </c>
      <c r="N2203" s="14">
        <f>IF($AB2203&lt;($D$6-$C$6)/($E$6-$C$6),$C$6+SQRT($AB2203*($E$6-$C$6)*($D$6-$C$6)),$E$6-SQRT((1-$AB2203)*($E$6-$C$6)*($E$6-$D$6)))</f>
        <v/>
      </c>
      <c r="O2203" s="14">
        <f>_xlfn.NORM.INV($AC2203,$C$7,$D$7)</f>
        <v/>
      </c>
      <c r="P2203" s="14">
        <f>$C$8+($D$8-$C$8)*$AD2203</f>
        <v/>
      </c>
      <c r="Q2203" s="14">
        <f>$C$9</f>
        <v/>
      </c>
      <c r="R2203" s="14">
        <f>_xlfn.LOGNORM.INV($AF2203,LN($C$10)-0.5*LN(1+($D$10/$C$10)^2),SQRT(LN(1+($D$10/$C$10)^2)))</f>
        <v/>
      </c>
      <c r="S2203" s="14">
        <f>SUM(M2203:R2203)</f>
        <v/>
      </c>
      <c r="AA2203">
        <f>RAND()</f>
        <v/>
      </c>
      <c r="AB2203">
        <f>RAND()</f>
        <v/>
      </c>
      <c r="AC2203">
        <f>RAND()</f>
        <v/>
      </c>
      <c r="AD2203">
        <f>RAND()</f>
        <v/>
      </c>
      <c r="AE2203">
        <f>RAND()</f>
        <v/>
      </c>
      <c r="AF2203">
        <f>RAND()</f>
        <v/>
      </c>
    </row>
    <row r="2204">
      <c r="M2204" s="14">
        <f>_xlfn.BETA.INV($AA2204,1+4*($D$5-$C$5)/($E$5-$C$5),1+4*($E$5-$D$5)/($E$5-$C$5),$C$5,$E$5)</f>
        <v/>
      </c>
      <c r="N2204" s="14">
        <f>IF($AB2204&lt;($D$6-$C$6)/($E$6-$C$6),$C$6+SQRT($AB2204*($E$6-$C$6)*($D$6-$C$6)),$E$6-SQRT((1-$AB2204)*($E$6-$C$6)*($E$6-$D$6)))</f>
        <v/>
      </c>
      <c r="O2204" s="14">
        <f>_xlfn.NORM.INV($AC2204,$C$7,$D$7)</f>
        <v/>
      </c>
      <c r="P2204" s="14">
        <f>$C$8+($D$8-$C$8)*$AD2204</f>
        <v/>
      </c>
      <c r="Q2204" s="14">
        <f>$C$9</f>
        <v/>
      </c>
      <c r="R2204" s="14">
        <f>_xlfn.LOGNORM.INV($AF2204,LN($C$10)-0.5*LN(1+($D$10/$C$10)^2),SQRT(LN(1+($D$10/$C$10)^2)))</f>
        <v/>
      </c>
      <c r="S2204" s="14">
        <f>SUM(M2204:R2204)</f>
        <v/>
      </c>
      <c r="AA2204">
        <f>RAND()</f>
        <v/>
      </c>
      <c r="AB2204">
        <f>RAND()</f>
        <v/>
      </c>
      <c r="AC2204">
        <f>RAND()</f>
        <v/>
      </c>
      <c r="AD2204">
        <f>RAND()</f>
        <v/>
      </c>
      <c r="AE2204">
        <f>RAND()</f>
        <v/>
      </c>
      <c r="AF2204">
        <f>RAND()</f>
        <v/>
      </c>
    </row>
    <row r="2205">
      <c r="M2205" s="14">
        <f>_xlfn.BETA.INV($AA2205,1+4*($D$5-$C$5)/($E$5-$C$5),1+4*($E$5-$D$5)/($E$5-$C$5),$C$5,$E$5)</f>
        <v/>
      </c>
      <c r="N2205" s="14">
        <f>IF($AB2205&lt;($D$6-$C$6)/($E$6-$C$6),$C$6+SQRT($AB2205*($E$6-$C$6)*($D$6-$C$6)),$E$6-SQRT((1-$AB2205)*($E$6-$C$6)*($E$6-$D$6)))</f>
        <v/>
      </c>
      <c r="O2205" s="14">
        <f>_xlfn.NORM.INV($AC2205,$C$7,$D$7)</f>
        <v/>
      </c>
      <c r="P2205" s="14">
        <f>$C$8+($D$8-$C$8)*$AD2205</f>
        <v/>
      </c>
      <c r="Q2205" s="14">
        <f>$C$9</f>
        <v/>
      </c>
      <c r="R2205" s="14">
        <f>_xlfn.LOGNORM.INV($AF2205,LN($C$10)-0.5*LN(1+($D$10/$C$10)^2),SQRT(LN(1+($D$10/$C$10)^2)))</f>
        <v/>
      </c>
      <c r="S2205" s="14">
        <f>SUM(M2205:R2205)</f>
        <v/>
      </c>
      <c r="AA2205">
        <f>RAND()</f>
        <v/>
      </c>
      <c r="AB2205">
        <f>RAND()</f>
        <v/>
      </c>
      <c r="AC2205">
        <f>RAND()</f>
        <v/>
      </c>
      <c r="AD2205">
        <f>RAND()</f>
        <v/>
      </c>
      <c r="AE2205">
        <f>RAND()</f>
        <v/>
      </c>
      <c r="AF2205">
        <f>RAND()</f>
        <v/>
      </c>
    </row>
    <row r="2206">
      <c r="M2206" s="14">
        <f>_xlfn.BETA.INV($AA2206,1+4*($D$5-$C$5)/($E$5-$C$5),1+4*($E$5-$D$5)/($E$5-$C$5),$C$5,$E$5)</f>
        <v/>
      </c>
      <c r="N2206" s="14">
        <f>IF($AB2206&lt;($D$6-$C$6)/($E$6-$C$6),$C$6+SQRT($AB2206*($E$6-$C$6)*($D$6-$C$6)),$E$6-SQRT((1-$AB2206)*($E$6-$C$6)*($E$6-$D$6)))</f>
        <v/>
      </c>
      <c r="O2206" s="14">
        <f>_xlfn.NORM.INV($AC2206,$C$7,$D$7)</f>
        <v/>
      </c>
      <c r="P2206" s="14">
        <f>$C$8+($D$8-$C$8)*$AD2206</f>
        <v/>
      </c>
      <c r="Q2206" s="14">
        <f>$C$9</f>
        <v/>
      </c>
      <c r="R2206" s="14">
        <f>_xlfn.LOGNORM.INV($AF2206,LN($C$10)-0.5*LN(1+($D$10/$C$10)^2),SQRT(LN(1+($D$10/$C$10)^2)))</f>
        <v/>
      </c>
      <c r="S2206" s="14">
        <f>SUM(M2206:R2206)</f>
        <v/>
      </c>
      <c r="AA2206">
        <f>RAND()</f>
        <v/>
      </c>
      <c r="AB2206">
        <f>RAND()</f>
        <v/>
      </c>
      <c r="AC2206">
        <f>RAND()</f>
        <v/>
      </c>
      <c r="AD2206">
        <f>RAND()</f>
        <v/>
      </c>
      <c r="AE2206">
        <f>RAND()</f>
        <v/>
      </c>
      <c r="AF2206">
        <f>RAND()</f>
        <v/>
      </c>
    </row>
    <row r="2207">
      <c r="M2207" s="14">
        <f>_xlfn.BETA.INV($AA2207,1+4*($D$5-$C$5)/($E$5-$C$5),1+4*($E$5-$D$5)/($E$5-$C$5),$C$5,$E$5)</f>
        <v/>
      </c>
      <c r="N2207" s="14">
        <f>IF($AB2207&lt;($D$6-$C$6)/($E$6-$C$6),$C$6+SQRT($AB2207*($E$6-$C$6)*($D$6-$C$6)),$E$6-SQRT((1-$AB2207)*($E$6-$C$6)*($E$6-$D$6)))</f>
        <v/>
      </c>
      <c r="O2207" s="14">
        <f>_xlfn.NORM.INV($AC2207,$C$7,$D$7)</f>
        <v/>
      </c>
      <c r="P2207" s="14">
        <f>$C$8+($D$8-$C$8)*$AD2207</f>
        <v/>
      </c>
      <c r="Q2207" s="14">
        <f>$C$9</f>
        <v/>
      </c>
      <c r="R2207" s="14">
        <f>_xlfn.LOGNORM.INV($AF2207,LN($C$10)-0.5*LN(1+($D$10/$C$10)^2),SQRT(LN(1+($D$10/$C$10)^2)))</f>
        <v/>
      </c>
      <c r="S2207" s="14">
        <f>SUM(M2207:R2207)</f>
        <v/>
      </c>
      <c r="AA2207">
        <f>RAND()</f>
        <v/>
      </c>
      <c r="AB2207">
        <f>RAND()</f>
        <v/>
      </c>
      <c r="AC2207">
        <f>RAND()</f>
        <v/>
      </c>
      <c r="AD2207">
        <f>RAND()</f>
        <v/>
      </c>
      <c r="AE2207">
        <f>RAND()</f>
        <v/>
      </c>
      <c r="AF2207">
        <f>RAND()</f>
        <v/>
      </c>
    </row>
    <row r="2208">
      <c r="M2208" s="14">
        <f>_xlfn.BETA.INV($AA2208,1+4*($D$5-$C$5)/($E$5-$C$5),1+4*($E$5-$D$5)/($E$5-$C$5),$C$5,$E$5)</f>
        <v/>
      </c>
      <c r="N2208" s="14">
        <f>IF($AB2208&lt;($D$6-$C$6)/($E$6-$C$6),$C$6+SQRT($AB2208*($E$6-$C$6)*($D$6-$C$6)),$E$6-SQRT((1-$AB2208)*($E$6-$C$6)*($E$6-$D$6)))</f>
        <v/>
      </c>
      <c r="O2208" s="14">
        <f>_xlfn.NORM.INV($AC2208,$C$7,$D$7)</f>
        <v/>
      </c>
      <c r="P2208" s="14">
        <f>$C$8+($D$8-$C$8)*$AD2208</f>
        <v/>
      </c>
      <c r="Q2208" s="14">
        <f>$C$9</f>
        <v/>
      </c>
      <c r="R2208" s="14">
        <f>_xlfn.LOGNORM.INV($AF2208,LN($C$10)-0.5*LN(1+($D$10/$C$10)^2),SQRT(LN(1+($D$10/$C$10)^2)))</f>
        <v/>
      </c>
      <c r="S2208" s="14">
        <f>SUM(M2208:R2208)</f>
        <v/>
      </c>
      <c r="AA2208">
        <f>RAND()</f>
        <v/>
      </c>
      <c r="AB2208">
        <f>RAND()</f>
        <v/>
      </c>
      <c r="AC2208">
        <f>RAND()</f>
        <v/>
      </c>
      <c r="AD2208">
        <f>RAND()</f>
        <v/>
      </c>
      <c r="AE2208">
        <f>RAND()</f>
        <v/>
      </c>
      <c r="AF2208">
        <f>RAND()</f>
        <v/>
      </c>
    </row>
    <row r="2209">
      <c r="M2209" s="14">
        <f>_xlfn.BETA.INV($AA2209,1+4*($D$5-$C$5)/($E$5-$C$5),1+4*($E$5-$D$5)/($E$5-$C$5),$C$5,$E$5)</f>
        <v/>
      </c>
      <c r="N2209" s="14">
        <f>IF($AB2209&lt;($D$6-$C$6)/($E$6-$C$6),$C$6+SQRT($AB2209*($E$6-$C$6)*($D$6-$C$6)),$E$6-SQRT((1-$AB2209)*($E$6-$C$6)*($E$6-$D$6)))</f>
        <v/>
      </c>
      <c r="O2209" s="14">
        <f>_xlfn.NORM.INV($AC2209,$C$7,$D$7)</f>
        <v/>
      </c>
      <c r="P2209" s="14">
        <f>$C$8+($D$8-$C$8)*$AD2209</f>
        <v/>
      </c>
      <c r="Q2209" s="14">
        <f>$C$9</f>
        <v/>
      </c>
      <c r="R2209" s="14">
        <f>_xlfn.LOGNORM.INV($AF2209,LN($C$10)-0.5*LN(1+($D$10/$C$10)^2),SQRT(LN(1+($D$10/$C$10)^2)))</f>
        <v/>
      </c>
      <c r="S2209" s="14">
        <f>SUM(M2209:R2209)</f>
        <v/>
      </c>
      <c r="AA2209">
        <f>RAND()</f>
        <v/>
      </c>
      <c r="AB2209">
        <f>RAND()</f>
        <v/>
      </c>
      <c r="AC2209">
        <f>RAND()</f>
        <v/>
      </c>
      <c r="AD2209">
        <f>RAND()</f>
        <v/>
      </c>
      <c r="AE2209">
        <f>RAND()</f>
        <v/>
      </c>
      <c r="AF2209">
        <f>RAND()</f>
        <v/>
      </c>
    </row>
    <row r="2210">
      <c r="M2210" s="14">
        <f>_xlfn.BETA.INV($AA2210,1+4*($D$5-$C$5)/($E$5-$C$5),1+4*($E$5-$D$5)/($E$5-$C$5),$C$5,$E$5)</f>
        <v/>
      </c>
      <c r="N2210" s="14">
        <f>IF($AB2210&lt;($D$6-$C$6)/($E$6-$C$6),$C$6+SQRT($AB2210*($E$6-$C$6)*($D$6-$C$6)),$E$6-SQRT((1-$AB2210)*($E$6-$C$6)*($E$6-$D$6)))</f>
        <v/>
      </c>
      <c r="O2210" s="14">
        <f>_xlfn.NORM.INV($AC2210,$C$7,$D$7)</f>
        <v/>
      </c>
      <c r="P2210" s="14">
        <f>$C$8+($D$8-$C$8)*$AD2210</f>
        <v/>
      </c>
      <c r="Q2210" s="14">
        <f>$C$9</f>
        <v/>
      </c>
      <c r="R2210" s="14">
        <f>_xlfn.LOGNORM.INV($AF2210,LN($C$10)-0.5*LN(1+($D$10/$C$10)^2),SQRT(LN(1+($D$10/$C$10)^2)))</f>
        <v/>
      </c>
      <c r="S2210" s="14">
        <f>SUM(M2210:R2210)</f>
        <v/>
      </c>
      <c r="AA2210">
        <f>RAND()</f>
        <v/>
      </c>
      <c r="AB2210">
        <f>RAND()</f>
        <v/>
      </c>
      <c r="AC2210">
        <f>RAND()</f>
        <v/>
      </c>
      <c r="AD2210">
        <f>RAND()</f>
        <v/>
      </c>
      <c r="AE2210">
        <f>RAND()</f>
        <v/>
      </c>
      <c r="AF2210">
        <f>RAND()</f>
        <v/>
      </c>
    </row>
    <row r="2211">
      <c r="M2211" s="14">
        <f>_xlfn.BETA.INV($AA2211,1+4*($D$5-$C$5)/($E$5-$C$5),1+4*($E$5-$D$5)/($E$5-$C$5),$C$5,$E$5)</f>
        <v/>
      </c>
      <c r="N2211" s="14">
        <f>IF($AB2211&lt;($D$6-$C$6)/($E$6-$C$6),$C$6+SQRT($AB2211*($E$6-$C$6)*($D$6-$C$6)),$E$6-SQRT((1-$AB2211)*($E$6-$C$6)*($E$6-$D$6)))</f>
        <v/>
      </c>
      <c r="O2211" s="14">
        <f>_xlfn.NORM.INV($AC2211,$C$7,$D$7)</f>
        <v/>
      </c>
      <c r="P2211" s="14">
        <f>$C$8+($D$8-$C$8)*$AD2211</f>
        <v/>
      </c>
      <c r="Q2211" s="14">
        <f>$C$9</f>
        <v/>
      </c>
      <c r="R2211" s="14">
        <f>_xlfn.LOGNORM.INV($AF2211,LN($C$10)-0.5*LN(1+($D$10/$C$10)^2),SQRT(LN(1+($D$10/$C$10)^2)))</f>
        <v/>
      </c>
      <c r="S2211" s="14">
        <f>SUM(M2211:R2211)</f>
        <v/>
      </c>
      <c r="AA2211">
        <f>RAND()</f>
        <v/>
      </c>
      <c r="AB2211">
        <f>RAND()</f>
        <v/>
      </c>
      <c r="AC2211">
        <f>RAND()</f>
        <v/>
      </c>
      <c r="AD2211">
        <f>RAND()</f>
        <v/>
      </c>
      <c r="AE2211">
        <f>RAND()</f>
        <v/>
      </c>
      <c r="AF2211">
        <f>RAND()</f>
        <v/>
      </c>
    </row>
    <row r="2212">
      <c r="M2212" s="14">
        <f>_xlfn.BETA.INV($AA2212,1+4*($D$5-$C$5)/($E$5-$C$5),1+4*($E$5-$D$5)/($E$5-$C$5),$C$5,$E$5)</f>
        <v/>
      </c>
      <c r="N2212" s="14">
        <f>IF($AB2212&lt;($D$6-$C$6)/($E$6-$C$6),$C$6+SQRT($AB2212*($E$6-$C$6)*($D$6-$C$6)),$E$6-SQRT((1-$AB2212)*($E$6-$C$6)*($E$6-$D$6)))</f>
        <v/>
      </c>
      <c r="O2212" s="14">
        <f>_xlfn.NORM.INV($AC2212,$C$7,$D$7)</f>
        <v/>
      </c>
      <c r="P2212" s="14">
        <f>$C$8+($D$8-$C$8)*$AD2212</f>
        <v/>
      </c>
      <c r="Q2212" s="14">
        <f>$C$9</f>
        <v/>
      </c>
      <c r="R2212" s="14">
        <f>_xlfn.LOGNORM.INV($AF2212,LN($C$10)-0.5*LN(1+($D$10/$C$10)^2),SQRT(LN(1+($D$10/$C$10)^2)))</f>
        <v/>
      </c>
      <c r="S2212" s="14">
        <f>SUM(M2212:R2212)</f>
        <v/>
      </c>
      <c r="AA2212">
        <f>RAND()</f>
        <v/>
      </c>
      <c r="AB2212">
        <f>RAND()</f>
        <v/>
      </c>
      <c r="AC2212">
        <f>RAND()</f>
        <v/>
      </c>
      <c r="AD2212">
        <f>RAND()</f>
        <v/>
      </c>
      <c r="AE2212">
        <f>RAND()</f>
        <v/>
      </c>
      <c r="AF2212">
        <f>RAND()</f>
        <v/>
      </c>
    </row>
    <row r="2213">
      <c r="M2213" s="14">
        <f>_xlfn.BETA.INV($AA2213,1+4*($D$5-$C$5)/($E$5-$C$5),1+4*($E$5-$D$5)/($E$5-$C$5),$C$5,$E$5)</f>
        <v/>
      </c>
      <c r="N2213" s="14">
        <f>IF($AB2213&lt;($D$6-$C$6)/($E$6-$C$6),$C$6+SQRT($AB2213*($E$6-$C$6)*($D$6-$C$6)),$E$6-SQRT((1-$AB2213)*($E$6-$C$6)*($E$6-$D$6)))</f>
        <v/>
      </c>
      <c r="O2213" s="14">
        <f>_xlfn.NORM.INV($AC2213,$C$7,$D$7)</f>
        <v/>
      </c>
      <c r="P2213" s="14">
        <f>$C$8+($D$8-$C$8)*$AD2213</f>
        <v/>
      </c>
      <c r="Q2213" s="14">
        <f>$C$9</f>
        <v/>
      </c>
      <c r="R2213" s="14">
        <f>_xlfn.LOGNORM.INV($AF2213,LN($C$10)-0.5*LN(1+($D$10/$C$10)^2),SQRT(LN(1+($D$10/$C$10)^2)))</f>
        <v/>
      </c>
      <c r="S2213" s="14">
        <f>SUM(M2213:R2213)</f>
        <v/>
      </c>
      <c r="AA2213">
        <f>RAND()</f>
        <v/>
      </c>
      <c r="AB2213">
        <f>RAND()</f>
        <v/>
      </c>
      <c r="AC2213">
        <f>RAND()</f>
        <v/>
      </c>
      <c r="AD2213">
        <f>RAND()</f>
        <v/>
      </c>
      <c r="AE2213">
        <f>RAND()</f>
        <v/>
      </c>
      <c r="AF2213">
        <f>RAND()</f>
        <v/>
      </c>
    </row>
    <row r="2214">
      <c r="M2214" s="14">
        <f>_xlfn.BETA.INV($AA2214,1+4*($D$5-$C$5)/($E$5-$C$5),1+4*($E$5-$D$5)/($E$5-$C$5),$C$5,$E$5)</f>
        <v/>
      </c>
      <c r="N2214" s="14">
        <f>IF($AB2214&lt;($D$6-$C$6)/($E$6-$C$6),$C$6+SQRT($AB2214*($E$6-$C$6)*($D$6-$C$6)),$E$6-SQRT((1-$AB2214)*($E$6-$C$6)*($E$6-$D$6)))</f>
        <v/>
      </c>
      <c r="O2214" s="14">
        <f>_xlfn.NORM.INV($AC2214,$C$7,$D$7)</f>
        <v/>
      </c>
      <c r="P2214" s="14">
        <f>$C$8+($D$8-$C$8)*$AD2214</f>
        <v/>
      </c>
      <c r="Q2214" s="14">
        <f>$C$9</f>
        <v/>
      </c>
      <c r="R2214" s="14">
        <f>_xlfn.LOGNORM.INV($AF2214,LN($C$10)-0.5*LN(1+($D$10/$C$10)^2),SQRT(LN(1+($D$10/$C$10)^2)))</f>
        <v/>
      </c>
      <c r="S2214" s="14">
        <f>SUM(M2214:R2214)</f>
        <v/>
      </c>
      <c r="AA2214">
        <f>RAND()</f>
        <v/>
      </c>
      <c r="AB2214">
        <f>RAND()</f>
        <v/>
      </c>
      <c r="AC2214">
        <f>RAND()</f>
        <v/>
      </c>
      <c r="AD2214">
        <f>RAND()</f>
        <v/>
      </c>
      <c r="AE2214">
        <f>RAND()</f>
        <v/>
      </c>
      <c r="AF2214">
        <f>RAND()</f>
        <v/>
      </c>
    </row>
    <row r="2215">
      <c r="M2215" s="14">
        <f>_xlfn.BETA.INV($AA2215,1+4*($D$5-$C$5)/($E$5-$C$5),1+4*($E$5-$D$5)/($E$5-$C$5),$C$5,$E$5)</f>
        <v/>
      </c>
      <c r="N2215" s="14">
        <f>IF($AB2215&lt;($D$6-$C$6)/($E$6-$C$6),$C$6+SQRT($AB2215*($E$6-$C$6)*($D$6-$C$6)),$E$6-SQRT((1-$AB2215)*($E$6-$C$6)*($E$6-$D$6)))</f>
        <v/>
      </c>
      <c r="O2215" s="14">
        <f>_xlfn.NORM.INV($AC2215,$C$7,$D$7)</f>
        <v/>
      </c>
      <c r="P2215" s="14">
        <f>$C$8+($D$8-$C$8)*$AD2215</f>
        <v/>
      </c>
      <c r="Q2215" s="14">
        <f>$C$9</f>
        <v/>
      </c>
      <c r="R2215" s="14">
        <f>_xlfn.LOGNORM.INV($AF2215,LN($C$10)-0.5*LN(1+($D$10/$C$10)^2),SQRT(LN(1+($D$10/$C$10)^2)))</f>
        <v/>
      </c>
      <c r="S2215" s="14">
        <f>SUM(M2215:R2215)</f>
        <v/>
      </c>
      <c r="AA2215">
        <f>RAND()</f>
        <v/>
      </c>
      <c r="AB2215">
        <f>RAND()</f>
        <v/>
      </c>
      <c r="AC2215">
        <f>RAND()</f>
        <v/>
      </c>
      <c r="AD2215">
        <f>RAND()</f>
        <v/>
      </c>
      <c r="AE2215">
        <f>RAND()</f>
        <v/>
      </c>
      <c r="AF2215">
        <f>RAND()</f>
        <v/>
      </c>
    </row>
    <row r="2216">
      <c r="M2216" s="14">
        <f>_xlfn.BETA.INV($AA2216,1+4*($D$5-$C$5)/($E$5-$C$5),1+4*($E$5-$D$5)/($E$5-$C$5),$C$5,$E$5)</f>
        <v/>
      </c>
      <c r="N2216" s="14">
        <f>IF($AB2216&lt;($D$6-$C$6)/($E$6-$C$6),$C$6+SQRT($AB2216*($E$6-$C$6)*($D$6-$C$6)),$E$6-SQRT((1-$AB2216)*($E$6-$C$6)*($E$6-$D$6)))</f>
        <v/>
      </c>
      <c r="O2216" s="14">
        <f>_xlfn.NORM.INV($AC2216,$C$7,$D$7)</f>
        <v/>
      </c>
      <c r="P2216" s="14">
        <f>$C$8+($D$8-$C$8)*$AD2216</f>
        <v/>
      </c>
      <c r="Q2216" s="14">
        <f>$C$9</f>
        <v/>
      </c>
      <c r="R2216" s="14">
        <f>_xlfn.LOGNORM.INV($AF2216,LN($C$10)-0.5*LN(1+($D$10/$C$10)^2),SQRT(LN(1+($D$10/$C$10)^2)))</f>
        <v/>
      </c>
      <c r="S2216" s="14">
        <f>SUM(M2216:R2216)</f>
        <v/>
      </c>
      <c r="AA2216">
        <f>RAND()</f>
        <v/>
      </c>
      <c r="AB2216">
        <f>RAND()</f>
        <v/>
      </c>
      <c r="AC2216">
        <f>RAND()</f>
        <v/>
      </c>
      <c r="AD2216">
        <f>RAND()</f>
        <v/>
      </c>
      <c r="AE2216">
        <f>RAND()</f>
        <v/>
      </c>
      <c r="AF2216">
        <f>RAND()</f>
        <v/>
      </c>
    </row>
    <row r="2217">
      <c r="M2217" s="14">
        <f>_xlfn.BETA.INV($AA2217,1+4*($D$5-$C$5)/($E$5-$C$5),1+4*($E$5-$D$5)/($E$5-$C$5),$C$5,$E$5)</f>
        <v/>
      </c>
      <c r="N2217" s="14">
        <f>IF($AB2217&lt;($D$6-$C$6)/($E$6-$C$6),$C$6+SQRT($AB2217*($E$6-$C$6)*($D$6-$C$6)),$E$6-SQRT((1-$AB2217)*($E$6-$C$6)*($E$6-$D$6)))</f>
        <v/>
      </c>
      <c r="O2217" s="14">
        <f>_xlfn.NORM.INV($AC2217,$C$7,$D$7)</f>
        <v/>
      </c>
      <c r="P2217" s="14">
        <f>$C$8+($D$8-$C$8)*$AD2217</f>
        <v/>
      </c>
      <c r="Q2217" s="14">
        <f>$C$9</f>
        <v/>
      </c>
      <c r="R2217" s="14">
        <f>_xlfn.LOGNORM.INV($AF2217,LN($C$10)-0.5*LN(1+($D$10/$C$10)^2),SQRT(LN(1+($D$10/$C$10)^2)))</f>
        <v/>
      </c>
      <c r="S2217" s="14">
        <f>SUM(M2217:R2217)</f>
        <v/>
      </c>
      <c r="AA2217">
        <f>RAND()</f>
        <v/>
      </c>
      <c r="AB2217">
        <f>RAND()</f>
        <v/>
      </c>
      <c r="AC2217">
        <f>RAND()</f>
        <v/>
      </c>
      <c r="AD2217">
        <f>RAND()</f>
        <v/>
      </c>
      <c r="AE2217">
        <f>RAND()</f>
        <v/>
      </c>
      <c r="AF2217">
        <f>RAND()</f>
        <v/>
      </c>
    </row>
    <row r="2218">
      <c r="M2218" s="14">
        <f>_xlfn.BETA.INV($AA2218,1+4*($D$5-$C$5)/($E$5-$C$5),1+4*($E$5-$D$5)/($E$5-$C$5),$C$5,$E$5)</f>
        <v/>
      </c>
      <c r="N2218" s="14">
        <f>IF($AB2218&lt;($D$6-$C$6)/($E$6-$C$6),$C$6+SQRT($AB2218*($E$6-$C$6)*($D$6-$C$6)),$E$6-SQRT((1-$AB2218)*($E$6-$C$6)*($E$6-$D$6)))</f>
        <v/>
      </c>
      <c r="O2218" s="14">
        <f>_xlfn.NORM.INV($AC2218,$C$7,$D$7)</f>
        <v/>
      </c>
      <c r="P2218" s="14">
        <f>$C$8+($D$8-$C$8)*$AD2218</f>
        <v/>
      </c>
      <c r="Q2218" s="14">
        <f>$C$9</f>
        <v/>
      </c>
      <c r="R2218" s="14">
        <f>_xlfn.LOGNORM.INV($AF2218,LN($C$10)-0.5*LN(1+($D$10/$C$10)^2),SQRT(LN(1+($D$10/$C$10)^2)))</f>
        <v/>
      </c>
      <c r="S2218" s="14">
        <f>SUM(M2218:R2218)</f>
        <v/>
      </c>
      <c r="AA2218">
        <f>RAND()</f>
        <v/>
      </c>
      <c r="AB2218">
        <f>RAND()</f>
        <v/>
      </c>
      <c r="AC2218">
        <f>RAND()</f>
        <v/>
      </c>
      <c r="AD2218">
        <f>RAND()</f>
        <v/>
      </c>
      <c r="AE2218">
        <f>RAND()</f>
        <v/>
      </c>
      <c r="AF2218">
        <f>RAND()</f>
        <v/>
      </c>
    </row>
    <row r="2219">
      <c r="M2219" s="14">
        <f>_xlfn.BETA.INV($AA2219,1+4*($D$5-$C$5)/($E$5-$C$5),1+4*($E$5-$D$5)/($E$5-$C$5),$C$5,$E$5)</f>
        <v/>
      </c>
      <c r="N2219" s="14">
        <f>IF($AB2219&lt;($D$6-$C$6)/($E$6-$C$6),$C$6+SQRT($AB2219*($E$6-$C$6)*($D$6-$C$6)),$E$6-SQRT((1-$AB2219)*($E$6-$C$6)*($E$6-$D$6)))</f>
        <v/>
      </c>
      <c r="O2219" s="14">
        <f>_xlfn.NORM.INV($AC2219,$C$7,$D$7)</f>
        <v/>
      </c>
      <c r="P2219" s="14">
        <f>$C$8+($D$8-$C$8)*$AD2219</f>
        <v/>
      </c>
      <c r="Q2219" s="14">
        <f>$C$9</f>
        <v/>
      </c>
      <c r="R2219" s="14">
        <f>_xlfn.LOGNORM.INV($AF2219,LN($C$10)-0.5*LN(1+($D$10/$C$10)^2),SQRT(LN(1+($D$10/$C$10)^2)))</f>
        <v/>
      </c>
      <c r="S2219" s="14">
        <f>SUM(M2219:R2219)</f>
        <v/>
      </c>
      <c r="AA2219">
        <f>RAND()</f>
        <v/>
      </c>
      <c r="AB2219">
        <f>RAND()</f>
        <v/>
      </c>
      <c r="AC2219">
        <f>RAND()</f>
        <v/>
      </c>
      <c r="AD2219">
        <f>RAND()</f>
        <v/>
      </c>
      <c r="AE2219">
        <f>RAND()</f>
        <v/>
      </c>
      <c r="AF2219">
        <f>RAND()</f>
        <v/>
      </c>
    </row>
    <row r="2220">
      <c r="M2220" s="14">
        <f>_xlfn.BETA.INV($AA2220,1+4*($D$5-$C$5)/($E$5-$C$5),1+4*($E$5-$D$5)/($E$5-$C$5),$C$5,$E$5)</f>
        <v/>
      </c>
      <c r="N2220" s="14">
        <f>IF($AB2220&lt;($D$6-$C$6)/($E$6-$C$6),$C$6+SQRT($AB2220*($E$6-$C$6)*($D$6-$C$6)),$E$6-SQRT((1-$AB2220)*($E$6-$C$6)*($E$6-$D$6)))</f>
        <v/>
      </c>
      <c r="O2220" s="14">
        <f>_xlfn.NORM.INV($AC2220,$C$7,$D$7)</f>
        <v/>
      </c>
      <c r="P2220" s="14">
        <f>$C$8+($D$8-$C$8)*$AD2220</f>
        <v/>
      </c>
      <c r="Q2220" s="14">
        <f>$C$9</f>
        <v/>
      </c>
      <c r="R2220" s="14">
        <f>_xlfn.LOGNORM.INV($AF2220,LN($C$10)-0.5*LN(1+($D$10/$C$10)^2),SQRT(LN(1+($D$10/$C$10)^2)))</f>
        <v/>
      </c>
      <c r="S2220" s="14">
        <f>SUM(M2220:R2220)</f>
        <v/>
      </c>
      <c r="AA2220">
        <f>RAND()</f>
        <v/>
      </c>
      <c r="AB2220">
        <f>RAND()</f>
        <v/>
      </c>
      <c r="AC2220">
        <f>RAND()</f>
        <v/>
      </c>
      <c r="AD2220">
        <f>RAND()</f>
        <v/>
      </c>
      <c r="AE2220">
        <f>RAND()</f>
        <v/>
      </c>
      <c r="AF2220">
        <f>RAND()</f>
        <v/>
      </c>
    </row>
    <row r="2221">
      <c r="M2221" s="14">
        <f>_xlfn.BETA.INV($AA2221,1+4*($D$5-$C$5)/($E$5-$C$5),1+4*($E$5-$D$5)/($E$5-$C$5),$C$5,$E$5)</f>
        <v/>
      </c>
      <c r="N2221" s="14">
        <f>IF($AB2221&lt;($D$6-$C$6)/($E$6-$C$6),$C$6+SQRT($AB2221*($E$6-$C$6)*($D$6-$C$6)),$E$6-SQRT((1-$AB2221)*($E$6-$C$6)*($E$6-$D$6)))</f>
        <v/>
      </c>
      <c r="O2221" s="14">
        <f>_xlfn.NORM.INV($AC2221,$C$7,$D$7)</f>
        <v/>
      </c>
      <c r="P2221" s="14">
        <f>$C$8+($D$8-$C$8)*$AD2221</f>
        <v/>
      </c>
      <c r="Q2221" s="14">
        <f>$C$9</f>
        <v/>
      </c>
      <c r="R2221" s="14">
        <f>_xlfn.LOGNORM.INV($AF2221,LN($C$10)-0.5*LN(1+($D$10/$C$10)^2),SQRT(LN(1+($D$10/$C$10)^2)))</f>
        <v/>
      </c>
      <c r="S2221" s="14">
        <f>SUM(M2221:R2221)</f>
        <v/>
      </c>
      <c r="AA2221">
        <f>RAND()</f>
        <v/>
      </c>
      <c r="AB2221">
        <f>RAND()</f>
        <v/>
      </c>
      <c r="AC2221">
        <f>RAND()</f>
        <v/>
      </c>
      <c r="AD2221">
        <f>RAND()</f>
        <v/>
      </c>
      <c r="AE2221">
        <f>RAND()</f>
        <v/>
      </c>
      <c r="AF2221">
        <f>RAND()</f>
        <v/>
      </c>
    </row>
    <row r="2222">
      <c r="M2222" s="14">
        <f>_xlfn.BETA.INV($AA2222,1+4*($D$5-$C$5)/($E$5-$C$5),1+4*($E$5-$D$5)/($E$5-$C$5),$C$5,$E$5)</f>
        <v/>
      </c>
      <c r="N2222" s="14">
        <f>IF($AB2222&lt;($D$6-$C$6)/($E$6-$C$6),$C$6+SQRT($AB2222*($E$6-$C$6)*($D$6-$C$6)),$E$6-SQRT((1-$AB2222)*($E$6-$C$6)*($E$6-$D$6)))</f>
        <v/>
      </c>
      <c r="O2222" s="14">
        <f>_xlfn.NORM.INV($AC2222,$C$7,$D$7)</f>
        <v/>
      </c>
      <c r="P2222" s="14">
        <f>$C$8+($D$8-$C$8)*$AD2222</f>
        <v/>
      </c>
      <c r="Q2222" s="14">
        <f>$C$9</f>
        <v/>
      </c>
      <c r="R2222" s="14">
        <f>_xlfn.LOGNORM.INV($AF2222,LN($C$10)-0.5*LN(1+($D$10/$C$10)^2),SQRT(LN(1+($D$10/$C$10)^2)))</f>
        <v/>
      </c>
      <c r="S2222" s="14">
        <f>SUM(M2222:R2222)</f>
        <v/>
      </c>
      <c r="AA2222">
        <f>RAND()</f>
        <v/>
      </c>
      <c r="AB2222">
        <f>RAND()</f>
        <v/>
      </c>
      <c r="AC2222">
        <f>RAND()</f>
        <v/>
      </c>
      <c r="AD2222">
        <f>RAND()</f>
        <v/>
      </c>
      <c r="AE2222">
        <f>RAND()</f>
        <v/>
      </c>
      <c r="AF2222">
        <f>RAND()</f>
        <v/>
      </c>
    </row>
    <row r="2223">
      <c r="M2223" s="14">
        <f>_xlfn.BETA.INV($AA2223,1+4*($D$5-$C$5)/($E$5-$C$5),1+4*($E$5-$D$5)/($E$5-$C$5),$C$5,$E$5)</f>
        <v/>
      </c>
      <c r="N2223" s="14">
        <f>IF($AB2223&lt;($D$6-$C$6)/($E$6-$C$6),$C$6+SQRT($AB2223*($E$6-$C$6)*($D$6-$C$6)),$E$6-SQRT((1-$AB2223)*($E$6-$C$6)*($E$6-$D$6)))</f>
        <v/>
      </c>
      <c r="O2223" s="14">
        <f>_xlfn.NORM.INV($AC2223,$C$7,$D$7)</f>
        <v/>
      </c>
      <c r="P2223" s="14">
        <f>$C$8+($D$8-$C$8)*$AD2223</f>
        <v/>
      </c>
      <c r="Q2223" s="14">
        <f>$C$9</f>
        <v/>
      </c>
      <c r="R2223" s="14">
        <f>_xlfn.LOGNORM.INV($AF2223,LN($C$10)-0.5*LN(1+($D$10/$C$10)^2),SQRT(LN(1+($D$10/$C$10)^2)))</f>
        <v/>
      </c>
      <c r="S2223" s="14">
        <f>SUM(M2223:R2223)</f>
        <v/>
      </c>
      <c r="AA2223">
        <f>RAND()</f>
        <v/>
      </c>
      <c r="AB2223">
        <f>RAND()</f>
        <v/>
      </c>
      <c r="AC2223">
        <f>RAND()</f>
        <v/>
      </c>
      <c r="AD2223">
        <f>RAND()</f>
        <v/>
      </c>
      <c r="AE2223">
        <f>RAND()</f>
        <v/>
      </c>
      <c r="AF2223">
        <f>RAND()</f>
        <v/>
      </c>
    </row>
    <row r="2224">
      <c r="M2224" s="14">
        <f>_xlfn.BETA.INV($AA2224,1+4*($D$5-$C$5)/($E$5-$C$5),1+4*($E$5-$D$5)/($E$5-$C$5),$C$5,$E$5)</f>
        <v/>
      </c>
      <c r="N2224" s="14">
        <f>IF($AB2224&lt;($D$6-$C$6)/($E$6-$C$6),$C$6+SQRT($AB2224*($E$6-$C$6)*($D$6-$C$6)),$E$6-SQRT((1-$AB2224)*($E$6-$C$6)*($E$6-$D$6)))</f>
        <v/>
      </c>
      <c r="O2224" s="14">
        <f>_xlfn.NORM.INV($AC2224,$C$7,$D$7)</f>
        <v/>
      </c>
      <c r="P2224" s="14">
        <f>$C$8+($D$8-$C$8)*$AD2224</f>
        <v/>
      </c>
      <c r="Q2224" s="14">
        <f>$C$9</f>
        <v/>
      </c>
      <c r="R2224" s="14">
        <f>_xlfn.LOGNORM.INV($AF2224,LN($C$10)-0.5*LN(1+($D$10/$C$10)^2),SQRT(LN(1+($D$10/$C$10)^2)))</f>
        <v/>
      </c>
      <c r="S2224" s="14">
        <f>SUM(M2224:R2224)</f>
        <v/>
      </c>
      <c r="AA2224">
        <f>RAND()</f>
        <v/>
      </c>
      <c r="AB2224">
        <f>RAND()</f>
        <v/>
      </c>
      <c r="AC2224">
        <f>RAND()</f>
        <v/>
      </c>
      <c r="AD2224">
        <f>RAND()</f>
        <v/>
      </c>
      <c r="AE2224">
        <f>RAND()</f>
        <v/>
      </c>
      <c r="AF2224">
        <f>RAND()</f>
        <v/>
      </c>
    </row>
    <row r="2225">
      <c r="M2225" s="14">
        <f>_xlfn.BETA.INV($AA2225,1+4*($D$5-$C$5)/($E$5-$C$5),1+4*($E$5-$D$5)/($E$5-$C$5),$C$5,$E$5)</f>
        <v/>
      </c>
      <c r="N2225" s="14">
        <f>IF($AB2225&lt;($D$6-$C$6)/($E$6-$C$6),$C$6+SQRT($AB2225*($E$6-$C$6)*($D$6-$C$6)),$E$6-SQRT((1-$AB2225)*($E$6-$C$6)*($E$6-$D$6)))</f>
        <v/>
      </c>
      <c r="O2225" s="14">
        <f>_xlfn.NORM.INV($AC2225,$C$7,$D$7)</f>
        <v/>
      </c>
      <c r="P2225" s="14">
        <f>$C$8+($D$8-$C$8)*$AD2225</f>
        <v/>
      </c>
      <c r="Q2225" s="14">
        <f>$C$9</f>
        <v/>
      </c>
      <c r="R2225" s="14">
        <f>_xlfn.LOGNORM.INV($AF2225,LN($C$10)-0.5*LN(1+($D$10/$C$10)^2),SQRT(LN(1+($D$10/$C$10)^2)))</f>
        <v/>
      </c>
      <c r="S2225" s="14">
        <f>SUM(M2225:R2225)</f>
        <v/>
      </c>
      <c r="AA2225">
        <f>RAND()</f>
        <v/>
      </c>
      <c r="AB2225">
        <f>RAND()</f>
        <v/>
      </c>
      <c r="AC2225">
        <f>RAND()</f>
        <v/>
      </c>
      <c r="AD2225">
        <f>RAND()</f>
        <v/>
      </c>
      <c r="AE2225">
        <f>RAND()</f>
        <v/>
      </c>
      <c r="AF2225">
        <f>RAND()</f>
        <v/>
      </c>
    </row>
    <row r="2226">
      <c r="M2226" s="14">
        <f>_xlfn.BETA.INV($AA2226,1+4*($D$5-$C$5)/($E$5-$C$5),1+4*($E$5-$D$5)/($E$5-$C$5),$C$5,$E$5)</f>
        <v/>
      </c>
      <c r="N2226" s="14">
        <f>IF($AB2226&lt;($D$6-$C$6)/($E$6-$C$6),$C$6+SQRT($AB2226*($E$6-$C$6)*($D$6-$C$6)),$E$6-SQRT((1-$AB2226)*($E$6-$C$6)*($E$6-$D$6)))</f>
        <v/>
      </c>
      <c r="O2226" s="14">
        <f>_xlfn.NORM.INV($AC2226,$C$7,$D$7)</f>
        <v/>
      </c>
      <c r="P2226" s="14">
        <f>$C$8+($D$8-$C$8)*$AD2226</f>
        <v/>
      </c>
      <c r="Q2226" s="14">
        <f>$C$9</f>
        <v/>
      </c>
      <c r="R2226" s="14">
        <f>_xlfn.LOGNORM.INV($AF2226,LN($C$10)-0.5*LN(1+($D$10/$C$10)^2),SQRT(LN(1+($D$10/$C$10)^2)))</f>
        <v/>
      </c>
      <c r="S2226" s="14">
        <f>SUM(M2226:R2226)</f>
        <v/>
      </c>
      <c r="AA2226">
        <f>RAND()</f>
        <v/>
      </c>
      <c r="AB2226">
        <f>RAND()</f>
        <v/>
      </c>
      <c r="AC2226">
        <f>RAND()</f>
        <v/>
      </c>
      <c r="AD2226">
        <f>RAND()</f>
        <v/>
      </c>
      <c r="AE2226">
        <f>RAND()</f>
        <v/>
      </c>
      <c r="AF2226">
        <f>RAND()</f>
        <v/>
      </c>
    </row>
    <row r="2227">
      <c r="M2227" s="14">
        <f>_xlfn.BETA.INV($AA2227,1+4*($D$5-$C$5)/($E$5-$C$5),1+4*($E$5-$D$5)/($E$5-$C$5),$C$5,$E$5)</f>
        <v/>
      </c>
      <c r="N2227" s="14">
        <f>IF($AB2227&lt;($D$6-$C$6)/($E$6-$C$6),$C$6+SQRT($AB2227*($E$6-$C$6)*($D$6-$C$6)),$E$6-SQRT((1-$AB2227)*($E$6-$C$6)*($E$6-$D$6)))</f>
        <v/>
      </c>
      <c r="O2227" s="14">
        <f>_xlfn.NORM.INV($AC2227,$C$7,$D$7)</f>
        <v/>
      </c>
      <c r="P2227" s="14">
        <f>$C$8+($D$8-$C$8)*$AD2227</f>
        <v/>
      </c>
      <c r="Q2227" s="14">
        <f>$C$9</f>
        <v/>
      </c>
      <c r="R2227" s="14">
        <f>_xlfn.LOGNORM.INV($AF2227,LN($C$10)-0.5*LN(1+($D$10/$C$10)^2),SQRT(LN(1+($D$10/$C$10)^2)))</f>
        <v/>
      </c>
      <c r="S2227" s="14">
        <f>SUM(M2227:R2227)</f>
        <v/>
      </c>
      <c r="AA2227">
        <f>RAND()</f>
        <v/>
      </c>
      <c r="AB2227">
        <f>RAND()</f>
        <v/>
      </c>
      <c r="AC2227">
        <f>RAND()</f>
        <v/>
      </c>
      <c r="AD2227">
        <f>RAND()</f>
        <v/>
      </c>
      <c r="AE2227">
        <f>RAND()</f>
        <v/>
      </c>
      <c r="AF2227">
        <f>RAND()</f>
        <v/>
      </c>
    </row>
    <row r="2228">
      <c r="M2228" s="14">
        <f>_xlfn.BETA.INV($AA2228,1+4*($D$5-$C$5)/($E$5-$C$5),1+4*($E$5-$D$5)/($E$5-$C$5),$C$5,$E$5)</f>
        <v/>
      </c>
      <c r="N2228" s="14">
        <f>IF($AB2228&lt;($D$6-$C$6)/($E$6-$C$6),$C$6+SQRT($AB2228*($E$6-$C$6)*($D$6-$C$6)),$E$6-SQRT((1-$AB2228)*($E$6-$C$6)*($E$6-$D$6)))</f>
        <v/>
      </c>
      <c r="O2228" s="14">
        <f>_xlfn.NORM.INV($AC2228,$C$7,$D$7)</f>
        <v/>
      </c>
      <c r="P2228" s="14">
        <f>$C$8+($D$8-$C$8)*$AD2228</f>
        <v/>
      </c>
      <c r="Q2228" s="14">
        <f>$C$9</f>
        <v/>
      </c>
      <c r="R2228" s="14">
        <f>_xlfn.LOGNORM.INV($AF2228,LN($C$10)-0.5*LN(1+($D$10/$C$10)^2),SQRT(LN(1+($D$10/$C$10)^2)))</f>
        <v/>
      </c>
      <c r="S2228" s="14">
        <f>SUM(M2228:R2228)</f>
        <v/>
      </c>
      <c r="AA2228">
        <f>RAND()</f>
        <v/>
      </c>
      <c r="AB2228">
        <f>RAND()</f>
        <v/>
      </c>
      <c r="AC2228">
        <f>RAND()</f>
        <v/>
      </c>
      <c r="AD2228">
        <f>RAND()</f>
        <v/>
      </c>
      <c r="AE2228">
        <f>RAND()</f>
        <v/>
      </c>
      <c r="AF2228">
        <f>RAND()</f>
        <v/>
      </c>
    </row>
    <row r="2229">
      <c r="M2229" s="14">
        <f>_xlfn.BETA.INV($AA2229,1+4*($D$5-$C$5)/($E$5-$C$5),1+4*($E$5-$D$5)/($E$5-$C$5),$C$5,$E$5)</f>
        <v/>
      </c>
      <c r="N2229" s="14">
        <f>IF($AB2229&lt;($D$6-$C$6)/($E$6-$C$6),$C$6+SQRT($AB2229*($E$6-$C$6)*($D$6-$C$6)),$E$6-SQRT((1-$AB2229)*($E$6-$C$6)*($E$6-$D$6)))</f>
        <v/>
      </c>
      <c r="O2229" s="14">
        <f>_xlfn.NORM.INV($AC2229,$C$7,$D$7)</f>
        <v/>
      </c>
      <c r="P2229" s="14">
        <f>$C$8+($D$8-$C$8)*$AD2229</f>
        <v/>
      </c>
      <c r="Q2229" s="14">
        <f>$C$9</f>
        <v/>
      </c>
      <c r="R2229" s="14">
        <f>_xlfn.LOGNORM.INV($AF2229,LN($C$10)-0.5*LN(1+($D$10/$C$10)^2),SQRT(LN(1+($D$10/$C$10)^2)))</f>
        <v/>
      </c>
      <c r="S2229" s="14">
        <f>SUM(M2229:R2229)</f>
        <v/>
      </c>
      <c r="AA2229">
        <f>RAND()</f>
        <v/>
      </c>
      <c r="AB2229">
        <f>RAND()</f>
        <v/>
      </c>
      <c r="AC2229">
        <f>RAND()</f>
        <v/>
      </c>
      <c r="AD2229">
        <f>RAND()</f>
        <v/>
      </c>
      <c r="AE2229">
        <f>RAND()</f>
        <v/>
      </c>
      <c r="AF2229">
        <f>RAND()</f>
        <v/>
      </c>
    </row>
    <row r="2230">
      <c r="M2230" s="14">
        <f>_xlfn.BETA.INV($AA2230,1+4*($D$5-$C$5)/($E$5-$C$5),1+4*($E$5-$D$5)/($E$5-$C$5),$C$5,$E$5)</f>
        <v/>
      </c>
      <c r="N2230" s="14">
        <f>IF($AB2230&lt;($D$6-$C$6)/($E$6-$C$6),$C$6+SQRT($AB2230*($E$6-$C$6)*($D$6-$C$6)),$E$6-SQRT((1-$AB2230)*($E$6-$C$6)*($E$6-$D$6)))</f>
        <v/>
      </c>
      <c r="O2230" s="14">
        <f>_xlfn.NORM.INV($AC2230,$C$7,$D$7)</f>
        <v/>
      </c>
      <c r="P2230" s="14">
        <f>$C$8+($D$8-$C$8)*$AD2230</f>
        <v/>
      </c>
      <c r="Q2230" s="14">
        <f>$C$9</f>
        <v/>
      </c>
      <c r="R2230" s="14">
        <f>_xlfn.LOGNORM.INV($AF2230,LN($C$10)-0.5*LN(1+($D$10/$C$10)^2),SQRT(LN(1+($D$10/$C$10)^2)))</f>
        <v/>
      </c>
      <c r="S2230" s="14">
        <f>SUM(M2230:R2230)</f>
        <v/>
      </c>
      <c r="AA2230">
        <f>RAND()</f>
        <v/>
      </c>
      <c r="AB2230">
        <f>RAND()</f>
        <v/>
      </c>
      <c r="AC2230">
        <f>RAND()</f>
        <v/>
      </c>
      <c r="AD2230">
        <f>RAND()</f>
        <v/>
      </c>
      <c r="AE2230">
        <f>RAND()</f>
        <v/>
      </c>
      <c r="AF2230">
        <f>RAND()</f>
        <v/>
      </c>
    </row>
    <row r="2231">
      <c r="M2231" s="14">
        <f>_xlfn.BETA.INV($AA2231,1+4*($D$5-$C$5)/($E$5-$C$5),1+4*($E$5-$D$5)/($E$5-$C$5),$C$5,$E$5)</f>
        <v/>
      </c>
      <c r="N2231" s="14">
        <f>IF($AB2231&lt;($D$6-$C$6)/($E$6-$C$6),$C$6+SQRT($AB2231*($E$6-$C$6)*($D$6-$C$6)),$E$6-SQRT((1-$AB2231)*($E$6-$C$6)*($E$6-$D$6)))</f>
        <v/>
      </c>
      <c r="O2231" s="14">
        <f>_xlfn.NORM.INV($AC2231,$C$7,$D$7)</f>
        <v/>
      </c>
      <c r="P2231" s="14">
        <f>$C$8+($D$8-$C$8)*$AD2231</f>
        <v/>
      </c>
      <c r="Q2231" s="14">
        <f>$C$9</f>
        <v/>
      </c>
      <c r="R2231" s="14">
        <f>_xlfn.LOGNORM.INV($AF2231,LN($C$10)-0.5*LN(1+($D$10/$C$10)^2),SQRT(LN(1+($D$10/$C$10)^2)))</f>
        <v/>
      </c>
      <c r="S2231" s="14">
        <f>SUM(M2231:R2231)</f>
        <v/>
      </c>
      <c r="AA2231">
        <f>RAND()</f>
        <v/>
      </c>
      <c r="AB2231">
        <f>RAND()</f>
        <v/>
      </c>
      <c r="AC2231">
        <f>RAND()</f>
        <v/>
      </c>
      <c r="AD2231">
        <f>RAND()</f>
        <v/>
      </c>
      <c r="AE2231">
        <f>RAND()</f>
        <v/>
      </c>
      <c r="AF2231">
        <f>RAND()</f>
        <v/>
      </c>
    </row>
    <row r="2232">
      <c r="M2232" s="14">
        <f>_xlfn.BETA.INV($AA2232,1+4*($D$5-$C$5)/($E$5-$C$5),1+4*($E$5-$D$5)/($E$5-$C$5),$C$5,$E$5)</f>
        <v/>
      </c>
      <c r="N2232" s="14">
        <f>IF($AB2232&lt;($D$6-$C$6)/($E$6-$C$6),$C$6+SQRT($AB2232*($E$6-$C$6)*($D$6-$C$6)),$E$6-SQRT((1-$AB2232)*($E$6-$C$6)*($E$6-$D$6)))</f>
        <v/>
      </c>
      <c r="O2232" s="14">
        <f>_xlfn.NORM.INV($AC2232,$C$7,$D$7)</f>
        <v/>
      </c>
      <c r="P2232" s="14">
        <f>$C$8+($D$8-$C$8)*$AD2232</f>
        <v/>
      </c>
      <c r="Q2232" s="14">
        <f>$C$9</f>
        <v/>
      </c>
      <c r="R2232" s="14">
        <f>_xlfn.LOGNORM.INV($AF2232,LN($C$10)-0.5*LN(1+($D$10/$C$10)^2),SQRT(LN(1+($D$10/$C$10)^2)))</f>
        <v/>
      </c>
      <c r="S2232" s="14">
        <f>SUM(M2232:R2232)</f>
        <v/>
      </c>
      <c r="AA2232">
        <f>RAND()</f>
        <v/>
      </c>
      <c r="AB2232">
        <f>RAND()</f>
        <v/>
      </c>
      <c r="AC2232">
        <f>RAND()</f>
        <v/>
      </c>
      <c r="AD2232">
        <f>RAND()</f>
        <v/>
      </c>
      <c r="AE2232">
        <f>RAND()</f>
        <v/>
      </c>
      <c r="AF2232">
        <f>RAND()</f>
        <v/>
      </c>
    </row>
    <row r="2233">
      <c r="M2233" s="14">
        <f>_xlfn.BETA.INV($AA2233,1+4*($D$5-$C$5)/($E$5-$C$5),1+4*($E$5-$D$5)/($E$5-$C$5),$C$5,$E$5)</f>
        <v/>
      </c>
      <c r="N2233" s="14">
        <f>IF($AB2233&lt;($D$6-$C$6)/($E$6-$C$6),$C$6+SQRT($AB2233*($E$6-$C$6)*($D$6-$C$6)),$E$6-SQRT((1-$AB2233)*($E$6-$C$6)*($E$6-$D$6)))</f>
        <v/>
      </c>
      <c r="O2233" s="14">
        <f>_xlfn.NORM.INV($AC2233,$C$7,$D$7)</f>
        <v/>
      </c>
      <c r="P2233" s="14">
        <f>$C$8+($D$8-$C$8)*$AD2233</f>
        <v/>
      </c>
      <c r="Q2233" s="14">
        <f>$C$9</f>
        <v/>
      </c>
      <c r="R2233" s="14">
        <f>_xlfn.LOGNORM.INV($AF2233,LN($C$10)-0.5*LN(1+($D$10/$C$10)^2),SQRT(LN(1+($D$10/$C$10)^2)))</f>
        <v/>
      </c>
      <c r="S2233" s="14">
        <f>SUM(M2233:R2233)</f>
        <v/>
      </c>
      <c r="AA2233">
        <f>RAND()</f>
        <v/>
      </c>
      <c r="AB2233">
        <f>RAND()</f>
        <v/>
      </c>
      <c r="AC2233">
        <f>RAND()</f>
        <v/>
      </c>
      <c r="AD2233">
        <f>RAND()</f>
        <v/>
      </c>
      <c r="AE2233">
        <f>RAND()</f>
        <v/>
      </c>
      <c r="AF2233">
        <f>RAND()</f>
        <v/>
      </c>
    </row>
    <row r="2234">
      <c r="M2234" s="14">
        <f>_xlfn.BETA.INV($AA2234,1+4*($D$5-$C$5)/($E$5-$C$5),1+4*($E$5-$D$5)/($E$5-$C$5),$C$5,$E$5)</f>
        <v/>
      </c>
      <c r="N2234" s="14">
        <f>IF($AB2234&lt;($D$6-$C$6)/($E$6-$C$6),$C$6+SQRT($AB2234*($E$6-$C$6)*($D$6-$C$6)),$E$6-SQRT((1-$AB2234)*($E$6-$C$6)*($E$6-$D$6)))</f>
        <v/>
      </c>
      <c r="O2234" s="14">
        <f>_xlfn.NORM.INV($AC2234,$C$7,$D$7)</f>
        <v/>
      </c>
      <c r="P2234" s="14">
        <f>$C$8+($D$8-$C$8)*$AD2234</f>
        <v/>
      </c>
      <c r="Q2234" s="14">
        <f>$C$9</f>
        <v/>
      </c>
      <c r="R2234" s="14">
        <f>_xlfn.LOGNORM.INV($AF2234,LN($C$10)-0.5*LN(1+($D$10/$C$10)^2),SQRT(LN(1+($D$10/$C$10)^2)))</f>
        <v/>
      </c>
      <c r="S2234" s="14">
        <f>SUM(M2234:R2234)</f>
        <v/>
      </c>
      <c r="AA2234">
        <f>RAND()</f>
        <v/>
      </c>
      <c r="AB2234">
        <f>RAND()</f>
        <v/>
      </c>
      <c r="AC2234">
        <f>RAND()</f>
        <v/>
      </c>
      <c r="AD2234">
        <f>RAND()</f>
        <v/>
      </c>
      <c r="AE2234">
        <f>RAND()</f>
        <v/>
      </c>
      <c r="AF2234">
        <f>RAND()</f>
        <v/>
      </c>
    </row>
    <row r="2235">
      <c r="M2235" s="14">
        <f>_xlfn.BETA.INV($AA2235,1+4*($D$5-$C$5)/($E$5-$C$5),1+4*($E$5-$D$5)/($E$5-$C$5),$C$5,$E$5)</f>
        <v/>
      </c>
      <c r="N2235" s="14">
        <f>IF($AB2235&lt;($D$6-$C$6)/($E$6-$C$6),$C$6+SQRT($AB2235*($E$6-$C$6)*($D$6-$C$6)),$E$6-SQRT((1-$AB2235)*($E$6-$C$6)*($E$6-$D$6)))</f>
        <v/>
      </c>
      <c r="O2235" s="14">
        <f>_xlfn.NORM.INV($AC2235,$C$7,$D$7)</f>
        <v/>
      </c>
      <c r="P2235" s="14">
        <f>$C$8+($D$8-$C$8)*$AD2235</f>
        <v/>
      </c>
      <c r="Q2235" s="14">
        <f>$C$9</f>
        <v/>
      </c>
      <c r="R2235" s="14">
        <f>_xlfn.LOGNORM.INV($AF2235,LN($C$10)-0.5*LN(1+($D$10/$C$10)^2),SQRT(LN(1+($D$10/$C$10)^2)))</f>
        <v/>
      </c>
      <c r="S2235" s="14">
        <f>SUM(M2235:R2235)</f>
        <v/>
      </c>
      <c r="AA2235">
        <f>RAND()</f>
        <v/>
      </c>
      <c r="AB2235">
        <f>RAND()</f>
        <v/>
      </c>
      <c r="AC2235">
        <f>RAND()</f>
        <v/>
      </c>
      <c r="AD2235">
        <f>RAND()</f>
        <v/>
      </c>
      <c r="AE2235">
        <f>RAND()</f>
        <v/>
      </c>
      <c r="AF2235">
        <f>RAND()</f>
        <v/>
      </c>
    </row>
    <row r="2236">
      <c r="M2236" s="14">
        <f>_xlfn.BETA.INV($AA2236,1+4*($D$5-$C$5)/($E$5-$C$5),1+4*($E$5-$D$5)/($E$5-$C$5),$C$5,$E$5)</f>
        <v/>
      </c>
      <c r="N2236" s="14">
        <f>IF($AB2236&lt;($D$6-$C$6)/($E$6-$C$6),$C$6+SQRT($AB2236*($E$6-$C$6)*($D$6-$C$6)),$E$6-SQRT((1-$AB2236)*($E$6-$C$6)*($E$6-$D$6)))</f>
        <v/>
      </c>
      <c r="O2236" s="14">
        <f>_xlfn.NORM.INV($AC2236,$C$7,$D$7)</f>
        <v/>
      </c>
      <c r="P2236" s="14">
        <f>$C$8+($D$8-$C$8)*$AD2236</f>
        <v/>
      </c>
      <c r="Q2236" s="14">
        <f>$C$9</f>
        <v/>
      </c>
      <c r="R2236" s="14">
        <f>_xlfn.LOGNORM.INV($AF2236,LN($C$10)-0.5*LN(1+($D$10/$C$10)^2),SQRT(LN(1+($D$10/$C$10)^2)))</f>
        <v/>
      </c>
      <c r="S2236" s="14">
        <f>SUM(M2236:R2236)</f>
        <v/>
      </c>
      <c r="AA2236">
        <f>RAND()</f>
        <v/>
      </c>
      <c r="AB2236">
        <f>RAND()</f>
        <v/>
      </c>
      <c r="AC2236">
        <f>RAND()</f>
        <v/>
      </c>
      <c r="AD2236">
        <f>RAND()</f>
        <v/>
      </c>
      <c r="AE2236">
        <f>RAND()</f>
        <v/>
      </c>
      <c r="AF2236">
        <f>RAND()</f>
        <v/>
      </c>
    </row>
    <row r="2237">
      <c r="M2237" s="14">
        <f>_xlfn.BETA.INV($AA2237,1+4*($D$5-$C$5)/($E$5-$C$5),1+4*($E$5-$D$5)/($E$5-$C$5),$C$5,$E$5)</f>
        <v/>
      </c>
      <c r="N2237" s="14">
        <f>IF($AB2237&lt;($D$6-$C$6)/($E$6-$C$6),$C$6+SQRT($AB2237*($E$6-$C$6)*($D$6-$C$6)),$E$6-SQRT((1-$AB2237)*($E$6-$C$6)*($E$6-$D$6)))</f>
        <v/>
      </c>
      <c r="O2237" s="14">
        <f>_xlfn.NORM.INV($AC2237,$C$7,$D$7)</f>
        <v/>
      </c>
      <c r="P2237" s="14">
        <f>$C$8+($D$8-$C$8)*$AD2237</f>
        <v/>
      </c>
      <c r="Q2237" s="14">
        <f>$C$9</f>
        <v/>
      </c>
      <c r="R2237" s="14">
        <f>_xlfn.LOGNORM.INV($AF2237,LN($C$10)-0.5*LN(1+($D$10/$C$10)^2),SQRT(LN(1+($D$10/$C$10)^2)))</f>
        <v/>
      </c>
      <c r="S2237" s="14">
        <f>SUM(M2237:R2237)</f>
        <v/>
      </c>
      <c r="AA2237">
        <f>RAND()</f>
        <v/>
      </c>
      <c r="AB2237">
        <f>RAND()</f>
        <v/>
      </c>
      <c r="AC2237">
        <f>RAND()</f>
        <v/>
      </c>
      <c r="AD2237">
        <f>RAND()</f>
        <v/>
      </c>
      <c r="AE2237">
        <f>RAND()</f>
        <v/>
      </c>
      <c r="AF2237">
        <f>RAND()</f>
        <v/>
      </c>
    </row>
    <row r="2238">
      <c r="M2238" s="14">
        <f>_xlfn.BETA.INV($AA2238,1+4*($D$5-$C$5)/($E$5-$C$5),1+4*($E$5-$D$5)/($E$5-$C$5),$C$5,$E$5)</f>
        <v/>
      </c>
      <c r="N2238" s="14">
        <f>IF($AB2238&lt;($D$6-$C$6)/($E$6-$C$6),$C$6+SQRT($AB2238*($E$6-$C$6)*($D$6-$C$6)),$E$6-SQRT((1-$AB2238)*($E$6-$C$6)*($E$6-$D$6)))</f>
        <v/>
      </c>
      <c r="O2238" s="14">
        <f>_xlfn.NORM.INV($AC2238,$C$7,$D$7)</f>
        <v/>
      </c>
      <c r="P2238" s="14">
        <f>$C$8+($D$8-$C$8)*$AD2238</f>
        <v/>
      </c>
      <c r="Q2238" s="14">
        <f>$C$9</f>
        <v/>
      </c>
      <c r="R2238" s="14">
        <f>_xlfn.LOGNORM.INV($AF2238,LN($C$10)-0.5*LN(1+($D$10/$C$10)^2),SQRT(LN(1+($D$10/$C$10)^2)))</f>
        <v/>
      </c>
      <c r="S2238" s="14">
        <f>SUM(M2238:R2238)</f>
        <v/>
      </c>
      <c r="AA2238">
        <f>RAND()</f>
        <v/>
      </c>
      <c r="AB2238">
        <f>RAND()</f>
        <v/>
      </c>
      <c r="AC2238">
        <f>RAND()</f>
        <v/>
      </c>
      <c r="AD2238">
        <f>RAND()</f>
        <v/>
      </c>
      <c r="AE2238">
        <f>RAND()</f>
        <v/>
      </c>
      <c r="AF2238">
        <f>RAND()</f>
        <v/>
      </c>
    </row>
    <row r="2239">
      <c r="M2239" s="14">
        <f>_xlfn.BETA.INV($AA2239,1+4*($D$5-$C$5)/($E$5-$C$5),1+4*($E$5-$D$5)/($E$5-$C$5),$C$5,$E$5)</f>
        <v/>
      </c>
      <c r="N2239" s="14">
        <f>IF($AB2239&lt;($D$6-$C$6)/($E$6-$C$6),$C$6+SQRT($AB2239*($E$6-$C$6)*($D$6-$C$6)),$E$6-SQRT((1-$AB2239)*($E$6-$C$6)*($E$6-$D$6)))</f>
        <v/>
      </c>
      <c r="O2239" s="14">
        <f>_xlfn.NORM.INV($AC2239,$C$7,$D$7)</f>
        <v/>
      </c>
      <c r="P2239" s="14">
        <f>$C$8+($D$8-$C$8)*$AD2239</f>
        <v/>
      </c>
      <c r="Q2239" s="14">
        <f>$C$9</f>
        <v/>
      </c>
      <c r="R2239" s="14">
        <f>_xlfn.LOGNORM.INV($AF2239,LN($C$10)-0.5*LN(1+($D$10/$C$10)^2),SQRT(LN(1+($D$10/$C$10)^2)))</f>
        <v/>
      </c>
      <c r="S2239" s="14">
        <f>SUM(M2239:R2239)</f>
        <v/>
      </c>
      <c r="AA2239">
        <f>RAND()</f>
        <v/>
      </c>
      <c r="AB2239">
        <f>RAND()</f>
        <v/>
      </c>
      <c r="AC2239">
        <f>RAND()</f>
        <v/>
      </c>
      <c r="AD2239">
        <f>RAND()</f>
        <v/>
      </c>
      <c r="AE2239">
        <f>RAND()</f>
        <v/>
      </c>
      <c r="AF2239">
        <f>RAND()</f>
        <v/>
      </c>
    </row>
    <row r="2240">
      <c r="M2240" s="14">
        <f>_xlfn.BETA.INV($AA2240,1+4*($D$5-$C$5)/($E$5-$C$5),1+4*($E$5-$D$5)/($E$5-$C$5),$C$5,$E$5)</f>
        <v/>
      </c>
      <c r="N2240" s="14">
        <f>IF($AB2240&lt;($D$6-$C$6)/($E$6-$C$6),$C$6+SQRT($AB2240*($E$6-$C$6)*($D$6-$C$6)),$E$6-SQRT((1-$AB2240)*($E$6-$C$6)*($E$6-$D$6)))</f>
        <v/>
      </c>
      <c r="O2240" s="14">
        <f>_xlfn.NORM.INV($AC2240,$C$7,$D$7)</f>
        <v/>
      </c>
      <c r="P2240" s="14">
        <f>$C$8+($D$8-$C$8)*$AD2240</f>
        <v/>
      </c>
      <c r="Q2240" s="14">
        <f>$C$9</f>
        <v/>
      </c>
      <c r="R2240" s="14">
        <f>_xlfn.LOGNORM.INV($AF2240,LN($C$10)-0.5*LN(1+($D$10/$C$10)^2),SQRT(LN(1+($D$10/$C$10)^2)))</f>
        <v/>
      </c>
      <c r="S2240" s="14">
        <f>SUM(M2240:R2240)</f>
        <v/>
      </c>
      <c r="AA2240">
        <f>RAND()</f>
        <v/>
      </c>
      <c r="AB2240">
        <f>RAND()</f>
        <v/>
      </c>
      <c r="AC2240">
        <f>RAND()</f>
        <v/>
      </c>
      <c r="AD2240">
        <f>RAND()</f>
        <v/>
      </c>
      <c r="AE2240">
        <f>RAND()</f>
        <v/>
      </c>
      <c r="AF2240">
        <f>RAND()</f>
        <v/>
      </c>
    </row>
    <row r="2241">
      <c r="M2241" s="14">
        <f>_xlfn.BETA.INV($AA2241,1+4*($D$5-$C$5)/($E$5-$C$5),1+4*($E$5-$D$5)/($E$5-$C$5),$C$5,$E$5)</f>
        <v/>
      </c>
      <c r="N2241" s="14">
        <f>IF($AB2241&lt;($D$6-$C$6)/($E$6-$C$6),$C$6+SQRT($AB2241*($E$6-$C$6)*($D$6-$C$6)),$E$6-SQRT((1-$AB2241)*($E$6-$C$6)*($E$6-$D$6)))</f>
        <v/>
      </c>
      <c r="O2241" s="14">
        <f>_xlfn.NORM.INV($AC2241,$C$7,$D$7)</f>
        <v/>
      </c>
      <c r="P2241" s="14">
        <f>$C$8+($D$8-$C$8)*$AD2241</f>
        <v/>
      </c>
      <c r="Q2241" s="14">
        <f>$C$9</f>
        <v/>
      </c>
      <c r="R2241" s="14">
        <f>_xlfn.LOGNORM.INV($AF2241,LN($C$10)-0.5*LN(1+($D$10/$C$10)^2),SQRT(LN(1+($D$10/$C$10)^2)))</f>
        <v/>
      </c>
      <c r="S2241" s="14">
        <f>SUM(M2241:R2241)</f>
        <v/>
      </c>
      <c r="AA2241">
        <f>RAND()</f>
        <v/>
      </c>
      <c r="AB2241">
        <f>RAND()</f>
        <v/>
      </c>
      <c r="AC2241">
        <f>RAND()</f>
        <v/>
      </c>
      <c r="AD2241">
        <f>RAND()</f>
        <v/>
      </c>
      <c r="AE2241">
        <f>RAND()</f>
        <v/>
      </c>
      <c r="AF2241">
        <f>RAND()</f>
        <v/>
      </c>
    </row>
    <row r="2242">
      <c r="M2242" s="14">
        <f>_xlfn.BETA.INV($AA2242,1+4*($D$5-$C$5)/($E$5-$C$5),1+4*($E$5-$D$5)/($E$5-$C$5),$C$5,$E$5)</f>
        <v/>
      </c>
      <c r="N2242" s="14">
        <f>IF($AB2242&lt;($D$6-$C$6)/($E$6-$C$6),$C$6+SQRT($AB2242*($E$6-$C$6)*($D$6-$C$6)),$E$6-SQRT((1-$AB2242)*($E$6-$C$6)*($E$6-$D$6)))</f>
        <v/>
      </c>
      <c r="O2242" s="14">
        <f>_xlfn.NORM.INV($AC2242,$C$7,$D$7)</f>
        <v/>
      </c>
      <c r="P2242" s="14">
        <f>$C$8+($D$8-$C$8)*$AD2242</f>
        <v/>
      </c>
      <c r="Q2242" s="14">
        <f>$C$9</f>
        <v/>
      </c>
      <c r="R2242" s="14">
        <f>_xlfn.LOGNORM.INV($AF2242,LN($C$10)-0.5*LN(1+($D$10/$C$10)^2),SQRT(LN(1+($D$10/$C$10)^2)))</f>
        <v/>
      </c>
      <c r="S2242" s="14">
        <f>SUM(M2242:R2242)</f>
        <v/>
      </c>
      <c r="AA2242">
        <f>RAND()</f>
        <v/>
      </c>
      <c r="AB2242">
        <f>RAND()</f>
        <v/>
      </c>
      <c r="AC2242">
        <f>RAND()</f>
        <v/>
      </c>
      <c r="AD2242">
        <f>RAND()</f>
        <v/>
      </c>
      <c r="AE2242">
        <f>RAND()</f>
        <v/>
      </c>
      <c r="AF2242">
        <f>RAND()</f>
        <v/>
      </c>
    </row>
    <row r="2243">
      <c r="M2243" s="14">
        <f>_xlfn.BETA.INV($AA2243,1+4*($D$5-$C$5)/($E$5-$C$5),1+4*($E$5-$D$5)/($E$5-$C$5),$C$5,$E$5)</f>
        <v/>
      </c>
      <c r="N2243" s="14">
        <f>IF($AB2243&lt;($D$6-$C$6)/($E$6-$C$6),$C$6+SQRT($AB2243*($E$6-$C$6)*($D$6-$C$6)),$E$6-SQRT((1-$AB2243)*($E$6-$C$6)*($E$6-$D$6)))</f>
        <v/>
      </c>
      <c r="O2243" s="14">
        <f>_xlfn.NORM.INV($AC2243,$C$7,$D$7)</f>
        <v/>
      </c>
      <c r="P2243" s="14">
        <f>$C$8+($D$8-$C$8)*$AD2243</f>
        <v/>
      </c>
      <c r="Q2243" s="14">
        <f>$C$9</f>
        <v/>
      </c>
      <c r="R2243" s="14">
        <f>_xlfn.LOGNORM.INV($AF2243,LN($C$10)-0.5*LN(1+($D$10/$C$10)^2),SQRT(LN(1+($D$10/$C$10)^2)))</f>
        <v/>
      </c>
      <c r="S2243" s="14">
        <f>SUM(M2243:R2243)</f>
        <v/>
      </c>
      <c r="AA2243">
        <f>RAND()</f>
        <v/>
      </c>
      <c r="AB2243">
        <f>RAND()</f>
        <v/>
      </c>
      <c r="AC2243">
        <f>RAND()</f>
        <v/>
      </c>
      <c r="AD2243">
        <f>RAND()</f>
        <v/>
      </c>
      <c r="AE2243">
        <f>RAND()</f>
        <v/>
      </c>
      <c r="AF2243">
        <f>RAND()</f>
        <v/>
      </c>
    </row>
    <row r="2244">
      <c r="M2244" s="14">
        <f>_xlfn.BETA.INV($AA2244,1+4*($D$5-$C$5)/($E$5-$C$5),1+4*($E$5-$D$5)/($E$5-$C$5),$C$5,$E$5)</f>
        <v/>
      </c>
      <c r="N2244" s="14">
        <f>IF($AB2244&lt;($D$6-$C$6)/($E$6-$C$6),$C$6+SQRT($AB2244*($E$6-$C$6)*($D$6-$C$6)),$E$6-SQRT((1-$AB2244)*($E$6-$C$6)*($E$6-$D$6)))</f>
        <v/>
      </c>
      <c r="O2244" s="14">
        <f>_xlfn.NORM.INV($AC2244,$C$7,$D$7)</f>
        <v/>
      </c>
      <c r="P2244" s="14">
        <f>$C$8+($D$8-$C$8)*$AD2244</f>
        <v/>
      </c>
      <c r="Q2244" s="14">
        <f>$C$9</f>
        <v/>
      </c>
      <c r="R2244" s="14">
        <f>_xlfn.LOGNORM.INV($AF2244,LN($C$10)-0.5*LN(1+($D$10/$C$10)^2),SQRT(LN(1+($D$10/$C$10)^2)))</f>
        <v/>
      </c>
      <c r="S2244" s="14">
        <f>SUM(M2244:R2244)</f>
        <v/>
      </c>
      <c r="AA2244">
        <f>RAND()</f>
        <v/>
      </c>
      <c r="AB2244">
        <f>RAND()</f>
        <v/>
      </c>
      <c r="AC2244">
        <f>RAND()</f>
        <v/>
      </c>
      <c r="AD2244">
        <f>RAND()</f>
        <v/>
      </c>
      <c r="AE2244">
        <f>RAND()</f>
        <v/>
      </c>
      <c r="AF2244">
        <f>RAND()</f>
        <v/>
      </c>
    </row>
    <row r="2245">
      <c r="M2245" s="14">
        <f>_xlfn.BETA.INV($AA2245,1+4*($D$5-$C$5)/($E$5-$C$5),1+4*($E$5-$D$5)/($E$5-$C$5),$C$5,$E$5)</f>
        <v/>
      </c>
      <c r="N2245" s="14">
        <f>IF($AB2245&lt;($D$6-$C$6)/($E$6-$C$6),$C$6+SQRT($AB2245*($E$6-$C$6)*($D$6-$C$6)),$E$6-SQRT((1-$AB2245)*($E$6-$C$6)*($E$6-$D$6)))</f>
        <v/>
      </c>
      <c r="O2245" s="14">
        <f>_xlfn.NORM.INV($AC2245,$C$7,$D$7)</f>
        <v/>
      </c>
      <c r="P2245" s="14">
        <f>$C$8+($D$8-$C$8)*$AD2245</f>
        <v/>
      </c>
      <c r="Q2245" s="14">
        <f>$C$9</f>
        <v/>
      </c>
      <c r="R2245" s="14">
        <f>_xlfn.LOGNORM.INV($AF2245,LN($C$10)-0.5*LN(1+($D$10/$C$10)^2),SQRT(LN(1+($D$10/$C$10)^2)))</f>
        <v/>
      </c>
      <c r="S2245" s="14">
        <f>SUM(M2245:R2245)</f>
        <v/>
      </c>
      <c r="AA2245">
        <f>RAND()</f>
        <v/>
      </c>
      <c r="AB2245">
        <f>RAND()</f>
        <v/>
      </c>
      <c r="AC2245">
        <f>RAND()</f>
        <v/>
      </c>
      <c r="AD2245">
        <f>RAND()</f>
        <v/>
      </c>
      <c r="AE2245">
        <f>RAND()</f>
        <v/>
      </c>
      <c r="AF2245">
        <f>RAND()</f>
        <v/>
      </c>
    </row>
    <row r="2246">
      <c r="M2246" s="14">
        <f>_xlfn.BETA.INV($AA2246,1+4*($D$5-$C$5)/($E$5-$C$5),1+4*($E$5-$D$5)/($E$5-$C$5),$C$5,$E$5)</f>
        <v/>
      </c>
      <c r="N2246" s="14">
        <f>IF($AB2246&lt;($D$6-$C$6)/($E$6-$C$6),$C$6+SQRT($AB2246*($E$6-$C$6)*($D$6-$C$6)),$E$6-SQRT((1-$AB2246)*($E$6-$C$6)*($E$6-$D$6)))</f>
        <v/>
      </c>
      <c r="O2246" s="14">
        <f>_xlfn.NORM.INV($AC2246,$C$7,$D$7)</f>
        <v/>
      </c>
      <c r="P2246" s="14">
        <f>$C$8+($D$8-$C$8)*$AD2246</f>
        <v/>
      </c>
      <c r="Q2246" s="14">
        <f>$C$9</f>
        <v/>
      </c>
      <c r="R2246" s="14">
        <f>_xlfn.LOGNORM.INV($AF2246,LN($C$10)-0.5*LN(1+($D$10/$C$10)^2),SQRT(LN(1+($D$10/$C$10)^2)))</f>
        <v/>
      </c>
      <c r="S2246" s="14">
        <f>SUM(M2246:R2246)</f>
        <v/>
      </c>
      <c r="AA2246">
        <f>RAND()</f>
        <v/>
      </c>
      <c r="AB2246">
        <f>RAND()</f>
        <v/>
      </c>
      <c r="AC2246">
        <f>RAND()</f>
        <v/>
      </c>
      <c r="AD2246">
        <f>RAND()</f>
        <v/>
      </c>
      <c r="AE2246">
        <f>RAND()</f>
        <v/>
      </c>
      <c r="AF2246">
        <f>RAND()</f>
        <v/>
      </c>
    </row>
    <row r="2247">
      <c r="M2247" s="14">
        <f>_xlfn.BETA.INV($AA2247,1+4*($D$5-$C$5)/($E$5-$C$5),1+4*($E$5-$D$5)/($E$5-$C$5),$C$5,$E$5)</f>
        <v/>
      </c>
      <c r="N2247" s="14">
        <f>IF($AB2247&lt;($D$6-$C$6)/($E$6-$C$6),$C$6+SQRT($AB2247*($E$6-$C$6)*($D$6-$C$6)),$E$6-SQRT((1-$AB2247)*($E$6-$C$6)*($E$6-$D$6)))</f>
        <v/>
      </c>
      <c r="O2247" s="14">
        <f>_xlfn.NORM.INV($AC2247,$C$7,$D$7)</f>
        <v/>
      </c>
      <c r="P2247" s="14">
        <f>$C$8+($D$8-$C$8)*$AD2247</f>
        <v/>
      </c>
      <c r="Q2247" s="14">
        <f>$C$9</f>
        <v/>
      </c>
      <c r="R2247" s="14">
        <f>_xlfn.LOGNORM.INV($AF2247,LN($C$10)-0.5*LN(1+($D$10/$C$10)^2),SQRT(LN(1+($D$10/$C$10)^2)))</f>
        <v/>
      </c>
      <c r="S2247" s="14">
        <f>SUM(M2247:R2247)</f>
        <v/>
      </c>
      <c r="AA2247">
        <f>RAND()</f>
        <v/>
      </c>
      <c r="AB2247">
        <f>RAND()</f>
        <v/>
      </c>
      <c r="AC2247">
        <f>RAND()</f>
        <v/>
      </c>
      <c r="AD2247">
        <f>RAND()</f>
        <v/>
      </c>
      <c r="AE2247">
        <f>RAND()</f>
        <v/>
      </c>
      <c r="AF2247">
        <f>RAND()</f>
        <v/>
      </c>
    </row>
    <row r="2248">
      <c r="M2248" s="14">
        <f>_xlfn.BETA.INV($AA2248,1+4*($D$5-$C$5)/($E$5-$C$5),1+4*($E$5-$D$5)/($E$5-$C$5),$C$5,$E$5)</f>
        <v/>
      </c>
      <c r="N2248" s="14">
        <f>IF($AB2248&lt;($D$6-$C$6)/($E$6-$C$6),$C$6+SQRT($AB2248*($E$6-$C$6)*($D$6-$C$6)),$E$6-SQRT((1-$AB2248)*($E$6-$C$6)*($E$6-$D$6)))</f>
        <v/>
      </c>
      <c r="O2248" s="14">
        <f>_xlfn.NORM.INV($AC2248,$C$7,$D$7)</f>
        <v/>
      </c>
      <c r="P2248" s="14">
        <f>$C$8+($D$8-$C$8)*$AD2248</f>
        <v/>
      </c>
      <c r="Q2248" s="14">
        <f>$C$9</f>
        <v/>
      </c>
      <c r="R2248" s="14">
        <f>_xlfn.LOGNORM.INV($AF2248,LN($C$10)-0.5*LN(1+($D$10/$C$10)^2),SQRT(LN(1+($D$10/$C$10)^2)))</f>
        <v/>
      </c>
      <c r="S2248" s="14">
        <f>SUM(M2248:R2248)</f>
        <v/>
      </c>
      <c r="AA2248">
        <f>RAND()</f>
        <v/>
      </c>
      <c r="AB2248">
        <f>RAND()</f>
        <v/>
      </c>
      <c r="AC2248">
        <f>RAND()</f>
        <v/>
      </c>
      <c r="AD2248">
        <f>RAND()</f>
        <v/>
      </c>
      <c r="AE2248">
        <f>RAND()</f>
        <v/>
      </c>
      <c r="AF2248">
        <f>RAND()</f>
        <v/>
      </c>
    </row>
    <row r="2249">
      <c r="M2249" s="14">
        <f>_xlfn.BETA.INV($AA2249,1+4*($D$5-$C$5)/($E$5-$C$5),1+4*($E$5-$D$5)/($E$5-$C$5),$C$5,$E$5)</f>
        <v/>
      </c>
      <c r="N2249" s="14">
        <f>IF($AB2249&lt;($D$6-$C$6)/($E$6-$C$6),$C$6+SQRT($AB2249*($E$6-$C$6)*($D$6-$C$6)),$E$6-SQRT((1-$AB2249)*($E$6-$C$6)*($E$6-$D$6)))</f>
        <v/>
      </c>
      <c r="O2249" s="14">
        <f>_xlfn.NORM.INV($AC2249,$C$7,$D$7)</f>
        <v/>
      </c>
      <c r="P2249" s="14">
        <f>$C$8+($D$8-$C$8)*$AD2249</f>
        <v/>
      </c>
      <c r="Q2249" s="14">
        <f>$C$9</f>
        <v/>
      </c>
      <c r="R2249" s="14">
        <f>_xlfn.LOGNORM.INV($AF2249,LN($C$10)-0.5*LN(1+($D$10/$C$10)^2),SQRT(LN(1+($D$10/$C$10)^2)))</f>
        <v/>
      </c>
      <c r="S2249" s="14">
        <f>SUM(M2249:R2249)</f>
        <v/>
      </c>
      <c r="AA2249">
        <f>RAND()</f>
        <v/>
      </c>
      <c r="AB2249">
        <f>RAND()</f>
        <v/>
      </c>
      <c r="AC2249">
        <f>RAND()</f>
        <v/>
      </c>
      <c r="AD2249">
        <f>RAND()</f>
        <v/>
      </c>
      <c r="AE2249">
        <f>RAND()</f>
        <v/>
      </c>
      <c r="AF2249">
        <f>RAND()</f>
        <v/>
      </c>
    </row>
    <row r="2250">
      <c r="M2250" s="14">
        <f>_xlfn.BETA.INV($AA2250,1+4*($D$5-$C$5)/($E$5-$C$5),1+4*($E$5-$D$5)/($E$5-$C$5),$C$5,$E$5)</f>
        <v/>
      </c>
      <c r="N2250" s="14">
        <f>IF($AB2250&lt;($D$6-$C$6)/($E$6-$C$6),$C$6+SQRT($AB2250*($E$6-$C$6)*($D$6-$C$6)),$E$6-SQRT((1-$AB2250)*($E$6-$C$6)*($E$6-$D$6)))</f>
        <v/>
      </c>
      <c r="O2250" s="14">
        <f>_xlfn.NORM.INV($AC2250,$C$7,$D$7)</f>
        <v/>
      </c>
      <c r="P2250" s="14">
        <f>$C$8+($D$8-$C$8)*$AD2250</f>
        <v/>
      </c>
      <c r="Q2250" s="14">
        <f>$C$9</f>
        <v/>
      </c>
      <c r="R2250" s="14">
        <f>_xlfn.LOGNORM.INV($AF2250,LN($C$10)-0.5*LN(1+($D$10/$C$10)^2),SQRT(LN(1+($D$10/$C$10)^2)))</f>
        <v/>
      </c>
      <c r="S2250" s="14">
        <f>SUM(M2250:R2250)</f>
        <v/>
      </c>
      <c r="AA2250">
        <f>RAND()</f>
        <v/>
      </c>
      <c r="AB2250">
        <f>RAND()</f>
        <v/>
      </c>
      <c r="AC2250">
        <f>RAND()</f>
        <v/>
      </c>
      <c r="AD2250">
        <f>RAND()</f>
        <v/>
      </c>
      <c r="AE2250">
        <f>RAND()</f>
        <v/>
      </c>
      <c r="AF2250">
        <f>RAND()</f>
        <v/>
      </c>
    </row>
    <row r="2251">
      <c r="M2251" s="14">
        <f>_xlfn.BETA.INV($AA2251,1+4*($D$5-$C$5)/($E$5-$C$5),1+4*($E$5-$D$5)/($E$5-$C$5),$C$5,$E$5)</f>
        <v/>
      </c>
      <c r="N2251" s="14">
        <f>IF($AB2251&lt;($D$6-$C$6)/($E$6-$C$6),$C$6+SQRT($AB2251*($E$6-$C$6)*($D$6-$C$6)),$E$6-SQRT((1-$AB2251)*($E$6-$C$6)*($E$6-$D$6)))</f>
        <v/>
      </c>
      <c r="O2251" s="14">
        <f>_xlfn.NORM.INV($AC2251,$C$7,$D$7)</f>
        <v/>
      </c>
      <c r="P2251" s="14">
        <f>$C$8+($D$8-$C$8)*$AD2251</f>
        <v/>
      </c>
      <c r="Q2251" s="14">
        <f>$C$9</f>
        <v/>
      </c>
      <c r="R2251" s="14">
        <f>_xlfn.LOGNORM.INV($AF2251,LN($C$10)-0.5*LN(1+($D$10/$C$10)^2),SQRT(LN(1+($D$10/$C$10)^2)))</f>
        <v/>
      </c>
      <c r="S2251" s="14">
        <f>SUM(M2251:R2251)</f>
        <v/>
      </c>
      <c r="AA2251">
        <f>RAND()</f>
        <v/>
      </c>
      <c r="AB2251">
        <f>RAND()</f>
        <v/>
      </c>
      <c r="AC2251">
        <f>RAND()</f>
        <v/>
      </c>
      <c r="AD2251">
        <f>RAND()</f>
        <v/>
      </c>
      <c r="AE2251">
        <f>RAND()</f>
        <v/>
      </c>
      <c r="AF2251">
        <f>RAND()</f>
        <v/>
      </c>
    </row>
    <row r="2252">
      <c r="M2252" s="14">
        <f>_xlfn.BETA.INV($AA2252,1+4*($D$5-$C$5)/($E$5-$C$5),1+4*($E$5-$D$5)/($E$5-$C$5),$C$5,$E$5)</f>
        <v/>
      </c>
      <c r="N2252" s="14">
        <f>IF($AB2252&lt;($D$6-$C$6)/($E$6-$C$6),$C$6+SQRT($AB2252*($E$6-$C$6)*($D$6-$C$6)),$E$6-SQRT((1-$AB2252)*($E$6-$C$6)*($E$6-$D$6)))</f>
        <v/>
      </c>
      <c r="O2252" s="14">
        <f>_xlfn.NORM.INV($AC2252,$C$7,$D$7)</f>
        <v/>
      </c>
      <c r="P2252" s="14">
        <f>$C$8+($D$8-$C$8)*$AD2252</f>
        <v/>
      </c>
      <c r="Q2252" s="14">
        <f>$C$9</f>
        <v/>
      </c>
      <c r="R2252" s="14">
        <f>_xlfn.LOGNORM.INV($AF2252,LN($C$10)-0.5*LN(1+($D$10/$C$10)^2),SQRT(LN(1+($D$10/$C$10)^2)))</f>
        <v/>
      </c>
      <c r="S2252" s="14">
        <f>SUM(M2252:R2252)</f>
        <v/>
      </c>
      <c r="AA2252">
        <f>RAND()</f>
        <v/>
      </c>
      <c r="AB2252">
        <f>RAND()</f>
        <v/>
      </c>
      <c r="AC2252">
        <f>RAND()</f>
        <v/>
      </c>
      <c r="AD2252">
        <f>RAND()</f>
        <v/>
      </c>
      <c r="AE2252">
        <f>RAND()</f>
        <v/>
      </c>
      <c r="AF2252">
        <f>RAND()</f>
        <v/>
      </c>
    </row>
    <row r="2253">
      <c r="M2253" s="14">
        <f>_xlfn.BETA.INV($AA2253,1+4*($D$5-$C$5)/($E$5-$C$5),1+4*($E$5-$D$5)/($E$5-$C$5),$C$5,$E$5)</f>
        <v/>
      </c>
      <c r="N2253" s="14">
        <f>IF($AB2253&lt;($D$6-$C$6)/($E$6-$C$6),$C$6+SQRT($AB2253*($E$6-$C$6)*($D$6-$C$6)),$E$6-SQRT((1-$AB2253)*($E$6-$C$6)*($E$6-$D$6)))</f>
        <v/>
      </c>
      <c r="O2253" s="14">
        <f>_xlfn.NORM.INV($AC2253,$C$7,$D$7)</f>
        <v/>
      </c>
      <c r="P2253" s="14">
        <f>$C$8+($D$8-$C$8)*$AD2253</f>
        <v/>
      </c>
      <c r="Q2253" s="14">
        <f>$C$9</f>
        <v/>
      </c>
      <c r="R2253" s="14">
        <f>_xlfn.LOGNORM.INV($AF2253,LN($C$10)-0.5*LN(1+($D$10/$C$10)^2),SQRT(LN(1+($D$10/$C$10)^2)))</f>
        <v/>
      </c>
      <c r="S2253" s="14">
        <f>SUM(M2253:R2253)</f>
        <v/>
      </c>
      <c r="AA2253">
        <f>RAND()</f>
        <v/>
      </c>
      <c r="AB2253">
        <f>RAND()</f>
        <v/>
      </c>
      <c r="AC2253">
        <f>RAND()</f>
        <v/>
      </c>
      <c r="AD2253">
        <f>RAND()</f>
        <v/>
      </c>
      <c r="AE2253">
        <f>RAND()</f>
        <v/>
      </c>
      <c r="AF2253">
        <f>RAND()</f>
        <v/>
      </c>
    </row>
    <row r="2254">
      <c r="M2254" s="14">
        <f>_xlfn.BETA.INV($AA2254,1+4*($D$5-$C$5)/($E$5-$C$5),1+4*($E$5-$D$5)/($E$5-$C$5),$C$5,$E$5)</f>
        <v/>
      </c>
      <c r="N2254" s="14">
        <f>IF($AB2254&lt;($D$6-$C$6)/($E$6-$C$6),$C$6+SQRT($AB2254*($E$6-$C$6)*($D$6-$C$6)),$E$6-SQRT((1-$AB2254)*($E$6-$C$6)*($E$6-$D$6)))</f>
        <v/>
      </c>
      <c r="O2254" s="14">
        <f>_xlfn.NORM.INV($AC2254,$C$7,$D$7)</f>
        <v/>
      </c>
      <c r="P2254" s="14">
        <f>$C$8+($D$8-$C$8)*$AD2254</f>
        <v/>
      </c>
      <c r="Q2254" s="14">
        <f>$C$9</f>
        <v/>
      </c>
      <c r="R2254" s="14">
        <f>_xlfn.LOGNORM.INV($AF2254,LN($C$10)-0.5*LN(1+($D$10/$C$10)^2),SQRT(LN(1+($D$10/$C$10)^2)))</f>
        <v/>
      </c>
      <c r="S2254" s="14">
        <f>SUM(M2254:R2254)</f>
        <v/>
      </c>
      <c r="AA2254">
        <f>RAND()</f>
        <v/>
      </c>
      <c r="AB2254">
        <f>RAND()</f>
        <v/>
      </c>
      <c r="AC2254">
        <f>RAND()</f>
        <v/>
      </c>
      <c r="AD2254">
        <f>RAND()</f>
        <v/>
      </c>
      <c r="AE2254">
        <f>RAND()</f>
        <v/>
      </c>
      <c r="AF2254">
        <f>RAND()</f>
        <v/>
      </c>
    </row>
    <row r="2255">
      <c r="M2255" s="14">
        <f>_xlfn.BETA.INV($AA2255,1+4*($D$5-$C$5)/($E$5-$C$5),1+4*($E$5-$D$5)/($E$5-$C$5),$C$5,$E$5)</f>
        <v/>
      </c>
      <c r="N2255" s="14">
        <f>IF($AB2255&lt;($D$6-$C$6)/($E$6-$C$6),$C$6+SQRT($AB2255*($E$6-$C$6)*($D$6-$C$6)),$E$6-SQRT((1-$AB2255)*($E$6-$C$6)*($E$6-$D$6)))</f>
        <v/>
      </c>
      <c r="O2255" s="14">
        <f>_xlfn.NORM.INV($AC2255,$C$7,$D$7)</f>
        <v/>
      </c>
      <c r="P2255" s="14">
        <f>$C$8+($D$8-$C$8)*$AD2255</f>
        <v/>
      </c>
      <c r="Q2255" s="14">
        <f>$C$9</f>
        <v/>
      </c>
      <c r="R2255" s="14">
        <f>_xlfn.LOGNORM.INV($AF2255,LN($C$10)-0.5*LN(1+($D$10/$C$10)^2),SQRT(LN(1+($D$10/$C$10)^2)))</f>
        <v/>
      </c>
      <c r="S2255" s="14">
        <f>SUM(M2255:R2255)</f>
        <v/>
      </c>
      <c r="AA2255">
        <f>RAND()</f>
        <v/>
      </c>
      <c r="AB2255">
        <f>RAND()</f>
        <v/>
      </c>
      <c r="AC2255">
        <f>RAND()</f>
        <v/>
      </c>
      <c r="AD2255">
        <f>RAND()</f>
        <v/>
      </c>
      <c r="AE2255">
        <f>RAND()</f>
        <v/>
      </c>
      <c r="AF2255">
        <f>RAND()</f>
        <v/>
      </c>
    </row>
    <row r="2256">
      <c r="M2256" s="14">
        <f>_xlfn.BETA.INV($AA2256,1+4*($D$5-$C$5)/($E$5-$C$5),1+4*($E$5-$D$5)/($E$5-$C$5),$C$5,$E$5)</f>
        <v/>
      </c>
      <c r="N2256" s="14">
        <f>IF($AB2256&lt;($D$6-$C$6)/($E$6-$C$6),$C$6+SQRT($AB2256*($E$6-$C$6)*($D$6-$C$6)),$E$6-SQRT((1-$AB2256)*($E$6-$C$6)*($E$6-$D$6)))</f>
        <v/>
      </c>
      <c r="O2256" s="14">
        <f>_xlfn.NORM.INV($AC2256,$C$7,$D$7)</f>
        <v/>
      </c>
      <c r="P2256" s="14">
        <f>$C$8+($D$8-$C$8)*$AD2256</f>
        <v/>
      </c>
      <c r="Q2256" s="14">
        <f>$C$9</f>
        <v/>
      </c>
      <c r="R2256" s="14">
        <f>_xlfn.LOGNORM.INV($AF2256,LN($C$10)-0.5*LN(1+($D$10/$C$10)^2),SQRT(LN(1+($D$10/$C$10)^2)))</f>
        <v/>
      </c>
      <c r="S2256" s="14">
        <f>SUM(M2256:R2256)</f>
        <v/>
      </c>
      <c r="AA2256">
        <f>RAND()</f>
        <v/>
      </c>
      <c r="AB2256">
        <f>RAND()</f>
        <v/>
      </c>
      <c r="AC2256">
        <f>RAND()</f>
        <v/>
      </c>
      <c r="AD2256">
        <f>RAND()</f>
        <v/>
      </c>
      <c r="AE2256">
        <f>RAND()</f>
        <v/>
      </c>
      <c r="AF2256">
        <f>RAND()</f>
        <v/>
      </c>
    </row>
    <row r="2257">
      <c r="M2257" s="14">
        <f>_xlfn.BETA.INV($AA2257,1+4*($D$5-$C$5)/($E$5-$C$5),1+4*($E$5-$D$5)/($E$5-$C$5),$C$5,$E$5)</f>
        <v/>
      </c>
      <c r="N2257" s="14">
        <f>IF($AB2257&lt;($D$6-$C$6)/($E$6-$C$6),$C$6+SQRT($AB2257*($E$6-$C$6)*($D$6-$C$6)),$E$6-SQRT((1-$AB2257)*($E$6-$C$6)*($E$6-$D$6)))</f>
        <v/>
      </c>
      <c r="O2257" s="14">
        <f>_xlfn.NORM.INV($AC2257,$C$7,$D$7)</f>
        <v/>
      </c>
      <c r="P2257" s="14">
        <f>$C$8+($D$8-$C$8)*$AD2257</f>
        <v/>
      </c>
      <c r="Q2257" s="14">
        <f>$C$9</f>
        <v/>
      </c>
      <c r="R2257" s="14">
        <f>_xlfn.LOGNORM.INV($AF2257,LN($C$10)-0.5*LN(1+($D$10/$C$10)^2),SQRT(LN(1+($D$10/$C$10)^2)))</f>
        <v/>
      </c>
      <c r="S2257" s="14">
        <f>SUM(M2257:R2257)</f>
        <v/>
      </c>
      <c r="AA2257">
        <f>RAND()</f>
        <v/>
      </c>
      <c r="AB2257">
        <f>RAND()</f>
        <v/>
      </c>
      <c r="AC2257">
        <f>RAND()</f>
        <v/>
      </c>
      <c r="AD2257">
        <f>RAND()</f>
        <v/>
      </c>
      <c r="AE2257">
        <f>RAND()</f>
        <v/>
      </c>
      <c r="AF2257">
        <f>RAND()</f>
        <v/>
      </c>
    </row>
    <row r="2258">
      <c r="M2258" s="14">
        <f>_xlfn.BETA.INV($AA2258,1+4*($D$5-$C$5)/($E$5-$C$5),1+4*($E$5-$D$5)/($E$5-$C$5),$C$5,$E$5)</f>
        <v/>
      </c>
      <c r="N2258" s="14">
        <f>IF($AB2258&lt;($D$6-$C$6)/($E$6-$C$6),$C$6+SQRT($AB2258*($E$6-$C$6)*($D$6-$C$6)),$E$6-SQRT((1-$AB2258)*($E$6-$C$6)*($E$6-$D$6)))</f>
        <v/>
      </c>
      <c r="O2258" s="14">
        <f>_xlfn.NORM.INV($AC2258,$C$7,$D$7)</f>
        <v/>
      </c>
      <c r="P2258" s="14">
        <f>$C$8+($D$8-$C$8)*$AD2258</f>
        <v/>
      </c>
      <c r="Q2258" s="14">
        <f>$C$9</f>
        <v/>
      </c>
      <c r="R2258" s="14">
        <f>_xlfn.LOGNORM.INV($AF2258,LN($C$10)-0.5*LN(1+($D$10/$C$10)^2),SQRT(LN(1+($D$10/$C$10)^2)))</f>
        <v/>
      </c>
      <c r="S2258" s="14">
        <f>SUM(M2258:R2258)</f>
        <v/>
      </c>
      <c r="AA2258">
        <f>RAND()</f>
        <v/>
      </c>
      <c r="AB2258">
        <f>RAND()</f>
        <v/>
      </c>
      <c r="AC2258">
        <f>RAND()</f>
        <v/>
      </c>
      <c r="AD2258">
        <f>RAND()</f>
        <v/>
      </c>
      <c r="AE2258">
        <f>RAND()</f>
        <v/>
      </c>
      <c r="AF2258">
        <f>RAND()</f>
        <v/>
      </c>
    </row>
    <row r="2259">
      <c r="M2259" s="14">
        <f>_xlfn.BETA.INV($AA2259,1+4*($D$5-$C$5)/($E$5-$C$5),1+4*($E$5-$D$5)/($E$5-$C$5),$C$5,$E$5)</f>
        <v/>
      </c>
      <c r="N2259" s="14">
        <f>IF($AB2259&lt;($D$6-$C$6)/($E$6-$C$6),$C$6+SQRT($AB2259*($E$6-$C$6)*($D$6-$C$6)),$E$6-SQRT((1-$AB2259)*($E$6-$C$6)*($E$6-$D$6)))</f>
        <v/>
      </c>
      <c r="O2259" s="14">
        <f>_xlfn.NORM.INV($AC2259,$C$7,$D$7)</f>
        <v/>
      </c>
      <c r="P2259" s="14">
        <f>$C$8+($D$8-$C$8)*$AD2259</f>
        <v/>
      </c>
      <c r="Q2259" s="14">
        <f>$C$9</f>
        <v/>
      </c>
      <c r="R2259" s="14">
        <f>_xlfn.LOGNORM.INV($AF2259,LN($C$10)-0.5*LN(1+($D$10/$C$10)^2),SQRT(LN(1+($D$10/$C$10)^2)))</f>
        <v/>
      </c>
      <c r="S2259" s="14">
        <f>SUM(M2259:R2259)</f>
        <v/>
      </c>
      <c r="AA2259">
        <f>RAND()</f>
        <v/>
      </c>
      <c r="AB2259">
        <f>RAND()</f>
        <v/>
      </c>
      <c r="AC2259">
        <f>RAND()</f>
        <v/>
      </c>
      <c r="AD2259">
        <f>RAND()</f>
        <v/>
      </c>
      <c r="AE2259">
        <f>RAND()</f>
        <v/>
      </c>
      <c r="AF2259">
        <f>RAND()</f>
        <v/>
      </c>
    </row>
    <row r="2260">
      <c r="M2260" s="14">
        <f>_xlfn.BETA.INV($AA2260,1+4*($D$5-$C$5)/($E$5-$C$5),1+4*($E$5-$D$5)/($E$5-$C$5),$C$5,$E$5)</f>
        <v/>
      </c>
      <c r="N2260" s="14">
        <f>IF($AB2260&lt;($D$6-$C$6)/($E$6-$C$6),$C$6+SQRT($AB2260*($E$6-$C$6)*($D$6-$C$6)),$E$6-SQRT((1-$AB2260)*($E$6-$C$6)*($E$6-$D$6)))</f>
        <v/>
      </c>
      <c r="O2260" s="14">
        <f>_xlfn.NORM.INV($AC2260,$C$7,$D$7)</f>
        <v/>
      </c>
      <c r="P2260" s="14">
        <f>$C$8+($D$8-$C$8)*$AD2260</f>
        <v/>
      </c>
      <c r="Q2260" s="14">
        <f>$C$9</f>
        <v/>
      </c>
      <c r="R2260" s="14">
        <f>_xlfn.LOGNORM.INV($AF2260,LN($C$10)-0.5*LN(1+($D$10/$C$10)^2),SQRT(LN(1+($D$10/$C$10)^2)))</f>
        <v/>
      </c>
      <c r="S2260" s="14">
        <f>SUM(M2260:R2260)</f>
        <v/>
      </c>
      <c r="AA2260">
        <f>RAND()</f>
        <v/>
      </c>
      <c r="AB2260">
        <f>RAND()</f>
        <v/>
      </c>
      <c r="AC2260">
        <f>RAND()</f>
        <v/>
      </c>
      <c r="AD2260">
        <f>RAND()</f>
        <v/>
      </c>
      <c r="AE2260">
        <f>RAND()</f>
        <v/>
      </c>
      <c r="AF2260">
        <f>RAND()</f>
        <v/>
      </c>
    </row>
    <row r="2261">
      <c r="M2261" s="14">
        <f>_xlfn.BETA.INV($AA2261,1+4*($D$5-$C$5)/($E$5-$C$5),1+4*($E$5-$D$5)/($E$5-$C$5),$C$5,$E$5)</f>
        <v/>
      </c>
      <c r="N2261" s="14">
        <f>IF($AB2261&lt;($D$6-$C$6)/($E$6-$C$6),$C$6+SQRT($AB2261*($E$6-$C$6)*($D$6-$C$6)),$E$6-SQRT((1-$AB2261)*($E$6-$C$6)*($E$6-$D$6)))</f>
        <v/>
      </c>
      <c r="O2261" s="14">
        <f>_xlfn.NORM.INV($AC2261,$C$7,$D$7)</f>
        <v/>
      </c>
      <c r="P2261" s="14">
        <f>$C$8+($D$8-$C$8)*$AD2261</f>
        <v/>
      </c>
      <c r="Q2261" s="14">
        <f>$C$9</f>
        <v/>
      </c>
      <c r="R2261" s="14">
        <f>_xlfn.LOGNORM.INV($AF2261,LN($C$10)-0.5*LN(1+($D$10/$C$10)^2),SQRT(LN(1+($D$10/$C$10)^2)))</f>
        <v/>
      </c>
      <c r="S2261" s="14">
        <f>SUM(M2261:R2261)</f>
        <v/>
      </c>
      <c r="AA2261">
        <f>RAND()</f>
        <v/>
      </c>
      <c r="AB2261">
        <f>RAND()</f>
        <v/>
      </c>
      <c r="AC2261">
        <f>RAND()</f>
        <v/>
      </c>
      <c r="AD2261">
        <f>RAND()</f>
        <v/>
      </c>
      <c r="AE2261">
        <f>RAND()</f>
        <v/>
      </c>
      <c r="AF2261">
        <f>RAND()</f>
        <v/>
      </c>
    </row>
    <row r="2262">
      <c r="M2262" s="14">
        <f>_xlfn.BETA.INV($AA2262,1+4*($D$5-$C$5)/($E$5-$C$5),1+4*($E$5-$D$5)/($E$5-$C$5),$C$5,$E$5)</f>
        <v/>
      </c>
      <c r="N2262" s="14">
        <f>IF($AB2262&lt;($D$6-$C$6)/($E$6-$C$6),$C$6+SQRT($AB2262*($E$6-$C$6)*($D$6-$C$6)),$E$6-SQRT((1-$AB2262)*($E$6-$C$6)*($E$6-$D$6)))</f>
        <v/>
      </c>
      <c r="O2262" s="14">
        <f>_xlfn.NORM.INV($AC2262,$C$7,$D$7)</f>
        <v/>
      </c>
      <c r="P2262" s="14">
        <f>$C$8+($D$8-$C$8)*$AD2262</f>
        <v/>
      </c>
      <c r="Q2262" s="14">
        <f>$C$9</f>
        <v/>
      </c>
      <c r="R2262" s="14">
        <f>_xlfn.LOGNORM.INV($AF2262,LN($C$10)-0.5*LN(1+($D$10/$C$10)^2),SQRT(LN(1+($D$10/$C$10)^2)))</f>
        <v/>
      </c>
      <c r="S2262" s="14">
        <f>SUM(M2262:R2262)</f>
        <v/>
      </c>
      <c r="AA2262">
        <f>RAND()</f>
        <v/>
      </c>
      <c r="AB2262">
        <f>RAND()</f>
        <v/>
      </c>
      <c r="AC2262">
        <f>RAND()</f>
        <v/>
      </c>
      <c r="AD2262">
        <f>RAND()</f>
        <v/>
      </c>
      <c r="AE2262">
        <f>RAND()</f>
        <v/>
      </c>
      <c r="AF2262">
        <f>RAND()</f>
        <v/>
      </c>
    </row>
    <row r="2263">
      <c r="M2263" s="14">
        <f>_xlfn.BETA.INV($AA2263,1+4*($D$5-$C$5)/($E$5-$C$5),1+4*($E$5-$D$5)/($E$5-$C$5),$C$5,$E$5)</f>
        <v/>
      </c>
      <c r="N2263" s="14">
        <f>IF($AB2263&lt;($D$6-$C$6)/($E$6-$C$6),$C$6+SQRT($AB2263*($E$6-$C$6)*($D$6-$C$6)),$E$6-SQRT((1-$AB2263)*($E$6-$C$6)*($E$6-$D$6)))</f>
        <v/>
      </c>
      <c r="O2263" s="14">
        <f>_xlfn.NORM.INV($AC2263,$C$7,$D$7)</f>
        <v/>
      </c>
      <c r="P2263" s="14">
        <f>$C$8+($D$8-$C$8)*$AD2263</f>
        <v/>
      </c>
      <c r="Q2263" s="14">
        <f>$C$9</f>
        <v/>
      </c>
      <c r="R2263" s="14">
        <f>_xlfn.LOGNORM.INV($AF2263,LN($C$10)-0.5*LN(1+($D$10/$C$10)^2),SQRT(LN(1+($D$10/$C$10)^2)))</f>
        <v/>
      </c>
      <c r="S2263" s="14">
        <f>SUM(M2263:R2263)</f>
        <v/>
      </c>
      <c r="AA2263">
        <f>RAND()</f>
        <v/>
      </c>
      <c r="AB2263">
        <f>RAND()</f>
        <v/>
      </c>
      <c r="AC2263">
        <f>RAND()</f>
        <v/>
      </c>
      <c r="AD2263">
        <f>RAND()</f>
        <v/>
      </c>
      <c r="AE2263">
        <f>RAND()</f>
        <v/>
      </c>
      <c r="AF2263">
        <f>RAND()</f>
        <v/>
      </c>
    </row>
    <row r="2264">
      <c r="M2264" s="14">
        <f>_xlfn.BETA.INV($AA2264,1+4*($D$5-$C$5)/($E$5-$C$5),1+4*($E$5-$D$5)/($E$5-$C$5),$C$5,$E$5)</f>
        <v/>
      </c>
      <c r="N2264" s="14">
        <f>IF($AB2264&lt;($D$6-$C$6)/($E$6-$C$6),$C$6+SQRT($AB2264*($E$6-$C$6)*($D$6-$C$6)),$E$6-SQRT((1-$AB2264)*($E$6-$C$6)*($E$6-$D$6)))</f>
        <v/>
      </c>
      <c r="O2264" s="14">
        <f>_xlfn.NORM.INV($AC2264,$C$7,$D$7)</f>
        <v/>
      </c>
      <c r="P2264" s="14">
        <f>$C$8+($D$8-$C$8)*$AD2264</f>
        <v/>
      </c>
      <c r="Q2264" s="14">
        <f>$C$9</f>
        <v/>
      </c>
      <c r="R2264" s="14">
        <f>_xlfn.LOGNORM.INV($AF2264,LN($C$10)-0.5*LN(1+($D$10/$C$10)^2),SQRT(LN(1+($D$10/$C$10)^2)))</f>
        <v/>
      </c>
      <c r="S2264" s="14">
        <f>SUM(M2264:R2264)</f>
        <v/>
      </c>
      <c r="AA2264">
        <f>RAND()</f>
        <v/>
      </c>
      <c r="AB2264">
        <f>RAND()</f>
        <v/>
      </c>
      <c r="AC2264">
        <f>RAND()</f>
        <v/>
      </c>
      <c r="AD2264">
        <f>RAND()</f>
        <v/>
      </c>
      <c r="AE2264">
        <f>RAND()</f>
        <v/>
      </c>
      <c r="AF2264">
        <f>RAND()</f>
        <v/>
      </c>
    </row>
    <row r="2265">
      <c r="M2265" s="14">
        <f>_xlfn.BETA.INV($AA2265,1+4*($D$5-$C$5)/($E$5-$C$5),1+4*($E$5-$D$5)/($E$5-$C$5),$C$5,$E$5)</f>
        <v/>
      </c>
      <c r="N2265" s="14">
        <f>IF($AB2265&lt;($D$6-$C$6)/($E$6-$C$6),$C$6+SQRT($AB2265*($E$6-$C$6)*($D$6-$C$6)),$E$6-SQRT((1-$AB2265)*($E$6-$C$6)*($E$6-$D$6)))</f>
        <v/>
      </c>
      <c r="O2265" s="14">
        <f>_xlfn.NORM.INV($AC2265,$C$7,$D$7)</f>
        <v/>
      </c>
      <c r="P2265" s="14">
        <f>$C$8+($D$8-$C$8)*$AD2265</f>
        <v/>
      </c>
      <c r="Q2265" s="14">
        <f>$C$9</f>
        <v/>
      </c>
      <c r="R2265" s="14">
        <f>_xlfn.LOGNORM.INV($AF2265,LN($C$10)-0.5*LN(1+($D$10/$C$10)^2),SQRT(LN(1+($D$10/$C$10)^2)))</f>
        <v/>
      </c>
      <c r="S2265" s="14">
        <f>SUM(M2265:R2265)</f>
        <v/>
      </c>
      <c r="AA2265">
        <f>RAND()</f>
        <v/>
      </c>
      <c r="AB2265">
        <f>RAND()</f>
        <v/>
      </c>
      <c r="AC2265">
        <f>RAND()</f>
        <v/>
      </c>
      <c r="AD2265">
        <f>RAND()</f>
        <v/>
      </c>
      <c r="AE2265">
        <f>RAND()</f>
        <v/>
      </c>
      <c r="AF2265">
        <f>RAND()</f>
        <v/>
      </c>
    </row>
    <row r="2266">
      <c r="M2266" s="14">
        <f>_xlfn.BETA.INV($AA2266,1+4*($D$5-$C$5)/($E$5-$C$5),1+4*($E$5-$D$5)/($E$5-$C$5),$C$5,$E$5)</f>
        <v/>
      </c>
      <c r="N2266" s="14">
        <f>IF($AB2266&lt;($D$6-$C$6)/($E$6-$C$6),$C$6+SQRT($AB2266*($E$6-$C$6)*($D$6-$C$6)),$E$6-SQRT((1-$AB2266)*($E$6-$C$6)*($E$6-$D$6)))</f>
        <v/>
      </c>
      <c r="O2266" s="14">
        <f>_xlfn.NORM.INV($AC2266,$C$7,$D$7)</f>
        <v/>
      </c>
      <c r="P2266" s="14">
        <f>$C$8+($D$8-$C$8)*$AD2266</f>
        <v/>
      </c>
      <c r="Q2266" s="14">
        <f>$C$9</f>
        <v/>
      </c>
      <c r="R2266" s="14">
        <f>_xlfn.LOGNORM.INV($AF2266,LN($C$10)-0.5*LN(1+($D$10/$C$10)^2),SQRT(LN(1+($D$10/$C$10)^2)))</f>
        <v/>
      </c>
      <c r="S2266" s="14">
        <f>SUM(M2266:R2266)</f>
        <v/>
      </c>
      <c r="AA2266">
        <f>RAND()</f>
        <v/>
      </c>
      <c r="AB2266">
        <f>RAND()</f>
        <v/>
      </c>
      <c r="AC2266">
        <f>RAND()</f>
        <v/>
      </c>
      <c r="AD2266">
        <f>RAND()</f>
        <v/>
      </c>
      <c r="AE2266">
        <f>RAND()</f>
        <v/>
      </c>
      <c r="AF2266">
        <f>RAND()</f>
        <v/>
      </c>
    </row>
    <row r="2267">
      <c r="M2267" s="14">
        <f>_xlfn.BETA.INV($AA2267,1+4*($D$5-$C$5)/($E$5-$C$5),1+4*($E$5-$D$5)/($E$5-$C$5),$C$5,$E$5)</f>
        <v/>
      </c>
      <c r="N2267" s="14">
        <f>IF($AB2267&lt;($D$6-$C$6)/($E$6-$C$6),$C$6+SQRT($AB2267*($E$6-$C$6)*($D$6-$C$6)),$E$6-SQRT((1-$AB2267)*($E$6-$C$6)*($E$6-$D$6)))</f>
        <v/>
      </c>
      <c r="O2267" s="14">
        <f>_xlfn.NORM.INV($AC2267,$C$7,$D$7)</f>
        <v/>
      </c>
      <c r="P2267" s="14">
        <f>$C$8+($D$8-$C$8)*$AD2267</f>
        <v/>
      </c>
      <c r="Q2267" s="14">
        <f>$C$9</f>
        <v/>
      </c>
      <c r="R2267" s="14">
        <f>_xlfn.LOGNORM.INV($AF2267,LN($C$10)-0.5*LN(1+($D$10/$C$10)^2),SQRT(LN(1+($D$10/$C$10)^2)))</f>
        <v/>
      </c>
      <c r="S2267" s="14">
        <f>SUM(M2267:R2267)</f>
        <v/>
      </c>
      <c r="AA2267">
        <f>RAND()</f>
        <v/>
      </c>
      <c r="AB2267">
        <f>RAND()</f>
        <v/>
      </c>
      <c r="AC2267">
        <f>RAND()</f>
        <v/>
      </c>
      <c r="AD2267">
        <f>RAND()</f>
        <v/>
      </c>
      <c r="AE2267">
        <f>RAND()</f>
        <v/>
      </c>
      <c r="AF2267">
        <f>RAND()</f>
        <v/>
      </c>
    </row>
    <row r="2268">
      <c r="M2268" s="14">
        <f>_xlfn.BETA.INV($AA2268,1+4*($D$5-$C$5)/($E$5-$C$5),1+4*($E$5-$D$5)/($E$5-$C$5),$C$5,$E$5)</f>
        <v/>
      </c>
      <c r="N2268" s="14">
        <f>IF($AB2268&lt;($D$6-$C$6)/($E$6-$C$6),$C$6+SQRT($AB2268*($E$6-$C$6)*($D$6-$C$6)),$E$6-SQRT((1-$AB2268)*($E$6-$C$6)*($E$6-$D$6)))</f>
        <v/>
      </c>
      <c r="O2268" s="14">
        <f>_xlfn.NORM.INV($AC2268,$C$7,$D$7)</f>
        <v/>
      </c>
      <c r="P2268" s="14">
        <f>$C$8+($D$8-$C$8)*$AD2268</f>
        <v/>
      </c>
      <c r="Q2268" s="14">
        <f>$C$9</f>
        <v/>
      </c>
      <c r="R2268" s="14">
        <f>_xlfn.LOGNORM.INV($AF2268,LN($C$10)-0.5*LN(1+($D$10/$C$10)^2),SQRT(LN(1+($D$10/$C$10)^2)))</f>
        <v/>
      </c>
      <c r="S2268" s="14">
        <f>SUM(M2268:R2268)</f>
        <v/>
      </c>
      <c r="AA2268">
        <f>RAND()</f>
        <v/>
      </c>
      <c r="AB2268">
        <f>RAND()</f>
        <v/>
      </c>
      <c r="AC2268">
        <f>RAND()</f>
        <v/>
      </c>
      <c r="AD2268">
        <f>RAND()</f>
        <v/>
      </c>
      <c r="AE2268">
        <f>RAND()</f>
        <v/>
      </c>
      <c r="AF2268">
        <f>RAND()</f>
        <v/>
      </c>
    </row>
    <row r="2269">
      <c r="M2269" s="14">
        <f>_xlfn.BETA.INV($AA2269,1+4*($D$5-$C$5)/($E$5-$C$5),1+4*($E$5-$D$5)/($E$5-$C$5),$C$5,$E$5)</f>
        <v/>
      </c>
      <c r="N2269" s="14">
        <f>IF($AB2269&lt;($D$6-$C$6)/($E$6-$C$6),$C$6+SQRT($AB2269*($E$6-$C$6)*($D$6-$C$6)),$E$6-SQRT((1-$AB2269)*($E$6-$C$6)*($E$6-$D$6)))</f>
        <v/>
      </c>
      <c r="O2269" s="14">
        <f>_xlfn.NORM.INV($AC2269,$C$7,$D$7)</f>
        <v/>
      </c>
      <c r="P2269" s="14">
        <f>$C$8+($D$8-$C$8)*$AD2269</f>
        <v/>
      </c>
      <c r="Q2269" s="14">
        <f>$C$9</f>
        <v/>
      </c>
      <c r="R2269" s="14">
        <f>_xlfn.LOGNORM.INV($AF2269,LN($C$10)-0.5*LN(1+($D$10/$C$10)^2),SQRT(LN(1+($D$10/$C$10)^2)))</f>
        <v/>
      </c>
      <c r="S2269" s="14">
        <f>SUM(M2269:R2269)</f>
        <v/>
      </c>
      <c r="AA2269">
        <f>RAND()</f>
        <v/>
      </c>
      <c r="AB2269">
        <f>RAND()</f>
        <v/>
      </c>
      <c r="AC2269">
        <f>RAND()</f>
        <v/>
      </c>
      <c r="AD2269">
        <f>RAND()</f>
        <v/>
      </c>
      <c r="AE2269">
        <f>RAND()</f>
        <v/>
      </c>
      <c r="AF2269">
        <f>RAND()</f>
        <v/>
      </c>
    </row>
    <row r="2270">
      <c r="M2270" s="14">
        <f>_xlfn.BETA.INV($AA2270,1+4*($D$5-$C$5)/($E$5-$C$5),1+4*($E$5-$D$5)/($E$5-$C$5),$C$5,$E$5)</f>
        <v/>
      </c>
      <c r="N2270" s="14">
        <f>IF($AB2270&lt;($D$6-$C$6)/($E$6-$C$6),$C$6+SQRT($AB2270*($E$6-$C$6)*($D$6-$C$6)),$E$6-SQRT((1-$AB2270)*($E$6-$C$6)*($E$6-$D$6)))</f>
        <v/>
      </c>
      <c r="O2270" s="14">
        <f>_xlfn.NORM.INV($AC2270,$C$7,$D$7)</f>
        <v/>
      </c>
      <c r="P2270" s="14">
        <f>$C$8+($D$8-$C$8)*$AD2270</f>
        <v/>
      </c>
      <c r="Q2270" s="14">
        <f>$C$9</f>
        <v/>
      </c>
      <c r="R2270" s="14">
        <f>_xlfn.LOGNORM.INV($AF2270,LN($C$10)-0.5*LN(1+($D$10/$C$10)^2),SQRT(LN(1+($D$10/$C$10)^2)))</f>
        <v/>
      </c>
      <c r="S2270" s="14">
        <f>SUM(M2270:R2270)</f>
        <v/>
      </c>
      <c r="AA2270">
        <f>RAND()</f>
        <v/>
      </c>
      <c r="AB2270">
        <f>RAND()</f>
        <v/>
      </c>
      <c r="AC2270">
        <f>RAND()</f>
        <v/>
      </c>
      <c r="AD2270">
        <f>RAND()</f>
        <v/>
      </c>
      <c r="AE2270">
        <f>RAND()</f>
        <v/>
      </c>
      <c r="AF2270">
        <f>RAND()</f>
        <v/>
      </c>
    </row>
    <row r="2271">
      <c r="M2271" s="14">
        <f>_xlfn.BETA.INV($AA2271,1+4*($D$5-$C$5)/($E$5-$C$5),1+4*($E$5-$D$5)/($E$5-$C$5),$C$5,$E$5)</f>
        <v/>
      </c>
      <c r="N2271" s="14">
        <f>IF($AB2271&lt;($D$6-$C$6)/($E$6-$C$6),$C$6+SQRT($AB2271*($E$6-$C$6)*($D$6-$C$6)),$E$6-SQRT((1-$AB2271)*($E$6-$C$6)*($E$6-$D$6)))</f>
        <v/>
      </c>
      <c r="O2271" s="14">
        <f>_xlfn.NORM.INV($AC2271,$C$7,$D$7)</f>
        <v/>
      </c>
      <c r="P2271" s="14">
        <f>$C$8+($D$8-$C$8)*$AD2271</f>
        <v/>
      </c>
      <c r="Q2271" s="14">
        <f>$C$9</f>
        <v/>
      </c>
      <c r="R2271" s="14">
        <f>_xlfn.LOGNORM.INV($AF2271,LN($C$10)-0.5*LN(1+($D$10/$C$10)^2),SQRT(LN(1+($D$10/$C$10)^2)))</f>
        <v/>
      </c>
      <c r="S2271" s="14">
        <f>SUM(M2271:R2271)</f>
        <v/>
      </c>
      <c r="AA2271">
        <f>RAND()</f>
        <v/>
      </c>
      <c r="AB2271">
        <f>RAND()</f>
        <v/>
      </c>
      <c r="AC2271">
        <f>RAND()</f>
        <v/>
      </c>
      <c r="AD2271">
        <f>RAND()</f>
        <v/>
      </c>
      <c r="AE2271">
        <f>RAND()</f>
        <v/>
      </c>
      <c r="AF2271">
        <f>RAND()</f>
        <v/>
      </c>
    </row>
    <row r="2272">
      <c r="M2272" s="14">
        <f>_xlfn.BETA.INV($AA2272,1+4*($D$5-$C$5)/($E$5-$C$5),1+4*($E$5-$D$5)/($E$5-$C$5),$C$5,$E$5)</f>
        <v/>
      </c>
      <c r="N2272" s="14">
        <f>IF($AB2272&lt;($D$6-$C$6)/($E$6-$C$6),$C$6+SQRT($AB2272*($E$6-$C$6)*($D$6-$C$6)),$E$6-SQRT((1-$AB2272)*($E$6-$C$6)*($E$6-$D$6)))</f>
        <v/>
      </c>
      <c r="O2272" s="14">
        <f>_xlfn.NORM.INV($AC2272,$C$7,$D$7)</f>
        <v/>
      </c>
      <c r="P2272" s="14">
        <f>$C$8+($D$8-$C$8)*$AD2272</f>
        <v/>
      </c>
      <c r="Q2272" s="14">
        <f>$C$9</f>
        <v/>
      </c>
      <c r="R2272" s="14">
        <f>_xlfn.LOGNORM.INV($AF2272,LN($C$10)-0.5*LN(1+($D$10/$C$10)^2),SQRT(LN(1+($D$10/$C$10)^2)))</f>
        <v/>
      </c>
      <c r="S2272" s="14">
        <f>SUM(M2272:R2272)</f>
        <v/>
      </c>
      <c r="AA2272">
        <f>RAND()</f>
        <v/>
      </c>
      <c r="AB2272">
        <f>RAND()</f>
        <v/>
      </c>
      <c r="AC2272">
        <f>RAND()</f>
        <v/>
      </c>
      <c r="AD2272">
        <f>RAND()</f>
        <v/>
      </c>
      <c r="AE2272">
        <f>RAND()</f>
        <v/>
      </c>
      <c r="AF2272">
        <f>RAND()</f>
        <v/>
      </c>
    </row>
    <row r="2273">
      <c r="M2273" s="14">
        <f>_xlfn.BETA.INV($AA2273,1+4*($D$5-$C$5)/($E$5-$C$5),1+4*($E$5-$D$5)/($E$5-$C$5),$C$5,$E$5)</f>
        <v/>
      </c>
      <c r="N2273" s="14">
        <f>IF($AB2273&lt;($D$6-$C$6)/($E$6-$C$6),$C$6+SQRT($AB2273*($E$6-$C$6)*($D$6-$C$6)),$E$6-SQRT((1-$AB2273)*($E$6-$C$6)*($E$6-$D$6)))</f>
        <v/>
      </c>
      <c r="O2273" s="14">
        <f>_xlfn.NORM.INV($AC2273,$C$7,$D$7)</f>
        <v/>
      </c>
      <c r="P2273" s="14">
        <f>$C$8+($D$8-$C$8)*$AD2273</f>
        <v/>
      </c>
      <c r="Q2273" s="14">
        <f>$C$9</f>
        <v/>
      </c>
      <c r="R2273" s="14">
        <f>_xlfn.LOGNORM.INV($AF2273,LN($C$10)-0.5*LN(1+($D$10/$C$10)^2),SQRT(LN(1+($D$10/$C$10)^2)))</f>
        <v/>
      </c>
      <c r="S2273" s="14">
        <f>SUM(M2273:R2273)</f>
        <v/>
      </c>
      <c r="AA2273">
        <f>RAND()</f>
        <v/>
      </c>
      <c r="AB2273">
        <f>RAND()</f>
        <v/>
      </c>
      <c r="AC2273">
        <f>RAND()</f>
        <v/>
      </c>
      <c r="AD2273">
        <f>RAND()</f>
        <v/>
      </c>
      <c r="AE2273">
        <f>RAND()</f>
        <v/>
      </c>
      <c r="AF2273">
        <f>RAND()</f>
        <v/>
      </c>
    </row>
    <row r="2274">
      <c r="M2274" s="14">
        <f>_xlfn.BETA.INV($AA2274,1+4*($D$5-$C$5)/($E$5-$C$5),1+4*($E$5-$D$5)/($E$5-$C$5),$C$5,$E$5)</f>
        <v/>
      </c>
      <c r="N2274" s="14">
        <f>IF($AB2274&lt;($D$6-$C$6)/($E$6-$C$6),$C$6+SQRT($AB2274*($E$6-$C$6)*($D$6-$C$6)),$E$6-SQRT((1-$AB2274)*($E$6-$C$6)*($E$6-$D$6)))</f>
        <v/>
      </c>
      <c r="O2274" s="14">
        <f>_xlfn.NORM.INV($AC2274,$C$7,$D$7)</f>
        <v/>
      </c>
      <c r="P2274" s="14">
        <f>$C$8+($D$8-$C$8)*$AD2274</f>
        <v/>
      </c>
      <c r="Q2274" s="14">
        <f>$C$9</f>
        <v/>
      </c>
      <c r="R2274" s="14">
        <f>_xlfn.LOGNORM.INV($AF2274,LN($C$10)-0.5*LN(1+($D$10/$C$10)^2),SQRT(LN(1+($D$10/$C$10)^2)))</f>
        <v/>
      </c>
      <c r="S2274" s="14">
        <f>SUM(M2274:R2274)</f>
        <v/>
      </c>
      <c r="AA2274">
        <f>RAND()</f>
        <v/>
      </c>
      <c r="AB2274">
        <f>RAND()</f>
        <v/>
      </c>
      <c r="AC2274">
        <f>RAND()</f>
        <v/>
      </c>
      <c r="AD2274">
        <f>RAND()</f>
        <v/>
      </c>
      <c r="AE2274">
        <f>RAND()</f>
        <v/>
      </c>
      <c r="AF2274">
        <f>RAND()</f>
        <v/>
      </c>
    </row>
    <row r="2275">
      <c r="M2275" s="14">
        <f>_xlfn.BETA.INV($AA2275,1+4*($D$5-$C$5)/($E$5-$C$5),1+4*($E$5-$D$5)/($E$5-$C$5),$C$5,$E$5)</f>
        <v/>
      </c>
      <c r="N2275" s="14">
        <f>IF($AB2275&lt;($D$6-$C$6)/($E$6-$C$6),$C$6+SQRT($AB2275*($E$6-$C$6)*($D$6-$C$6)),$E$6-SQRT((1-$AB2275)*($E$6-$C$6)*($E$6-$D$6)))</f>
        <v/>
      </c>
      <c r="O2275" s="14">
        <f>_xlfn.NORM.INV($AC2275,$C$7,$D$7)</f>
        <v/>
      </c>
      <c r="P2275" s="14">
        <f>$C$8+($D$8-$C$8)*$AD2275</f>
        <v/>
      </c>
      <c r="Q2275" s="14">
        <f>$C$9</f>
        <v/>
      </c>
      <c r="R2275" s="14">
        <f>_xlfn.LOGNORM.INV($AF2275,LN($C$10)-0.5*LN(1+($D$10/$C$10)^2),SQRT(LN(1+($D$10/$C$10)^2)))</f>
        <v/>
      </c>
      <c r="S2275" s="14">
        <f>SUM(M2275:R2275)</f>
        <v/>
      </c>
      <c r="AA2275">
        <f>RAND()</f>
        <v/>
      </c>
      <c r="AB2275">
        <f>RAND()</f>
        <v/>
      </c>
      <c r="AC2275">
        <f>RAND()</f>
        <v/>
      </c>
      <c r="AD2275">
        <f>RAND()</f>
        <v/>
      </c>
      <c r="AE2275">
        <f>RAND()</f>
        <v/>
      </c>
      <c r="AF2275">
        <f>RAND()</f>
        <v/>
      </c>
    </row>
    <row r="2276">
      <c r="M2276" s="14">
        <f>_xlfn.BETA.INV($AA2276,1+4*($D$5-$C$5)/($E$5-$C$5),1+4*($E$5-$D$5)/($E$5-$C$5),$C$5,$E$5)</f>
        <v/>
      </c>
      <c r="N2276" s="14">
        <f>IF($AB2276&lt;($D$6-$C$6)/($E$6-$C$6),$C$6+SQRT($AB2276*($E$6-$C$6)*($D$6-$C$6)),$E$6-SQRT((1-$AB2276)*($E$6-$C$6)*($E$6-$D$6)))</f>
        <v/>
      </c>
      <c r="O2276" s="14">
        <f>_xlfn.NORM.INV($AC2276,$C$7,$D$7)</f>
        <v/>
      </c>
      <c r="P2276" s="14">
        <f>$C$8+($D$8-$C$8)*$AD2276</f>
        <v/>
      </c>
      <c r="Q2276" s="14">
        <f>$C$9</f>
        <v/>
      </c>
      <c r="R2276" s="14">
        <f>_xlfn.LOGNORM.INV($AF2276,LN($C$10)-0.5*LN(1+($D$10/$C$10)^2),SQRT(LN(1+($D$10/$C$10)^2)))</f>
        <v/>
      </c>
      <c r="S2276" s="14">
        <f>SUM(M2276:R2276)</f>
        <v/>
      </c>
      <c r="AA2276">
        <f>RAND()</f>
        <v/>
      </c>
      <c r="AB2276">
        <f>RAND()</f>
        <v/>
      </c>
      <c r="AC2276">
        <f>RAND()</f>
        <v/>
      </c>
      <c r="AD2276">
        <f>RAND()</f>
        <v/>
      </c>
      <c r="AE2276">
        <f>RAND()</f>
        <v/>
      </c>
      <c r="AF2276">
        <f>RAND()</f>
        <v/>
      </c>
    </row>
    <row r="2277">
      <c r="M2277" s="14">
        <f>_xlfn.BETA.INV($AA2277,1+4*($D$5-$C$5)/($E$5-$C$5),1+4*($E$5-$D$5)/($E$5-$C$5),$C$5,$E$5)</f>
        <v/>
      </c>
      <c r="N2277" s="14">
        <f>IF($AB2277&lt;($D$6-$C$6)/($E$6-$C$6),$C$6+SQRT($AB2277*($E$6-$C$6)*($D$6-$C$6)),$E$6-SQRT((1-$AB2277)*($E$6-$C$6)*($E$6-$D$6)))</f>
        <v/>
      </c>
      <c r="O2277" s="14">
        <f>_xlfn.NORM.INV($AC2277,$C$7,$D$7)</f>
        <v/>
      </c>
      <c r="P2277" s="14">
        <f>$C$8+($D$8-$C$8)*$AD2277</f>
        <v/>
      </c>
      <c r="Q2277" s="14">
        <f>$C$9</f>
        <v/>
      </c>
      <c r="R2277" s="14">
        <f>_xlfn.LOGNORM.INV($AF2277,LN($C$10)-0.5*LN(1+($D$10/$C$10)^2),SQRT(LN(1+($D$10/$C$10)^2)))</f>
        <v/>
      </c>
      <c r="S2277" s="14">
        <f>SUM(M2277:R2277)</f>
        <v/>
      </c>
      <c r="AA2277">
        <f>RAND()</f>
        <v/>
      </c>
      <c r="AB2277">
        <f>RAND()</f>
        <v/>
      </c>
      <c r="AC2277">
        <f>RAND()</f>
        <v/>
      </c>
      <c r="AD2277">
        <f>RAND()</f>
        <v/>
      </c>
      <c r="AE2277">
        <f>RAND()</f>
        <v/>
      </c>
      <c r="AF2277">
        <f>RAND()</f>
        <v/>
      </c>
    </row>
    <row r="2278">
      <c r="M2278" s="14">
        <f>_xlfn.BETA.INV($AA2278,1+4*($D$5-$C$5)/($E$5-$C$5),1+4*($E$5-$D$5)/($E$5-$C$5),$C$5,$E$5)</f>
        <v/>
      </c>
      <c r="N2278" s="14">
        <f>IF($AB2278&lt;($D$6-$C$6)/($E$6-$C$6),$C$6+SQRT($AB2278*($E$6-$C$6)*($D$6-$C$6)),$E$6-SQRT((1-$AB2278)*($E$6-$C$6)*($E$6-$D$6)))</f>
        <v/>
      </c>
      <c r="O2278" s="14">
        <f>_xlfn.NORM.INV($AC2278,$C$7,$D$7)</f>
        <v/>
      </c>
      <c r="P2278" s="14">
        <f>$C$8+($D$8-$C$8)*$AD2278</f>
        <v/>
      </c>
      <c r="Q2278" s="14">
        <f>$C$9</f>
        <v/>
      </c>
      <c r="R2278" s="14">
        <f>_xlfn.LOGNORM.INV($AF2278,LN($C$10)-0.5*LN(1+($D$10/$C$10)^2),SQRT(LN(1+($D$10/$C$10)^2)))</f>
        <v/>
      </c>
      <c r="S2278" s="14">
        <f>SUM(M2278:R2278)</f>
        <v/>
      </c>
      <c r="AA2278">
        <f>RAND()</f>
        <v/>
      </c>
      <c r="AB2278">
        <f>RAND()</f>
        <v/>
      </c>
      <c r="AC2278">
        <f>RAND()</f>
        <v/>
      </c>
      <c r="AD2278">
        <f>RAND()</f>
        <v/>
      </c>
      <c r="AE2278">
        <f>RAND()</f>
        <v/>
      </c>
      <c r="AF2278">
        <f>RAND()</f>
        <v/>
      </c>
    </row>
    <row r="2279">
      <c r="M2279" s="14">
        <f>_xlfn.BETA.INV($AA2279,1+4*($D$5-$C$5)/($E$5-$C$5),1+4*($E$5-$D$5)/($E$5-$C$5),$C$5,$E$5)</f>
        <v/>
      </c>
      <c r="N2279" s="14">
        <f>IF($AB2279&lt;($D$6-$C$6)/($E$6-$C$6),$C$6+SQRT($AB2279*($E$6-$C$6)*($D$6-$C$6)),$E$6-SQRT((1-$AB2279)*($E$6-$C$6)*($E$6-$D$6)))</f>
        <v/>
      </c>
      <c r="O2279" s="14">
        <f>_xlfn.NORM.INV($AC2279,$C$7,$D$7)</f>
        <v/>
      </c>
      <c r="P2279" s="14">
        <f>$C$8+($D$8-$C$8)*$AD2279</f>
        <v/>
      </c>
      <c r="Q2279" s="14">
        <f>$C$9</f>
        <v/>
      </c>
      <c r="R2279" s="14">
        <f>_xlfn.LOGNORM.INV($AF2279,LN($C$10)-0.5*LN(1+($D$10/$C$10)^2),SQRT(LN(1+($D$10/$C$10)^2)))</f>
        <v/>
      </c>
      <c r="S2279" s="14">
        <f>SUM(M2279:R2279)</f>
        <v/>
      </c>
      <c r="AA2279">
        <f>RAND()</f>
        <v/>
      </c>
      <c r="AB2279">
        <f>RAND()</f>
        <v/>
      </c>
      <c r="AC2279">
        <f>RAND()</f>
        <v/>
      </c>
      <c r="AD2279">
        <f>RAND()</f>
        <v/>
      </c>
      <c r="AE2279">
        <f>RAND()</f>
        <v/>
      </c>
      <c r="AF2279">
        <f>RAND()</f>
        <v/>
      </c>
    </row>
    <row r="2280">
      <c r="M2280" s="14">
        <f>_xlfn.BETA.INV($AA2280,1+4*($D$5-$C$5)/($E$5-$C$5),1+4*($E$5-$D$5)/($E$5-$C$5),$C$5,$E$5)</f>
        <v/>
      </c>
      <c r="N2280" s="14">
        <f>IF($AB2280&lt;($D$6-$C$6)/($E$6-$C$6),$C$6+SQRT($AB2280*($E$6-$C$6)*($D$6-$C$6)),$E$6-SQRT((1-$AB2280)*($E$6-$C$6)*($E$6-$D$6)))</f>
        <v/>
      </c>
      <c r="O2280" s="14">
        <f>_xlfn.NORM.INV($AC2280,$C$7,$D$7)</f>
        <v/>
      </c>
      <c r="P2280" s="14">
        <f>$C$8+($D$8-$C$8)*$AD2280</f>
        <v/>
      </c>
      <c r="Q2280" s="14">
        <f>$C$9</f>
        <v/>
      </c>
      <c r="R2280" s="14">
        <f>_xlfn.LOGNORM.INV($AF2280,LN($C$10)-0.5*LN(1+($D$10/$C$10)^2),SQRT(LN(1+($D$10/$C$10)^2)))</f>
        <v/>
      </c>
      <c r="S2280" s="14">
        <f>SUM(M2280:R2280)</f>
        <v/>
      </c>
      <c r="AA2280">
        <f>RAND()</f>
        <v/>
      </c>
      <c r="AB2280">
        <f>RAND()</f>
        <v/>
      </c>
      <c r="AC2280">
        <f>RAND()</f>
        <v/>
      </c>
      <c r="AD2280">
        <f>RAND()</f>
        <v/>
      </c>
      <c r="AE2280">
        <f>RAND()</f>
        <v/>
      </c>
      <c r="AF2280">
        <f>RAND()</f>
        <v/>
      </c>
    </row>
    <row r="2281">
      <c r="M2281" s="14">
        <f>_xlfn.BETA.INV($AA2281,1+4*($D$5-$C$5)/($E$5-$C$5),1+4*($E$5-$D$5)/($E$5-$C$5),$C$5,$E$5)</f>
        <v/>
      </c>
      <c r="N2281" s="14">
        <f>IF($AB2281&lt;($D$6-$C$6)/($E$6-$C$6),$C$6+SQRT($AB2281*($E$6-$C$6)*($D$6-$C$6)),$E$6-SQRT((1-$AB2281)*($E$6-$C$6)*($E$6-$D$6)))</f>
        <v/>
      </c>
      <c r="O2281" s="14">
        <f>_xlfn.NORM.INV($AC2281,$C$7,$D$7)</f>
        <v/>
      </c>
      <c r="P2281" s="14">
        <f>$C$8+($D$8-$C$8)*$AD2281</f>
        <v/>
      </c>
      <c r="Q2281" s="14">
        <f>$C$9</f>
        <v/>
      </c>
      <c r="R2281" s="14">
        <f>_xlfn.LOGNORM.INV($AF2281,LN($C$10)-0.5*LN(1+($D$10/$C$10)^2),SQRT(LN(1+($D$10/$C$10)^2)))</f>
        <v/>
      </c>
      <c r="S2281" s="14">
        <f>SUM(M2281:R2281)</f>
        <v/>
      </c>
      <c r="AA2281">
        <f>RAND()</f>
        <v/>
      </c>
      <c r="AB2281">
        <f>RAND()</f>
        <v/>
      </c>
      <c r="AC2281">
        <f>RAND()</f>
        <v/>
      </c>
      <c r="AD2281">
        <f>RAND()</f>
        <v/>
      </c>
      <c r="AE2281">
        <f>RAND()</f>
        <v/>
      </c>
      <c r="AF2281">
        <f>RAND()</f>
        <v/>
      </c>
    </row>
    <row r="2282">
      <c r="M2282" s="14">
        <f>_xlfn.BETA.INV($AA2282,1+4*($D$5-$C$5)/($E$5-$C$5),1+4*($E$5-$D$5)/($E$5-$C$5),$C$5,$E$5)</f>
        <v/>
      </c>
      <c r="N2282" s="14">
        <f>IF($AB2282&lt;($D$6-$C$6)/($E$6-$C$6),$C$6+SQRT($AB2282*($E$6-$C$6)*($D$6-$C$6)),$E$6-SQRT((1-$AB2282)*($E$6-$C$6)*($E$6-$D$6)))</f>
        <v/>
      </c>
      <c r="O2282" s="14">
        <f>_xlfn.NORM.INV($AC2282,$C$7,$D$7)</f>
        <v/>
      </c>
      <c r="P2282" s="14">
        <f>$C$8+($D$8-$C$8)*$AD2282</f>
        <v/>
      </c>
      <c r="Q2282" s="14">
        <f>$C$9</f>
        <v/>
      </c>
      <c r="R2282" s="14">
        <f>_xlfn.LOGNORM.INV($AF2282,LN($C$10)-0.5*LN(1+($D$10/$C$10)^2),SQRT(LN(1+($D$10/$C$10)^2)))</f>
        <v/>
      </c>
      <c r="S2282" s="14">
        <f>SUM(M2282:R2282)</f>
        <v/>
      </c>
      <c r="AA2282">
        <f>RAND()</f>
        <v/>
      </c>
      <c r="AB2282">
        <f>RAND()</f>
        <v/>
      </c>
      <c r="AC2282">
        <f>RAND()</f>
        <v/>
      </c>
      <c r="AD2282">
        <f>RAND()</f>
        <v/>
      </c>
      <c r="AE2282">
        <f>RAND()</f>
        <v/>
      </c>
      <c r="AF2282">
        <f>RAND()</f>
        <v/>
      </c>
    </row>
    <row r="2283">
      <c r="M2283" s="14">
        <f>_xlfn.BETA.INV($AA2283,1+4*($D$5-$C$5)/($E$5-$C$5),1+4*($E$5-$D$5)/($E$5-$C$5),$C$5,$E$5)</f>
        <v/>
      </c>
      <c r="N2283" s="14">
        <f>IF($AB2283&lt;($D$6-$C$6)/($E$6-$C$6),$C$6+SQRT($AB2283*($E$6-$C$6)*($D$6-$C$6)),$E$6-SQRT((1-$AB2283)*($E$6-$C$6)*($E$6-$D$6)))</f>
        <v/>
      </c>
      <c r="O2283" s="14">
        <f>_xlfn.NORM.INV($AC2283,$C$7,$D$7)</f>
        <v/>
      </c>
      <c r="P2283" s="14">
        <f>$C$8+($D$8-$C$8)*$AD2283</f>
        <v/>
      </c>
      <c r="Q2283" s="14">
        <f>$C$9</f>
        <v/>
      </c>
      <c r="R2283" s="14">
        <f>_xlfn.LOGNORM.INV($AF2283,LN($C$10)-0.5*LN(1+($D$10/$C$10)^2),SQRT(LN(1+($D$10/$C$10)^2)))</f>
        <v/>
      </c>
      <c r="S2283" s="14">
        <f>SUM(M2283:R2283)</f>
        <v/>
      </c>
      <c r="AA2283">
        <f>RAND()</f>
        <v/>
      </c>
      <c r="AB2283">
        <f>RAND()</f>
        <v/>
      </c>
      <c r="AC2283">
        <f>RAND()</f>
        <v/>
      </c>
      <c r="AD2283">
        <f>RAND()</f>
        <v/>
      </c>
      <c r="AE2283">
        <f>RAND()</f>
        <v/>
      </c>
      <c r="AF2283">
        <f>RAND()</f>
        <v/>
      </c>
    </row>
    <row r="2284">
      <c r="M2284" s="14">
        <f>_xlfn.BETA.INV($AA2284,1+4*($D$5-$C$5)/($E$5-$C$5),1+4*($E$5-$D$5)/($E$5-$C$5),$C$5,$E$5)</f>
        <v/>
      </c>
      <c r="N2284" s="14">
        <f>IF($AB2284&lt;($D$6-$C$6)/($E$6-$C$6),$C$6+SQRT($AB2284*($E$6-$C$6)*($D$6-$C$6)),$E$6-SQRT((1-$AB2284)*($E$6-$C$6)*($E$6-$D$6)))</f>
        <v/>
      </c>
      <c r="O2284" s="14">
        <f>_xlfn.NORM.INV($AC2284,$C$7,$D$7)</f>
        <v/>
      </c>
      <c r="P2284" s="14">
        <f>$C$8+($D$8-$C$8)*$AD2284</f>
        <v/>
      </c>
      <c r="Q2284" s="14">
        <f>$C$9</f>
        <v/>
      </c>
      <c r="R2284" s="14">
        <f>_xlfn.LOGNORM.INV($AF2284,LN($C$10)-0.5*LN(1+($D$10/$C$10)^2),SQRT(LN(1+($D$10/$C$10)^2)))</f>
        <v/>
      </c>
      <c r="S2284" s="14">
        <f>SUM(M2284:R2284)</f>
        <v/>
      </c>
      <c r="AA2284">
        <f>RAND()</f>
        <v/>
      </c>
      <c r="AB2284">
        <f>RAND()</f>
        <v/>
      </c>
      <c r="AC2284">
        <f>RAND()</f>
        <v/>
      </c>
      <c r="AD2284">
        <f>RAND()</f>
        <v/>
      </c>
      <c r="AE2284">
        <f>RAND()</f>
        <v/>
      </c>
      <c r="AF2284">
        <f>RAND()</f>
        <v/>
      </c>
    </row>
    <row r="2285">
      <c r="M2285" s="14">
        <f>_xlfn.BETA.INV($AA2285,1+4*($D$5-$C$5)/($E$5-$C$5),1+4*($E$5-$D$5)/($E$5-$C$5),$C$5,$E$5)</f>
        <v/>
      </c>
      <c r="N2285" s="14">
        <f>IF($AB2285&lt;($D$6-$C$6)/($E$6-$C$6),$C$6+SQRT($AB2285*($E$6-$C$6)*($D$6-$C$6)),$E$6-SQRT((1-$AB2285)*($E$6-$C$6)*($E$6-$D$6)))</f>
        <v/>
      </c>
      <c r="O2285" s="14">
        <f>_xlfn.NORM.INV($AC2285,$C$7,$D$7)</f>
        <v/>
      </c>
      <c r="P2285" s="14">
        <f>$C$8+($D$8-$C$8)*$AD2285</f>
        <v/>
      </c>
      <c r="Q2285" s="14">
        <f>$C$9</f>
        <v/>
      </c>
      <c r="R2285" s="14">
        <f>_xlfn.LOGNORM.INV($AF2285,LN($C$10)-0.5*LN(1+($D$10/$C$10)^2),SQRT(LN(1+($D$10/$C$10)^2)))</f>
        <v/>
      </c>
      <c r="S2285" s="14">
        <f>SUM(M2285:R2285)</f>
        <v/>
      </c>
      <c r="AA2285">
        <f>RAND()</f>
        <v/>
      </c>
      <c r="AB2285">
        <f>RAND()</f>
        <v/>
      </c>
      <c r="AC2285">
        <f>RAND()</f>
        <v/>
      </c>
      <c r="AD2285">
        <f>RAND()</f>
        <v/>
      </c>
      <c r="AE2285">
        <f>RAND()</f>
        <v/>
      </c>
      <c r="AF2285">
        <f>RAND()</f>
        <v/>
      </c>
    </row>
    <row r="2286">
      <c r="M2286" s="14">
        <f>_xlfn.BETA.INV($AA2286,1+4*($D$5-$C$5)/($E$5-$C$5),1+4*($E$5-$D$5)/($E$5-$C$5),$C$5,$E$5)</f>
        <v/>
      </c>
      <c r="N2286" s="14">
        <f>IF($AB2286&lt;($D$6-$C$6)/($E$6-$C$6),$C$6+SQRT($AB2286*($E$6-$C$6)*($D$6-$C$6)),$E$6-SQRT((1-$AB2286)*($E$6-$C$6)*($E$6-$D$6)))</f>
        <v/>
      </c>
      <c r="O2286" s="14">
        <f>_xlfn.NORM.INV($AC2286,$C$7,$D$7)</f>
        <v/>
      </c>
      <c r="P2286" s="14">
        <f>$C$8+($D$8-$C$8)*$AD2286</f>
        <v/>
      </c>
      <c r="Q2286" s="14">
        <f>$C$9</f>
        <v/>
      </c>
      <c r="R2286" s="14">
        <f>_xlfn.LOGNORM.INV($AF2286,LN($C$10)-0.5*LN(1+($D$10/$C$10)^2),SQRT(LN(1+($D$10/$C$10)^2)))</f>
        <v/>
      </c>
      <c r="S2286" s="14">
        <f>SUM(M2286:R2286)</f>
        <v/>
      </c>
      <c r="AA2286">
        <f>RAND()</f>
        <v/>
      </c>
      <c r="AB2286">
        <f>RAND()</f>
        <v/>
      </c>
      <c r="AC2286">
        <f>RAND()</f>
        <v/>
      </c>
      <c r="AD2286">
        <f>RAND()</f>
        <v/>
      </c>
      <c r="AE2286">
        <f>RAND()</f>
        <v/>
      </c>
      <c r="AF2286">
        <f>RAND()</f>
        <v/>
      </c>
    </row>
    <row r="2287">
      <c r="M2287" s="14">
        <f>_xlfn.BETA.INV($AA2287,1+4*($D$5-$C$5)/($E$5-$C$5),1+4*($E$5-$D$5)/($E$5-$C$5),$C$5,$E$5)</f>
        <v/>
      </c>
      <c r="N2287" s="14">
        <f>IF($AB2287&lt;($D$6-$C$6)/($E$6-$C$6),$C$6+SQRT($AB2287*($E$6-$C$6)*($D$6-$C$6)),$E$6-SQRT((1-$AB2287)*($E$6-$C$6)*($E$6-$D$6)))</f>
        <v/>
      </c>
      <c r="O2287" s="14">
        <f>_xlfn.NORM.INV($AC2287,$C$7,$D$7)</f>
        <v/>
      </c>
      <c r="P2287" s="14">
        <f>$C$8+($D$8-$C$8)*$AD2287</f>
        <v/>
      </c>
      <c r="Q2287" s="14">
        <f>$C$9</f>
        <v/>
      </c>
      <c r="R2287" s="14">
        <f>_xlfn.LOGNORM.INV($AF2287,LN($C$10)-0.5*LN(1+($D$10/$C$10)^2),SQRT(LN(1+($D$10/$C$10)^2)))</f>
        <v/>
      </c>
      <c r="S2287" s="14">
        <f>SUM(M2287:R2287)</f>
        <v/>
      </c>
      <c r="AA2287">
        <f>RAND()</f>
        <v/>
      </c>
      <c r="AB2287">
        <f>RAND()</f>
        <v/>
      </c>
      <c r="AC2287">
        <f>RAND()</f>
        <v/>
      </c>
      <c r="AD2287">
        <f>RAND()</f>
        <v/>
      </c>
      <c r="AE2287">
        <f>RAND()</f>
        <v/>
      </c>
      <c r="AF2287">
        <f>RAND()</f>
        <v/>
      </c>
    </row>
    <row r="2288">
      <c r="M2288" s="14">
        <f>_xlfn.BETA.INV($AA2288,1+4*($D$5-$C$5)/($E$5-$C$5),1+4*($E$5-$D$5)/($E$5-$C$5),$C$5,$E$5)</f>
        <v/>
      </c>
      <c r="N2288" s="14">
        <f>IF($AB2288&lt;($D$6-$C$6)/($E$6-$C$6),$C$6+SQRT($AB2288*($E$6-$C$6)*($D$6-$C$6)),$E$6-SQRT((1-$AB2288)*($E$6-$C$6)*($E$6-$D$6)))</f>
        <v/>
      </c>
      <c r="O2288" s="14">
        <f>_xlfn.NORM.INV($AC2288,$C$7,$D$7)</f>
        <v/>
      </c>
      <c r="P2288" s="14">
        <f>$C$8+($D$8-$C$8)*$AD2288</f>
        <v/>
      </c>
      <c r="Q2288" s="14">
        <f>$C$9</f>
        <v/>
      </c>
      <c r="R2288" s="14">
        <f>_xlfn.LOGNORM.INV($AF2288,LN($C$10)-0.5*LN(1+($D$10/$C$10)^2),SQRT(LN(1+($D$10/$C$10)^2)))</f>
        <v/>
      </c>
      <c r="S2288" s="14">
        <f>SUM(M2288:R2288)</f>
        <v/>
      </c>
      <c r="AA2288">
        <f>RAND()</f>
        <v/>
      </c>
      <c r="AB2288">
        <f>RAND()</f>
        <v/>
      </c>
      <c r="AC2288">
        <f>RAND()</f>
        <v/>
      </c>
      <c r="AD2288">
        <f>RAND()</f>
        <v/>
      </c>
      <c r="AE2288">
        <f>RAND()</f>
        <v/>
      </c>
      <c r="AF2288">
        <f>RAND()</f>
        <v/>
      </c>
    </row>
    <row r="2289">
      <c r="M2289" s="14">
        <f>_xlfn.BETA.INV($AA2289,1+4*($D$5-$C$5)/($E$5-$C$5),1+4*($E$5-$D$5)/($E$5-$C$5),$C$5,$E$5)</f>
        <v/>
      </c>
      <c r="N2289" s="14">
        <f>IF($AB2289&lt;($D$6-$C$6)/($E$6-$C$6),$C$6+SQRT($AB2289*($E$6-$C$6)*($D$6-$C$6)),$E$6-SQRT((1-$AB2289)*($E$6-$C$6)*($E$6-$D$6)))</f>
        <v/>
      </c>
      <c r="O2289" s="14">
        <f>_xlfn.NORM.INV($AC2289,$C$7,$D$7)</f>
        <v/>
      </c>
      <c r="P2289" s="14">
        <f>$C$8+($D$8-$C$8)*$AD2289</f>
        <v/>
      </c>
      <c r="Q2289" s="14">
        <f>$C$9</f>
        <v/>
      </c>
      <c r="R2289" s="14">
        <f>_xlfn.LOGNORM.INV($AF2289,LN($C$10)-0.5*LN(1+($D$10/$C$10)^2),SQRT(LN(1+($D$10/$C$10)^2)))</f>
        <v/>
      </c>
      <c r="S2289" s="14">
        <f>SUM(M2289:R2289)</f>
        <v/>
      </c>
      <c r="AA2289">
        <f>RAND()</f>
        <v/>
      </c>
      <c r="AB2289">
        <f>RAND()</f>
        <v/>
      </c>
      <c r="AC2289">
        <f>RAND()</f>
        <v/>
      </c>
      <c r="AD2289">
        <f>RAND()</f>
        <v/>
      </c>
      <c r="AE2289">
        <f>RAND()</f>
        <v/>
      </c>
      <c r="AF2289">
        <f>RAND()</f>
        <v/>
      </c>
    </row>
    <row r="2290">
      <c r="M2290" s="14">
        <f>_xlfn.BETA.INV($AA2290,1+4*($D$5-$C$5)/($E$5-$C$5),1+4*($E$5-$D$5)/($E$5-$C$5),$C$5,$E$5)</f>
        <v/>
      </c>
      <c r="N2290" s="14">
        <f>IF($AB2290&lt;($D$6-$C$6)/($E$6-$C$6),$C$6+SQRT($AB2290*($E$6-$C$6)*($D$6-$C$6)),$E$6-SQRT((1-$AB2290)*($E$6-$C$6)*($E$6-$D$6)))</f>
        <v/>
      </c>
      <c r="O2290" s="14">
        <f>_xlfn.NORM.INV($AC2290,$C$7,$D$7)</f>
        <v/>
      </c>
      <c r="P2290" s="14">
        <f>$C$8+($D$8-$C$8)*$AD2290</f>
        <v/>
      </c>
      <c r="Q2290" s="14">
        <f>$C$9</f>
        <v/>
      </c>
      <c r="R2290" s="14">
        <f>_xlfn.LOGNORM.INV($AF2290,LN($C$10)-0.5*LN(1+($D$10/$C$10)^2),SQRT(LN(1+($D$10/$C$10)^2)))</f>
        <v/>
      </c>
      <c r="S2290" s="14">
        <f>SUM(M2290:R2290)</f>
        <v/>
      </c>
      <c r="AA2290">
        <f>RAND()</f>
        <v/>
      </c>
      <c r="AB2290">
        <f>RAND()</f>
        <v/>
      </c>
      <c r="AC2290">
        <f>RAND()</f>
        <v/>
      </c>
      <c r="AD2290">
        <f>RAND()</f>
        <v/>
      </c>
      <c r="AE2290">
        <f>RAND()</f>
        <v/>
      </c>
      <c r="AF2290">
        <f>RAND()</f>
        <v/>
      </c>
    </row>
    <row r="2291">
      <c r="M2291" s="14">
        <f>_xlfn.BETA.INV($AA2291,1+4*($D$5-$C$5)/($E$5-$C$5),1+4*($E$5-$D$5)/($E$5-$C$5),$C$5,$E$5)</f>
        <v/>
      </c>
      <c r="N2291" s="14">
        <f>IF($AB2291&lt;($D$6-$C$6)/($E$6-$C$6),$C$6+SQRT($AB2291*($E$6-$C$6)*($D$6-$C$6)),$E$6-SQRT((1-$AB2291)*($E$6-$C$6)*($E$6-$D$6)))</f>
        <v/>
      </c>
      <c r="O2291" s="14">
        <f>_xlfn.NORM.INV($AC2291,$C$7,$D$7)</f>
        <v/>
      </c>
      <c r="P2291" s="14">
        <f>$C$8+($D$8-$C$8)*$AD2291</f>
        <v/>
      </c>
      <c r="Q2291" s="14">
        <f>$C$9</f>
        <v/>
      </c>
      <c r="R2291" s="14">
        <f>_xlfn.LOGNORM.INV($AF2291,LN($C$10)-0.5*LN(1+($D$10/$C$10)^2),SQRT(LN(1+($D$10/$C$10)^2)))</f>
        <v/>
      </c>
      <c r="S2291" s="14">
        <f>SUM(M2291:R2291)</f>
        <v/>
      </c>
      <c r="AA2291">
        <f>RAND()</f>
        <v/>
      </c>
      <c r="AB2291">
        <f>RAND()</f>
        <v/>
      </c>
      <c r="AC2291">
        <f>RAND()</f>
        <v/>
      </c>
      <c r="AD2291">
        <f>RAND()</f>
        <v/>
      </c>
      <c r="AE2291">
        <f>RAND()</f>
        <v/>
      </c>
      <c r="AF2291">
        <f>RAND()</f>
        <v/>
      </c>
    </row>
    <row r="2292">
      <c r="M2292" s="14">
        <f>_xlfn.BETA.INV($AA2292,1+4*($D$5-$C$5)/($E$5-$C$5),1+4*($E$5-$D$5)/($E$5-$C$5),$C$5,$E$5)</f>
        <v/>
      </c>
      <c r="N2292" s="14">
        <f>IF($AB2292&lt;($D$6-$C$6)/($E$6-$C$6),$C$6+SQRT($AB2292*($E$6-$C$6)*($D$6-$C$6)),$E$6-SQRT((1-$AB2292)*($E$6-$C$6)*($E$6-$D$6)))</f>
        <v/>
      </c>
      <c r="O2292" s="14">
        <f>_xlfn.NORM.INV($AC2292,$C$7,$D$7)</f>
        <v/>
      </c>
      <c r="P2292" s="14">
        <f>$C$8+($D$8-$C$8)*$AD2292</f>
        <v/>
      </c>
      <c r="Q2292" s="14">
        <f>$C$9</f>
        <v/>
      </c>
      <c r="R2292" s="14">
        <f>_xlfn.LOGNORM.INV($AF2292,LN($C$10)-0.5*LN(1+($D$10/$C$10)^2),SQRT(LN(1+($D$10/$C$10)^2)))</f>
        <v/>
      </c>
      <c r="S2292" s="14">
        <f>SUM(M2292:R2292)</f>
        <v/>
      </c>
      <c r="AA2292">
        <f>RAND()</f>
        <v/>
      </c>
      <c r="AB2292">
        <f>RAND()</f>
        <v/>
      </c>
      <c r="AC2292">
        <f>RAND()</f>
        <v/>
      </c>
      <c r="AD2292">
        <f>RAND()</f>
        <v/>
      </c>
      <c r="AE2292">
        <f>RAND()</f>
        <v/>
      </c>
      <c r="AF2292">
        <f>RAND()</f>
        <v/>
      </c>
    </row>
    <row r="2293">
      <c r="M2293" s="14">
        <f>_xlfn.BETA.INV($AA2293,1+4*($D$5-$C$5)/($E$5-$C$5),1+4*($E$5-$D$5)/($E$5-$C$5),$C$5,$E$5)</f>
        <v/>
      </c>
      <c r="N2293" s="14">
        <f>IF($AB2293&lt;($D$6-$C$6)/($E$6-$C$6),$C$6+SQRT($AB2293*($E$6-$C$6)*($D$6-$C$6)),$E$6-SQRT((1-$AB2293)*($E$6-$C$6)*($E$6-$D$6)))</f>
        <v/>
      </c>
      <c r="O2293" s="14">
        <f>_xlfn.NORM.INV($AC2293,$C$7,$D$7)</f>
        <v/>
      </c>
      <c r="P2293" s="14">
        <f>$C$8+($D$8-$C$8)*$AD2293</f>
        <v/>
      </c>
      <c r="Q2293" s="14">
        <f>$C$9</f>
        <v/>
      </c>
      <c r="R2293" s="14">
        <f>_xlfn.LOGNORM.INV($AF2293,LN($C$10)-0.5*LN(1+($D$10/$C$10)^2),SQRT(LN(1+($D$10/$C$10)^2)))</f>
        <v/>
      </c>
      <c r="S2293" s="14">
        <f>SUM(M2293:R2293)</f>
        <v/>
      </c>
      <c r="AA2293">
        <f>RAND()</f>
        <v/>
      </c>
      <c r="AB2293">
        <f>RAND()</f>
        <v/>
      </c>
      <c r="AC2293">
        <f>RAND()</f>
        <v/>
      </c>
      <c r="AD2293">
        <f>RAND()</f>
        <v/>
      </c>
      <c r="AE2293">
        <f>RAND()</f>
        <v/>
      </c>
      <c r="AF2293">
        <f>RAND()</f>
        <v/>
      </c>
    </row>
    <row r="2294">
      <c r="M2294" s="14">
        <f>_xlfn.BETA.INV($AA2294,1+4*($D$5-$C$5)/($E$5-$C$5),1+4*($E$5-$D$5)/($E$5-$C$5),$C$5,$E$5)</f>
        <v/>
      </c>
      <c r="N2294" s="14">
        <f>IF($AB2294&lt;($D$6-$C$6)/($E$6-$C$6),$C$6+SQRT($AB2294*($E$6-$C$6)*($D$6-$C$6)),$E$6-SQRT((1-$AB2294)*($E$6-$C$6)*($E$6-$D$6)))</f>
        <v/>
      </c>
      <c r="O2294" s="14">
        <f>_xlfn.NORM.INV($AC2294,$C$7,$D$7)</f>
        <v/>
      </c>
      <c r="P2294" s="14">
        <f>$C$8+($D$8-$C$8)*$AD2294</f>
        <v/>
      </c>
      <c r="Q2294" s="14">
        <f>$C$9</f>
        <v/>
      </c>
      <c r="R2294" s="14">
        <f>_xlfn.LOGNORM.INV($AF2294,LN($C$10)-0.5*LN(1+($D$10/$C$10)^2),SQRT(LN(1+($D$10/$C$10)^2)))</f>
        <v/>
      </c>
      <c r="S2294" s="14">
        <f>SUM(M2294:R2294)</f>
        <v/>
      </c>
      <c r="AA2294">
        <f>RAND()</f>
        <v/>
      </c>
      <c r="AB2294">
        <f>RAND()</f>
        <v/>
      </c>
      <c r="AC2294">
        <f>RAND()</f>
        <v/>
      </c>
      <c r="AD2294">
        <f>RAND()</f>
        <v/>
      </c>
      <c r="AE2294">
        <f>RAND()</f>
        <v/>
      </c>
      <c r="AF2294">
        <f>RAND()</f>
        <v/>
      </c>
    </row>
    <row r="2295">
      <c r="M2295" s="14">
        <f>_xlfn.BETA.INV($AA2295,1+4*($D$5-$C$5)/($E$5-$C$5),1+4*($E$5-$D$5)/($E$5-$C$5),$C$5,$E$5)</f>
        <v/>
      </c>
      <c r="N2295" s="14">
        <f>IF($AB2295&lt;($D$6-$C$6)/($E$6-$C$6),$C$6+SQRT($AB2295*($E$6-$C$6)*($D$6-$C$6)),$E$6-SQRT((1-$AB2295)*($E$6-$C$6)*($E$6-$D$6)))</f>
        <v/>
      </c>
      <c r="O2295" s="14">
        <f>_xlfn.NORM.INV($AC2295,$C$7,$D$7)</f>
        <v/>
      </c>
      <c r="P2295" s="14">
        <f>$C$8+($D$8-$C$8)*$AD2295</f>
        <v/>
      </c>
      <c r="Q2295" s="14">
        <f>$C$9</f>
        <v/>
      </c>
      <c r="R2295" s="14">
        <f>_xlfn.LOGNORM.INV($AF2295,LN($C$10)-0.5*LN(1+($D$10/$C$10)^2),SQRT(LN(1+($D$10/$C$10)^2)))</f>
        <v/>
      </c>
      <c r="S2295" s="14">
        <f>SUM(M2295:R2295)</f>
        <v/>
      </c>
      <c r="AA2295">
        <f>RAND()</f>
        <v/>
      </c>
      <c r="AB2295">
        <f>RAND()</f>
        <v/>
      </c>
      <c r="AC2295">
        <f>RAND()</f>
        <v/>
      </c>
      <c r="AD2295">
        <f>RAND()</f>
        <v/>
      </c>
      <c r="AE2295">
        <f>RAND()</f>
        <v/>
      </c>
      <c r="AF2295">
        <f>RAND()</f>
        <v/>
      </c>
    </row>
    <row r="2296">
      <c r="M2296" s="14">
        <f>_xlfn.BETA.INV($AA2296,1+4*($D$5-$C$5)/($E$5-$C$5),1+4*($E$5-$D$5)/($E$5-$C$5),$C$5,$E$5)</f>
        <v/>
      </c>
      <c r="N2296" s="14">
        <f>IF($AB2296&lt;($D$6-$C$6)/($E$6-$C$6),$C$6+SQRT($AB2296*($E$6-$C$6)*($D$6-$C$6)),$E$6-SQRT((1-$AB2296)*($E$6-$C$6)*($E$6-$D$6)))</f>
        <v/>
      </c>
      <c r="O2296" s="14">
        <f>_xlfn.NORM.INV($AC2296,$C$7,$D$7)</f>
        <v/>
      </c>
      <c r="P2296" s="14">
        <f>$C$8+($D$8-$C$8)*$AD2296</f>
        <v/>
      </c>
      <c r="Q2296" s="14">
        <f>$C$9</f>
        <v/>
      </c>
      <c r="R2296" s="14">
        <f>_xlfn.LOGNORM.INV($AF2296,LN($C$10)-0.5*LN(1+($D$10/$C$10)^2),SQRT(LN(1+($D$10/$C$10)^2)))</f>
        <v/>
      </c>
      <c r="S2296" s="14">
        <f>SUM(M2296:R2296)</f>
        <v/>
      </c>
      <c r="AA2296">
        <f>RAND()</f>
        <v/>
      </c>
      <c r="AB2296">
        <f>RAND()</f>
        <v/>
      </c>
      <c r="AC2296">
        <f>RAND()</f>
        <v/>
      </c>
      <c r="AD2296">
        <f>RAND()</f>
        <v/>
      </c>
      <c r="AE2296">
        <f>RAND()</f>
        <v/>
      </c>
      <c r="AF2296">
        <f>RAND()</f>
        <v/>
      </c>
    </row>
    <row r="2297">
      <c r="M2297" s="14">
        <f>_xlfn.BETA.INV($AA2297,1+4*($D$5-$C$5)/($E$5-$C$5),1+4*($E$5-$D$5)/($E$5-$C$5),$C$5,$E$5)</f>
        <v/>
      </c>
      <c r="N2297" s="14">
        <f>IF($AB2297&lt;($D$6-$C$6)/($E$6-$C$6),$C$6+SQRT($AB2297*($E$6-$C$6)*($D$6-$C$6)),$E$6-SQRT((1-$AB2297)*($E$6-$C$6)*($E$6-$D$6)))</f>
        <v/>
      </c>
      <c r="O2297" s="14">
        <f>_xlfn.NORM.INV($AC2297,$C$7,$D$7)</f>
        <v/>
      </c>
      <c r="P2297" s="14">
        <f>$C$8+($D$8-$C$8)*$AD2297</f>
        <v/>
      </c>
      <c r="Q2297" s="14">
        <f>$C$9</f>
        <v/>
      </c>
      <c r="R2297" s="14">
        <f>_xlfn.LOGNORM.INV($AF2297,LN($C$10)-0.5*LN(1+($D$10/$C$10)^2),SQRT(LN(1+($D$10/$C$10)^2)))</f>
        <v/>
      </c>
      <c r="S2297" s="14">
        <f>SUM(M2297:R2297)</f>
        <v/>
      </c>
      <c r="AA2297">
        <f>RAND()</f>
        <v/>
      </c>
      <c r="AB2297">
        <f>RAND()</f>
        <v/>
      </c>
      <c r="AC2297">
        <f>RAND()</f>
        <v/>
      </c>
      <c r="AD2297">
        <f>RAND()</f>
        <v/>
      </c>
      <c r="AE2297">
        <f>RAND()</f>
        <v/>
      </c>
      <c r="AF2297">
        <f>RAND()</f>
        <v/>
      </c>
    </row>
    <row r="2298">
      <c r="M2298" s="14">
        <f>_xlfn.BETA.INV($AA2298,1+4*($D$5-$C$5)/($E$5-$C$5),1+4*($E$5-$D$5)/($E$5-$C$5),$C$5,$E$5)</f>
        <v/>
      </c>
      <c r="N2298" s="14">
        <f>IF($AB2298&lt;($D$6-$C$6)/($E$6-$C$6),$C$6+SQRT($AB2298*($E$6-$C$6)*($D$6-$C$6)),$E$6-SQRT((1-$AB2298)*($E$6-$C$6)*($E$6-$D$6)))</f>
        <v/>
      </c>
      <c r="O2298" s="14">
        <f>_xlfn.NORM.INV($AC2298,$C$7,$D$7)</f>
        <v/>
      </c>
      <c r="P2298" s="14">
        <f>$C$8+($D$8-$C$8)*$AD2298</f>
        <v/>
      </c>
      <c r="Q2298" s="14">
        <f>$C$9</f>
        <v/>
      </c>
      <c r="R2298" s="14">
        <f>_xlfn.LOGNORM.INV($AF2298,LN($C$10)-0.5*LN(1+($D$10/$C$10)^2),SQRT(LN(1+($D$10/$C$10)^2)))</f>
        <v/>
      </c>
      <c r="S2298" s="14">
        <f>SUM(M2298:R2298)</f>
        <v/>
      </c>
      <c r="AA2298">
        <f>RAND()</f>
        <v/>
      </c>
      <c r="AB2298">
        <f>RAND()</f>
        <v/>
      </c>
      <c r="AC2298">
        <f>RAND()</f>
        <v/>
      </c>
      <c r="AD2298">
        <f>RAND()</f>
        <v/>
      </c>
      <c r="AE2298">
        <f>RAND()</f>
        <v/>
      </c>
      <c r="AF2298">
        <f>RAND()</f>
        <v/>
      </c>
    </row>
    <row r="2299">
      <c r="M2299" s="14">
        <f>_xlfn.BETA.INV($AA2299,1+4*($D$5-$C$5)/($E$5-$C$5),1+4*($E$5-$D$5)/($E$5-$C$5),$C$5,$E$5)</f>
        <v/>
      </c>
      <c r="N2299" s="14">
        <f>IF($AB2299&lt;($D$6-$C$6)/($E$6-$C$6),$C$6+SQRT($AB2299*($E$6-$C$6)*($D$6-$C$6)),$E$6-SQRT((1-$AB2299)*($E$6-$C$6)*($E$6-$D$6)))</f>
        <v/>
      </c>
      <c r="O2299" s="14">
        <f>_xlfn.NORM.INV($AC2299,$C$7,$D$7)</f>
        <v/>
      </c>
      <c r="P2299" s="14">
        <f>$C$8+($D$8-$C$8)*$AD2299</f>
        <v/>
      </c>
      <c r="Q2299" s="14">
        <f>$C$9</f>
        <v/>
      </c>
      <c r="R2299" s="14">
        <f>_xlfn.LOGNORM.INV($AF2299,LN($C$10)-0.5*LN(1+($D$10/$C$10)^2),SQRT(LN(1+($D$10/$C$10)^2)))</f>
        <v/>
      </c>
      <c r="S2299" s="14">
        <f>SUM(M2299:R2299)</f>
        <v/>
      </c>
      <c r="AA2299">
        <f>RAND()</f>
        <v/>
      </c>
      <c r="AB2299">
        <f>RAND()</f>
        <v/>
      </c>
      <c r="AC2299">
        <f>RAND()</f>
        <v/>
      </c>
      <c r="AD2299">
        <f>RAND()</f>
        <v/>
      </c>
      <c r="AE2299">
        <f>RAND()</f>
        <v/>
      </c>
      <c r="AF2299">
        <f>RAND()</f>
        <v/>
      </c>
    </row>
    <row r="2300">
      <c r="M2300" s="14">
        <f>_xlfn.BETA.INV($AA2300,1+4*($D$5-$C$5)/($E$5-$C$5),1+4*($E$5-$D$5)/($E$5-$C$5),$C$5,$E$5)</f>
        <v/>
      </c>
      <c r="N2300" s="14">
        <f>IF($AB2300&lt;($D$6-$C$6)/($E$6-$C$6),$C$6+SQRT($AB2300*($E$6-$C$6)*($D$6-$C$6)),$E$6-SQRT((1-$AB2300)*($E$6-$C$6)*($E$6-$D$6)))</f>
        <v/>
      </c>
      <c r="O2300" s="14">
        <f>_xlfn.NORM.INV($AC2300,$C$7,$D$7)</f>
        <v/>
      </c>
      <c r="P2300" s="14">
        <f>$C$8+($D$8-$C$8)*$AD2300</f>
        <v/>
      </c>
      <c r="Q2300" s="14">
        <f>$C$9</f>
        <v/>
      </c>
      <c r="R2300" s="14">
        <f>_xlfn.LOGNORM.INV($AF2300,LN($C$10)-0.5*LN(1+($D$10/$C$10)^2),SQRT(LN(1+($D$10/$C$10)^2)))</f>
        <v/>
      </c>
      <c r="S2300" s="14">
        <f>SUM(M2300:R2300)</f>
        <v/>
      </c>
      <c r="AA2300">
        <f>RAND()</f>
        <v/>
      </c>
      <c r="AB2300">
        <f>RAND()</f>
        <v/>
      </c>
      <c r="AC2300">
        <f>RAND()</f>
        <v/>
      </c>
      <c r="AD2300">
        <f>RAND()</f>
        <v/>
      </c>
      <c r="AE2300">
        <f>RAND()</f>
        <v/>
      </c>
      <c r="AF2300">
        <f>RAND()</f>
        <v/>
      </c>
    </row>
    <row r="2301">
      <c r="M2301" s="14">
        <f>_xlfn.BETA.INV($AA2301,1+4*($D$5-$C$5)/($E$5-$C$5),1+4*($E$5-$D$5)/($E$5-$C$5),$C$5,$E$5)</f>
        <v/>
      </c>
      <c r="N2301" s="14">
        <f>IF($AB2301&lt;($D$6-$C$6)/($E$6-$C$6),$C$6+SQRT($AB2301*($E$6-$C$6)*($D$6-$C$6)),$E$6-SQRT((1-$AB2301)*($E$6-$C$6)*($E$6-$D$6)))</f>
        <v/>
      </c>
      <c r="O2301" s="14">
        <f>_xlfn.NORM.INV($AC2301,$C$7,$D$7)</f>
        <v/>
      </c>
      <c r="P2301" s="14">
        <f>$C$8+($D$8-$C$8)*$AD2301</f>
        <v/>
      </c>
      <c r="Q2301" s="14">
        <f>$C$9</f>
        <v/>
      </c>
      <c r="R2301" s="14">
        <f>_xlfn.LOGNORM.INV($AF2301,LN($C$10)-0.5*LN(1+($D$10/$C$10)^2),SQRT(LN(1+($D$10/$C$10)^2)))</f>
        <v/>
      </c>
      <c r="S2301" s="14">
        <f>SUM(M2301:R2301)</f>
        <v/>
      </c>
      <c r="AA2301">
        <f>RAND()</f>
        <v/>
      </c>
      <c r="AB2301">
        <f>RAND()</f>
        <v/>
      </c>
      <c r="AC2301">
        <f>RAND()</f>
        <v/>
      </c>
      <c r="AD2301">
        <f>RAND()</f>
        <v/>
      </c>
      <c r="AE2301">
        <f>RAND()</f>
        <v/>
      </c>
      <c r="AF2301">
        <f>RAND()</f>
        <v/>
      </c>
    </row>
    <row r="2302">
      <c r="M2302" s="14">
        <f>_xlfn.BETA.INV($AA2302,1+4*($D$5-$C$5)/($E$5-$C$5),1+4*($E$5-$D$5)/($E$5-$C$5),$C$5,$E$5)</f>
        <v/>
      </c>
      <c r="N2302" s="14">
        <f>IF($AB2302&lt;($D$6-$C$6)/($E$6-$C$6),$C$6+SQRT($AB2302*($E$6-$C$6)*($D$6-$C$6)),$E$6-SQRT((1-$AB2302)*($E$6-$C$6)*($E$6-$D$6)))</f>
        <v/>
      </c>
      <c r="O2302" s="14">
        <f>_xlfn.NORM.INV($AC2302,$C$7,$D$7)</f>
        <v/>
      </c>
      <c r="P2302" s="14">
        <f>$C$8+($D$8-$C$8)*$AD2302</f>
        <v/>
      </c>
      <c r="Q2302" s="14">
        <f>$C$9</f>
        <v/>
      </c>
      <c r="R2302" s="14">
        <f>_xlfn.LOGNORM.INV($AF2302,LN($C$10)-0.5*LN(1+($D$10/$C$10)^2),SQRT(LN(1+($D$10/$C$10)^2)))</f>
        <v/>
      </c>
      <c r="S2302" s="14">
        <f>SUM(M2302:R2302)</f>
        <v/>
      </c>
      <c r="AA2302">
        <f>RAND()</f>
        <v/>
      </c>
      <c r="AB2302">
        <f>RAND()</f>
        <v/>
      </c>
      <c r="AC2302">
        <f>RAND()</f>
        <v/>
      </c>
      <c r="AD2302">
        <f>RAND()</f>
        <v/>
      </c>
      <c r="AE2302">
        <f>RAND()</f>
        <v/>
      </c>
      <c r="AF2302">
        <f>RAND()</f>
        <v/>
      </c>
    </row>
    <row r="2303">
      <c r="M2303" s="14">
        <f>_xlfn.BETA.INV($AA2303,1+4*($D$5-$C$5)/($E$5-$C$5),1+4*($E$5-$D$5)/($E$5-$C$5),$C$5,$E$5)</f>
        <v/>
      </c>
      <c r="N2303" s="14">
        <f>IF($AB2303&lt;($D$6-$C$6)/($E$6-$C$6),$C$6+SQRT($AB2303*($E$6-$C$6)*($D$6-$C$6)),$E$6-SQRT((1-$AB2303)*($E$6-$C$6)*($E$6-$D$6)))</f>
        <v/>
      </c>
      <c r="O2303" s="14">
        <f>_xlfn.NORM.INV($AC2303,$C$7,$D$7)</f>
        <v/>
      </c>
      <c r="P2303" s="14">
        <f>$C$8+($D$8-$C$8)*$AD2303</f>
        <v/>
      </c>
      <c r="Q2303" s="14">
        <f>$C$9</f>
        <v/>
      </c>
      <c r="R2303" s="14">
        <f>_xlfn.LOGNORM.INV($AF2303,LN($C$10)-0.5*LN(1+($D$10/$C$10)^2),SQRT(LN(1+($D$10/$C$10)^2)))</f>
        <v/>
      </c>
      <c r="S2303" s="14">
        <f>SUM(M2303:R2303)</f>
        <v/>
      </c>
      <c r="AA2303">
        <f>RAND()</f>
        <v/>
      </c>
      <c r="AB2303">
        <f>RAND()</f>
        <v/>
      </c>
      <c r="AC2303">
        <f>RAND()</f>
        <v/>
      </c>
      <c r="AD2303">
        <f>RAND()</f>
        <v/>
      </c>
      <c r="AE2303">
        <f>RAND()</f>
        <v/>
      </c>
      <c r="AF2303">
        <f>RAND()</f>
        <v/>
      </c>
    </row>
    <row r="2304">
      <c r="M2304" s="14">
        <f>_xlfn.BETA.INV($AA2304,1+4*($D$5-$C$5)/($E$5-$C$5),1+4*($E$5-$D$5)/($E$5-$C$5),$C$5,$E$5)</f>
        <v/>
      </c>
      <c r="N2304" s="14">
        <f>IF($AB2304&lt;($D$6-$C$6)/($E$6-$C$6),$C$6+SQRT($AB2304*($E$6-$C$6)*($D$6-$C$6)),$E$6-SQRT((1-$AB2304)*($E$6-$C$6)*($E$6-$D$6)))</f>
        <v/>
      </c>
      <c r="O2304" s="14">
        <f>_xlfn.NORM.INV($AC2304,$C$7,$D$7)</f>
        <v/>
      </c>
      <c r="P2304" s="14">
        <f>$C$8+($D$8-$C$8)*$AD2304</f>
        <v/>
      </c>
      <c r="Q2304" s="14">
        <f>$C$9</f>
        <v/>
      </c>
      <c r="R2304" s="14">
        <f>_xlfn.LOGNORM.INV($AF2304,LN($C$10)-0.5*LN(1+($D$10/$C$10)^2),SQRT(LN(1+($D$10/$C$10)^2)))</f>
        <v/>
      </c>
      <c r="S2304" s="14">
        <f>SUM(M2304:R2304)</f>
        <v/>
      </c>
      <c r="AA2304">
        <f>RAND()</f>
        <v/>
      </c>
      <c r="AB2304">
        <f>RAND()</f>
        <v/>
      </c>
      <c r="AC2304">
        <f>RAND()</f>
        <v/>
      </c>
      <c r="AD2304">
        <f>RAND()</f>
        <v/>
      </c>
      <c r="AE2304">
        <f>RAND()</f>
        <v/>
      </c>
      <c r="AF2304">
        <f>RAND()</f>
        <v/>
      </c>
    </row>
    <row r="2305">
      <c r="M2305" s="14">
        <f>_xlfn.BETA.INV($AA2305,1+4*($D$5-$C$5)/($E$5-$C$5),1+4*($E$5-$D$5)/($E$5-$C$5),$C$5,$E$5)</f>
        <v/>
      </c>
      <c r="N2305" s="14">
        <f>IF($AB2305&lt;($D$6-$C$6)/($E$6-$C$6),$C$6+SQRT($AB2305*($E$6-$C$6)*($D$6-$C$6)),$E$6-SQRT((1-$AB2305)*($E$6-$C$6)*($E$6-$D$6)))</f>
        <v/>
      </c>
      <c r="O2305" s="14">
        <f>_xlfn.NORM.INV($AC2305,$C$7,$D$7)</f>
        <v/>
      </c>
      <c r="P2305" s="14">
        <f>$C$8+($D$8-$C$8)*$AD2305</f>
        <v/>
      </c>
      <c r="Q2305" s="14">
        <f>$C$9</f>
        <v/>
      </c>
      <c r="R2305" s="14">
        <f>_xlfn.LOGNORM.INV($AF2305,LN($C$10)-0.5*LN(1+($D$10/$C$10)^2),SQRT(LN(1+($D$10/$C$10)^2)))</f>
        <v/>
      </c>
      <c r="S2305" s="14">
        <f>SUM(M2305:R2305)</f>
        <v/>
      </c>
      <c r="AA2305">
        <f>RAND()</f>
        <v/>
      </c>
      <c r="AB2305">
        <f>RAND()</f>
        <v/>
      </c>
      <c r="AC2305">
        <f>RAND()</f>
        <v/>
      </c>
      <c r="AD2305">
        <f>RAND()</f>
        <v/>
      </c>
      <c r="AE2305">
        <f>RAND()</f>
        <v/>
      </c>
      <c r="AF2305">
        <f>RAND()</f>
        <v/>
      </c>
    </row>
    <row r="2306">
      <c r="M2306" s="14">
        <f>_xlfn.BETA.INV($AA2306,1+4*($D$5-$C$5)/($E$5-$C$5),1+4*($E$5-$D$5)/($E$5-$C$5),$C$5,$E$5)</f>
        <v/>
      </c>
      <c r="N2306" s="14">
        <f>IF($AB2306&lt;($D$6-$C$6)/($E$6-$C$6),$C$6+SQRT($AB2306*($E$6-$C$6)*($D$6-$C$6)),$E$6-SQRT((1-$AB2306)*($E$6-$C$6)*($E$6-$D$6)))</f>
        <v/>
      </c>
      <c r="O2306" s="14">
        <f>_xlfn.NORM.INV($AC2306,$C$7,$D$7)</f>
        <v/>
      </c>
      <c r="P2306" s="14">
        <f>$C$8+($D$8-$C$8)*$AD2306</f>
        <v/>
      </c>
      <c r="Q2306" s="14">
        <f>$C$9</f>
        <v/>
      </c>
      <c r="R2306" s="14">
        <f>_xlfn.LOGNORM.INV($AF2306,LN($C$10)-0.5*LN(1+($D$10/$C$10)^2),SQRT(LN(1+($D$10/$C$10)^2)))</f>
        <v/>
      </c>
      <c r="S2306" s="14">
        <f>SUM(M2306:R2306)</f>
        <v/>
      </c>
      <c r="AA2306">
        <f>RAND()</f>
        <v/>
      </c>
      <c r="AB2306">
        <f>RAND()</f>
        <v/>
      </c>
      <c r="AC2306">
        <f>RAND()</f>
        <v/>
      </c>
      <c r="AD2306">
        <f>RAND()</f>
        <v/>
      </c>
      <c r="AE2306">
        <f>RAND()</f>
        <v/>
      </c>
      <c r="AF2306">
        <f>RAND()</f>
        <v/>
      </c>
    </row>
    <row r="2307">
      <c r="M2307" s="14">
        <f>_xlfn.BETA.INV($AA2307,1+4*($D$5-$C$5)/($E$5-$C$5),1+4*($E$5-$D$5)/($E$5-$C$5),$C$5,$E$5)</f>
        <v/>
      </c>
      <c r="N2307" s="14">
        <f>IF($AB2307&lt;($D$6-$C$6)/($E$6-$C$6),$C$6+SQRT($AB2307*($E$6-$C$6)*($D$6-$C$6)),$E$6-SQRT((1-$AB2307)*($E$6-$C$6)*($E$6-$D$6)))</f>
        <v/>
      </c>
      <c r="O2307" s="14">
        <f>_xlfn.NORM.INV($AC2307,$C$7,$D$7)</f>
        <v/>
      </c>
      <c r="P2307" s="14">
        <f>$C$8+($D$8-$C$8)*$AD2307</f>
        <v/>
      </c>
      <c r="Q2307" s="14">
        <f>$C$9</f>
        <v/>
      </c>
      <c r="R2307" s="14">
        <f>_xlfn.LOGNORM.INV($AF2307,LN($C$10)-0.5*LN(1+($D$10/$C$10)^2),SQRT(LN(1+($D$10/$C$10)^2)))</f>
        <v/>
      </c>
      <c r="S2307" s="14">
        <f>SUM(M2307:R2307)</f>
        <v/>
      </c>
      <c r="AA2307">
        <f>RAND()</f>
        <v/>
      </c>
      <c r="AB2307">
        <f>RAND()</f>
        <v/>
      </c>
      <c r="AC2307">
        <f>RAND()</f>
        <v/>
      </c>
      <c r="AD2307">
        <f>RAND()</f>
        <v/>
      </c>
      <c r="AE2307">
        <f>RAND()</f>
        <v/>
      </c>
      <c r="AF2307">
        <f>RAND()</f>
        <v/>
      </c>
    </row>
    <row r="2308">
      <c r="M2308" s="14">
        <f>_xlfn.BETA.INV($AA2308,1+4*($D$5-$C$5)/($E$5-$C$5),1+4*($E$5-$D$5)/($E$5-$C$5),$C$5,$E$5)</f>
        <v/>
      </c>
      <c r="N2308" s="14">
        <f>IF($AB2308&lt;($D$6-$C$6)/($E$6-$C$6),$C$6+SQRT($AB2308*($E$6-$C$6)*($D$6-$C$6)),$E$6-SQRT((1-$AB2308)*($E$6-$C$6)*($E$6-$D$6)))</f>
        <v/>
      </c>
      <c r="O2308" s="14">
        <f>_xlfn.NORM.INV($AC2308,$C$7,$D$7)</f>
        <v/>
      </c>
      <c r="P2308" s="14">
        <f>$C$8+($D$8-$C$8)*$AD2308</f>
        <v/>
      </c>
      <c r="Q2308" s="14">
        <f>$C$9</f>
        <v/>
      </c>
      <c r="R2308" s="14">
        <f>_xlfn.LOGNORM.INV($AF2308,LN($C$10)-0.5*LN(1+($D$10/$C$10)^2),SQRT(LN(1+($D$10/$C$10)^2)))</f>
        <v/>
      </c>
      <c r="S2308" s="14">
        <f>SUM(M2308:R2308)</f>
        <v/>
      </c>
      <c r="AA2308">
        <f>RAND()</f>
        <v/>
      </c>
      <c r="AB2308">
        <f>RAND()</f>
        <v/>
      </c>
      <c r="AC2308">
        <f>RAND()</f>
        <v/>
      </c>
      <c r="AD2308">
        <f>RAND()</f>
        <v/>
      </c>
      <c r="AE2308">
        <f>RAND()</f>
        <v/>
      </c>
      <c r="AF2308">
        <f>RAND()</f>
        <v/>
      </c>
    </row>
    <row r="2309">
      <c r="M2309" s="14">
        <f>_xlfn.BETA.INV($AA2309,1+4*($D$5-$C$5)/($E$5-$C$5),1+4*($E$5-$D$5)/($E$5-$C$5),$C$5,$E$5)</f>
        <v/>
      </c>
      <c r="N2309" s="14">
        <f>IF($AB2309&lt;($D$6-$C$6)/($E$6-$C$6),$C$6+SQRT($AB2309*($E$6-$C$6)*($D$6-$C$6)),$E$6-SQRT((1-$AB2309)*($E$6-$C$6)*($E$6-$D$6)))</f>
        <v/>
      </c>
      <c r="O2309" s="14">
        <f>_xlfn.NORM.INV($AC2309,$C$7,$D$7)</f>
        <v/>
      </c>
      <c r="P2309" s="14">
        <f>$C$8+($D$8-$C$8)*$AD2309</f>
        <v/>
      </c>
      <c r="Q2309" s="14">
        <f>$C$9</f>
        <v/>
      </c>
      <c r="R2309" s="14">
        <f>_xlfn.LOGNORM.INV($AF2309,LN($C$10)-0.5*LN(1+($D$10/$C$10)^2),SQRT(LN(1+($D$10/$C$10)^2)))</f>
        <v/>
      </c>
      <c r="S2309" s="14">
        <f>SUM(M2309:R2309)</f>
        <v/>
      </c>
      <c r="AA2309">
        <f>RAND()</f>
        <v/>
      </c>
      <c r="AB2309">
        <f>RAND()</f>
        <v/>
      </c>
      <c r="AC2309">
        <f>RAND()</f>
        <v/>
      </c>
      <c r="AD2309">
        <f>RAND()</f>
        <v/>
      </c>
      <c r="AE2309">
        <f>RAND()</f>
        <v/>
      </c>
      <c r="AF2309">
        <f>RAND()</f>
        <v/>
      </c>
    </row>
    <row r="2310">
      <c r="M2310" s="14">
        <f>_xlfn.BETA.INV($AA2310,1+4*($D$5-$C$5)/($E$5-$C$5),1+4*($E$5-$D$5)/($E$5-$C$5),$C$5,$E$5)</f>
        <v/>
      </c>
      <c r="N2310" s="14">
        <f>IF($AB2310&lt;($D$6-$C$6)/($E$6-$C$6),$C$6+SQRT($AB2310*($E$6-$C$6)*($D$6-$C$6)),$E$6-SQRT((1-$AB2310)*($E$6-$C$6)*($E$6-$D$6)))</f>
        <v/>
      </c>
      <c r="O2310" s="14">
        <f>_xlfn.NORM.INV($AC2310,$C$7,$D$7)</f>
        <v/>
      </c>
      <c r="P2310" s="14">
        <f>$C$8+($D$8-$C$8)*$AD2310</f>
        <v/>
      </c>
      <c r="Q2310" s="14">
        <f>$C$9</f>
        <v/>
      </c>
      <c r="R2310" s="14">
        <f>_xlfn.LOGNORM.INV($AF2310,LN($C$10)-0.5*LN(1+($D$10/$C$10)^2),SQRT(LN(1+($D$10/$C$10)^2)))</f>
        <v/>
      </c>
      <c r="S2310" s="14">
        <f>SUM(M2310:R2310)</f>
        <v/>
      </c>
      <c r="AA2310">
        <f>RAND()</f>
        <v/>
      </c>
      <c r="AB2310">
        <f>RAND()</f>
        <v/>
      </c>
      <c r="AC2310">
        <f>RAND()</f>
        <v/>
      </c>
      <c r="AD2310">
        <f>RAND()</f>
        <v/>
      </c>
      <c r="AE2310">
        <f>RAND()</f>
        <v/>
      </c>
      <c r="AF2310">
        <f>RAND()</f>
        <v/>
      </c>
    </row>
    <row r="2311">
      <c r="M2311" s="14">
        <f>_xlfn.BETA.INV($AA2311,1+4*($D$5-$C$5)/($E$5-$C$5),1+4*($E$5-$D$5)/($E$5-$C$5),$C$5,$E$5)</f>
        <v/>
      </c>
      <c r="N2311" s="14">
        <f>IF($AB2311&lt;($D$6-$C$6)/($E$6-$C$6),$C$6+SQRT($AB2311*($E$6-$C$6)*($D$6-$C$6)),$E$6-SQRT((1-$AB2311)*($E$6-$C$6)*($E$6-$D$6)))</f>
        <v/>
      </c>
      <c r="O2311" s="14">
        <f>_xlfn.NORM.INV($AC2311,$C$7,$D$7)</f>
        <v/>
      </c>
      <c r="P2311" s="14">
        <f>$C$8+($D$8-$C$8)*$AD2311</f>
        <v/>
      </c>
      <c r="Q2311" s="14">
        <f>$C$9</f>
        <v/>
      </c>
      <c r="R2311" s="14">
        <f>_xlfn.LOGNORM.INV($AF2311,LN($C$10)-0.5*LN(1+($D$10/$C$10)^2),SQRT(LN(1+($D$10/$C$10)^2)))</f>
        <v/>
      </c>
      <c r="S2311" s="14">
        <f>SUM(M2311:R2311)</f>
        <v/>
      </c>
      <c r="AA2311">
        <f>RAND()</f>
        <v/>
      </c>
      <c r="AB2311">
        <f>RAND()</f>
        <v/>
      </c>
      <c r="AC2311">
        <f>RAND()</f>
        <v/>
      </c>
      <c r="AD2311">
        <f>RAND()</f>
        <v/>
      </c>
      <c r="AE2311">
        <f>RAND()</f>
        <v/>
      </c>
      <c r="AF2311">
        <f>RAND()</f>
        <v/>
      </c>
    </row>
    <row r="2312">
      <c r="M2312" s="14">
        <f>_xlfn.BETA.INV($AA2312,1+4*($D$5-$C$5)/($E$5-$C$5),1+4*($E$5-$D$5)/($E$5-$C$5),$C$5,$E$5)</f>
        <v/>
      </c>
      <c r="N2312" s="14">
        <f>IF($AB2312&lt;($D$6-$C$6)/($E$6-$C$6),$C$6+SQRT($AB2312*($E$6-$C$6)*($D$6-$C$6)),$E$6-SQRT((1-$AB2312)*($E$6-$C$6)*($E$6-$D$6)))</f>
        <v/>
      </c>
      <c r="O2312" s="14">
        <f>_xlfn.NORM.INV($AC2312,$C$7,$D$7)</f>
        <v/>
      </c>
      <c r="P2312" s="14">
        <f>$C$8+($D$8-$C$8)*$AD2312</f>
        <v/>
      </c>
      <c r="Q2312" s="14">
        <f>$C$9</f>
        <v/>
      </c>
      <c r="R2312" s="14">
        <f>_xlfn.LOGNORM.INV($AF2312,LN($C$10)-0.5*LN(1+($D$10/$C$10)^2),SQRT(LN(1+($D$10/$C$10)^2)))</f>
        <v/>
      </c>
      <c r="S2312" s="14">
        <f>SUM(M2312:R2312)</f>
        <v/>
      </c>
      <c r="AA2312">
        <f>RAND()</f>
        <v/>
      </c>
      <c r="AB2312">
        <f>RAND()</f>
        <v/>
      </c>
      <c r="AC2312">
        <f>RAND()</f>
        <v/>
      </c>
      <c r="AD2312">
        <f>RAND()</f>
        <v/>
      </c>
      <c r="AE2312">
        <f>RAND()</f>
        <v/>
      </c>
      <c r="AF2312">
        <f>RAND()</f>
        <v/>
      </c>
    </row>
    <row r="2313">
      <c r="M2313" s="14">
        <f>_xlfn.BETA.INV($AA2313,1+4*($D$5-$C$5)/($E$5-$C$5),1+4*($E$5-$D$5)/($E$5-$C$5),$C$5,$E$5)</f>
        <v/>
      </c>
      <c r="N2313" s="14">
        <f>IF($AB2313&lt;($D$6-$C$6)/($E$6-$C$6),$C$6+SQRT($AB2313*($E$6-$C$6)*($D$6-$C$6)),$E$6-SQRT((1-$AB2313)*($E$6-$C$6)*($E$6-$D$6)))</f>
        <v/>
      </c>
      <c r="O2313" s="14">
        <f>_xlfn.NORM.INV($AC2313,$C$7,$D$7)</f>
        <v/>
      </c>
      <c r="P2313" s="14">
        <f>$C$8+($D$8-$C$8)*$AD2313</f>
        <v/>
      </c>
      <c r="Q2313" s="14">
        <f>$C$9</f>
        <v/>
      </c>
      <c r="R2313" s="14">
        <f>_xlfn.LOGNORM.INV($AF2313,LN($C$10)-0.5*LN(1+($D$10/$C$10)^2),SQRT(LN(1+($D$10/$C$10)^2)))</f>
        <v/>
      </c>
      <c r="S2313" s="14">
        <f>SUM(M2313:R2313)</f>
        <v/>
      </c>
      <c r="AA2313">
        <f>RAND()</f>
        <v/>
      </c>
      <c r="AB2313">
        <f>RAND()</f>
        <v/>
      </c>
      <c r="AC2313">
        <f>RAND()</f>
        <v/>
      </c>
      <c r="AD2313">
        <f>RAND()</f>
        <v/>
      </c>
      <c r="AE2313">
        <f>RAND()</f>
        <v/>
      </c>
      <c r="AF2313">
        <f>RAND()</f>
        <v/>
      </c>
    </row>
    <row r="2314">
      <c r="M2314" s="14">
        <f>_xlfn.BETA.INV($AA2314,1+4*($D$5-$C$5)/($E$5-$C$5),1+4*($E$5-$D$5)/($E$5-$C$5),$C$5,$E$5)</f>
        <v/>
      </c>
      <c r="N2314" s="14">
        <f>IF($AB2314&lt;($D$6-$C$6)/($E$6-$C$6),$C$6+SQRT($AB2314*($E$6-$C$6)*($D$6-$C$6)),$E$6-SQRT((1-$AB2314)*($E$6-$C$6)*($E$6-$D$6)))</f>
        <v/>
      </c>
      <c r="O2314" s="14">
        <f>_xlfn.NORM.INV($AC2314,$C$7,$D$7)</f>
        <v/>
      </c>
      <c r="P2314" s="14">
        <f>$C$8+($D$8-$C$8)*$AD2314</f>
        <v/>
      </c>
      <c r="Q2314" s="14">
        <f>$C$9</f>
        <v/>
      </c>
      <c r="R2314" s="14">
        <f>_xlfn.LOGNORM.INV($AF2314,LN($C$10)-0.5*LN(1+($D$10/$C$10)^2),SQRT(LN(1+($D$10/$C$10)^2)))</f>
        <v/>
      </c>
      <c r="S2314" s="14">
        <f>SUM(M2314:R2314)</f>
        <v/>
      </c>
      <c r="AA2314">
        <f>RAND()</f>
        <v/>
      </c>
      <c r="AB2314">
        <f>RAND()</f>
        <v/>
      </c>
      <c r="AC2314">
        <f>RAND()</f>
        <v/>
      </c>
      <c r="AD2314">
        <f>RAND()</f>
        <v/>
      </c>
      <c r="AE2314">
        <f>RAND()</f>
        <v/>
      </c>
      <c r="AF2314">
        <f>RAND()</f>
        <v/>
      </c>
    </row>
    <row r="2315">
      <c r="M2315" s="14">
        <f>_xlfn.BETA.INV($AA2315,1+4*($D$5-$C$5)/($E$5-$C$5),1+4*($E$5-$D$5)/($E$5-$C$5),$C$5,$E$5)</f>
        <v/>
      </c>
      <c r="N2315" s="14">
        <f>IF($AB2315&lt;($D$6-$C$6)/($E$6-$C$6),$C$6+SQRT($AB2315*($E$6-$C$6)*($D$6-$C$6)),$E$6-SQRT((1-$AB2315)*($E$6-$C$6)*($E$6-$D$6)))</f>
        <v/>
      </c>
      <c r="O2315" s="14">
        <f>_xlfn.NORM.INV($AC2315,$C$7,$D$7)</f>
        <v/>
      </c>
      <c r="P2315" s="14">
        <f>$C$8+($D$8-$C$8)*$AD2315</f>
        <v/>
      </c>
      <c r="Q2315" s="14">
        <f>$C$9</f>
        <v/>
      </c>
      <c r="R2315" s="14">
        <f>_xlfn.LOGNORM.INV($AF2315,LN($C$10)-0.5*LN(1+($D$10/$C$10)^2),SQRT(LN(1+($D$10/$C$10)^2)))</f>
        <v/>
      </c>
      <c r="S2315" s="14">
        <f>SUM(M2315:R2315)</f>
        <v/>
      </c>
      <c r="AA2315">
        <f>RAND()</f>
        <v/>
      </c>
      <c r="AB2315">
        <f>RAND()</f>
        <v/>
      </c>
      <c r="AC2315">
        <f>RAND()</f>
        <v/>
      </c>
      <c r="AD2315">
        <f>RAND()</f>
        <v/>
      </c>
      <c r="AE2315">
        <f>RAND()</f>
        <v/>
      </c>
      <c r="AF2315">
        <f>RAND()</f>
        <v/>
      </c>
    </row>
    <row r="2316">
      <c r="M2316" s="14">
        <f>_xlfn.BETA.INV($AA2316,1+4*($D$5-$C$5)/($E$5-$C$5),1+4*($E$5-$D$5)/($E$5-$C$5),$C$5,$E$5)</f>
        <v/>
      </c>
      <c r="N2316" s="14">
        <f>IF($AB2316&lt;($D$6-$C$6)/($E$6-$C$6),$C$6+SQRT($AB2316*($E$6-$C$6)*($D$6-$C$6)),$E$6-SQRT((1-$AB2316)*($E$6-$C$6)*($E$6-$D$6)))</f>
        <v/>
      </c>
      <c r="O2316" s="14">
        <f>_xlfn.NORM.INV($AC2316,$C$7,$D$7)</f>
        <v/>
      </c>
      <c r="P2316" s="14">
        <f>$C$8+($D$8-$C$8)*$AD2316</f>
        <v/>
      </c>
      <c r="Q2316" s="14">
        <f>$C$9</f>
        <v/>
      </c>
      <c r="R2316" s="14">
        <f>_xlfn.LOGNORM.INV($AF2316,LN($C$10)-0.5*LN(1+($D$10/$C$10)^2),SQRT(LN(1+($D$10/$C$10)^2)))</f>
        <v/>
      </c>
      <c r="S2316" s="14">
        <f>SUM(M2316:R2316)</f>
        <v/>
      </c>
      <c r="AA2316">
        <f>RAND()</f>
        <v/>
      </c>
      <c r="AB2316">
        <f>RAND()</f>
        <v/>
      </c>
      <c r="AC2316">
        <f>RAND()</f>
        <v/>
      </c>
      <c r="AD2316">
        <f>RAND()</f>
        <v/>
      </c>
      <c r="AE2316">
        <f>RAND()</f>
        <v/>
      </c>
      <c r="AF2316">
        <f>RAND()</f>
        <v/>
      </c>
    </row>
    <row r="2317">
      <c r="M2317" s="14">
        <f>_xlfn.BETA.INV($AA2317,1+4*($D$5-$C$5)/($E$5-$C$5),1+4*($E$5-$D$5)/($E$5-$C$5),$C$5,$E$5)</f>
        <v/>
      </c>
      <c r="N2317" s="14">
        <f>IF($AB2317&lt;($D$6-$C$6)/($E$6-$C$6),$C$6+SQRT($AB2317*($E$6-$C$6)*($D$6-$C$6)),$E$6-SQRT((1-$AB2317)*($E$6-$C$6)*($E$6-$D$6)))</f>
        <v/>
      </c>
      <c r="O2317" s="14">
        <f>_xlfn.NORM.INV($AC2317,$C$7,$D$7)</f>
        <v/>
      </c>
      <c r="P2317" s="14">
        <f>$C$8+($D$8-$C$8)*$AD2317</f>
        <v/>
      </c>
      <c r="Q2317" s="14">
        <f>$C$9</f>
        <v/>
      </c>
      <c r="R2317" s="14">
        <f>_xlfn.LOGNORM.INV($AF2317,LN($C$10)-0.5*LN(1+($D$10/$C$10)^2),SQRT(LN(1+($D$10/$C$10)^2)))</f>
        <v/>
      </c>
      <c r="S2317" s="14">
        <f>SUM(M2317:R2317)</f>
        <v/>
      </c>
      <c r="AA2317">
        <f>RAND()</f>
        <v/>
      </c>
      <c r="AB2317">
        <f>RAND()</f>
        <v/>
      </c>
      <c r="AC2317">
        <f>RAND()</f>
        <v/>
      </c>
      <c r="AD2317">
        <f>RAND()</f>
        <v/>
      </c>
      <c r="AE2317">
        <f>RAND()</f>
        <v/>
      </c>
      <c r="AF2317">
        <f>RAND()</f>
        <v/>
      </c>
    </row>
    <row r="2318">
      <c r="M2318" s="14">
        <f>_xlfn.BETA.INV($AA2318,1+4*($D$5-$C$5)/($E$5-$C$5),1+4*($E$5-$D$5)/($E$5-$C$5),$C$5,$E$5)</f>
        <v/>
      </c>
      <c r="N2318" s="14">
        <f>IF($AB2318&lt;($D$6-$C$6)/($E$6-$C$6),$C$6+SQRT($AB2318*($E$6-$C$6)*($D$6-$C$6)),$E$6-SQRT((1-$AB2318)*($E$6-$C$6)*($E$6-$D$6)))</f>
        <v/>
      </c>
      <c r="O2318" s="14">
        <f>_xlfn.NORM.INV($AC2318,$C$7,$D$7)</f>
        <v/>
      </c>
      <c r="P2318" s="14">
        <f>$C$8+($D$8-$C$8)*$AD2318</f>
        <v/>
      </c>
      <c r="Q2318" s="14">
        <f>$C$9</f>
        <v/>
      </c>
      <c r="R2318" s="14">
        <f>_xlfn.LOGNORM.INV($AF2318,LN($C$10)-0.5*LN(1+($D$10/$C$10)^2),SQRT(LN(1+($D$10/$C$10)^2)))</f>
        <v/>
      </c>
      <c r="S2318" s="14">
        <f>SUM(M2318:R2318)</f>
        <v/>
      </c>
      <c r="AA2318">
        <f>RAND()</f>
        <v/>
      </c>
      <c r="AB2318">
        <f>RAND()</f>
        <v/>
      </c>
      <c r="AC2318">
        <f>RAND()</f>
        <v/>
      </c>
      <c r="AD2318">
        <f>RAND()</f>
        <v/>
      </c>
      <c r="AE2318">
        <f>RAND()</f>
        <v/>
      </c>
      <c r="AF2318">
        <f>RAND()</f>
        <v/>
      </c>
    </row>
    <row r="2319">
      <c r="M2319" s="14">
        <f>_xlfn.BETA.INV($AA2319,1+4*($D$5-$C$5)/($E$5-$C$5),1+4*($E$5-$D$5)/($E$5-$C$5),$C$5,$E$5)</f>
        <v/>
      </c>
      <c r="N2319" s="14">
        <f>IF($AB2319&lt;($D$6-$C$6)/($E$6-$C$6),$C$6+SQRT($AB2319*($E$6-$C$6)*($D$6-$C$6)),$E$6-SQRT((1-$AB2319)*($E$6-$C$6)*($E$6-$D$6)))</f>
        <v/>
      </c>
      <c r="O2319" s="14">
        <f>_xlfn.NORM.INV($AC2319,$C$7,$D$7)</f>
        <v/>
      </c>
      <c r="P2319" s="14">
        <f>$C$8+($D$8-$C$8)*$AD2319</f>
        <v/>
      </c>
      <c r="Q2319" s="14">
        <f>$C$9</f>
        <v/>
      </c>
      <c r="R2319" s="14">
        <f>_xlfn.LOGNORM.INV($AF2319,LN($C$10)-0.5*LN(1+($D$10/$C$10)^2),SQRT(LN(1+($D$10/$C$10)^2)))</f>
        <v/>
      </c>
      <c r="S2319" s="14">
        <f>SUM(M2319:R2319)</f>
        <v/>
      </c>
      <c r="AA2319">
        <f>RAND()</f>
        <v/>
      </c>
      <c r="AB2319">
        <f>RAND()</f>
        <v/>
      </c>
      <c r="AC2319">
        <f>RAND()</f>
        <v/>
      </c>
      <c r="AD2319">
        <f>RAND()</f>
        <v/>
      </c>
      <c r="AE2319">
        <f>RAND()</f>
        <v/>
      </c>
      <c r="AF2319">
        <f>RAND()</f>
        <v/>
      </c>
    </row>
    <row r="2320">
      <c r="M2320" s="14">
        <f>_xlfn.BETA.INV($AA2320,1+4*($D$5-$C$5)/($E$5-$C$5),1+4*($E$5-$D$5)/($E$5-$C$5),$C$5,$E$5)</f>
        <v/>
      </c>
      <c r="N2320" s="14">
        <f>IF($AB2320&lt;($D$6-$C$6)/($E$6-$C$6),$C$6+SQRT($AB2320*($E$6-$C$6)*($D$6-$C$6)),$E$6-SQRT((1-$AB2320)*($E$6-$C$6)*($E$6-$D$6)))</f>
        <v/>
      </c>
      <c r="O2320" s="14">
        <f>_xlfn.NORM.INV($AC2320,$C$7,$D$7)</f>
        <v/>
      </c>
      <c r="P2320" s="14">
        <f>$C$8+($D$8-$C$8)*$AD2320</f>
        <v/>
      </c>
      <c r="Q2320" s="14">
        <f>$C$9</f>
        <v/>
      </c>
      <c r="R2320" s="14">
        <f>_xlfn.LOGNORM.INV($AF2320,LN($C$10)-0.5*LN(1+($D$10/$C$10)^2),SQRT(LN(1+($D$10/$C$10)^2)))</f>
        <v/>
      </c>
      <c r="S2320" s="14">
        <f>SUM(M2320:R2320)</f>
        <v/>
      </c>
      <c r="AA2320">
        <f>RAND()</f>
        <v/>
      </c>
      <c r="AB2320">
        <f>RAND()</f>
        <v/>
      </c>
      <c r="AC2320">
        <f>RAND()</f>
        <v/>
      </c>
      <c r="AD2320">
        <f>RAND()</f>
        <v/>
      </c>
      <c r="AE2320">
        <f>RAND()</f>
        <v/>
      </c>
      <c r="AF2320">
        <f>RAND()</f>
        <v/>
      </c>
    </row>
    <row r="2321">
      <c r="M2321" s="14">
        <f>_xlfn.BETA.INV($AA2321,1+4*($D$5-$C$5)/($E$5-$C$5),1+4*($E$5-$D$5)/($E$5-$C$5),$C$5,$E$5)</f>
        <v/>
      </c>
      <c r="N2321" s="14">
        <f>IF($AB2321&lt;($D$6-$C$6)/($E$6-$C$6),$C$6+SQRT($AB2321*($E$6-$C$6)*($D$6-$C$6)),$E$6-SQRT((1-$AB2321)*($E$6-$C$6)*($E$6-$D$6)))</f>
        <v/>
      </c>
      <c r="O2321" s="14">
        <f>_xlfn.NORM.INV($AC2321,$C$7,$D$7)</f>
        <v/>
      </c>
      <c r="P2321" s="14">
        <f>$C$8+($D$8-$C$8)*$AD2321</f>
        <v/>
      </c>
      <c r="Q2321" s="14">
        <f>$C$9</f>
        <v/>
      </c>
      <c r="R2321" s="14">
        <f>_xlfn.LOGNORM.INV($AF2321,LN($C$10)-0.5*LN(1+($D$10/$C$10)^2),SQRT(LN(1+($D$10/$C$10)^2)))</f>
        <v/>
      </c>
      <c r="S2321" s="14">
        <f>SUM(M2321:R2321)</f>
        <v/>
      </c>
      <c r="AA2321">
        <f>RAND()</f>
        <v/>
      </c>
      <c r="AB2321">
        <f>RAND()</f>
        <v/>
      </c>
      <c r="AC2321">
        <f>RAND()</f>
        <v/>
      </c>
      <c r="AD2321">
        <f>RAND()</f>
        <v/>
      </c>
      <c r="AE2321">
        <f>RAND()</f>
        <v/>
      </c>
      <c r="AF2321">
        <f>RAND()</f>
        <v/>
      </c>
    </row>
    <row r="2322">
      <c r="M2322" s="14">
        <f>_xlfn.BETA.INV($AA2322,1+4*($D$5-$C$5)/($E$5-$C$5),1+4*($E$5-$D$5)/($E$5-$C$5),$C$5,$E$5)</f>
        <v/>
      </c>
      <c r="N2322" s="14">
        <f>IF($AB2322&lt;($D$6-$C$6)/($E$6-$C$6),$C$6+SQRT($AB2322*($E$6-$C$6)*($D$6-$C$6)),$E$6-SQRT((1-$AB2322)*($E$6-$C$6)*($E$6-$D$6)))</f>
        <v/>
      </c>
      <c r="O2322" s="14">
        <f>_xlfn.NORM.INV($AC2322,$C$7,$D$7)</f>
        <v/>
      </c>
      <c r="P2322" s="14">
        <f>$C$8+($D$8-$C$8)*$AD2322</f>
        <v/>
      </c>
      <c r="Q2322" s="14">
        <f>$C$9</f>
        <v/>
      </c>
      <c r="R2322" s="14">
        <f>_xlfn.LOGNORM.INV($AF2322,LN($C$10)-0.5*LN(1+($D$10/$C$10)^2),SQRT(LN(1+($D$10/$C$10)^2)))</f>
        <v/>
      </c>
      <c r="S2322" s="14">
        <f>SUM(M2322:R2322)</f>
        <v/>
      </c>
      <c r="AA2322">
        <f>RAND()</f>
        <v/>
      </c>
      <c r="AB2322">
        <f>RAND()</f>
        <v/>
      </c>
      <c r="AC2322">
        <f>RAND()</f>
        <v/>
      </c>
      <c r="AD2322">
        <f>RAND()</f>
        <v/>
      </c>
      <c r="AE2322">
        <f>RAND()</f>
        <v/>
      </c>
      <c r="AF2322">
        <f>RAND()</f>
        <v/>
      </c>
    </row>
    <row r="2323">
      <c r="M2323" s="14">
        <f>_xlfn.BETA.INV($AA2323,1+4*($D$5-$C$5)/($E$5-$C$5),1+4*($E$5-$D$5)/($E$5-$C$5),$C$5,$E$5)</f>
        <v/>
      </c>
      <c r="N2323" s="14">
        <f>IF($AB2323&lt;($D$6-$C$6)/($E$6-$C$6),$C$6+SQRT($AB2323*($E$6-$C$6)*($D$6-$C$6)),$E$6-SQRT((1-$AB2323)*($E$6-$C$6)*($E$6-$D$6)))</f>
        <v/>
      </c>
      <c r="O2323" s="14">
        <f>_xlfn.NORM.INV($AC2323,$C$7,$D$7)</f>
        <v/>
      </c>
      <c r="P2323" s="14">
        <f>$C$8+($D$8-$C$8)*$AD2323</f>
        <v/>
      </c>
      <c r="Q2323" s="14">
        <f>$C$9</f>
        <v/>
      </c>
      <c r="R2323" s="14">
        <f>_xlfn.LOGNORM.INV($AF2323,LN($C$10)-0.5*LN(1+($D$10/$C$10)^2),SQRT(LN(1+($D$10/$C$10)^2)))</f>
        <v/>
      </c>
      <c r="S2323" s="14">
        <f>SUM(M2323:R2323)</f>
        <v/>
      </c>
      <c r="AA2323">
        <f>RAND()</f>
        <v/>
      </c>
      <c r="AB2323">
        <f>RAND()</f>
        <v/>
      </c>
      <c r="AC2323">
        <f>RAND()</f>
        <v/>
      </c>
      <c r="AD2323">
        <f>RAND()</f>
        <v/>
      </c>
      <c r="AE2323">
        <f>RAND()</f>
        <v/>
      </c>
      <c r="AF2323">
        <f>RAND()</f>
        <v/>
      </c>
    </row>
    <row r="2324">
      <c r="M2324" s="14">
        <f>_xlfn.BETA.INV($AA2324,1+4*($D$5-$C$5)/($E$5-$C$5),1+4*($E$5-$D$5)/($E$5-$C$5),$C$5,$E$5)</f>
        <v/>
      </c>
      <c r="N2324" s="14">
        <f>IF($AB2324&lt;($D$6-$C$6)/($E$6-$C$6),$C$6+SQRT($AB2324*($E$6-$C$6)*($D$6-$C$6)),$E$6-SQRT((1-$AB2324)*($E$6-$C$6)*($E$6-$D$6)))</f>
        <v/>
      </c>
      <c r="O2324" s="14">
        <f>_xlfn.NORM.INV($AC2324,$C$7,$D$7)</f>
        <v/>
      </c>
      <c r="P2324" s="14">
        <f>$C$8+($D$8-$C$8)*$AD2324</f>
        <v/>
      </c>
      <c r="Q2324" s="14">
        <f>$C$9</f>
        <v/>
      </c>
      <c r="R2324" s="14">
        <f>_xlfn.LOGNORM.INV($AF2324,LN($C$10)-0.5*LN(1+($D$10/$C$10)^2),SQRT(LN(1+($D$10/$C$10)^2)))</f>
        <v/>
      </c>
      <c r="S2324" s="14">
        <f>SUM(M2324:R2324)</f>
        <v/>
      </c>
      <c r="AA2324">
        <f>RAND()</f>
        <v/>
      </c>
      <c r="AB2324">
        <f>RAND()</f>
        <v/>
      </c>
      <c r="AC2324">
        <f>RAND()</f>
        <v/>
      </c>
      <c r="AD2324">
        <f>RAND()</f>
        <v/>
      </c>
      <c r="AE2324">
        <f>RAND()</f>
        <v/>
      </c>
      <c r="AF2324">
        <f>RAND()</f>
        <v/>
      </c>
    </row>
    <row r="2325">
      <c r="M2325" s="14">
        <f>_xlfn.BETA.INV($AA2325,1+4*($D$5-$C$5)/($E$5-$C$5),1+4*($E$5-$D$5)/($E$5-$C$5),$C$5,$E$5)</f>
        <v/>
      </c>
      <c r="N2325" s="14">
        <f>IF($AB2325&lt;($D$6-$C$6)/($E$6-$C$6),$C$6+SQRT($AB2325*($E$6-$C$6)*($D$6-$C$6)),$E$6-SQRT((1-$AB2325)*($E$6-$C$6)*($E$6-$D$6)))</f>
        <v/>
      </c>
      <c r="O2325" s="14">
        <f>_xlfn.NORM.INV($AC2325,$C$7,$D$7)</f>
        <v/>
      </c>
      <c r="P2325" s="14">
        <f>$C$8+($D$8-$C$8)*$AD2325</f>
        <v/>
      </c>
      <c r="Q2325" s="14">
        <f>$C$9</f>
        <v/>
      </c>
      <c r="R2325" s="14">
        <f>_xlfn.LOGNORM.INV($AF2325,LN($C$10)-0.5*LN(1+($D$10/$C$10)^2),SQRT(LN(1+($D$10/$C$10)^2)))</f>
        <v/>
      </c>
      <c r="S2325" s="14">
        <f>SUM(M2325:R2325)</f>
        <v/>
      </c>
      <c r="AA2325">
        <f>RAND()</f>
        <v/>
      </c>
      <c r="AB2325">
        <f>RAND()</f>
        <v/>
      </c>
      <c r="AC2325">
        <f>RAND()</f>
        <v/>
      </c>
      <c r="AD2325">
        <f>RAND()</f>
        <v/>
      </c>
      <c r="AE2325">
        <f>RAND()</f>
        <v/>
      </c>
      <c r="AF2325">
        <f>RAND()</f>
        <v/>
      </c>
    </row>
    <row r="2326">
      <c r="M2326" s="14">
        <f>_xlfn.BETA.INV($AA2326,1+4*($D$5-$C$5)/($E$5-$C$5),1+4*($E$5-$D$5)/($E$5-$C$5),$C$5,$E$5)</f>
        <v/>
      </c>
      <c r="N2326" s="14">
        <f>IF($AB2326&lt;($D$6-$C$6)/($E$6-$C$6),$C$6+SQRT($AB2326*($E$6-$C$6)*($D$6-$C$6)),$E$6-SQRT((1-$AB2326)*($E$6-$C$6)*($E$6-$D$6)))</f>
        <v/>
      </c>
      <c r="O2326" s="14">
        <f>_xlfn.NORM.INV($AC2326,$C$7,$D$7)</f>
        <v/>
      </c>
      <c r="P2326" s="14">
        <f>$C$8+($D$8-$C$8)*$AD2326</f>
        <v/>
      </c>
      <c r="Q2326" s="14">
        <f>$C$9</f>
        <v/>
      </c>
      <c r="R2326" s="14">
        <f>_xlfn.LOGNORM.INV($AF2326,LN($C$10)-0.5*LN(1+($D$10/$C$10)^2),SQRT(LN(1+($D$10/$C$10)^2)))</f>
        <v/>
      </c>
      <c r="S2326" s="14">
        <f>SUM(M2326:R2326)</f>
        <v/>
      </c>
      <c r="AA2326">
        <f>RAND()</f>
        <v/>
      </c>
      <c r="AB2326">
        <f>RAND()</f>
        <v/>
      </c>
      <c r="AC2326">
        <f>RAND()</f>
        <v/>
      </c>
      <c r="AD2326">
        <f>RAND()</f>
        <v/>
      </c>
      <c r="AE2326">
        <f>RAND()</f>
        <v/>
      </c>
      <c r="AF2326">
        <f>RAND()</f>
        <v/>
      </c>
    </row>
    <row r="2327">
      <c r="M2327" s="14">
        <f>_xlfn.BETA.INV($AA2327,1+4*($D$5-$C$5)/($E$5-$C$5),1+4*($E$5-$D$5)/($E$5-$C$5),$C$5,$E$5)</f>
        <v/>
      </c>
      <c r="N2327" s="14">
        <f>IF($AB2327&lt;($D$6-$C$6)/($E$6-$C$6),$C$6+SQRT($AB2327*($E$6-$C$6)*($D$6-$C$6)),$E$6-SQRT((1-$AB2327)*($E$6-$C$6)*($E$6-$D$6)))</f>
        <v/>
      </c>
      <c r="O2327" s="14">
        <f>_xlfn.NORM.INV($AC2327,$C$7,$D$7)</f>
        <v/>
      </c>
      <c r="P2327" s="14">
        <f>$C$8+($D$8-$C$8)*$AD2327</f>
        <v/>
      </c>
      <c r="Q2327" s="14">
        <f>$C$9</f>
        <v/>
      </c>
      <c r="R2327" s="14">
        <f>_xlfn.LOGNORM.INV($AF2327,LN($C$10)-0.5*LN(1+($D$10/$C$10)^2),SQRT(LN(1+($D$10/$C$10)^2)))</f>
        <v/>
      </c>
      <c r="S2327" s="14">
        <f>SUM(M2327:R2327)</f>
        <v/>
      </c>
      <c r="AA2327">
        <f>RAND()</f>
        <v/>
      </c>
      <c r="AB2327">
        <f>RAND()</f>
        <v/>
      </c>
      <c r="AC2327">
        <f>RAND()</f>
        <v/>
      </c>
      <c r="AD2327">
        <f>RAND()</f>
        <v/>
      </c>
      <c r="AE2327">
        <f>RAND()</f>
        <v/>
      </c>
      <c r="AF2327">
        <f>RAND()</f>
        <v/>
      </c>
    </row>
    <row r="2328">
      <c r="M2328" s="14">
        <f>_xlfn.BETA.INV($AA2328,1+4*($D$5-$C$5)/($E$5-$C$5),1+4*($E$5-$D$5)/($E$5-$C$5),$C$5,$E$5)</f>
        <v/>
      </c>
      <c r="N2328" s="14">
        <f>IF($AB2328&lt;($D$6-$C$6)/($E$6-$C$6),$C$6+SQRT($AB2328*($E$6-$C$6)*($D$6-$C$6)),$E$6-SQRT((1-$AB2328)*($E$6-$C$6)*($E$6-$D$6)))</f>
        <v/>
      </c>
      <c r="O2328" s="14">
        <f>_xlfn.NORM.INV($AC2328,$C$7,$D$7)</f>
        <v/>
      </c>
      <c r="P2328" s="14">
        <f>$C$8+($D$8-$C$8)*$AD2328</f>
        <v/>
      </c>
      <c r="Q2328" s="14">
        <f>$C$9</f>
        <v/>
      </c>
      <c r="R2328" s="14">
        <f>_xlfn.LOGNORM.INV($AF2328,LN($C$10)-0.5*LN(1+($D$10/$C$10)^2),SQRT(LN(1+($D$10/$C$10)^2)))</f>
        <v/>
      </c>
      <c r="S2328" s="14">
        <f>SUM(M2328:R2328)</f>
        <v/>
      </c>
      <c r="AA2328">
        <f>RAND()</f>
        <v/>
      </c>
      <c r="AB2328">
        <f>RAND()</f>
        <v/>
      </c>
      <c r="AC2328">
        <f>RAND()</f>
        <v/>
      </c>
      <c r="AD2328">
        <f>RAND()</f>
        <v/>
      </c>
      <c r="AE2328">
        <f>RAND()</f>
        <v/>
      </c>
      <c r="AF2328">
        <f>RAND()</f>
        <v/>
      </c>
    </row>
    <row r="2329">
      <c r="M2329" s="14">
        <f>_xlfn.BETA.INV($AA2329,1+4*($D$5-$C$5)/($E$5-$C$5),1+4*($E$5-$D$5)/($E$5-$C$5),$C$5,$E$5)</f>
        <v/>
      </c>
      <c r="N2329" s="14">
        <f>IF($AB2329&lt;($D$6-$C$6)/($E$6-$C$6),$C$6+SQRT($AB2329*($E$6-$C$6)*($D$6-$C$6)),$E$6-SQRT((1-$AB2329)*($E$6-$C$6)*($E$6-$D$6)))</f>
        <v/>
      </c>
      <c r="O2329" s="14">
        <f>_xlfn.NORM.INV($AC2329,$C$7,$D$7)</f>
        <v/>
      </c>
      <c r="P2329" s="14">
        <f>$C$8+($D$8-$C$8)*$AD2329</f>
        <v/>
      </c>
      <c r="Q2329" s="14">
        <f>$C$9</f>
        <v/>
      </c>
      <c r="R2329" s="14">
        <f>_xlfn.LOGNORM.INV($AF2329,LN($C$10)-0.5*LN(1+($D$10/$C$10)^2),SQRT(LN(1+($D$10/$C$10)^2)))</f>
        <v/>
      </c>
      <c r="S2329" s="14">
        <f>SUM(M2329:R2329)</f>
        <v/>
      </c>
      <c r="AA2329">
        <f>RAND()</f>
        <v/>
      </c>
      <c r="AB2329">
        <f>RAND()</f>
        <v/>
      </c>
      <c r="AC2329">
        <f>RAND()</f>
        <v/>
      </c>
      <c r="AD2329">
        <f>RAND()</f>
        <v/>
      </c>
      <c r="AE2329">
        <f>RAND()</f>
        <v/>
      </c>
      <c r="AF2329">
        <f>RAND()</f>
        <v/>
      </c>
    </row>
    <row r="2330">
      <c r="M2330" s="14">
        <f>_xlfn.BETA.INV($AA2330,1+4*($D$5-$C$5)/($E$5-$C$5),1+4*($E$5-$D$5)/($E$5-$C$5),$C$5,$E$5)</f>
        <v/>
      </c>
      <c r="N2330" s="14">
        <f>IF($AB2330&lt;($D$6-$C$6)/($E$6-$C$6),$C$6+SQRT($AB2330*($E$6-$C$6)*($D$6-$C$6)),$E$6-SQRT((1-$AB2330)*($E$6-$C$6)*($E$6-$D$6)))</f>
        <v/>
      </c>
      <c r="O2330" s="14">
        <f>_xlfn.NORM.INV($AC2330,$C$7,$D$7)</f>
        <v/>
      </c>
      <c r="P2330" s="14">
        <f>$C$8+($D$8-$C$8)*$AD2330</f>
        <v/>
      </c>
      <c r="Q2330" s="14">
        <f>$C$9</f>
        <v/>
      </c>
      <c r="R2330" s="14">
        <f>_xlfn.LOGNORM.INV($AF2330,LN($C$10)-0.5*LN(1+($D$10/$C$10)^2),SQRT(LN(1+($D$10/$C$10)^2)))</f>
        <v/>
      </c>
      <c r="S2330" s="14">
        <f>SUM(M2330:R2330)</f>
        <v/>
      </c>
      <c r="AA2330">
        <f>RAND()</f>
        <v/>
      </c>
      <c r="AB2330">
        <f>RAND()</f>
        <v/>
      </c>
      <c r="AC2330">
        <f>RAND()</f>
        <v/>
      </c>
      <c r="AD2330">
        <f>RAND()</f>
        <v/>
      </c>
      <c r="AE2330">
        <f>RAND()</f>
        <v/>
      </c>
      <c r="AF2330">
        <f>RAND()</f>
        <v/>
      </c>
    </row>
    <row r="2331">
      <c r="M2331" s="14">
        <f>_xlfn.BETA.INV($AA2331,1+4*($D$5-$C$5)/($E$5-$C$5),1+4*($E$5-$D$5)/($E$5-$C$5),$C$5,$E$5)</f>
        <v/>
      </c>
      <c r="N2331" s="14">
        <f>IF($AB2331&lt;($D$6-$C$6)/($E$6-$C$6),$C$6+SQRT($AB2331*($E$6-$C$6)*($D$6-$C$6)),$E$6-SQRT((1-$AB2331)*($E$6-$C$6)*($E$6-$D$6)))</f>
        <v/>
      </c>
      <c r="O2331" s="14">
        <f>_xlfn.NORM.INV($AC2331,$C$7,$D$7)</f>
        <v/>
      </c>
      <c r="P2331" s="14">
        <f>$C$8+($D$8-$C$8)*$AD2331</f>
        <v/>
      </c>
      <c r="Q2331" s="14">
        <f>$C$9</f>
        <v/>
      </c>
      <c r="R2331" s="14">
        <f>_xlfn.LOGNORM.INV($AF2331,LN($C$10)-0.5*LN(1+($D$10/$C$10)^2),SQRT(LN(1+($D$10/$C$10)^2)))</f>
        <v/>
      </c>
      <c r="S2331" s="14">
        <f>SUM(M2331:R2331)</f>
        <v/>
      </c>
      <c r="AA2331">
        <f>RAND()</f>
        <v/>
      </c>
      <c r="AB2331">
        <f>RAND()</f>
        <v/>
      </c>
      <c r="AC2331">
        <f>RAND()</f>
        <v/>
      </c>
      <c r="AD2331">
        <f>RAND()</f>
        <v/>
      </c>
      <c r="AE2331">
        <f>RAND()</f>
        <v/>
      </c>
      <c r="AF2331">
        <f>RAND()</f>
        <v/>
      </c>
    </row>
    <row r="2332">
      <c r="M2332" s="14">
        <f>_xlfn.BETA.INV($AA2332,1+4*($D$5-$C$5)/($E$5-$C$5),1+4*($E$5-$D$5)/($E$5-$C$5),$C$5,$E$5)</f>
        <v/>
      </c>
      <c r="N2332" s="14">
        <f>IF($AB2332&lt;($D$6-$C$6)/($E$6-$C$6),$C$6+SQRT($AB2332*($E$6-$C$6)*($D$6-$C$6)),$E$6-SQRT((1-$AB2332)*($E$6-$C$6)*($E$6-$D$6)))</f>
        <v/>
      </c>
      <c r="O2332" s="14">
        <f>_xlfn.NORM.INV($AC2332,$C$7,$D$7)</f>
        <v/>
      </c>
      <c r="P2332" s="14">
        <f>$C$8+($D$8-$C$8)*$AD2332</f>
        <v/>
      </c>
      <c r="Q2332" s="14">
        <f>$C$9</f>
        <v/>
      </c>
      <c r="R2332" s="14">
        <f>_xlfn.LOGNORM.INV($AF2332,LN($C$10)-0.5*LN(1+($D$10/$C$10)^2),SQRT(LN(1+($D$10/$C$10)^2)))</f>
        <v/>
      </c>
      <c r="S2332" s="14">
        <f>SUM(M2332:R2332)</f>
        <v/>
      </c>
      <c r="AA2332">
        <f>RAND()</f>
        <v/>
      </c>
      <c r="AB2332">
        <f>RAND()</f>
        <v/>
      </c>
      <c r="AC2332">
        <f>RAND()</f>
        <v/>
      </c>
      <c r="AD2332">
        <f>RAND()</f>
        <v/>
      </c>
      <c r="AE2332">
        <f>RAND()</f>
        <v/>
      </c>
      <c r="AF2332">
        <f>RAND()</f>
        <v/>
      </c>
    </row>
    <row r="2333">
      <c r="M2333" s="14">
        <f>_xlfn.BETA.INV($AA2333,1+4*($D$5-$C$5)/($E$5-$C$5),1+4*($E$5-$D$5)/($E$5-$C$5),$C$5,$E$5)</f>
        <v/>
      </c>
      <c r="N2333" s="14">
        <f>IF($AB2333&lt;($D$6-$C$6)/($E$6-$C$6),$C$6+SQRT($AB2333*($E$6-$C$6)*($D$6-$C$6)),$E$6-SQRT((1-$AB2333)*($E$6-$C$6)*($E$6-$D$6)))</f>
        <v/>
      </c>
      <c r="O2333" s="14">
        <f>_xlfn.NORM.INV($AC2333,$C$7,$D$7)</f>
        <v/>
      </c>
      <c r="P2333" s="14">
        <f>$C$8+($D$8-$C$8)*$AD2333</f>
        <v/>
      </c>
      <c r="Q2333" s="14">
        <f>$C$9</f>
        <v/>
      </c>
      <c r="R2333" s="14">
        <f>_xlfn.LOGNORM.INV($AF2333,LN($C$10)-0.5*LN(1+($D$10/$C$10)^2),SQRT(LN(1+($D$10/$C$10)^2)))</f>
        <v/>
      </c>
      <c r="S2333" s="14">
        <f>SUM(M2333:R2333)</f>
        <v/>
      </c>
      <c r="AA2333">
        <f>RAND()</f>
        <v/>
      </c>
      <c r="AB2333">
        <f>RAND()</f>
        <v/>
      </c>
      <c r="AC2333">
        <f>RAND()</f>
        <v/>
      </c>
      <c r="AD2333">
        <f>RAND()</f>
        <v/>
      </c>
      <c r="AE2333">
        <f>RAND()</f>
        <v/>
      </c>
      <c r="AF2333">
        <f>RAND()</f>
        <v/>
      </c>
    </row>
    <row r="2334">
      <c r="M2334" s="14">
        <f>_xlfn.BETA.INV($AA2334,1+4*($D$5-$C$5)/($E$5-$C$5),1+4*($E$5-$D$5)/($E$5-$C$5),$C$5,$E$5)</f>
        <v/>
      </c>
      <c r="N2334" s="14">
        <f>IF($AB2334&lt;($D$6-$C$6)/($E$6-$C$6),$C$6+SQRT($AB2334*($E$6-$C$6)*($D$6-$C$6)),$E$6-SQRT((1-$AB2334)*($E$6-$C$6)*($E$6-$D$6)))</f>
        <v/>
      </c>
      <c r="O2334" s="14">
        <f>_xlfn.NORM.INV($AC2334,$C$7,$D$7)</f>
        <v/>
      </c>
      <c r="P2334" s="14">
        <f>$C$8+($D$8-$C$8)*$AD2334</f>
        <v/>
      </c>
      <c r="Q2334" s="14">
        <f>$C$9</f>
        <v/>
      </c>
      <c r="R2334" s="14">
        <f>_xlfn.LOGNORM.INV($AF2334,LN($C$10)-0.5*LN(1+($D$10/$C$10)^2),SQRT(LN(1+($D$10/$C$10)^2)))</f>
        <v/>
      </c>
      <c r="S2334" s="14">
        <f>SUM(M2334:R2334)</f>
        <v/>
      </c>
      <c r="AA2334">
        <f>RAND()</f>
        <v/>
      </c>
      <c r="AB2334">
        <f>RAND()</f>
        <v/>
      </c>
      <c r="AC2334">
        <f>RAND()</f>
        <v/>
      </c>
      <c r="AD2334">
        <f>RAND()</f>
        <v/>
      </c>
      <c r="AE2334">
        <f>RAND()</f>
        <v/>
      </c>
      <c r="AF2334">
        <f>RAND()</f>
        <v/>
      </c>
    </row>
    <row r="2335">
      <c r="M2335" s="14">
        <f>_xlfn.BETA.INV($AA2335,1+4*($D$5-$C$5)/($E$5-$C$5),1+4*($E$5-$D$5)/($E$5-$C$5),$C$5,$E$5)</f>
        <v/>
      </c>
      <c r="N2335" s="14">
        <f>IF($AB2335&lt;($D$6-$C$6)/($E$6-$C$6),$C$6+SQRT($AB2335*($E$6-$C$6)*($D$6-$C$6)),$E$6-SQRT((1-$AB2335)*($E$6-$C$6)*($E$6-$D$6)))</f>
        <v/>
      </c>
      <c r="O2335" s="14">
        <f>_xlfn.NORM.INV($AC2335,$C$7,$D$7)</f>
        <v/>
      </c>
      <c r="P2335" s="14">
        <f>$C$8+($D$8-$C$8)*$AD2335</f>
        <v/>
      </c>
      <c r="Q2335" s="14">
        <f>$C$9</f>
        <v/>
      </c>
      <c r="R2335" s="14">
        <f>_xlfn.LOGNORM.INV($AF2335,LN($C$10)-0.5*LN(1+($D$10/$C$10)^2),SQRT(LN(1+($D$10/$C$10)^2)))</f>
        <v/>
      </c>
      <c r="S2335" s="14">
        <f>SUM(M2335:R2335)</f>
        <v/>
      </c>
      <c r="AA2335">
        <f>RAND()</f>
        <v/>
      </c>
      <c r="AB2335">
        <f>RAND()</f>
        <v/>
      </c>
      <c r="AC2335">
        <f>RAND()</f>
        <v/>
      </c>
      <c r="AD2335">
        <f>RAND()</f>
        <v/>
      </c>
      <c r="AE2335">
        <f>RAND()</f>
        <v/>
      </c>
      <c r="AF2335">
        <f>RAND()</f>
        <v/>
      </c>
    </row>
    <row r="2336">
      <c r="M2336" s="14">
        <f>_xlfn.BETA.INV($AA2336,1+4*($D$5-$C$5)/($E$5-$C$5),1+4*($E$5-$D$5)/($E$5-$C$5),$C$5,$E$5)</f>
        <v/>
      </c>
      <c r="N2336" s="14">
        <f>IF($AB2336&lt;($D$6-$C$6)/($E$6-$C$6),$C$6+SQRT($AB2336*($E$6-$C$6)*($D$6-$C$6)),$E$6-SQRT((1-$AB2336)*($E$6-$C$6)*($E$6-$D$6)))</f>
        <v/>
      </c>
      <c r="O2336" s="14">
        <f>_xlfn.NORM.INV($AC2336,$C$7,$D$7)</f>
        <v/>
      </c>
      <c r="P2336" s="14">
        <f>$C$8+($D$8-$C$8)*$AD2336</f>
        <v/>
      </c>
      <c r="Q2336" s="14">
        <f>$C$9</f>
        <v/>
      </c>
      <c r="R2336" s="14">
        <f>_xlfn.LOGNORM.INV($AF2336,LN($C$10)-0.5*LN(1+($D$10/$C$10)^2),SQRT(LN(1+($D$10/$C$10)^2)))</f>
        <v/>
      </c>
      <c r="S2336" s="14">
        <f>SUM(M2336:R2336)</f>
        <v/>
      </c>
      <c r="AA2336">
        <f>RAND()</f>
        <v/>
      </c>
      <c r="AB2336">
        <f>RAND()</f>
        <v/>
      </c>
      <c r="AC2336">
        <f>RAND()</f>
        <v/>
      </c>
      <c r="AD2336">
        <f>RAND()</f>
        <v/>
      </c>
      <c r="AE2336">
        <f>RAND()</f>
        <v/>
      </c>
      <c r="AF2336">
        <f>RAND()</f>
        <v/>
      </c>
    </row>
    <row r="2337">
      <c r="M2337" s="14">
        <f>_xlfn.BETA.INV($AA2337,1+4*($D$5-$C$5)/($E$5-$C$5),1+4*($E$5-$D$5)/($E$5-$C$5),$C$5,$E$5)</f>
        <v/>
      </c>
      <c r="N2337" s="14">
        <f>IF($AB2337&lt;($D$6-$C$6)/($E$6-$C$6),$C$6+SQRT($AB2337*($E$6-$C$6)*($D$6-$C$6)),$E$6-SQRT((1-$AB2337)*($E$6-$C$6)*($E$6-$D$6)))</f>
        <v/>
      </c>
      <c r="O2337" s="14">
        <f>_xlfn.NORM.INV($AC2337,$C$7,$D$7)</f>
        <v/>
      </c>
      <c r="P2337" s="14">
        <f>$C$8+($D$8-$C$8)*$AD2337</f>
        <v/>
      </c>
      <c r="Q2337" s="14">
        <f>$C$9</f>
        <v/>
      </c>
      <c r="R2337" s="14">
        <f>_xlfn.LOGNORM.INV($AF2337,LN($C$10)-0.5*LN(1+($D$10/$C$10)^2),SQRT(LN(1+($D$10/$C$10)^2)))</f>
        <v/>
      </c>
      <c r="S2337" s="14">
        <f>SUM(M2337:R2337)</f>
        <v/>
      </c>
      <c r="AA2337">
        <f>RAND()</f>
        <v/>
      </c>
      <c r="AB2337">
        <f>RAND()</f>
        <v/>
      </c>
      <c r="AC2337">
        <f>RAND()</f>
        <v/>
      </c>
      <c r="AD2337">
        <f>RAND()</f>
        <v/>
      </c>
      <c r="AE2337">
        <f>RAND()</f>
        <v/>
      </c>
      <c r="AF2337">
        <f>RAND()</f>
        <v/>
      </c>
    </row>
    <row r="2338">
      <c r="M2338" s="14">
        <f>_xlfn.BETA.INV($AA2338,1+4*($D$5-$C$5)/($E$5-$C$5),1+4*($E$5-$D$5)/($E$5-$C$5),$C$5,$E$5)</f>
        <v/>
      </c>
      <c r="N2338" s="14">
        <f>IF($AB2338&lt;($D$6-$C$6)/($E$6-$C$6),$C$6+SQRT($AB2338*($E$6-$C$6)*($D$6-$C$6)),$E$6-SQRT((1-$AB2338)*($E$6-$C$6)*($E$6-$D$6)))</f>
        <v/>
      </c>
      <c r="O2338" s="14">
        <f>_xlfn.NORM.INV($AC2338,$C$7,$D$7)</f>
        <v/>
      </c>
      <c r="P2338" s="14">
        <f>$C$8+($D$8-$C$8)*$AD2338</f>
        <v/>
      </c>
      <c r="Q2338" s="14">
        <f>$C$9</f>
        <v/>
      </c>
      <c r="R2338" s="14">
        <f>_xlfn.LOGNORM.INV($AF2338,LN($C$10)-0.5*LN(1+($D$10/$C$10)^2),SQRT(LN(1+($D$10/$C$10)^2)))</f>
        <v/>
      </c>
      <c r="S2338" s="14">
        <f>SUM(M2338:R2338)</f>
        <v/>
      </c>
      <c r="AA2338">
        <f>RAND()</f>
        <v/>
      </c>
      <c r="AB2338">
        <f>RAND()</f>
        <v/>
      </c>
      <c r="AC2338">
        <f>RAND()</f>
        <v/>
      </c>
      <c r="AD2338">
        <f>RAND()</f>
        <v/>
      </c>
      <c r="AE2338">
        <f>RAND()</f>
        <v/>
      </c>
      <c r="AF2338">
        <f>RAND()</f>
        <v/>
      </c>
    </row>
    <row r="2339">
      <c r="M2339" s="14">
        <f>_xlfn.BETA.INV($AA2339,1+4*($D$5-$C$5)/($E$5-$C$5),1+4*($E$5-$D$5)/($E$5-$C$5),$C$5,$E$5)</f>
        <v/>
      </c>
      <c r="N2339" s="14">
        <f>IF($AB2339&lt;($D$6-$C$6)/($E$6-$C$6),$C$6+SQRT($AB2339*($E$6-$C$6)*($D$6-$C$6)),$E$6-SQRT((1-$AB2339)*($E$6-$C$6)*($E$6-$D$6)))</f>
        <v/>
      </c>
      <c r="O2339" s="14">
        <f>_xlfn.NORM.INV($AC2339,$C$7,$D$7)</f>
        <v/>
      </c>
      <c r="P2339" s="14">
        <f>$C$8+($D$8-$C$8)*$AD2339</f>
        <v/>
      </c>
      <c r="Q2339" s="14">
        <f>$C$9</f>
        <v/>
      </c>
      <c r="R2339" s="14">
        <f>_xlfn.LOGNORM.INV($AF2339,LN($C$10)-0.5*LN(1+($D$10/$C$10)^2),SQRT(LN(1+($D$10/$C$10)^2)))</f>
        <v/>
      </c>
      <c r="S2339" s="14">
        <f>SUM(M2339:R2339)</f>
        <v/>
      </c>
      <c r="AA2339">
        <f>RAND()</f>
        <v/>
      </c>
      <c r="AB2339">
        <f>RAND()</f>
        <v/>
      </c>
      <c r="AC2339">
        <f>RAND()</f>
        <v/>
      </c>
      <c r="AD2339">
        <f>RAND()</f>
        <v/>
      </c>
      <c r="AE2339">
        <f>RAND()</f>
        <v/>
      </c>
      <c r="AF2339">
        <f>RAND()</f>
        <v/>
      </c>
    </row>
    <row r="2340">
      <c r="M2340" s="14">
        <f>_xlfn.BETA.INV($AA2340,1+4*($D$5-$C$5)/($E$5-$C$5),1+4*($E$5-$D$5)/($E$5-$C$5),$C$5,$E$5)</f>
        <v/>
      </c>
      <c r="N2340" s="14">
        <f>IF($AB2340&lt;($D$6-$C$6)/($E$6-$C$6),$C$6+SQRT($AB2340*($E$6-$C$6)*($D$6-$C$6)),$E$6-SQRT((1-$AB2340)*($E$6-$C$6)*($E$6-$D$6)))</f>
        <v/>
      </c>
      <c r="O2340" s="14">
        <f>_xlfn.NORM.INV($AC2340,$C$7,$D$7)</f>
        <v/>
      </c>
      <c r="P2340" s="14">
        <f>$C$8+($D$8-$C$8)*$AD2340</f>
        <v/>
      </c>
      <c r="Q2340" s="14">
        <f>$C$9</f>
        <v/>
      </c>
      <c r="R2340" s="14">
        <f>_xlfn.LOGNORM.INV($AF2340,LN($C$10)-0.5*LN(1+($D$10/$C$10)^2),SQRT(LN(1+($D$10/$C$10)^2)))</f>
        <v/>
      </c>
      <c r="S2340" s="14">
        <f>SUM(M2340:R2340)</f>
        <v/>
      </c>
      <c r="AA2340">
        <f>RAND()</f>
        <v/>
      </c>
      <c r="AB2340">
        <f>RAND()</f>
        <v/>
      </c>
      <c r="AC2340">
        <f>RAND()</f>
        <v/>
      </c>
      <c r="AD2340">
        <f>RAND()</f>
        <v/>
      </c>
      <c r="AE2340">
        <f>RAND()</f>
        <v/>
      </c>
      <c r="AF2340">
        <f>RAND()</f>
        <v/>
      </c>
    </row>
    <row r="2341">
      <c r="M2341" s="14">
        <f>_xlfn.BETA.INV($AA2341,1+4*($D$5-$C$5)/($E$5-$C$5),1+4*($E$5-$D$5)/($E$5-$C$5),$C$5,$E$5)</f>
        <v/>
      </c>
      <c r="N2341" s="14">
        <f>IF($AB2341&lt;($D$6-$C$6)/($E$6-$C$6),$C$6+SQRT($AB2341*($E$6-$C$6)*($D$6-$C$6)),$E$6-SQRT((1-$AB2341)*($E$6-$C$6)*($E$6-$D$6)))</f>
        <v/>
      </c>
      <c r="O2341" s="14">
        <f>_xlfn.NORM.INV($AC2341,$C$7,$D$7)</f>
        <v/>
      </c>
      <c r="P2341" s="14">
        <f>$C$8+($D$8-$C$8)*$AD2341</f>
        <v/>
      </c>
      <c r="Q2341" s="14">
        <f>$C$9</f>
        <v/>
      </c>
      <c r="R2341" s="14">
        <f>_xlfn.LOGNORM.INV($AF2341,LN($C$10)-0.5*LN(1+($D$10/$C$10)^2),SQRT(LN(1+($D$10/$C$10)^2)))</f>
        <v/>
      </c>
      <c r="S2341" s="14">
        <f>SUM(M2341:R2341)</f>
        <v/>
      </c>
      <c r="AA2341">
        <f>RAND()</f>
        <v/>
      </c>
      <c r="AB2341">
        <f>RAND()</f>
        <v/>
      </c>
      <c r="AC2341">
        <f>RAND()</f>
        <v/>
      </c>
      <c r="AD2341">
        <f>RAND()</f>
        <v/>
      </c>
      <c r="AE2341">
        <f>RAND()</f>
        <v/>
      </c>
      <c r="AF2341">
        <f>RAND()</f>
        <v/>
      </c>
    </row>
    <row r="2342">
      <c r="M2342" s="14">
        <f>_xlfn.BETA.INV($AA2342,1+4*($D$5-$C$5)/($E$5-$C$5),1+4*($E$5-$D$5)/($E$5-$C$5),$C$5,$E$5)</f>
        <v/>
      </c>
      <c r="N2342" s="14">
        <f>IF($AB2342&lt;($D$6-$C$6)/($E$6-$C$6),$C$6+SQRT($AB2342*($E$6-$C$6)*($D$6-$C$6)),$E$6-SQRT((1-$AB2342)*($E$6-$C$6)*($E$6-$D$6)))</f>
        <v/>
      </c>
      <c r="O2342" s="14">
        <f>_xlfn.NORM.INV($AC2342,$C$7,$D$7)</f>
        <v/>
      </c>
      <c r="P2342" s="14">
        <f>$C$8+($D$8-$C$8)*$AD2342</f>
        <v/>
      </c>
      <c r="Q2342" s="14">
        <f>$C$9</f>
        <v/>
      </c>
      <c r="R2342" s="14">
        <f>_xlfn.LOGNORM.INV($AF2342,LN($C$10)-0.5*LN(1+($D$10/$C$10)^2),SQRT(LN(1+($D$10/$C$10)^2)))</f>
        <v/>
      </c>
      <c r="S2342" s="14">
        <f>SUM(M2342:R2342)</f>
        <v/>
      </c>
      <c r="AA2342">
        <f>RAND()</f>
        <v/>
      </c>
      <c r="AB2342">
        <f>RAND()</f>
        <v/>
      </c>
      <c r="AC2342">
        <f>RAND()</f>
        <v/>
      </c>
      <c r="AD2342">
        <f>RAND()</f>
        <v/>
      </c>
      <c r="AE2342">
        <f>RAND()</f>
        <v/>
      </c>
      <c r="AF2342">
        <f>RAND()</f>
        <v/>
      </c>
    </row>
    <row r="2343">
      <c r="M2343" s="14">
        <f>_xlfn.BETA.INV($AA2343,1+4*($D$5-$C$5)/($E$5-$C$5),1+4*($E$5-$D$5)/($E$5-$C$5),$C$5,$E$5)</f>
        <v/>
      </c>
      <c r="N2343" s="14">
        <f>IF($AB2343&lt;($D$6-$C$6)/($E$6-$C$6),$C$6+SQRT($AB2343*($E$6-$C$6)*($D$6-$C$6)),$E$6-SQRT((1-$AB2343)*($E$6-$C$6)*($E$6-$D$6)))</f>
        <v/>
      </c>
      <c r="O2343" s="14">
        <f>_xlfn.NORM.INV($AC2343,$C$7,$D$7)</f>
        <v/>
      </c>
      <c r="P2343" s="14">
        <f>$C$8+($D$8-$C$8)*$AD2343</f>
        <v/>
      </c>
      <c r="Q2343" s="14">
        <f>$C$9</f>
        <v/>
      </c>
      <c r="R2343" s="14">
        <f>_xlfn.LOGNORM.INV($AF2343,LN($C$10)-0.5*LN(1+($D$10/$C$10)^2),SQRT(LN(1+($D$10/$C$10)^2)))</f>
        <v/>
      </c>
      <c r="S2343" s="14">
        <f>SUM(M2343:R2343)</f>
        <v/>
      </c>
      <c r="AA2343">
        <f>RAND()</f>
        <v/>
      </c>
      <c r="AB2343">
        <f>RAND()</f>
        <v/>
      </c>
      <c r="AC2343">
        <f>RAND()</f>
        <v/>
      </c>
      <c r="AD2343">
        <f>RAND()</f>
        <v/>
      </c>
      <c r="AE2343">
        <f>RAND()</f>
        <v/>
      </c>
      <c r="AF2343">
        <f>RAND()</f>
        <v/>
      </c>
    </row>
    <row r="2344">
      <c r="M2344" s="14">
        <f>_xlfn.BETA.INV($AA2344,1+4*($D$5-$C$5)/($E$5-$C$5),1+4*($E$5-$D$5)/($E$5-$C$5),$C$5,$E$5)</f>
        <v/>
      </c>
      <c r="N2344" s="14">
        <f>IF($AB2344&lt;($D$6-$C$6)/($E$6-$C$6),$C$6+SQRT($AB2344*($E$6-$C$6)*($D$6-$C$6)),$E$6-SQRT((1-$AB2344)*($E$6-$C$6)*($E$6-$D$6)))</f>
        <v/>
      </c>
      <c r="O2344" s="14">
        <f>_xlfn.NORM.INV($AC2344,$C$7,$D$7)</f>
        <v/>
      </c>
      <c r="P2344" s="14">
        <f>$C$8+($D$8-$C$8)*$AD2344</f>
        <v/>
      </c>
      <c r="Q2344" s="14">
        <f>$C$9</f>
        <v/>
      </c>
      <c r="R2344" s="14">
        <f>_xlfn.LOGNORM.INV($AF2344,LN($C$10)-0.5*LN(1+($D$10/$C$10)^2),SQRT(LN(1+($D$10/$C$10)^2)))</f>
        <v/>
      </c>
      <c r="S2344" s="14">
        <f>SUM(M2344:R2344)</f>
        <v/>
      </c>
      <c r="AA2344">
        <f>RAND()</f>
        <v/>
      </c>
      <c r="AB2344">
        <f>RAND()</f>
        <v/>
      </c>
      <c r="AC2344">
        <f>RAND()</f>
        <v/>
      </c>
      <c r="AD2344">
        <f>RAND()</f>
        <v/>
      </c>
      <c r="AE2344">
        <f>RAND()</f>
        <v/>
      </c>
      <c r="AF2344">
        <f>RAND()</f>
        <v/>
      </c>
    </row>
    <row r="2345">
      <c r="M2345" s="14">
        <f>_xlfn.BETA.INV($AA2345,1+4*($D$5-$C$5)/($E$5-$C$5),1+4*($E$5-$D$5)/($E$5-$C$5),$C$5,$E$5)</f>
        <v/>
      </c>
      <c r="N2345" s="14">
        <f>IF($AB2345&lt;($D$6-$C$6)/($E$6-$C$6),$C$6+SQRT($AB2345*($E$6-$C$6)*($D$6-$C$6)),$E$6-SQRT((1-$AB2345)*($E$6-$C$6)*($E$6-$D$6)))</f>
        <v/>
      </c>
      <c r="O2345" s="14">
        <f>_xlfn.NORM.INV($AC2345,$C$7,$D$7)</f>
        <v/>
      </c>
      <c r="P2345" s="14">
        <f>$C$8+($D$8-$C$8)*$AD2345</f>
        <v/>
      </c>
      <c r="Q2345" s="14">
        <f>$C$9</f>
        <v/>
      </c>
      <c r="R2345" s="14">
        <f>_xlfn.LOGNORM.INV($AF2345,LN($C$10)-0.5*LN(1+($D$10/$C$10)^2),SQRT(LN(1+($D$10/$C$10)^2)))</f>
        <v/>
      </c>
      <c r="S2345" s="14">
        <f>SUM(M2345:R2345)</f>
        <v/>
      </c>
      <c r="AA2345">
        <f>RAND()</f>
        <v/>
      </c>
      <c r="AB2345">
        <f>RAND()</f>
        <v/>
      </c>
      <c r="AC2345">
        <f>RAND()</f>
        <v/>
      </c>
      <c r="AD2345">
        <f>RAND()</f>
        <v/>
      </c>
      <c r="AE2345">
        <f>RAND()</f>
        <v/>
      </c>
      <c r="AF2345">
        <f>RAND()</f>
        <v/>
      </c>
    </row>
    <row r="2346">
      <c r="M2346" s="14">
        <f>_xlfn.BETA.INV($AA2346,1+4*($D$5-$C$5)/($E$5-$C$5),1+4*($E$5-$D$5)/($E$5-$C$5),$C$5,$E$5)</f>
        <v/>
      </c>
      <c r="N2346" s="14">
        <f>IF($AB2346&lt;($D$6-$C$6)/($E$6-$C$6),$C$6+SQRT($AB2346*($E$6-$C$6)*($D$6-$C$6)),$E$6-SQRT((1-$AB2346)*($E$6-$C$6)*($E$6-$D$6)))</f>
        <v/>
      </c>
      <c r="O2346" s="14">
        <f>_xlfn.NORM.INV($AC2346,$C$7,$D$7)</f>
        <v/>
      </c>
      <c r="P2346" s="14">
        <f>$C$8+($D$8-$C$8)*$AD2346</f>
        <v/>
      </c>
      <c r="Q2346" s="14">
        <f>$C$9</f>
        <v/>
      </c>
      <c r="R2346" s="14">
        <f>_xlfn.LOGNORM.INV($AF2346,LN($C$10)-0.5*LN(1+($D$10/$C$10)^2),SQRT(LN(1+($D$10/$C$10)^2)))</f>
        <v/>
      </c>
      <c r="S2346" s="14">
        <f>SUM(M2346:R2346)</f>
        <v/>
      </c>
      <c r="AA2346">
        <f>RAND()</f>
        <v/>
      </c>
      <c r="AB2346">
        <f>RAND()</f>
        <v/>
      </c>
      <c r="AC2346">
        <f>RAND()</f>
        <v/>
      </c>
      <c r="AD2346">
        <f>RAND()</f>
        <v/>
      </c>
      <c r="AE2346">
        <f>RAND()</f>
        <v/>
      </c>
      <c r="AF2346">
        <f>RAND()</f>
        <v/>
      </c>
    </row>
    <row r="2347">
      <c r="M2347" s="14">
        <f>_xlfn.BETA.INV($AA2347,1+4*($D$5-$C$5)/($E$5-$C$5),1+4*($E$5-$D$5)/($E$5-$C$5),$C$5,$E$5)</f>
        <v/>
      </c>
      <c r="N2347" s="14">
        <f>IF($AB2347&lt;($D$6-$C$6)/($E$6-$C$6),$C$6+SQRT($AB2347*($E$6-$C$6)*($D$6-$C$6)),$E$6-SQRT((1-$AB2347)*($E$6-$C$6)*($E$6-$D$6)))</f>
        <v/>
      </c>
      <c r="O2347" s="14">
        <f>_xlfn.NORM.INV($AC2347,$C$7,$D$7)</f>
        <v/>
      </c>
      <c r="P2347" s="14">
        <f>$C$8+($D$8-$C$8)*$AD2347</f>
        <v/>
      </c>
      <c r="Q2347" s="14">
        <f>$C$9</f>
        <v/>
      </c>
      <c r="R2347" s="14">
        <f>_xlfn.LOGNORM.INV($AF2347,LN($C$10)-0.5*LN(1+($D$10/$C$10)^2),SQRT(LN(1+($D$10/$C$10)^2)))</f>
        <v/>
      </c>
      <c r="S2347" s="14">
        <f>SUM(M2347:R2347)</f>
        <v/>
      </c>
      <c r="AA2347">
        <f>RAND()</f>
        <v/>
      </c>
      <c r="AB2347">
        <f>RAND()</f>
        <v/>
      </c>
      <c r="AC2347">
        <f>RAND()</f>
        <v/>
      </c>
      <c r="AD2347">
        <f>RAND()</f>
        <v/>
      </c>
      <c r="AE2347">
        <f>RAND()</f>
        <v/>
      </c>
      <c r="AF2347">
        <f>RAND()</f>
        <v/>
      </c>
    </row>
    <row r="2348">
      <c r="M2348" s="14">
        <f>_xlfn.BETA.INV($AA2348,1+4*($D$5-$C$5)/($E$5-$C$5),1+4*($E$5-$D$5)/($E$5-$C$5),$C$5,$E$5)</f>
        <v/>
      </c>
      <c r="N2348" s="14">
        <f>IF($AB2348&lt;($D$6-$C$6)/($E$6-$C$6),$C$6+SQRT($AB2348*($E$6-$C$6)*($D$6-$C$6)),$E$6-SQRT((1-$AB2348)*($E$6-$C$6)*($E$6-$D$6)))</f>
        <v/>
      </c>
      <c r="O2348" s="14">
        <f>_xlfn.NORM.INV($AC2348,$C$7,$D$7)</f>
        <v/>
      </c>
      <c r="P2348" s="14">
        <f>$C$8+($D$8-$C$8)*$AD2348</f>
        <v/>
      </c>
      <c r="Q2348" s="14">
        <f>$C$9</f>
        <v/>
      </c>
      <c r="R2348" s="14">
        <f>_xlfn.LOGNORM.INV($AF2348,LN($C$10)-0.5*LN(1+($D$10/$C$10)^2),SQRT(LN(1+($D$10/$C$10)^2)))</f>
        <v/>
      </c>
      <c r="S2348" s="14">
        <f>SUM(M2348:R2348)</f>
        <v/>
      </c>
      <c r="AA2348">
        <f>RAND()</f>
        <v/>
      </c>
      <c r="AB2348">
        <f>RAND()</f>
        <v/>
      </c>
      <c r="AC2348">
        <f>RAND()</f>
        <v/>
      </c>
      <c r="AD2348">
        <f>RAND()</f>
        <v/>
      </c>
      <c r="AE2348">
        <f>RAND()</f>
        <v/>
      </c>
      <c r="AF2348">
        <f>RAND()</f>
        <v/>
      </c>
    </row>
    <row r="2349">
      <c r="M2349" s="14">
        <f>_xlfn.BETA.INV($AA2349,1+4*($D$5-$C$5)/($E$5-$C$5),1+4*($E$5-$D$5)/($E$5-$C$5),$C$5,$E$5)</f>
        <v/>
      </c>
      <c r="N2349" s="14">
        <f>IF($AB2349&lt;($D$6-$C$6)/($E$6-$C$6),$C$6+SQRT($AB2349*($E$6-$C$6)*($D$6-$C$6)),$E$6-SQRT((1-$AB2349)*($E$6-$C$6)*($E$6-$D$6)))</f>
        <v/>
      </c>
      <c r="O2349" s="14">
        <f>_xlfn.NORM.INV($AC2349,$C$7,$D$7)</f>
        <v/>
      </c>
      <c r="P2349" s="14">
        <f>$C$8+($D$8-$C$8)*$AD2349</f>
        <v/>
      </c>
      <c r="Q2349" s="14">
        <f>$C$9</f>
        <v/>
      </c>
      <c r="R2349" s="14">
        <f>_xlfn.LOGNORM.INV($AF2349,LN($C$10)-0.5*LN(1+($D$10/$C$10)^2),SQRT(LN(1+($D$10/$C$10)^2)))</f>
        <v/>
      </c>
      <c r="S2349" s="14">
        <f>SUM(M2349:R2349)</f>
        <v/>
      </c>
      <c r="AA2349">
        <f>RAND()</f>
        <v/>
      </c>
      <c r="AB2349">
        <f>RAND()</f>
        <v/>
      </c>
      <c r="AC2349">
        <f>RAND()</f>
        <v/>
      </c>
      <c r="AD2349">
        <f>RAND()</f>
        <v/>
      </c>
      <c r="AE2349">
        <f>RAND()</f>
        <v/>
      </c>
      <c r="AF2349">
        <f>RAND()</f>
        <v/>
      </c>
    </row>
    <row r="2350">
      <c r="M2350" s="14">
        <f>_xlfn.BETA.INV($AA2350,1+4*($D$5-$C$5)/($E$5-$C$5),1+4*($E$5-$D$5)/($E$5-$C$5),$C$5,$E$5)</f>
        <v/>
      </c>
      <c r="N2350" s="14">
        <f>IF($AB2350&lt;($D$6-$C$6)/($E$6-$C$6),$C$6+SQRT($AB2350*($E$6-$C$6)*($D$6-$C$6)),$E$6-SQRT((1-$AB2350)*($E$6-$C$6)*($E$6-$D$6)))</f>
        <v/>
      </c>
      <c r="O2350" s="14">
        <f>_xlfn.NORM.INV($AC2350,$C$7,$D$7)</f>
        <v/>
      </c>
      <c r="P2350" s="14">
        <f>$C$8+($D$8-$C$8)*$AD2350</f>
        <v/>
      </c>
      <c r="Q2350" s="14">
        <f>$C$9</f>
        <v/>
      </c>
      <c r="R2350" s="14">
        <f>_xlfn.LOGNORM.INV($AF2350,LN($C$10)-0.5*LN(1+($D$10/$C$10)^2),SQRT(LN(1+($D$10/$C$10)^2)))</f>
        <v/>
      </c>
      <c r="S2350" s="14">
        <f>SUM(M2350:R2350)</f>
        <v/>
      </c>
      <c r="AA2350">
        <f>RAND()</f>
        <v/>
      </c>
      <c r="AB2350">
        <f>RAND()</f>
        <v/>
      </c>
      <c r="AC2350">
        <f>RAND()</f>
        <v/>
      </c>
      <c r="AD2350">
        <f>RAND()</f>
        <v/>
      </c>
      <c r="AE2350">
        <f>RAND()</f>
        <v/>
      </c>
      <c r="AF2350">
        <f>RAND()</f>
        <v/>
      </c>
    </row>
    <row r="2351">
      <c r="M2351" s="14">
        <f>_xlfn.BETA.INV($AA2351,1+4*($D$5-$C$5)/($E$5-$C$5),1+4*($E$5-$D$5)/($E$5-$C$5),$C$5,$E$5)</f>
        <v/>
      </c>
      <c r="N2351" s="14">
        <f>IF($AB2351&lt;($D$6-$C$6)/($E$6-$C$6),$C$6+SQRT($AB2351*($E$6-$C$6)*($D$6-$C$6)),$E$6-SQRT((1-$AB2351)*($E$6-$C$6)*($E$6-$D$6)))</f>
        <v/>
      </c>
      <c r="O2351" s="14">
        <f>_xlfn.NORM.INV($AC2351,$C$7,$D$7)</f>
        <v/>
      </c>
      <c r="P2351" s="14">
        <f>$C$8+($D$8-$C$8)*$AD2351</f>
        <v/>
      </c>
      <c r="Q2351" s="14">
        <f>$C$9</f>
        <v/>
      </c>
      <c r="R2351" s="14">
        <f>_xlfn.LOGNORM.INV($AF2351,LN($C$10)-0.5*LN(1+($D$10/$C$10)^2),SQRT(LN(1+($D$10/$C$10)^2)))</f>
        <v/>
      </c>
      <c r="S2351" s="14">
        <f>SUM(M2351:R2351)</f>
        <v/>
      </c>
      <c r="AA2351">
        <f>RAND()</f>
        <v/>
      </c>
      <c r="AB2351">
        <f>RAND()</f>
        <v/>
      </c>
      <c r="AC2351">
        <f>RAND()</f>
        <v/>
      </c>
      <c r="AD2351">
        <f>RAND()</f>
        <v/>
      </c>
      <c r="AE2351">
        <f>RAND()</f>
        <v/>
      </c>
      <c r="AF2351">
        <f>RAND()</f>
        <v/>
      </c>
    </row>
    <row r="2352">
      <c r="M2352" s="14">
        <f>_xlfn.BETA.INV($AA2352,1+4*($D$5-$C$5)/($E$5-$C$5),1+4*($E$5-$D$5)/($E$5-$C$5),$C$5,$E$5)</f>
        <v/>
      </c>
      <c r="N2352" s="14">
        <f>IF($AB2352&lt;($D$6-$C$6)/($E$6-$C$6),$C$6+SQRT($AB2352*($E$6-$C$6)*($D$6-$C$6)),$E$6-SQRT((1-$AB2352)*($E$6-$C$6)*($E$6-$D$6)))</f>
        <v/>
      </c>
      <c r="O2352" s="14">
        <f>_xlfn.NORM.INV($AC2352,$C$7,$D$7)</f>
        <v/>
      </c>
      <c r="P2352" s="14">
        <f>$C$8+($D$8-$C$8)*$AD2352</f>
        <v/>
      </c>
      <c r="Q2352" s="14">
        <f>$C$9</f>
        <v/>
      </c>
      <c r="R2352" s="14">
        <f>_xlfn.LOGNORM.INV($AF2352,LN($C$10)-0.5*LN(1+($D$10/$C$10)^2),SQRT(LN(1+($D$10/$C$10)^2)))</f>
        <v/>
      </c>
      <c r="S2352" s="14">
        <f>SUM(M2352:R2352)</f>
        <v/>
      </c>
      <c r="AA2352">
        <f>RAND()</f>
        <v/>
      </c>
      <c r="AB2352">
        <f>RAND()</f>
        <v/>
      </c>
      <c r="AC2352">
        <f>RAND()</f>
        <v/>
      </c>
      <c r="AD2352">
        <f>RAND()</f>
        <v/>
      </c>
      <c r="AE2352">
        <f>RAND()</f>
        <v/>
      </c>
      <c r="AF2352">
        <f>RAND()</f>
        <v/>
      </c>
    </row>
    <row r="2353">
      <c r="M2353" s="14">
        <f>_xlfn.BETA.INV($AA2353,1+4*($D$5-$C$5)/($E$5-$C$5),1+4*($E$5-$D$5)/($E$5-$C$5),$C$5,$E$5)</f>
        <v/>
      </c>
      <c r="N2353" s="14">
        <f>IF($AB2353&lt;($D$6-$C$6)/($E$6-$C$6),$C$6+SQRT($AB2353*($E$6-$C$6)*($D$6-$C$6)),$E$6-SQRT((1-$AB2353)*($E$6-$C$6)*($E$6-$D$6)))</f>
        <v/>
      </c>
      <c r="O2353" s="14">
        <f>_xlfn.NORM.INV($AC2353,$C$7,$D$7)</f>
        <v/>
      </c>
      <c r="P2353" s="14">
        <f>$C$8+($D$8-$C$8)*$AD2353</f>
        <v/>
      </c>
      <c r="Q2353" s="14">
        <f>$C$9</f>
        <v/>
      </c>
      <c r="R2353" s="14">
        <f>_xlfn.LOGNORM.INV($AF2353,LN($C$10)-0.5*LN(1+($D$10/$C$10)^2),SQRT(LN(1+($D$10/$C$10)^2)))</f>
        <v/>
      </c>
      <c r="S2353" s="14">
        <f>SUM(M2353:R2353)</f>
        <v/>
      </c>
      <c r="AA2353">
        <f>RAND()</f>
        <v/>
      </c>
      <c r="AB2353">
        <f>RAND()</f>
        <v/>
      </c>
      <c r="AC2353">
        <f>RAND()</f>
        <v/>
      </c>
      <c r="AD2353">
        <f>RAND()</f>
        <v/>
      </c>
      <c r="AE2353">
        <f>RAND()</f>
        <v/>
      </c>
      <c r="AF2353">
        <f>RAND()</f>
        <v/>
      </c>
    </row>
    <row r="2354">
      <c r="M2354" s="14">
        <f>_xlfn.BETA.INV($AA2354,1+4*($D$5-$C$5)/($E$5-$C$5),1+4*($E$5-$D$5)/($E$5-$C$5),$C$5,$E$5)</f>
        <v/>
      </c>
      <c r="N2354" s="14">
        <f>IF($AB2354&lt;($D$6-$C$6)/($E$6-$C$6),$C$6+SQRT($AB2354*($E$6-$C$6)*($D$6-$C$6)),$E$6-SQRT((1-$AB2354)*($E$6-$C$6)*($E$6-$D$6)))</f>
        <v/>
      </c>
      <c r="O2354" s="14">
        <f>_xlfn.NORM.INV($AC2354,$C$7,$D$7)</f>
        <v/>
      </c>
      <c r="P2354" s="14">
        <f>$C$8+($D$8-$C$8)*$AD2354</f>
        <v/>
      </c>
      <c r="Q2354" s="14">
        <f>$C$9</f>
        <v/>
      </c>
      <c r="R2354" s="14">
        <f>_xlfn.LOGNORM.INV($AF2354,LN($C$10)-0.5*LN(1+($D$10/$C$10)^2),SQRT(LN(1+($D$10/$C$10)^2)))</f>
        <v/>
      </c>
      <c r="S2354" s="14">
        <f>SUM(M2354:R2354)</f>
        <v/>
      </c>
      <c r="AA2354">
        <f>RAND()</f>
        <v/>
      </c>
      <c r="AB2354">
        <f>RAND()</f>
        <v/>
      </c>
      <c r="AC2354">
        <f>RAND()</f>
        <v/>
      </c>
      <c r="AD2354">
        <f>RAND()</f>
        <v/>
      </c>
      <c r="AE2354">
        <f>RAND()</f>
        <v/>
      </c>
      <c r="AF2354">
        <f>RAND()</f>
        <v/>
      </c>
    </row>
    <row r="2355">
      <c r="M2355" s="14">
        <f>_xlfn.BETA.INV($AA2355,1+4*($D$5-$C$5)/($E$5-$C$5),1+4*($E$5-$D$5)/($E$5-$C$5),$C$5,$E$5)</f>
        <v/>
      </c>
      <c r="N2355" s="14">
        <f>IF($AB2355&lt;($D$6-$C$6)/($E$6-$C$6),$C$6+SQRT($AB2355*($E$6-$C$6)*($D$6-$C$6)),$E$6-SQRT((1-$AB2355)*($E$6-$C$6)*($E$6-$D$6)))</f>
        <v/>
      </c>
      <c r="O2355" s="14">
        <f>_xlfn.NORM.INV($AC2355,$C$7,$D$7)</f>
        <v/>
      </c>
      <c r="P2355" s="14">
        <f>$C$8+($D$8-$C$8)*$AD2355</f>
        <v/>
      </c>
      <c r="Q2355" s="14">
        <f>$C$9</f>
        <v/>
      </c>
      <c r="R2355" s="14">
        <f>_xlfn.LOGNORM.INV($AF2355,LN($C$10)-0.5*LN(1+($D$10/$C$10)^2),SQRT(LN(1+($D$10/$C$10)^2)))</f>
        <v/>
      </c>
      <c r="S2355" s="14">
        <f>SUM(M2355:R2355)</f>
        <v/>
      </c>
      <c r="AA2355">
        <f>RAND()</f>
        <v/>
      </c>
      <c r="AB2355">
        <f>RAND()</f>
        <v/>
      </c>
      <c r="AC2355">
        <f>RAND()</f>
        <v/>
      </c>
      <c r="AD2355">
        <f>RAND()</f>
        <v/>
      </c>
      <c r="AE2355">
        <f>RAND()</f>
        <v/>
      </c>
      <c r="AF2355">
        <f>RAND()</f>
        <v/>
      </c>
    </row>
    <row r="2356">
      <c r="M2356" s="14">
        <f>_xlfn.BETA.INV($AA2356,1+4*($D$5-$C$5)/($E$5-$C$5),1+4*($E$5-$D$5)/($E$5-$C$5),$C$5,$E$5)</f>
        <v/>
      </c>
      <c r="N2356" s="14">
        <f>IF($AB2356&lt;($D$6-$C$6)/($E$6-$C$6),$C$6+SQRT($AB2356*($E$6-$C$6)*($D$6-$C$6)),$E$6-SQRT((1-$AB2356)*($E$6-$C$6)*($E$6-$D$6)))</f>
        <v/>
      </c>
      <c r="O2356" s="14">
        <f>_xlfn.NORM.INV($AC2356,$C$7,$D$7)</f>
        <v/>
      </c>
      <c r="P2356" s="14">
        <f>$C$8+($D$8-$C$8)*$AD2356</f>
        <v/>
      </c>
      <c r="Q2356" s="14">
        <f>$C$9</f>
        <v/>
      </c>
      <c r="R2356" s="14">
        <f>_xlfn.LOGNORM.INV($AF2356,LN($C$10)-0.5*LN(1+($D$10/$C$10)^2),SQRT(LN(1+($D$10/$C$10)^2)))</f>
        <v/>
      </c>
      <c r="S2356" s="14">
        <f>SUM(M2356:R2356)</f>
        <v/>
      </c>
      <c r="AA2356">
        <f>RAND()</f>
        <v/>
      </c>
      <c r="AB2356">
        <f>RAND()</f>
        <v/>
      </c>
      <c r="AC2356">
        <f>RAND()</f>
        <v/>
      </c>
      <c r="AD2356">
        <f>RAND()</f>
        <v/>
      </c>
      <c r="AE2356">
        <f>RAND()</f>
        <v/>
      </c>
      <c r="AF2356">
        <f>RAND()</f>
        <v/>
      </c>
    </row>
    <row r="2357">
      <c r="M2357" s="14">
        <f>_xlfn.BETA.INV($AA2357,1+4*($D$5-$C$5)/($E$5-$C$5),1+4*($E$5-$D$5)/($E$5-$C$5),$C$5,$E$5)</f>
        <v/>
      </c>
      <c r="N2357" s="14">
        <f>IF($AB2357&lt;($D$6-$C$6)/($E$6-$C$6),$C$6+SQRT($AB2357*($E$6-$C$6)*($D$6-$C$6)),$E$6-SQRT((1-$AB2357)*($E$6-$C$6)*($E$6-$D$6)))</f>
        <v/>
      </c>
      <c r="O2357" s="14">
        <f>_xlfn.NORM.INV($AC2357,$C$7,$D$7)</f>
        <v/>
      </c>
      <c r="P2357" s="14">
        <f>$C$8+($D$8-$C$8)*$AD2357</f>
        <v/>
      </c>
      <c r="Q2357" s="14">
        <f>$C$9</f>
        <v/>
      </c>
      <c r="R2357" s="14">
        <f>_xlfn.LOGNORM.INV($AF2357,LN($C$10)-0.5*LN(1+($D$10/$C$10)^2),SQRT(LN(1+($D$10/$C$10)^2)))</f>
        <v/>
      </c>
      <c r="S2357" s="14">
        <f>SUM(M2357:R2357)</f>
        <v/>
      </c>
      <c r="AA2357">
        <f>RAND()</f>
        <v/>
      </c>
      <c r="AB2357">
        <f>RAND()</f>
        <v/>
      </c>
      <c r="AC2357">
        <f>RAND()</f>
        <v/>
      </c>
      <c r="AD2357">
        <f>RAND()</f>
        <v/>
      </c>
      <c r="AE2357">
        <f>RAND()</f>
        <v/>
      </c>
      <c r="AF2357">
        <f>RAND()</f>
        <v/>
      </c>
    </row>
    <row r="2358">
      <c r="M2358" s="14">
        <f>_xlfn.BETA.INV($AA2358,1+4*($D$5-$C$5)/($E$5-$C$5),1+4*($E$5-$D$5)/($E$5-$C$5),$C$5,$E$5)</f>
        <v/>
      </c>
      <c r="N2358" s="14">
        <f>IF($AB2358&lt;($D$6-$C$6)/($E$6-$C$6),$C$6+SQRT($AB2358*($E$6-$C$6)*($D$6-$C$6)),$E$6-SQRT((1-$AB2358)*($E$6-$C$6)*($E$6-$D$6)))</f>
        <v/>
      </c>
      <c r="O2358" s="14">
        <f>_xlfn.NORM.INV($AC2358,$C$7,$D$7)</f>
        <v/>
      </c>
      <c r="P2358" s="14">
        <f>$C$8+($D$8-$C$8)*$AD2358</f>
        <v/>
      </c>
      <c r="Q2358" s="14">
        <f>$C$9</f>
        <v/>
      </c>
      <c r="R2358" s="14">
        <f>_xlfn.LOGNORM.INV($AF2358,LN($C$10)-0.5*LN(1+($D$10/$C$10)^2),SQRT(LN(1+($D$10/$C$10)^2)))</f>
        <v/>
      </c>
      <c r="S2358" s="14">
        <f>SUM(M2358:R2358)</f>
        <v/>
      </c>
      <c r="AA2358">
        <f>RAND()</f>
        <v/>
      </c>
      <c r="AB2358">
        <f>RAND()</f>
        <v/>
      </c>
      <c r="AC2358">
        <f>RAND()</f>
        <v/>
      </c>
      <c r="AD2358">
        <f>RAND()</f>
        <v/>
      </c>
      <c r="AE2358">
        <f>RAND()</f>
        <v/>
      </c>
      <c r="AF2358">
        <f>RAND()</f>
        <v/>
      </c>
    </row>
    <row r="2359">
      <c r="M2359" s="14">
        <f>_xlfn.BETA.INV($AA2359,1+4*($D$5-$C$5)/($E$5-$C$5),1+4*($E$5-$D$5)/($E$5-$C$5),$C$5,$E$5)</f>
        <v/>
      </c>
      <c r="N2359" s="14">
        <f>IF($AB2359&lt;($D$6-$C$6)/($E$6-$C$6),$C$6+SQRT($AB2359*($E$6-$C$6)*($D$6-$C$6)),$E$6-SQRT((1-$AB2359)*($E$6-$C$6)*($E$6-$D$6)))</f>
        <v/>
      </c>
      <c r="O2359" s="14">
        <f>_xlfn.NORM.INV($AC2359,$C$7,$D$7)</f>
        <v/>
      </c>
      <c r="P2359" s="14">
        <f>$C$8+($D$8-$C$8)*$AD2359</f>
        <v/>
      </c>
      <c r="Q2359" s="14">
        <f>$C$9</f>
        <v/>
      </c>
      <c r="R2359" s="14">
        <f>_xlfn.LOGNORM.INV($AF2359,LN($C$10)-0.5*LN(1+($D$10/$C$10)^2),SQRT(LN(1+($D$10/$C$10)^2)))</f>
        <v/>
      </c>
      <c r="S2359" s="14">
        <f>SUM(M2359:R2359)</f>
        <v/>
      </c>
      <c r="AA2359">
        <f>RAND()</f>
        <v/>
      </c>
      <c r="AB2359">
        <f>RAND()</f>
        <v/>
      </c>
      <c r="AC2359">
        <f>RAND()</f>
        <v/>
      </c>
      <c r="AD2359">
        <f>RAND()</f>
        <v/>
      </c>
      <c r="AE2359">
        <f>RAND()</f>
        <v/>
      </c>
      <c r="AF2359">
        <f>RAND()</f>
        <v/>
      </c>
    </row>
    <row r="2360">
      <c r="M2360" s="14">
        <f>_xlfn.BETA.INV($AA2360,1+4*($D$5-$C$5)/($E$5-$C$5),1+4*($E$5-$D$5)/($E$5-$C$5),$C$5,$E$5)</f>
        <v/>
      </c>
      <c r="N2360" s="14">
        <f>IF($AB2360&lt;($D$6-$C$6)/($E$6-$C$6),$C$6+SQRT($AB2360*($E$6-$C$6)*($D$6-$C$6)),$E$6-SQRT((1-$AB2360)*($E$6-$C$6)*($E$6-$D$6)))</f>
        <v/>
      </c>
      <c r="O2360" s="14">
        <f>_xlfn.NORM.INV($AC2360,$C$7,$D$7)</f>
        <v/>
      </c>
      <c r="P2360" s="14">
        <f>$C$8+($D$8-$C$8)*$AD2360</f>
        <v/>
      </c>
      <c r="Q2360" s="14">
        <f>$C$9</f>
        <v/>
      </c>
      <c r="R2360" s="14">
        <f>_xlfn.LOGNORM.INV($AF2360,LN($C$10)-0.5*LN(1+($D$10/$C$10)^2),SQRT(LN(1+($D$10/$C$10)^2)))</f>
        <v/>
      </c>
      <c r="S2360" s="14">
        <f>SUM(M2360:R2360)</f>
        <v/>
      </c>
      <c r="AA2360">
        <f>RAND()</f>
        <v/>
      </c>
      <c r="AB2360">
        <f>RAND()</f>
        <v/>
      </c>
      <c r="AC2360">
        <f>RAND()</f>
        <v/>
      </c>
      <c r="AD2360">
        <f>RAND()</f>
        <v/>
      </c>
      <c r="AE2360">
        <f>RAND()</f>
        <v/>
      </c>
      <c r="AF2360">
        <f>RAND()</f>
        <v/>
      </c>
    </row>
    <row r="2361">
      <c r="M2361" s="14">
        <f>_xlfn.BETA.INV($AA2361,1+4*($D$5-$C$5)/($E$5-$C$5),1+4*($E$5-$D$5)/($E$5-$C$5),$C$5,$E$5)</f>
        <v/>
      </c>
      <c r="N2361" s="14">
        <f>IF($AB2361&lt;($D$6-$C$6)/($E$6-$C$6),$C$6+SQRT($AB2361*($E$6-$C$6)*($D$6-$C$6)),$E$6-SQRT((1-$AB2361)*($E$6-$C$6)*($E$6-$D$6)))</f>
        <v/>
      </c>
      <c r="O2361" s="14">
        <f>_xlfn.NORM.INV($AC2361,$C$7,$D$7)</f>
        <v/>
      </c>
      <c r="P2361" s="14">
        <f>$C$8+($D$8-$C$8)*$AD2361</f>
        <v/>
      </c>
      <c r="Q2361" s="14">
        <f>$C$9</f>
        <v/>
      </c>
      <c r="R2361" s="14">
        <f>_xlfn.LOGNORM.INV($AF2361,LN($C$10)-0.5*LN(1+($D$10/$C$10)^2),SQRT(LN(1+($D$10/$C$10)^2)))</f>
        <v/>
      </c>
      <c r="S2361" s="14">
        <f>SUM(M2361:R2361)</f>
        <v/>
      </c>
      <c r="AA2361">
        <f>RAND()</f>
        <v/>
      </c>
      <c r="AB2361">
        <f>RAND()</f>
        <v/>
      </c>
      <c r="AC2361">
        <f>RAND()</f>
        <v/>
      </c>
      <c r="AD2361">
        <f>RAND()</f>
        <v/>
      </c>
      <c r="AE2361">
        <f>RAND()</f>
        <v/>
      </c>
      <c r="AF2361">
        <f>RAND()</f>
        <v/>
      </c>
    </row>
    <row r="2362">
      <c r="M2362" s="14">
        <f>_xlfn.BETA.INV($AA2362,1+4*($D$5-$C$5)/($E$5-$C$5),1+4*($E$5-$D$5)/($E$5-$C$5),$C$5,$E$5)</f>
        <v/>
      </c>
      <c r="N2362" s="14">
        <f>IF($AB2362&lt;($D$6-$C$6)/($E$6-$C$6),$C$6+SQRT($AB2362*($E$6-$C$6)*($D$6-$C$6)),$E$6-SQRT((1-$AB2362)*($E$6-$C$6)*($E$6-$D$6)))</f>
        <v/>
      </c>
      <c r="O2362" s="14">
        <f>_xlfn.NORM.INV($AC2362,$C$7,$D$7)</f>
        <v/>
      </c>
      <c r="P2362" s="14">
        <f>$C$8+($D$8-$C$8)*$AD2362</f>
        <v/>
      </c>
      <c r="Q2362" s="14">
        <f>$C$9</f>
        <v/>
      </c>
      <c r="R2362" s="14">
        <f>_xlfn.LOGNORM.INV($AF2362,LN($C$10)-0.5*LN(1+($D$10/$C$10)^2),SQRT(LN(1+($D$10/$C$10)^2)))</f>
        <v/>
      </c>
      <c r="S2362" s="14">
        <f>SUM(M2362:R2362)</f>
        <v/>
      </c>
      <c r="AA2362">
        <f>RAND()</f>
        <v/>
      </c>
      <c r="AB2362">
        <f>RAND()</f>
        <v/>
      </c>
      <c r="AC2362">
        <f>RAND()</f>
        <v/>
      </c>
      <c r="AD2362">
        <f>RAND()</f>
        <v/>
      </c>
      <c r="AE2362">
        <f>RAND()</f>
        <v/>
      </c>
      <c r="AF2362">
        <f>RAND()</f>
        <v/>
      </c>
    </row>
    <row r="2363">
      <c r="M2363" s="14">
        <f>_xlfn.BETA.INV($AA2363,1+4*($D$5-$C$5)/($E$5-$C$5),1+4*($E$5-$D$5)/($E$5-$C$5),$C$5,$E$5)</f>
        <v/>
      </c>
      <c r="N2363" s="14">
        <f>IF($AB2363&lt;($D$6-$C$6)/($E$6-$C$6),$C$6+SQRT($AB2363*($E$6-$C$6)*($D$6-$C$6)),$E$6-SQRT((1-$AB2363)*($E$6-$C$6)*($E$6-$D$6)))</f>
        <v/>
      </c>
      <c r="O2363" s="14">
        <f>_xlfn.NORM.INV($AC2363,$C$7,$D$7)</f>
        <v/>
      </c>
      <c r="P2363" s="14">
        <f>$C$8+($D$8-$C$8)*$AD2363</f>
        <v/>
      </c>
      <c r="Q2363" s="14">
        <f>$C$9</f>
        <v/>
      </c>
      <c r="R2363" s="14">
        <f>_xlfn.LOGNORM.INV($AF2363,LN($C$10)-0.5*LN(1+($D$10/$C$10)^2),SQRT(LN(1+($D$10/$C$10)^2)))</f>
        <v/>
      </c>
      <c r="S2363" s="14">
        <f>SUM(M2363:R2363)</f>
        <v/>
      </c>
      <c r="AA2363">
        <f>RAND()</f>
        <v/>
      </c>
      <c r="AB2363">
        <f>RAND()</f>
        <v/>
      </c>
      <c r="AC2363">
        <f>RAND()</f>
        <v/>
      </c>
      <c r="AD2363">
        <f>RAND()</f>
        <v/>
      </c>
      <c r="AE2363">
        <f>RAND()</f>
        <v/>
      </c>
      <c r="AF2363">
        <f>RAND()</f>
        <v/>
      </c>
    </row>
    <row r="2364">
      <c r="M2364" s="14">
        <f>_xlfn.BETA.INV($AA2364,1+4*($D$5-$C$5)/($E$5-$C$5),1+4*($E$5-$D$5)/($E$5-$C$5),$C$5,$E$5)</f>
        <v/>
      </c>
      <c r="N2364" s="14">
        <f>IF($AB2364&lt;($D$6-$C$6)/($E$6-$C$6),$C$6+SQRT($AB2364*($E$6-$C$6)*($D$6-$C$6)),$E$6-SQRT((1-$AB2364)*($E$6-$C$6)*($E$6-$D$6)))</f>
        <v/>
      </c>
      <c r="O2364" s="14">
        <f>_xlfn.NORM.INV($AC2364,$C$7,$D$7)</f>
        <v/>
      </c>
      <c r="P2364" s="14">
        <f>$C$8+($D$8-$C$8)*$AD2364</f>
        <v/>
      </c>
      <c r="Q2364" s="14">
        <f>$C$9</f>
        <v/>
      </c>
      <c r="R2364" s="14">
        <f>_xlfn.LOGNORM.INV($AF2364,LN($C$10)-0.5*LN(1+($D$10/$C$10)^2),SQRT(LN(1+($D$10/$C$10)^2)))</f>
        <v/>
      </c>
      <c r="S2364" s="14">
        <f>SUM(M2364:R2364)</f>
        <v/>
      </c>
      <c r="AA2364">
        <f>RAND()</f>
        <v/>
      </c>
      <c r="AB2364">
        <f>RAND()</f>
        <v/>
      </c>
      <c r="AC2364">
        <f>RAND()</f>
        <v/>
      </c>
      <c r="AD2364">
        <f>RAND()</f>
        <v/>
      </c>
      <c r="AE2364">
        <f>RAND()</f>
        <v/>
      </c>
      <c r="AF2364">
        <f>RAND()</f>
        <v/>
      </c>
    </row>
    <row r="2365">
      <c r="M2365" s="14">
        <f>_xlfn.BETA.INV($AA2365,1+4*($D$5-$C$5)/($E$5-$C$5),1+4*($E$5-$D$5)/($E$5-$C$5),$C$5,$E$5)</f>
        <v/>
      </c>
      <c r="N2365" s="14">
        <f>IF($AB2365&lt;($D$6-$C$6)/($E$6-$C$6),$C$6+SQRT($AB2365*($E$6-$C$6)*($D$6-$C$6)),$E$6-SQRT((1-$AB2365)*($E$6-$C$6)*($E$6-$D$6)))</f>
        <v/>
      </c>
      <c r="O2365" s="14">
        <f>_xlfn.NORM.INV($AC2365,$C$7,$D$7)</f>
        <v/>
      </c>
      <c r="P2365" s="14">
        <f>$C$8+($D$8-$C$8)*$AD2365</f>
        <v/>
      </c>
      <c r="Q2365" s="14">
        <f>$C$9</f>
        <v/>
      </c>
      <c r="R2365" s="14">
        <f>_xlfn.LOGNORM.INV($AF2365,LN($C$10)-0.5*LN(1+($D$10/$C$10)^2),SQRT(LN(1+($D$10/$C$10)^2)))</f>
        <v/>
      </c>
      <c r="S2365" s="14">
        <f>SUM(M2365:R2365)</f>
        <v/>
      </c>
      <c r="AA2365">
        <f>RAND()</f>
        <v/>
      </c>
      <c r="AB2365">
        <f>RAND()</f>
        <v/>
      </c>
      <c r="AC2365">
        <f>RAND()</f>
        <v/>
      </c>
      <c r="AD2365">
        <f>RAND()</f>
        <v/>
      </c>
      <c r="AE2365">
        <f>RAND()</f>
        <v/>
      </c>
      <c r="AF2365">
        <f>RAND()</f>
        <v/>
      </c>
    </row>
    <row r="2366">
      <c r="M2366" s="14">
        <f>_xlfn.BETA.INV($AA2366,1+4*($D$5-$C$5)/($E$5-$C$5),1+4*($E$5-$D$5)/($E$5-$C$5),$C$5,$E$5)</f>
        <v/>
      </c>
      <c r="N2366" s="14">
        <f>IF($AB2366&lt;($D$6-$C$6)/($E$6-$C$6),$C$6+SQRT($AB2366*($E$6-$C$6)*($D$6-$C$6)),$E$6-SQRT((1-$AB2366)*($E$6-$C$6)*($E$6-$D$6)))</f>
        <v/>
      </c>
      <c r="O2366" s="14">
        <f>_xlfn.NORM.INV($AC2366,$C$7,$D$7)</f>
        <v/>
      </c>
      <c r="P2366" s="14">
        <f>$C$8+($D$8-$C$8)*$AD2366</f>
        <v/>
      </c>
      <c r="Q2366" s="14">
        <f>$C$9</f>
        <v/>
      </c>
      <c r="R2366" s="14">
        <f>_xlfn.LOGNORM.INV($AF2366,LN($C$10)-0.5*LN(1+($D$10/$C$10)^2),SQRT(LN(1+($D$10/$C$10)^2)))</f>
        <v/>
      </c>
      <c r="S2366" s="14">
        <f>SUM(M2366:R2366)</f>
        <v/>
      </c>
      <c r="AA2366">
        <f>RAND()</f>
        <v/>
      </c>
      <c r="AB2366">
        <f>RAND()</f>
        <v/>
      </c>
      <c r="AC2366">
        <f>RAND()</f>
        <v/>
      </c>
      <c r="AD2366">
        <f>RAND()</f>
        <v/>
      </c>
      <c r="AE2366">
        <f>RAND()</f>
        <v/>
      </c>
      <c r="AF2366">
        <f>RAND()</f>
        <v/>
      </c>
    </row>
    <row r="2367">
      <c r="M2367" s="14">
        <f>_xlfn.BETA.INV($AA2367,1+4*($D$5-$C$5)/($E$5-$C$5),1+4*($E$5-$D$5)/($E$5-$C$5),$C$5,$E$5)</f>
        <v/>
      </c>
      <c r="N2367" s="14">
        <f>IF($AB2367&lt;($D$6-$C$6)/($E$6-$C$6),$C$6+SQRT($AB2367*($E$6-$C$6)*($D$6-$C$6)),$E$6-SQRT((1-$AB2367)*($E$6-$C$6)*($E$6-$D$6)))</f>
        <v/>
      </c>
      <c r="O2367" s="14">
        <f>_xlfn.NORM.INV($AC2367,$C$7,$D$7)</f>
        <v/>
      </c>
      <c r="P2367" s="14">
        <f>$C$8+($D$8-$C$8)*$AD2367</f>
        <v/>
      </c>
      <c r="Q2367" s="14">
        <f>$C$9</f>
        <v/>
      </c>
      <c r="R2367" s="14">
        <f>_xlfn.LOGNORM.INV($AF2367,LN($C$10)-0.5*LN(1+($D$10/$C$10)^2),SQRT(LN(1+($D$10/$C$10)^2)))</f>
        <v/>
      </c>
      <c r="S2367" s="14">
        <f>SUM(M2367:R2367)</f>
        <v/>
      </c>
      <c r="AA2367">
        <f>RAND()</f>
        <v/>
      </c>
      <c r="AB2367">
        <f>RAND()</f>
        <v/>
      </c>
      <c r="AC2367">
        <f>RAND()</f>
        <v/>
      </c>
      <c r="AD2367">
        <f>RAND()</f>
        <v/>
      </c>
      <c r="AE2367">
        <f>RAND()</f>
        <v/>
      </c>
      <c r="AF2367">
        <f>RAND()</f>
        <v/>
      </c>
    </row>
    <row r="2368">
      <c r="M2368" s="14">
        <f>_xlfn.BETA.INV($AA2368,1+4*($D$5-$C$5)/($E$5-$C$5),1+4*($E$5-$D$5)/($E$5-$C$5),$C$5,$E$5)</f>
        <v/>
      </c>
      <c r="N2368" s="14">
        <f>IF($AB2368&lt;($D$6-$C$6)/($E$6-$C$6),$C$6+SQRT($AB2368*($E$6-$C$6)*($D$6-$C$6)),$E$6-SQRT((1-$AB2368)*($E$6-$C$6)*($E$6-$D$6)))</f>
        <v/>
      </c>
      <c r="O2368" s="14">
        <f>_xlfn.NORM.INV($AC2368,$C$7,$D$7)</f>
        <v/>
      </c>
      <c r="P2368" s="14">
        <f>$C$8+($D$8-$C$8)*$AD2368</f>
        <v/>
      </c>
      <c r="Q2368" s="14">
        <f>$C$9</f>
        <v/>
      </c>
      <c r="R2368" s="14">
        <f>_xlfn.LOGNORM.INV($AF2368,LN($C$10)-0.5*LN(1+($D$10/$C$10)^2),SQRT(LN(1+($D$10/$C$10)^2)))</f>
        <v/>
      </c>
      <c r="S2368" s="14">
        <f>SUM(M2368:R2368)</f>
        <v/>
      </c>
      <c r="AA2368">
        <f>RAND()</f>
        <v/>
      </c>
      <c r="AB2368">
        <f>RAND()</f>
        <v/>
      </c>
      <c r="AC2368">
        <f>RAND()</f>
        <v/>
      </c>
      <c r="AD2368">
        <f>RAND()</f>
        <v/>
      </c>
      <c r="AE2368">
        <f>RAND()</f>
        <v/>
      </c>
      <c r="AF2368">
        <f>RAND()</f>
        <v/>
      </c>
    </row>
    <row r="2369">
      <c r="M2369" s="14">
        <f>_xlfn.BETA.INV($AA2369,1+4*($D$5-$C$5)/($E$5-$C$5),1+4*($E$5-$D$5)/($E$5-$C$5),$C$5,$E$5)</f>
        <v/>
      </c>
      <c r="N2369" s="14">
        <f>IF($AB2369&lt;($D$6-$C$6)/($E$6-$C$6),$C$6+SQRT($AB2369*($E$6-$C$6)*($D$6-$C$6)),$E$6-SQRT((1-$AB2369)*($E$6-$C$6)*($E$6-$D$6)))</f>
        <v/>
      </c>
      <c r="O2369" s="14">
        <f>_xlfn.NORM.INV($AC2369,$C$7,$D$7)</f>
        <v/>
      </c>
      <c r="P2369" s="14">
        <f>$C$8+($D$8-$C$8)*$AD2369</f>
        <v/>
      </c>
      <c r="Q2369" s="14">
        <f>$C$9</f>
        <v/>
      </c>
      <c r="R2369" s="14">
        <f>_xlfn.LOGNORM.INV($AF2369,LN($C$10)-0.5*LN(1+($D$10/$C$10)^2),SQRT(LN(1+($D$10/$C$10)^2)))</f>
        <v/>
      </c>
      <c r="S2369" s="14">
        <f>SUM(M2369:R2369)</f>
        <v/>
      </c>
      <c r="AA2369">
        <f>RAND()</f>
        <v/>
      </c>
      <c r="AB2369">
        <f>RAND()</f>
        <v/>
      </c>
      <c r="AC2369">
        <f>RAND()</f>
        <v/>
      </c>
      <c r="AD2369">
        <f>RAND()</f>
        <v/>
      </c>
      <c r="AE2369">
        <f>RAND()</f>
        <v/>
      </c>
      <c r="AF2369">
        <f>RAND()</f>
        <v/>
      </c>
    </row>
    <row r="2370">
      <c r="M2370" s="14">
        <f>_xlfn.BETA.INV($AA2370,1+4*($D$5-$C$5)/($E$5-$C$5),1+4*($E$5-$D$5)/($E$5-$C$5),$C$5,$E$5)</f>
        <v/>
      </c>
      <c r="N2370" s="14">
        <f>IF($AB2370&lt;($D$6-$C$6)/($E$6-$C$6),$C$6+SQRT($AB2370*($E$6-$C$6)*($D$6-$C$6)),$E$6-SQRT((1-$AB2370)*($E$6-$C$6)*($E$6-$D$6)))</f>
        <v/>
      </c>
      <c r="O2370" s="14">
        <f>_xlfn.NORM.INV($AC2370,$C$7,$D$7)</f>
        <v/>
      </c>
      <c r="P2370" s="14">
        <f>$C$8+($D$8-$C$8)*$AD2370</f>
        <v/>
      </c>
      <c r="Q2370" s="14">
        <f>$C$9</f>
        <v/>
      </c>
      <c r="R2370" s="14">
        <f>_xlfn.LOGNORM.INV($AF2370,LN($C$10)-0.5*LN(1+($D$10/$C$10)^2),SQRT(LN(1+($D$10/$C$10)^2)))</f>
        <v/>
      </c>
      <c r="S2370" s="14">
        <f>SUM(M2370:R2370)</f>
        <v/>
      </c>
      <c r="AA2370">
        <f>RAND()</f>
        <v/>
      </c>
      <c r="AB2370">
        <f>RAND()</f>
        <v/>
      </c>
      <c r="AC2370">
        <f>RAND()</f>
        <v/>
      </c>
      <c r="AD2370">
        <f>RAND()</f>
        <v/>
      </c>
      <c r="AE2370">
        <f>RAND()</f>
        <v/>
      </c>
      <c r="AF2370">
        <f>RAND()</f>
        <v/>
      </c>
    </row>
    <row r="2371">
      <c r="M2371" s="14">
        <f>_xlfn.BETA.INV($AA2371,1+4*($D$5-$C$5)/($E$5-$C$5),1+4*($E$5-$D$5)/($E$5-$C$5),$C$5,$E$5)</f>
        <v/>
      </c>
      <c r="N2371" s="14">
        <f>IF($AB2371&lt;($D$6-$C$6)/($E$6-$C$6),$C$6+SQRT($AB2371*($E$6-$C$6)*($D$6-$C$6)),$E$6-SQRT((1-$AB2371)*($E$6-$C$6)*($E$6-$D$6)))</f>
        <v/>
      </c>
      <c r="O2371" s="14">
        <f>_xlfn.NORM.INV($AC2371,$C$7,$D$7)</f>
        <v/>
      </c>
      <c r="P2371" s="14">
        <f>$C$8+($D$8-$C$8)*$AD2371</f>
        <v/>
      </c>
      <c r="Q2371" s="14">
        <f>$C$9</f>
        <v/>
      </c>
      <c r="R2371" s="14">
        <f>_xlfn.LOGNORM.INV($AF2371,LN($C$10)-0.5*LN(1+($D$10/$C$10)^2),SQRT(LN(1+($D$10/$C$10)^2)))</f>
        <v/>
      </c>
      <c r="S2371" s="14">
        <f>SUM(M2371:R2371)</f>
        <v/>
      </c>
      <c r="AA2371">
        <f>RAND()</f>
        <v/>
      </c>
      <c r="AB2371">
        <f>RAND()</f>
        <v/>
      </c>
      <c r="AC2371">
        <f>RAND()</f>
        <v/>
      </c>
      <c r="AD2371">
        <f>RAND()</f>
        <v/>
      </c>
      <c r="AE2371">
        <f>RAND()</f>
        <v/>
      </c>
      <c r="AF2371">
        <f>RAND()</f>
        <v/>
      </c>
    </row>
    <row r="2372">
      <c r="M2372" s="14">
        <f>_xlfn.BETA.INV($AA2372,1+4*($D$5-$C$5)/($E$5-$C$5),1+4*($E$5-$D$5)/($E$5-$C$5),$C$5,$E$5)</f>
        <v/>
      </c>
      <c r="N2372" s="14">
        <f>IF($AB2372&lt;($D$6-$C$6)/($E$6-$C$6),$C$6+SQRT($AB2372*($E$6-$C$6)*($D$6-$C$6)),$E$6-SQRT((1-$AB2372)*($E$6-$C$6)*($E$6-$D$6)))</f>
        <v/>
      </c>
      <c r="O2372" s="14">
        <f>_xlfn.NORM.INV($AC2372,$C$7,$D$7)</f>
        <v/>
      </c>
      <c r="P2372" s="14">
        <f>$C$8+($D$8-$C$8)*$AD2372</f>
        <v/>
      </c>
      <c r="Q2372" s="14">
        <f>$C$9</f>
        <v/>
      </c>
      <c r="R2372" s="14">
        <f>_xlfn.LOGNORM.INV($AF2372,LN($C$10)-0.5*LN(1+($D$10/$C$10)^2),SQRT(LN(1+($D$10/$C$10)^2)))</f>
        <v/>
      </c>
      <c r="S2372" s="14">
        <f>SUM(M2372:R2372)</f>
        <v/>
      </c>
      <c r="AA2372">
        <f>RAND()</f>
        <v/>
      </c>
      <c r="AB2372">
        <f>RAND()</f>
        <v/>
      </c>
      <c r="AC2372">
        <f>RAND()</f>
        <v/>
      </c>
      <c r="AD2372">
        <f>RAND()</f>
        <v/>
      </c>
      <c r="AE2372">
        <f>RAND()</f>
        <v/>
      </c>
      <c r="AF2372">
        <f>RAND()</f>
        <v/>
      </c>
    </row>
    <row r="2373">
      <c r="M2373" s="14">
        <f>_xlfn.BETA.INV($AA2373,1+4*($D$5-$C$5)/($E$5-$C$5),1+4*($E$5-$D$5)/($E$5-$C$5),$C$5,$E$5)</f>
        <v/>
      </c>
      <c r="N2373" s="14">
        <f>IF($AB2373&lt;($D$6-$C$6)/($E$6-$C$6),$C$6+SQRT($AB2373*($E$6-$C$6)*($D$6-$C$6)),$E$6-SQRT((1-$AB2373)*($E$6-$C$6)*($E$6-$D$6)))</f>
        <v/>
      </c>
      <c r="O2373" s="14">
        <f>_xlfn.NORM.INV($AC2373,$C$7,$D$7)</f>
        <v/>
      </c>
      <c r="P2373" s="14">
        <f>$C$8+($D$8-$C$8)*$AD2373</f>
        <v/>
      </c>
      <c r="Q2373" s="14">
        <f>$C$9</f>
        <v/>
      </c>
      <c r="R2373" s="14">
        <f>_xlfn.LOGNORM.INV($AF2373,LN($C$10)-0.5*LN(1+($D$10/$C$10)^2),SQRT(LN(1+($D$10/$C$10)^2)))</f>
        <v/>
      </c>
      <c r="S2373" s="14">
        <f>SUM(M2373:R2373)</f>
        <v/>
      </c>
      <c r="AA2373">
        <f>RAND()</f>
        <v/>
      </c>
      <c r="AB2373">
        <f>RAND()</f>
        <v/>
      </c>
      <c r="AC2373">
        <f>RAND()</f>
        <v/>
      </c>
      <c r="AD2373">
        <f>RAND()</f>
        <v/>
      </c>
      <c r="AE2373">
        <f>RAND()</f>
        <v/>
      </c>
      <c r="AF2373">
        <f>RAND()</f>
        <v/>
      </c>
    </row>
    <row r="2374">
      <c r="M2374" s="14">
        <f>_xlfn.BETA.INV($AA2374,1+4*($D$5-$C$5)/($E$5-$C$5),1+4*($E$5-$D$5)/($E$5-$C$5),$C$5,$E$5)</f>
        <v/>
      </c>
      <c r="N2374" s="14">
        <f>IF($AB2374&lt;($D$6-$C$6)/($E$6-$C$6),$C$6+SQRT($AB2374*($E$6-$C$6)*($D$6-$C$6)),$E$6-SQRT((1-$AB2374)*($E$6-$C$6)*($E$6-$D$6)))</f>
        <v/>
      </c>
      <c r="O2374" s="14">
        <f>_xlfn.NORM.INV($AC2374,$C$7,$D$7)</f>
        <v/>
      </c>
      <c r="P2374" s="14">
        <f>$C$8+($D$8-$C$8)*$AD2374</f>
        <v/>
      </c>
      <c r="Q2374" s="14">
        <f>$C$9</f>
        <v/>
      </c>
      <c r="R2374" s="14">
        <f>_xlfn.LOGNORM.INV($AF2374,LN($C$10)-0.5*LN(1+($D$10/$C$10)^2),SQRT(LN(1+($D$10/$C$10)^2)))</f>
        <v/>
      </c>
      <c r="S2374" s="14">
        <f>SUM(M2374:R2374)</f>
        <v/>
      </c>
      <c r="AA2374">
        <f>RAND()</f>
        <v/>
      </c>
      <c r="AB2374">
        <f>RAND()</f>
        <v/>
      </c>
      <c r="AC2374">
        <f>RAND()</f>
        <v/>
      </c>
      <c r="AD2374">
        <f>RAND()</f>
        <v/>
      </c>
      <c r="AE2374">
        <f>RAND()</f>
        <v/>
      </c>
      <c r="AF2374">
        <f>RAND()</f>
        <v/>
      </c>
    </row>
    <row r="2375">
      <c r="M2375" s="14">
        <f>_xlfn.BETA.INV($AA2375,1+4*($D$5-$C$5)/($E$5-$C$5),1+4*($E$5-$D$5)/($E$5-$C$5),$C$5,$E$5)</f>
        <v/>
      </c>
      <c r="N2375" s="14">
        <f>IF($AB2375&lt;($D$6-$C$6)/($E$6-$C$6),$C$6+SQRT($AB2375*($E$6-$C$6)*($D$6-$C$6)),$E$6-SQRT((1-$AB2375)*($E$6-$C$6)*($E$6-$D$6)))</f>
        <v/>
      </c>
      <c r="O2375" s="14">
        <f>_xlfn.NORM.INV($AC2375,$C$7,$D$7)</f>
        <v/>
      </c>
      <c r="P2375" s="14">
        <f>$C$8+($D$8-$C$8)*$AD2375</f>
        <v/>
      </c>
      <c r="Q2375" s="14">
        <f>$C$9</f>
        <v/>
      </c>
      <c r="R2375" s="14">
        <f>_xlfn.LOGNORM.INV($AF2375,LN($C$10)-0.5*LN(1+($D$10/$C$10)^2),SQRT(LN(1+($D$10/$C$10)^2)))</f>
        <v/>
      </c>
      <c r="S2375" s="14">
        <f>SUM(M2375:R2375)</f>
        <v/>
      </c>
      <c r="AA2375">
        <f>RAND()</f>
        <v/>
      </c>
      <c r="AB2375">
        <f>RAND()</f>
        <v/>
      </c>
      <c r="AC2375">
        <f>RAND()</f>
        <v/>
      </c>
      <c r="AD2375">
        <f>RAND()</f>
        <v/>
      </c>
      <c r="AE2375">
        <f>RAND()</f>
        <v/>
      </c>
      <c r="AF2375">
        <f>RAND()</f>
        <v/>
      </c>
    </row>
    <row r="2376">
      <c r="M2376" s="14">
        <f>_xlfn.BETA.INV($AA2376,1+4*($D$5-$C$5)/($E$5-$C$5),1+4*($E$5-$D$5)/($E$5-$C$5),$C$5,$E$5)</f>
        <v/>
      </c>
      <c r="N2376" s="14">
        <f>IF($AB2376&lt;($D$6-$C$6)/($E$6-$C$6),$C$6+SQRT($AB2376*($E$6-$C$6)*($D$6-$C$6)),$E$6-SQRT((1-$AB2376)*($E$6-$C$6)*($E$6-$D$6)))</f>
        <v/>
      </c>
      <c r="O2376" s="14">
        <f>_xlfn.NORM.INV($AC2376,$C$7,$D$7)</f>
        <v/>
      </c>
      <c r="P2376" s="14">
        <f>$C$8+($D$8-$C$8)*$AD2376</f>
        <v/>
      </c>
      <c r="Q2376" s="14">
        <f>$C$9</f>
        <v/>
      </c>
      <c r="R2376" s="14">
        <f>_xlfn.LOGNORM.INV($AF2376,LN($C$10)-0.5*LN(1+($D$10/$C$10)^2),SQRT(LN(1+($D$10/$C$10)^2)))</f>
        <v/>
      </c>
      <c r="S2376" s="14">
        <f>SUM(M2376:R2376)</f>
        <v/>
      </c>
      <c r="AA2376">
        <f>RAND()</f>
        <v/>
      </c>
      <c r="AB2376">
        <f>RAND()</f>
        <v/>
      </c>
      <c r="AC2376">
        <f>RAND()</f>
        <v/>
      </c>
      <c r="AD2376">
        <f>RAND()</f>
        <v/>
      </c>
      <c r="AE2376">
        <f>RAND()</f>
        <v/>
      </c>
      <c r="AF2376">
        <f>RAND()</f>
        <v/>
      </c>
    </row>
    <row r="2377">
      <c r="M2377" s="14">
        <f>_xlfn.BETA.INV($AA2377,1+4*($D$5-$C$5)/($E$5-$C$5),1+4*($E$5-$D$5)/($E$5-$C$5),$C$5,$E$5)</f>
        <v/>
      </c>
      <c r="N2377" s="14">
        <f>IF($AB2377&lt;($D$6-$C$6)/($E$6-$C$6),$C$6+SQRT($AB2377*($E$6-$C$6)*($D$6-$C$6)),$E$6-SQRT((1-$AB2377)*($E$6-$C$6)*($E$6-$D$6)))</f>
        <v/>
      </c>
      <c r="O2377" s="14">
        <f>_xlfn.NORM.INV($AC2377,$C$7,$D$7)</f>
        <v/>
      </c>
      <c r="P2377" s="14">
        <f>$C$8+($D$8-$C$8)*$AD2377</f>
        <v/>
      </c>
      <c r="Q2377" s="14">
        <f>$C$9</f>
        <v/>
      </c>
      <c r="R2377" s="14">
        <f>_xlfn.LOGNORM.INV($AF2377,LN($C$10)-0.5*LN(1+($D$10/$C$10)^2),SQRT(LN(1+($D$10/$C$10)^2)))</f>
        <v/>
      </c>
      <c r="S2377" s="14">
        <f>SUM(M2377:R2377)</f>
        <v/>
      </c>
      <c r="AA2377">
        <f>RAND()</f>
        <v/>
      </c>
      <c r="AB2377">
        <f>RAND()</f>
        <v/>
      </c>
      <c r="AC2377">
        <f>RAND()</f>
        <v/>
      </c>
      <c r="AD2377">
        <f>RAND()</f>
        <v/>
      </c>
      <c r="AE2377">
        <f>RAND()</f>
        <v/>
      </c>
      <c r="AF2377">
        <f>RAND()</f>
        <v/>
      </c>
    </row>
    <row r="2378">
      <c r="M2378" s="14">
        <f>_xlfn.BETA.INV($AA2378,1+4*($D$5-$C$5)/($E$5-$C$5),1+4*($E$5-$D$5)/($E$5-$C$5),$C$5,$E$5)</f>
        <v/>
      </c>
      <c r="N2378" s="14">
        <f>IF($AB2378&lt;($D$6-$C$6)/($E$6-$C$6),$C$6+SQRT($AB2378*($E$6-$C$6)*($D$6-$C$6)),$E$6-SQRT((1-$AB2378)*($E$6-$C$6)*($E$6-$D$6)))</f>
        <v/>
      </c>
      <c r="O2378" s="14">
        <f>_xlfn.NORM.INV($AC2378,$C$7,$D$7)</f>
        <v/>
      </c>
      <c r="P2378" s="14">
        <f>$C$8+($D$8-$C$8)*$AD2378</f>
        <v/>
      </c>
      <c r="Q2378" s="14">
        <f>$C$9</f>
        <v/>
      </c>
      <c r="R2378" s="14">
        <f>_xlfn.LOGNORM.INV($AF2378,LN($C$10)-0.5*LN(1+($D$10/$C$10)^2),SQRT(LN(1+($D$10/$C$10)^2)))</f>
        <v/>
      </c>
      <c r="S2378" s="14">
        <f>SUM(M2378:R2378)</f>
        <v/>
      </c>
      <c r="AA2378">
        <f>RAND()</f>
        <v/>
      </c>
      <c r="AB2378">
        <f>RAND()</f>
        <v/>
      </c>
      <c r="AC2378">
        <f>RAND()</f>
        <v/>
      </c>
      <c r="AD2378">
        <f>RAND()</f>
        <v/>
      </c>
      <c r="AE2378">
        <f>RAND()</f>
        <v/>
      </c>
      <c r="AF2378">
        <f>RAND()</f>
        <v/>
      </c>
    </row>
    <row r="2379">
      <c r="M2379" s="14">
        <f>_xlfn.BETA.INV($AA2379,1+4*($D$5-$C$5)/($E$5-$C$5),1+4*($E$5-$D$5)/($E$5-$C$5),$C$5,$E$5)</f>
        <v/>
      </c>
      <c r="N2379" s="14">
        <f>IF($AB2379&lt;($D$6-$C$6)/($E$6-$C$6),$C$6+SQRT($AB2379*($E$6-$C$6)*($D$6-$C$6)),$E$6-SQRT((1-$AB2379)*($E$6-$C$6)*($E$6-$D$6)))</f>
        <v/>
      </c>
      <c r="O2379" s="14">
        <f>_xlfn.NORM.INV($AC2379,$C$7,$D$7)</f>
        <v/>
      </c>
      <c r="P2379" s="14">
        <f>$C$8+($D$8-$C$8)*$AD2379</f>
        <v/>
      </c>
      <c r="Q2379" s="14">
        <f>$C$9</f>
        <v/>
      </c>
      <c r="R2379" s="14">
        <f>_xlfn.LOGNORM.INV($AF2379,LN($C$10)-0.5*LN(1+($D$10/$C$10)^2),SQRT(LN(1+($D$10/$C$10)^2)))</f>
        <v/>
      </c>
      <c r="S2379" s="14">
        <f>SUM(M2379:R2379)</f>
        <v/>
      </c>
      <c r="AA2379">
        <f>RAND()</f>
        <v/>
      </c>
      <c r="AB2379">
        <f>RAND()</f>
        <v/>
      </c>
      <c r="AC2379">
        <f>RAND()</f>
        <v/>
      </c>
      <c r="AD2379">
        <f>RAND()</f>
        <v/>
      </c>
      <c r="AE2379">
        <f>RAND()</f>
        <v/>
      </c>
      <c r="AF2379">
        <f>RAND()</f>
        <v/>
      </c>
    </row>
    <row r="2380">
      <c r="M2380" s="14">
        <f>_xlfn.BETA.INV($AA2380,1+4*($D$5-$C$5)/($E$5-$C$5),1+4*($E$5-$D$5)/($E$5-$C$5),$C$5,$E$5)</f>
        <v/>
      </c>
      <c r="N2380" s="14">
        <f>IF($AB2380&lt;($D$6-$C$6)/($E$6-$C$6),$C$6+SQRT($AB2380*($E$6-$C$6)*($D$6-$C$6)),$E$6-SQRT((1-$AB2380)*($E$6-$C$6)*($E$6-$D$6)))</f>
        <v/>
      </c>
      <c r="O2380" s="14">
        <f>_xlfn.NORM.INV($AC2380,$C$7,$D$7)</f>
        <v/>
      </c>
      <c r="P2380" s="14">
        <f>$C$8+($D$8-$C$8)*$AD2380</f>
        <v/>
      </c>
      <c r="Q2380" s="14">
        <f>$C$9</f>
        <v/>
      </c>
      <c r="R2380" s="14">
        <f>_xlfn.LOGNORM.INV($AF2380,LN($C$10)-0.5*LN(1+($D$10/$C$10)^2),SQRT(LN(1+($D$10/$C$10)^2)))</f>
        <v/>
      </c>
      <c r="S2380" s="14">
        <f>SUM(M2380:R2380)</f>
        <v/>
      </c>
      <c r="AA2380">
        <f>RAND()</f>
        <v/>
      </c>
      <c r="AB2380">
        <f>RAND()</f>
        <v/>
      </c>
      <c r="AC2380">
        <f>RAND()</f>
        <v/>
      </c>
      <c r="AD2380">
        <f>RAND()</f>
        <v/>
      </c>
      <c r="AE2380">
        <f>RAND()</f>
        <v/>
      </c>
      <c r="AF2380">
        <f>RAND()</f>
        <v/>
      </c>
    </row>
    <row r="2381">
      <c r="M2381" s="14">
        <f>_xlfn.BETA.INV($AA2381,1+4*($D$5-$C$5)/($E$5-$C$5),1+4*($E$5-$D$5)/($E$5-$C$5),$C$5,$E$5)</f>
        <v/>
      </c>
      <c r="N2381" s="14">
        <f>IF($AB2381&lt;($D$6-$C$6)/($E$6-$C$6),$C$6+SQRT($AB2381*($E$6-$C$6)*($D$6-$C$6)),$E$6-SQRT((1-$AB2381)*($E$6-$C$6)*($E$6-$D$6)))</f>
        <v/>
      </c>
      <c r="O2381" s="14">
        <f>_xlfn.NORM.INV($AC2381,$C$7,$D$7)</f>
        <v/>
      </c>
      <c r="P2381" s="14">
        <f>$C$8+($D$8-$C$8)*$AD2381</f>
        <v/>
      </c>
      <c r="Q2381" s="14">
        <f>$C$9</f>
        <v/>
      </c>
      <c r="R2381" s="14">
        <f>_xlfn.LOGNORM.INV($AF2381,LN($C$10)-0.5*LN(1+($D$10/$C$10)^2),SQRT(LN(1+($D$10/$C$10)^2)))</f>
        <v/>
      </c>
      <c r="S2381" s="14">
        <f>SUM(M2381:R2381)</f>
        <v/>
      </c>
      <c r="AA2381">
        <f>RAND()</f>
        <v/>
      </c>
      <c r="AB2381">
        <f>RAND()</f>
        <v/>
      </c>
      <c r="AC2381">
        <f>RAND()</f>
        <v/>
      </c>
      <c r="AD2381">
        <f>RAND()</f>
        <v/>
      </c>
      <c r="AE2381">
        <f>RAND()</f>
        <v/>
      </c>
      <c r="AF2381">
        <f>RAND()</f>
        <v/>
      </c>
    </row>
    <row r="2382">
      <c r="M2382" s="14">
        <f>_xlfn.BETA.INV($AA2382,1+4*($D$5-$C$5)/($E$5-$C$5),1+4*($E$5-$D$5)/($E$5-$C$5),$C$5,$E$5)</f>
        <v/>
      </c>
      <c r="N2382" s="14">
        <f>IF($AB2382&lt;($D$6-$C$6)/($E$6-$C$6),$C$6+SQRT($AB2382*($E$6-$C$6)*($D$6-$C$6)),$E$6-SQRT((1-$AB2382)*($E$6-$C$6)*($E$6-$D$6)))</f>
        <v/>
      </c>
      <c r="O2382" s="14">
        <f>_xlfn.NORM.INV($AC2382,$C$7,$D$7)</f>
        <v/>
      </c>
      <c r="P2382" s="14">
        <f>$C$8+($D$8-$C$8)*$AD2382</f>
        <v/>
      </c>
      <c r="Q2382" s="14">
        <f>$C$9</f>
        <v/>
      </c>
      <c r="R2382" s="14">
        <f>_xlfn.LOGNORM.INV($AF2382,LN($C$10)-0.5*LN(1+($D$10/$C$10)^2),SQRT(LN(1+($D$10/$C$10)^2)))</f>
        <v/>
      </c>
      <c r="S2382" s="14">
        <f>SUM(M2382:R2382)</f>
        <v/>
      </c>
      <c r="AA2382">
        <f>RAND()</f>
        <v/>
      </c>
      <c r="AB2382">
        <f>RAND()</f>
        <v/>
      </c>
      <c r="AC2382">
        <f>RAND()</f>
        <v/>
      </c>
      <c r="AD2382">
        <f>RAND()</f>
        <v/>
      </c>
      <c r="AE2382">
        <f>RAND()</f>
        <v/>
      </c>
      <c r="AF2382">
        <f>RAND()</f>
        <v/>
      </c>
    </row>
    <row r="2383">
      <c r="M2383" s="14">
        <f>_xlfn.BETA.INV($AA2383,1+4*($D$5-$C$5)/($E$5-$C$5),1+4*($E$5-$D$5)/($E$5-$C$5),$C$5,$E$5)</f>
        <v/>
      </c>
      <c r="N2383" s="14">
        <f>IF($AB2383&lt;($D$6-$C$6)/($E$6-$C$6),$C$6+SQRT($AB2383*($E$6-$C$6)*($D$6-$C$6)),$E$6-SQRT((1-$AB2383)*($E$6-$C$6)*($E$6-$D$6)))</f>
        <v/>
      </c>
      <c r="O2383" s="14">
        <f>_xlfn.NORM.INV($AC2383,$C$7,$D$7)</f>
        <v/>
      </c>
      <c r="P2383" s="14">
        <f>$C$8+($D$8-$C$8)*$AD2383</f>
        <v/>
      </c>
      <c r="Q2383" s="14">
        <f>$C$9</f>
        <v/>
      </c>
      <c r="R2383" s="14">
        <f>_xlfn.LOGNORM.INV($AF2383,LN($C$10)-0.5*LN(1+($D$10/$C$10)^2),SQRT(LN(1+($D$10/$C$10)^2)))</f>
        <v/>
      </c>
      <c r="S2383" s="14">
        <f>SUM(M2383:R2383)</f>
        <v/>
      </c>
      <c r="AA2383">
        <f>RAND()</f>
        <v/>
      </c>
      <c r="AB2383">
        <f>RAND()</f>
        <v/>
      </c>
      <c r="AC2383">
        <f>RAND()</f>
        <v/>
      </c>
      <c r="AD2383">
        <f>RAND()</f>
        <v/>
      </c>
      <c r="AE2383">
        <f>RAND()</f>
        <v/>
      </c>
      <c r="AF2383">
        <f>RAND()</f>
        <v/>
      </c>
    </row>
    <row r="2384">
      <c r="M2384" s="14">
        <f>_xlfn.BETA.INV($AA2384,1+4*($D$5-$C$5)/($E$5-$C$5),1+4*($E$5-$D$5)/($E$5-$C$5),$C$5,$E$5)</f>
        <v/>
      </c>
      <c r="N2384" s="14">
        <f>IF($AB2384&lt;($D$6-$C$6)/($E$6-$C$6),$C$6+SQRT($AB2384*($E$6-$C$6)*($D$6-$C$6)),$E$6-SQRT((1-$AB2384)*($E$6-$C$6)*($E$6-$D$6)))</f>
        <v/>
      </c>
      <c r="O2384" s="14">
        <f>_xlfn.NORM.INV($AC2384,$C$7,$D$7)</f>
        <v/>
      </c>
      <c r="P2384" s="14">
        <f>$C$8+($D$8-$C$8)*$AD2384</f>
        <v/>
      </c>
      <c r="Q2384" s="14">
        <f>$C$9</f>
        <v/>
      </c>
      <c r="R2384" s="14">
        <f>_xlfn.LOGNORM.INV($AF2384,LN($C$10)-0.5*LN(1+($D$10/$C$10)^2),SQRT(LN(1+($D$10/$C$10)^2)))</f>
        <v/>
      </c>
      <c r="S2384" s="14">
        <f>SUM(M2384:R2384)</f>
        <v/>
      </c>
      <c r="AA2384">
        <f>RAND()</f>
        <v/>
      </c>
      <c r="AB2384">
        <f>RAND()</f>
        <v/>
      </c>
      <c r="AC2384">
        <f>RAND()</f>
        <v/>
      </c>
      <c r="AD2384">
        <f>RAND()</f>
        <v/>
      </c>
      <c r="AE2384">
        <f>RAND()</f>
        <v/>
      </c>
      <c r="AF2384">
        <f>RAND()</f>
        <v/>
      </c>
    </row>
    <row r="2385">
      <c r="M2385" s="14">
        <f>_xlfn.BETA.INV($AA2385,1+4*($D$5-$C$5)/($E$5-$C$5),1+4*($E$5-$D$5)/($E$5-$C$5),$C$5,$E$5)</f>
        <v/>
      </c>
      <c r="N2385" s="14">
        <f>IF($AB2385&lt;($D$6-$C$6)/($E$6-$C$6),$C$6+SQRT($AB2385*($E$6-$C$6)*($D$6-$C$6)),$E$6-SQRT((1-$AB2385)*($E$6-$C$6)*($E$6-$D$6)))</f>
        <v/>
      </c>
      <c r="O2385" s="14">
        <f>_xlfn.NORM.INV($AC2385,$C$7,$D$7)</f>
        <v/>
      </c>
      <c r="P2385" s="14">
        <f>$C$8+($D$8-$C$8)*$AD2385</f>
        <v/>
      </c>
      <c r="Q2385" s="14">
        <f>$C$9</f>
        <v/>
      </c>
      <c r="R2385" s="14">
        <f>_xlfn.LOGNORM.INV($AF2385,LN($C$10)-0.5*LN(1+($D$10/$C$10)^2),SQRT(LN(1+($D$10/$C$10)^2)))</f>
        <v/>
      </c>
      <c r="S2385" s="14">
        <f>SUM(M2385:R2385)</f>
        <v/>
      </c>
      <c r="AA2385">
        <f>RAND()</f>
        <v/>
      </c>
      <c r="AB2385">
        <f>RAND()</f>
        <v/>
      </c>
      <c r="AC2385">
        <f>RAND()</f>
        <v/>
      </c>
      <c r="AD2385">
        <f>RAND()</f>
        <v/>
      </c>
      <c r="AE2385">
        <f>RAND()</f>
        <v/>
      </c>
      <c r="AF2385">
        <f>RAND()</f>
        <v/>
      </c>
    </row>
    <row r="2386">
      <c r="M2386" s="14">
        <f>_xlfn.BETA.INV($AA2386,1+4*($D$5-$C$5)/($E$5-$C$5),1+4*($E$5-$D$5)/($E$5-$C$5),$C$5,$E$5)</f>
        <v/>
      </c>
      <c r="N2386" s="14">
        <f>IF($AB2386&lt;($D$6-$C$6)/($E$6-$C$6),$C$6+SQRT($AB2386*($E$6-$C$6)*($D$6-$C$6)),$E$6-SQRT((1-$AB2386)*($E$6-$C$6)*($E$6-$D$6)))</f>
        <v/>
      </c>
      <c r="O2386" s="14">
        <f>_xlfn.NORM.INV($AC2386,$C$7,$D$7)</f>
        <v/>
      </c>
      <c r="P2386" s="14">
        <f>$C$8+($D$8-$C$8)*$AD2386</f>
        <v/>
      </c>
      <c r="Q2386" s="14">
        <f>$C$9</f>
        <v/>
      </c>
      <c r="R2386" s="14">
        <f>_xlfn.LOGNORM.INV($AF2386,LN($C$10)-0.5*LN(1+($D$10/$C$10)^2),SQRT(LN(1+($D$10/$C$10)^2)))</f>
        <v/>
      </c>
      <c r="S2386" s="14">
        <f>SUM(M2386:R2386)</f>
        <v/>
      </c>
      <c r="AA2386">
        <f>RAND()</f>
        <v/>
      </c>
      <c r="AB2386">
        <f>RAND()</f>
        <v/>
      </c>
      <c r="AC2386">
        <f>RAND()</f>
        <v/>
      </c>
      <c r="AD2386">
        <f>RAND()</f>
        <v/>
      </c>
      <c r="AE2386">
        <f>RAND()</f>
        <v/>
      </c>
      <c r="AF2386">
        <f>RAND()</f>
        <v/>
      </c>
    </row>
    <row r="2387">
      <c r="M2387" s="14">
        <f>_xlfn.BETA.INV($AA2387,1+4*($D$5-$C$5)/($E$5-$C$5),1+4*($E$5-$D$5)/($E$5-$C$5),$C$5,$E$5)</f>
        <v/>
      </c>
      <c r="N2387" s="14">
        <f>IF($AB2387&lt;($D$6-$C$6)/($E$6-$C$6),$C$6+SQRT($AB2387*($E$6-$C$6)*($D$6-$C$6)),$E$6-SQRT((1-$AB2387)*($E$6-$C$6)*($E$6-$D$6)))</f>
        <v/>
      </c>
      <c r="O2387" s="14">
        <f>_xlfn.NORM.INV($AC2387,$C$7,$D$7)</f>
        <v/>
      </c>
      <c r="P2387" s="14">
        <f>$C$8+($D$8-$C$8)*$AD2387</f>
        <v/>
      </c>
      <c r="Q2387" s="14">
        <f>$C$9</f>
        <v/>
      </c>
      <c r="R2387" s="14">
        <f>_xlfn.LOGNORM.INV($AF2387,LN($C$10)-0.5*LN(1+($D$10/$C$10)^2),SQRT(LN(1+($D$10/$C$10)^2)))</f>
        <v/>
      </c>
      <c r="S2387" s="14">
        <f>SUM(M2387:R2387)</f>
        <v/>
      </c>
      <c r="AA2387">
        <f>RAND()</f>
        <v/>
      </c>
      <c r="AB2387">
        <f>RAND()</f>
        <v/>
      </c>
      <c r="AC2387">
        <f>RAND()</f>
        <v/>
      </c>
      <c r="AD2387">
        <f>RAND()</f>
        <v/>
      </c>
      <c r="AE2387">
        <f>RAND()</f>
        <v/>
      </c>
      <c r="AF2387">
        <f>RAND()</f>
        <v/>
      </c>
    </row>
    <row r="2388">
      <c r="M2388" s="14">
        <f>_xlfn.BETA.INV($AA2388,1+4*($D$5-$C$5)/($E$5-$C$5),1+4*($E$5-$D$5)/($E$5-$C$5),$C$5,$E$5)</f>
        <v/>
      </c>
      <c r="N2388" s="14">
        <f>IF($AB2388&lt;($D$6-$C$6)/($E$6-$C$6),$C$6+SQRT($AB2388*($E$6-$C$6)*($D$6-$C$6)),$E$6-SQRT((1-$AB2388)*($E$6-$C$6)*($E$6-$D$6)))</f>
        <v/>
      </c>
      <c r="O2388" s="14">
        <f>_xlfn.NORM.INV($AC2388,$C$7,$D$7)</f>
        <v/>
      </c>
      <c r="P2388" s="14">
        <f>$C$8+($D$8-$C$8)*$AD2388</f>
        <v/>
      </c>
      <c r="Q2388" s="14">
        <f>$C$9</f>
        <v/>
      </c>
      <c r="R2388" s="14">
        <f>_xlfn.LOGNORM.INV($AF2388,LN($C$10)-0.5*LN(1+($D$10/$C$10)^2),SQRT(LN(1+($D$10/$C$10)^2)))</f>
        <v/>
      </c>
      <c r="S2388" s="14">
        <f>SUM(M2388:R2388)</f>
        <v/>
      </c>
      <c r="AA2388">
        <f>RAND()</f>
        <v/>
      </c>
      <c r="AB2388">
        <f>RAND()</f>
        <v/>
      </c>
      <c r="AC2388">
        <f>RAND()</f>
        <v/>
      </c>
      <c r="AD2388">
        <f>RAND()</f>
        <v/>
      </c>
      <c r="AE2388">
        <f>RAND()</f>
        <v/>
      </c>
      <c r="AF2388">
        <f>RAND()</f>
        <v/>
      </c>
    </row>
    <row r="2389">
      <c r="M2389" s="14">
        <f>_xlfn.BETA.INV($AA2389,1+4*($D$5-$C$5)/($E$5-$C$5),1+4*($E$5-$D$5)/($E$5-$C$5),$C$5,$E$5)</f>
        <v/>
      </c>
      <c r="N2389" s="14">
        <f>IF($AB2389&lt;($D$6-$C$6)/($E$6-$C$6),$C$6+SQRT($AB2389*($E$6-$C$6)*($D$6-$C$6)),$E$6-SQRT((1-$AB2389)*($E$6-$C$6)*($E$6-$D$6)))</f>
        <v/>
      </c>
      <c r="O2389" s="14">
        <f>_xlfn.NORM.INV($AC2389,$C$7,$D$7)</f>
        <v/>
      </c>
      <c r="P2389" s="14">
        <f>$C$8+($D$8-$C$8)*$AD2389</f>
        <v/>
      </c>
      <c r="Q2389" s="14">
        <f>$C$9</f>
        <v/>
      </c>
      <c r="R2389" s="14">
        <f>_xlfn.LOGNORM.INV($AF2389,LN($C$10)-0.5*LN(1+($D$10/$C$10)^2),SQRT(LN(1+($D$10/$C$10)^2)))</f>
        <v/>
      </c>
      <c r="S2389" s="14">
        <f>SUM(M2389:R2389)</f>
        <v/>
      </c>
      <c r="AA2389">
        <f>RAND()</f>
        <v/>
      </c>
      <c r="AB2389">
        <f>RAND()</f>
        <v/>
      </c>
      <c r="AC2389">
        <f>RAND()</f>
        <v/>
      </c>
      <c r="AD2389">
        <f>RAND()</f>
        <v/>
      </c>
      <c r="AE2389">
        <f>RAND()</f>
        <v/>
      </c>
      <c r="AF2389">
        <f>RAND()</f>
        <v/>
      </c>
    </row>
    <row r="2390">
      <c r="M2390" s="14">
        <f>_xlfn.BETA.INV($AA2390,1+4*($D$5-$C$5)/($E$5-$C$5),1+4*($E$5-$D$5)/($E$5-$C$5),$C$5,$E$5)</f>
        <v/>
      </c>
      <c r="N2390" s="14">
        <f>IF($AB2390&lt;($D$6-$C$6)/($E$6-$C$6),$C$6+SQRT($AB2390*($E$6-$C$6)*($D$6-$C$6)),$E$6-SQRT((1-$AB2390)*($E$6-$C$6)*($E$6-$D$6)))</f>
        <v/>
      </c>
      <c r="O2390" s="14">
        <f>_xlfn.NORM.INV($AC2390,$C$7,$D$7)</f>
        <v/>
      </c>
      <c r="P2390" s="14">
        <f>$C$8+($D$8-$C$8)*$AD2390</f>
        <v/>
      </c>
      <c r="Q2390" s="14">
        <f>$C$9</f>
        <v/>
      </c>
      <c r="R2390" s="14">
        <f>_xlfn.LOGNORM.INV($AF2390,LN($C$10)-0.5*LN(1+($D$10/$C$10)^2),SQRT(LN(1+($D$10/$C$10)^2)))</f>
        <v/>
      </c>
      <c r="S2390" s="14">
        <f>SUM(M2390:R2390)</f>
        <v/>
      </c>
      <c r="AA2390">
        <f>RAND()</f>
        <v/>
      </c>
      <c r="AB2390">
        <f>RAND()</f>
        <v/>
      </c>
      <c r="AC2390">
        <f>RAND()</f>
        <v/>
      </c>
      <c r="AD2390">
        <f>RAND()</f>
        <v/>
      </c>
      <c r="AE2390">
        <f>RAND()</f>
        <v/>
      </c>
      <c r="AF2390">
        <f>RAND()</f>
        <v/>
      </c>
    </row>
    <row r="2391">
      <c r="M2391" s="14">
        <f>_xlfn.BETA.INV($AA2391,1+4*($D$5-$C$5)/($E$5-$C$5),1+4*($E$5-$D$5)/($E$5-$C$5),$C$5,$E$5)</f>
        <v/>
      </c>
      <c r="N2391" s="14">
        <f>IF($AB2391&lt;($D$6-$C$6)/($E$6-$C$6),$C$6+SQRT($AB2391*($E$6-$C$6)*($D$6-$C$6)),$E$6-SQRT((1-$AB2391)*($E$6-$C$6)*($E$6-$D$6)))</f>
        <v/>
      </c>
      <c r="O2391" s="14">
        <f>_xlfn.NORM.INV($AC2391,$C$7,$D$7)</f>
        <v/>
      </c>
      <c r="P2391" s="14">
        <f>$C$8+($D$8-$C$8)*$AD2391</f>
        <v/>
      </c>
      <c r="Q2391" s="14">
        <f>$C$9</f>
        <v/>
      </c>
      <c r="R2391" s="14">
        <f>_xlfn.LOGNORM.INV($AF2391,LN($C$10)-0.5*LN(1+($D$10/$C$10)^2),SQRT(LN(1+($D$10/$C$10)^2)))</f>
        <v/>
      </c>
      <c r="S2391" s="14">
        <f>SUM(M2391:R2391)</f>
        <v/>
      </c>
      <c r="AA2391">
        <f>RAND()</f>
        <v/>
      </c>
      <c r="AB2391">
        <f>RAND()</f>
        <v/>
      </c>
      <c r="AC2391">
        <f>RAND()</f>
        <v/>
      </c>
      <c r="AD2391">
        <f>RAND()</f>
        <v/>
      </c>
      <c r="AE2391">
        <f>RAND()</f>
        <v/>
      </c>
      <c r="AF2391">
        <f>RAND()</f>
        <v/>
      </c>
    </row>
    <row r="2392">
      <c r="M2392" s="14">
        <f>_xlfn.BETA.INV($AA2392,1+4*($D$5-$C$5)/($E$5-$C$5),1+4*($E$5-$D$5)/($E$5-$C$5),$C$5,$E$5)</f>
        <v/>
      </c>
      <c r="N2392" s="14">
        <f>IF($AB2392&lt;($D$6-$C$6)/($E$6-$C$6),$C$6+SQRT($AB2392*($E$6-$C$6)*($D$6-$C$6)),$E$6-SQRT((1-$AB2392)*($E$6-$C$6)*($E$6-$D$6)))</f>
        <v/>
      </c>
      <c r="O2392" s="14">
        <f>_xlfn.NORM.INV($AC2392,$C$7,$D$7)</f>
        <v/>
      </c>
      <c r="P2392" s="14">
        <f>$C$8+($D$8-$C$8)*$AD2392</f>
        <v/>
      </c>
      <c r="Q2392" s="14">
        <f>$C$9</f>
        <v/>
      </c>
      <c r="R2392" s="14">
        <f>_xlfn.LOGNORM.INV($AF2392,LN($C$10)-0.5*LN(1+($D$10/$C$10)^2),SQRT(LN(1+($D$10/$C$10)^2)))</f>
        <v/>
      </c>
      <c r="S2392" s="14">
        <f>SUM(M2392:R2392)</f>
        <v/>
      </c>
      <c r="AA2392">
        <f>RAND()</f>
        <v/>
      </c>
      <c r="AB2392">
        <f>RAND()</f>
        <v/>
      </c>
      <c r="AC2392">
        <f>RAND()</f>
        <v/>
      </c>
      <c r="AD2392">
        <f>RAND()</f>
        <v/>
      </c>
      <c r="AE2392">
        <f>RAND()</f>
        <v/>
      </c>
      <c r="AF2392">
        <f>RAND()</f>
        <v/>
      </c>
    </row>
    <row r="2393">
      <c r="M2393" s="14">
        <f>_xlfn.BETA.INV($AA2393,1+4*($D$5-$C$5)/($E$5-$C$5),1+4*($E$5-$D$5)/($E$5-$C$5),$C$5,$E$5)</f>
        <v/>
      </c>
      <c r="N2393" s="14">
        <f>IF($AB2393&lt;($D$6-$C$6)/($E$6-$C$6),$C$6+SQRT($AB2393*($E$6-$C$6)*($D$6-$C$6)),$E$6-SQRT((1-$AB2393)*($E$6-$C$6)*($E$6-$D$6)))</f>
        <v/>
      </c>
      <c r="O2393" s="14">
        <f>_xlfn.NORM.INV($AC2393,$C$7,$D$7)</f>
        <v/>
      </c>
      <c r="P2393" s="14">
        <f>$C$8+($D$8-$C$8)*$AD2393</f>
        <v/>
      </c>
      <c r="Q2393" s="14">
        <f>$C$9</f>
        <v/>
      </c>
      <c r="R2393" s="14">
        <f>_xlfn.LOGNORM.INV($AF2393,LN($C$10)-0.5*LN(1+($D$10/$C$10)^2),SQRT(LN(1+($D$10/$C$10)^2)))</f>
        <v/>
      </c>
      <c r="S2393" s="14">
        <f>SUM(M2393:R2393)</f>
        <v/>
      </c>
      <c r="AA2393">
        <f>RAND()</f>
        <v/>
      </c>
      <c r="AB2393">
        <f>RAND()</f>
        <v/>
      </c>
      <c r="AC2393">
        <f>RAND()</f>
        <v/>
      </c>
      <c r="AD2393">
        <f>RAND()</f>
        <v/>
      </c>
      <c r="AE2393">
        <f>RAND()</f>
        <v/>
      </c>
      <c r="AF2393">
        <f>RAND()</f>
        <v/>
      </c>
    </row>
    <row r="2394">
      <c r="M2394" s="14">
        <f>_xlfn.BETA.INV($AA2394,1+4*($D$5-$C$5)/($E$5-$C$5),1+4*($E$5-$D$5)/($E$5-$C$5),$C$5,$E$5)</f>
        <v/>
      </c>
      <c r="N2394" s="14">
        <f>IF($AB2394&lt;($D$6-$C$6)/($E$6-$C$6),$C$6+SQRT($AB2394*($E$6-$C$6)*($D$6-$C$6)),$E$6-SQRT((1-$AB2394)*($E$6-$C$6)*($E$6-$D$6)))</f>
        <v/>
      </c>
      <c r="O2394" s="14">
        <f>_xlfn.NORM.INV($AC2394,$C$7,$D$7)</f>
        <v/>
      </c>
      <c r="P2394" s="14">
        <f>$C$8+($D$8-$C$8)*$AD2394</f>
        <v/>
      </c>
      <c r="Q2394" s="14">
        <f>$C$9</f>
        <v/>
      </c>
      <c r="R2394" s="14">
        <f>_xlfn.LOGNORM.INV($AF2394,LN($C$10)-0.5*LN(1+($D$10/$C$10)^2),SQRT(LN(1+($D$10/$C$10)^2)))</f>
        <v/>
      </c>
      <c r="S2394" s="14">
        <f>SUM(M2394:R2394)</f>
        <v/>
      </c>
      <c r="AA2394">
        <f>RAND()</f>
        <v/>
      </c>
      <c r="AB2394">
        <f>RAND()</f>
        <v/>
      </c>
      <c r="AC2394">
        <f>RAND()</f>
        <v/>
      </c>
      <c r="AD2394">
        <f>RAND()</f>
        <v/>
      </c>
      <c r="AE2394">
        <f>RAND()</f>
        <v/>
      </c>
      <c r="AF2394">
        <f>RAND()</f>
        <v/>
      </c>
    </row>
    <row r="2395">
      <c r="M2395" s="14">
        <f>_xlfn.BETA.INV($AA2395,1+4*($D$5-$C$5)/($E$5-$C$5),1+4*($E$5-$D$5)/($E$5-$C$5),$C$5,$E$5)</f>
        <v/>
      </c>
      <c r="N2395" s="14">
        <f>IF($AB2395&lt;($D$6-$C$6)/($E$6-$C$6),$C$6+SQRT($AB2395*($E$6-$C$6)*($D$6-$C$6)),$E$6-SQRT((1-$AB2395)*($E$6-$C$6)*($E$6-$D$6)))</f>
        <v/>
      </c>
      <c r="O2395" s="14">
        <f>_xlfn.NORM.INV($AC2395,$C$7,$D$7)</f>
        <v/>
      </c>
      <c r="P2395" s="14">
        <f>$C$8+($D$8-$C$8)*$AD2395</f>
        <v/>
      </c>
      <c r="Q2395" s="14">
        <f>$C$9</f>
        <v/>
      </c>
      <c r="R2395" s="14">
        <f>_xlfn.LOGNORM.INV($AF2395,LN($C$10)-0.5*LN(1+($D$10/$C$10)^2),SQRT(LN(1+($D$10/$C$10)^2)))</f>
        <v/>
      </c>
      <c r="S2395" s="14">
        <f>SUM(M2395:R2395)</f>
        <v/>
      </c>
      <c r="AA2395">
        <f>RAND()</f>
        <v/>
      </c>
      <c r="AB2395">
        <f>RAND()</f>
        <v/>
      </c>
      <c r="AC2395">
        <f>RAND()</f>
        <v/>
      </c>
      <c r="AD2395">
        <f>RAND()</f>
        <v/>
      </c>
      <c r="AE2395">
        <f>RAND()</f>
        <v/>
      </c>
      <c r="AF2395">
        <f>RAND()</f>
        <v/>
      </c>
    </row>
    <row r="2396">
      <c r="M2396" s="14">
        <f>_xlfn.BETA.INV($AA2396,1+4*($D$5-$C$5)/($E$5-$C$5),1+4*($E$5-$D$5)/($E$5-$C$5),$C$5,$E$5)</f>
        <v/>
      </c>
      <c r="N2396" s="14">
        <f>IF($AB2396&lt;($D$6-$C$6)/($E$6-$C$6),$C$6+SQRT($AB2396*($E$6-$C$6)*($D$6-$C$6)),$E$6-SQRT((1-$AB2396)*($E$6-$C$6)*($E$6-$D$6)))</f>
        <v/>
      </c>
      <c r="O2396" s="14">
        <f>_xlfn.NORM.INV($AC2396,$C$7,$D$7)</f>
        <v/>
      </c>
      <c r="P2396" s="14">
        <f>$C$8+($D$8-$C$8)*$AD2396</f>
        <v/>
      </c>
      <c r="Q2396" s="14">
        <f>$C$9</f>
        <v/>
      </c>
      <c r="R2396" s="14">
        <f>_xlfn.LOGNORM.INV($AF2396,LN($C$10)-0.5*LN(1+($D$10/$C$10)^2),SQRT(LN(1+($D$10/$C$10)^2)))</f>
        <v/>
      </c>
      <c r="S2396" s="14">
        <f>SUM(M2396:R2396)</f>
        <v/>
      </c>
      <c r="AA2396">
        <f>RAND()</f>
        <v/>
      </c>
      <c r="AB2396">
        <f>RAND()</f>
        <v/>
      </c>
      <c r="AC2396">
        <f>RAND()</f>
        <v/>
      </c>
      <c r="AD2396">
        <f>RAND()</f>
        <v/>
      </c>
      <c r="AE2396">
        <f>RAND()</f>
        <v/>
      </c>
      <c r="AF2396">
        <f>RAND()</f>
        <v/>
      </c>
    </row>
    <row r="2397">
      <c r="M2397" s="14">
        <f>_xlfn.BETA.INV($AA2397,1+4*($D$5-$C$5)/($E$5-$C$5),1+4*($E$5-$D$5)/($E$5-$C$5),$C$5,$E$5)</f>
        <v/>
      </c>
      <c r="N2397" s="14">
        <f>IF($AB2397&lt;($D$6-$C$6)/($E$6-$C$6),$C$6+SQRT($AB2397*($E$6-$C$6)*($D$6-$C$6)),$E$6-SQRT((1-$AB2397)*($E$6-$C$6)*($E$6-$D$6)))</f>
        <v/>
      </c>
      <c r="O2397" s="14">
        <f>_xlfn.NORM.INV($AC2397,$C$7,$D$7)</f>
        <v/>
      </c>
      <c r="P2397" s="14">
        <f>$C$8+($D$8-$C$8)*$AD2397</f>
        <v/>
      </c>
      <c r="Q2397" s="14">
        <f>$C$9</f>
        <v/>
      </c>
      <c r="R2397" s="14">
        <f>_xlfn.LOGNORM.INV($AF2397,LN($C$10)-0.5*LN(1+($D$10/$C$10)^2),SQRT(LN(1+($D$10/$C$10)^2)))</f>
        <v/>
      </c>
      <c r="S2397" s="14">
        <f>SUM(M2397:R2397)</f>
        <v/>
      </c>
      <c r="AA2397">
        <f>RAND()</f>
        <v/>
      </c>
      <c r="AB2397">
        <f>RAND()</f>
        <v/>
      </c>
      <c r="AC2397">
        <f>RAND()</f>
        <v/>
      </c>
      <c r="AD2397">
        <f>RAND()</f>
        <v/>
      </c>
      <c r="AE2397">
        <f>RAND()</f>
        <v/>
      </c>
      <c r="AF2397">
        <f>RAND()</f>
        <v/>
      </c>
    </row>
    <row r="2398">
      <c r="M2398" s="14">
        <f>_xlfn.BETA.INV($AA2398,1+4*($D$5-$C$5)/($E$5-$C$5),1+4*($E$5-$D$5)/($E$5-$C$5),$C$5,$E$5)</f>
        <v/>
      </c>
      <c r="N2398" s="14">
        <f>IF($AB2398&lt;($D$6-$C$6)/($E$6-$C$6),$C$6+SQRT($AB2398*($E$6-$C$6)*($D$6-$C$6)),$E$6-SQRT((1-$AB2398)*($E$6-$C$6)*($E$6-$D$6)))</f>
        <v/>
      </c>
      <c r="O2398" s="14">
        <f>_xlfn.NORM.INV($AC2398,$C$7,$D$7)</f>
        <v/>
      </c>
      <c r="P2398" s="14">
        <f>$C$8+($D$8-$C$8)*$AD2398</f>
        <v/>
      </c>
      <c r="Q2398" s="14">
        <f>$C$9</f>
        <v/>
      </c>
      <c r="R2398" s="14">
        <f>_xlfn.LOGNORM.INV($AF2398,LN($C$10)-0.5*LN(1+($D$10/$C$10)^2),SQRT(LN(1+($D$10/$C$10)^2)))</f>
        <v/>
      </c>
      <c r="S2398" s="14">
        <f>SUM(M2398:R2398)</f>
        <v/>
      </c>
      <c r="AA2398">
        <f>RAND()</f>
        <v/>
      </c>
      <c r="AB2398">
        <f>RAND()</f>
        <v/>
      </c>
      <c r="AC2398">
        <f>RAND()</f>
        <v/>
      </c>
      <c r="AD2398">
        <f>RAND()</f>
        <v/>
      </c>
      <c r="AE2398">
        <f>RAND()</f>
        <v/>
      </c>
      <c r="AF2398">
        <f>RAND()</f>
        <v/>
      </c>
    </row>
    <row r="2399">
      <c r="M2399" s="14">
        <f>_xlfn.BETA.INV($AA2399,1+4*($D$5-$C$5)/($E$5-$C$5),1+4*($E$5-$D$5)/($E$5-$C$5),$C$5,$E$5)</f>
        <v/>
      </c>
      <c r="N2399" s="14">
        <f>IF($AB2399&lt;($D$6-$C$6)/($E$6-$C$6),$C$6+SQRT($AB2399*($E$6-$C$6)*($D$6-$C$6)),$E$6-SQRT((1-$AB2399)*($E$6-$C$6)*($E$6-$D$6)))</f>
        <v/>
      </c>
      <c r="O2399" s="14">
        <f>_xlfn.NORM.INV($AC2399,$C$7,$D$7)</f>
        <v/>
      </c>
      <c r="P2399" s="14">
        <f>$C$8+($D$8-$C$8)*$AD2399</f>
        <v/>
      </c>
      <c r="Q2399" s="14">
        <f>$C$9</f>
        <v/>
      </c>
      <c r="R2399" s="14">
        <f>_xlfn.LOGNORM.INV($AF2399,LN($C$10)-0.5*LN(1+($D$10/$C$10)^2),SQRT(LN(1+($D$10/$C$10)^2)))</f>
        <v/>
      </c>
      <c r="S2399" s="14">
        <f>SUM(M2399:R2399)</f>
        <v/>
      </c>
      <c r="AA2399">
        <f>RAND()</f>
        <v/>
      </c>
      <c r="AB2399">
        <f>RAND()</f>
        <v/>
      </c>
      <c r="AC2399">
        <f>RAND()</f>
        <v/>
      </c>
      <c r="AD2399">
        <f>RAND()</f>
        <v/>
      </c>
      <c r="AE2399">
        <f>RAND()</f>
        <v/>
      </c>
      <c r="AF2399">
        <f>RAND()</f>
        <v/>
      </c>
    </row>
    <row r="2400">
      <c r="M2400" s="14">
        <f>_xlfn.BETA.INV($AA2400,1+4*($D$5-$C$5)/($E$5-$C$5),1+4*($E$5-$D$5)/($E$5-$C$5),$C$5,$E$5)</f>
        <v/>
      </c>
      <c r="N2400" s="14">
        <f>IF($AB2400&lt;($D$6-$C$6)/($E$6-$C$6),$C$6+SQRT($AB2400*($E$6-$C$6)*($D$6-$C$6)),$E$6-SQRT((1-$AB2400)*($E$6-$C$6)*($E$6-$D$6)))</f>
        <v/>
      </c>
      <c r="O2400" s="14">
        <f>_xlfn.NORM.INV($AC2400,$C$7,$D$7)</f>
        <v/>
      </c>
      <c r="P2400" s="14">
        <f>$C$8+($D$8-$C$8)*$AD2400</f>
        <v/>
      </c>
      <c r="Q2400" s="14">
        <f>$C$9</f>
        <v/>
      </c>
      <c r="R2400" s="14">
        <f>_xlfn.LOGNORM.INV($AF2400,LN($C$10)-0.5*LN(1+($D$10/$C$10)^2),SQRT(LN(1+($D$10/$C$10)^2)))</f>
        <v/>
      </c>
      <c r="S2400" s="14">
        <f>SUM(M2400:R2400)</f>
        <v/>
      </c>
      <c r="AA2400">
        <f>RAND()</f>
        <v/>
      </c>
      <c r="AB2400">
        <f>RAND()</f>
        <v/>
      </c>
      <c r="AC2400">
        <f>RAND()</f>
        <v/>
      </c>
      <c r="AD2400">
        <f>RAND()</f>
        <v/>
      </c>
      <c r="AE2400">
        <f>RAND()</f>
        <v/>
      </c>
      <c r="AF2400">
        <f>RAND()</f>
        <v/>
      </c>
    </row>
    <row r="2401">
      <c r="M2401" s="14">
        <f>_xlfn.BETA.INV($AA2401,1+4*($D$5-$C$5)/($E$5-$C$5),1+4*($E$5-$D$5)/($E$5-$C$5),$C$5,$E$5)</f>
        <v/>
      </c>
      <c r="N2401" s="14">
        <f>IF($AB2401&lt;($D$6-$C$6)/($E$6-$C$6),$C$6+SQRT($AB2401*($E$6-$C$6)*($D$6-$C$6)),$E$6-SQRT((1-$AB2401)*($E$6-$C$6)*($E$6-$D$6)))</f>
        <v/>
      </c>
      <c r="O2401" s="14">
        <f>_xlfn.NORM.INV($AC2401,$C$7,$D$7)</f>
        <v/>
      </c>
      <c r="P2401" s="14">
        <f>$C$8+($D$8-$C$8)*$AD2401</f>
        <v/>
      </c>
      <c r="Q2401" s="14">
        <f>$C$9</f>
        <v/>
      </c>
      <c r="R2401" s="14">
        <f>_xlfn.LOGNORM.INV($AF2401,LN($C$10)-0.5*LN(1+($D$10/$C$10)^2),SQRT(LN(1+($D$10/$C$10)^2)))</f>
        <v/>
      </c>
      <c r="S2401" s="14">
        <f>SUM(M2401:R2401)</f>
        <v/>
      </c>
      <c r="AA2401">
        <f>RAND()</f>
        <v/>
      </c>
      <c r="AB2401">
        <f>RAND()</f>
        <v/>
      </c>
      <c r="AC2401">
        <f>RAND()</f>
        <v/>
      </c>
      <c r="AD2401">
        <f>RAND()</f>
        <v/>
      </c>
      <c r="AE2401">
        <f>RAND()</f>
        <v/>
      </c>
      <c r="AF2401">
        <f>RAND()</f>
        <v/>
      </c>
    </row>
    <row r="2402">
      <c r="M2402" s="14">
        <f>_xlfn.BETA.INV($AA2402,1+4*($D$5-$C$5)/($E$5-$C$5),1+4*($E$5-$D$5)/($E$5-$C$5),$C$5,$E$5)</f>
        <v/>
      </c>
      <c r="N2402" s="14">
        <f>IF($AB2402&lt;($D$6-$C$6)/($E$6-$C$6),$C$6+SQRT($AB2402*($E$6-$C$6)*($D$6-$C$6)),$E$6-SQRT((1-$AB2402)*($E$6-$C$6)*($E$6-$D$6)))</f>
        <v/>
      </c>
      <c r="O2402" s="14">
        <f>_xlfn.NORM.INV($AC2402,$C$7,$D$7)</f>
        <v/>
      </c>
      <c r="P2402" s="14">
        <f>$C$8+($D$8-$C$8)*$AD2402</f>
        <v/>
      </c>
      <c r="Q2402" s="14">
        <f>$C$9</f>
        <v/>
      </c>
      <c r="R2402" s="14">
        <f>_xlfn.LOGNORM.INV($AF2402,LN($C$10)-0.5*LN(1+($D$10/$C$10)^2),SQRT(LN(1+($D$10/$C$10)^2)))</f>
        <v/>
      </c>
      <c r="S2402" s="14">
        <f>SUM(M2402:R2402)</f>
        <v/>
      </c>
      <c r="AA2402">
        <f>RAND()</f>
        <v/>
      </c>
      <c r="AB2402">
        <f>RAND()</f>
        <v/>
      </c>
      <c r="AC2402">
        <f>RAND()</f>
        <v/>
      </c>
      <c r="AD2402">
        <f>RAND()</f>
        <v/>
      </c>
      <c r="AE2402">
        <f>RAND()</f>
        <v/>
      </c>
      <c r="AF2402">
        <f>RAND()</f>
        <v/>
      </c>
    </row>
    <row r="2403">
      <c r="M2403" s="14">
        <f>_xlfn.BETA.INV($AA2403,1+4*($D$5-$C$5)/($E$5-$C$5),1+4*($E$5-$D$5)/($E$5-$C$5),$C$5,$E$5)</f>
        <v/>
      </c>
      <c r="N2403" s="14">
        <f>IF($AB2403&lt;($D$6-$C$6)/($E$6-$C$6),$C$6+SQRT($AB2403*($E$6-$C$6)*($D$6-$C$6)),$E$6-SQRT((1-$AB2403)*($E$6-$C$6)*($E$6-$D$6)))</f>
        <v/>
      </c>
      <c r="O2403" s="14">
        <f>_xlfn.NORM.INV($AC2403,$C$7,$D$7)</f>
        <v/>
      </c>
      <c r="P2403" s="14">
        <f>$C$8+($D$8-$C$8)*$AD2403</f>
        <v/>
      </c>
      <c r="Q2403" s="14">
        <f>$C$9</f>
        <v/>
      </c>
      <c r="R2403" s="14">
        <f>_xlfn.LOGNORM.INV($AF2403,LN($C$10)-0.5*LN(1+($D$10/$C$10)^2),SQRT(LN(1+($D$10/$C$10)^2)))</f>
        <v/>
      </c>
      <c r="S2403" s="14">
        <f>SUM(M2403:R2403)</f>
        <v/>
      </c>
      <c r="AA2403">
        <f>RAND()</f>
        <v/>
      </c>
      <c r="AB2403">
        <f>RAND()</f>
        <v/>
      </c>
      <c r="AC2403">
        <f>RAND()</f>
        <v/>
      </c>
      <c r="AD2403">
        <f>RAND()</f>
        <v/>
      </c>
      <c r="AE2403">
        <f>RAND()</f>
        <v/>
      </c>
      <c r="AF2403">
        <f>RAND()</f>
        <v/>
      </c>
    </row>
    <row r="2404">
      <c r="M2404" s="14">
        <f>_xlfn.BETA.INV($AA2404,1+4*($D$5-$C$5)/($E$5-$C$5),1+4*($E$5-$D$5)/($E$5-$C$5),$C$5,$E$5)</f>
        <v/>
      </c>
      <c r="N2404" s="14">
        <f>IF($AB2404&lt;($D$6-$C$6)/($E$6-$C$6),$C$6+SQRT($AB2404*($E$6-$C$6)*($D$6-$C$6)),$E$6-SQRT((1-$AB2404)*($E$6-$C$6)*($E$6-$D$6)))</f>
        <v/>
      </c>
      <c r="O2404" s="14">
        <f>_xlfn.NORM.INV($AC2404,$C$7,$D$7)</f>
        <v/>
      </c>
      <c r="P2404" s="14">
        <f>$C$8+($D$8-$C$8)*$AD2404</f>
        <v/>
      </c>
      <c r="Q2404" s="14">
        <f>$C$9</f>
        <v/>
      </c>
      <c r="R2404" s="14">
        <f>_xlfn.LOGNORM.INV($AF2404,LN($C$10)-0.5*LN(1+($D$10/$C$10)^2),SQRT(LN(1+($D$10/$C$10)^2)))</f>
        <v/>
      </c>
      <c r="S2404" s="14">
        <f>SUM(M2404:R2404)</f>
        <v/>
      </c>
      <c r="AA2404">
        <f>RAND()</f>
        <v/>
      </c>
      <c r="AB2404">
        <f>RAND()</f>
        <v/>
      </c>
      <c r="AC2404">
        <f>RAND()</f>
        <v/>
      </c>
      <c r="AD2404">
        <f>RAND()</f>
        <v/>
      </c>
      <c r="AE2404">
        <f>RAND()</f>
        <v/>
      </c>
      <c r="AF2404">
        <f>RAND()</f>
        <v/>
      </c>
    </row>
    <row r="2405">
      <c r="M2405" s="14">
        <f>_xlfn.BETA.INV($AA2405,1+4*($D$5-$C$5)/($E$5-$C$5),1+4*($E$5-$D$5)/($E$5-$C$5),$C$5,$E$5)</f>
        <v/>
      </c>
      <c r="N2405" s="14">
        <f>IF($AB2405&lt;($D$6-$C$6)/($E$6-$C$6),$C$6+SQRT($AB2405*($E$6-$C$6)*($D$6-$C$6)),$E$6-SQRT((1-$AB2405)*($E$6-$C$6)*($E$6-$D$6)))</f>
        <v/>
      </c>
      <c r="O2405" s="14">
        <f>_xlfn.NORM.INV($AC2405,$C$7,$D$7)</f>
        <v/>
      </c>
      <c r="P2405" s="14">
        <f>$C$8+($D$8-$C$8)*$AD2405</f>
        <v/>
      </c>
      <c r="Q2405" s="14">
        <f>$C$9</f>
        <v/>
      </c>
      <c r="R2405" s="14">
        <f>_xlfn.LOGNORM.INV($AF2405,LN($C$10)-0.5*LN(1+($D$10/$C$10)^2),SQRT(LN(1+($D$10/$C$10)^2)))</f>
        <v/>
      </c>
      <c r="S2405" s="14">
        <f>SUM(M2405:R2405)</f>
        <v/>
      </c>
      <c r="AA2405">
        <f>RAND()</f>
        <v/>
      </c>
      <c r="AB2405">
        <f>RAND()</f>
        <v/>
      </c>
      <c r="AC2405">
        <f>RAND()</f>
        <v/>
      </c>
      <c r="AD2405">
        <f>RAND()</f>
        <v/>
      </c>
      <c r="AE2405">
        <f>RAND()</f>
        <v/>
      </c>
      <c r="AF2405">
        <f>RAND()</f>
        <v/>
      </c>
    </row>
    <row r="2406">
      <c r="M2406" s="14">
        <f>_xlfn.BETA.INV($AA2406,1+4*($D$5-$C$5)/($E$5-$C$5),1+4*($E$5-$D$5)/($E$5-$C$5),$C$5,$E$5)</f>
        <v/>
      </c>
      <c r="N2406" s="14">
        <f>IF($AB2406&lt;($D$6-$C$6)/($E$6-$C$6),$C$6+SQRT($AB2406*($E$6-$C$6)*($D$6-$C$6)),$E$6-SQRT((1-$AB2406)*($E$6-$C$6)*($E$6-$D$6)))</f>
        <v/>
      </c>
      <c r="O2406" s="14">
        <f>_xlfn.NORM.INV($AC2406,$C$7,$D$7)</f>
        <v/>
      </c>
      <c r="P2406" s="14">
        <f>$C$8+($D$8-$C$8)*$AD2406</f>
        <v/>
      </c>
      <c r="Q2406" s="14">
        <f>$C$9</f>
        <v/>
      </c>
      <c r="R2406" s="14">
        <f>_xlfn.LOGNORM.INV($AF2406,LN($C$10)-0.5*LN(1+($D$10/$C$10)^2),SQRT(LN(1+($D$10/$C$10)^2)))</f>
        <v/>
      </c>
      <c r="S2406" s="14">
        <f>SUM(M2406:R2406)</f>
        <v/>
      </c>
      <c r="AA2406">
        <f>RAND()</f>
        <v/>
      </c>
      <c r="AB2406">
        <f>RAND()</f>
        <v/>
      </c>
      <c r="AC2406">
        <f>RAND()</f>
        <v/>
      </c>
      <c r="AD2406">
        <f>RAND()</f>
        <v/>
      </c>
      <c r="AE2406">
        <f>RAND()</f>
        <v/>
      </c>
      <c r="AF2406">
        <f>RAND()</f>
        <v/>
      </c>
    </row>
    <row r="2407">
      <c r="M2407" s="14">
        <f>_xlfn.BETA.INV($AA2407,1+4*($D$5-$C$5)/($E$5-$C$5),1+4*($E$5-$D$5)/($E$5-$C$5),$C$5,$E$5)</f>
        <v/>
      </c>
      <c r="N2407" s="14">
        <f>IF($AB2407&lt;($D$6-$C$6)/($E$6-$C$6),$C$6+SQRT($AB2407*($E$6-$C$6)*($D$6-$C$6)),$E$6-SQRT((1-$AB2407)*($E$6-$C$6)*($E$6-$D$6)))</f>
        <v/>
      </c>
      <c r="O2407" s="14">
        <f>_xlfn.NORM.INV($AC2407,$C$7,$D$7)</f>
        <v/>
      </c>
      <c r="P2407" s="14">
        <f>$C$8+($D$8-$C$8)*$AD2407</f>
        <v/>
      </c>
      <c r="Q2407" s="14">
        <f>$C$9</f>
        <v/>
      </c>
      <c r="R2407" s="14">
        <f>_xlfn.LOGNORM.INV($AF2407,LN($C$10)-0.5*LN(1+($D$10/$C$10)^2),SQRT(LN(1+($D$10/$C$10)^2)))</f>
        <v/>
      </c>
      <c r="S2407" s="14">
        <f>SUM(M2407:R2407)</f>
        <v/>
      </c>
      <c r="AA2407">
        <f>RAND()</f>
        <v/>
      </c>
      <c r="AB2407">
        <f>RAND()</f>
        <v/>
      </c>
      <c r="AC2407">
        <f>RAND()</f>
        <v/>
      </c>
      <c r="AD2407">
        <f>RAND()</f>
        <v/>
      </c>
      <c r="AE2407">
        <f>RAND()</f>
        <v/>
      </c>
      <c r="AF2407">
        <f>RAND()</f>
        <v/>
      </c>
    </row>
    <row r="2408">
      <c r="M2408" s="14">
        <f>_xlfn.BETA.INV($AA2408,1+4*($D$5-$C$5)/($E$5-$C$5),1+4*($E$5-$D$5)/($E$5-$C$5),$C$5,$E$5)</f>
        <v/>
      </c>
      <c r="N2408" s="14">
        <f>IF($AB2408&lt;($D$6-$C$6)/($E$6-$C$6),$C$6+SQRT($AB2408*($E$6-$C$6)*($D$6-$C$6)),$E$6-SQRT((1-$AB2408)*($E$6-$C$6)*($E$6-$D$6)))</f>
        <v/>
      </c>
      <c r="O2408" s="14">
        <f>_xlfn.NORM.INV($AC2408,$C$7,$D$7)</f>
        <v/>
      </c>
      <c r="P2408" s="14">
        <f>$C$8+($D$8-$C$8)*$AD2408</f>
        <v/>
      </c>
      <c r="Q2408" s="14">
        <f>$C$9</f>
        <v/>
      </c>
      <c r="R2408" s="14">
        <f>_xlfn.LOGNORM.INV($AF2408,LN($C$10)-0.5*LN(1+($D$10/$C$10)^2),SQRT(LN(1+($D$10/$C$10)^2)))</f>
        <v/>
      </c>
      <c r="S2408" s="14">
        <f>SUM(M2408:R2408)</f>
        <v/>
      </c>
      <c r="AA2408">
        <f>RAND()</f>
        <v/>
      </c>
      <c r="AB2408">
        <f>RAND()</f>
        <v/>
      </c>
      <c r="AC2408">
        <f>RAND()</f>
        <v/>
      </c>
      <c r="AD2408">
        <f>RAND()</f>
        <v/>
      </c>
      <c r="AE2408">
        <f>RAND()</f>
        <v/>
      </c>
      <c r="AF2408">
        <f>RAND()</f>
        <v/>
      </c>
    </row>
    <row r="2409">
      <c r="M2409" s="14">
        <f>_xlfn.BETA.INV($AA2409,1+4*($D$5-$C$5)/($E$5-$C$5),1+4*($E$5-$D$5)/($E$5-$C$5),$C$5,$E$5)</f>
        <v/>
      </c>
      <c r="N2409" s="14">
        <f>IF($AB2409&lt;($D$6-$C$6)/($E$6-$C$6),$C$6+SQRT($AB2409*($E$6-$C$6)*($D$6-$C$6)),$E$6-SQRT((1-$AB2409)*($E$6-$C$6)*($E$6-$D$6)))</f>
        <v/>
      </c>
      <c r="O2409" s="14">
        <f>_xlfn.NORM.INV($AC2409,$C$7,$D$7)</f>
        <v/>
      </c>
      <c r="P2409" s="14">
        <f>$C$8+($D$8-$C$8)*$AD2409</f>
        <v/>
      </c>
      <c r="Q2409" s="14">
        <f>$C$9</f>
        <v/>
      </c>
      <c r="R2409" s="14">
        <f>_xlfn.LOGNORM.INV($AF2409,LN($C$10)-0.5*LN(1+($D$10/$C$10)^2),SQRT(LN(1+($D$10/$C$10)^2)))</f>
        <v/>
      </c>
      <c r="S2409" s="14">
        <f>SUM(M2409:R2409)</f>
        <v/>
      </c>
      <c r="AA2409">
        <f>RAND()</f>
        <v/>
      </c>
      <c r="AB2409">
        <f>RAND()</f>
        <v/>
      </c>
      <c r="AC2409">
        <f>RAND()</f>
        <v/>
      </c>
      <c r="AD2409">
        <f>RAND()</f>
        <v/>
      </c>
      <c r="AE2409">
        <f>RAND()</f>
        <v/>
      </c>
      <c r="AF2409">
        <f>RAND()</f>
        <v/>
      </c>
    </row>
    <row r="2410">
      <c r="M2410" s="14">
        <f>_xlfn.BETA.INV($AA2410,1+4*($D$5-$C$5)/($E$5-$C$5),1+4*($E$5-$D$5)/($E$5-$C$5),$C$5,$E$5)</f>
        <v/>
      </c>
      <c r="N2410" s="14">
        <f>IF($AB2410&lt;($D$6-$C$6)/($E$6-$C$6),$C$6+SQRT($AB2410*($E$6-$C$6)*($D$6-$C$6)),$E$6-SQRT((1-$AB2410)*($E$6-$C$6)*($E$6-$D$6)))</f>
        <v/>
      </c>
      <c r="O2410" s="14">
        <f>_xlfn.NORM.INV($AC2410,$C$7,$D$7)</f>
        <v/>
      </c>
      <c r="P2410" s="14">
        <f>$C$8+($D$8-$C$8)*$AD2410</f>
        <v/>
      </c>
      <c r="Q2410" s="14">
        <f>$C$9</f>
        <v/>
      </c>
      <c r="R2410" s="14">
        <f>_xlfn.LOGNORM.INV($AF2410,LN($C$10)-0.5*LN(1+($D$10/$C$10)^2),SQRT(LN(1+($D$10/$C$10)^2)))</f>
        <v/>
      </c>
      <c r="S2410" s="14">
        <f>SUM(M2410:R2410)</f>
        <v/>
      </c>
      <c r="AA2410">
        <f>RAND()</f>
        <v/>
      </c>
      <c r="AB2410">
        <f>RAND()</f>
        <v/>
      </c>
      <c r="AC2410">
        <f>RAND()</f>
        <v/>
      </c>
      <c r="AD2410">
        <f>RAND()</f>
        <v/>
      </c>
      <c r="AE2410">
        <f>RAND()</f>
        <v/>
      </c>
      <c r="AF2410">
        <f>RAND()</f>
        <v/>
      </c>
    </row>
    <row r="2411">
      <c r="M2411" s="14">
        <f>_xlfn.BETA.INV($AA2411,1+4*($D$5-$C$5)/($E$5-$C$5),1+4*($E$5-$D$5)/($E$5-$C$5),$C$5,$E$5)</f>
        <v/>
      </c>
      <c r="N2411" s="14">
        <f>IF($AB2411&lt;($D$6-$C$6)/($E$6-$C$6),$C$6+SQRT($AB2411*($E$6-$C$6)*($D$6-$C$6)),$E$6-SQRT((1-$AB2411)*($E$6-$C$6)*($E$6-$D$6)))</f>
        <v/>
      </c>
      <c r="O2411" s="14">
        <f>_xlfn.NORM.INV($AC2411,$C$7,$D$7)</f>
        <v/>
      </c>
      <c r="P2411" s="14">
        <f>$C$8+($D$8-$C$8)*$AD2411</f>
        <v/>
      </c>
      <c r="Q2411" s="14">
        <f>$C$9</f>
        <v/>
      </c>
      <c r="R2411" s="14">
        <f>_xlfn.LOGNORM.INV($AF2411,LN($C$10)-0.5*LN(1+($D$10/$C$10)^2),SQRT(LN(1+($D$10/$C$10)^2)))</f>
        <v/>
      </c>
      <c r="S2411" s="14">
        <f>SUM(M2411:R2411)</f>
        <v/>
      </c>
      <c r="AA2411">
        <f>RAND()</f>
        <v/>
      </c>
      <c r="AB2411">
        <f>RAND()</f>
        <v/>
      </c>
      <c r="AC2411">
        <f>RAND()</f>
        <v/>
      </c>
      <c r="AD2411">
        <f>RAND()</f>
        <v/>
      </c>
      <c r="AE2411">
        <f>RAND()</f>
        <v/>
      </c>
      <c r="AF2411">
        <f>RAND()</f>
        <v/>
      </c>
    </row>
    <row r="2412">
      <c r="M2412" s="14">
        <f>_xlfn.BETA.INV($AA2412,1+4*($D$5-$C$5)/($E$5-$C$5),1+4*($E$5-$D$5)/($E$5-$C$5),$C$5,$E$5)</f>
        <v/>
      </c>
      <c r="N2412" s="14">
        <f>IF($AB2412&lt;($D$6-$C$6)/($E$6-$C$6),$C$6+SQRT($AB2412*($E$6-$C$6)*($D$6-$C$6)),$E$6-SQRT((1-$AB2412)*($E$6-$C$6)*($E$6-$D$6)))</f>
        <v/>
      </c>
      <c r="O2412" s="14">
        <f>_xlfn.NORM.INV($AC2412,$C$7,$D$7)</f>
        <v/>
      </c>
      <c r="P2412" s="14">
        <f>$C$8+($D$8-$C$8)*$AD2412</f>
        <v/>
      </c>
      <c r="Q2412" s="14">
        <f>$C$9</f>
        <v/>
      </c>
      <c r="R2412" s="14">
        <f>_xlfn.LOGNORM.INV($AF2412,LN($C$10)-0.5*LN(1+($D$10/$C$10)^2),SQRT(LN(1+($D$10/$C$10)^2)))</f>
        <v/>
      </c>
      <c r="S2412" s="14">
        <f>SUM(M2412:R2412)</f>
        <v/>
      </c>
      <c r="AA2412">
        <f>RAND()</f>
        <v/>
      </c>
      <c r="AB2412">
        <f>RAND()</f>
        <v/>
      </c>
      <c r="AC2412">
        <f>RAND()</f>
        <v/>
      </c>
      <c r="AD2412">
        <f>RAND()</f>
        <v/>
      </c>
      <c r="AE2412">
        <f>RAND()</f>
        <v/>
      </c>
      <c r="AF2412">
        <f>RAND()</f>
        <v/>
      </c>
    </row>
    <row r="2413">
      <c r="M2413" s="14">
        <f>_xlfn.BETA.INV($AA2413,1+4*($D$5-$C$5)/($E$5-$C$5),1+4*($E$5-$D$5)/($E$5-$C$5),$C$5,$E$5)</f>
        <v/>
      </c>
      <c r="N2413" s="14">
        <f>IF($AB2413&lt;($D$6-$C$6)/($E$6-$C$6),$C$6+SQRT($AB2413*($E$6-$C$6)*($D$6-$C$6)),$E$6-SQRT((1-$AB2413)*($E$6-$C$6)*($E$6-$D$6)))</f>
        <v/>
      </c>
      <c r="O2413" s="14">
        <f>_xlfn.NORM.INV($AC2413,$C$7,$D$7)</f>
        <v/>
      </c>
      <c r="P2413" s="14">
        <f>$C$8+($D$8-$C$8)*$AD2413</f>
        <v/>
      </c>
      <c r="Q2413" s="14">
        <f>$C$9</f>
        <v/>
      </c>
      <c r="R2413" s="14">
        <f>_xlfn.LOGNORM.INV($AF2413,LN($C$10)-0.5*LN(1+($D$10/$C$10)^2),SQRT(LN(1+($D$10/$C$10)^2)))</f>
        <v/>
      </c>
      <c r="S2413" s="14">
        <f>SUM(M2413:R2413)</f>
        <v/>
      </c>
      <c r="AA2413">
        <f>RAND()</f>
        <v/>
      </c>
      <c r="AB2413">
        <f>RAND()</f>
        <v/>
      </c>
      <c r="AC2413">
        <f>RAND()</f>
        <v/>
      </c>
      <c r="AD2413">
        <f>RAND()</f>
        <v/>
      </c>
      <c r="AE2413">
        <f>RAND()</f>
        <v/>
      </c>
      <c r="AF2413">
        <f>RAND()</f>
        <v/>
      </c>
    </row>
    <row r="2414">
      <c r="M2414" s="14">
        <f>_xlfn.BETA.INV($AA2414,1+4*($D$5-$C$5)/($E$5-$C$5),1+4*($E$5-$D$5)/($E$5-$C$5),$C$5,$E$5)</f>
        <v/>
      </c>
      <c r="N2414" s="14">
        <f>IF($AB2414&lt;($D$6-$C$6)/($E$6-$C$6),$C$6+SQRT($AB2414*($E$6-$C$6)*($D$6-$C$6)),$E$6-SQRT((1-$AB2414)*($E$6-$C$6)*($E$6-$D$6)))</f>
        <v/>
      </c>
      <c r="O2414" s="14">
        <f>_xlfn.NORM.INV($AC2414,$C$7,$D$7)</f>
        <v/>
      </c>
      <c r="P2414" s="14">
        <f>$C$8+($D$8-$C$8)*$AD2414</f>
        <v/>
      </c>
      <c r="Q2414" s="14">
        <f>$C$9</f>
        <v/>
      </c>
      <c r="R2414" s="14">
        <f>_xlfn.LOGNORM.INV($AF2414,LN($C$10)-0.5*LN(1+($D$10/$C$10)^2),SQRT(LN(1+($D$10/$C$10)^2)))</f>
        <v/>
      </c>
      <c r="S2414" s="14">
        <f>SUM(M2414:R2414)</f>
        <v/>
      </c>
      <c r="AA2414">
        <f>RAND()</f>
        <v/>
      </c>
      <c r="AB2414">
        <f>RAND()</f>
        <v/>
      </c>
      <c r="AC2414">
        <f>RAND()</f>
        <v/>
      </c>
      <c r="AD2414">
        <f>RAND()</f>
        <v/>
      </c>
      <c r="AE2414">
        <f>RAND()</f>
        <v/>
      </c>
      <c r="AF2414">
        <f>RAND()</f>
        <v/>
      </c>
    </row>
    <row r="2415">
      <c r="M2415" s="14">
        <f>_xlfn.BETA.INV($AA2415,1+4*($D$5-$C$5)/($E$5-$C$5),1+4*($E$5-$D$5)/($E$5-$C$5),$C$5,$E$5)</f>
        <v/>
      </c>
      <c r="N2415" s="14">
        <f>IF($AB2415&lt;($D$6-$C$6)/($E$6-$C$6),$C$6+SQRT($AB2415*($E$6-$C$6)*($D$6-$C$6)),$E$6-SQRT((1-$AB2415)*($E$6-$C$6)*($E$6-$D$6)))</f>
        <v/>
      </c>
      <c r="O2415" s="14">
        <f>_xlfn.NORM.INV($AC2415,$C$7,$D$7)</f>
        <v/>
      </c>
      <c r="P2415" s="14">
        <f>$C$8+($D$8-$C$8)*$AD2415</f>
        <v/>
      </c>
      <c r="Q2415" s="14">
        <f>$C$9</f>
        <v/>
      </c>
      <c r="R2415" s="14">
        <f>_xlfn.LOGNORM.INV($AF2415,LN($C$10)-0.5*LN(1+($D$10/$C$10)^2),SQRT(LN(1+($D$10/$C$10)^2)))</f>
        <v/>
      </c>
      <c r="S2415" s="14">
        <f>SUM(M2415:R2415)</f>
        <v/>
      </c>
      <c r="AA2415">
        <f>RAND()</f>
        <v/>
      </c>
      <c r="AB2415">
        <f>RAND()</f>
        <v/>
      </c>
      <c r="AC2415">
        <f>RAND()</f>
        <v/>
      </c>
      <c r="AD2415">
        <f>RAND()</f>
        <v/>
      </c>
      <c r="AE2415">
        <f>RAND()</f>
        <v/>
      </c>
      <c r="AF2415">
        <f>RAND()</f>
        <v/>
      </c>
    </row>
    <row r="2416">
      <c r="M2416" s="14">
        <f>_xlfn.BETA.INV($AA2416,1+4*($D$5-$C$5)/($E$5-$C$5),1+4*($E$5-$D$5)/($E$5-$C$5),$C$5,$E$5)</f>
        <v/>
      </c>
      <c r="N2416" s="14">
        <f>IF($AB2416&lt;($D$6-$C$6)/($E$6-$C$6),$C$6+SQRT($AB2416*($E$6-$C$6)*($D$6-$C$6)),$E$6-SQRT((1-$AB2416)*($E$6-$C$6)*($E$6-$D$6)))</f>
        <v/>
      </c>
      <c r="O2416" s="14">
        <f>_xlfn.NORM.INV($AC2416,$C$7,$D$7)</f>
        <v/>
      </c>
      <c r="P2416" s="14">
        <f>$C$8+($D$8-$C$8)*$AD2416</f>
        <v/>
      </c>
      <c r="Q2416" s="14">
        <f>$C$9</f>
        <v/>
      </c>
      <c r="R2416" s="14">
        <f>_xlfn.LOGNORM.INV($AF2416,LN($C$10)-0.5*LN(1+($D$10/$C$10)^2),SQRT(LN(1+($D$10/$C$10)^2)))</f>
        <v/>
      </c>
      <c r="S2416" s="14">
        <f>SUM(M2416:R2416)</f>
        <v/>
      </c>
      <c r="AA2416">
        <f>RAND()</f>
        <v/>
      </c>
      <c r="AB2416">
        <f>RAND()</f>
        <v/>
      </c>
      <c r="AC2416">
        <f>RAND()</f>
        <v/>
      </c>
      <c r="AD2416">
        <f>RAND()</f>
        <v/>
      </c>
      <c r="AE2416">
        <f>RAND()</f>
        <v/>
      </c>
      <c r="AF2416">
        <f>RAND()</f>
        <v/>
      </c>
    </row>
    <row r="2417">
      <c r="M2417" s="14">
        <f>_xlfn.BETA.INV($AA2417,1+4*($D$5-$C$5)/($E$5-$C$5),1+4*($E$5-$D$5)/($E$5-$C$5),$C$5,$E$5)</f>
        <v/>
      </c>
      <c r="N2417" s="14">
        <f>IF($AB2417&lt;($D$6-$C$6)/($E$6-$C$6),$C$6+SQRT($AB2417*($E$6-$C$6)*($D$6-$C$6)),$E$6-SQRT((1-$AB2417)*($E$6-$C$6)*($E$6-$D$6)))</f>
        <v/>
      </c>
      <c r="O2417" s="14">
        <f>_xlfn.NORM.INV($AC2417,$C$7,$D$7)</f>
        <v/>
      </c>
      <c r="P2417" s="14">
        <f>$C$8+($D$8-$C$8)*$AD2417</f>
        <v/>
      </c>
      <c r="Q2417" s="14">
        <f>$C$9</f>
        <v/>
      </c>
      <c r="R2417" s="14">
        <f>_xlfn.LOGNORM.INV($AF2417,LN($C$10)-0.5*LN(1+($D$10/$C$10)^2),SQRT(LN(1+($D$10/$C$10)^2)))</f>
        <v/>
      </c>
      <c r="S2417" s="14">
        <f>SUM(M2417:R2417)</f>
        <v/>
      </c>
      <c r="AA2417">
        <f>RAND()</f>
        <v/>
      </c>
      <c r="AB2417">
        <f>RAND()</f>
        <v/>
      </c>
      <c r="AC2417">
        <f>RAND()</f>
        <v/>
      </c>
      <c r="AD2417">
        <f>RAND()</f>
        <v/>
      </c>
      <c r="AE2417">
        <f>RAND()</f>
        <v/>
      </c>
      <c r="AF2417">
        <f>RAND()</f>
        <v/>
      </c>
    </row>
    <row r="2418">
      <c r="M2418" s="14">
        <f>_xlfn.BETA.INV($AA2418,1+4*($D$5-$C$5)/($E$5-$C$5),1+4*($E$5-$D$5)/($E$5-$C$5),$C$5,$E$5)</f>
        <v/>
      </c>
      <c r="N2418" s="14">
        <f>IF($AB2418&lt;($D$6-$C$6)/($E$6-$C$6),$C$6+SQRT($AB2418*($E$6-$C$6)*($D$6-$C$6)),$E$6-SQRT((1-$AB2418)*($E$6-$C$6)*($E$6-$D$6)))</f>
        <v/>
      </c>
      <c r="O2418" s="14">
        <f>_xlfn.NORM.INV($AC2418,$C$7,$D$7)</f>
        <v/>
      </c>
      <c r="P2418" s="14">
        <f>$C$8+($D$8-$C$8)*$AD2418</f>
        <v/>
      </c>
      <c r="Q2418" s="14">
        <f>$C$9</f>
        <v/>
      </c>
      <c r="R2418" s="14">
        <f>_xlfn.LOGNORM.INV($AF2418,LN($C$10)-0.5*LN(1+($D$10/$C$10)^2),SQRT(LN(1+($D$10/$C$10)^2)))</f>
        <v/>
      </c>
      <c r="S2418" s="14">
        <f>SUM(M2418:R2418)</f>
        <v/>
      </c>
      <c r="AA2418">
        <f>RAND()</f>
        <v/>
      </c>
      <c r="AB2418">
        <f>RAND()</f>
        <v/>
      </c>
      <c r="AC2418">
        <f>RAND()</f>
        <v/>
      </c>
      <c r="AD2418">
        <f>RAND()</f>
        <v/>
      </c>
      <c r="AE2418">
        <f>RAND()</f>
        <v/>
      </c>
      <c r="AF2418">
        <f>RAND()</f>
        <v/>
      </c>
    </row>
    <row r="2419">
      <c r="M2419" s="14">
        <f>_xlfn.BETA.INV($AA2419,1+4*($D$5-$C$5)/($E$5-$C$5),1+4*($E$5-$D$5)/($E$5-$C$5),$C$5,$E$5)</f>
        <v/>
      </c>
      <c r="N2419" s="14">
        <f>IF($AB2419&lt;($D$6-$C$6)/($E$6-$C$6),$C$6+SQRT($AB2419*($E$6-$C$6)*($D$6-$C$6)),$E$6-SQRT((1-$AB2419)*($E$6-$C$6)*($E$6-$D$6)))</f>
        <v/>
      </c>
      <c r="O2419" s="14">
        <f>_xlfn.NORM.INV($AC2419,$C$7,$D$7)</f>
        <v/>
      </c>
      <c r="P2419" s="14">
        <f>$C$8+($D$8-$C$8)*$AD2419</f>
        <v/>
      </c>
      <c r="Q2419" s="14">
        <f>$C$9</f>
        <v/>
      </c>
      <c r="R2419" s="14">
        <f>_xlfn.LOGNORM.INV($AF2419,LN($C$10)-0.5*LN(1+($D$10/$C$10)^2),SQRT(LN(1+($D$10/$C$10)^2)))</f>
        <v/>
      </c>
      <c r="S2419" s="14">
        <f>SUM(M2419:R2419)</f>
        <v/>
      </c>
      <c r="AA2419">
        <f>RAND()</f>
        <v/>
      </c>
      <c r="AB2419">
        <f>RAND()</f>
        <v/>
      </c>
      <c r="AC2419">
        <f>RAND()</f>
        <v/>
      </c>
      <c r="AD2419">
        <f>RAND()</f>
        <v/>
      </c>
      <c r="AE2419">
        <f>RAND()</f>
        <v/>
      </c>
      <c r="AF2419">
        <f>RAND()</f>
        <v/>
      </c>
    </row>
    <row r="2420">
      <c r="M2420" s="14">
        <f>_xlfn.BETA.INV($AA2420,1+4*($D$5-$C$5)/($E$5-$C$5),1+4*($E$5-$D$5)/($E$5-$C$5),$C$5,$E$5)</f>
        <v/>
      </c>
      <c r="N2420" s="14">
        <f>IF($AB2420&lt;($D$6-$C$6)/($E$6-$C$6),$C$6+SQRT($AB2420*($E$6-$C$6)*($D$6-$C$6)),$E$6-SQRT((1-$AB2420)*($E$6-$C$6)*($E$6-$D$6)))</f>
        <v/>
      </c>
      <c r="O2420" s="14">
        <f>_xlfn.NORM.INV($AC2420,$C$7,$D$7)</f>
        <v/>
      </c>
      <c r="P2420" s="14">
        <f>$C$8+($D$8-$C$8)*$AD2420</f>
        <v/>
      </c>
      <c r="Q2420" s="14">
        <f>$C$9</f>
        <v/>
      </c>
      <c r="R2420" s="14">
        <f>_xlfn.LOGNORM.INV($AF2420,LN($C$10)-0.5*LN(1+($D$10/$C$10)^2),SQRT(LN(1+($D$10/$C$10)^2)))</f>
        <v/>
      </c>
      <c r="S2420" s="14">
        <f>SUM(M2420:R2420)</f>
        <v/>
      </c>
      <c r="AA2420">
        <f>RAND()</f>
        <v/>
      </c>
      <c r="AB2420">
        <f>RAND()</f>
        <v/>
      </c>
      <c r="AC2420">
        <f>RAND()</f>
        <v/>
      </c>
      <c r="AD2420">
        <f>RAND()</f>
        <v/>
      </c>
      <c r="AE2420">
        <f>RAND()</f>
        <v/>
      </c>
      <c r="AF2420">
        <f>RAND()</f>
        <v/>
      </c>
    </row>
    <row r="2421">
      <c r="M2421" s="14">
        <f>_xlfn.BETA.INV($AA2421,1+4*($D$5-$C$5)/($E$5-$C$5),1+4*($E$5-$D$5)/($E$5-$C$5),$C$5,$E$5)</f>
        <v/>
      </c>
      <c r="N2421" s="14">
        <f>IF($AB2421&lt;($D$6-$C$6)/($E$6-$C$6),$C$6+SQRT($AB2421*($E$6-$C$6)*($D$6-$C$6)),$E$6-SQRT((1-$AB2421)*($E$6-$C$6)*($E$6-$D$6)))</f>
        <v/>
      </c>
      <c r="O2421" s="14">
        <f>_xlfn.NORM.INV($AC2421,$C$7,$D$7)</f>
        <v/>
      </c>
      <c r="P2421" s="14">
        <f>$C$8+($D$8-$C$8)*$AD2421</f>
        <v/>
      </c>
      <c r="Q2421" s="14">
        <f>$C$9</f>
        <v/>
      </c>
      <c r="R2421" s="14">
        <f>_xlfn.LOGNORM.INV($AF2421,LN($C$10)-0.5*LN(1+($D$10/$C$10)^2),SQRT(LN(1+($D$10/$C$10)^2)))</f>
        <v/>
      </c>
      <c r="S2421" s="14">
        <f>SUM(M2421:R2421)</f>
        <v/>
      </c>
      <c r="AA2421">
        <f>RAND()</f>
        <v/>
      </c>
      <c r="AB2421">
        <f>RAND()</f>
        <v/>
      </c>
      <c r="AC2421">
        <f>RAND()</f>
        <v/>
      </c>
      <c r="AD2421">
        <f>RAND()</f>
        <v/>
      </c>
      <c r="AE2421">
        <f>RAND()</f>
        <v/>
      </c>
      <c r="AF2421">
        <f>RAND()</f>
        <v/>
      </c>
    </row>
    <row r="2422">
      <c r="M2422" s="14">
        <f>_xlfn.BETA.INV($AA2422,1+4*($D$5-$C$5)/($E$5-$C$5),1+4*($E$5-$D$5)/($E$5-$C$5),$C$5,$E$5)</f>
        <v/>
      </c>
      <c r="N2422" s="14">
        <f>IF($AB2422&lt;($D$6-$C$6)/($E$6-$C$6),$C$6+SQRT($AB2422*($E$6-$C$6)*($D$6-$C$6)),$E$6-SQRT((1-$AB2422)*($E$6-$C$6)*($E$6-$D$6)))</f>
        <v/>
      </c>
      <c r="O2422" s="14">
        <f>_xlfn.NORM.INV($AC2422,$C$7,$D$7)</f>
        <v/>
      </c>
      <c r="P2422" s="14">
        <f>$C$8+($D$8-$C$8)*$AD2422</f>
        <v/>
      </c>
      <c r="Q2422" s="14">
        <f>$C$9</f>
        <v/>
      </c>
      <c r="R2422" s="14">
        <f>_xlfn.LOGNORM.INV($AF2422,LN($C$10)-0.5*LN(1+($D$10/$C$10)^2),SQRT(LN(1+($D$10/$C$10)^2)))</f>
        <v/>
      </c>
      <c r="S2422" s="14">
        <f>SUM(M2422:R2422)</f>
        <v/>
      </c>
      <c r="AA2422">
        <f>RAND()</f>
        <v/>
      </c>
      <c r="AB2422">
        <f>RAND()</f>
        <v/>
      </c>
      <c r="AC2422">
        <f>RAND()</f>
        <v/>
      </c>
      <c r="AD2422">
        <f>RAND()</f>
        <v/>
      </c>
      <c r="AE2422">
        <f>RAND()</f>
        <v/>
      </c>
      <c r="AF2422">
        <f>RAND()</f>
        <v/>
      </c>
    </row>
    <row r="2423">
      <c r="M2423" s="14">
        <f>_xlfn.BETA.INV($AA2423,1+4*($D$5-$C$5)/($E$5-$C$5),1+4*($E$5-$D$5)/($E$5-$C$5),$C$5,$E$5)</f>
        <v/>
      </c>
      <c r="N2423" s="14">
        <f>IF($AB2423&lt;($D$6-$C$6)/($E$6-$C$6),$C$6+SQRT($AB2423*($E$6-$C$6)*($D$6-$C$6)),$E$6-SQRT((1-$AB2423)*($E$6-$C$6)*($E$6-$D$6)))</f>
        <v/>
      </c>
      <c r="O2423" s="14">
        <f>_xlfn.NORM.INV($AC2423,$C$7,$D$7)</f>
        <v/>
      </c>
      <c r="P2423" s="14">
        <f>$C$8+($D$8-$C$8)*$AD2423</f>
        <v/>
      </c>
      <c r="Q2423" s="14">
        <f>$C$9</f>
        <v/>
      </c>
      <c r="R2423" s="14">
        <f>_xlfn.LOGNORM.INV($AF2423,LN($C$10)-0.5*LN(1+($D$10/$C$10)^2),SQRT(LN(1+($D$10/$C$10)^2)))</f>
        <v/>
      </c>
      <c r="S2423" s="14">
        <f>SUM(M2423:R2423)</f>
        <v/>
      </c>
      <c r="AA2423">
        <f>RAND()</f>
        <v/>
      </c>
      <c r="AB2423">
        <f>RAND()</f>
        <v/>
      </c>
      <c r="AC2423">
        <f>RAND()</f>
        <v/>
      </c>
      <c r="AD2423">
        <f>RAND()</f>
        <v/>
      </c>
      <c r="AE2423">
        <f>RAND()</f>
        <v/>
      </c>
      <c r="AF2423">
        <f>RAND()</f>
        <v/>
      </c>
    </row>
    <row r="2424">
      <c r="M2424" s="14">
        <f>_xlfn.BETA.INV($AA2424,1+4*($D$5-$C$5)/($E$5-$C$5),1+4*($E$5-$D$5)/($E$5-$C$5),$C$5,$E$5)</f>
        <v/>
      </c>
      <c r="N2424" s="14">
        <f>IF($AB2424&lt;($D$6-$C$6)/($E$6-$C$6),$C$6+SQRT($AB2424*($E$6-$C$6)*($D$6-$C$6)),$E$6-SQRT((1-$AB2424)*($E$6-$C$6)*($E$6-$D$6)))</f>
        <v/>
      </c>
      <c r="O2424" s="14">
        <f>_xlfn.NORM.INV($AC2424,$C$7,$D$7)</f>
        <v/>
      </c>
      <c r="P2424" s="14">
        <f>$C$8+($D$8-$C$8)*$AD2424</f>
        <v/>
      </c>
      <c r="Q2424" s="14">
        <f>$C$9</f>
        <v/>
      </c>
      <c r="R2424" s="14">
        <f>_xlfn.LOGNORM.INV($AF2424,LN($C$10)-0.5*LN(1+($D$10/$C$10)^2),SQRT(LN(1+($D$10/$C$10)^2)))</f>
        <v/>
      </c>
      <c r="S2424" s="14">
        <f>SUM(M2424:R2424)</f>
        <v/>
      </c>
      <c r="AA2424">
        <f>RAND()</f>
        <v/>
      </c>
      <c r="AB2424">
        <f>RAND()</f>
        <v/>
      </c>
      <c r="AC2424">
        <f>RAND()</f>
        <v/>
      </c>
      <c r="AD2424">
        <f>RAND()</f>
        <v/>
      </c>
      <c r="AE2424">
        <f>RAND()</f>
        <v/>
      </c>
      <c r="AF2424">
        <f>RAND()</f>
        <v/>
      </c>
    </row>
    <row r="2425">
      <c r="M2425" s="14">
        <f>_xlfn.BETA.INV($AA2425,1+4*($D$5-$C$5)/($E$5-$C$5),1+4*($E$5-$D$5)/($E$5-$C$5),$C$5,$E$5)</f>
        <v/>
      </c>
      <c r="N2425" s="14">
        <f>IF($AB2425&lt;($D$6-$C$6)/($E$6-$C$6),$C$6+SQRT($AB2425*($E$6-$C$6)*($D$6-$C$6)),$E$6-SQRT((1-$AB2425)*($E$6-$C$6)*($E$6-$D$6)))</f>
        <v/>
      </c>
      <c r="O2425" s="14">
        <f>_xlfn.NORM.INV($AC2425,$C$7,$D$7)</f>
        <v/>
      </c>
      <c r="P2425" s="14">
        <f>$C$8+($D$8-$C$8)*$AD2425</f>
        <v/>
      </c>
      <c r="Q2425" s="14">
        <f>$C$9</f>
        <v/>
      </c>
      <c r="R2425" s="14">
        <f>_xlfn.LOGNORM.INV($AF2425,LN($C$10)-0.5*LN(1+($D$10/$C$10)^2),SQRT(LN(1+($D$10/$C$10)^2)))</f>
        <v/>
      </c>
      <c r="S2425" s="14">
        <f>SUM(M2425:R2425)</f>
        <v/>
      </c>
      <c r="AA2425">
        <f>RAND()</f>
        <v/>
      </c>
      <c r="AB2425">
        <f>RAND()</f>
        <v/>
      </c>
      <c r="AC2425">
        <f>RAND()</f>
        <v/>
      </c>
      <c r="AD2425">
        <f>RAND()</f>
        <v/>
      </c>
      <c r="AE2425">
        <f>RAND()</f>
        <v/>
      </c>
      <c r="AF2425">
        <f>RAND()</f>
        <v/>
      </c>
    </row>
    <row r="2426">
      <c r="M2426" s="14">
        <f>_xlfn.BETA.INV($AA2426,1+4*($D$5-$C$5)/($E$5-$C$5),1+4*($E$5-$D$5)/($E$5-$C$5),$C$5,$E$5)</f>
        <v/>
      </c>
      <c r="N2426" s="14">
        <f>IF($AB2426&lt;($D$6-$C$6)/($E$6-$C$6),$C$6+SQRT($AB2426*($E$6-$C$6)*($D$6-$C$6)),$E$6-SQRT((1-$AB2426)*($E$6-$C$6)*($E$6-$D$6)))</f>
        <v/>
      </c>
      <c r="O2426" s="14">
        <f>_xlfn.NORM.INV($AC2426,$C$7,$D$7)</f>
        <v/>
      </c>
      <c r="P2426" s="14">
        <f>$C$8+($D$8-$C$8)*$AD2426</f>
        <v/>
      </c>
      <c r="Q2426" s="14">
        <f>$C$9</f>
        <v/>
      </c>
      <c r="R2426" s="14">
        <f>_xlfn.LOGNORM.INV($AF2426,LN($C$10)-0.5*LN(1+($D$10/$C$10)^2),SQRT(LN(1+($D$10/$C$10)^2)))</f>
        <v/>
      </c>
      <c r="S2426" s="14">
        <f>SUM(M2426:R2426)</f>
        <v/>
      </c>
      <c r="AA2426">
        <f>RAND()</f>
        <v/>
      </c>
      <c r="AB2426">
        <f>RAND()</f>
        <v/>
      </c>
      <c r="AC2426">
        <f>RAND()</f>
        <v/>
      </c>
      <c r="AD2426">
        <f>RAND()</f>
        <v/>
      </c>
      <c r="AE2426">
        <f>RAND()</f>
        <v/>
      </c>
      <c r="AF2426">
        <f>RAND()</f>
        <v/>
      </c>
    </row>
    <row r="2427">
      <c r="M2427" s="14">
        <f>_xlfn.BETA.INV($AA2427,1+4*($D$5-$C$5)/($E$5-$C$5),1+4*($E$5-$D$5)/($E$5-$C$5),$C$5,$E$5)</f>
        <v/>
      </c>
      <c r="N2427" s="14">
        <f>IF($AB2427&lt;($D$6-$C$6)/($E$6-$C$6),$C$6+SQRT($AB2427*($E$6-$C$6)*($D$6-$C$6)),$E$6-SQRT((1-$AB2427)*($E$6-$C$6)*($E$6-$D$6)))</f>
        <v/>
      </c>
      <c r="O2427" s="14">
        <f>_xlfn.NORM.INV($AC2427,$C$7,$D$7)</f>
        <v/>
      </c>
      <c r="P2427" s="14">
        <f>$C$8+($D$8-$C$8)*$AD2427</f>
        <v/>
      </c>
      <c r="Q2427" s="14">
        <f>$C$9</f>
        <v/>
      </c>
      <c r="R2427" s="14">
        <f>_xlfn.LOGNORM.INV($AF2427,LN($C$10)-0.5*LN(1+($D$10/$C$10)^2),SQRT(LN(1+($D$10/$C$10)^2)))</f>
        <v/>
      </c>
      <c r="S2427" s="14">
        <f>SUM(M2427:R2427)</f>
        <v/>
      </c>
      <c r="AA2427">
        <f>RAND()</f>
        <v/>
      </c>
      <c r="AB2427">
        <f>RAND()</f>
        <v/>
      </c>
      <c r="AC2427">
        <f>RAND()</f>
        <v/>
      </c>
      <c r="AD2427">
        <f>RAND()</f>
        <v/>
      </c>
      <c r="AE2427">
        <f>RAND()</f>
        <v/>
      </c>
      <c r="AF2427">
        <f>RAND()</f>
        <v/>
      </c>
    </row>
    <row r="2428">
      <c r="M2428" s="14">
        <f>_xlfn.BETA.INV($AA2428,1+4*($D$5-$C$5)/($E$5-$C$5),1+4*($E$5-$D$5)/($E$5-$C$5),$C$5,$E$5)</f>
        <v/>
      </c>
      <c r="N2428" s="14">
        <f>IF($AB2428&lt;($D$6-$C$6)/($E$6-$C$6),$C$6+SQRT($AB2428*($E$6-$C$6)*($D$6-$C$6)),$E$6-SQRT((1-$AB2428)*($E$6-$C$6)*($E$6-$D$6)))</f>
        <v/>
      </c>
      <c r="O2428" s="14">
        <f>_xlfn.NORM.INV($AC2428,$C$7,$D$7)</f>
        <v/>
      </c>
      <c r="P2428" s="14">
        <f>$C$8+($D$8-$C$8)*$AD2428</f>
        <v/>
      </c>
      <c r="Q2428" s="14">
        <f>$C$9</f>
        <v/>
      </c>
      <c r="R2428" s="14">
        <f>_xlfn.LOGNORM.INV($AF2428,LN($C$10)-0.5*LN(1+($D$10/$C$10)^2),SQRT(LN(1+($D$10/$C$10)^2)))</f>
        <v/>
      </c>
      <c r="S2428" s="14">
        <f>SUM(M2428:R2428)</f>
        <v/>
      </c>
      <c r="AA2428">
        <f>RAND()</f>
        <v/>
      </c>
      <c r="AB2428">
        <f>RAND()</f>
        <v/>
      </c>
      <c r="AC2428">
        <f>RAND()</f>
        <v/>
      </c>
      <c r="AD2428">
        <f>RAND()</f>
        <v/>
      </c>
      <c r="AE2428">
        <f>RAND()</f>
        <v/>
      </c>
      <c r="AF2428">
        <f>RAND()</f>
        <v/>
      </c>
    </row>
    <row r="2429">
      <c r="M2429" s="14">
        <f>_xlfn.BETA.INV($AA2429,1+4*($D$5-$C$5)/($E$5-$C$5),1+4*($E$5-$D$5)/($E$5-$C$5),$C$5,$E$5)</f>
        <v/>
      </c>
      <c r="N2429" s="14">
        <f>IF($AB2429&lt;($D$6-$C$6)/($E$6-$C$6),$C$6+SQRT($AB2429*($E$6-$C$6)*($D$6-$C$6)),$E$6-SQRT((1-$AB2429)*($E$6-$C$6)*($E$6-$D$6)))</f>
        <v/>
      </c>
      <c r="O2429" s="14">
        <f>_xlfn.NORM.INV($AC2429,$C$7,$D$7)</f>
        <v/>
      </c>
      <c r="P2429" s="14">
        <f>$C$8+($D$8-$C$8)*$AD2429</f>
        <v/>
      </c>
      <c r="Q2429" s="14">
        <f>$C$9</f>
        <v/>
      </c>
      <c r="R2429" s="14">
        <f>_xlfn.LOGNORM.INV($AF2429,LN($C$10)-0.5*LN(1+($D$10/$C$10)^2),SQRT(LN(1+($D$10/$C$10)^2)))</f>
        <v/>
      </c>
      <c r="S2429" s="14">
        <f>SUM(M2429:R2429)</f>
        <v/>
      </c>
      <c r="AA2429">
        <f>RAND()</f>
        <v/>
      </c>
      <c r="AB2429">
        <f>RAND()</f>
        <v/>
      </c>
      <c r="AC2429">
        <f>RAND()</f>
        <v/>
      </c>
      <c r="AD2429">
        <f>RAND()</f>
        <v/>
      </c>
      <c r="AE2429">
        <f>RAND()</f>
        <v/>
      </c>
      <c r="AF2429">
        <f>RAND()</f>
        <v/>
      </c>
    </row>
    <row r="2430">
      <c r="M2430" s="14">
        <f>_xlfn.BETA.INV($AA2430,1+4*($D$5-$C$5)/($E$5-$C$5),1+4*($E$5-$D$5)/($E$5-$C$5),$C$5,$E$5)</f>
        <v/>
      </c>
      <c r="N2430" s="14">
        <f>IF($AB2430&lt;($D$6-$C$6)/($E$6-$C$6),$C$6+SQRT($AB2430*($E$6-$C$6)*($D$6-$C$6)),$E$6-SQRT((1-$AB2430)*($E$6-$C$6)*($E$6-$D$6)))</f>
        <v/>
      </c>
      <c r="O2430" s="14">
        <f>_xlfn.NORM.INV($AC2430,$C$7,$D$7)</f>
        <v/>
      </c>
      <c r="P2430" s="14">
        <f>$C$8+($D$8-$C$8)*$AD2430</f>
        <v/>
      </c>
      <c r="Q2430" s="14">
        <f>$C$9</f>
        <v/>
      </c>
      <c r="R2430" s="14">
        <f>_xlfn.LOGNORM.INV($AF2430,LN($C$10)-0.5*LN(1+($D$10/$C$10)^2),SQRT(LN(1+($D$10/$C$10)^2)))</f>
        <v/>
      </c>
      <c r="S2430" s="14">
        <f>SUM(M2430:R2430)</f>
        <v/>
      </c>
      <c r="AA2430">
        <f>RAND()</f>
        <v/>
      </c>
      <c r="AB2430">
        <f>RAND()</f>
        <v/>
      </c>
      <c r="AC2430">
        <f>RAND()</f>
        <v/>
      </c>
      <c r="AD2430">
        <f>RAND()</f>
        <v/>
      </c>
      <c r="AE2430">
        <f>RAND()</f>
        <v/>
      </c>
      <c r="AF2430">
        <f>RAND()</f>
        <v/>
      </c>
    </row>
    <row r="2431">
      <c r="M2431" s="14">
        <f>_xlfn.BETA.INV($AA2431,1+4*($D$5-$C$5)/($E$5-$C$5),1+4*($E$5-$D$5)/($E$5-$C$5),$C$5,$E$5)</f>
        <v/>
      </c>
      <c r="N2431" s="14">
        <f>IF($AB2431&lt;($D$6-$C$6)/($E$6-$C$6),$C$6+SQRT($AB2431*($E$6-$C$6)*($D$6-$C$6)),$E$6-SQRT((1-$AB2431)*($E$6-$C$6)*($E$6-$D$6)))</f>
        <v/>
      </c>
      <c r="O2431" s="14">
        <f>_xlfn.NORM.INV($AC2431,$C$7,$D$7)</f>
        <v/>
      </c>
      <c r="P2431" s="14">
        <f>$C$8+($D$8-$C$8)*$AD2431</f>
        <v/>
      </c>
      <c r="Q2431" s="14">
        <f>$C$9</f>
        <v/>
      </c>
      <c r="R2431" s="14">
        <f>_xlfn.LOGNORM.INV($AF2431,LN($C$10)-0.5*LN(1+($D$10/$C$10)^2),SQRT(LN(1+($D$10/$C$10)^2)))</f>
        <v/>
      </c>
      <c r="S2431" s="14">
        <f>SUM(M2431:R2431)</f>
        <v/>
      </c>
      <c r="AA2431">
        <f>RAND()</f>
        <v/>
      </c>
      <c r="AB2431">
        <f>RAND()</f>
        <v/>
      </c>
      <c r="AC2431">
        <f>RAND()</f>
        <v/>
      </c>
      <c r="AD2431">
        <f>RAND()</f>
        <v/>
      </c>
      <c r="AE2431">
        <f>RAND()</f>
        <v/>
      </c>
      <c r="AF2431">
        <f>RAND()</f>
        <v/>
      </c>
    </row>
    <row r="2432">
      <c r="M2432" s="14">
        <f>_xlfn.BETA.INV($AA2432,1+4*($D$5-$C$5)/($E$5-$C$5),1+4*($E$5-$D$5)/($E$5-$C$5),$C$5,$E$5)</f>
        <v/>
      </c>
      <c r="N2432" s="14">
        <f>IF($AB2432&lt;($D$6-$C$6)/($E$6-$C$6),$C$6+SQRT($AB2432*($E$6-$C$6)*($D$6-$C$6)),$E$6-SQRT((1-$AB2432)*($E$6-$C$6)*($E$6-$D$6)))</f>
        <v/>
      </c>
      <c r="O2432" s="14">
        <f>_xlfn.NORM.INV($AC2432,$C$7,$D$7)</f>
        <v/>
      </c>
      <c r="P2432" s="14">
        <f>$C$8+($D$8-$C$8)*$AD2432</f>
        <v/>
      </c>
      <c r="Q2432" s="14">
        <f>$C$9</f>
        <v/>
      </c>
      <c r="R2432" s="14">
        <f>_xlfn.LOGNORM.INV($AF2432,LN($C$10)-0.5*LN(1+($D$10/$C$10)^2),SQRT(LN(1+($D$10/$C$10)^2)))</f>
        <v/>
      </c>
      <c r="S2432" s="14">
        <f>SUM(M2432:R2432)</f>
        <v/>
      </c>
      <c r="AA2432">
        <f>RAND()</f>
        <v/>
      </c>
      <c r="AB2432">
        <f>RAND()</f>
        <v/>
      </c>
      <c r="AC2432">
        <f>RAND()</f>
        <v/>
      </c>
      <c r="AD2432">
        <f>RAND()</f>
        <v/>
      </c>
      <c r="AE2432">
        <f>RAND()</f>
        <v/>
      </c>
      <c r="AF2432">
        <f>RAND()</f>
        <v/>
      </c>
    </row>
    <row r="2433">
      <c r="M2433" s="14">
        <f>_xlfn.BETA.INV($AA2433,1+4*($D$5-$C$5)/($E$5-$C$5),1+4*($E$5-$D$5)/($E$5-$C$5),$C$5,$E$5)</f>
        <v/>
      </c>
      <c r="N2433" s="14">
        <f>IF($AB2433&lt;($D$6-$C$6)/($E$6-$C$6),$C$6+SQRT($AB2433*($E$6-$C$6)*($D$6-$C$6)),$E$6-SQRT((1-$AB2433)*($E$6-$C$6)*($E$6-$D$6)))</f>
        <v/>
      </c>
      <c r="O2433" s="14">
        <f>_xlfn.NORM.INV($AC2433,$C$7,$D$7)</f>
        <v/>
      </c>
      <c r="P2433" s="14">
        <f>$C$8+($D$8-$C$8)*$AD2433</f>
        <v/>
      </c>
      <c r="Q2433" s="14">
        <f>$C$9</f>
        <v/>
      </c>
      <c r="R2433" s="14">
        <f>_xlfn.LOGNORM.INV($AF2433,LN($C$10)-0.5*LN(1+($D$10/$C$10)^2),SQRT(LN(1+($D$10/$C$10)^2)))</f>
        <v/>
      </c>
      <c r="S2433" s="14">
        <f>SUM(M2433:R2433)</f>
        <v/>
      </c>
      <c r="AA2433">
        <f>RAND()</f>
        <v/>
      </c>
      <c r="AB2433">
        <f>RAND()</f>
        <v/>
      </c>
      <c r="AC2433">
        <f>RAND()</f>
        <v/>
      </c>
      <c r="AD2433">
        <f>RAND()</f>
        <v/>
      </c>
      <c r="AE2433">
        <f>RAND()</f>
        <v/>
      </c>
      <c r="AF2433">
        <f>RAND()</f>
        <v/>
      </c>
    </row>
    <row r="2434">
      <c r="M2434" s="14">
        <f>_xlfn.BETA.INV($AA2434,1+4*($D$5-$C$5)/($E$5-$C$5),1+4*($E$5-$D$5)/($E$5-$C$5),$C$5,$E$5)</f>
        <v/>
      </c>
      <c r="N2434" s="14">
        <f>IF($AB2434&lt;($D$6-$C$6)/($E$6-$C$6),$C$6+SQRT($AB2434*($E$6-$C$6)*($D$6-$C$6)),$E$6-SQRT((1-$AB2434)*($E$6-$C$6)*($E$6-$D$6)))</f>
        <v/>
      </c>
      <c r="O2434" s="14">
        <f>_xlfn.NORM.INV($AC2434,$C$7,$D$7)</f>
        <v/>
      </c>
      <c r="P2434" s="14">
        <f>$C$8+($D$8-$C$8)*$AD2434</f>
        <v/>
      </c>
      <c r="Q2434" s="14">
        <f>$C$9</f>
        <v/>
      </c>
      <c r="R2434" s="14">
        <f>_xlfn.LOGNORM.INV($AF2434,LN($C$10)-0.5*LN(1+($D$10/$C$10)^2),SQRT(LN(1+($D$10/$C$10)^2)))</f>
        <v/>
      </c>
      <c r="S2434" s="14">
        <f>SUM(M2434:R2434)</f>
        <v/>
      </c>
      <c r="AA2434">
        <f>RAND()</f>
        <v/>
      </c>
      <c r="AB2434">
        <f>RAND()</f>
        <v/>
      </c>
      <c r="AC2434">
        <f>RAND()</f>
        <v/>
      </c>
      <c r="AD2434">
        <f>RAND()</f>
        <v/>
      </c>
      <c r="AE2434">
        <f>RAND()</f>
        <v/>
      </c>
      <c r="AF2434">
        <f>RAND()</f>
        <v/>
      </c>
    </row>
    <row r="2435">
      <c r="M2435" s="14">
        <f>_xlfn.BETA.INV($AA2435,1+4*($D$5-$C$5)/($E$5-$C$5),1+4*($E$5-$D$5)/($E$5-$C$5),$C$5,$E$5)</f>
        <v/>
      </c>
      <c r="N2435" s="14">
        <f>IF($AB2435&lt;($D$6-$C$6)/($E$6-$C$6),$C$6+SQRT($AB2435*($E$6-$C$6)*($D$6-$C$6)),$E$6-SQRT((1-$AB2435)*($E$6-$C$6)*($E$6-$D$6)))</f>
        <v/>
      </c>
      <c r="O2435" s="14">
        <f>_xlfn.NORM.INV($AC2435,$C$7,$D$7)</f>
        <v/>
      </c>
      <c r="P2435" s="14">
        <f>$C$8+($D$8-$C$8)*$AD2435</f>
        <v/>
      </c>
      <c r="Q2435" s="14">
        <f>$C$9</f>
        <v/>
      </c>
      <c r="R2435" s="14">
        <f>_xlfn.LOGNORM.INV($AF2435,LN($C$10)-0.5*LN(1+($D$10/$C$10)^2),SQRT(LN(1+($D$10/$C$10)^2)))</f>
        <v/>
      </c>
      <c r="S2435" s="14">
        <f>SUM(M2435:R2435)</f>
        <v/>
      </c>
      <c r="AA2435">
        <f>RAND()</f>
        <v/>
      </c>
      <c r="AB2435">
        <f>RAND()</f>
        <v/>
      </c>
      <c r="AC2435">
        <f>RAND()</f>
        <v/>
      </c>
      <c r="AD2435">
        <f>RAND()</f>
        <v/>
      </c>
      <c r="AE2435">
        <f>RAND()</f>
        <v/>
      </c>
      <c r="AF2435">
        <f>RAND()</f>
        <v/>
      </c>
    </row>
    <row r="2436">
      <c r="M2436" s="14">
        <f>_xlfn.BETA.INV($AA2436,1+4*($D$5-$C$5)/($E$5-$C$5),1+4*($E$5-$D$5)/($E$5-$C$5),$C$5,$E$5)</f>
        <v/>
      </c>
      <c r="N2436" s="14">
        <f>IF($AB2436&lt;($D$6-$C$6)/($E$6-$C$6),$C$6+SQRT($AB2436*($E$6-$C$6)*($D$6-$C$6)),$E$6-SQRT((1-$AB2436)*($E$6-$C$6)*($E$6-$D$6)))</f>
        <v/>
      </c>
      <c r="O2436" s="14">
        <f>_xlfn.NORM.INV($AC2436,$C$7,$D$7)</f>
        <v/>
      </c>
      <c r="P2436" s="14">
        <f>$C$8+($D$8-$C$8)*$AD2436</f>
        <v/>
      </c>
      <c r="Q2436" s="14">
        <f>$C$9</f>
        <v/>
      </c>
      <c r="R2436" s="14">
        <f>_xlfn.LOGNORM.INV($AF2436,LN($C$10)-0.5*LN(1+($D$10/$C$10)^2),SQRT(LN(1+($D$10/$C$10)^2)))</f>
        <v/>
      </c>
      <c r="S2436" s="14">
        <f>SUM(M2436:R2436)</f>
        <v/>
      </c>
      <c r="AA2436">
        <f>RAND()</f>
        <v/>
      </c>
      <c r="AB2436">
        <f>RAND()</f>
        <v/>
      </c>
      <c r="AC2436">
        <f>RAND()</f>
        <v/>
      </c>
      <c r="AD2436">
        <f>RAND()</f>
        <v/>
      </c>
      <c r="AE2436">
        <f>RAND()</f>
        <v/>
      </c>
      <c r="AF2436">
        <f>RAND()</f>
        <v/>
      </c>
    </row>
    <row r="2437">
      <c r="M2437" s="14">
        <f>_xlfn.BETA.INV($AA2437,1+4*($D$5-$C$5)/($E$5-$C$5),1+4*($E$5-$D$5)/($E$5-$C$5),$C$5,$E$5)</f>
        <v/>
      </c>
      <c r="N2437" s="14">
        <f>IF($AB2437&lt;($D$6-$C$6)/($E$6-$C$6),$C$6+SQRT($AB2437*($E$6-$C$6)*($D$6-$C$6)),$E$6-SQRT((1-$AB2437)*($E$6-$C$6)*($E$6-$D$6)))</f>
        <v/>
      </c>
      <c r="O2437" s="14">
        <f>_xlfn.NORM.INV($AC2437,$C$7,$D$7)</f>
        <v/>
      </c>
      <c r="P2437" s="14">
        <f>$C$8+($D$8-$C$8)*$AD2437</f>
        <v/>
      </c>
      <c r="Q2437" s="14">
        <f>$C$9</f>
        <v/>
      </c>
      <c r="R2437" s="14">
        <f>_xlfn.LOGNORM.INV($AF2437,LN($C$10)-0.5*LN(1+($D$10/$C$10)^2),SQRT(LN(1+($D$10/$C$10)^2)))</f>
        <v/>
      </c>
      <c r="S2437" s="14">
        <f>SUM(M2437:R2437)</f>
        <v/>
      </c>
      <c r="AA2437">
        <f>RAND()</f>
        <v/>
      </c>
      <c r="AB2437">
        <f>RAND()</f>
        <v/>
      </c>
      <c r="AC2437">
        <f>RAND()</f>
        <v/>
      </c>
      <c r="AD2437">
        <f>RAND()</f>
        <v/>
      </c>
      <c r="AE2437">
        <f>RAND()</f>
        <v/>
      </c>
      <c r="AF2437">
        <f>RAND()</f>
        <v/>
      </c>
    </row>
    <row r="2438">
      <c r="M2438" s="14">
        <f>_xlfn.BETA.INV($AA2438,1+4*($D$5-$C$5)/($E$5-$C$5),1+4*($E$5-$D$5)/($E$5-$C$5),$C$5,$E$5)</f>
        <v/>
      </c>
      <c r="N2438" s="14">
        <f>IF($AB2438&lt;($D$6-$C$6)/($E$6-$C$6),$C$6+SQRT($AB2438*($E$6-$C$6)*($D$6-$C$6)),$E$6-SQRT((1-$AB2438)*($E$6-$C$6)*($E$6-$D$6)))</f>
        <v/>
      </c>
      <c r="O2438" s="14">
        <f>_xlfn.NORM.INV($AC2438,$C$7,$D$7)</f>
        <v/>
      </c>
      <c r="P2438" s="14">
        <f>$C$8+($D$8-$C$8)*$AD2438</f>
        <v/>
      </c>
      <c r="Q2438" s="14">
        <f>$C$9</f>
        <v/>
      </c>
      <c r="R2438" s="14">
        <f>_xlfn.LOGNORM.INV($AF2438,LN($C$10)-0.5*LN(1+($D$10/$C$10)^2),SQRT(LN(1+($D$10/$C$10)^2)))</f>
        <v/>
      </c>
      <c r="S2438" s="14">
        <f>SUM(M2438:R2438)</f>
        <v/>
      </c>
      <c r="AA2438">
        <f>RAND()</f>
        <v/>
      </c>
      <c r="AB2438">
        <f>RAND()</f>
        <v/>
      </c>
      <c r="AC2438">
        <f>RAND()</f>
        <v/>
      </c>
      <c r="AD2438">
        <f>RAND()</f>
        <v/>
      </c>
      <c r="AE2438">
        <f>RAND()</f>
        <v/>
      </c>
      <c r="AF2438">
        <f>RAND()</f>
        <v/>
      </c>
    </row>
    <row r="2439">
      <c r="M2439" s="14">
        <f>_xlfn.BETA.INV($AA2439,1+4*($D$5-$C$5)/($E$5-$C$5),1+4*($E$5-$D$5)/($E$5-$C$5),$C$5,$E$5)</f>
        <v/>
      </c>
      <c r="N2439" s="14">
        <f>IF($AB2439&lt;($D$6-$C$6)/($E$6-$C$6),$C$6+SQRT($AB2439*($E$6-$C$6)*($D$6-$C$6)),$E$6-SQRT((1-$AB2439)*($E$6-$C$6)*($E$6-$D$6)))</f>
        <v/>
      </c>
      <c r="O2439" s="14">
        <f>_xlfn.NORM.INV($AC2439,$C$7,$D$7)</f>
        <v/>
      </c>
      <c r="P2439" s="14">
        <f>$C$8+($D$8-$C$8)*$AD2439</f>
        <v/>
      </c>
      <c r="Q2439" s="14">
        <f>$C$9</f>
        <v/>
      </c>
      <c r="R2439" s="14">
        <f>_xlfn.LOGNORM.INV($AF2439,LN($C$10)-0.5*LN(1+($D$10/$C$10)^2),SQRT(LN(1+($D$10/$C$10)^2)))</f>
        <v/>
      </c>
      <c r="S2439" s="14">
        <f>SUM(M2439:R2439)</f>
        <v/>
      </c>
      <c r="AA2439">
        <f>RAND()</f>
        <v/>
      </c>
      <c r="AB2439">
        <f>RAND()</f>
        <v/>
      </c>
      <c r="AC2439">
        <f>RAND()</f>
        <v/>
      </c>
      <c r="AD2439">
        <f>RAND()</f>
        <v/>
      </c>
      <c r="AE2439">
        <f>RAND()</f>
        <v/>
      </c>
      <c r="AF2439">
        <f>RAND()</f>
        <v/>
      </c>
    </row>
    <row r="2440">
      <c r="M2440" s="14">
        <f>_xlfn.BETA.INV($AA2440,1+4*($D$5-$C$5)/($E$5-$C$5),1+4*($E$5-$D$5)/($E$5-$C$5),$C$5,$E$5)</f>
        <v/>
      </c>
      <c r="N2440" s="14">
        <f>IF($AB2440&lt;($D$6-$C$6)/($E$6-$C$6),$C$6+SQRT($AB2440*($E$6-$C$6)*($D$6-$C$6)),$E$6-SQRT((1-$AB2440)*($E$6-$C$6)*($E$6-$D$6)))</f>
        <v/>
      </c>
      <c r="O2440" s="14">
        <f>_xlfn.NORM.INV($AC2440,$C$7,$D$7)</f>
        <v/>
      </c>
      <c r="P2440" s="14">
        <f>$C$8+($D$8-$C$8)*$AD2440</f>
        <v/>
      </c>
      <c r="Q2440" s="14">
        <f>$C$9</f>
        <v/>
      </c>
      <c r="R2440" s="14">
        <f>_xlfn.LOGNORM.INV($AF2440,LN($C$10)-0.5*LN(1+($D$10/$C$10)^2),SQRT(LN(1+($D$10/$C$10)^2)))</f>
        <v/>
      </c>
      <c r="S2440" s="14">
        <f>SUM(M2440:R2440)</f>
        <v/>
      </c>
      <c r="AA2440">
        <f>RAND()</f>
        <v/>
      </c>
      <c r="AB2440">
        <f>RAND()</f>
        <v/>
      </c>
      <c r="AC2440">
        <f>RAND()</f>
        <v/>
      </c>
      <c r="AD2440">
        <f>RAND()</f>
        <v/>
      </c>
      <c r="AE2440">
        <f>RAND()</f>
        <v/>
      </c>
      <c r="AF2440">
        <f>RAND()</f>
        <v/>
      </c>
    </row>
    <row r="2441">
      <c r="M2441" s="14">
        <f>_xlfn.BETA.INV($AA2441,1+4*($D$5-$C$5)/($E$5-$C$5),1+4*($E$5-$D$5)/($E$5-$C$5),$C$5,$E$5)</f>
        <v/>
      </c>
      <c r="N2441" s="14">
        <f>IF($AB2441&lt;($D$6-$C$6)/($E$6-$C$6),$C$6+SQRT($AB2441*($E$6-$C$6)*($D$6-$C$6)),$E$6-SQRT((1-$AB2441)*($E$6-$C$6)*($E$6-$D$6)))</f>
        <v/>
      </c>
      <c r="O2441" s="14">
        <f>_xlfn.NORM.INV($AC2441,$C$7,$D$7)</f>
        <v/>
      </c>
      <c r="P2441" s="14">
        <f>$C$8+($D$8-$C$8)*$AD2441</f>
        <v/>
      </c>
      <c r="Q2441" s="14">
        <f>$C$9</f>
        <v/>
      </c>
      <c r="R2441" s="14">
        <f>_xlfn.LOGNORM.INV($AF2441,LN($C$10)-0.5*LN(1+($D$10/$C$10)^2),SQRT(LN(1+($D$10/$C$10)^2)))</f>
        <v/>
      </c>
      <c r="S2441" s="14">
        <f>SUM(M2441:R2441)</f>
        <v/>
      </c>
      <c r="AA2441">
        <f>RAND()</f>
        <v/>
      </c>
      <c r="AB2441">
        <f>RAND()</f>
        <v/>
      </c>
      <c r="AC2441">
        <f>RAND()</f>
        <v/>
      </c>
      <c r="AD2441">
        <f>RAND()</f>
        <v/>
      </c>
      <c r="AE2441">
        <f>RAND()</f>
        <v/>
      </c>
      <c r="AF2441">
        <f>RAND()</f>
        <v/>
      </c>
    </row>
    <row r="2442">
      <c r="M2442" s="14">
        <f>_xlfn.BETA.INV($AA2442,1+4*($D$5-$C$5)/($E$5-$C$5),1+4*($E$5-$D$5)/($E$5-$C$5),$C$5,$E$5)</f>
        <v/>
      </c>
      <c r="N2442" s="14">
        <f>IF($AB2442&lt;($D$6-$C$6)/($E$6-$C$6),$C$6+SQRT($AB2442*($E$6-$C$6)*($D$6-$C$6)),$E$6-SQRT((1-$AB2442)*($E$6-$C$6)*($E$6-$D$6)))</f>
        <v/>
      </c>
      <c r="O2442" s="14">
        <f>_xlfn.NORM.INV($AC2442,$C$7,$D$7)</f>
        <v/>
      </c>
      <c r="P2442" s="14">
        <f>$C$8+($D$8-$C$8)*$AD2442</f>
        <v/>
      </c>
      <c r="Q2442" s="14">
        <f>$C$9</f>
        <v/>
      </c>
      <c r="R2442" s="14">
        <f>_xlfn.LOGNORM.INV($AF2442,LN($C$10)-0.5*LN(1+($D$10/$C$10)^2),SQRT(LN(1+($D$10/$C$10)^2)))</f>
        <v/>
      </c>
      <c r="S2442" s="14">
        <f>SUM(M2442:R2442)</f>
        <v/>
      </c>
      <c r="AA2442">
        <f>RAND()</f>
        <v/>
      </c>
      <c r="AB2442">
        <f>RAND()</f>
        <v/>
      </c>
      <c r="AC2442">
        <f>RAND()</f>
        <v/>
      </c>
      <c r="AD2442">
        <f>RAND()</f>
        <v/>
      </c>
      <c r="AE2442">
        <f>RAND()</f>
        <v/>
      </c>
      <c r="AF2442">
        <f>RAND()</f>
        <v/>
      </c>
    </row>
    <row r="2443">
      <c r="M2443" s="14">
        <f>_xlfn.BETA.INV($AA2443,1+4*($D$5-$C$5)/($E$5-$C$5),1+4*($E$5-$D$5)/($E$5-$C$5),$C$5,$E$5)</f>
        <v/>
      </c>
      <c r="N2443" s="14">
        <f>IF($AB2443&lt;($D$6-$C$6)/($E$6-$C$6),$C$6+SQRT($AB2443*($E$6-$C$6)*($D$6-$C$6)),$E$6-SQRT((1-$AB2443)*($E$6-$C$6)*($E$6-$D$6)))</f>
        <v/>
      </c>
      <c r="O2443" s="14">
        <f>_xlfn.NORM.INV($AC2443,$C$7,$D$7)</f>
        <v/>
      </c>
      <c r="P2443" s="14">
        <f>$C$8+($D$8-$C$8)*$AD2443</f>
        <v/>
      </c>
      <c r="Q2443" s="14">
        <f>$C$9</f>
        <v/>
      </c>
      <c r="R2443" s="14">
        <f>_xlfn.LOGNORM.INV($AF2443,LN($C$10)-0.5*LN(1+($D$10/$C$10)^2),SQRT(LN(1+($D$10/$C$10)^2)))</f>
        <v/>
      </c>
      <c r="S2443" s="14">
        <f>SUM(M2443:R2443)</f>
        <v/>
      </c>
      <c r="AA2443">
        <f>RAND()</f>
        <v/>
      </c>
      <c r="AB2443">
        <f>RAND()</f>
        <v/>
      </c>
      <c r="AC2443">
        <f>RAND()</f>
        <v/>
      </c>
      <c r="AD2443">
        <f>RAND()</f>
        <v/>
      </c>
      <c r="AE2443">
        <f>RAND()</f>
        <v/>
      </c>
      <c r="AF2443">
        <f>RAND()</f>
        <v/>
      </c>
    </row>
    <row r="2444">
      <c r="M2444" s="14">
        <f>_xlfn.BETA.INV($AA2444,1+4*($D$5-$C$5)/($E$5-$C$5),1+4*($E$5-$D$5)/($E$5-$C$5),$C$5,$E$5)</f>
        <v/>
      </c>
      <c r="N2444" s="14">
        <f>IF($AB2444&lt;($D$6-$C$6)/($E$6-$C$6),$C$6+SQRT($AB2444*($E$6-$C$6)*($D$6-$C$6)),$E$6-SQRT((1-$AB2444)*($E$6-$C$6)*($E$6-$D$6)))</f>
        <v/>
      </c>
      <c r="O2444" s="14">
        <f>_xlfn.NORM.INV($AC2444,$C$7,$D$7)</f>
        <v/>
      </c>
      <c r="P2444" s="14">
        <f>$C$8+($D$8-$C$8)*$AD2444</f>
        <v/>
      </c>
      <c r="Q2444" s="14">
        <f>$C$9</f>
        <v/>
      </c>
      <c r="R2444" s="14">
        <f>_xlfn.LOGNORM.INV($AF2444,LN($C$10)-0.5*LN(1+($D$10/$C$10)^2),SQRT(LN(1+($D$10/$C$10)^2)))</f>
        <v/>
      </c>
      <c r="S2444" s="14">
        <f>SUM(M2444:R2444)</f>
        <v/>
      </c>
      <c r="AA2444">
        <f>RAND()</f>
        <v/>
      </c>
      <c r="AB2444">
        <f>RAND()</f>
        <v/>
      </c>
      <c r="AC2444">
        <f>RAND()</f>
        <v/>
      </c>
      <c r="AD2444">
        <f>RAND()</f>
        <v/>
      </c>
      <c r="AE2444">
        <f>RAND()</f>
        <v/>
      </c>
      <c r="AF2444">
        <f>RAND()</f>
        <v/>
      </c>
    </row>
    <row r="2445">
      <c r="M2445" s="14">
        <f>_xlfn.BETA.INV($AA2445,1+4*($D$5-$C$5)/($E$5-$C$5),1+4*($E$5-$D$5)/($E$5-$C$5),$C$5,$E$5)</f>
        <v/>
      </c>
      <c r="N2445" s="14">
        <f>IF($AB2445&lt;($D$6-$C$6)/($E$6-$C$6),$C$6+SQRT($AB2445*($E$6-$C$6)*($D$6-$C$6)),$E$6-SQRT((1-$AB2445)*($E$6-$C$6)*($E$6-$D$6)))</f>
        <v/>
      </c>
      <c r="O2445" s="14">
        <f>_xlfn.NORM.INV($AC2445,$C$7,$D$7)</f>
        <v/>
      </c>
      <c r="P2445" s="14">
        <f>$C$8+($D$8-$C$8)*$AD2445</f>
        <v/>
      </c>
      <c r="Q2445" s="14">
        <f>$C$9</f>
        <v/>
      </c>
      <c r="R2445" s="14">
        <f>_xlfn.LOGNORM.INV($AF2445,LN($C$10)-0.5*LN(1+($D$10/$C$10)^2),SQRT(LN(1+($D$10/$C$10)^2)))</f>
        <v/>
      </c>
      <c r="S2445" s="14">
        <f>SUM(M2445:R2445)</f>
        <v/>
      </c>
      <c r="AA2445">
        <f>RAND()</f>
        <v/>
      </c>
      <c r="AB2445">
        <f>RAND()</f>
        <v/>
      </c>
      <c r="AC2445">
        <f>RAND()</f>
        <v/>
      </c>
      <c r="AD2445">
        <f>RAND()</f>
        <v/>
      </c>
      <c r="AE2445">
        <f>RAND()</f>
        <v/>
      </c>
      <c r="AF2445">
        <f>RAND()</f>
        <v/>
      </c>
    </row>
    <row r="2446">
      <c r="M2446" s="14">
        <f>_xlfn.BETA.INV($AA2446,1+4*($D$5-$C$5)/($E$5-$C$5),1+4*($E$5-$D$5)/($E$5-$C$5),$C$5,$E$5)</f>
        <v/>
      </c>
      <c r="N2446" s="14">
        <f>IF($AB2446&lt;($D$6-$C$6)/($E$6-$C$6),$C$6+SQRT($AB2446*($E$6-$C$6)*($D$6-$C$6)),$E$6-SQRT((1-$AB2446)*($E$6-$C$6)*($E$6-$D$6)))</f>
        <v/>
      </c>
      <c r="O2446" s="14">
        <f>_xlfn.NORM.INV($AC2446,$C$7,$D$7)</f>
        <v/>
      </c>
      <c r="P2446" s="14">
        <f>$C$8+($D$8-$C$8)*$AD2446</f>
        <v/>
      </c>
      <c r="Q2446" s="14">
        <f>$C$9</f>
        <v/>
      </c>
      <c r="R2446" s="14">
        <f>_xlfn.LOGNORM.INV($AF2446,LN($C$10)-0.5*LN(1+($D$10/$C$10)^2),SQRT(LN(1+($D$10/$C$10)^2)))</f>
        <v/>
      </c>
      <c r="S2446" s="14">
        <f>SUM(M2446:R2446)</f>
        <v/>
      </c>
      <c r="AA2446">
        <f>RAND()</f>
        <v/>
      </c>
      <c r="AB2446">
        <f>RAND()</f>
        <v/>
      </c>
      <c r="AC2446">
        <f>RAND()</f>
        <v/>
      </c>
      <c r="AD2446">
        <f>RAND()</f>
        <v/>
      </c>
      <c r="AE2446">
        <f>RAND()</f>
        <v/>
      </c>
      <c r="AF2446">
        <f>RAND()</f>
        <v/>
      </c>
    </row>
    <row r="2447">
      <c r="M2447" s="14">
        <f>_xlfn.BETA.INV($AA2447,1+4*($D$5-$C$5)/($E$5-$C$5),1+4*($E$5-$D$5)/($E$5-$C$5),$C$5,$E$5)</f>
        <v/>
      </c>
      <c r="N2447" s="14">
        <f>IF($AB2447&lt;($D$6-$C$6)/($E$6-$C$6),$C$6+SQRT($AB2447*($E$6-$C$6)*($D$6-$C$6)),$E$6-SQRT((1-$AB2447)*($E$6-$C$6)*($E$6-$D$6)))</f>
        <v/>
      </c>
      <c r="O2447" s="14">
        <f>_xlfn.NORM.INV($AC2447,$C$7,$D$7)</f>
        <v/>
      </c>
      <c r="P2447" s="14">
        <f>$C$8+($D$8-$C$8)*$AD2447</f>
        <v/>
      </c>
      <c r="Q2447" s="14">
        <f>$C$9</f>
        <v/>
      </c>
      <c r="R2447" s="14">
        <f>_xlfn.LOGNORM.INV($AF2447,LN($C$10)-0.5*LN(1+($D$10/$C$10)^2),SQRT(LN(1+($D$10/$C$10)^2)))</f>
        <v/>
      </c>
      <c r="S2447" s="14">
        <f>SUM(M2447:R2447)</f>
        <v/>
      </c>
      <c r="AA2447">
        <f>RAND()</f>
        <v/>
      </c>
      <c r="AB2447">
        <f>RAND()</f>
        <v/>
      </c>
      <c r="AC2447">
        <f>RAND()</f>
        <v/>
      </c>
      <c r="AD2447">
        <f>RAND()</f>
        <v/>
      </c>
      <c r="AE2447">
        <f>RAND()</f>
        <v/>
      </c>
      <c r="AF2447">
        <f>RAND()</f>
        <v/>
      </c>
    </row>
    <row r="2448">
      <c r="M2448" s="14">
        <f>_xlfn.BETA.INV($AA2448,1+4*($D$5-$C$5)/($E$5-$C$5),1+4*($E$5-$D$5)/($E$5-$C$5),$C$5,$E$5)</f>
        <v/>
      </c>
      <c r="N2448" s="14">
        <f>IF($AB2448&lt;($D$6-$C$6)/($E$6-$C$6),$C$6+SQRT($AB2448*($E$6-$C$6)*($D$6-$C$6)),$E$6-SQRT((1-$AB2448)*($E$6-$C$6)*($E$6-$D$6)))</f>
        <v/>
      </c>
      <c r="O2448" s="14">
        <f>_xlfn.NORM.INV($AC2448,$C$7,$D$7)</f>
        <v/>
      </c>
      <c r="P2448" s="14">
        <f>$C$8+($D$8-$C$8)*$AD2448</f>
        <v/>
      </c>
      <c r="Q2448" s="14">
        <f>$C$9</f>
        <v/>
      </c>
      <c r="R2448" s="14">
        <f>_xlfn.LOGNORM.INV($AF2448,LN($C$10)-0.5*LN(1+($D$10/$C$10)^2),SQRT(LN(1+($D$10/$C$10)^2)))</f>
        <v/>
      </c>
      <c r="S2448" s="14">
        <f>SUM(M2448:R2448)</f>
        <v/>
      </c>
      <c r="AA2448">
        <f>RAND()</f>
        <v/>
      </c>
      <c r="AB2448">
        <f>RAND()</f>
        <v/>
      </c>
      <c r="AC2448">
        <f>RAND()</f>
        <v/>
      </c>
      <c r="AD2448">
        <f>RAND()</f>
        <v/>
      </c>
      <c r="AE2448">
        <f>RAND()</f>
        <v/>
      </c>
      <c r="AF2448">
        <f>RAND()</f>
        <v/>
      </c>
    </row>
    <row r="2449">
      <c r="M2449" s="14">
        <f>_xlfn.BETA.INV($AA2449,1+4*($D$5-$C$5)/($E$5-$C$5),1+4*($E$5-$D$5)/($E$5-$C$5),$C$5,$E$5)</f>
        <v/>
      </c>
      <c r="N2449" s="14">
        <f>IF($AB2449&lt;($D$6-$C$6)/($E$6-$C$6),$C$6+SQRT($AB2449*($E$6-$C$6)*($D$6-$C$6)),$E$6-SQRT((1-$AB2449)*($E$6-$C$6)*($E$6-$D$6)))</f>
        <v/>
      </c>
      <c r="O2449" s="14">
        <f>_xlfn.NORM.INV($AC2449,$C$7,$D$7)</f>
        <v/>
      </c>
      <c r="P2449" s="14">
        <f>$C$8+($D$8-$C$8)*$AD2449</f>
        <v/>
      </c>
      <c r="Q2449" s="14">
        <f>$C$9</f>
        <v/>
      </c>
      <c r="R2449" s="14">
        <f>_xlfn.LOGNORM.INV($AF2449,LN($C$10)-0.5*LN(1+($D$10/$C$10)^2),SQRT(LN(1+($D$10/$C$10)^2)))</f>
        <v/>
      </c>
      <c r="S2449" s="14">
        <f>SUM(M2449:R2449)</f>
        <v/>
      </c>
      <c r="AA2449">
        <f>RAND()</f>
        <v/>
      </c>
      <c r="AB2449">
        <f>RAND()</f>
        <v/>
      </c>
      <c r="AC2449">
        <f>RAND()</f>
        <v/>
      </c>
      <c r="AD2449">
        <f>RAND()</f>
        <v/>
      </c>
      <c r="AE2449">
        <f>RAND()</f>
        <v/>
      </c>
      <c r="AF2449">
        <f>RAND()</f>
        <v/>
      </c>
    </row>
    <row r="2450">
      <c r="M2450" s="14">
        <f>_xlfn.BETA.INV($AA2450,1+4*($D$5-$C$5)/($E$5-$C$5),1+4*($E$5-$D$5)/($E$5-$C$5),$C$5,$E$5)</f>
        <v/>
      </c>
      <c r="N2450" s="14">
        <f>IF($AB2450&lt;($D$6-$C$6)/($E$6-$C$6),$C$6+SQRT($AB2450*($E$6-$C$6)*($D$6-$C$6)),$E$6-SQRT((1-$AB2450)*($E$6-$C$6)*($E$6-$D$6)))</f>
        <v/>
      </c>
      <c r="O2450" s="14">
        <f>_xlfn.NORM.INV($AC2450,$C$7,$D$7)</f>
        <v/>
      </c>
      <c r="P2450" s="14">
        <f>$C$8+($D$8-$C$8)*$AD2450</f>
        <v/>
      </c>
      <c r="Q2450" s="14">
        <f>$C$9</f>
        <v/>
      </c>
      <c r="R2450" s="14">
        <f>_xlfn.LOGNORM.INV($AF2450,LN($C$10)-0.5*LN(1+($D$10/$C$10)^2),SQRT(LN(1+($D$10/$C$10)^2)))</f>
        <v/>
      </c>
      <c r="S2450" s="14">
        <f>SUM(M2450:R2450)</f>
        <v/>
      </c>
      <c r="AA2450">
        <f>RAND()</f>
        <v/>
      </c>
      <c r="AB2450">
        <f>RAND()</f>
        <v/>
      </c>
      <c r="AC2450">
        <f>RAND()</f>
        <v/>
      </c>
      <c r="AD2450">
        <f>RAND()</f>
        <v/>
      </c>
      <c r="AE2450">
        <f>RAND()</f>
        <v/>
      </c>
      <c r="AF2450">
        <f>RAND()</f>
        <v/>
      </c>
    </row>
    <row r="2451">
      <c r="M2451" s="14">
        <f>_xlfn.BETA.INV($AA2451,1+4*($D$5-$C$5)/($E$5-$C$5),1+4*($E$5-$D$5)/($E$5-$C$5),$C$5,$E$5)</f>
        <v/>
      </c>
      <c r="N2451" s="14">
        <f>IF($AB2451&lt;($D$6-$C$6)/($E$6-$C$6),$C$6+SQRT($AB2451*($E$6-$C$6)*($D$6-$C$6)),$E$6-SQRT((1-$AB2451)*($E$6-$C$6)*($E$6-$D$6)))</f>
        <v/>
      </c>
      <c r="O2451" s="14">
        <f>_xlfn.NORM.INV($AC2451,$C$7,$D$7)</f>
        <v/>
      </c>
      <c r="P2451" s="14">
        <f>$C$8+($D$8-$C$8)*$AD2451</f>
        <v/>
      </c>
      <c r="Q2451" s="14">
        <f>$C$9</f>
        <v/>
      </c>
      <c r="R2451" s="14">
        <f>_xlfn.LOGNORM.INV($AF2451,LN($C$10)-0.5*LN(1+($D$10/$C$10)^2),SQRT(LN(1+($D$10/$C$10)^2)))</f>
        <v/>
      </c>
      <c r="S2451" s="14">
        <f>SUM(M2451:R2451)</f>
        <v/>
      </c>
      <c r="AA2451">
        <f>RAND()</f>
        <v/>
      </c>
      <c r="AB2451">
        <f>RAND()</f>
        <v/>
      </c>
      <c r="AC2451">
        <f>RAND()</f>
        <v/>
      </c>
      <c r="AD2451">
        <f>RAND()</f>
        <v/>
      </c>
      <c r="AE2451">
        <f>RAND()</f>
        <v/>
      </c>
      <c r="AF2451">
        <f>RAND()</f>
        <v/>
      </c>
    </row>
    <row r="2452">
      <c r="M2452" s="14">
        <f>_xlfn.BETA.INV($AA2452,1+4*($D$5-$C$5)/($E$5-$C$5),1+4*($E$5-$D$5)/($E$5-$C$5),$C$5,$E$5)</f>
        <v/>
      </c>
      <c r="N2452" s="14">
        <f>IF($AB2452&lt;($D$6-$C$6)/($E$6-$C$6),$C$6+SQRT($AB2452*($E$6-$C$6)*($D$6-$C$6)),$E$6-SQRT((1-$AB2452)*($E$6-$C$6)*($E$6-$D$6)))</f>
        <v/>
      </c>
      <c r="O2452" s="14">
        <f>_xlfn.NORM.INV($AC2452,$C$7,$D$7)</f>
        <v/>
      </c>
      <c r="P2452" s="14">
        <f>$C$8+($D$8-$C$8)*$AD2452</f>
        <v/>
      </c>
      <c r="Q2452" s="14">
        <f>$C$9</f>
        <v/>
      </c>
      <c r="R2452" s="14">
        <f>_xlfn.LOGNORM.INV($AF2452,LN($C$10)-0.5*LN(1+($D$10/$C$10)^2),SQRT(LN(1+($D$10/$C$10)^2)))</f>
        <v/>
      </c>
      <c r="S2452" s="14">
        <f>SUM(M2452:R2452)</f>
        <v/>
      </c>
      <c r="AA2452">
        <f>RAND()</f>
        <v/>
      </c>
      <c r="AB2452">
        <f>RAND()</f>
        <v/>
      </c>
      <c r="AC2452">
        <f>RAND()</f>
        <v/>
      </c>
      <c r="AD2452">
        <f>RAND()</f>
        <v/>
      </c>
      <c r="AE2452">
        <f>RAND()</f>
        <v/>
      </c>
      <c r="AF2452">
        <f>RAND()</f>
        <v/>
      </c>
    </row>
    <row r="2453">
      <c r="M2453" s="14">
        <f>_xlfn.BETA.INV($AA2453,1+4*($D$5-$C$5)/($E$5-$C$5),1+4*($E$5-$D$5)/($E$5-$C$5),$C$5,$E$5)</f>
        <v/>
      </c>
      <c r="N2453" s="14">
        <f>IF($AB2453&lt;($D$6-$C$6)/($E$6-$C$6),$C$6+SQRT($AB2453*($E$6-$C$6)*($D$6-$C$6)),$E$6-SQRT((1-$AB2453)*($E$6-$C$6)*($E$6-$D$6)))</f>
        <v/>
      </c>
      <c r="O2453" s="14">
        <f>_xlfn.NORM.INV($AC2453,$C$7,$D$7)</f>
        <v/>
      </c>
      <c r="P2453" s="14">
        <f>$C$8+($D$8-$C$8)*$AD2453</f>
        <v/>
      </c>
      <c r="Q2453" s="14">
        <f>$C$9</f>
        <v/>
      </c>
      <c r="R2453" s="14">
        <f>_xlfn.LOGNORM.INV($AF2453,LN($C$10)-0.5*LN(1+($D$10/$C$10)^2),SQRT(LN(1+($D$10/$C$10)^2)))</f>
        <v/>
      </c>
      <c r="S2453" s="14">
        <f>SUM(M2453:R2453)</f>
        <v/>
      </c>
      <c r="AA2453">
        <f>RAND()</f>
        <v/>
      </c>
      <c r="AB2453">
        <f>RAND()</f>
        <v/>
      </c>
      <c r="AC2453">
        <f>RAND()</f>
        <v/>
      </c>
      <c r="AD2453">
        <f>RAND()</f>
        <v/>
      </c>
      <c r="AE2453">
        <f>RAND()</f>
        <v/>
      </c>
      <c r="AF2453">
        <f>RAND()</f>
        <v/>
      </c>
    </row>
    <row r="2454">
      <c r="M2454" s="14">
        <f>_xlfn.BETA.INV($AA2454,1+4*($D$5-$C$5)/($E$5-$C$5),1+4*($E$5-$D$5)/($E$5-$C$5),$C$5,$E$5)</f>
        <v/>
      </c>
      <c r="N2454" s="14">
        <f>IF($AB2454&lt;($D$6-$C$6)/($E$6-$C$6),$C$6+SQRT($AB2454*($E$6-$C$6)*($D$6-$C$6)),$E$6-SQRT((1-$AB2454)*($E$6-$C$6)*($E$6-$D$6)))</f>
        <v/>
      </c>
      <c r="O2454" s="14">
        <f>_xlfn.NORM.INV($AC2454,$C$7,$D$7)</f>
        <v/>
      </c>
      <c r="P2454" s="14">
        <f>$C$8+($D$8-$C$8)*$AD2454</f>
        <v/>
      </c>
      <c r="Q2454" s="14">
        <f>$C$9</f>
        <v/>
      </c>
      <c r="R2454" s="14">
        <f>_xlfn.LOGNORM.INV($AF2454,LN($C$10)-0.5*LN(1+($D$10/$C$10)^2),SQRT(LN(1+($D$10/$C$10)^2)))</f>
        <v/>
      </c>
      <c r="S2454" s="14">
        <f>SUM(M2454:R2454)</f>
        <v/>
      </c>
      <c r="AA2454">
        <f>RAND()</f>
        <v/>
      </c>
      <c r="AB2454">
        <f>RAND()</f>
        <v/>
      </c>
      <c r="AC2454">
        <f>RAND()</f>
        <v/>
      </c>
      <c r="AD2454">
        <f>RAND()</f>
        <v/>
      </c>
      <c r="AE2454">
        <f>RAND()</f>
        <v/>
      </c>
      <c r="AF2454">
        <f>RAND()</f>
        <v/>
      </c>
    </row>
    <row r="2455">
      <c r="M2455" s="14">
        <f>_xlfn.BETA.INV($AA2455,1+4*($D$5-$C$5)/($E$5-$C$5),1+4*($E$5-$D$5)/($E$5-$C$5),$C$5,$E$5)</f>
        <v/>
      </c>
      <c r="N2455" s="14">
        <f>IF($AB2455&lt;($D$6-$C$6)/($E$6-$C$6),$C$6+SQRT($AB2455*($E$6-$C$6)*($D$6-$C$6)),$E$6-SQRT((1-$AB2455)*($E$6-$C$6)*($E$6-$D$6)))</f>
        <v/>
      </c>
      <c r="O2455" s="14">
        <f>_xlfn.NORM.INV($AC2455,$C$7,$D$7)</f>
        <v/>
      </c>
      <c r="P2455" s="14">
        <f>$C$8+($D$8-$C$8)*$AD2455</f>
        <v/>
      </c>
      <c r="Q2455" s="14">
        <f>$C$9</f>
        <v/>
      </c>
      <c r="R2455" s="14">
        <f>_xlfn.LOGNORM.INV($AF2455,LN($C$10)-0.5*LN(1+($D$10/$C$10)^2),SQRT(LN(1+($D$10/$C$10)^2)))</f>
        <v/>
      </c>
      <c r="S2455" s="14">
        <f>SUM(M2455:R2455)</f>
        <v/>
      </c>
      <c r="AA2455">
        <f>RAND()</f>
        <v/>
      </c>
      <c r="AB2455">
        <f>RAND()</f>
        <v/>
      </c>
      <c r="AC2455">
        <f>RAND()</f>
        <v/>
      </c>
      <c r="AD2455">
        <f>RAND()</f>
        <v/>
      </c>
      <c r="AE2455">
        <f>RAND()</f>
        <v/>
      </c>
      <c r="AF2455">
        <f>RAND()</f>
        <v/>
      </c>
    </row>
    <row r="2456">
      <c r="M2456" s="14">
        <f>_xlfn.BETA.INV($AA2456,1+4*($D$5-$C$5)/($E$5-$C$5),1+4*($E$5-$D$5)/($E$5-$C$5),$C$5,$E$5)</f>
        <v/>
      </c>
      <c r="N2456" s="14">
        <f>IF($AB2456&lt;($D$6-$C$6)/($E$6-$C$6),$C$6+SQRT($AB2456*($E$6-$C$6)*($D$6-$C$6)),$E$6-SQRT((1-$AB2456)*($E$6-$C$6)*($E$6-$D$6)))</f>
        <v/>
      </c>
      <c r="O2456" s="14">
        <f>_xlfn.NORM.INV($AC2456,$C$7,$D$7)</f>
        <v/>
      </c>
      <c r="P2456" s="14">
        <f>$C$8+($D$8-$C$8)*$AD2456</f>
        <v/>
      </c>
      <c r="Q2456" s="14">
        <f>$C$9</f>
        <v/>
      </c>
      <c r="R2456" s="14">
        <f>_xlfn.LOGNORM.INV($AF2456,LN($C$10)-0.5*LN(1+($D$10/$C$10)^2),SQRT(LN(1+($D$10/$C$10)^2)))</f>
        <v/>
      </c>
      <c r="S2456" s="14">
        <f>SUM(M2456:R2456)</f>
        <v/>
      </c>
      <c r="AA2456">
        <f>RAND()</f>
        <v/>
      </c>
      <c r="AB2456">
        <f>RAND()</f>
        <v/>
      </c>
      <c r="AC2456">
        <f>RAND()</f>
        <v/>
      </c>
      <c r="AD2456">
        <f>RAND()</f>
        <v/>
      </c>
      <c r="AE2456">
        <f>RAND()</f>
        <v/>
      </c>
      <c r="AF2456">
        <f>RAND()</f>
        <v/>
      </c>
    </row>
    <row r="2457">
      <c r="M2457" s="14">
        <f>_xlfn.BETA.INV($AA2457,1+4*($D$5-$C$5)/($E$5-$C$5),1+4*($E$5-$D$5)/($E$5-$C$5),$C$5,$E$5)</f>
        <v/>
      </c>
      <c r="N2457" s="14">
        <f>IF($AB2457&lt;($D$6-$C$6)/($E$6-$C$6),$C$6+SQRT($AB2457*($E$6-$C$6)*($D$6-$C$6)),$E$6-SQRT((1-$AB2457)*($E$6-$C$6)*($E$6-$D$6)))</f>
        <v/>
      </c>
      <c r="O2457" s="14">
        <f>_xlfn.NORM.INV($AC2457,$C$7,$D$7)</f>
        <v/>
      </c>
      <c r="P2457" s="14">
        <f>$C$8+($D$8-$C$8)*$AD2457</f>
        <v/>
      </c>
      <c r="Q2457" s="14">
        <f>$C$9</f>
        <v/>
      </c>
      <c r="R2457" s="14">
        <f>_xlfn.LOGNORM.INV($AF2457,LN($C$10)-0.5*LN(1+($D$10/$C$10)^2),SQRT(LN(1+($D$10/$C$10)^2)))</f>
        <v/>
      </c>
      <c r="S2457" s="14">
        <f>SUM(M2457:R2457)</f>
        <v/>
      </c>
      <c r="AA2457">
        <f>RAND()</f>
        <v/>
      </c>
      <c r="AB2457">
        <f>RAND()</f>
        <v/>
      </c>
      <c r="AC2457">
        <f>RAND()</f>
        <v/>
      </c>
      <c r="AD2457">
        <f>RAND()</f>
        <v/>
      </c>
      <c r="AE2457">
        <f>RAND()</f>
        <v/>
      </c>
      <c r="AF2457">
        <f>RAND()</f>
        <v/>
      </c>
    </row>
    <row r="2458">
      <c r="M2458" s="14">
        <f>_xlfn.BETA.INV($AA2458,1+4*($D$5-$C$5)/($E$5-$C$5),1+4*($E$5-$D$5)/($E$5-$C$5),$C$5,$E$5)</f>
        <v/>
      </c>
      <c r="N2458" s="14">
        <f>IF($AB2458&lt;($D$6-$C$6)/($E$6-$C$6),$C$6+SQRT($AB2458*($E$6-$C$6)*($D$6-$C$6)),$E$6-SQRT((1-$AB2458)*($E$6-$C$6)*($E$6-$D$6)))</f>
        <v/>
      </c>
      <c r="O2458" s="14">
        <f>_xlfn.NORM.INV($AC2458,$C$7,$D$7)</f>
        <v/>
      </c>
      <c r="P2458" s="14">
        <f>$C$8+($D$8-$C$8)*$AD2458</f>
        <v/>
      </c>
      <c r="Q2458" s="14">
        <f>$C$9</f>
        <v/>
      </c>
      <c r="R2458" s="14">
        <f>_xlfn.LOGNORM.INV($AF2458,LN($C$10)-0.5*LN(1+($D$10/$C$10)^2),SQRT(LN(1+($D$10/$C$10)^2)))</f>
        <v/>
      </c>
      <c r="S2458" s="14">
        <f>SUM(M2458:R2458)</f>
        <v/>
      </c>
      <c r="AA2458">
        <f>RAND()</f>
        <v/>
      </c>
      <c r="AB2458">
        <f>RAND()</f>
        <v/>
      </c>
      <c r="AC2458">
        <f>RAND()</f>
        <v/>
      </c>
      <c r="AD2458">
        <f>RAND()</f>
        <v/>
      </c>
      <c r="AE2458">
        <f>RAND()</f>
        <v/>
      </c>
      <c r="AF2458">
        <f>RAND()</f>
        <v/>
      </c>
    </row>
    <row r="2459">
      <c r="M2459" s="14">
        <f>_xlfn.BETA.INV($AA2459,1+4*($D$5-$C$5)/($E$5-$C$5),1+4*($E$5-$D$5)/($E$5-$C$5),$C$5,$E$5)</f>
        <v/>
      </c>
      <c r="N2459" s="14">
        <f>IF($AB2459&lt;($D$6-$C$6)/($E$6-$C$6),$C$6+SQRT($AB2459*($E$6-$C$6)*($D$6-$C$6)),$E$6-SQRT((1-$AB2459)*($E$6-$C$6)*($E$6-$D$6)))</f>
        <v/>
      </c>
      <c r="O2459" s="14">
        <f>_xlfn.NORM.INV($AC2459,$C$7,$D$7)</f>
        <v/>
      </c>
      <c r="P2459" s="14">
        <f>$C$8+($D$8-$C$8)*$AD2459</f>
        <v/>
      </c>
      <c r="Q2459" s="14">
        <f>$C$9</f>
        <v/>
      </c>
      <c r="R2459" s="14">
        <f>_xlfn.LOGNORM.INV($AF2459,LN($C$10)-0.5*LN(1+($D$10/$C$10)^2),SQRT(LN(1+($D$10/$C$10)^2)))</f>
        <v/>
      </c>
      <c r="S2459" s="14">
        <f>SUM(M2459:R2459)</f>
        <v/>
      </c>
      <c r="AA2459">
        <f>RAND()</f>
        <v/>
      </c>
      <c r="AB2459">
        <f>RAND()</f>
        <v/>
      </c>
      <c r="AC2459">
        <f>RAND()</f>
        <v/>
      </c>
      <c r="AD2459">
        <f>RAND()</f>
        <v/>
      </c>
      <c r="AE2459">
        <f>RAND()</f>
        <v/>
      </c>
      <c r="AF2459">
        <f>RAND()</f>
        <v/>
      </c>
    </row>
    <row r="2460">
      <c r="M2460" s="14">
        <f>_xlfn.BETA.INV($AA2460,1+4*($D$5-$C$5)/($E$5-$C$5),1+4*($E$5-$D$5)/($E$5-$C$5),$C$5,$E$5)</f>
        <v/>
      </c>
      <c r="N2460" s="14">
        <f>IF($AB2460&lt;($D$6-$C$6)/($E$6-$C$6),$C$6+SQRT($AB2460*($E$6-$C$6)*($D$6-$C$6)),$E$6-SQRT((1-$AB2460)*($E$6-$C$6)*($E$6-$D$6)))</f>
        <v/>
      </c>
      <c r="O2460" s="14">
        <f>_xlfn.NORM.INV($AC2460,$C$7,$D$7)</f>
        <v/>
      </c>
      <c r="P2460" s="14">
        <f>$C$8+($D$8-$C$8)*$AD2460</f>
        <v/>
      </c>
      <c r="Q2460" s="14">
        <f>$C$9</f>
        <v/>
      </c>
      <c r="R2460" s="14">
        <f>_xlfn.LOGNORM.INV($AF2460,LN($C$10)-0.5*LN(1+($D$10/$C$10)^2),SQRT(LN(1+($D$10/$C$10)^2)))</f>
        <v/>
      </c>
      <c r="S2460" s="14">
        <f>SUM(M2460:R2460)</f>
        <v/>
      </c>
      <c r="AA2460">
        <f>RAND()</f>
        <v/>
      </c>
      <c r="AB2460">
        <f>RAND()</f>
        <v/>
      </c>
      <c r="AC2460">
        <f>RAND()</f>
        <v/>
      </c>
      <c r="AD2460">
        <f>RAND()</f>
        <v/>
      </c>
      <c r="AE2460">
        <f>RAND()</f>
        <v/>
      </c>
      <c r="AF2460">
        <f>RAND()</f>
        <v/>
      </c>
    </row>
    <row r="2461">
      <c r="M2461" s="14">
        <f>_xlfn.BETA.INV($AA2461,1+4*($D$5-$C$5)/($E$5-$C$5),1+4*($E$5-$D$5)/($E$5-$C$5),$C$5,$E$5)</f>
        <v/>
      </c>
      <c r="N2461" s="14">
        <f>IF($AB2461&lt;($D$6-$C$6)/($E$6-$C$6),$C$6+SQRT($AB2461*($E$6-$C$6)*($D$6-$C$6)),$E$6-SQRT((1-$AB2461)*($E$6-$C$6)*($E$6-$D$6)))</f>
        <v/>
      </c>
      <c r="O2461" s="14">
        <f>_xlfn.NORM.INV($AC2461,$C$7,$D$7)</f>
        <v/>
      </c>
      <c r="P2461" s="14">
        <f>$C$8+($D$8-$C$8)*$AD2461</f>
        <v/>
      </c>
      <c r="Q2461" s="14">
        <f>$C$9</f>
        <v/>
      </c>
      <c r="R2461" s="14">
        <f>_xlfn.LOGNORM.INV($AF2461,LN($C$10)-0.5*LN(1+($D$10/$C$10)^2),SQRT(LN(1+($D$10/$C$10)^2)))</f>
        <v/>
      </c>
      <c r="S2461" s="14">
        <f>SUM(M2461:R2461)</f>
        <v/>
      </c>
      <c r="AA2461">
        <f>RAND()</f>
        <v/>
      </c>
      <c r="AB2461">
        <f>RAND()</f>
        <v/>
      </c>
      <c r="AC2461">
        <f>RAND()</f>
        <v/>
      </c>
      <c r="AD2461">
        <f>RAND()</f>
        <v/>
      </c>
      <c r="AE2461">
        <f>RAND()</f>
        <v/>
      </c>
      <c r="AF2461">
        <f>RAND()</f>
        <v/>
      </c>
    </row>
    <row r="2462">
      <c r="M2462" s="14">
        <f>_xlfn.BETA.INV($AA2462,1+4*($D$5-$C$5)/($E$5-$C$5),1+4*($E$5-$D$5)/($E$5-$C$5),$C$5,$E$5)</f>
        <v/>
      </c>
      <c r="N2462" s="14">
        <f>IF($AB2462&lt;($D$6-$C$6)/($E$6-$C$6),$C$6+SQRT($AB2462*($E$6-$C$6)*($D$6-$C$6)),$E$6-SQRT((1-$AB2462)*($E$6-$C$6)*($E$6-$D$6)))</f>
        <v/>
      </c>
      <c r="O2462" s="14">
        <f>_xlfn.NORM.INV($AC2462,$C$7,$D$7)</f>
        <v/>
      </c>
      <c r="P2462" s="14">
        <f>$C$8+($D$8-$C$8)*$AD2462</f>
        <v/>
      </c>
      <c r="Q2462" s="14">
        <f>$C$9</f>
        <v/>
      </c>
      <c r="R2462" s="14">
        <f>_xlfn.LOGNORM.INV($AF2462,LN($C$10)-0.5*LN(1+($D$10/$C$10)^2),SQRT(LN(1+($D$10/$C$10)^2)))</f>
        <v/>
      </c>
      <c r="S2462" s="14">
        <f>SUM(M2462:R2462)</f>
        <v/>
      </c>
      <c r="AA2462">
        <f>RAND()</f>
        <v/>
      </c>
      <c r="AB2462">
        <f>RAND()</f>
        <v/>
      </c>
      <c r="AC2462">
        <f>RAND()</f>
        <v/>
      </c>
      <c r="AD2462">
        <f>RAND()</f>
        <v/>
      </c>
      <c r="AE2462">
        <f>RAND()</f>
        <v/>
      </c>
      <c r="AF2462">
        <f>RAND()</f>
        <v/>
      </c>
    </row>
    <row r="2463">
      <c r="M2463" s="14">
        <f>_xlfn.BETA.INV($AA2463,1+4*($D$5-$C$5)/($E$5-$C$5),1+4*($E$5-$D$5)/($E$5-$C$5),$C$5,$E$5)</f>
        <v/>
      </c>
      <c r="N2463" s="14">
        <f>IF($AB2463&lt;($D$6-$C$6)/($E$6-$C$6),$C$6+SQRT($AB2463*($E$6-$C$6)*($D$6-$C$6)),$E$6-SQRT((1-$AB2463)*($E$6-$C$6)*($E$6-$D$6)))</f>
        <v/>
      </c>
      <c r="O2463" s="14">
        <f>_xlfn.NORM.INV($AC2463,$C$7,$D$7)</f>
        <v/>
      </c>
      <c r="P2463" s="14">
        <f>$C$8+($D$8-$C$8)*$AD2463</f>
        <v/>
      </c>
      <c r="Q2463" s="14">
        <f>$C$9</f>
        <v/>
      </c>
      <c r="R2463" s="14">
        <f>_xlfn.LOGNORM.INV($AF2463,LN($C$10)-0.5*LN(1+($D$10/$C$10)^2),SQRT(LN(1+($D$10/$C$10)^2)))</f>
        <v/>
      </c>
      <c r="S2463" s="14">
        <f>SUM(M2463:R2463)</f>
        <v/>
      </c>
      <c r="AA2463">
        <f>RAND()</f>
        <v/>
      </c>
      <c r="AB2463">
        <f>RAND()</f>
        <v/>
      </c>
      <c r="AC2463">
        <f>RAND()</f>
        <v/>
      </c>
      <c r="AD2463">
        <f>RAND()</f>
        <v/>
      </c>
      <c r="AE2463">
        <f>RAND()</f>
        <v/>
      </c>
      <c r="AF2463">
        <f>RAND()</f>
        <v/>
      </c>
    </row>
    <row r="2464">
      <c r="M2464" s="14">
        <f>_xlfn.BETA.INV($AA2464,1+4*($D$5-$C$5)/($E$5-$C$5),1+4*($E$5-$D$5)/($E$5-$C$5),$C$5,$E$5)</f>
        <v/>
      </c>
      <c r="N2464" s="14">
        <f>IF($AB2464&lt;($D$6-$C$6)/($E$6-$C$6),$C$6+SQRT($AB2464*($E$6-$C$6)*($D$6-$C$6)),$E$6-SQRT((1-$AB2464)*($E$6-$C$6)*($E$6-$D$6)))</f>
        <v/>
      </c>
      <c r="O2464" s="14">
        <f>_xlfn.NORM.INV($AC2464,$C$7,$D$7)</f>
        <v/>
      </c>
      <c r="P2464" s="14">
        <f>$C$8+($D$8-$C$8)*$AD2464</f>
        <v/>
      </c>
      <c r="Q2464" s="14">
        <f>$C$9</f>
        <v/>
      </c>
      <c r="R2464" s="14">
        <f>_xlfn.LOGNORM.INV($AF2464,LN($C$10)-0.5*LN(1+($D$10/$C$10)^2),SQRT(LN(1+($D$10/$C$10)^2)))</f>
        <v/>
      </c>
      <c r="S2464" s="14">
        <f>SUM(M2464:R2464)</f>
        <v/>
      </c>
      <c r="AA2464">
        <f>RAND()</f>
        <v/>
      </c>
      <c r="AB2464">
        <f>RAND()</f>
        <v/>
      </c>
      <c r="AC2464">
        <f>RAND()</f>
        <v/>
      </c>
      <c r="AD2464">
        <f>RAND()</f>
        <v/>
      </c>
      <c r="AE2464">
        <f>RAND()</f>
        <v/>
      </c>
      <c r="AF2464">
        <f>RAND()</f>
        <v/>
      </c>
    </row>
    <row r="2465">
      <c r="M2465" s="14">
        <f>_xlfn.BETA.INV($AA2465,1+4*($D$5-$C$5)/($E$5-$C$5),1+4*($E$5-$D$5)/($E$5-$C$5),$C$5,$E$5)</f>
        <v/>
      </c>
      <c r="N2465" s="14">
        <f>IF($AB2465&lt;($D$6-$C$6)/($E$6-$C$6),$C$6+SQRT($AB2465*($E$6-$C$6)*($D$6-$C$6)),$E$6-SQRT((1-$AB2465)*($E$6-$C$6)*($E$6-$D$6)))</f>
        <v/>
      </c>
      <c r="O2465" s="14">
        <f>_xlfn.NORM.INV($AC2465,$C$7,$D$7)</f>
        <v/>
      </c>
      <c r="P2465" s="14">
        <f>$C$8+($D$8-$C$8)*$AD2465</f>
        <v/>
      </c>
      <c r="Q2465" s="14">
        <f>$C$9</f>
        <v/>
      </c>
      <c r="R2465" s="14">
        <f>_xlfn.LOGNORM.INV($AF2465,LN($C$10)-0.5*LN(1+($D$10/$C$10)^2),SQRT(LN(1+($D$10/$C$10)^2)))</f>
        <v/>
      </c>
      <c r="S2465" s="14">
        <f>SUM(M2465:R2465)</f>
        <v/>
      </c>
      <c r="AA2465">
        <f>RAND()</f>
        <v/>
      </c>
      <c r="AB2465">
        <f>RAND()</f>
        <v/>
      </c>
      <c r="AC2465">
        <f>RAND()</f>
        <v/>
      </c>
      <c r="AD2465">
        <f>RAND()</f>
        <v/>
      </c>
      <c r="AE2465">
        <f>RAND()</f>
        <v/>
      </c>
      <c r="AF2465">
        <f>RAND()</f>
        <v/>
      </c>
    </row>
    <row r="2466">
      <c r="M2466" s="14">
        <f>_xlfn.BETA.INV($AA2466,1+4*($D$5-$C$5)/($E$5-$C$5),1+4*($E$5-$D$5)/($E$5-$C$5),$C$5,$E$5)</f>
        <v/>
      </c>
      <c r="N2466" s="14">
        <f>IF($AB2466&lt;($D$6-$C$6)/($E$6-$C$6),$C$6+SQRT($AB2466*($E$6-$C$6)*($D$6-$C$6)),$E$6-SQRT((1-$AB2466)*($E$6-$C$6)*($E$6-$D$6)))</f>
        <v/>
      </c>
      <c r="O2466" s="14">
        <f>_xlfn.NORM.INV($AC2466,$C$7,$D$7)</f>
        <v/>
      </c>
      <c r="P2466" s="14">
        <f>$C$8+($D$8-$C$8)*$AD2466</f>
        <v/>
      </c>
      <c r="Q2466" s="14">
        <f>$C$9</f>
        <v/>
      </c>
      <c r="R2466" s="14">
        <f>_xlfn.LOGNORM.INV($AF2466,LN($C$10)-0.5*LN(1+($D$10/$C$10)^2),SQRT(LN(1+($D$10/$C$10)^2)))</f>
        <v/>
      </c>
      <c r="S2466" s="14">
        <f>SUM(M2466:R2466)</f>
        <v/>
      </c>
      <c r="AA2466">
        <f>RAND()</f>
        <v/>
      </c>
      <c r="AB2466">
        <f>RAND()</f>
        <v/>
      </c>
      <c r="AC2466">
        <f>RAND()</f>
        <v/>
      </c>
      <c r="AD2466">
        <f>RAND()</f>
        <v/>
      </c>
      <c r="AE2466">
        <f>RAND()</f>
        <v/>
      </c>
      <c r="AF2466">
        <f>RAND()</f>
        <v/>
      </c>
    </row>
    <row r="2467">
      <c r="M2467" s="14">
        <f>_xlfn.BETA.INV($AA2467,1+4*($D$5-$C$5)/($E$5-$C$5),1+4*($E$5-$D$5)/($E$5-$C$5),$C$5,$E$5)</f>
        <v/>
      </c>
      <c r="N2467" s="14">
        <f>IF($AB2467&lt;($D$6-$C$6)/($E$6-$C$6),$C$6+SQRT($AB2467*($E$6-$C$6)*($D$6-$C$6)),$E$6-SQRT((1-$AB2467)*($E$6-$C$6)*($E$6-$D$6)))</f>
        <v/>
      </c>
      <c r="O2467" s="14">
        <f>_xlfn.NORM.INV($AC2467,$C$7,$D$7)</f>
        <v/>
      </c>
      <c r="P2467" s="14">
        <f>$C$8+($D$8-$C$8)*$AD2467</f>
        <v/>
      </c>
      <c r="Q2467" s="14">
        <f>$C$9</f>
        <v/>
      </c>
      <c r="R2467" s="14">
        <f>_xlfn.LOGNORM.INV($AF2467,LN($C$10)-0.5*LN(1+($D$10/$C$10)^2),SQRT(LN(1+($D$10/$C$10)^2)))</f>
        <v/>
      </c>
      <c r="S2467" s="14">
        <f>SUM(M2467:R2467)</f>
        <v/>
      </c>
      <c r="AA2467">
        <f>RAND()</f>
        <v/>
      </c>
      <c r="AB2467">
        <f>RAND()</f>
        <v/>
      </c>
      <c r="AC2467">
        <f>RAND()</f>
        <v/>
      </c>
      <c r="AD2467">
        <f>RAND()</f>
        <v/>
      </c>
      <c r="AE2467">
        <f>RAND()</f>
        <v/>
      </c>
      <c r="AF2467">
        <f>RAND()</f>
        <v/>
      </c>
    </row>
    <row r="2468">
      <c r="M2468" s="14">
        <f>_xlfn.BETA.INV($AA2468,1+4*($D$5-$C$5)/($E$5-$C$5),1+4*($E$5-$D$5)/($E$5-$C$5),$C$5,$E$5)</f>
        <v/>
      </c>
      <c r="N2468" s="14">
        <f>IF($AB2468&lt;($D$6-$C$6)/($E$6-$C$6),$C$6+SQRT($AB2468*($E$6-$C$6)*($D$6-$C$6)),$E$6-SQRT((1-$AB2468)*($E$6-$C$6)*($E$6-$D$6)))</f>
        <v/>
      </c>
      <c r="O2468" s="14">
        <f>_xlfn.NORM.INV($AC2468,$C$7,$D$7)</f>
        <v/>
      </c>
      <c r="P2468" s="14">
        <f>$C$8+($D$8-$C$8)*$AD2468</f>
        <v/>
      </c>
      <c r="Q2468" s="14">
        <f>$C$9</f>
        <v/>
      </c>
      <c r="R2468" s="14">
        <f>_xlfn.LOGNORM.INV($AF2468,LN($C$10)-0.5*LN(1+($D$10/$C$10)^2),SQRT(LN(1+($D$10/$C$10)^2)))</f>
        <v/>
      </c>
      <c r="S2468" s="14">
        <f>SUM(M2468:R2468)</f>
        <v/>
      </c>
      <c r="AA2468">
        <f>RAND()</f>
        <v/>
      </c>
      <c r="AB2468">
        <f>RAND()</f>
        <v/>
      </c>
      <c r="AC2468">
        <f>RAND()</f>
        <v/>
      </c>
      <c r="AD2468">
        <f>RAND()</f>
        <v/>
      </c>
      <c r="AE2468">
        <f>RAND()</f>
        <v/>
      </c>
      <c r="AF2468">
        <f>RAND()</f>
        <v/>
      </c>
    </row>
    <row r="2469">
      <c r="M2469" s="14">
        <f>_xlfn.BETA.INV($AA2469,1+4*($D$5-$C$5)/($E$5-$C$5),1+4*($E$5-$D$5)/($E$5-$C$5),$C$5,$E$5)</f>
        <v/>
      </c>
      <c r="N2469" s="14">
        <f>IF($AB2469&lt;($D$6-$C$6)/($E$6-$C$6),$C$6+SQRT($AB2469*($E$6-$C$6)*($D$6-$C$6)),$E$6-SQRT((1-$AB2469)*($E$6-$C$6)*($E$6-$D$6)))</f>
        <v/>
      </c>
      <c r="O2469" s="14">
        <f>_xlfn.NORM.INV($AC2469,$C$7,$D$7)</f>
        <v/>
      </c>
      <c r="P2469" s="14">
        <f>$C$8+($D$8-$C$8)*$AD2469</f>
        <v/>
      </c>
      <c r="Q2469" s="14">
        <f>$C$9</f>
        <v/>
      </c>
      <c r="R2469" s="14">
        <f>_xlfn.LOGNORM.INV($AF2469,LN($C$10)-0.5*LN(1+($D$10/$C$10)^2),SQRT(LN(1+($D$10/$C$10)^2)))</f>
        <v/>
      </c>
      <c r="S2469" s="14">
        <f>SUM(M2469:R2469)</f>
        <v/>
      </c>
      <c r="AA2469">
        <f>RAND()</f>
        <v/>
      </c>
      <c r="AB2469">
        <f>RAND()</f>
        <v/>
      </c>
      <c r="AC2469">
        <f>RAND()</f>
        <v/>
      </c>
      <c r="AD2469">
        <f>RAND()</f>
        <v/>
      </c>
      <c r="AE2469">
        <f>RAND()</f>
        <v/>
      </c>
      <c r="AF2469">
        <f>RAND()</f>
        <v/>
      </c>
    </row>
    <row r="2470">
      <c r="M2470" s="14">
        <f>_xlfn.BETA.INV($AA2470,1+4*($D$5-$C$5)/($E$5-$C$5),1+4*($E$5-$D$5)/($E$5-$C$5),$C$5,$E$5)</f>
        <v/>
      </c>
      <c r="N2470" s="14">
        <f>IF($AB2470&lt;($D$6-$C$6)/($E$6-$C$6),$C$6+SQRT($AB2470*($E$6-$C$6)*($D$6-$C$6)),$E$6-SQRT((1-$AB2470)*($E$6-$C$6)*($E$6-$D$6)))</f>
        <v/>
      </c>
      <c r="O2470" s="14">
        <f>_xlfn.NORM.INV($AC2470,$C$7,$D$7)</f>
        <v/>
      </c>
      <c r="P2470" s="14">
        <f>$C$8+($D$8-$C$8)*$AD2470</f>
        <v/>
      </c>
      <c r="Q2470" s="14">
        <f>$C$9</f>
        <v/>
      </c>
      <c r="R2470" s="14">
        <f>_xlfn.LOGNORM.INV($AF2470,LN($C$10)-0.5*LN(1+($D$10/$C$10)^2),SQRT(LN(1+($D$10/$C$10)^2)))</f>
        <v/>
      </c>
      <c r="S2470" s="14">
        <f>SUM(M2470:R2470)</f>
        <v/>
      </c>
      <c r="AA2470">
        <f>RAND()</f>
        <v/>
      </c>
      <c r="AB2470">
        <f>RAND()</f>
        <v/>
      </c>
      <c r="AC2470">
        <f>RAND()</f>
        <v/>
      </c>
      <c r="AD2470">
        <f>RAND()</f>
        <v/>
      </c>
      <c r="AE2470">
        <f>RAND()</f>
        <v/>
      </c>
      <c r="AF2470">
        <f>RAND()</f>
        <v/>
      </c>
    </row>
    <row r="2471">
      <c r="M2471" s="14">
        <f>_xlfn.BETA.INV($AA2471,1+4*($D$5-$C$5)/($E$5-$C$5),1+4*($E$5-$D$5)/($E$5-$C$5),$C$5,$E$5)</f>
        <v/>
      </c>
      <c r="N2471" s="14">
        <f>IF($AB2471&lt;($D$6-$C$6)/($E$6-$C$6),$C$6+SQRT($AB2471*($E$6-$C$6)*($D$6-$C$6)),$E$6-SQRT((1-$AB2471)*($E$6-$C$6)*($E$6-$D$6)))</f>
        <v/>
      </c>
      <c r="O2471" s="14">
        <f>_xlfn.NORM.INV($AC2471,$C$7,$D$7)</f>
        <v/>
      </c>
      <c r="P2471" s="14">
        <f>$C$8+($D$8-$C$8)*$AD2471</f>
        <v/>
      </c>
      <c r="Q2471" s="14">
        <f>$C$9</f>
        <v/>
      </c>
      <c r="R2471" s="14">
        <f>_xlfn.LOGNORM.INV($AF2471,LN($C$10)-0.5*LN(1+($D$10/$C$10)^2),SQRT(LN(1+($D$10/$C$10)^2)))</f>
        <v/>
      </c>
      <c r="S2471" s="14">
        <f>SUM(M2471:R2471)</f>
        <v/>
      </c>
      <c r="AA2471">
        <f>RAND()</f>
        <v/>
      </c>
      <c r="AB2471">
        <f>RAND()</f>
        <v/>
      </c>
      <c r="AC2471">
        <f>RAND()</f>
        <v/>
      </c>
      <c r="AD2471">
        <f>RAND()</f>
        <v/>
      </c>
      <c r="AE2471">
        <f>RAND()</f>
        <v/>
      </c>
      <c r="AF2471">
        <f>RAND()</f>
        <v/>
      </c>
    </row>
    <row r="2472">
      <c r="M2472" s="14">
        <f>_xlfn.BETA.INV($AA2472,1+4*($D$5-$C$5)/($E$5-$C$5),1+4*($E$5-$D$5)/($E$5-$C$5),$C$5,$E$5)</f>
        <v/>
      </c>
      <c r="N2472" s="14">
        <f>IF($AB2472&lt;($D$6-$C$6)/($E$6-$C$6),$C$6+SQRT($AB2472*($E$6-$C$6)*($D$6-$C$6)),$E$6-SQRT((1-$AB2472)*($E$6-$C$6)*($E$6-$D$6)))</f>
        <v/>
      </c>
      <c r="O2472" s="14">
        <f>_xlfn.NORM.INV($AC2472,$C$7,$D$7)</f>
        <v/>
      </c>
      <c r="P2472" s="14">
        <f>$C$8+($D$8-$C$8)*$AD2472</f>
        <v/>
      </c>
      <c r="Q2472" s="14">
        <f>$C$9</f>
        <v/>
      </c>
      <c r="R2472" s="14">
        <f>_xlfn.LOGNORM.INV($AF2472,LN($C$10)-0.5*LN(1+($D$10/$C$10)^2),SQRT(LN(1+($D$10/$C$10)^2)))</f>
        <v/>
      </c>
      <c r="S2472" s="14">
        <f>SUM(M2472:R2472)</f>
        <v/>
      </c>
      <c r="AA2472">
        <f>RAND()</f>
        <v/>
      </c>
      <c r="AB2472">
        <f>RAND()</f>
        <v/>
      </c>
      <c r="AC2472">
        <f>RAND()</f>
        <v/>
      </c>
      <c r="AD2472">
        <f>RAND()</f>
        <v/>
      </c>
      <c r="AE2472">
        <f>RAND()</f>
        <v/>
      </c>
      <c r="AF2472">
        <f>RAND()</f>
        <v/>
      </c>
    </row>
    <row r="2473">
      <c r="M2473" s="14">
        <f>_xlfn.BETA.INV($AA2473,1+4*($D$5-$C$5)/($E$5-$C$5),1+4*($E$5-$D$5)/($E$5-$C$5),$C$5,$E$5)</f>
        <v/>
      </c>
      <c r="N2473" s="14">
        <f>IF($AB2473&lt;($D$6-$C$6)/($E$6-$C$6),$C$6+SQRT($AB2473*($E$6-$C$6)*($D$6-$C$6)),$E$6-SQRT((1-$AB2473)*($E$6-$C$6)*($E$6-$D$6)))</f>
        <v/>
      </c>
      <c r="O2473" s="14">
        <f>_xlfn.NORM.INV($AC2473,$C$7,$D$7)</f>
        <v/>
      </c>
      <c r="P2473" s="14">
        <f>$C$8+($D$8-$C$8)*$AD2473</f>
        <v/>
      </c>
      <c r="Q2473" s="14">
        <f>$C$9</f>
        <v/>
      </c>
      <c r="R2473" s="14">
        <f>_xlfn.LOGNORM.INV($AF2473,LN($C$10)-0.5*LN(1+($D$10/$C$10)^2),SQRT(LN(1+($D$10/$C$10)^2)))</f>
        <v/>
      </c>
      <c r="S2473" s="14">
        <f>SUM(M2473:R2473)</f>
        <v/>
      </c>
      <c r="AA2473">
        <f>RAND()</f>
        <v/>
      </c>
      <c r="AB2473">
        <f>RAND()</f>
        <v/>
      </c>
      <c r="AC2473">
        <f>RAND()</f>
        <v/>
      </c>
      <c r="AD2473">
        <f>RAND()</f>
        <v/>
      </c>
      <c r="AE2473">
        <f>RAND()</f>
        <v/>
      </c>
      <c r="AF2473">
        <f>RAND()</f>
        <v/>
      </c>
    </row>
    <row r="2474">
      <c r="M2474" s="14">
        <f>_xlfn.BETA.INV($AA2474,1+4*($D$5-$C$5)/($E$5-$C$5),1+4*($E$5-$D$5)/($E$5-$C$5),$C$5,$E$5)</f>
        <v/>
      </c>
      <c r="N2474" s="14">
        <f>IF($AB2474&lt;($D$6-$C$6)/($E$6-$C$6),$C$6+SQRT($AB2474*($E$6-$C$6)*($D$6-$C$6)),$E$6-SQRT((1-$AB2474)*($E$6-$C$6)*($E$6-$D$6)))</f>
        <v/>
      </c>
      <c r="O2474" s="14">
        <f>_xlfn.NORM.INV($AC2474,$C$7,$D$7)</f>
        <v/>
      </c>
      <c r="P2474" s="14">
        <f>$C$8+($D$8-$C$8)*$AD2474</f>
        <v/>
      </c>
      <c r="Q2474" s="14">
        <f>$C$9</f>
        <v/>
      </c>
      <c r="R2474" s="14">
        <f>_xlfn.LOGNORM.INV($AF2474,LN($C$10)-0.5*LN(1+($D$10/$C$10)^2),SQRT(LN(1+($D$10/$C$10)^2)))</f>
        <v/>
      </c>
      <c r="S2474" s="14">
        <f>SUM(M2474:R2474)</f>
        <v/>
      </c>
      <c r="AA2474">
        <f>RAND()</f>
        <v/>
      </c>
      <c r="AB2474">
        <f>RAND()</f>
        <v/>
      </c>
      <c r="AC2474">
        <f>RAND()</f>
        <v/>
      </c>
      <c r="AD2474">
        <f>RAND()</f>
        <v/>
      </c>
      <c r="AE2474">
        <f>RAND()</f>
        <v/>
      </c>
      <c r="AF2474">
        <f>RAND()</f>
        <v/>
      </c>
    </row>
    <row r="2475">
      <c r="M2475" s="14">
        <f>_xlfn.BETA.INV($AA2475,1+4*($D$5-$C$5)/($E$5-$C$5),1+4*($E$5-$D$5)/($E$5-$C$5),$C$5,$E$5)</f>
        <v/>
      </c>
      <c r="N2475" s="14">
        <f>IF($AB2475&lt;($D$6-$C$6)/($E$6-$C$6),$C$6+SQRT($AB2475*($E$6-$C$6)*($D$6-$C$6)),$E$6-SQRT((1-$AB2475)*($E$6-$C$6)*($E$6-$D$6)))</f>
        <v/>
      </c>
      <c r="O2475" s="14">
        <f>_xlfn.NORM.INV($AC2475,$C$7,$D$7)</f>
        <v/>
      </c>
      <c r="P2475" s="14">
        <f>$C$8+($D$8-$C$8)*$AD2475</f>
        <v/>
      </c>
      <c r="Q2475" s="14">
        <f>$C$9</f>
        <v/>
      </c>
      <c r="R2475" s="14">
        <f>_xlfn.LOGNORM.INV($AF2475,LN($C$10)-0.5*LN(1+($D$10/$C$10)^2),SQRT(LN(1+($D$10/$C$10)^2)))</f>
        <v/>
      </c>
      <c r="S2475" s="14">
        <f>SUM(M2475:R2475)</f>
        <v/>
      </c>
      <c r="AA2475">
        <f>RAND()</f>
        <v/>
      </c>
      <c r="AB2475">
        <f>RAND()</f>
        <v/>
      </c>
      <c r="AC2475">
        <f>RAND()</f>
        <v/>
      </c>
      <c r="AD2475">
        <f>RAND()</f>
        <v/>
      </c>
      <c r="AE2475">
        <f>RAND()</f>
        <v/>
      </c>
      <c r="AF2475">
        <f>RAND()</f>
        <v/>
      </c>
    </row>
    <row r="2476">
      <c r="M2476" s="14">
        <f>_xlfn.BETA.INV($AA2476,1+4*($D$5-$C$5)/($E$5-$C$5),1+4*($E$5-$D$5)/($E$5-$C$5),$C$5,$E$5)</f>
        <v/>
      </c>
      <c r="N2476" s="14">
        <f>IF($AB2476&lt;($D$6-$C$6)/($E$6-$C$6),$C$6+SQRT($AB2476*($E$6-$C$6)*($D$6-$C$6)),$E$6-SQRT((1-$AB2476)*($E$6-$C$6)*($E$6-$D$6)))</f>
        <v/>
      </c>
      <c r="O2476" s="14">
        <f>_xlfn.NORM.INV($AC2476,$C$7,$D$7)</f>
        <v/>
      </c>
      <c r="P2476" s="14">
        <f>$C$8+($D$8-$C$8)*$AD2476</f>
        <v/>
      </c>
      <c r="Q2476" s="14">
        <f>$C$9</f>
        <v/>
      </c>
      <c r="R2476" s="14">
        <f>_xlfn.LOGNORM.INV($AF2476,LN($C$10)-0.5*LN(1+($D$10/$C$10)^2),SQRT(LN(1+($D$10/$C$10)^2)))</f>
        <v/>
      </c>
      <c r="S2476" s="14">
        <f>SUM(M2476:R2476)</f>
        <v/>
      </c>
      <c r="AA2476">
        <f>RAND()</f>
        <v/>
      </c>
      <c r="AB2476">
        <f>RAND()</f>
        <v/>
      </c>
      <c r="AC2476">
        <f>RAND()</f>
        <v/>
      </c>
      <c r="AD2476">
        <f>RAND()</f>
        <v/>
      </c>
      <c r="AE2476">
        <f>RAND()</f>
        <v/>
      </c>
      <c r="AF2476">
        <f>RAND()</f>
        <v/>
      </c>
    </row>
    <row r="2477">
      <c r="M2477" s="14">
        <f>_xlfn.BETA.INV($AA2477,1+4*($D$5-$C$5)/($E$5-$C$5),1+4*($E$5-$D$5)/($E$5-$C$5),$C$5,$E$5)</f>
        <v/>
      </c>
      <c r="N2477" s="14">
        <f>IF($AB2477&lt;($D$6-$C$6)/($E$6-$C$6),$C$6+SQRT($AB2477*($E$6-$C$6)*($D$6-$C$6)),$E$6-SQRT((1-$AB2477)*($E$6-$C$6)*($E$6-$D$6)))</f>
        <v/>
      </c>
      <c r="O2477" s="14">
        <f>_xlfn.NORM.INV($AC2477,$C$7,$D$7)</f>
        <v/>
      </c>
      <c r="P2477" s="14">
        <f>$C$8+($D$8-$C$8)*$AD2477</f>
        <v/>
      </c>
      <c r="Q2477" s="14">
        <f>$C$9</f>
        <v/>
      </c>
      <c r="R2477" s="14">
        <f>_xlfn.LOGNORM.INV($AF2477,LN($C$10)-0.5*LN(1+($D$10/$C$10)^2),SQRT(LN(1+($D$10/$C$10)^2)))</f>
        <v/>
      </c>
      <c r="S2477" s="14">
        <f>SUM(M2477:R2477)</f>
        <v/>
      </c>
      <c r="AA2477">
        <f>RAND()</f>
        <v/>
      </c>
      <c r="AB2477">
        <f>RAND()</f>
        <v/>
      </c>
      <c r="AC2477">
        <f>RAND()</f>
        <v/>
      </c>
      <c r="AD2477">
        <f>RAND()</f>
        <v/>
      </c>
      <c r="AE2477">
        <f>RAND()</f>
        <v/>
      </c>
      <c r="AF2477">
        <f>RAND()</f>
        <v/>
      </c>
    </row>
    <row r="2478">
      <c r="M2478" s="14">
        <f>_xlfn.BETA.INV($AA2478,1+4*($D$5-$C$5)/($E$5-$C$5),1+4*($E$5-$D$5)/($E$5-$C$5),$C$5,$E$5)</f>
        <v/>
      </c>
      <c r="N2478" s="14">
        <f>IF($AB2478&lt;($D$6-$C$6)/($E$6-$C$6),$C$6+SQRT($AB2478*($E$6-$C$6)*($D$6-$C$6)),$E$6-SQRT((1-$AB2478)*($E$6-$C$6)*($E$6-$D$6)))</f>
        <v/>
      </c>
      <c r="O2478" s="14">
        <f>_xlfn.NORM.INV($AC2478,$C$7,$D$7)</f>
        <v/>
      </c>
      <c r="P2478" s="14">
        <f>$C$8+($D$8-$C$8)*$AD2478</f>
        <v/>
      </c>
      <c r="Q2478" s="14">
        <f>$C$9</f>
        <v/>
      </c>
      <c r="R2478" s="14">
        <f>_xlfn.LOGNORM.INV($AF2478,LN($C$10)-0.5*LN(1+($D$10/$C$10)^2),SQRT(LN(1+($D$10/$C$10)^2)))</f>
        <v/>
      </c>
      <c r="S2478" s="14">
        <f>SUM(M2478:R2478)</f>
        <v/>
      </c>
      <c r="AA2478">
        <f>RAND()</f>
        <v/>
      </c>
      <c r="AB2478">
        <f>RAND()</f>
        <v/>
      </c>
      <c r="AC2478">
        <f>RAND()</f>
        <v/>
      </c>
      <c r="AD2478">
        <f>RAND()</f>
        <v/>
      </c>
      <c r="AE2478">
        <f>RAND()</f>
        <v/>
      </c>
      <c r="AF2478">
        <f>RAND()</f>
        <v/>
      </c>
    </row>
    <row r="2479">
      <c r="M2479" s="14">
        <f>_xlfn.BETA.INV($AA2479,1+4*($D$5-$C$5)/($E$5-$C$5),1+4*($E$5-$D$5)/($E$5-$C$5),$C$5,$E$5)</f>
        <v/>
      </c>
      <c r="N2479" s="14">
        <f>IF($AB2479&lt;($D$6-$C$6)/($E$6-$C$6),$C$6+SQRT($AB2479*($E$6-$C$6)*($D$6-$C$6)),$E$6-SQRT((1-$AB2479)*($E$6-$C$6)*($E$6-$D$6)))</f>
        <v/>
      </c>
      <c r="O2479" s="14">
        <f>_xlfn.NORM.INV($AC2479,$C$7,$D$7)</f>
        <v/>
      </c>
      <c r="P2479" s="14">
        <f>$C$8+($D$8-$C$8)*$AD2479</f>
        <v/>
      </c>
      <c r="Q2479" s="14">
        <f>$C$9</f>
        <v/>
      </c>
      <c r="R2479" s="14">
        <f>_xlfn.LOGNORM.INV($AF2479,LN($C$10)-0.5*LN(1+($D$10/$C$10)^2),SQRT(LN(1+($D$10/$C$10)^2)))</f>
        <v/>
      </c>
      <c r="S2479" s="14">
        <f>SUM(M2479:R2479)</f>
        <v/>
      </c>
      <c r="AA2479">
        <f>RAND()</f>
        <v/>
      </c>
      <c r="AB2479">
        <f>RAND()</f>
        <v/>
      </c>
      <c r="AC2479">
        <f>RAND()</f>
        <v/>
      </c>
      <c r="AD2479">
        <f>RAND()</f>
        <v/>
      </c>
      <c r="AE2479">
        <f>RAND()</f>
        <v/>
      </c>
      <c r="AF2479">
        <f>RAND()</f>
        <v/>
      </c>
    </row>
    <row r="2480">
      <c r="M2480" s="14">
        <f>_xlfn.BETA.INV($AA2480,1+4*($D$5-$C$5)/($E$5-$C$5),1+4*($E$5-$D$5)/($E$5-$C$5),$C$5,$E$5)</f>
        <v/>
      </c>
      <c r="N2480" s="14">
        <f>IF($AB2480&lt;($D$6-$C$6)/($E$6-$C$6),$C$6+SQRT($AB2480*($E$6-$C$6)*($D$6-$C$6)),$E$6-SQRT((1-$AB2480)*($E$6-$C$6)*($E$6-$D$6)))</f>
        <v/>
      </c>
      <c r="O2480" s="14">
        <f>_xlfn.NORM.INV($AC2480,$C$7,$D$7)</f>
        <v/>
      </c>
      <c r="P2480" s="14">
        <f>$C$8+($D$8-$C$8)*$AD2480</f>
        <v/>
      </c>
      <c r="Q2480" s="14">
        <f>$C$9</f>
        <v/>
      </c>
      <c r="R2480" s="14">
        <f>_xlfn.LOGNORM.INV($AF2480,LN($C$10)-0.5*LN(1+($D$10/$C$10)^2),SQRT(LN(1+($D$10/$C$10)^2)))</f>
        <v/>
      </c>
      <c r="S2480" s="14">
        <f>SUM(M2480:R2480)</f>
        <v/>
      </c>
      <c r="AA2480">
        <f>RAND()</f>
        <v/>
      </c>
      <c r="AB2480">
        <f>RAND()</f>
        <v/>
      </c>
      <c r="AC2480">
        <f>RAND()</f>
        <v/>
      </c>
      <c r="AD2480">
        <f>RAND()</f>
        <v/>
      </c>
      <c r="AE2480">
        <f>RAND()</f>
        <v/>
      </c>
      <c r="AF2480">
        <f>RAND()</f>
        <v/>
      </c>
    </row>
    <row r="2481">
      <c r="M2481" s="14">
        <f>_xlfn.BETA.INV($AA2481,1+4*($D$5-$C$5)/($E$5-$C$5),1+4*($E$5-$D$5)/($E$5-$C$5),$C$5,$E$5)</f>
        <v/>
      </c>
      <c r="N2481" s="14">
        <f>IF($AB2481&lt;($D$6-$C$6)/($E$6-$C$6),$C$6+SQRT($AB2481*($E$6-$C$6)*($D$6-$C$6)),$E$6-SQRT((1-$AB2481)*($E$6-$C$6)*($E$6-$D$6)))</f>
        <v/>
      </c>
      <c r="O2481" s="14">
        <f>_xlfn.NORM.INV($AC2481,$C$7,$D$7)</f>
        <v/>
      </c>
      <c r="P2481" s="14">
        <f>$C$8+($D$8-$C$8)*$AD2481</f>
        <v/>
      </c>
      <c r="Q2481" s="14">
        <f>$C$9</f>
        <v/>
      </c>
      <c r="R2481" s="14">
        <f>_xlfn.LOGNORM.INV($AF2481,LN($C$10)-0.5*LN(1+($D$10/$C$10)^2),SQRT(LN(1+($D$10/$C$10)^2)))</f>
        <v/>
      </c>
      <c r="S2481" s="14">
        <f>SUM(M2481:R2481)</f>
        <v/>
      </c>
      <c r="AA2481">
        <f>RAND()</f>
        <v/>
      </c>
      <c r="AB2481">
        <f>RAND()</f>
        <v/>
      </c>
      <c r="AC2481">
        <f>RAND()</f>
        <v/>
      </c>
      <c r="AD2481">
        <f>RAND()</f>
        <v/>
      </c>
      <c r="AE2481">
        <f>RAND()</f>
        <v/>
      </c>
      <c r="AF2481">
        <f>RAND()</f>
        <v/>
      </c>
    </row>
    <row r="2482">
      <c r="M2482" s="14">
        <f>_xlfn.BETA.INV($AA2482,1+4*($D$5-$C$5)/($E$5-$C$5),1+4*($E$5-$D$5)/($E$5-$C$5),$C$5,$E$5)</f>
        <v/>
      </c>
      <c r="N2482" s="14">
        <f>IF($AB2482&lt;($D$6-$C$6)/($E$6-$C$6),$C$6+SQRT($AB2482*($E$6-$C$6)*($D$6-$C$6)),$E$6-SQRT((1-$AB2482)*($E$6-$C$6)*($E$6-$D$6)))</f>
        <v/>
      </c>
      <c r="O2482" s="14">
        <f>_xlfn.NORM.INV($AC2482,$C$7,$D$7)</f>
        <v/>
      </c>
      <c r="P2482" s="14">
        <f>$C$8+($D$8-$C$8)*$AD2482</f>
        <v/>
      </c>
      <c r="Q2482" s="14">
        <f>$C$9</f>
        <v/>
      </c>
      <c r="R2482" s="14">
        <f>_xlfn.LOGNORM.INV($AF2482,LN($C$10)-0.5*LN(1+($D$10/$C$10)^2),SQRT(LN(1+($D$10/$C$10)^2)))</f>
        <v/>
      </c>
      <c r="S2482" s="14">
        <f>SUM(M2482:R2482)</f>
        <v/>
      </c>
      <c r="AA2482">
        <f>RAND()</f>
        <v/>
      </c>
      <c r="AB2482">
        <f>RAND()</f>
        <v/>
      </c>
      <c r="AC2482">
        <f>RAND()</f>
        <v/>
      </c>
      <c r="AD2482">
        <f>RAND()</f>
        <v/>
      </c>
      <c r="AE2482">
        <f>RAND()</f>
        <v/>
      </c>
      <c r="AF2482">
        <f>RAND()</f>
        <v/>
      </c>
    </row>
    <row r="2483">
      <c r="M2483" s="14">
        <f>_xlfn.BETA.INV($AA2483,1+4*($D$5-$C$5)/($E$5-$C$5),1+4*($E$5-$D$5)/($E$5-$C$5),$C$5,$E$5)</f>
        <v/>
      </c>
      <c r="N2483" s="14">
        <f>IF($AB2483&lt;($D$6-$C$6)/($E$6-$C$6),$C$6+SQRT($AB2483*($E$6-$C$6)*($D$6-$C$6)),$E$6-SQRT((1-$AB2483)*($E$6-$C$6)*($E$6-$D$6)))</f>
        <v/>
      </c>
      <c r="O2483" s="14">
        <f>_xlfn.NORM.INV($AC2483,$C$7,$D$7)</f>
        <v/>
      </c>
      <c r="P2483" s="14">
        <f>$C$8+($D$8-$C$8)*$AD2483</f>
        <v/>
      </c>
      <c r="Q2483" s="14">
        <f>$C$9</f>
        <v/>
      </c>
      <c r="R2483" s="14">
        <f>_xlfn.LOGNORM.INV($AF2483,LN($C$10)-0.5*LN(1+($D$10/$C$10)^2),SQRT(LN(1+($D$10/$C$10)^2)))</f>
        <v/>
      </c>
      <c r="S2483" s="14">
        <f>SUM(M2483:R2483)</f>
        <v/>
      </c>
      <c r="AA2483">
        <f>RAND()</f>
        <v/>
      </c>
      <c r="AB2483">
        <f>RAND()</f>
        <v/>
      </c>
      <c r="AC2483">
        <f>RAND()</f>
        <v/>
      </c>
      <c r="AD2483">
        <f>RAND()</f>
        <v/>
      </c>
      <c r="AE2483">
        <f>RAND()</f>
        <v/>
      </c>
      <c r="AF2483">
        <f>RAND()</f>
        <v/>
      </c>
    </row>
    <row r="2484">
      <c r="M2484" s="14">
        <f>_xlfn.BETA.INV($AA2484,1+4*($D$5-$C$5)/($E$5-$C$5),1+4*($E$5-$D$5)/($E$5-$C$5),$C$5,$E$5)</f>
        <v/>
      </c>
      <c r="N2484" s="14">
        <f>IF($AB2484&lt;($D$6-$C$6)/($E$6-$C$6),$C$6+SQRT($AB2484*($E$6-$C$6)*($D$6-$C$6)),$E$6-SQRT((1-$AB2484)*($E$6-$C$6)*($E$6-$D$6)))</f>
        <v/>
      </c>
      <c r="O2484" s="14">
        <f>_xlfn.NORM.INV($AC2484,$C$7,$D$7)</f>
        <v/>
      </c>
      <c r="P2484" s="14">
        <f>$C$8+($D$8-$C$8)*$AD2484</f>
        <v/>
      </c>
      <c r="Q2484" s="14">
        <f>$C$9</f>
        <v/>
      </c>
      <c r="R2484" s="14">
        <f>_xlfn.LOGNORM.INV($AF2484,LN($C$10)-0.5*LN(1+($D$10/$C$10)^2),SQRT(LN(1+($D$10/$C$10)^2)))</f>
        <v/>
      </c>
      <c r="S2484" s="14">
        <f>SUM(M2484:R2484)</f>
        <v/>
      </c>
      <c r="AA2484">
        <f>RAND()</f>
        <v/>
      </c>
      <c r="AB2484">
        <f>RAND()</f>
        <v/>
      </c>
      <c r="AC2484">
        <f>RAND()</f>
        <v/>
      </c>
      <c r="AD2484">
        <f>RAND()</f>
        <v/>
      </c>
      <c r="AE2484">
        <f>RAND()</f>
        <v/>
      </c>
      <c r="AF2484">
        <f>RAND()</f>
        <v/>
      </c>
    </row>
    <row r="2485">
      <c r="M2485" s="14">
        <f>_xlfn.BETA.INV($AA2485,1+4*($D$5-$C$5)/($E$5-$C$5),1+4*($E$5-$D$5)/($E$5-$C$5),$C$5,$E$5)</f>
        <v/>
      </c>
      <c r="N2485" s="14">
        <f>IF($AB2485&lt;($D$6-$C$6)/($E$6-$C$6),$C$6+SQRT($AB2485*($E$6-$C$6)*($D$6-$C$6)),$E$6-SQRT((1-$AB2485)*($E$6-$C$6)*($E$6-$D$6)))</f>
        <v/>
      </c>
      <c r="O2485" s="14">
        <f>_xlfn.NORM.INV($AC2485,$C$7,$D$7)</f>
        <v/>
      </c>
      <c r="P2485" s="14">
        <f>$C$8+($D$8-$C$8)*$AD2485</f>
        <v/>
      </c>
      <c r="Q2485" s="14">
        <f>$C$9</f>
        <v/>
      </c>
      <c r="R2485" s="14">
        <f>_xlfn.LOGNORM.INV($AF2485,LN($C$10)-0.5*LN(1+($D$10/$C$10)^2),SQRT(LN(1+($D$10/$C$10)^2)))</f>
        <v/>
      </c>
      <c r="S2485" s="14">
        <f>SUM(M2485:R2485)</f>
        <v/>
      </c>
      <c r="AA2485">
        <f>RAND()</f>
        <v/>
      </c>
      <c r="AB2485">
        <f>RAND()</f>
        <v/>
      </c>
      <c r="AC2485">
        <f>RAND()</f>
        <v/>
      </c>
      <c r="AD2485">
        <f>RAND()</f>
        <v/>
      </c>
      <c r="AE2485">
        <f>RAND()</f>
        <v/>
      </c>
      <c r="AF2485">
        <f>RAND()</f>
        <v/>
      </c>
    </row>
    <row r="2486">
      <c r="M2486" s="14">
        <f>_xlfn.BETA.INV($AA2486,1+4*($D$5-$C$5)/($E$5-$C$5),1+4*($E$5-$D$5)/($E$5-$C$5),$C$5,$E$5)</f>
        <v/>
      </c>
      <c r="N2486" s="14">
        <f>IF($AB2486&lt;($D$6-$C$6)/($E$6-$C$6),$C$6+SQRT($AB2486*($E$6-$C$6)*($D$6-$C$6)),$E$6-SQRT((1-$AB2486)*($E$6-$C$6)*($E$6-$D$6)))</f>
        <v/>
      </c>
      <c r="O2486" s="14">
        <f>_xlfn.NORM.INV($AC2486,$C$7,$D$7)</f>
        <v/>
      </c>
      <c r="P2486" s="14">
        <f>$C$8+($D$8-$C$8)*$AD2486</f>
        <v/>
      </c>
      <c r="Q2486" s="14">
        <f>$C$9</f>
        <v/>
      </c>
      <c r="R2486" s="14">
        <f>_xlfn.LOGNORM.INV($AF2486,LN($C$10)-0.5*LN(1+($D$10/$C$10)^2),SQRT(LN(1+($D$10/$C$10)^2)))</f>
        <v/>
      </c>
      <c r="S2486" s="14">
        <f>SUM(M2486:R2486)</f>
        <v/>
      </c>
      <c r="AA2486">
        <f>RAND()</f>
        <v/>
      </c>
      <c r="AB2486">
        <f>RAND()</f>
        <v/>
      </c>
      <c r="AC2486">
        <f>RAND()</f>
        <v/>
      </c>
      <c r="AD2486">
        <f>RAND()</f>
        <v/>
      </c>
      <c r="AE2486">
        <f>RAND()</f>
        <v/>
      </c>
      <c r="AF2486">
        <f>RAND()</f>
        <v/>
      </c>
    </row>
    <row r="2487">
      <c r="M2487" s="14">
        <f>_xlfn.BETA.INV($AA2487,1+4*($D$5-$C$5)/($E$5-$C$5),1+4*($E$5-$D$5)/($E$5-$C$5),$C$5,$E$5)</f>
        <v/>
      </c>
      <c r="N2487" s="14">
        <f>IF($AB2487&lt;($D$6-$C$6)/($E$6-$C$6),$C$6+SQRT($AB2487*($E$6-$C$6)*($D$6-$C$6)),$E$6-SQRT((1-$AB2487)*($E$6-$C$6)*($E$6-$D$6)))</f>
        <v/>
      </c>
      <c r="O2487" s="14">
        <f>_xlfn.NORM.INV($AC2487,$C$7,$D$7)</f>
        <v/>
      </c>
      <c r="P2487" s="14">
        <f>$C$8+($D$8-$C$8)*$AD2487</f>
        <v/>
      </c>
      <c r="Q2487" s="14">
        <f>$C$9</f>
        <v/>
      </c>
      <c r="R2487" s="14">
        <f>_xlfn.LOGNORM.INV($AF2487,LN($C$10)-0.5*LN(1+($D$10/$C$10)^2),SQRT(LN(1+($D$10/$C$10)^2)))</f>
        <v/>
      </c>
      <c r="S2487" s="14">
        <f>SUM(M2487:R2487)</f>
        <v/>
      </c>
      <c r="AA2487">
        <f>RAND()</f>
        <v/>
      </c>
      <c r="AB2487">
        <f>RAND()</f>
        <v/>
      </c>
      <c r="AC2487">
        <f>RAND()</f>
        <v/>
      </c>
      <c r="AD2487">
        <f>RAND()</f>
        <v/>
      </c>
      <c r="AE2487">
        <f>RAND()</f>
        <v/>
      </c>
      <c r="AF2487">
        <f>RAND()</f>
        <v/>
      </c>
    </row>
    <row r="2488">
      <c r="M2488" s="14">
        <f>_xlfn.BETA.INV($AA2488,1+4*($D$5-$C$5)/($E$5-$C$5),1+4*($E$5-$D$5)/($E$5-$C$5),$C$5,$E$5)</f>
        <v/>
      </c>
      <c r="N2488" s="14">
        <f>IF($AB2488&lt;($D$6-$C$6)/($E$6-$C$6),$C$6+SQRT($AB2488*($E$6-$C$6)*($D$6-$C$6)),$E$6-SQRT((1-$AB2488)*($E$6-$C$6)*($E$6-$D$6)))</f>
        <v/>
      </c>
      <c r="O2488" s="14">
        <f>_xlfn.NORM.INV($AC2488,$C$7,$D$7)</f>
        <v/>
      </c>
      <c r="P2488" s="14">
        <f>$C$8+($D$8-$C$8)*$AD2488</f>
        <v/>
      </c>
      <c r="Q2488" s="14">
        <f>$C$9</f>
        <v/>
      </c>
      <c r="R2488" s="14">
        <f>_xlfn.LOGNORM.INV($AF2488,LN($C$10)-0.5*LN(1+($D$10/$C$10)^2),SQRT(LN(1+($D$10/$C$10)^2)))</f>
        <v/>
      </c>
      <c r="S2488" s="14">
        <f>SUM(M2488:R2488)</f>
        <v/>
      </c>
      <c r="AA2488">
        <f>RAND()</f>
        <v/>
      </c>
      <c r="AB2488">
        <f>RAND()</f>
        <v/>
      </c>
      <c r="AC2488">
        <f>RAND()</f>
        <v/>
      </c>
      <c r="AD2488">
        <f>RAND()</f>
        <v/>
      </c>
      <c r="AE2488">
        <f>RAND()</f>
        <v/>
      </c>
      <c r="AF2488">
        <f>RAND()</f>
        <v/>
      </c>
    </row>
    <row r="2489">
      <c r="M2489" s="14">
        <f>_xlfn.BETA.INV($AA2489,1+4*($D$5-$C$5)/($E$5-$C$5),1+4*($E$5-$D$5)/($E$5-$C$5),$C$5,$E$5)</f>
        <v/>
      </c>
      <c r="N2489" s="14">
        <f>IF($AB2489&lt;($D$6-$C$6)/($E$6-$C$6),$C$6+SQRT($AB2489*($E$6-$C$6)*($D$6-$C$6)),$E$6-SQRT((1-$AB2489)*($E$6-$C$6)*($E$6-$D$6)))</f>
        <v/>
      </c>
      <c r="O2489" s="14">
        <f>_xlfn.NORM.INV($AC2489,$C$7,$D$7)</f>
        <v/>
      </c>
      <c r="P2489" s="14">
        <f>$C$8+($D$8-$C$8)*$AD2489</f>
        <v/>
      </c>
      <c r="Q2489" s="14">
        <f>$C$9</f>
        <v/>
      </c>
      <c r="R2489" s="14">
        <f>_xlfn.LOGNORM.INV($AF2489,LN($C$10)-0.5*LN(1+($D$10/$C$10)^2),SQRT(LN(1+($D$10/$C$10)^2)))</f>
        <v/>
      </c>
      <c r="S2489" s="14">
        <f>SUM(M2489:R2489)</f>
        <v/>
      </c>
      <c r="AA2489">
        <f>RAND()</f>
        <v/>
      </c>
      <c r="AB2489">
        <f>RAND()</f>
        <v/>
      </c>
      <c r="AC2489">
        <f>RAND()</f>
        <v/>
      </c>
      <c r="AD2489">
        <f>RAND()</f>
        <v/>
      </c>
      <c r="AE2489">
        <f>RAND()</f>
        <v/>
      </c>
      <c r="AF2489">
        <f>RAND()</f>
        <v/>
      </c>
    </row>
    <row r="2490">
      <c r="M2490" s="14">
        <f>_xlfn.BETA.INV($AA2490,1+4*($D$5-$C$5)/($E$5-$C$5),1+4*($E$5-$D$5)/($E$5-$C$5),$C$5,$E$5)</f>
        <v/>
      </c>
      <c r="N2490" s="14">
        <f>IF($AB2490&lt;($D$6-$C$6)/($E$6-$C$6),$C$6+SQRT($AB2490*($E$6-$C$6)*($D$6-$C$6)),$E$6-SQRT((1-$AB2490)*($E$6-$C$6)*($E$6-$D$6)))</f>
        <v/>
      </c>
      <c r="O2490" s="14">
        <f>_xlfn.NORM.INV($AC2490,$C$7,$D$7)</f>
        <v/>
      </c>
      <c r="P2490" s="14">
        <f>$C$8+($D$8-$C$8)*$AD2490</f>
        <v/>
      </c>
      <c r="Q2490" s="14">
        <f>$C$9</f>
        <v/>
      </c>
      <c r="R2490" s="14">
        <f>_xlfn.LOGNORM.INV($AF2490,LN($C$10)-0.5*LN(1+($D$10/$C$10)^2),SQRT(LN(1+($D$10/$C$10)^2)))</f>
        <v/>
      </c>
      <c r="S2490" s="14">
        <f>SUM(M2490:R2490)</f>
        <v/>
      </c>
      <c r="AA2490">
        <f>RAND()</f>
        <v/>
      </c>
      <c r="AB2490">
        <f>RAND()</f>
        <v/>
      </c>
      <c r="AC2490">
        <f>RAND()</f>
        <v/>
      </c>
      <c r="AD2490">
        <f>RAND()</f>
        <v/>
      </c>
      <c r="AE2490">
        <f>RAND()</f>
        <v/>
      </c>
      <c r="AF2490">
        <f>RAND()</f>
        <v/>
      </c>
    </row>
    <row r="2491">
      <c r="M2491" s="14">
        <f>_xlfn.BETA.INV($AA2491,1+4*($D$5-$C$5)/($E$5-$C$5),1+4*($E$5-$D$5)/($E$5-$C$5),$C$5,$E$5)</f>
        <v/>
      </c>
      <c r="N2491" s="14">
        <f>IF($AB2491&lt;($D$6-$C$6)/($E$6-$C$6),$C$6+SQRT($AB2491*($E$6-$C$6)*($D$6-$C$6)),$E$6-SQRT((1-$AB2491)*($E$6-$C$6)*($E$6-$D$6)))</f>
        <v/>
      </c>
      <c r="O2491" s="14">
        <f>_xlfn.NORM.INV($AC2491,$C$7,$D$7)</f>
        <v/>
      </c>
      <c r="P2491" s="14">
        <f>$C$8+($D$8-$C$8)*$AD2491</f>
        <v/>
      </c>
      <c r="Q2491" s="14">
        <f>$C$9</f>
        <v/>
      </c>
      <c r="R2491" s="14">
        <f>_xlfn.LOGNORM.INV($AF2491,LN($C$10)-0.5*LN(1+($D$10/$C$10)^2),SQRT(LN(1+($D$10/$C$10)^2)))</f>
        <v/>
      </c>
      <c r="S2491" s="14">
        <f>SUM(M2491:R2491)</f>
        <v/>
      </c>
      <c r="AA2491">
        <f>RAND()</f>
        <v/>
      </c>
      <c r="AB2491">
        <f>RAND()</f>
        <v/>
      </c>
      <c r="AC2491">
        <f>RAND()</f>
        <v/>
      </c>
      <c r="AD2491">
        <f>RAND()</f>
        <v/>
      </c>
      <c r="AE2491">
        <f>RAND()</f>
        <v/>
      </c>
      <c r="AF2491">
        <f>RAND()</f>
        <v/>
      </c>
    </row>
    <row r="2492">
      <c r="M2492" s="14">
        <f>_xlfn.BETA.INV($AA2492,1+4*($D$5-$C$5)/($E$5-$C$5),1+4*($E$5-$D$5)/($E$5-$C$5),$C$5,$E$5)</f>
        <v/>
      </c>
      <c r="N2492" s="14">
        <f>IF($AB2492&lt;($D$6-$C$6)/($E$6-$C$6),$C$6+SQRT($AB2492*($E$6-$C$6)*($D$6-$C$6)),$E$6-SQRT((1-$AB2492)*($E$6-$C$6)*($E$6-$D$6)))</f>
        <v/>
      </c>
      <c r="O2492" s="14">
        <f>_xlfn.NORM.INV($AC2492,$C$7,$D$7)</f>
        <v/>
      </c>
      <c r="P2492" s="14">
        <f>$C$8+($D$8-$C$8)*$AD2492</f>
        <v/>
      </c>
      <c r="Q2492" s="14">
        <f>$C$9</f>
        <v/>
      </c>
      <c r="R2492" s="14">
        <f>_xlfn.LOGNORM.INV($AF2492,LN($C$10)-0.5*LN(1+($D$10/$C$10)^2),SQRT(LN(1+($D$10/$C$10)^2)))</f>
        <v/>
      </c>
      <c r="S2492" s="14">
        <f>SUM(M2492:R2492)</f>
        <v/>
      </c>
      <c r="AA2492">
        <f>RAND()</f>
        <v/>
      </c>
      <c r="AB2492">
        <f>RAND()</f>
        <v/>
      </c>
      <c r="AC2492">
        <f>RAND()</f>
        <v/>
      </c>
      <c r="AD2492">
        <f>RAND()</f>
        <v/>
      </c>
      <c r="AE2492">
        <f>RAND()</f>
        <v/>
      </c>
      <c r="AF2492">
        <f>RAND()</f>
        <v/>
      </c>
    </row>
    <row r="2493">
      <c r="M2493" s="14">
        <f>_xlfn.BETA.INV($AA2493,1+4*($D$5-$C$5)/($E$5-$C$5),1+4*($E$5-$D$5)/($E$5-$C$5),$C$5,$E$5)</f>
        <v/>
      </c>
      <c r="N2493" s="14">
        <f>IF($AB2493&lt;($D$6-$C$6)/($E$6-$C$6),$C$6+SQRT($AB2493*($E$6-$C$6)*($D$6-$C$6)),$E$6-SQRT((1-$AB2493)*($E$6-$C$6)*($E$6-$D$6)))</f>
        <v/>
      </c>
      <c r="O2493" s="14">
        <f>_xlfn.NORM.INV($AC2493,$C$7,$D$7)</f>
        <v/>
      </c>
      <c r="P2493" s="14">
        <f>$C$8+($D$8-$C$8)*$AD2493</f>
        <v/>
      </c>
      <c r="Q2493" s="14">
        <f>$C$9</f>
        <v/>
      </c>
      <c r="R2493" s="14">
        <f>_xlfn.LOGNORM.INV($AF2493,LN($C$10)-0.5*LN(1+($D$10/$C$10)^2),SQRT(LN(1+($D$10/$C$10)^2)))</f>
        <v/>
      </c>
      <c r="S2493" s="14">
        <f>SUM(M2493:R2493)</f>
        <v/>
      </c>
      <c r="AA2493">
        <f>RAND()</f>
        <v/>
      </c>
      <c r="AB2493">
        <f>RAND()</f>
        <v/>
      </c>
      <c r="AC2493">
        <f>RAND()</f>
        <v/>
      </c>
      <c r="AD2493">
        <f>RAND()</f>
        <v/>
      </c>
      <c r="AE2493">
        <f>RAND()</f>
        <v/>
      </c>
      <c r="AF2493">
        <f>RAND()</f>
        <v/>
      </c>
    </row>
    <row r="2494">
      <c r="M2494" s="14">
        <f>_xlfn.BETA.INV($AA2494,1+4*($D$5-$C$5)/($E$5-$C$5),1+4*($E$5-$D$5)/($E$5-$C$5),$C$5,$E$5)</f>
        <v/>
      </c>
      <c r="N2494" s="14">
        <f>IF($AB2494&lt;($D$6-$C$6)/($E$6-$C$6),$C$6+SQRT($AB2494*($E$6-$C$6)*($D$6-$C$6)),$E$6-SQRT((1-$AB2494)*($E$6-$C$6)*($E$6-$D$6)))</f>
        <v/>
      </c>
      <c r="O2494" s="14">
        <f>_xlfn.NORM.INV($AC2494,$C$7,$D$7)</f>
        <v/>
      </c>
      <c r="P2494" s="14">
        <f>$C$8+($D$8-$C$8)*$AD2494</f>
        <v/>
      </c>
      <c r="Q2494" s="14">
        <f>$C$9</f>
        <v/>
      </c>
      <c r="R2494" s="14">
        <f>_xlfn.LOGNORM.INV($AF2494,LN($C$10)-0.5*LN(1+($D$10/$C$10)^2),SQRT(LN(1+($D$10/$C$10)^2)))</f>
        <v/>
      </c>
      <c r="S2494" s="14">
        <f>SUM(M2494:R2494)</f>
        <v/>
      </c>
      <c r="AA2494">
        <f>RAND()</f>
        <v/>
      </c>
      <c r="AB2494">
        <f>RAND()</f>
        <v/>
      </c>
      <c r="AC2494">
        <f>RAND()</f>
        <v/>
      </c>
      <c r="AD2494">
        <f>RAND()</f>
        <v/>
      </c>
      <c r="AE2494">
        <f>RAND()</f>
        <v/>
      </c>
      <c r="AF2494">
        <f>RAND()</f>
        <v/>
      </c>
    </row>
    <row r="2495">
      <c r="M2495" s="14">
        <f>_xlfn.BETA.INV($AA2495,1+4*($D$5-$C$5)/($E$5-$C$5),1+4*($E$5-$D$5)/($E$5-$C$5),$C$5,$E$5)</f>
        <v/>
      </c>
      <c r="N2495" s="14">
        <f>IF($AB2495&lt;($D$6-$C$6)/($E$6-$C$6),$C$6+SQRT($AB2495*($E$6-$C$6)*($D$6-$C$6)),$E$6-SQRT((1-$AB2495)*($E$6-$C$6)*($E$6-$D$6)))</f>
        <v/>
      </c>
      <c r="O2495" s="14">
        <f>_xlfn.NORM.INV($AC2495,$C$7,$D$7)</f>
        <v/>
      </c>
      <c r="P2495" s="14">
        <f>$C$8+($D$8-$C$8)*$AD2495</f>
        <v/>
      </c>
      <c r="Q2495" s="14">
        <f>$C$9</f>
        <v/>
      </c>
      <c r="R2495" s="14">
        <f>_xlfn.LOGNORM.INV($AF2495,LN($C$10)-0.5*LN(1+($D$10/$C$10)^2),SQRT(LN(1+($D$10/$C$10)^2)))</f>
        <v/>
      </c>
      <c r="S2495" s="14">
        <f>SUM(M2495:R2495)</f>
        <v/>
      </c>
      <c r="AA2495">
        <f>RAND()</f>
        <v/>
      </c>
      <c r="AB2495">
        <f>RAND()</f>
        <v/>
      </c>
      <c r="AC2495">
        <f>RAND()</f>
        <v/>
      </c>
      <c r="AD2495">
        <f>RAND()</f>
        <v/>
      </c>
      <c r="AE2495">
        <f>RAND()</f>
        <v/>
      </c>
      <c r="AF2495">
        <f>RAND()</f>
        <v/>
      </c>
    </row>
    <row r="2496">
      <c r="M2496" s="14">
        <f>_xlfn.BETA.INV($AA2496,1+4*($D$5-$C$5)/($E$5-$C$5),1+4*($E$5-$D$5)/($E$5-$C$5),$C$5,$E$5)</f>
        <v/>
      </c>
      <c r="N2496" s="14">
        <f>IF($AB2496&lt;($D$6-$C$6)/($E$6-$C$6),$C$6+SQRT($AB2496*($E$6-$C$6)*($D$6-$C$6)),$E$6-SQRT((1-$AB2496)*($E$6-$C$6)*($E$6-$D$6)))</f>
        <v/>
      </c>
      <c r="O2496" s="14">
        <f>_xlfn.NORM.INV($AC2496,$C$7,$D$7)</f>
        <v/>
      </c>
      <c r="P2496" s="14">
        <f>$C$8+($D$8-$C$8)*$AD2496</f>
        <v/>
      </c>
      <c r="Q2496" s="14">
        <f>$C$9</f>
        <v/>
      </c>
      <c r="R2496" s="14">
        <f>_xlfn.LOGNORM.INV($AF2496,LN($C$10)-0.5*LN(1+($D$10/$C$10)^2),SQRT(LN(1+($D$10/$C$10)^2)))</f>
        <v/>
      </c>
      <c r="S2496" s="14">
        <f>SUM(M2496:R2496)</f>
        <v/>
      </c>
      <c r="AA2496">
        <f>RAND()</f>
        <v/>
      </c>
      <c r="AB2496">
        <f>RAND()</f>
        <v/>
      </c>
      <c r="AC2496">
        <f>RAND()</f>
        <v/>
      </c>
      <c r="AD2496">
        <f>RAND()</f>
        <v/>
      </c>
      <c r="AE2496">
        <f>RAND()</f>
        <v/>
      </c>
      <c r="AF2496">
        <f>RAND()</f>
        <v/>
      </c>
    </row>
    <row r="2497">
      <c r="M2497" s="14">
        <f>_xlfn.BETA.INV($AA2497,1+4*($D$5-$C$5)/($E$5-$C$5),1+4*($E$5-$D$5)/($E$5-$C$5),$C$5,$E$5)</f>
        <v/>
      </c>
      <c r="N2497" s="14">
        <f>IF($AB2497&lt;($D$6-$C$6)/($E$6-$C$6),$C$6+SQRT($AB2497*($E$6-$C$6)*($D$6-$C$6)),$E$6-SQRT((1-$AB2497)*($E$6-$C$6)*($E$6-$D$6)))</f>
        <v/>
      </c>
      <c r="O2497" s="14">
        <f>_xlfn.NORM.INV($AC2497,$C$7,$D$7)</f>
        <v/>
      </c>
      <c r="P2497" s="14">
        <f>$C$8+($D$8-$C$8)*$AD2497</f>
        <v/>
      </c>
      <c r="Q2497" s="14">
        <f>$C$9</f>
        <v/>
      </c>
      <c r="R2497" s="14">
        <f>_xlfn.LOGNORM.INV($AF2497,LN($C$10)-0.5*LN(1+($D$10/$C$10)^2),SQRT(LN(1+($D$10/$C$10)^2)))</f>
        <v/>
      </c>
      <c r="S2497" s="14">
        <f>SUM(M2497:R2497)</f>
        <v/>
      </c>
      <c r="AA2497">
        <f>RAND()</f>
        <v/>
      </c>
      <c r="AB2497">
        <f>RAND()</f>
        <v/>
      </c>
      <c r="AC2497">
        <f>RAND()</f>
        <v/>
      </c>
      <c r="AD2497">
        <f>RAND()</f>
        <v/>
      </c>
      <c r="AE2497">
        <f>RAND()</f>
        <v/>
      </c>
      <c r="AF2497">
        <f>RAND()</f>
        <v/>
      </c>
    </row>
    <row r="2498">
      <c r="M2498" s="14">
        <f>_xlfn.BETA.INV($AA2498,1+4*($D$5-$C$5)/($E$5-$C$5),1+4*($E$5-$D$5)/($E$5-$C$5),$C$5,$E$5)</f>
        <v/>
      </c>
      <c r="N2498" s="14">
        <f>IF($AB2498&lt;($D$6-$C$6)/($E$6-$C$6),$C$6+SQRT($AB2498*($E$6-$C$6)*($D$6-$C$6)),$E$6-SQRT((1-$AB2498)*($E$6-$C$6)*($E$6-$D$6)))</f>
        <v/>
      </c>
      <c r="O2498" s="14">
        <f>_xlfn.NORM.INV($AC2498,$C$7,$D$7)</f>
        <v/>
      </c>
      <c r="P2498" s="14">
        <f>$C$8+($D$8-$C$8)*$AD2498</f>
        <v/>
      </c>
      <c r="Q2498" s="14">
        <f>$C$9</f>
        <v/>
      </c>
      <c r="R2498" s="14">
        <f>_xlfn.LOGNORM.INV($AF2498,LN($C$10)-0.5*LN(1+($D$10/$C$10)^2),SQRT(LN(1+($D$10/$C$10)^2)))</f>
        <v/>
      </c>
      <c r="S2498" s="14">
        <f>SUM(M2498:R2498)</f>
        <v/>
      </c>
      <c r="AA2498">
        <f>RAND()</f>
        <v/>
      </c>
      <c r="AB2498">
        <f>RAND()</f>
        <v/>
      </c>
      <c r="AC2498">
        <f>RAND()</f>
        <v/>
      </c>
      <c r="AD2498">
        <f>RAND()</f>
        <v/>
      </c>
      <c r="AE2498">
        <f>RAND()</f>
        <v/>
      </c>
      <c r="AF2498">
        <f>RAND()</f>
        <v/>
      </c>
    </row>
    <row r="2499">
      <c r="M2499" s="14">
        <f>_xlfn.BETA.INV($AA2499,1+4*($D$5-$C$5)/($E$5-$C$5),1+4*($E$5-$D$5)/($E$5-$C$5),$C$5,$E$5)</f>
        <v/>
      </c>
      <c r="N2499" s="14">
        <f>IF($AB2499&lt;($D$6-$C$6)/($E$6-$C$6),$C$6+SQRT($AB2499*($E$6-$C$6)*($D$6-$C$6)),$E$6-SQRT((1-$AB2499)*($E$6-$C$6)*($E$6-$D$6)))</f>
        <v/>
      </c>
      <c r="O2499" s="14">
        <f>_xlfn.NORM.INV($AC2499,$C$7,$D$7)</f>
        <v/>
      </c>
      <c r="P2499" s="14">
        <f>$C$8+($D$8-$C$8)*$AD2499</f>
        <v/>
      </c>
      <c r="Q2499" s="14">
        <f>$C$9</f>
        <v/>
      </c>
      <c r="R2499" s="14">
        <f>_xlfn.LOGNORM.INV($AF2499,LN($C$10)-0.5*LN(1+($D$10/$C$10)^2),SQRT(LN(1+($D$10/$C$10)^2)))</f>
        <v/>
      </c>
      <c r="S2499" s="14">
        <f>SUM(M2499:R2499)</f>
        <v/>
      </c>
      <c r="AA2499">
        <f>RAND()</f>
        <v/>
      </c>
      <c r="AB2499">
        <f>RAND()</f>
        <v/>
      </c>
      <c r="AC2499">
        <f>RAND()</f>
        <v/>
      </c>
      <c r="AD2499">
        <f>RAND()</f>
        <v/>
      </c>
      <c r="AE2499">
        <f>RAND()</f>
        <v/>
      </c>
      <c r="AF2499">
        <f>RAND()</f>
        <v/>
      </c>
    </row>
    <row r="2500">
      <c r="M2500" s="14">
        <f>_xlfn.BETA.INV($AA2500,1+4*($D$5-$C$5)/($E$5-$C$5),1+4*($E$5-$D$5)/($E$5-$C$5),$C$5,$E$5)</f>
        <v/>
      </c>
      <c r="N2500" s="14">
        <f>IF($AB2500&lt;($D$6-$C$6)/($E$6-$C$6),$C$6+SQRT($AB2500*($E$6-$C$6)*($D$6-$C$6)),$E$6-SQRT((1-$AB2500)*($E$6-$C$6)*($E$6-$D$6)))</f>
        <v/>
      </c>
      <c r="O2500" s="14">
        <f>_xlfn.NORM.INV($AC2500,$C$7,$D$7)</f>
        <v/>
      </c>
      <c r="P2500" s="14">
        <f>$C$8+($D$8-$C$8)*$AD2500</f>
        <v/>
      </c>
      <c r="Q2500" s="14">
        <f>$C$9</f>
        <v/>
      </c>
      <c r="R2500" s="14">
        <f>_xlfn.LOGNORM.INV($AF2500,LN($C$10)-0.5*LN(1+($D$10/$C$10)^2),SQRT(LN(1+($D$10/$C$10)^2)))</f>
        <v/>
      </c>
      <c r="S2500" s="14">
        <f>SUM(M2500:R2500)</f>
        <v/>
      </c>
      <c r="AA2500">
        <f>RAND()</f>
        <v/>
      </c>
      <c r="AB2500">
        <f>RAND()</f>
        <v/>
      </c>
      <c r="AC2500">
        <f>RAND()</f>
        <v/>
      </c>
      <c r="AD2500">
        <f>RAND()</f>
        <v/>
      </c>
      <c r="AE2500">
        <f>RAND()</f>
        <v/>
      </c>
      <c r="AF2500">
        <f>RAND()</f>
        <v/>
      </c>
    </row>
    <row r="2501">
      <c r="M2501" s="14">
        <f>_xlfn.BETA.INV($AA2501,1+4*($D$5-$C$5)/($E$5-$C$5),1+4*($E$5-$D$5)/($E$5-$C$5),$C$5,$E$5)</f>
        <v/>
      </c>
      <c r="N2501" s="14">
        <f>IF($AB2501&lt;($D$6-$C$6)/($E$6-$C$6),$C$6+SQRT($AB2501*($E$6-$C$6)*($D$6-$C$6)),$E$6-SQRT((1-$AB2501)*($E$6-$C$6)*($E$6-$D$6)))</f>
        <v/>
      </c>
      <c r="O2501" s="14">
        <f>_xlfn.NORM.INV($AC2501,$C$7,$D$7)</f>
        <v/>
      </c>
      <c r="P2501" s="14">
        <f>$C$8+($D$8-$C$8)*$AD2501</f>
        <v/>
      </c>
      <c r="Q2501" s="14">
        <f>$C$9</f>
        <v/>
      </c>
      <c r="R2501" s="14">
        <f>_xlfn.LOGNORM.INV($AF2501,LN($C$10)-0.5*LN(1+($D$10/$C$10)^2),SQRT(LN(1+($D$10/$C$10)^2)))</f>
        <v/>
      </c>
      <c r="S2501" s="14">
        <f>SUM(M2501:R2501)</f>
        <v/>
      </c>
      <c r="AA2501">
        <f>RAND()</f>
        <v/>
      </c>
      <c r="AB2501">
        <f>RAND()</f>
        <v/>
      </c>
      <c r="AC2501">
        <f>RAND()</f>
        <v/>
      </c>
      <c r="AD2501">
        <f>RAND()</f>
        <v/>
      </c>
      <c r="AE2501">
        <f>RAND()</f>
        <v/>
      </c>
      <c r="AF2501">
        <f>RAND()</f>
        <v/>
      </c>
    </row>
    <row r="2502">
      <c r="M2502" s="14">
        <f>_xlfn.BETA.INV($AA2502,1+4*($D$5-$C$5)/($E$5-$C$5),1+4*($E$5-$D$5)/($E$5-$C$5),$C$5,$E$5)</f>
        <v/>
      </c>
      <c r="N2502" s="14">
        <f>IF($AB2502&lt;($D$6-$C$6)/($E$6-$C$6),$C$6+SQRT($AB2502*($E$6-$C$6)*($D$6-$C$6)),$E$6-SQRT((1-$AB2502)*($E$6-$C$6)*($E$6-$D$6)))</f>
        <v/>
      </c>
      <c r="O2502" s="14">
        <f>_xlfn.NORM.INV($AC2502,$C$7,$D$7)</f>
        <v/>
      </c>
      <c r="P2502" s="14">
        <f>$C$8+($D$8-$C$8)*$AD2502</f>
        <v/>
      </c>
      <c r="Q2502" s="14">
        <f>$C$9</f>
        <v/>
      </c>
      <c r="R2502" s="14">
        <f>_xlfn.LOGNORM.INV($AF2502,LN($C$10)-0.5*LN(1+($D$10/$C$10)^2),SQRT(LN(1+($D$10/$C$10)^2)))</f>
        <v/>
      </c>
      <c r="S2502" s="14">
        <f>SUM(M2502:R2502)</f>
        <v/>
      </c>
      <c r="AA2502">
        <f>RAND()</f>
        <v/>
      </c>
      <c r="AB2502">
        <f>RAND()</f>
        <v/>
      </c>
      <c r="AC2502">
        <f>RAND()</f>
        <v/>
      </c>
      <c r="AD2502">
        <f>RAND()</f>
        <v/>
      </c>
      <c r="AE2502">
        <f>RAND()</f>
        <v/>
      </c>
      <c r="AF2502">
        <f>RAND()</f>
        <v/>
      </c>
    </row>
    <row r="2503">
      <c r="M2503" s="14">
        <f>_xlfn.BETA.INV($AA2503,1+4*($D$5-$C$5)/($E$5-$C$5),1+4*($E$5-$D$5)/($E$5-$C$5),$C$5,$E$5)</f>
        <v/>
      </c>
      <c r="N2503" s="14">
        <f>IF($AB2503&lt;($D$6-$C$6)/($E$6-$C$6),$C$6+SQRT($AB2503*($E$6-$C$6)*($D$6-$C$6)),$E$6-SQRT((1-$AB2503)*($E$6-$C$6)*($E$6-$D$6)))</f>
        <v/>
      </c>
      <c r="O2503" s="14">
        <f>_xlfn.NORM.INV($AC2503,$C$7,$D$7)</f>
        <v/>
      </c>
      <c r="P2503" s="14">
        <f>$C$8+($D$8-$C$8)*$AD2503</f>
        <v/>
      </c>
      <c r="Q2503" s="14">
        <f>$C$9</f>
        <v/>
      </c>
      <c r="R2503" s="14">
        <f>_xlfn.LOGNORM.INV($AF2503,LN($C$10)-0.5*LN(1+($D$10/$C$10)^2),SQRT(LN(1+($D$10/$C$10)^2)))</f>
        <v/>
      </c>
      <c r="S2503" s="14">
        <f>SUM(M2503:R2503)</f>
        <v/>
      </c>
      <c r="AA2503">
        <f>RAND()</f>
        <v/>
      </c>
      <c r="AB2503">
        <f>RAND()</f>
        <v/>
      </c>
      <c r="AC2503">
        <f>RAND()</f>
        <v/>
      </c>
      <c r="AD2503">
        <f>RAND()</f>
        <v/>
      </c>
      <c r="AE2503">
        <f>RAND()</f>
        <v/>
      </c>
      <c r="AF2503">
        <f>RAND()</f>
        <v/>
      </c>
    </row>
    <row r="2504">
      <c r="M2504" s="14">
        <f>_xlfn.BETA.INV($AA2504,1+4*($D$5-$C$5)/($E$5-$C$5),1+4*($E$5-$D$5)/($E$5-$C$5),$C$5,$E$5)</f>
        <v/>
      </c>
      <c r="N2504" s="14">
        <f>IF($AB2504&lt;($D$6-$C$6)/($E$6-$C$6),$C$6+SQRT($AB2504*($E$6-$C$6)*($D$6-$C$6)),$E$6-SQRT((1-$AB2504)*($E$6-$C$6)*($E$6-$D$6)))</f>
        <v/>
      </c>
      <c r="O2504" s="14">
        <f>_xlfn.NORM.INV($AC2504,$C$7,$D$7)</f>
        <v/>
      </c>
      <c r="P2504" s="14">
        <f>$C$8+($D$8-$C$8)*$AD2504</f>
        <v/>
      </c>
      <c r="Q2504" s="14">
        <f>$C$9</f>
        <v/>
      </c>
      <c r="R2504" s="14">
        <f>_xlfn.LOGNORM.INV($AF2504,LN($C$10)-0.5*LN(1+($D$10/$C$10)^2),SQRT(LN(1+($D$10/$C$10)^2)))</f>
        <v/>
      </c>
      <c r="S2504" s="14">
        <f>SUM(M2504:R2504)</f>
        <v/>
      </c>
      <c r="AA2504">
        <f>RAND()</f>
        <v/>
      </c>
      <c r="AB2504">
        <f>RAND()</f>
        <v/>
      </c>
      <c r="AC2504">
        <f>RAND()</f>
        <v/>
      </c>
      <c r="AD2504">
        <f>RAND()</f>
        <v/>
      </c>
      <c r="AE2504">
        <f>RAND()</f>
        <v/>
      </c>
      <c r="AF2504">
        <f>RAND()</f>
        <v/>
      </c>
    </row>
    <row r="2505">
      <c r="M2505" s="14">
        <f>_xlfn.BETA.INV($AA2505,1+4*($D$5-$C$5)/($E$5-$C$5),1+4*($E$5-$D$5)/($E$5-$C$5),$C$5,$E$5)</f>
        <v/>
      </c>
      <c r="N2505" s="14">
        <f>IF($AB2505&lt;($D$6-$C$6)/($E$6-$C$6),$C$6+SQRT($AB2505*($E$6-$C$6)*($D$6-$C$6)),$E$6-SQRT((1-$AB2505)*($E$6-$C$6)*($E$6-$D$6)))</f>
        <v/>
      </c>
      <c r="O2505" s="14">
        <f>_xlfn.NORM.INV($AC2505,$C$7,$D$7)</f>
        <v/>
      </c>
      <c r="P2505" s="14">
        <f>$C$8+($D$8-$C$8)*$AD2505</f>
        <v/>
      </c>
      <c r="Q2505" s="14">
        <f>$C$9</f>
        <v/>
      </c>
      <c r="R2505" s="14">
        <f>_xlfn.LOGNORM.INV($AF2505,LN($C$10)-0.5*LN(1+($D$10/$C$10)^2),SQRT(LN(1+($D$10/$C$10)^2)))</f>
        <v/>
      </c>
      <c r="S2505" s="14">
        <f>SUM(M2505:R2505)</f>
        <v/>
      </c>
      <c r="AA2505">
        <f>RAND()</f>
        <v/>
      </c>
      <c r="AB2505">
        <f>RAND()</f>
        <v/>
      </c>
      <c r="AC2505">
        <f>RAND()</f>
        <v/>
      </c>
      <c r="AD2505">
        <f>RAND()</f>
        <v/>
      </c>
      <c r="AE2505">
        <f>RAND()</f>
        <v/>
      </c>
      <c r="AF2505">
        <f>RAND()</f>
        <v/>
      </c>
    </row>
    <row r="2506">
      <c r="M2506" s="14">
        <f>_xlfn.BETA.INV($AA2506,1+4*($D$5-$C$5)/($E$5-$C$5),1+4*($E$5-$D$5)/($E$5-$C$5),$C$5,$E$5)</f>
        <v/>
      </c>
      <c r="N2506" s="14">
        <f>IF($AB2506&lt;($D$6-$C$6)/($E$6-$C$6),$C$6+SQRT($AB2506*($E$6-$C$6)*($D$6-$C$6)),$E$6-SQRT((1-$AB2506)*($E$6-$C$6)*($E$6-$D$6)))</f>
        <v/>
      </c>
      <c r="O2506" s="14">
        <f>_xlfn.NORM.INV($AC2506,$C$7,$D$7)</f>
        <v/>
      </c>
      <c r="P2506" s="14">
        <f>$C$8+($D$8-$C$8)*$AD2506</f>
        <v/>
      </c>
      <c r="Q2506" s="14">
        <f>$C$9</f>
        <v/>
      </c>
      <c r="R2506" s="14">
        <f>_xlfn.LOGNORM.INV($AF2506,LN($C$10)-0.5*LN(1+($D$10/$C$10)^2),SQRT(LN(1+($D$10/$C$10)^2)))</f>
        <v/>
      </c>
      <c r="S2506" s="14">
        <f>SUM(M2506:R2506)</f>
        <v/>
      </c>
      <c r="AA2506">
        <f>RAND()</f>
        <v/>
      </c>
      <c r="AB2506">
        <f>RAND()</f>
        <v/>
      </c>
      <c r="AC2506">
        <f>RAND()</f>
        <v/>
      </c>
      <c r="AD2506">
        <f>RAND()</f>
        <v/>
      </c>
      <c r="AE2506">
        <f>RAND()</f>
        <v/>
      </c>
      <c r="AF2506">
        <f>RAND()</f>
        <v/>
      </c>
    </row>
    <row r="2507">
      <c r="M2507" s="14">
        <f>_xlfn.BETA.INV($AA2507,1+4*($D$5-$C$5)/($E$5-$C$5),1+4*($E$5-$D$5)/($E$5-$C$5),$C$5,$E$5)</f>
        <v/>
      </c>
      <c r="N2507" s="14">
        <f>IF($AB2507&lt;($D$6-$C$6)/($E$6-$C$6),$C$6+SQRT($AB2507*($E$6-$C$6)*($D$6-$C$6)),$E$6-SQRT((1-$AB2507)*($E$6-$C$6)*($E$6-$D$6)))</f>
        <v/>
      </c>
      <c r="O2507" s="14">
        <f>_xlfn.NORM.INV($AC2507,$C$7,$D$7)</f>
        <v/>
      </c>
      <c r="P2507" s="14">
        <f>$C$8+($D$8-$C$8)*$AD2507</f>
        <v/>
      </c>
      <c r="Q2507" s="14">
        <f>$C$9</f>
        <v/>
      </c>
      <c r="R2507" s="14">
        <f>_xlfn.LOGNORM.INV($AF2507,LN($C$10)-0.5*LN(1+($D$10/$C$10)^2),SQRT(LN(1+($D$10/$C$10)^2)))</f>
        <v/>
      </c>
      <c r="S2507" s="14">
        <f>SUM(M2507:R2507)</f>
        <v/>
      </c>
      <c r="AA2507">
        <f>RAND()</f>
        <v/>
      </c>
      <c r="AB2507">
        <f>RAND()</f>
        <v/>
      </c>
      <c r="AC2507">
        <f>RAND()</f>
        <v/>
      </c>
      <c r="AD2507">
        <f>RAND()</f>
        <v/>
      </c>
      <c r="AE2507">
        <f>RAND()</f>
        <v/>
      </c>
      <c r="AF2507">
        <f>RAND()</f>
        <v/>
      </c>
    </row>
    <row r="2508">
      <c r="M2508" s="14">
        <f>_xlfn.BETA.INV($AA2508,1+4*($D$5-$C$5)/($E$5-$C$5),1+4*($E$5-$D$5)/($E$5-$C$5),$C$5,$E$5)</f>
        <v/>
      </c>
      <c r="N2508" s="14">
        <f>IF($AB2508&lt;($D$6-$C$6)/($E$6-$C$6),$C$6+SQRT($AB2508*($E$6-$C$6)*($D$6-$C$6)),$E$6-SQRT((1-$AB2508)*($E$6-$C$6)*($E$6-$D$6)))</f>
        <v/>
      </c>
      <c r="O2508" s="14">
        <f>_xlfn.NORM.INV($AC2508,$C$7,$D$7)</f>
        <v/>
      </c>
      <c r="P2508" s="14">
        <f>$C$8+($D$8-$C$8)*$AD2508</f>
        <v/>
      </c>
      <c r="Q2508" s="14">
        <f>$C$9</f>
        <v/>
      </c>
      <c r="R2508" s="14">
        <f>_xlfn.LOGNORM.INV($AF2508,LN($C$10)-0.5*LN(1+($D$10/$C$10)^2),SQRT(LN(1+($D$10/$C$10)^2)))</f>
        <v/>
      </c>
      <c r="S2508" s="14">
        <f>SUM(M2508:R2508)</f>
        <v/>
      </c>
      <c r="AA2508">
        <f>RAND()</f>
        <v/>
      </c>
      <c r="AB2508">
        <f>RAND()</f>
        <v/>
      </c>
      <c r="AC2508">
        <f>RAND()</f>
        <v/>
      </c>
      <c r="AD2508">
        <f>RAND()</f>
        <v/>
      </c>
      <c r="AE2508">
        <f>RAND()</f>
        <v/>
      </c>
      <c r="AF2508">
        <f>RAND()</f>
        <v/>
      </c>
    </row>
    <row r="2509">
      <c r="M2509" s="14">
        <f>_xlfn.BETA.INV($AA2509,1+4*($D$5-$C$5)/($E$5-$C$5),1+4*($E$5-$D$5)/($E$5-$C$5),$C$5,$E$5)</f>
        <v/>
      </c>
      <c r="N2509" s="14">
        <f>IF($AB2509&lt;($D$6-$C$6)/($E$6-$C$6),$C$6+SQRT($AB2509*($E$6-$C$6)*($D$6-$C$6)),$E$6-SQRT((1-$AB2509)*($E$6-$C$6)*($E$6-$D$6)))</f>
        <v/>
      </c>
      <c r="O2509" s="14">
        <f>_xlfn.NORM.INV($AC2509,$C$7,$D$7)</f>
        <v/>
      </c>
      <c r="P2509" s="14">
        <f>$C$8+($D$8-$C$8)*$AD2509</f>
        <v/>
      </c>
      <c r="Q2509" s="14">
        <f>$C$9</f>
        <v/>
      </c>
      <c r="R2509" s="14">
        <f>_xlfn.LOGNORM.INV($AF2509,LN($C$10)-0.5*LN(1+($D$10/$C$10)^2),SQRT(LN(1+($D$10/$C$10)^2)))</f>
        <v/>
      </c>
      <c r="S2509" s="14">
        <f>SUM(M2509:R2509)</f>
        <v/>
      </c>
      <c r="AA2509">
        <f>RAND()</f>
        <v/>
      </c>
      <c r="AB2509">
        <f>RAND()</f>
        <v/>
      </c>
      <c r="AC2509">
        <f>RAND()</f>
        <v/>
      </c>
      <c r="AD2509">
        <f>RAND()</f>
        <v/>
      </c>
      <c r="AE2509">
        <f>RAND()</f>
        <v/>
      </c>
      <c r="AF2509">
        <f>RAND()</f>
        <v/>
      </c>
    </row>
    <row r="2510">
      <c r="M2510" s="14">
        <f>_xlfn.BETA.INV($AA2510,1+4*($D$5-$C$5)/($E$5-$C$5),1+4*($E$5-$D$5)/($E$5-$C$5),$C$5,$E$5)</f>
        <v/>
      </c>
      <c r="N2510" s="14">
        <f>IF($AB2510&lt;($D$6-$C$6)/($E$6-$C$6),$C$6+SQRT($AB2510*($E$6-$C$6)*($D$6-$C$6)),$E$6-SQRT((1-$AB2510)*($E$6-$C$6)*($E$6-$D$6)))</f>
        <v/>
      </c>
      <c r="O2510" s="14">
        <f>_xlfn.NORM.INV($AC2510,$C$7,$D$7)</f>
        <v/>
      </c>
      <c r="P2510" s="14">
        <f>$C$8+($D$8-$C$8)*$AD2510</f>
        <v/>
      </c>
      <c r="Q2510" s="14">
        <f>$C$9</f>
        <v/>
      </c>
      <c r="R2510" s="14">
        <f>_xlfn.LOGNORM.INV($AF2510,LN($C$10)-0.5*LN(1+($D$10/$C$10)^2),SQRT(LN(1+($D$10/$C$10)^2)))</f>
        <v/>
      </c>
      <c r="S2510" s="14">
        <f>SUM(M2510:R2510)</f>
        <v/>
      </c>
      <c r="AA2510">
        <f>RAND()</f>
        <v/>
      </c>
      <c r="AB2510">
        <f>RAND()</f>
        <v/>
      </c>
      <c r="AC2510">
        <f>RAND()</f>
        <v/>
      </c>
      <c r="AD2510">
        <f>RAND()</f>
        <v/>
      </c>
      <c r="AE2510">
        <f>RAND()</f>
        <v/>
      </c>
      <c r="AF2510">
        <f>RAND()</f>
        <v/>
      </c>
    </row>
    <row r="2511">
      <c r="M2511" s="14">
        <f>_xlfn.BETA.INV($AA2511,1+4*($D$5-$C$5)/($E$5-$C$5),1+4*($E$5-$D$5)/($E$5-$C$5),$C$5,$E$5)</f>
        <v/>
      </c>
      <c r="N2511" s="14">
        <f>IF($AB2511&lt;($D$6-$C$6)/($E$6-$C$6),$C$6+SQRT($AB2511*($E$6-$C$6)*($D$6-$C$6)),$E$6-SQRT((1-$AB2511)*($E$6-$C$6)*($E$6-$D$6)))</f>
        <v/>
      </c>
      <c r="O2511" s="14">
        <f>_xlfn.NORM.INV($AC2511,$C$7,$D$7)</f>
        <v/>
      </c>
      <c r="P2511" s="14">
        <f>$C$8+($D$8-$C$8)*$AD2511</f>
        <v/>
      </c>
      <c r="Q2511" s="14">
        <f>$C$9</f>
        <v/>
      </c>
      <c r="R2511" s="14">
        <f>_xlfn.LOGNORM.INV($AF2511,LN($C$10)-0.5*LN(1+($D$10/$C$10)^2),SQRT(LN(1+($D$10/$C$10)^2)))</f>
        <v/>
      </c>
      <c r="S2511" s="14">
        <f>SUM(M2511:R2511)</f>
        <v/>
      </c>
      <c r="AA2511">
        <f>RAND()</f>
        <v/>
      </c>
      <c r="AB2511">
        <f>RAND()</f>
        <v/>
      </c>
      <c r="AC2511">
        <f>RAND()</f>
        <v/>
      </c>
      <c r="AD2511">
        <f>RAND()</f>
        <v/>
      </c>
      <c r="AE2511">
        <f>RAND()</f>
        <v/>
      </c>
      <c r="AF2511">
        <f>RAND()</f>
        <v/>
      </c>
    </row>
    <row r="2512">
      <c r="M2512" s="14">
        <f>_xlfn.BETA.INV($AA2512,1+4*($D$5-$C$5)/($E$5-$C$5),1+4*($E$5-$D$5)/($E$5-$C$5),$C$5,$E$5)</f>
        <v/>
      </c>
      <c r="N2512" s="14">
        <f>IF($AB2512&lt;($D$6-$C$6)/($E$6-$C$6),$C$6+SQRT($AB2512*($E$6-$C$6)*($D$6-$C$6)),$E$6-SQRT((1-$AB2512)*($E$6-$C$6)*($E$6-$D$6)))</f>
        <v/>
      </c>
      <c r="O2512" s="14">
        <f>_xlfn.NORM.INV($AC2512,$C$7,$D$7)</f>
        <v/>
      </c>
      <c r="P2512" s="14">
        <f>$C$8+($D$8-$C$8)*$AD2512</f>
        <v/>
      </c>
      <c r="Q2512" s="14">
        <f>$C$9</f>
        <v/>
      </c>
      <c r="R2512" s="14">
        <f>_xlfn.LOGNORM.INV($AF2512,LN($C$10)-0.5*LN(1+($D$10/$C$10)^2),SQRT(LN(1+($D$10/$C$10)^2)))</f>
        <v/>
      </c>
      <c r="S2512" s="14">
        <f>SUM(M2512:R2512)</f>
        <v/>
      </c>
      <c r="AA2512">
        <f>RAND()</f>
        <v/>
      </c>
      <c r="AB2512">
        <f>RAND()</f>
        <v/>
      </c>
      <c r="AC2512">
        <f>RAND()</f>
        <v/>
      </c>
      <c r="AD2512">
        <f>RAND()</f>
        <v/>
      </c>
      <c r="AE2512">
        <f>RAND()</f>
        <v/>
      </c>
      <c r="AF2512">
        <f>RAND()</f>
        <v/>
      </c>
    </row>
    <row r="2513">
      <c r="M2513" s="14">
        <f>_xlfn.BETA.INV($AA2513,1+4*($D$5-$C$5)/($E$5-$C$5),1+4*($E$5-$D$5)/($E$5-$C$5),$C$5,$E$5)</f>
        <v/>
      </c>
      <c r="N2513" s="14">
        <f>IF($AB2513&lt;($D$6-$C$6)/($E$6-$C$6),$C$6+SQRT($AB2513*($E$6-$C$6)*($D$6-$C$6)),$E$6-SQRT((1-$AB2513)*($E$6-$C$6)*($E$6-$D$6)))</f>
        <v/>
      </c>
      <c r="O2513" s="14">
        <f>_xlfn.NORM.INV($AC2513,$C$7,$D$7)</f>
        <v/>
      </c>
      <c r="P2513" s="14">
        <f>$C$8+($D$8-$C$8)*$AD2513</f>
        <v/>
      </c>
      <c r="Q2513" s="14">
        <f>$C$9</f>
        <v/>
      </c>
      <c r="R2513" s="14">
        <f>_xlfn.LOGNORM.INV($AF2513,LN($C$10)-0.5*LN(1+($D$10/$C$10)^2),SQRT(LN(1+($D$10/$C$10)^2)))</f>
        <v/>
      </c>
      <c r="S2513" s="14">
        <f>SUM(M2513:R2513)</f>
        <v/>
      </c>
      <c r="AA2513">
        <f>RAND()</f>
        <v/>
      </c>
      <c r="AB2513">
        <f>RAND()</f>
        <v/>
      </c>
      <c r="AC2513">
        <f>RAND()</f>
        <v/>
      </c>
      <c r="AD2513">
        <f>RAND()</f>
        <v/>
      </c>
      <c r="AE2513">
        <f>RAND()</f>
        <v/>
      </c>
      <c r="AF2513">
        <f>RAND()</f>
        <v/>
      </c>
    </row>
    <row r="2514">
      <c r="M2514" s="14">
        <f>_xlfn.BETA.INV($AA2514,1+4*($D$5-$C$5)/($E$5-$C$5),1+4*($E$5-$D$5)/($E$5-$C$5),$C$5,$E$5)</f>
        <v/>
      </c>
      <c r="N2514" s="14">
        <f>IF($AB2514&lt;($D$6-$C$6)/($E$6-$C$6),$C$6+SQRT($AB2514*($E$6-$C$6)*($D$6-$C$6)),$E$6-SQRT((1-$AB2514)*($E$6-$C$6)*($E$6-$D$6)))</f>
        <v/>
      </c>
      <c r="O2514" s="14">
        <f>_xlfn.NORM.INV($AC2514,$C$7,$D$7)</f>
        <v/>
      </c>
      <c r="P2514" s="14">
        <f>$C$8+($D$8-$C$8)*$AD2514</f>
        <v/>
      </c>
      <c r="Q2514" s="14">
        <f>$C$9</f>
        <v/>
      </c>
      <c r="R2514" s="14">
        <f>_xlfn.LOGNORM.INV($AF2514,LN($C$10)-0.5*LN(1+($D$10/$C$10)^2),SQRT(LN(1+($D$10/$C$10)^2)))</f>
        <v/>
      </c>
      <c r="S2514" s="14">
        <f>SUM(M2514:R2514)</f>
        <v/>
      </c>
      <c r="AA2514">
        <f>RAND()</f>
        <v/>
      </c>
      <c r="AB2514">
        <f>RAND()</f>
        <v/>
      </c>
      <c r="AC2514">
        <f>RAND()</f>
        <v/>
      </c>
      <c r="AD2514">
        <f>RAND()</f>
        <v/>
      </c>
      <c r="AE2514">
        <f>RAND()</f>
        <v/>
      </c>
      <c r="AF2514">
        <f>RAND()</f>
        <v/>
      </c>
    </row>
    <row r="2515">
      <c r="M2515" s="14">
        <f>_xlfn.BETA.INV($AA2515,1+4*($D$5-$C$5)/($E$5-$C$5),1+4*($E$5-$D$5)/($E$5-$C$5),$C$5,$E$5)</f>
        <v/>
      </c>
      <c r="N2515" s="14">
        <f>IF($AB2515&lt;($D$6-$C$6)/($E$6-$C$6),$C$6+SQRT($AB2515*($E$6-$C$6)*($D$6-$C$6)),$E$6-SQRT((1-$AB2515)*($E$6-$C$6)*($E$6-$D$6)))</f>
        <v/>
      </c>
      <c r="O2515" s="14">
        <f>_xlfn.NORM.INV($AC2515,$C$7,$D$7)</f>
        <v/>
      </c>
      <c r="P2515" s="14">
        <f>$C$8+($D$8-$C$8)*$AD2515</f>
        <v/>
      </c>
      <c r="Q2515" s="14">
        <f>$C$9</f>
        <v/>
      </c>
      <c r="R2515" s="14">
        <f>_xlfn.LOGNORM.INV($AF2515,LN($C$10)-0.5*LN(1+($D$10/$C$10)^2),SQRT(LN(1+($D$10/$C$10)^2)))</f>
        <v/>
      </c>
      <c r="S2515" s="14">
        <f>SUM(M2515:R2515)</f>
        <v/>
      </c>
      <c r="AA2515">
        <f>RAND()</f>
        <v/>
      </c>
      <c r="AB2515">
        <f>RAND()</f>
        <v/>
      </c>
      <c r="AC2515">
        <f>RAND()</f>
        <v/>
      </c>
      <c r="AD2515">
        <f>RAND()</f>
        <v/>
      </c>
      <c r="AE2515">
        <f>RAND()</f>
        <v/>
      </c>
      <c r="AF2515">
        <f>RAND()</f>
        <v/>
      </c>
    </row>
    <row r="2516">
      <c r="M2516" s="14">
        <f>_xlfn.BETA.INV($AA2516,1+4*($D$5-$C$5)/($E$5-$C$5),1+4*($E$5-$D$5)/($E$5-$C$5),$C$5,$E$5)</f>
        <v/>
      </c>
      <c r="N2516" s="14">
        <f>IF($AB2516&lt;($D$6-$C$6)/($E$6-$C$6),$C$6+SQRT($AB2516*($E$6-$C$6)*($D$6-$C$6)),$E$6-SQRT((1-$AB2516)*($E$6-$C$6)*($E$6-$D$6)))</f>
        <v/>
      </c>
      <c r="O2516" s="14">
        <f>_xlfn.NORM.INV($AC2516,$C$7,$D$7)</f>
        <v/>
      </c>
      <c r="P2516" s="14">
        <f>$C$8+($D$8-$C$8)*$AD2516</f>
        <v/>
      </c>
      <c r="Q2516" s="14">
        <f>$C$9</f>
        <v/>
      </c>
      <c r="R2516" s="14">
        <f>_xlfn.LOGNORM.INV($AF2516,LN($C$10)-0.5*LN(1+($D$10/$C$10)^2),SQRT(LN(1+($D$10/$C$10)^2)))</f>
        <v/>
      </c>
      <c r="S2516" s="14">
        <f>SUM(M2516:R2516)</f>
        <v/>
      </c>
      <c r="AA2516">
        <f>RAND()</f>
        <v/>
      </c>
      <c r="AB2516">
        <f>RAND()</f>
        <v/>
      </c>
      <c r="AC2516">
        <f>RAND()</f>
        <v/>
      </c>
      <c r="AD2516">
        <f>RAND()</f>
        <v/>
      </c>
      <c r="AE2516">
        <f>RAND()</f>
        <v/>
      </c>
      <c r="AF2516">
        <f>RAND()</f>
        <v/>
      </c>
    </row>
    <row r="2517">
      <c r="M2517" s="14">
        <f>_xlfn.BETA.INV($AA2517,1+4*($D$5-$C$5)/($E$5-$C$5),1+4*($E$5-$D$5)/($E$5-$C$5),$C$5,$E$5)</f>
        <v/>
      </c>
      <c r="N2517" s="14">
        <f>IF($AB2517&lt;($D$6-$C$6)/($E$6-$C$6),$C$6+SQRT($AB2517*($E$6-$C$6)*($D$6-$C$6)),$E$6-SQRT((1-$AB2517)*($E$6-$C$6)*($E$6-$D$6)))</f>
        <v/>
      </c>
      <c r="O2517" s="14">
        <f>_xlfn.NORM.INV($AC2517,$C$7,$D$7)</f>
        <v/>
      </c>
      <c r="P2517" s="14">
        <f>$C$8+($D$8-$C$8)*$AD2517</f>
        <v/>
      </c>
      <c r="Q2517" s="14">
        <f>$C$9</f>
        <v/>
      </c>
      <c r="R2517" s="14">
        <f>_xlfn.LOGNORM.INV($AF2517,LN($C$10)-0.5*LN(1+($D$10/$C$10)^2),SQRT(LN(1+($D$10/$C$10)^2)))</f>
        <v/>
      </c>
      <c r="S2517" s="14">
        <f>SUM(M2517:R2517)</f>
        <v/>
      </c>
      <c r="AA2517">
        <f>RAND()</f>
        <v/>
      </c>
      <c r="AB2517">
        <f>RAND()</f>
        <v/>
      </c>
      <c r="AC2517">
        <f>RAND()</f>
        <v/>
      </c>
      <c r="AD2517">
        <f>RAND()</f>
        <v/>
      </c>
      <c r="AE2517">
        <f>RAND()</f>
        <v/>
      </c>
      <c r="AF2517">
        <f>RAND()</f>
        <v/>
      </c>
    </row>
    <row r="2518">
      <c r="M2518" s="14">
        <f>_xlfn.BETA.INV($AA2518,1+4*($D$5-$C$5)/($E$5-$C$5),1+4*($E$5-$D$5)/($E$5-$C$5),$C$5,$E$5)</f>
        <v/>
      </c>
      <c r="N2518" s="14">
        <f>IF($AB2518&lt;($D$6-$C$6)/($E$6-$C$6),$C$6+SQRT($AB2518*($E$6-$C$6)*($D$6-$C$6)),$E$6-SQRT((1-$AB2518)*($E$6-$C$6)*($E$6-$D$6)))</f>
        <v/>
      </c>
      <c r="O2518" s="14">
        <f>_xlfn.NORM.INV($AC2518,$C$7,$D$7)</f>
        <v/>
      </c>
      <c r="P2518" s="14">
        <f>$C$8+($D$8-$C$8)*$AD2518</f>
        <v/>
      </c>
      <c r="Q2518" s="14">
        <f>$C$9</f>
        <v/>
      </c>
      <c r="R2518" s="14">
        <f>_xlfn.LOGNORM.INV($AF2518,LN($C$10)-0.5*LN(1+($D$10/$C$10)^2),SQRT(LN(1+($D$10/$C$10)^2)))</f>
        <v/>
      </c>
      <c r="S2518" s="14">
        <f>SUM(M2518:R2518)</f>
        <v/>
      </c>
      <c r="AA2518">
        <f>RAND()</f>
        <v/>
      </c>
      <c r="AB2518">
        <f>RAND()</f>
        <v/>
      </c>
      <c r="AC2518">
        <f>RAND()</f>
        <v/>
      </c>
      <c r="AD2518">
        <f>RAND()</f>
        <v/>
      </c>
      <c r="AE2518">
        <f>RAND()</f>
        <v/>
      </c>
      <c r="AF2518">
        <f>RAND()</f>
        <v/>
      </c>
    </row>
    <row r="2519">
      <c r="M2519" s="14">
        <f>_xlfn.BETA.INV($AA2519,1+4*($D$5-$C$5)/($E$5-$C$5),1+4*($E$5-$D$5)/($E$5-$C$5),$C$5,$E$5)</f>
        <v/>
      </c>
      <c r="N2519" s="14">
        <f>IF($AB2519&lt;($D$6-$C$6)/($E$6-$C$6),$C$6+SQRT($AB2519*($E$6-$C$6)*($D$6-$C$6)),$E$6-SQRT((1-$AB2519)*($E$6-$C$6)*($E$6-$D$6)))</f>
        <v/>
      </c>
      <c r="O2519" s="14">
        <f>_xlfn.NORM.INV($AC2519,$C$7,$D$7)</f>
        <v/>
      </c>
      <c r="P2519" s="14">
        <f>$C$8+($D$8-$C$8)*$AD2519</f>
        <v/>
      </c>
      <c r="Q2519" s="14">
        <f>$C$9</f>
        <v/>
      </c>
      <c r="R2519" s="14">
        <f>_xlfn.LOGNORM.INV($AF2519,LN($C$10)-0.5*LN(1+($D$10/$C$10)^2),SQRT(LN(1+($D$10/$C$10)^2)))</f>
        <v/>
      </c>
      <c r="S2519" s="14">
        <f>SUM(M2519:R2519)</f>
        <v/>
      </c>
      <c r="AA2519">
        <f>RAND()</f>
        <v/>
      </c>
      <c r="AB2519">
        <f>RAND()</f>
        <v/>
      </c>
      <c r="AC2519">
        <f>RAND()</f>
        <v/>
      </c>
      <c r="AD2519">
        <f>RAND()</f>
        <v/>
      </c>
      <c r="AE2519">
        <f>RAND()</f>
        <v/>
      </c>
      <c r="AF2519">
        <f>RAND()</f>
        <v/>
      </c>
    </row>
    <row r="2520">
      <c r="M2520" s="14">
        <f>_xlfn.BETA.INV($AA2520,1+4*($D$5-$C$5)/($E$5-$C$5),1+4*($E$5-$D$5)/($E$5-$C$5),$C$5,$E$5)</f>
        <v/>
      </c>
      <c r="N2520" s="14">
        <f>IF($AB2520&lt;($D$6-$C$6)/($E$6-$C$6),$C$6+SQRT($AB2520*($E$6-$C$6)*($D$6-$C$6)),$E$6-SQRT((1-$AB2520)*($E$6-$C$6)*($E$6-$D$6)))</f>
        <v/>
      </c>
      <c r="O2520" s="14">
        <f>_xlfn.NORM.INV($AC2520,$C$7,$D$7)</f>
        <v/>
      </c>
      <c r="P2520" s="14">
        <f>$C$8+($D$8-$C$8)*$AD2520</f>
        <v/>
      </c>
      <c r="Q2520" s="14">
        <f>$C$9</f>
        <v/>
      </c>
      <c r="R2520" s="14">
        <f>_xlfn.LOGNORM.INV($AF2520,LN($C$10)-0.5*LN(1+($D$10/$C$10)^2),SQRT(LN(1+($D$10/$C$10)^2)))</f>
        <v/>
      </c>
      <c r="S2520" s="14">
        <f>SUM(M2520:R2520)</f>
        <v/>
      </c>
      <c r="AA2520">
        <f>RAND()</f>
        <v/>
      </c>
      <c r="AB2520">
        <f>RAND()</f>
        <v/>
      </c>
      <c r="AC2520">
        <f>RAND()</f>
        <v/>
      </c>
      <c r="AD2520">
        <f>RAND()</f>
        <v/>
      </c>
      <c r="AE2520">
        <f>RAND()</f>
        <v/>
      </c>
      <c r="AF2520">
        <f>RAND()</f>
        <v/>
      </c>
    </row>
    <row r="2521">
      <c r="M2521" s="14">
        <f>_xlfn.BETA.INV($AA2521,1+4*($D$5-$C$5)/($E$5-$C$5),1+4*($E$5-$D$5)/($E$5-$C$5),$C$5,$E$5)</f>
        <v/>
      </c>
      <c r="N2521" s="14">
        <f>IF($AB2521&lt;($D$6-$C$6)/($E$6-$C$6),$C$6+SQRT($AB2521*($E$6-$C$6)*($D$6-$C$6)),$E$6-SQRT((1-$AB2521)*($E$6-$C$6)*($E$6-$D$6)))</f>
        <v/>
      </c>
      <c r="O2521" s="14">
        <f>_xlfn.NORM.INV($AC2521,$C$7,$D$7)</f>
        <v/>
      </c>
      <c r="P2521" s="14">
        <f>$C$8+($D$8-$C$8)*$AD2521</f>
        <v/>
      </c>
      <c r="Q2521" s="14">
        <f>$C$9</f>
        <v/>
      </c>
      <c r="R2521" s="14">
        <f>_xlfn.LOGNORM.INV($AF2521,LN($C$10)-0.5*LN(1+($D$10/$C$10)^2),SQRT(LN(1+($D$10/$C$10)^2)))</f>
        <v/>
      </c>
      <c r="S2521" s="14">
        <f>SUM(M2521:R2521)</f>
        <v/>
      </c>
      <c r="AA2521">
        <f>RAND()</f>
        <v/>
      </c>
      <c r="AB2521">
        <f>RAND()</f>
        <v/>
      </c>
      <c r="AC2521">
        <f>RAND()</f>
        <v/>
      </c>
      <c r="AD2521">
        <f>RAND()</f>
        <v/>
      </c>
      <c r="AE2521">
        <f>RAND()</f>
        <v/>
      </c>
      <c r="AF2521">
        <f>RAND()</f>
        <v/>
      </c>
    </row>
    <row r="2522">
      <c r="M2522" s="14">
        <f>_xlfn.BETA.INV($AA2522,1+4*($D$5-$C$5)/($E$5-$C$5),1+4*($E$5-$D$5)/($E$5-$C$5),$C$5,$E$5)</f>
        <v/>
      </c>
      <c r="N2522" s="14">
        <f>IF($AB2522&lt;($D$6-$C$6)/($E$6-$C$6),$C$6+SQRT($AB2522*($E$6-$C$6)*($D$6-$C$6)),$E$6-SQRT((1-$AB2522)*($E$6-$C$6)*($E$6-$D$6)))</f>
        <v/>
      </c>
      <c r="O2522" s="14">
        <f>_xlfn.NORM.INV($AC2522,$C$7,$D$7)</f>
        <v/>
      </c>
      <c r="P2522" s="14">
        <f>$C$8+($D$8-$C$8)*$AD2522</f>
        <v/>
      </c>
      <c r="Q2522" s="14">
        <f>$C$9</f>
        <v/>
      </c>
      <c r="R2522" s="14">
        <f>_xlfn.LOGNORM.INV($AF2522,LN($C$10)-0.5*LN(1+($D$10/$C$10)^2),SQRT(LN(1+($D$10/$C$10)^2)))</f>
        <v/>
      </c>
      <c r="S2522" s="14">
        <f>SUM(M2522:R2522)</f>
        <v/>
      </c>
      <c r="AA2522">
        <f>RAND()</f>
        <v/>
      </c>
      <c r="AB2522">
        <f>RAND()</f>
        <v/>
      </c>
      <c r="AC2522">
        <f>RAND()</f>
        <v/>
      </c>
      <c r="AD2522">
        <f>RAND()</f>
        <v/>
      </c>
      <c r="AE2522">
        <f>RAND()</f>
        <v/>
      </c>
      <c r="AF2522">
        <f>RAND()</f>
        <v/>
      </c>
    </row>
    <row r="2523">
      <c r="M2523" s="14">
        <f>_xlfn.BETA.INV($AA2523,1+4*($D$5-$C$5)/($E$5-$C$5),1+4*($E$5-$D$5)/($E$5-$C$5),$C$5,$E$5)</f>
        <v/>
      </c>
      <c r="N2523" s="14">
        <f>IF($AB2523&lt;($D$6-$C$6)/($E$6-$C$6),$C$6+SQRT($AB2523*($E$6-$C$6)*($D$6-$C$6)),$E$6-SQRT((1-$AB2523)*($E$6-$C$6)*($E$6-$D$6)))</f>
        <v/>
      </c>
      <c r="O2523" s="14">
        <f>_xlfn.NORM.INV($AC2523,$C$7,$D$7)</f>
        <v/>
      </c>
      <c r="P2523" s="14">
        <f>$C$8+($D$8-$C$8)*$AD2523</f>
        <v/>
      </c>
      <c r="Q2523" s="14">
        <f>$C$9</f>
        <v/>
      </c>
      <c r="R2523" s="14">
        <f>_xlfn.LOGNORM.INV($AF2523,LN($C$10)-0.5*LN(1+($D$10/$C$10)^2),SQRT(LN(1+($D$10/$C$10)^2)))</f>
        <v/>
      </c>
      <c r="S2523" s="14">
        <f>SUM(M2523:R2523)</f>
        <v/>
      </c>
      <c r="AA2523">
        <f>RAND()</f>
        <v/>
      </c>
      <c r="AB2523">
        <f>RAND()</f>
        <v/>
      </c>
      <c r="AC2523">
        <f>RAND()</f>
        <v/>
      </c>
      <c r="AD2523">
        <f>RAND()</f>
        <v/>
      </c>
      <c r="AE2523">
        <f>RAND()</f>
        <v/>
      </c>
      <c r="AF2523">
        <f>RAND()</f>
        <v/>
      </c>
    </row>
    <row r="2524">
      <c r="M2524" s="14">
        <f>_xlfn.BETA.INV($AA2524,1+4*($D$5-$C$5)/($E$5-$C$5),1+4*($E$5-$D$5)/($E$5-$C$5),$C$5,$E$5)</f>
        <v/>
      </c>
      <c r="N2524" s="14">
        <f>IF($AB2524&lt;($D$6-$C$6)/($E$6-$C$6),$C$6+SQRT($AB2524*($E$6-$C$6)*($D$6-$C$6)),$E$6-SQRT((1-$AB2524)*($E$6-$C$6)*($E$6-$D$6)))</f>
        <v/>
      </c>
      <c r="O2524" s="14">
        <f>_xlfn.NORM.INV($AC2524,$C$7,$D$7)</f>
        <v/>
      </c>
      <c r="P2524" s="14">
        <f>$C$8+($D$8-$C$8)*$AD2524</f>
        <v/>
      </c>
      <c r="Q2524" s="14">
        <f>$C$9</f>
        <v/>
      </c>
      <c r="R2524" s="14">
        <f>_xlfn.LOGNORM.INV($AF2524,LN($C$10)-0.5*LN(1+($D$10/$C$10)^2),SQRT(LN(1+($D$10/$C$10)^2)))</f>
        <v/>
      </c>
      <c r="S2524" s="14">
        <f>SUM(M2524:R2524)</f>
        <v/>
      </c>
      <c r="AA2524">
        <f>RAND()</f>
        <v/>
      </c>
      <c r="AB2524">
        <f>RAND()</f>
        <v/>
      </c>
      <c r="AC2524">
        <f>RAND()</f>
        <v/>
      </c>
      <c r="AD2524">
        <f>RAND()</f>
        <v/>
      </c>
      <c r="AE2524">
        <f>RAND()</f>
        <v/>
      </c>
      <c r="AF2524">
        <f>RAND()</f>
        <v/>
      </c>
    </row>
    <row r="2525">
      <c r="M2525" s="14">
        <f>_xlfn.BETA.INV($AA2525,1+4*($D$5-$C$5)/($E$5-$C$5),1+4*($E$5-$D$5)/($E$5-$C$5),$C$5,$E$5)</f>
        <v/>
      </c>
      <c r="N2525" s="14">
        <f>IF($AB2525&lt;($D$6-$C$6)/($E$6-$C$6),$C$6+SQRT($AB2525*($E$6-$C$6)*($D$6-$C$6)),$E$6-SQRT((1-$AB2525)*($E$6-$C$6)*($E$6-$D$6)))</f>
        <v/>
      </c>
      <c r="O2525" s="14">
        <f>_xlfn.NORM.INV($AC2525,$C$7,$D$7)</f>
        <v/>
      </c>
      <c r="P2525" s="14">
        <f>$C$8+($D$8-$C$8)*$AD2525</f>
        <v/>
      </c>
      <c r="Q2525" s="14">
        <f>$C$9</f>
        <v/>
      </c>
      <c r="R2525" s="14">
        <f>_xlfn.LOGNORM.INV($AF2525,LN($C$10)-0.5*LN(1+($D$10/$C$10)^2),SQRT(LN(1+($D$10/$C$10)^2)))</f>
        <v/>
      </c>
      <c r="S2525" s="14">
        <f>SUM(M2525:R2525)</f>
        <v/>
      </c>
      <c r="AA2525">
        <f>RAND()</f>
        <v/>
      </c>
      <c r="AB2525">
        <f>RAND()</f>
        <v/>
      </c>
      <c r="AC2525">
        <f>RAND()</f>
        <v/>
      </c>
      <c r="AD2525">
        <f>RAND()</f>
        <v/>
      </c>
      <c r="AE2525">
        <f>RAND()</f>
        <v/>
      </c>
      <c r="AF2525">
        <f>RAND()</f>
        <v/>
      </c>
    </row>
    <row r="2526">
      <c r="M2526" s="14">
        <f>_xlfn.BETA.INV($AA2526,1+4*($D$5-$C$5)/($E$5-$C$5),1+4*($E$5-$D$5)/($E$5-$C$5),$C$5,$E$5)</f>
        <v/>
      </c>
      <c r="N2526" s="14">
        <f>IF($AB2526&lt;($D$6-$C$6)/($E$6-$C$6),$C$6+SQRT($AB2526*($E$6-$C$6)*($D$6-$C$6)),$E$6-SQRT((1-$AB2526)*($E$6-$C$6)*($E$6-$D$6)))</f>
        <v/>
      </c>
      <c r="O2526" s="14">
        <f>_xlfn.NORM.INV($AC2526,$C$7,$D$7)</f>
        <v/>
      </c>
      <c r="P2526" s="14">
        <f>$C$8+($D$8-$C$8)*$AD2526</f>
        <v/>
      </c>
      <c r="Q2526" s="14">
        <f>$C$9</f>
        <v/>
      </c>
      <c r="R2526" s="14">
        <f>_xlfn.LOGNORM.INV($AF2526,LN($C$10)-0.5*LN(1+($D$10/$C$10)^2),SQRT(LN(1+($D$10/$C$10)^2)))</f>
        <v/>
      </c>
      <c r="S2526" s="14">
        <f>SUM(M2526:R2526)</f>
        <v/>
      </c>
      <c r="AA2526">
        <f>RAND()</f>
        <v/>
      </c>
      <c r="AB2526">
        <f>RAND()</f>
        <v/>
      </c>
      <c r="AC2526">
        <f>RAND()</f>
        <v/>
      </c>
      <c r="AD2526">
        <f>RAND()</f>
        <v/>
      </c>
      <c r="AE2526">
        <f>RAND()</f>
        <v/>
      </c>
      <c r="AF2526">
        <f>RAND()</f>
        <v/>
      </c>
    </row>
    <row r="2527">
      <c r="M2527" s="14">
        <f>_xlfn.BETA.INV($AA2527,1+4*($D$5-$C$5)/($E$5-$C$5),1+4*($E$5-$D$5)/($E$5-$C$5),$C$5,$E$5)</f>
        <v/>
      </c>
      <c r="N2527" s="14">
        <f>IF($AB2527&lt;($D$6-$C$6)/($E$6-$C$6),$C$6+SQRT($AB2527*($E$6-$C$6)*($D$6-$C$6)),$E$6-SQRT((1-$AB2527)*($E$6-$C$6)*($E$6-$D$6)))</f>
        <v/>
      </c>
      <c r="O2527" s="14">
        <f>_xlfn.NORM.INV($AC2527,$C$7,$D$7)</f>
        <v/>
      </c>
      <c r="P2527" s="14">
        <f>$C$8+($D$8-$C$8)*$AD2527</f>
        <v/>
      </c>
      <c r="Q2527" s="14">
        <f>$C$9</f>
        <v/>
      </c>
      <c r="R2527" s="14">
        <f>_xlfn.LOGNORM.INV($AF2527,LN($C$10)-0.5*LN(1+($D$10/$C$10)^2),SQRT(LN(1+($D$10/$C$10)^2)))</f>
        <v/>
      </c>
      <c r="S2527" s="14">
        <f>SUM(M2527:R2527)</f>
        <v/>
      </c>
      <c r="AA2527">
        <f>RAND()</f>
        <v/>
      </c>
      <c r="AB2527">
        <f>RAND()</f>
        <v/>
      </c>
      <c r="AC2527">
        <f>RAND()</f>
        <v/>
      </c>
      <c r="AD2527">
        <f>RAND()</f>
        <v/>
      </c>
      <c r="AE2527">
        <f>RAND()</f>
        <v/>
      </c>
      <c r="AF2527">
        <f>RAND()</f>
        <v/>
      </c>
    </row>
    <row r="2528">
      <c r="M2528" s="14">
        <f>_xlfn.BETA.INV($AA2528,1+4*($D$5-$C$5)/($E$5-$C$5),1+4*($E$5-$D$5)/($E$5-$C$5),$C$5,$E$5)</f>
        <v/>
      </c>
      <c r="N2528" s="14">
        <f>IF($AB2528&lt;($D$6-$C$6)/($E$6-$C$6),$C$6+SQRT($AB2528*($E$6-$C$6)*($D$6-$C$6)),$E$6-SQRT((1-$AB2528)*($E$6-$C$6)*($E$6-$D$6)))</f>
        <v/>
      </c>
      <c r="O2528" s="14">
        <f>_xlfn.NORM.INV($AC2528,$C$7,$D$7)</f>
        <v/>
      </c>
      <c r="P2528" s="14">
        <f>$C$8+($D$8-$C$8)*$AD2528</f>
        <v/>
      </c>
      <c r="Q2528" s="14">
        <f>$C$9</f>
        <v/>
      </c>
      <c r="R2528" s="14">
        <f>_xlfn.LOGNORM.INV($AF2528,LN($C$10)-0.5*LN(1+($D$10/$C$10)^2),SQRT(LN(1+($D$10/$C$10)^2)))</f>
        <v/>
      </c>
      <c r="S2528" s="14">
        <f>SUM(M2528:R2528)</f>
        <v/>
      </c>
      <c r="AA2528">
        <f>RAND()</f>
        <v/>
      </c>
      <c r="AB2528">
        <f>RAND()</f>
        <v/>
      </c>
      <c r="AC2528">
        <f>RAND()</f>
        <v/>
      </c>
      <c r="AD2528">
        <f>RAND()</f>
        <v/>
      </c>
      <c r="AE2528">
        <f>RAND()</f>
        <v/>
      </c>
      <c r="AF2528">
        <f>RAND()</f>
        <v/>
      </c>
    </row>
    <row r="2529">
      <c r="M2529" s="14">
        <f>_xlfn.BETA.INV($AA2529,1+4*($D$5-$C$5)/($E$5-$C$5),1+4*($E$5-$D$5)/($E$5-$C$5),$C$5,$E$5)</f>
        <v/>
      </c>
      <c r="N2529" s="14">
        <f>IF($AB2529&lt;($D$6-$C$6)/($E$6-$C$6),$C$6+SQRT($AB2529*($E$6-$C$6)*($D$6-$C$6)),$E$6-SQRT((1-$AB2529)*($E$6-$C$6)*($E$6-$D$6)))</f>
        <v/>
      </c>
      <c r="O2529" s="14">
        <f>_xlfn.NORM.INV($AC2529,$C$7,$D$7)</f>
        <v/>
      </c>
      <c r="P2529" s="14">
        <f>$C$8+($D$8-$C$8)*$AD2529</f>
        <v/>
      </c>
      <c r="Q2529" s="14">
        <f>$C$9</f>
        <v/>
      </c>
      <c r="R2529" s="14">
        <f>_xlfn.LOGNORM.INV($AF2529,LN($C$10)-0.5*LN(1+($D$10/$C$10)^2),SQRT(LN(1+($D$10/$C$10)^2)))</f>
        <v/>
      </c>
      <c r="S2529" s="14">
        <f>SUM(M2529:R2529)</f>
        <v/>
      </c>
      <c r="AA2529">
        <f>RAND()</f>
        <v/>
      </c>
      <c r="AB2529">
        <f>RAND()</f>
        <v/>
      </c>
      <c r="AC2529">
        <f>RAND()</f>
        <v/>
      </c>
      <c r="AD2529">
        <f>RAND()</f>
        <v/>
      </c>
      <c r="AE2529">
        <f>RAND()</f>
        <v/>
      </c>
      <c r="AF2529">
        <f>RAND()</f>
        <v/>
      </c>
    </row>
    <row r="2530">
      <c r="M2530" s="14">
        <f>_xlfn.BETA.INV($AA2530,1+4*($D$5-$C$5)/($E$5-$C$5),1+4*($E$5-$D$5)/($E$5-$C$5),$C$5,$E$5)</f>
        <v/>
      </c>
      <c r="N2530" s="14">
        <f>IF($AB2530&lt;($D$6-$C$6)/($E$6-$C$6),$C$6+SQRT($AB2530*($E$6-$C$6)*($D$6-$C$6)),$E$6-SQRT((1-$AB2530)*($E$6-$C$6)*($E$6-$D$6)))</f>
        <v/>
      </c>
      <c r="O2530" s="14">
        <f>_xlfn.NORM.INV($AC2530,$C$7,$D$7)</f>
        <v/>
      </c>
      <c r="P2530" s="14">
        <f>$C$8+($D$8-$C$8)*$AD2530</f>
        <v/>
      </c>
      <c r="Q2530" s="14">
        <f>$C$9</f>
        <v/>
      </c>
      <c r="R2530" s="14">
        <f>_xlfn.LOGNORM.INV($AF2530,LN($C$10)-0.5*LN(1+($D$10/$C$10)^2),SQRT(LN(1+($D$10/$C$10)^2)))</f>
        <v/>
      </c>
      <c r="S2530" s="14">
        <f>SUM(M2530:R2530)</f>
        <v/>
      </c>
      <c r="AA2530">
        <f>RAND()</f>
        <v/>
      </c>
      <c r="AB2530">
        <f>RAND()</f>
        <v/>
      </c>
      <c r="AC2530">
        <f>RAND()</f>
        <v/>
      </c>
      <c r="AD2530">
        <f>RAND()</f>
        <v/>
      </c>
      <c r="AE2530">
        <f>RAND()</f>
        <v/>
      </c>
      <c r="AF2530">
        <f>RAND()</f>
        <v/>
      </c>
    </row>
    <row r="2531">
      <c r="M2531" s="14">
        <f>_xlfn.BETA.INV($AA2531,1+4*($D$5-$C$5)/($E$5-$C$5),1+4*($E$5-$D$5)/($E$5-$C$5),$C$5,$E$5)</f>
        <v/>
      </c>
      <c r="N2531" s="14">
        <f>IF($AB2531&lt;($D$6-$C$6)/($E$6-$C$6),$C$6+SQRT($AB2531*($E$6-$C$6)*($D$6-$C$6)),$E$6-SQRT((1-$AB2531)*($E$6-$C$6)*($E$6-$D$6)))</f>
        <v/>
      </c>
      <c r="O2531" s="14">
        <f>_xlfn.NORM.INV($AC2531,$C$7,$D$7)</f>
        <v/>
      </c>
      <c r="P2531" s="14">
        <f>$C$8+($D$8-$C$8)*$AD2531</f>
        <v/>
      </c>
      <c r="Q2531" s="14">
        <f>$C$9</f>
        <v/>
      </c>
      <c r="R2531" s="14">
        <f>_xlfn.LOGNORM.INV($AF2531,LN($C$10)-0.5*LN(1+($D$10/$C$10)^2),SQRT(LN(1+($D$10/$C$10)^2)))</f>
        <v/>
      </c>
      <c r="S2531" s="14">
        <f>SUM(M2531:R2531)</f>
        <v/>
      </c>
      <c r="AA2531">
        <f>RAND()</f>
        <v/>
      </c>
      <c r="AB2531">
        <f>RAND()</f>
        <v/>
      </c>
      <c r="AC2531">
        <f>RAND()</f>
        <v/>
      </c>
      <c r="AD2531">
        <f>RAND()</f>
        <v/>
      </c>
      <c r="AE2531">
        <f>RAND()</f>
        <v/>
      </c>
      <c r="AF2531">
        <f>RAND()</f>
        <v/>
      </c>
    </row>
    <row r="2532">
      <c r="M2532" s="14">
        <f>_xlfn.BETA.INV($AA2532,1+4*($D$5-$C$5)/($E$5-$C$5),1+4*($E$5-$D$5)/($E$5-$C$5),$C$5,$E$5)</f>
        <v/>
      </c>
      <c r="N2532" s="14">
        <f>IF($AB2532&lt;($D$6-$C$6)/($E$6-$C$6),$C$6+SQRT($AB2532*($E$6-$C$6)*($D$6-$C$6)),$E$6-SQRT((1-$AB2532)*($E$6-$C$6)*($E$6-$D$6)))</f>
        <v/>
      </c>
      <c r="O2532" s="14">
        <f>_xlfn.NORM.INV($AC2532,$C$7,$D$7)</f>
        <v/>
      </c>
      <c r="P2532" s="14">
        <f>$C$8+($D$8-$C$8)*$AD2532</f>
        <v/>
      </c>
      <c r="Q2532" s="14">
        <f>$C$9</f>
        <v/>
      </c>
      <c r="R2532" s="14">
        <f>_xlfn.LOGNORM.INV($AF2532,LN($C$10)-0.5*LN(1+($D$10/$C$10)^2),SQRT(LN(1+($D$10/$C$10)^2)))</f>
        <v/>
      </c>
      <c r="S2532" s="14">
        <f>SUM(M2532:R2532)</f>
        <v/>
      </c>
      <c r="AA2532">
        <f>RAND()</f>
        <v/>
      </c>
      <c r="AB2532">
        <f>RAND()</f>
        <v/>
      </c>
      <c r="AC2532">
        <f>RAND()</f>
        <v/>
      </c>
      <c r="AD2532">
        <f>RAND()</f>
        <v/>
      </c>
      <c r="AE2532">
        <f>RAND()</f>
        <v/>
      </c>
      <c r="AF2532">
        <f>RAND()</f>
        <v/>
      </c>
    </row>
    <row r="2533">
      <c r="M2533" s="14">
        <f>_xlfn.BETA.INV($AA2533,1+4*($D$5-$C$5)/($E$5-$C$5),1+4*($E$5-$D$5)/($E$5-$C$5),$C$5,$E$5)</f>
        <v/>
      </c>
      <c r="N2533" s="14">
        <f>IF($AB2533&lt;($D$6-$C$6)/($E$6-$C$6),$C$6+SQRT($AB2533*($E$6-$C$6)*($D$6-$C$6)),$E$6-SQRT((1-$AB2533)*($E$6-$C$6)*($E$6-$D$6)))</f>
        <v/>
      </c>
      <c r="O2533" s="14">
        <f>_xlfn.NORM.INV($AC2533,$C$7,$D$7)</f>
        <v/>
      </c>
      <c r="P2533" s="14">
        <f>$C$8+($D$8-$C$8)*$AD2533</f>
        <v/>
      </c>
      <c r="Q2533" s="14">
        <f>$C$9</f>
        <v/>
      </c>
      <c r="R2533" s="14">
        <f>_xlfn.LOGNORM.INV($AF2533,LN($C$10)-0.5*LN(1+($D$10/$C$10)^2),SQRT(LN(1+($D$10/$C$10)^2)))</f>
        <v/>
      </c>
      <c r="S2533" s="14">
        <f>SUM(M2533:R2533)</f>
        <v/>
      </c>
      <c r="AA2533">
        <f>RAND()</f>
        <v/>
      </c>
      <c r="AB2533">
        <f>RAND()</f>
        <v/>
      </c>
      <c r="AC2533">
        <f>RAND()</f>
        <v/>
      </c>
      <c r="AD2533">
        <f>RAND()</f>
        <v/>
      </c>
      <c r="AE2533">
        <f>RAND()</f>
        <v/>
      </c>
      <c r="AF2533">
        <f>RAND()</f>
        <v/>
      </c>
    </row>
    <row r="2534">
      <c r="M2534" s="14">
        <f>_xlfn.BETA.INV($AA2534,1+4*($D$5-$C$5)/($E$5-$C$5),1+4*($E$5-$D$5)/($E$5-$C$5),$C$5,$E$5)</f>
        <v/>
      </c>
      <c r="N2534" s="14">
        <f>IF($AB2534&lt;($D$6-$C$6)/($E$6-$C$6),$C$6+SQRT($AB2534*($E$6-$C$6)*($D$6-$C$6)),$E$6-SQRT((1-$AB2534)*($E$6-$C$6)*($E$6-$D$6)))</f>
        <v/>
      </c>
      <c r="O2534" s="14">
        <f>_xlfn.NORM.INV($AC2534,$C$7,$D$7)</f>
        <v/>
      </c>
      <c r="P2534" s="14">
        <f>$C$8+($D$8-$C$8)*$AD2534</f>
        <v/>
      </c>
      <c r="Q2534" s="14">
        <f>$C$9</f>
        <v/>
      </c>
      <c r="R2534" s="14">
        <f>_xlfn.LOGNORM.INV($AF2534,LN($C$10)-0.5*LN(1+($D$10/$C$10)^2),SQRT(LN(1+($D$10/$C$10)^2)))</f>
        <v/>
      </c>
      <c r="S2534" s="14">
        <f>SUM(M2534:R2534)</f>
        <v/>
      </c>
      <c r="AA2534">
        <f>RAND()</f>
        <v/>
      </c>
      <c r="AB2534">
        <f>RAND()</f>
        <v/>
      </c>
      <c r="AC2534">
        <f>RAND()</f>
        <v/>
      </c>
      <c r="AD2534">
        <f>RAND()</f>
        <v/>
      </c>
      <c r="AE2534">
        <f>RAND()</f>
        <v/>
      </c>
      <c r="AF2534">
        <f>RAND()</f>
        <v/>
      </c>
    </row>
    <row r="2535">
      <c r="M2535" s="14">
        <f>_xlfn.BETA.INV($AA2535,1+4*($D$5-$C$5)/($E$5-$C$5),1+4*($E$5-$D$5)/($E$5-$C$5),$C$5,$E$5)</f>
        <v/>
      </c>
      <c r="N2535" s="14">
        <f>IF($AB2535&lt;($D$6-$C$6)/($E$6-$C$6),$C$6+SQRT($AB2535*($E$6-$C$6)*($D$6-$C$6)),$E$6-SQRT((1-$AB2535)*($E$6-$C$6)*($E$6-$D$6)))</f>
        <v/>
      </c>
      <c r="O2535" s="14">
        <f>_xlfn.NORM.INV($AC2535,$C$7,$D$7)</f>
        <v/>
      </c>
      <c r="P2535" s="14">
        <f>$C$8+($D$8-$C$8)*$AD2535</f>
        <v/>
      </c>
      <c r="Q2535" s="14">
        <f>$C$9</f>
        <v/>
      </c>
      <c r="R2535" s="14">
        <f>_xlfn.LOGNORM.INV($AF2535,LN($C$10)-0.5*LN(1+($D$10/$C$10)^2),SQRT(LN(1+($D$10/$C$10)^2)))</f>
        <v/>
      </c>
      <c r="S2535" s="14">
        <f>SUM(M2535:R2535)</f>
        <v/>
      </c>
      <c r="AA2535">
        <f>RAND()</f>
        <v/>
      </c>
      <c r="AB2535">
        <f>RAND()</f>
        <v/>
      </c>
      <c r="AC2535">
        <f>RAND()</f>
        <v/>
      </c>
      <c r="AD2535">
        <f>RAND()</f>
        <v/>
      </c>
      <c r="AE2535">
        <f>RAND()</f>
        <v/>
      </c>
      <c r="AF2535">
        <f>RAND()</f>
        <v/>
      </c>
    </row>
    <row r="2536">
      <c r="M2536" s="14">
        <f>_xlfn.BETA.INV($AA2536,1+4*($D$5-$C$5)/($E$5-$C$5),1+4*($E$5-$D$5)/($E$5-$C$5),$C$5,$E$5)</f>
        <v/>
      </c>
      <c r="N2536" s="14">
        <f>IF($AB2536&lt;($D$6-$C$6)/($E$6-$C$6),$C$6+SQRT($AB2536*($E$6-$C$6)*($D$6-$C$6)),$E$6-SQRT((1-$AB2536)*($E$6-$C$6)*($E$6-$D$6)))</f>
        <v/>
      </c>
      <c r="O2536" s="14">
        <f>_xlfn.NORM.INV($AC2536,$C$7,$D$7)</f>
        <v/>
      </c>
      <c r="P2536" s="14">
        <f>$C$8+($D$8-$C$8)*$AD2536</f>
        <v/>
      </c>
      <c r="Q2536" s="14">
        <f>$C$9</f>
        <v/>
      </c>
      <c r="R2536" s="14">
        <f>_xlfn.LOGNORM.INV($AF2536,LN($C$10)-0.5*LN(1+($D$10/$C$10)^2),SQRT(LN(1+($D$10/$C$10)^2)))</f>
        <v/>
      </c>
      <c r="S2536" s="14">
        <f>SUM(M2536:R2536)</f>
        <v/>
      </c>
      <c r="AA2536">
        <f>RAND()</f>
        <v/>
      </c>
      <c r="AB2536">
        <f>RAND()</f>
        <v/>
      </c>
      <c r="AC2536">
        <f>RAND()</f>
        <v/>
      </c>
      <c r="AD2536">
        <f>RAND()</f>
        <v/>
      </c>
      <c r="AE2536">
        <f>RAND()</f>
        <v/>
      </c>
      <c r="AF2536">
        <f>RAND()</f>
        <v/>
      </c>
    </row>
    <row r="2537">
      <c r="M2537" s="14">
        <f>_xlfn.BETA.INV($AA2537,1+4*($D$5-$C$5)/($E$5-$C$5),1+4*($E$5-$D$5)/($E$5-$C$5),$C$5,$E$5)</f>
        <v/>
      </c>
      <c r="N2537" s="14">
        <f>IF($AB2537&lt;($D$6-$C$6)/($E$6-$C$6),$C$6+SQRT($AB2537*($E$6-$C$6)*($D$6-$C$6)),$E$6-SQRT((1-$AB2537)*($E$6-$C$6)*($E$6-$D$6)))</f>
        <v/>
      </c>
      <c r="O2537" s="14">
        <f>_xlfn.NORM.INV($AC2537,$C$7,$D$7)</f>
        <v/>
      </c>
      <c r="P2537" s="14">
        <f>$C$8+($D$8-$C$8)*$AD2537</f>
        <v/>
      </c>
      <c r="Q2537" s="14">
        <f>$C$9</f>
        <v/>
      </c>
      <c r="R2537" s="14">
        <f>_xlfn.LOGNORM.INV($AF2537,LN($C$10)-0.5*LN(1+($D$10/$C$10)^2),SQRT(LN(1+($D$10/$C$10)^2)))</f>
        <v/>
      </c>
      <c r="S2537" s="14">
        <f>SUM(M2537:R2537)</f>
        <v/>
      </c>
      <c r="AA2537">
        <f>RAND()</f>
        <v/>
      </c>
      <c r="AB2537">
        <f>RAND()</f>
        <v/>
      </c>
      <c r="AC2537">
        <f>RAND()</f>
        <v/>
      </c>
      <c r="AD2537">
        <f>RAND()</f>
        <v/>
      </c>
      <c r="AE2537">
        <f>RAND()</f>
        <v/>
      </c>
      <c r="AF2537">
        <f>RAND()</f>
        <v/>
      </c>
    </row>
    <row r="2538">
      <c r="M2538" s="14">
        <f>_xlfn.BETA.INV($AA2538,1+4*($D$5-$C$5)/($E$5-$C$5),1+4*($E$5-$D$5)/($E$5-$C$5),$C$5,$E$5)</f>
        <v/>
      </c>
      <c r="N2538" s="14">
        <f>IF($AB2538&lt;($D$6-$C$6)/($E$6-$C$6),$C$6+SQRT($AB2538*($E$6-$C$6)*($D$6-$C$6)),$E$6-SQRT((1-$AB2538)*($E$6-$C$6)*($E$6-$D$6)))</f>
        <v/>
      </c>
      <c r="O2538" s="14">
        <f>_xlfn.NORM.INV($AC2538,$C$7,$D$7)</f>
        <v/>
      </c>
      <c r="P2538" s="14">
        <f>$C$8+($D$8-$C$8)*$AD2538</f>
        <v/>
      </c>
      <c r="Q2538" s="14">
        <f>$C$9</f>
        <v/>
      </c>
      <c r="R2538" s="14">
        <f>_xlfn.LOGNORM.INV($AF2538,LN($C$10)-0.5*LN(1+($D$10/$C$10)^2),SQRT(LN(1+($D$10/$C$10)^2)))</f>
        <v/>
      </c>
      <c r="S2538" s="14">
        <f>SUM(M2538:R2538)</f>
        <v/>
      </c>
      <c r="AA2538">
        <f>RAND()</f>
        <v/>
      </c>
      <c r="AB2538">
        <f>RAND()</f>
        <v/>
      </c>
      <c r="AC2538">
        <f>RAND()</f>
        <v/>
      </c>
      <c r="AD2538">
        <f>RAND()</f>
        <v/>
      </c>
      <c r="AE2538">
        <f>RAND()</f>
        <v/>
      </c>
      <c r="AF2538">
        <f>RAND()</f>
        <v/>
      </c>
    </row>
    <row r="2539">
      <c r="M2539" s="14">
        <f>_xlfn.BETA.INV($AA2539,1+4*($D$5-$C$5)/($E$5-$C$5),1+4*($E$5-$D$5)/($E$5-$C$5),$C$5,$E$5)</f>
        <v/>
      </c>
      <c r="N2539" s="14">
        <f>IF($AB2539&lt;($D$6-$C$6)/($E$6-$C$6),$C$6+SQRT($AB2539*($E$6-$C$6)*($D$6-$C$6)),$E$6-SQRT((1-$AB2539)*($E$6-$C$6)*($E$6-$D$6)))</f>
        <v/>
      </c>
      <c r="O2539" s="14">
        <f>_xlfn.NORM.INV($AC2539,$C$7,$D$7)</f>
        <v/>
      </c>
      <c r="P2539" s="14">
        <f>$C$8+($D$8-$C$8)*$AD2539</f>
        <v/>
      </c>
      <c r="Q2539" s="14">
        <f>$C$9</f>
        <v/>
      </c>
      <c r="R2539" s="14">
        <f>_xlfn.LOGNORM.INV($AF2539,LN($C$10)-0.5*LN(1+($D$10/$C$10)^2),SQRT(LN(1+($D$10/$C$10)^2)))</f>
        <v/>
      </c>
      <c r="S2539" s="14">
        <f>SUM(M2539:R2539)</f>
        <v/>
      </c>
      <c r="AA2539">
        <f>RAND()</f>
        <v/>
      </c>
      <c r="AB2539">
        <f>RAND()</f>
        <v/>
      </c>
      <c r="AC2539">
        <f>RAND()</f>
        <v/>
      </c>
      <c r="AD2539">
        <f>RAND()</f>
        <v/>
      </c>
      <c r="AE2539">
        <f>RAND()</f>
        <v/>
      </c>
      <c r="AF2539">
        <f>RAND()</f>
        <v/>
      </c>
    </row>
    <row r="2540">
      <c r="M2540" s="14">
        <f>_xlfn.BETA.INV($AA2540,1+4*($D$5-$C$5)/($E$5-$C$5),1+4*($E$5-$D$5)/($E$5-$C$5),$C$5,$E$5)</f>
        <v/>
      </c>
      <c r="N2540" s="14">
        <f>IF($AB2540&lt;($D$6-$C$6)/($E$6-$C$6),$C$6+SQRT($AB2540*($E$6-$C$6)*($D$6-$C$6)),$E$6-SQRT((1-$AB2540)*($E$6-$C$6)*($E$6-$D$6)))</f>
        <v/>
      </c>
      <c r="O2540" s="14">
        <f>_xlfn.NORM.INV($AC2540,$C$7,$D$7)</f>
        <v/>
      </c>
      <c r="P2540" s="14">
        <f>$C$8+($D$8-$C$8)*$AD2540</f>
        <v/>
      </c>
      <c r="Q2540" s="14">
        <f>$C$9</f>
        <v/>
      </c>
      <c r="R2540" s="14">
        <f>_xlfn.LOGNORM.INV($AF2540,LN($C$10)-0.5*LN(1+($D$10/$C$10)^2),SQRT(LN(1+($D$10/$C$10)^2)))</f>
        <v/>
      </c>
      <c r="S2540" s="14">
        <f>SUM(M2540:R2540)</f>
        <v/>
      </c>
      <c r="AA2540">
        <f>RAND()</f>
        <v/>
      </c>
      <c r="AB2540">
        <f>RAND()</f>
        <v/>
      </c>
      <c r="AC2540">
        <f>RAND()</f>
        <v/>
      </c>
      <c r="AD2540">
        <f>RAND()</f>
        <v/>
      </c>
      <c r="AE2540">
        <f>RAND()</f>
        <v/>
      </c>
      <c r="AF2540">
        <f>RAND()</f>
        <v/>
      </c>
    </row>
    <row r="2541">
      <c r="M2541" s="14">
        <f>_xlfn.BETA.INV($AA2541,1+4*($D$5-$C$5)/($E$5-$C$5),1+4*($E$5-$D$5)/($E$5-$C$5),$C$5,$E$5)</f>
        <v/>
      </c>
      <c r="N2541" s="14">
        <f>IF($AB2541&lt;($D$6-$C$6)/($E$6-$C$6),$C$6+SQRT($AB2541*($E$6-$C$6)*($D$6-$C$6)),$E$6-SQRT((1-$AB2541)*($E$6-$C$6)*($E$6-$D$6)))</f>
        <v/>
      </c>
      <c r="O2541" s="14">
        <f>_xlfn.NORM.INV($AC2541,$C$7,$D$7)</f>
        <v/>
      </c>
      <c r="P2541" s="14">
        <f>$C$8+($D$8-$C$8)*$AD2541</f>
        <v/>
      </c>
      <c r="Q2541" s="14">
        <f>$C$9</f>
        <v/>
      </c>
      <c r="R2541" s="14">
        <f>_xlfn.LOGNORM.INV($AF2541,LN($C$10)-0.5*LN(1+($D$10/$C$10)^2),SQRT(LN(1+($D$10/$C$10)^2)))</f>
        <v/>
      </c>
      <c r="S2541" s="14">
        <f>SUM(M2541:R2541)</f>
        <v/>
      </c>
      <c r="AA2541">
        <f>RAND()</f>
        <v/>
      </c>
      <c r="AB2541">
        <f>RAND()</f>
        <v/>
      </c>
      <c r="AC2541">
        <f>RAND()</f>
        <v/>
      </c>
      <c r="AD2541">
        <f>RAND()</f>
        <v/>
      </c>
      <c r="AE2541">
        <f>RAND()</f>
        <v/>
      </c>
      <c r="AF2541">
        <f>RAND()</f>
        <v/>
      </c>
    </row>
    <row r="2542">
      <c r="M2542" s="14">
        <f>_xlfn.BETA.INV($AA2542,1+4*($D$5-$C$5)/($E$5-$C$5),1+4*($E$5-$D$5)/($E$5-$C$5),$C$5,$E$5)</f>
        <v/>
      </c>
      <c r="N2542" s="14">
        <f>IF($AB2542&lt;($D$6-$C$6)/($E$6-$C$6),$C$6+SQRT($AB2542*($E$6-$C$6)*($D$6-$C$6)),$E$6-SQRT((1-$AB2542)*($E$6-$C$6)*($E$6-$D$6)))</f>
        <v/>
      </c>
      <c r="O2542" s="14">
        <f>_xlfn.NORM.INV($AC2542,$C$7,$D$7)</f>
        <v/>
      </c>
      <c r="P2542" s="14">
        <f>$C$8+($D$8-$C$8)*$AD2542</f>
        <v/>
      </c>
      <c r="Q2542" s="14">
        <f>$C$9</f>
        <v/>
      </c>
      <c r="R2542" s="14">
        <f>_xlfn.LOGNORM.INV($AF2542,LN($C$10)-0.5*LN(1+($D$10/$C$10)^2),SQRT(LN(1+($D$10/$C$10)^2)))</f>
        <v/>
      </c>
      <c r="S2542" s="14">
        <f>SUM(M2542:R2542)</f>
        <v/>
      </c>
      <c r="AA2542">
        <f>RAND()</f>
        <v/>
      </c>
      <c r="AB2542">
        <f>RAND()</f>
        <v/>
      </c>
      <c r="AC2542">
        <f>RAND()</f>
        <v/>
      </c>
      <c r="AD2542">
        <f>RAND()</f>
        <v/>
      </c>
      <c r="AE2542">
        <f>RAND()</f>
        <v/>
      </c>
      <c r="AF2542">
        <f>RAND()</f>
        <v/>
      </c>
    </row>
    <row r="2543">
      <c r="M2543" s="14">
        <f>_xlfn.BETA.INV($AA2543,1+4*($D$5-$C$5)/($E$5-$C$5),1+4*($E$5-$D$5)/($E$5-$C$5),$C$5,$E$5)</f>
        <v/>
      </c>
      <c r="N2543" s="14">
        <f>IF($AB2543&lt;($D$6-$C$6)/($E$6-$C$6),$C$6+SQRT($AB2543*($E$6-$C$6)*($D$6-$C$6)),$E$6-SQRT((1-$AB2543)*($E$6-$C$6)*($E$6-$D$6)))</f>
        <v/>
      </c>
      <c r="O2543" s="14">
        <f>_xlfn.NORM.INV($AC2543,$C$7,$D$7)</f>
        <v/>
      </c>
      <c r="P2543" s="14">
        <f>$C$8+($D$8-$C$8)*$AD2543</f>
        <v/>
      </c>
      <c r="Q2543" s="14">
        <f>$C$9</f>
        <v/>
      </c>
      <c r="R2543" s="14">
        <f>_xlfn.LOGNORM.INV($AF2543,LN($C$10)-0.5*LN(1+($D$10/$C$10)^2),SQRT(LN(1+($D$10/$C$10)^2)))</f>
        <v/>
      </c>
      <c r="S2543" s="14">
        <f>SUM(M2543:R2543)</f>
        <v/>
      </c>
      <c r="AA2543">
        <f>RAND()</f>
        <v/>
      </c>
      <c r="AB2543">
        <f>RAND()</f>
        <v/>
      </c>
      <c r="AC2543">
        <f>RAND()</f>
        <v/>
      </c>
      <c r="AD2543">
        <f>RAND()</f>
        <v/>
      </c>
      <c r="AE2543">
        <f>RAND()</f>
        <v/>
      </c>
      <c r="AF2543">
        <f>RAND()</f>
        <v/>
      </c>
    </row>
    <row r="2544">
      <c r="M2544" s="14">
        <f>_xlfn.BETA.INV($AA2544,1+4*($D$5-$C$5)/($E$5-$C$5),1+4*($E$5-$D$5)/($E$5-$C$5),$C$5,$E$5)</f>
        <v/>
      </c>
      <c r="N2544" s="14">
        <f>IF($AB2544&lt;($D$6-$C$6)/($E$6-$C$6),$C$6+SQRT($AB2544*($E$6-$C$6)*($D$6-$C$6)),$E$6-SQRT((1-$AB2544)*($E$6-$C$6)*($E$6-$D$6)))</f>
        <v/>
      </c>
      <c r="O2544" s="14">
        <f>_xlfn.NORM.INV($AC2544,$C$7,$D$7)</f>
        <v/>
      </c>
      <c r="P2544" s="14">
        <f>$C$8+($D$8-$C$8)*$AD2544</f>
        <v/>
      </c>
      <c r="Q2544" s="14">
        <f>$C$9</f>
        <v/>
      </c>
      <c r="R2544" s="14">
        <f>_xlfn.LOGNORM.INV($AF2544,LN($C$10)-0.5*LN(1+($D$10/$C$10)^2),SQRT(LN(1+($D$10/$C$10)^2)))</f>
        <v/>
      </c>
      <c r="S2544" s="14">
        <f>SUM(M2544:R2544)</f>
        <v/>
      </c>
      <c r="AA2544">
        <f>RAND()</f>
        <v/>
      </c>
      <c r="AB2544">
        <f>RAND()</f>
        <v/>
      </c>
      <c r="AC2544">
        <f>RAND()</f>
        <v/>
      </c>
      <c r="AD2544">
        <f>RAND()</f>
        <v/>
      </c>
      <c r="AE2544">
        <f>RAND()</f>
        <v/>
      </c>
      <c r="AF2544">
        <f>RAND()</f>
        <v/>
      </c>
    </row>
    <row r="2545">
      <c r="M2545" s="14">
        <f>_xlfn.BETA.INV($AA2545,1+4*($D$5-$C$5)/($E$5-$C$5),1+4*($E$5-$D$5)/($E$5-$C$5),$C$5,$E$5)</f>
        <v/>
      </c>
      <c r="N2545" s="14">
        <f>IF($AB2545&lt;($D$6-$C$6)/($E$6-$C$6),$C$6+SQRT($AB2545*($E$6-$C$6)*($D$6-$C$6)),$E$6-SQRT((1-$AB2545)*($E$6-$C$6)*($E$6-$D$6)))</f>
        <v/>
      </c>
      <c r="O2545" s="14">
        <f>_xlfn.NORM.INV($AC2545,$C$7,$D$7)</f>
        <v/>
      </c>
      <c r="P2545" s="14">
        <f>$C$8+($D$8-$C$8)*$AD2545</f>
        <v/>
      </c>
      <c r="Q2545" s="14">
        <f>$C$9</f>
        <v/>
      </c>
      <c r="R2545" s="14">
        <f>_xlfn.LOGNORM.INV($AF2545,LN($C$10)-0.5*LN(1+($D$10/$C$10)^2),SQRT(LN(1+($D$10/$C$10)^2)))</f>
        <v/>
      </c>
      <c r="S2545" s="14">
        <f>SUM(M2545:R2545)</f>
        <v/>
      </c>
      <c r="AA2545">
        <f>RAND()</f>
        <v/>
      </c>
      <c r="AB2545">
        <f>RAND()</f>
        <v/>
      </c>
      <c r="AC2545">
        <f>RAND()</f>
        <v/>
      </c>
      <c r="AD2545">
        <f>RAND()</f>
        <v/>
      </c>
      <c r="AE2545">
        <f>RAND()</f>
        <v/>
      </c>
      <c r="AF2545">
        <f>RAND()</f>
        <v/>
      </c>
    </row>
    <row r="2546">
      <c r="M2546" s="14">
        <f>_xlfn.BETA.INV($AA2546,1+4*($D$5-$C$5)/($E$5-$C$5),1+4*($E$5-$D$5)/($E$5-$C$5),$C$5,$E$5)</f>
        <v/>
      </c>
      <c r="N2546" s="14">
        <f>IF($AB2546&lt;($D$6-$C$6)/($E$6-$C$6),$C$6+SQRT($AB2546*($E$6-$C$6)*($D$6-$C$6)),$E$6-SQRT((1-$AB2546)*($E$6-$C$6)*($E$6-$D$6)))</f>
        <v/>
      </c>
      <c r="O2546" s="14">
        <f>_xlfn.NORM.INV($AC2546,$C$7,$D$7)</f>
        <v/>
      </c>
      <c r="P2546" s="14">
        <f>$C$8+($D$8-$C$8)*$AD2546</f>
        <v/>
      </c>
      <c r="Q2546" s="14">
        <f>$C$9</f>
        <v/>
      </c>
      <c r="R2546" s="14">
        <f>_xlfn.LOGNORM.INV($AF2546,LN($C$10)-0.5*LN(1+($D$10/$C$10)^2),SQRT(LN(1+($D$10/$C$10)^2)))</f>
        <v/>
      </c>
      <c r="S2546" s="14">
        <f>SUM(M2546:R2546)</f>
        <v/>
      </c>
      <c r="AA2546">
        <f>RAND()</f>
        <v/>
      </c>
      <c r="AB2546">
        <f>RAND()</f>
        <v/>
      </c>
      <c r="AC2546">
        <f>RAND()</f>
        <v/>
      </c>
      <c r="AD2546">
        <f>RAND()</f>
        <v/>
      </c>
      <c r="AE2546">
        <f>RAND()</f>
        <v/>
      </c>
      <c r="AF2546">
        <f>RAND()</f>
        <v/>
      </c>
    </row>
    <row r="2547">
      <c r="M2547" s="14">
        <f>_xlfn.BETA.INV($AA2547,1+4*($D$5-$C$5)/($E$5-$C$5),1+4*($E$5-$D$5)/($E$5-$C$5),$C$5,$E$5)</f>
        <v/>
      </c>
      <c r="N2547" s="14">
        <f>IF($AB2547&lt;($D$6-$C$6)/($E$6-$C$6),$C$6+SQRT($AB2547*($E$6-$C$6)*($D$6-$C$6)),$E$6-SQRT((1-$AB2547)*($E$6-$C$6)*($E$6-$D$6)))</f>
        <v/>
      </c>
      <c r="O2547" s="14">
        <f>_xlfn.NORM.INV($AC2547,$C$7,$D$7)</f>
        <v/>
      </c>
      <c r="P2547" s="14">
        <f>$C$8+($D$8-$C$8)*$AD2547</f>
        <v/>
      </c>
      <c r="Q2547" s="14">
        <f>$C$9</f>
        <v/>
      </c>
      <c r="R2547" s="14">
        <f>_xlfn.LOGNORM.INV($AF2547,LN($C$10)-0.5*LN(1+($D$10/$C$10)^2),SQRT(LN(1+($D$10/$C$10)^2)))</f>
        <v/>
      </c>
      <c r="S2547" s="14">
        <f>SUM(M2547:R2547)</f>
        <v/>
      </c>
      <c r="AA2547">
        <f>RAND()</f>
        <v/>
      </c>
      <c r="AB2547">
        <f>RAND()</f>
        <v/>
      </c>
      <c r="AC2547">
        <f>RAND()</f>
        <v/>
      </c>
      <c r="AD2547">
        <f>RAND()</f>
        <v/>
      </c>
      <c r="AE2547">
        <f>RAND()</f>
        <v/>
      </c>
      <c r="AF2547">
        <f>RAND()</f>
        <v/>
      </c>
    </row>
    <row r="2548">
      <c r="M2548" s="14">
        <f>_xlfn.BETA.INV($AA2548,1+4*($D$5-$C$5)/($E$5-$C$5),1+4*($E$5-$D$5)/($E$5-$C$5),$C$5,$E$5)</f>
        <v/>
      </c>
      <c r="N2548" s="14">
        <f>IF($AB2548&lt;($D$6-$C$6)/($E$6-$C$6),$C$6+SQRT($AB2548*($E$6-$C$6)*($D$6-$C$6)),$E$6-SQRT((1-$AB2548)*($E$6-$C$6)*($E$6-$D$6)))</f>
        <v/>
      </c>
      <c r="O2548" s="14">
        <f>_xlfn.NORM.INV($AC2548,$C$7,$D$7)</f>
        <v/>
      </c>
      <c r="P2548" s="14">
        <f>$C$8+($D$8-$C$8)*$AD2548</f>
        <v/>
      </c>
      <c r="Q2548" s="14">
        <f>$C$9</f>
        <v/>
      </c>
      <c r="R2548" s="14">
        <f>_xlfn.LOGNORM.INV($AF2548,LN($C$10)-0.5*LN(1+($D$10/$C$10)^2),SQRT(LN(1+($D$10/$C$10)^2)))</f>
        <v/>
      </c>
      <c r="S2548" s="14">
        <f>SUM(M2548:R2548)</f>
        <v/>
      </c>
      <c r="AA2548">
        <f>RAND()</f>
        <v/>
      </c>
      <c r="AB2548">
        <f>RAND()</f>
        <v/>
      </c>
      <c r="AC2548">
        <f>RAND()</f>
        <v/>
      </c>
      <c r="AD2548">
        <f>RAND()</f>
        <v/>
      </c>
      <c r="AE2548">
        <f>RAND()</f>
        <v/>
      </c>
      <c r="AF2548">
        <f>RAND()</f>
        <v/>
      </c>
    </row>
    <row r="2549">
      <c r="M2549" s="14">
        <f>_xlfn.BETA.INV($AA2549,1+4*($D$5-$C$5)/($E$5-$C$5),1+4*($E$5-$D$5)/($E$5-$C$5),$C$5,$E$5)</f>
        <v/>
      </c>
      <c r="N2549" s="14">
        <f>IF($AB2549&lt;($D$6-$C$6)/($E$6-$C$6),$C$6+SQRT($AB2549*($E$6-$C$6)*($D$6-$C$6)),$E$6-SQRT((1-$AB2549)*($E$6-$C$6)*($E$6-$D$6)))</f>
        <v/>
      </c>
      <c r="O2549" s="14">
        <f>_xlfn.NORM.INV($AC2549,$C$7,$D$7)</f>
        <v/>
      </c>
      <c r="P2549" s="14">
        <f>$C$8+($D$8-$C$8)*$AD2549</f>
        <v/>
      </c>
      <c r="Q2549" s="14">
        <f>$C$9</f>
        <v/>
      </c>
      <c r="R2549" s="14">
        <f>_xlfn.LOGNORM.INV($AF2549,LN($C$10)-0.5*LN(1+($D$10/$C$10)^2),SQRT(LN(1+($D$10/$C$10)^2)))</f>
        <v/>
      </c>
      <c r="S2549" s="14">
        <f>SUM(M2549:R2549)</f>
        <v/>
      </c>
      <c r="AA2549">
        <f>RAND()</f>
        <v/>
      </c>
      <c r="AB2549">
        <f>RAND()</f>
        <v/>
      </c>
      <c r="AC2549">
        <f>RAND()</f>
        <v/>
      </c>
      <c r="AD2549">
        <f>RAND()</f>
        <v/>
      </c>
      <c r="AE2549">
        <f>RAND()</f>
        <v/>
      </c>
      <c r="AF2549">
        <f>RAND()</f>
        <v/>
      </c>
    </row>
    <row r="2550">
      <c r="M2550" s="14">
        <f>_xlfn.BETA.INV($AA2550,1+4*($D$5-$C$5)/($E$5-$C$5),1+4*($E$5-$D$5)/($E$5-$C$5),$C$5,$E$5)</f>
        <v/>
      </c>
      <c r="N2550" s="14">
        <f>IF($AB2550&lt;($D$6-$C$6)/($E$6-$C$6),$C$6+SQRT($AB2550*($E$6-$C$6)*($D$6-$C$6)),$E$6-SQRT((1-$AB2550)*($E$6-$C$6)*($E$6-$D$6)))</f>
        <v/>
      </c>
      <c r="O2550" s="14">
        <f>_xlfn.NORM.INV($AC2550,$C$7,$D$7)</f>
        <v/>
      </c>
      <c r="P2550" s="14">
        <f>$C$8+($D$8-$C$8)*$AD2550</f>
        <v/>
      </c>
      <c r="Q2550" s="14">
        <f>$C$9</f>
        <v/>
      </c>
      <c r="R2550" s="14">
        <f>_xlfn.LOGNORM.INV($AF2550,LN($C$10)-0.5*LN(1+($D$10/$C$10)^2),SQRT(LN(1+($D$10/$C$10)^2)))</f>
        <v/>
      </c>
      <c r="S2550" s="14">
        <f>SUM(M2550:R2550)</f>
        <v/>
      </c>
      <c r="AA2550">
        <f>RAND()</f>
        <v/>
      </c>
      <c r="AB2550">
        <f>RAND()</f>
        <v/>
      </c>
      <c r="AC2550">
        <f>RAND()</f>
        <v/>
      </c>
      <c r="AD2550">
        <f>RAND()</f>
        <v/>
      </c>
      <c r="AE2550">
        <f>RAND()</f>
        <v/>
      </c>
      <c r="AF2550">
        <f>RAND()</f>
        <v/>
      </c>
    </row>
    <row r="2551">
      <c r="M2551" s="14">
        <f>_xlfn.BETA.INV($AA2551,1+4*($D$5-$C$5)/($E$5-$C$5),1+4*($E$5-$D$5)/($E$5-$C$5),$C$5,$E$5)</f>
        <v/>
      </c>
      <c r="N2551" s="14">
        <f>IF($AB2551&lt;($D$6-$C$6)/($E$6-$C$6),$C$6+SQRT($AB2551*($E$6-$C$6)*($D$6-$C$6)),$E$6-SQRT((1-$AB2551)*($E$6-$C$6)*($E$6-$D$6)))</f>
        <v/>
      </c>
      <c r="O2551" s="14">
        <f>_xlfn.NORM.INV($AC2551,$C$7,$D$7)</f>
        <v/>
      </c>
      <c r="P2551" s="14">
        <f>$C$8+($D$8-$C$8)*$AD2551</f>
        <v/>
      </c>
      <c r="Q2551" s="14">
        <f>$C$9</f>
        <v/>
      </c>
      <c r="R2551" s="14">
        <f>_xlfn.LOGNORM.INV($AF2551,LN($C$10)-0.5*LN(1+($D$10/$C$10)^2),SQRT(LN(1+($D$10/$C$10)^2)))</f>
        <v/>
      </c>
      <c r="S2551" s="14">
        <f>SUM(M2551:R2551)</f>
        <v/>
      </c>
      <c r="AA2551">
        <f>RAND()</f>
        <v/>
      </c>
      <c r="AB2551">
        <f>RAND()</f>
        <v/>
      </c>
      <c r="AC2551">
        <f>RAND()</f>
        <v/>
      </c>
      <c r="AD2551">
        <f>RAND()</f>
        <v/>
      </c>
      <c r="AE2551">
        <f>RAND()</f>
        <v/>
      </c>
      <c r="AF2551">
        <f>RAND()</f>
        <v/>
      </c>
    </row>
    <row r="2552">
      <c r="M2552" s="14">
        <f>_xlfn.BETA.INV($AA2552,1+4*($D$5-$C$5)/($E$5-$C$5),1+4*($E$5-$D$5)/($E$5-$C$5),$C$5,$E$5)</f>
        <v/>
      </c>
      <c r="N2552" s="14">
        <f>IF($AB2552&lt;($D$6-$C$6)/($E$6-$C$6),$C$6+SQRT($AB2552*($E$6-$C$6)*($D$6-$C$6)),$E$6-SQRT((1-$AB2552)*($E$6-$C$6)*($E$6-$D$6)))</f>
        <v/>
      </c>
      <c r="O2552" s="14">
        <f>_xlfn.NORM.INV($AC2552,$C$7,$D$7)</f>
        <v/>
      </c>
      <c r="P2552" s="14">
        <f>$C$8+($D$8-$C$8)*$AD2552</f>
        <v/>
      </c>
      <c r="Q2552" s="14">
        <f>$C$9</f>
        <v/>
      </c>
      <c r="R2552" s="14">
        <f>_xlfn.LOGNORM.INV($AF2552,LN($C$10)-0.5*LN(1+($D$10/$C$10)^2),SQRT(LN(1+($D$10/$C$10)^2)))</f>
        <v/>
      </c>
      <c r="S2552" s="14">
        <f>SUM(M2552:R2552)</f>
        <v/>
      </c>
      <c r="AA2552">
        <f>RAND()</f>
        <v/>
      </c>
      <c r="AB2552">
        <f>RAND()</f>
        <v/>
      </c>
      <c r="AC2552">
        <f>RAND()</f>
        <v/>
      </c>
      <c r="AD2552">
        <f>RAND()</f>
        <v/>
      </c>
      <c r="AE2552">
        <f>RAND()</f>
        <v/>
      </c>
      <c r="AF2552">
        <f>RAND()</f>
        <v/>
      </c>
    </row>
    <row r="2553">
      <c r="M2553" s="14">
        <f>_xlfn.BETA.INV($AA2553,1+4*($D$5-$C$5)/($E$5-$C$5),1+4*($E$5-$D$5)/($E$5-$C$5),$C$5,$E$5)</f>
        <v/>
      </c>
      <c r="N2553" s="14">
        <f>IF($AB2553&lt;($D$6-$C$6)/($E$6-$C$6),$C$6+SQRT($AB2553*($E$6-$C$6)*($D$6-$C$6)),$E$6-SQRT((1-$AB2553)*($E$6-$C$6)*($E$6-$D$6)))</f>
        <v/>
      </c>
      <c r="O2553" s="14">
        <f>_xlfn.NORM.INV($AC2553,$C$7,$D$7)</f>
        <v/>
      </c>
      <c r="P2553" s="14">
        <f>$C$8+($D$8-$C$8)*$AD2553</f>
        <v/>
      </c>
      <c r="Q2553" s="14">
        <f>$C$9</f>
        <v/>
      </c>
      <c r="R2553" s="14">
        <f>_xlfn.LOGNORM.INV($AF2553,LN($C$10)-0.5*LN(1+($D$10/$C$10)^2),SQRT(LN(1+($D$10/$C$10)^2)))</f>
        <v/>
      </c>
      <c r="S2553" s="14">
        <f>SUM(M2553:R2553)</f>
        <v/>
      </c>
      <c r="AA2553">
        <f>RAND()</f>
        <v/>
      </c>
      <c r="AB2553">
        <f>RAND()</f>
        <v/>
      </c>
      <c r="AC2553">
        <f>RAND()</f>
        <v/>
      </c>
      <c r="AD2553">
        <f>RAND()</f>
        <v/>
      </c>
      <c r="AE2553">
        <f>RAND()</f>
        <v/>
      </c>
      <c r="AF2553">
        <f>RAND()</f>
        <v/>
      </c>
    </row>
    <row r="2554">
      <c r="M2554" s="14">
        <f>_xlfn.BETA.INV($AA2554,1+4*($D$5-$C$5)/($E$5-$C$5),1+4*($E$5-$D$5)/($E$5-$C$5),$C$5,$E$5)</f>
        <v/>
      </c>
      <c r="N2554" s="14">
        <f>IF($AB2554&lt;($D$6-$C$6)/($E$6-$C$6),$C$6+SQRT($AB2554*($E$6-$C$6)*($D$6-$C$6)),$E$6-SQRT((1-$AB2554)*($E$6-$C$6)*($E$6-$D$6)))</f>
        <v/>
      </c>
      <c r="O2554" s="14">
        <f>_xlfn.NORM.INV($AC2554,$C$7,$D$7)</f>
        <v/>
      </c>
      <c r="P2554" s="14">
        <f>$C$8+($D$8-$C$8)*$AD2554</f>
        <v/>
      </c>
      <c r="Q2554" s="14">
        <f>$C$9</f>
        <v/>
      </c>
      <c r="R2554" s="14">
        <f>_xlfn.LOGNORM.INV($AF2554,LN($C$10)-0.5*LN(1+($D$10/$C$10)^2),SQRT(LN(1+($D$10/$C$10)^2)))</f>
        <v/>
      </c>
      <c r="S2554" s="14">
        <f>SUM(M2554:R2554)</f>
        <v/>
      </c>
      <c r="AA2554">
        <f>RAND()</f>
        <v/>
      </c>
      <c r="AB2554">
        <f>RAND()</f>
        <v/>
      </c>
      <c r="AC2554">
        <f>RAND()</f>
        <v/>
      </c>
      <c r="AD2554">
        <f>RAND()</f>
        <v/>
      </c>
      <c r="AE2554">
        <f>RAND()</f>
        <v/>
      </c>
      <c r="AF2554">
        <f>RAND()</f>
        <v/>
      </c>
    </row>
    <row r="2555">
      <c r="M2555" s="14">
        <f>_xlfn.BETA.INV($AA2555,1+4*($D$5-$C$5)/($E$5-$C$5),1+4*($E$5-$D$5)/($E$5-$C$5),$C$5,$E$5)</f>
        <v/>
      </c>
      <c r="N2555" s="14">
        <f>IF($AB2555&lt;($D$6-$C$6)/($E$6-$C$6),$C$6+SQRT($AB2555*($E$6-$C$6)*($D$6-$C$6)),$E$6-SQRT((1-$AB2555)*($E$6-$C$6)*($E$6-$D$6)))</f>
        <v/>
      </c>
      <c r="O2555" s="14">
        <f>_xlfn.NORM.INV($AC2555,$C$7,$D$7)</f>
        <v/>
      </c>
      <c r="P2555" s="14">
        <f>$C$8+($D$8-$C$8)*$AD2555</f>
        <v/>
      </c>
      <c r="Q2555" s="14">
        <f>$C$9</f>
        <v/>
      </c>
      <c r="R2555" s="14">
        <f>_xlfn.LOGNORM.INV($AF2555,LN($C$10)-0.5*LN(1+($D$10/$C$10)^2),SQRT(LN(1+($D$10/$C$10)^2)))</f>
        <v/>
      </c>
      <c r="S2555" s="14">
        <f>SUM(M2555:R2555)</f>
        <v/>
      </c>
      <c r="AA2555">
        <f>RAND()</f>
        <v/>
      </c>
      <c r="AB2555">
        <f>RAND()</f>
        <v/>
      </c>
      <c r="AC2555">
        <f>RAND()</f>
        <v/>
      </c>
      <c r="AD2555">
        <f>RAND()</f>
        <v/>
      </c>
      <c r="AE2555">
        <f>RAND()</f>
        <v/>
      </c>
      <c r="AF2555">
        <f>RAND()</f>
        <v/>
      </c>
    </row>
    <row r="2556">
      <c r="M2556" s="14">
        <f>_xlfn.BETA.INV($AA2556,1+4*($D$5-$C$5)/($E$5-$C$5),1+4*($E$5-$D$5)/($E$5-$C$5),$C$5,$E$5)</f>
        <v/>
      </c>
      <c r="N2556" s="14">
        <f>IF($AB2556&lt;($D$6-$C$6)/($E$6-$C$6),$C$6+SQRT($AB2556*($E$6-$C$6)*($D$6-$C$6)),$E$6-SQRT((1-$AB2556)*($E$6-$C$6)*($E$6-$D$6)))</f>
        <v/>
      </c>
      <c r="O2556" s="14">
        <f>_xlfn.NORM.INV($AC2556,$C$7,$D$7)</f>
        <v/>
      </c>
      <c r="P2556" s="14">
        <f>$C$8+($D$8-$C$8)*$AD2556</f>
        <v/>
      </c>
      <c r="Q2556" s="14">
        <f>$C$9</f>
        <v/>
      </c>
      <c r="R2556" s="14">
        <f>_xlfn.LOGNORM.INV($AF2556,LN($C$10)-0.5*LN(1+($D$10/$C$10)^2),SQRT(LN(1+($D$10/$C$10)^2)))</f>
        <v/>
      </c>
      <c r="S2556" s="14">
        <f>SUM(M2556:R2556)</f>
        <v/>
      </c>
      <c r="AA2556">
        <f>RAND()</f>
        <v/>
      </c>
      <c r="AB2556">
        <f>RAND()</f>
        <v/>
      </c>
      <c r="AC2556">
        <f>RAND()</f>
        <v/>
      </c>
      <c r="AD2556">
        <f>RAND()</f>
        <v/>
      </c>
      <c r="AE2556">
        <f>RAND()</f>
        <v/>
      </c>
      <c r="AF2556">
        <f>RAND()</f>
        <v/>
      </c>
    </row>
    <row r="2557">
      <c r="M2557" s="14">
        <f>_xlfn.BETA.INV($AA2557,1+4*($D$5-$C$5)/($E$5-$C$5),1+4*($E$5-$D$5)/($E$5-$C$5),$C$5,$E$5)</f>
        <v/>
      </c>
      <c r="N2557" s="14">
        <f>IF($AB2557&lt;($D$6-$C$6)/($E$6-$C$6),$C$6+SQRT($AB2557*($E$6-$C$6)*($D$6-$C$6)),$E$6-SQRT((1-$AB2557)*($E$6-$C$6)*($E$6-$D$6)))</f>
        <v/>
      </c>
      <c r="O2557" s="14">
        <f>_xlfn.NORM.INV($AC2557,$C$7,$D$7)</f>
        <v/>
      </c>
      <c r="P2557" s="14">
        <f>$C$8+($D$8-$C$8)*$AD2557</f>
        <v/>
      </c>
      <c r="Q2557" s="14">
        <f>$C$9</f>
        <v/>
      </c>
      <c r="R2557" s="14">
        <f>_xlfn.LOGNORM.INV($AF2557,LN($C$10)-0.5*LN(1+($D$10/$C$10)^2),SQRT(LN(1+($D$10/$C$10)^2)))</f>
        <v/>
      </c>
      <c r="S2557" s="14">
        <f>SUM(M2557:R2557)</f>
        <v/>
      </c>
      <c r="AA2557">
        <f>RAND()</f>
        <v/>
      </c>
      <c r="AB2557">
        <f>RAND()</f>
        <v/>
      </c>
      <c r="AC2557">
        <f>RAND()</f>
        <v/>
      </c>
      <c r="AD2557">
        <f>RAND()</f>
        <v/>
      </c>
      <c r="AE2557">
        <f>RAND()</f>
        <v/>
      </c>
      <c r="AF2557">
        <f>RAND()</f>
        <v/>
      </c>
    </row>
    <row r="2558">
      <c r="M2558" s="14">
        <f>_xlfn.BETA.INV($AA2558,1+4*($D$5-$C$5)/($E$5-$C$5),1+4*($E$5-$D$5)/($E$5-$C$5),$C$5,$E$5)</f>
        <v/>
      </c>
      <c r="N2558" s="14">
        <f>IF($AB2558&lt;($D$6-$C$6)/($E$6-$C$6),$C$6+SQRT($AB2558*($E$6-$C$6)*($D$6-$C$6)),$E$6-SQRT((1-$AB2558)*($E$6-$C$6)*($E$6-$D$6)))</f>
        <v/>
      </c>
      <c r="O2558" s="14">
        <f>_xlfn.NORM.INV($AC2558,$C$7,$D$7)</f>
        <v/>
      </c>
      <c r="P2558" s="14">
        <f>$C$8+($D$8-$C$8)*$AD2558</f>
        <v/>
      </c>
      <c r="Q2558" s="14">
        <f>$C$9</f>
        <v/>
      </c>
      <c r="R2558" s="14">
        <f>_xlfn.LOGNORM.INV($AF2558,LN($C$10)-0.5*LN(1+($D$10/$C$10)^2),SQRT(LN(1+($D$10/$C$10)^2)))</f>
        <v/>
      </c>
      <c r="S2558" s="14">
        <f>SUM(M2558:R2558)</f>
        <v/>
      </c>
      <c r="AA2558">
        <f>RAND()</f>
        <v/>
      </c>
      <c r="AB2558">
        <f>RAND()</f>
        <v/>
      </c>
      <c r="AC2558">
        <f>RAND()</f>
        <v/>
      </c>
      <c r="AD2558">
        <f>RAND()</f>
        <v/>
      </c>
      <c r="AE2558">
        <f>RAND()</f>
        <v/>
      </c>
      <c r="AF2558">
        <f>RAND()</f>
        <v/>
      </c>
    </row>
    <row r="2559">
      <c r="M2559" s="14">
        <f>_xlfn.BETA.INV($AA2559,1+4*($D$5-$C$5)/($E$5-$C$5),1+4*($E$5-$D$5)/($E$5-$C$5),$C$5,$E$5)</f>
        <v/>
      </c>
      <c r="N2559" s="14">
        <f>IF($AB2559&lt;($D$6-$C$6)/($E$6-$C$6),$C$6+SQRT($AB2559*($E$6-$C$6)*($D$6-$C$6)),$E$6-SQRT((1-$AB2559)*($E$6-$C$6)*($E$6-$D$6)))</f>
        <v/>
      </c>
      <c r="O2559" s="14">
        <f>_xlfn.NORM.INV($AC2559,$C$7,$D$7)</f>
        <v/>
      </c>
      <c r="P2559" s="14">
        <f>$C$8+($D$8-$C$8)*$AD2559</f>
        <v/>
      </c>
      <c r="Q2559" s="14">
        <f>$C$9</f>
        <v/>
      </c>
      <c r="R2559" s="14">
        <f>_xlfn.LOGNORM.INV($AF2559,LN($C$10)-0.5*LN(1+($D$10/$C$10)^2),SQRT(LN(1+($D$10/$C$10)^2)))</f>
        <v/>
      </c>
      <c r="S2559" s="14">
        <f>SUM(M2559:R2559)</f>
        <v/>
      </c>
      <c r="AA2559">
        <f>RAND()</f>
        <v/>
      </c>
      <c r="AB2559">
        <f>RAND()</f>
        <v/>
      </c>
      <c r="AC2559">
        <f>RAND()</f>
        <v/>
      </c>
      <c r="AD2559">
        <f>RAND()</f>
        <v/>
      </c>
      <c r="AE2559">
        <f>RAND()</f>
        <v/>
      </c>
      <c r="AF2559">
        <f>RAND()</f>
        <v/>
      </c>
    </row>
    <row r="2560">
      <c r="M2560" s="14">
        <f>_xlfn.BETA.INV($AA2560,1+4*($D$5-$C$5)/($E$5-$C$5),1+4*($E$5-$D$5)/($E$5-$C$5),$C$5,$E$5)</f>
        <v/>
      </c>
      <c r="N2560" s="14">
        <f>IF($AB2560&lt;($D$6-$C$6)/($E$6-$C$6),$C$6+SQRT($AB2560*($E$6-$C$6)*($D$6-$C$6)),$E$6-SQRT((1-$AB2560)*($E$6-$C$6)*($E$6-$D$6)))</f>
        <v/>
      </c>
      <c r="O2560" s="14">
        <f>_xlfn.NORM.INV($AC2560,$C$7,$D$7)</f>
        <v/>
      </c>
      <c r="P2560" s="14">
        <f>$C$8+($D$8-$C$8)*$AD2560</f>
        <v/>
      </c>
      <c r="Q2560" s="14">
        <f>$C$9</f>
        <v/>
      </c>
      <c r="R2560" s="14">
        <f>_xlfn.LOGNORM.INV($AF2560,LN($C$10)-0.5*LN(1+($D$10/$C$10)^2),SQRT(LN(1+($D$10/$C$10)^2)))</f>
        <v/>
      </c>
      <c r="S2560" s="14">
        <f>SUM(M2560:R2560)</f>
        <v/>
      </c>
      <c r="AA2560">
        <f>RAND()</f>
        <v/>
      </c>
      <c r="AB2560">
        <f>RAND()</f>
        <v/>
      </c>
      <c r="AC2560">
        <f>RAND()</f>
        <v/>
      </c>
      <c r="AD2560">
        <f>RAND()</f>
        <v/>
      </c>
      <c r="AE2560">
        <f>RAND()</f>
        <v/>
      </c>
      <c r="AF2560">
        <f>RAND()</f>
        <v/>
      </c>
    </row>
    <row r="2561">
      <c r="M2561" s="14">
        <f>_xlfn.BETA.INV($AA2561,1+4*($D$5-$C$5)/($E$5-$C$5),1+4*($E$5-$D$5)/($E$5-$C$5),$C$5,$E$5)</f>
        <v/>
      </c>
      <c r="N2561" s="14">
        <f>IF($AB2561&lt;($D$6-$C$6)/($E$6-$C$6),$C$6+SQRT($AB2561*($E$6-$C$6)*($D$6-$C$6)),$E$6-SQRT((1-$AB2561)*($E$6-$C$6)*($E$6-$D$6)))</f>
        <v/>
      </c>
      <c r="O2561" s="14">
        <f>_xlfn.NORM.INV($AC2561,$C$7,$D$7)</f>
        <v/>
      </c>
      <c r="P2561" s="14">
        <f>$C$8+($D$8-$C$8)*$AD2561</f>
        <v/>
      </c>
      <c r="Q2561" s="14">
        <f>$C$9</f>
        <v/>
      </c>
      <c r="R2561" s="14">
        <f>_xlfn.LOGNORM.INV($AF2561,LN($C$10)-0.5*LN(1+($D$10/$C$10)^2),SQRT(LN(1+($D$10/$C$10)^2)))</f>
        <v/>
      </c>
      <c r="S2561" s="14">
        <f>SUM(M2561:R2561)</f>
        <v/>
      </c>
      <c r="AA2561">
        <f>RAND()</f>
        <v/>
      </c>
      <c r="AB2561">
        <f>RAND()</f>
        <v/>
      </c>
      <c r="AC2561">
        <f>RAND()</f>
        <v/>
      </c>
      <c r="AD2561">
        <f>RAND()</f>
        <v/>
      </c>
      <c r="AE2561">
        <f>RAND()</f>
        <v/>
      </c>
      <c r="AF2561">
        <f>RAND()</f>
        <v/>
      </c>
    </row>
    <row r="2562">
      <c r="M2562" s="14">
        <f>_xlfn.BETA.INV($AA2562,1+4*($D$5-$C$5)/($E$5-$C$5),1+4*($E$5-$D$5)/($E$5-$C$5),$C$5,$E$5)</f>
        <v/>
      </c>
      <c r="N2562" s="14">
        <f>IF($AB2562&lt;($D$6-$C$6)/($E$6-$C$6),$C$6+SQRT($AB2562*($E$6-$C$6)*($D$6-$C$6)),$E$6-SQRT((1-$AB2562)*($E$6-$C$6)*($E$6-$D$6)))</f>
        <v/>
      </c>
      <c r="O2562" s="14">
        <f>_xlfn.NORM.INV($AC2562,$C$7,$D$7)</f>
        <v/>
      </c>
      <c r="P2562" s="14">
        <f>$C$8+($D$8-$C$8)*$AD2562</f>
        <v/>
      </c>
      <c r="Q2562" s="14">
        <f>$C$9</f>
        <v/>
      </c>
      <c r="R2562" s="14">
        <f>_xlfn.LOGNORM.INV($AF2562,LN($C$10)-0.5*LN(1+($D$10/$C$10)^2),SQRT(LN(1+($D$10/$C$10)^2)))</f>
        <v/>
      </c>
      <c r="S2562" s="14">
        <f>SUM(M2562:R2562)</f>
        <v/>
      </c>
      <c r="AA2562">
        <f>RAND()</f>
        <v/>
      </c>
      <c r="AB2562">
        <f>RAND()</f>
        <v/>
      </c>
      <c r="AC2562">
        <f>RAND()</f>
        <v/>
      </c>
      <c r="AD2562">
        <f>RAND()</f>
        <v/>
      </c>
      <c r="AE2562">
        <f>RAND()</f>
        <v/>
      </c>
      <c r="AF2562">
        <f>RAND()</f>
        <v/>
      </c>
    </row>
    <row r="2563">
      <c r="M2563" s="14">
        <f>_xlfn.BETA.INV($AA2563,1+4*($D$5-$C$5)/($E$5-$C$5),1+4*($E$5-$D$5)/($E$5-$C$5),$C$5,$E$5)</f>
        <v/>
      </c>
      <c r="N2563" s="14">
        <f>IF($AB2563&lt;($D$6-$C$6)/($E$6-$C$6),$C$6+SQRT($AB2563*($E$6-$C$6)*($D$6-$C$6)),$E$6-SQRT((1-$AB2563)*($E$6-$C$6)*($E$6-$D$6)))</f>
        <v/>
      </c>
      <c r="O2563" s="14">
        <f>_xlfn.NORM.INV($AC2563,$C$7,$D$7)</f>
        <v/>
      </c>
      <c r="P2563" s="14">
        <f>$C$8+($D$8-$C$8)*$AD2563</f>
        <v/>
      </c>
      <c r="Q2563" s="14">
        <f>$C$9</f>
        <v/>
      </c>
      <c r="R2563" s="14">
        <f>_xlfn.LOGNORM.INV($AF2563,LN($C$10)-0.5*LN(1+($D$10/$C$10)^2),SQRT(LN(1+($D$10/$C$10)^2)))</f>
        <v/>
      </c>
      <c r="S2563" s="14">
        <f>SUM(M2563:R2563)</f>
        <v/>
      </c>
      <c r="AA2563">
        <f>RAND()</f>
        <v/>
      </c>
      <c r="AB2563">
        <f>RAND()</f>
        <v/>
      </c>
      <c r="AC2563">
        <f>RAND()</f>
        <v/>
      </c>
      <c r="AD2563">
        <f>RAND()</f>
        <v/>
      </c>
      <c r="AE2563">
        <f>RAND()</f>
        <v/>
      </c>
      <c r="AF2563">
        <f>RAND()</f>
        <v/>
      </c>
    </row>
    <row r="2564">
      <c r="M2564" s="14">
        <f>_xlfn.BETA.INV($AA2564,1+4*($D$5-$C$5)/($E$5-$C$5),1+4*($E$5-$D$5)/($E$5-$C$5),$C$5,$E$5)</f>
        <v/>
      </c>
      <c r="N2564" s="14">
        <f>IF($AB2564&lt;($D$6-$C$6)/($E$6-$C$6),$C$6+SQRT($AB2564*($E$6-$C$6)*($D$6-$C$6)),$E$6-SQRT((1-$AB2564)*($E$6-$C$6)*($E$6-$D$6)))</f>
        <v/>
      </c>
      <c r="O2564" s="14">
        <f>_xlfn.NORM.INV($AC2564,$C$7,$D$7)</f>
        <v/>
      </c>
      <c r="P2564" s="14">
        <f>$C$8+($D$8-$C$8)*$AD2564</f>
        <v/>
      </c>
      <c r="Q2564" s="14">
        <f>$C$9</f>
        <v/>
      </c>
      <c r="R2564" s="14">
        <f>_xlfn.LOGNORM.INV($AF2564,LN($C$10)-0.5*LN(1+($D$10/$C$10)^2),SQRT(LN(1+($D$10/$C$10)^2)))</f>
        <v/>
      </c>
      <c r="S2564" s="14">
        <f>SUM(M2564:R2564)</f>
        <v/>
      </c>
      <c r="AA2564">
        <f>RAND()</f>
        <v/>
      </c>
      <c r="AB2564">
        <f>RAND()</f>
        <v/>
      </c>
      <c r="AC2564">
        <f>RAND()</f>
        <v/>
      </c>
      <c r="AD2564">
        <f>RAND()</f>
        <v/>
      </c>
      <c r="AE2564">
        <f>RAND()</f>
        <v/>
      </c>
      <c r="AF2564">
        <f>RAND()</f>
        <v/>
      </c>
    </row>
    <row r="2565">
      <c r="M2565" s="14">
        <f>_xlfn.BETA.INV($AA2565,1+4*($D$5-$C$5)/($E$5-$C$5),1+4*($E$5-$D$5)/($E$5-$C$5),$C$5,$E$5)</f>
        <v/>
      </c>
      <c r="N2565" s="14">
        <f>IF($AB2565&lt;($D$6-$C$6)/($E$6-$C$6),$C$6+SQRT($AB2565*($E$6-$C$6)*($D$6-$C$6)),$E$6-SQRT((1-$AB2565)*($E$6-$C$6)*($E$6-$D$6)))</f>
        <v/>
      </c>
      <c r="O2565" s="14">
        <f>_xlfn.NORM.INV($AC2565,$C$7,$D$7)</f>
        <v/>
      </c>
      <c r="P2565" s="14">
        <f>$C$8+($D$8-$C$8)*$AD2565</f>
        <v/>
      </c>
      <c r="Q2565" s="14">
        <f>$C$9</f>
        <v/>
      </c>
      <c r="R2565" s="14">
        <f>_xlfn.LOGNORM.INV($AF2565,LN($C$10)-0.5*LN(1+($D$10/$C$10)^2),SQRT(LN(1+($D$10/$C$10)^2)))</f>
        <v/>
      </c>
      <c r="S2565" s="14">
        <f>SUM(M2565:R2565)</f>
        <v/>
      </c>
      <c r="AA2565">
        <f>RAND()</f>
        <v/>
      </c>
      <c r="AB2565">
        <f>RAND()</f>
        <v/>
      </c>
      <c r="AC2565">
        <f>RAND()</f>
        <v/>
      </c>
      <c r="AD2565">
        <f>RAND()</f>
        <v/>
      </c>
      <c r="AE2565">
        <f>RAND()</f>
        <v/>
      </c>
      <c r="AF2565">
        <f>RAND()</f>
        <v/>
      </c>
    </row>
    <row r="2566">
      <c r="M2566" s="14">
        <f>_xlfn.BETA.INV($AA2566,1+4*($D$5-$C$5)/($E$5-$C$5),1+4*($E$5-$D$5)/($E$5-$C$5),$C$5,$E$5)</f>
        <v/>
      </c>
      <c r="N2566" s="14">
        <f>IF($AB2566&lt;($D$6-$C$6)/($E$6-$C$6),$C$6+SQRT($AB2566*($E$6-$C$6)*($D$6-$C$6)),$E$6-SQRT((1-$AB2566)*($E$6-$C$6)*($E$6-$D$6)))</f>
        <v/>
      </c>
      <c r="O2566" s="14">
        <f>_xlfn.NORM.INV($AC2566,$C$7,$D$7)</f>
        <v/>
      </c>
      <c r="P2566" s="14">
        <f>$C$8+($D$8-$C$8)*$AD2566</f>
        <v/>
      </c>
      <c r="Q2566" s="14">
        <f>$C$9</f>
        <v/>
      </c>
      <c r="R2566" s="14">
        <f>_xlfn.LOGNORM.INV($AF2566,LN($C$10)-0.5*LN(1+($D$10/$C$10)^2),SQRT(LN(1+($D$10/$C$10)^2)))</f>
        <v/>
      </c>
      <c r="S2566" s="14">
        <f>SUM(M2566:R2566)</f>
        <v/>
      </c>
      <c r="AA2566">
        <f>RAND()</f>
        <v/>
      </c>
      <c r="AB2566">
        <f>RAND()</f>
        <v/>
      </c>
      <c r="AC2566">
        <f>RAND()</f>
        <v/>
      </c>
      <c r="AD2566">
        <f>RAND()</f>
        <v/>
      </c>
      <c r="AE2566">
        <f>RAND()</f>
        <v/>
      </c>
      <c r="AF2566">
        <f>RAND()</f>
        <v/>
      </c>
    </row>
    <row r="2567">
      <c r="M2567" s="14">
        <f>_xlfn.BETA.INV($AA2567,1+4*($D$5-$C$5)/($E$5-$C$5),1+4*($E$5-$D$5)/($E$5-$C$5),$C$5,$E$5)</f>
        <v/>
      </c>
      <c r="N2567" s="14">
        <f>IF($AB2567&lt;($D$6-$C$6)/($E$6-$C$6),$C$6+SQRT($AB2567*($E$6-$C$6)*($D$6-$C$6)),$E$6-SQRT((1-$AB2567)*($E$6-$C$6)*($E$6-$D$6)))</f>
        <v/>
      </c>
      <c r="O2567" s="14">
        <f>_xlfn.NORM.INV($AC2567,$C$7,$D$7)</f>
        <v/>
      </c>
      <c r="P2567" s="14">
        <f>$C$8+($D$8-$C$8)*$AD2567</f>
        <v/>
      </c>
      <c r="Q2567" s="14">
        <f>$C$9</f>
        <v/>
      </c>
      <c r="R2567" s="14">
        <f>_xlfn.LOGNORM.INV($AF2567,LN($C$10)-0.5*LN(1+($D$10/$C$10)^2),SQRT(LN(1+($D$10/$C$10)^2)))</f>
        <v/>
      </c>
      <c r="S2567" s="14">
        <f>SUM(M2567:R2567)</f>
        <v/>
      </c>
      <c r="AA2567">
        <f>RAND()</f>
        <v/>
      </c>
      <c r="AB2567">
        <f>RAND()</f>
        <v/>
      </c>
      <c r="AC2567">
        <f>RAND()</f>
        <v/>
      </c>
      <c r="AD2567">
        <f>RAND()</f>
        <v/>
      </c>
      <c r="AE2567">
        <f>RAND()</f>
        <v/>
      </c>
      <c r="AF2567">
        <f>RAND()</f>
        <v/>
      </c>
    </row>
    <row r="2568">
      <c r="M2568" s="14">
        <f>_xlfn.BETA.INV($AA2568,1+4*($D$5-$C$5)/($E$5-$C$5),1+4*($E$5-$D$5)/($E$5-$C$5),$C$5,$E$5)</f>
        <v/>
      </c>
      <c r="N2568" s="14">
        <f>IF($AB2568&lt;($D$6-$C$6)/($E$6-$C$6),$C$6+SQRT($AB2568*($E$6-$C$6)*($D$6-$C$6)),$E$6-SQRT((1-$AB2568)*($E$6-$C$6)*($E$6-$D$6)))</f>
        <v/>
      </c>
      <c r="O2568" s="14">
        <f>_xlfn.NORM.INV($AC2568,$C$7,$D$7)</f>
        <v/>
      </c>
      <c r="P2568" s="14">
        <f>$C$8+($D$8-$C$8)*$AD2568</f>
        <v/>
      </c>
      <c r="Q2568" s="14">
        <f>$C$9</f>
        <v/>
      </c>
      <c r="R2568" s="14">
        <f>_xlfn.LOGNORM.INV($AF2568,LN($C$10)-0.5*LN(1+($D$10/$C$10)^2),SQRT(LN(1+($D$10/$C$10)^2)))</f>
        <v/>
      </c>
      <c r="S2568" s="14">
        <f>SUM(M2568:R2568)</f>
        <v/>
      </c>
      <c r="AA2568">
        <f>RAND()</f>
        <v/>
      </c>
      <c r="AB2568">
        <f>RAND()</f>
        <v/>
      </c>
      <c r="AC2568">
        <f>RAND()</f>
        <v/>
      </c>
      <c r="AD2568">
        <f>RAND()</f>
        <v/>
      </c>
      <c r="AE2568">
        <f>RAND()</f>
        <v/>
      </c>
      <c r="AF2568">
        <f>RAND()</f>
        <v/>
      </c>
    </row>
    <row r="2569">
      <c r="M2569" s="14">
        <f>_xlfn.BETA.INV($AA2569,1+4*($D$5-$C$5)/($E$5-$C$5),1+4*($E$5-$D$5)/($E$5-$C$5),$C$5,$E$5)</f>
        <v/>
      </c>
      <c r="N2569" s="14">
        <f>IF($AB2569&lt;($D$6-$C$6)/($E$6-$C$6),$C$6+SQRT($AB2569*($E$6-$C$6)*($D$6-$C$6)),$E$6-SQRT((1-$AB2569)*($E$6-$C$6)*($E$6-$D$6)))</f>
        <v/>
      </c>
      <c r="O2569" s="14">
        <f>_xlfn.NORM.INV($AC2569,$C$7,$D$7)</f>
        <v/>
      </c>
      <c r="P2569" s="14">
        <f>$C$8+($D$8-$C$8)*$AD2569</f>
        <v/>
      </c>
      <c r="Q2569" s="14">
        <f>$C$9</f>
        <v/>
      </c>
      <c r="R2569" s="14">
        <f>_xlfn.LOGNORM.INV($AF2569,LN($C$10)-0.5*LN(1+($D$10/$C$10)^2),SQRT(LN(1+($D$10/$C$10)^2)))</f>
        <v/>
      </c>
      <c r="S2569" s="14">
        <f>SUM(M2569:R2569)</f>
        <v/>
      </c>
      <c r="AA2569">
        <f>RAND()</f>
        <v/>
      </c>
      <c r="AB2569">
        <f>RAND()</f>
        <v/>
      </c>
      <c r="AC2569">
        <f>RAND()</f>
        <v/>
      </c>
      <c r="AD2569">
        <f>RAND()</f>
        <v/>
      </c>
      <c r="AE2569">
        <f>RAND()</f>
        <v/>
      </c>
      <c r="AF2569">
        <f>RAND()</f>
        <v/>
      </c>
    </row>
    <row r="2570">
      <c r="M2570" s="14">
        <f>_xlfn.BETA.INV($AA2570,1+4*($D$5-$C$5)/($E$5-$C$5),1+4*($E$5-$D$5)/($E$5-$C$5),$C$5,$E$5)</f>
        <v/>
      </c>
      <c r="N2570" s="14">
        <f>IF($AB2570&lt;($D$6-$C$6)/($E$6-$C$6),$C$6+SQRT($AB2570*($E$6-$C$6)*($D$6-$C$6)),$E$6-SQRT((1-$AB2570)*($E$6-$C$6)*($E$6-$D$6)))</f>
        <v/>
      </c>
      <c r="O2570" s="14">
        <f>_xlfn.NORM.INV($AC2570,$C$7,$D$7)</f>
        <v/>
      </c>
      <c r="P2570" s="14">
        <f>$C$8+($D$8-$C$8)*$AD2570</f>
        <v/>
      </c>
      <c r="Q2570" s="14">
        <f>$C$9</f>
        <v/>
      </c>
      <c r="R2570" s="14">
        <f>_xlfn.LOGNORM.INV($AF2570,LN($C$10)-0.5*LN(1+($D$10/$C$10)^2),SQRT(LN(1+($D$10/$C$10)^2)))</f>
        <v/>
      </c>
      <c r="S2570" s="14">
        <f>SUM(M2570:R2570)</f>
        <v/>
      </c>
      <c r="AA2570">
        <f>RAND()</f>
        <v/>
      </c>
      <c r="AB2570">
        <f>RAND()</f>
        <v/>
      </c>
      <c r="AC2570">
        <f>RAND()</f>
        <v/>
      </c>
      <c r="AD2570">
        <f>RAND()</f>
        <v/>
      </c>
      <c r="AE2570">
        <f>RAND()</f>
        <v/>
      </c>
      <c r="AF2570">
        <f>RAND()</f>
        <v/>
      </c>
    </row>
    <row r="2571">
      <c r="M2571" s="14">
        <f>_xlfn.BETA.INV($AA2571,1+4*($D$5-$C$5)/($E$5-$C$5),1+4*($E$5-$D$5)/($E$5-$C$5),$C$5,$E$5)</f>
        <v/>
      </c>
      <c r="N2571" s="14">
        <f>IF($AB2571&lt;($D$6-$C$6)/($E$6-$C$6),$C$6+SQRT($AB2571*($E$6-$C$6)*($D$6-$C$6)),$E$6-SQRT((1-$AB2571)*($E$6-$C$6)*($E$6-$D$6)))</f>
        <v/>
      </c>
      <c r="O2571" s="14">
        <f>_xlfn.NORM.INV($AC2571,$C$7,$D$7)</f>
        <v/>
      </c>
      <c r="P2571" s="14">
        <f>$C$8+($D$8-$C$8)*$AD2571</f>
        <v/>
      </c>
      <c r="Q2571" s="14">
        <f>$C$9</f>
        <v/>
      </c>
      <c r="R2571" s="14">
        <f>_xlfn.LOGNORM.INV($AF2571,LN($C$10)-0.5*LN(1+($D$10/$C$10)^2),SQRT(LN(1+($D$10/$C$10)^2)))</f>
        <v/>
      </c>
      <c r="S2571" s="14">
        <f>SUM(M2571:R2571)</f>
        <v/>
      </c>
      <c r="AA2571">
        <f>RAND()</f>
        <v/>
      </c>
      <c r="AB2571">
        <f>RAND()</f>
        <v/>
      </c>
      <c r="AC2571">
        <f>RAND()</f>
        <v/>
      </c>
      <c r="AD2571">
        <f>RAND()</f>
        <v/>
      </c>
      <c r="AE2571">
        <f>RAND()</f>
        <v/>
      </c>
      <c r="AF2571">
        <f>RAND()</f>
        <v/>
      </c>
    </row>
    <row r="2572">
      <c r="M2572" s="14">
        <f>_xlfn.BETA.INV($AA2572,1+4*($D$5-$C$5)/($E$5-$C$5),1+4*($E$5-$D$5)/($E$5-$C$5),$C$5,$E$5)</f>
        <v/>
      </c>
      <c r="N2572" s="14">
        <f>IF($AB2572&lt;($D$6-$C$6)/($E$6-$C$6),$C$6+SQRT($AB2572*($E$6-$C$6)*($D$6-$C$6)),$E$6-SQRT((1-$AB2572)*($E$6-$C$6)*($E$6-$D$6)))</f>
        <v/>
      </c>
      <c r="O2572" s="14">
        <f>_xlfn.NORM.INV($AC2572,$C$7,$D$7)</f>
        <v/>
      </c>
      <c r="P2572" s="14">
        <f>$C$8+($D$8-$C$8)*$AD2572</f>
        <v/>
      </c>
      <c r="Q2572" s="14">
        <f>$C$9</f>
        <v/>
      </c>
      <c r="R2572" s="14">
        <f>_xlfn.LOGNORM.INV($AF2572,LN($C$10)-0.5*LN(1+($D$10/$C$10)^2),SQRT(LN(1+($D$10/$C$10)^2)))</f>
        <v/>
      </c>
      <c r="S2572" s="14">
        <f>SUM(M2572:R2572)</f>
        <v/>
      </c>
      <c r="AA2572">
        <f>RAND()</f>
        <v/>
      </c>
      <c r="AB2572">
        <f>RAND()</f>
        <v/>
      </c>
      <c r="AC2572">
        <f>RAND()</f>
        <v/>
      </c>
      <c r="AD2572">
        <f>RAND()</f>
        <v/>
      </c>
      <c r="AE2572">
        <f>RAND()</f>
        <v/>
      </c>
      <c r="AF2572">
        <f>RAND()</f>
        <v/>
      </c>
    </row>
    <row r="2573">
      <c r="M2573" s="14">
        <f>_xlfn.BETA.INV($AA2573,1+4*($D$5-$C$5)/($E$5-$C$5),1+4*($E$5-$D$5)/($E$5-$C$5),$C$5,$E$5)</f>
        <v/>
      </c>
      <c r="N2573" s="14">
        <f>IF($AB2573&lt;($D$6-$C$6)/($E$6-$C$6),$C$6+SQRT($AB2573*($E$6-$C$6)*($D$6-$C$6)),$E$6-SQRT((1-$AB2573)*($E$6-$C$6)*($E$6-$D$6)))</f>
        <v/>
      </c>
      <c r="O2573" s="14">
        <f>_xlfn.NORM.INV($AC2573,$C$7,$D$7)</f>
        <v/>
      </c>
      <c r="P2573" s="14">
        <f>$C$8+($D$8-$C$8)*$AD2573</f>
        <v/>
      </c>
      <c r="Q2573" s="14">
        <f>$C$9</f>
        <v/>
      </c>
      <c r="R2573" s="14">
        <f>_xlfn.LOGNORM.INV($AF2573,LN($C$10)-0.5*LN(1+($D$10/$C$10)^2),SQRT(LN(1+($D$10/$C$10)^2)))</f>
        <v/>
      </c>
      <c r="S2573" s="14">
        <f>SUM(M2573:R2573)</f>
        <v/>
      </c>
      <c r="AA2573">
        <f>RAND()</f>
        <v/>
      </c>
      <c r="AB2573">
        <f>RAND()</f>
        <v/>
      </c>
      <c r="AC2573">
        <f>RAND()</f>
        <v/>
      </c>
      <c r="AD2573">
        <f>RAND()</f>
        <v/>
      </c>
      <c r="AE2573">
        <f>RAND()</f>
        <v/>
      </c>
      <c r="AF2573">
        <f>RAND()</f>
        <v/>
      </c>
    </row>
    <row r="2574">
      <c r="M2574" s="14">
        <f>_xlfn.BETA.INV($AA2574,1+4*($D$5-$C$5)/($E$5-$C$5),1+4*($E$5-$D$5)/($E$5-$C$5),$C$5,$E$5)</f>
        <v/>
      </c>
      <c r="N2574" s="14">
        <f>IF($AB2574&lt;($D$6-$C$6)/($E$6-$C$6),$C$6+SQRT($AB2574*($E$6-$C$6)*($D$6-$C$6)),$E$6-SQRT((1-$AB2574)*($E$6-$C$6)*($E$6-$D$6)))</f>
        <v/>
      </c>
      <c r="O2574" s="14">
        <f>_xlfn.NORM.INV($AC2574,$C$7,$D$7)</f>
        <v/>
      </c>
      <c r="P2574" s="14">
        <f>$C$8+($D$8-$C$8)*$AD2574</f>
        <v/>
      </c>
      <c r="Q2574" s="14">
        <f>$C$9</f>
        <v/>
      </c>
      <c r="R2574" s="14">
        <f>_xlfn.LOGNORM.INV($AF2574,LN($C$10)-0.5*LN(1+($D$10/$C$10)^2),SQRT(LN(1+($D$10/$C$10)^2)))</f>
        <v/>
      </c>
      <c r="S2574" s="14">
        <f>SUM(M2574:R2574)</f>
        <v/>
      </c>
      <c r="AA2574">
        <f>RAND()</f>
        <v/>
      </c>
      <c r="AB2574">
        <f>RAND()</f>
        <v/>
      </c>
      <c r="AC2574">
        <f>RAND()</f>
        <v/>
      </c>
      <c r="AD2574">
        <f>RAND()</f>
        <v/>
      </c>
      <c r="AE2574">
        <f>RAND()</f>
        <v/>
      </c>
      <c r="AF2574">
        <f>RAND()</f>
        <v/>
      </c>
    </row>
    <row r="2575">
      <c r="M2575" s="14">
        <f>_xlfn.BETA.INV($AA2575,1+4*($D$5-$C$5)/($E$5-$C$5),1+4*($E$5-$D$5)/($E$5-$C$5),$C$5,$E$5)</f>
        <v/>
      </c>
      <c r="N2575" s="14">
        <f>IF($AB2575&lt;($D$6-$C$6)/($E$6-$C$6),$C$6+SQRT($AB2575*($E$6-$C$6)*($D$6-$C$6)),$E$6-SQRT((1-$AB2575)*($E$6-$C$6)*($E$6-$D$6)))</f>
        <v/>
      </c>
      <c r="O2575" s="14">
        <f>_xlfn.NORM.INV($AC2575,$C$7,$D$7)</f>
        <v/>
      </c>
      <c r="P2575" s="14">
        <f>$C$8+($D$8-$C$8)*$AD2575</f>
        <v/>
      </c>
      <c r="Q2575" s="14">
        <f>$C$9</f>
        <v/>
      </c>
      <c r="R2575" s="14">
        <f>_xlfn.LOGNORM.INV($AF2575,LN($C$10)-0.5*LN(1+($D$10/$C$10)^2),SQRT(LN(1+($D$10/$C$10)^2)))</f>
        <v/>
      </c>
      <c r="S2575" s="14">
        <f>SUM(M2575:R2575)</f>
        <v/>
      </c>
      <c r="AA2575">
        <f>RAND()</f>
        <v/>
      </c>
      <c r="AB2575">
        <f>RAND()</f>
        <v/>
      </c>
      <c r="AC2575">
        <f>RAND()</f>
        <v/>
      </c>
      <c r="AD2575">
        <f>RAND()</f>
        <v/>
      </c>
      <c r="AE2575">
        <f>RAND()</f>
        <v/>
      </c>
      <c r="AF2575">
        <f>RAND()</f>
        <v/>
      </c>
    </row>
    <row r="2576">
      <c r="M2576" s="14">
        <f>_xlfn.BETA.INV($AA2576,1+4*($D$5-$C$5)/($E$5-$C$5),1+4*($E$5-$D$5)/($E$5-$C$5),$C$5,$E$5)</f>
        <v/>
      </c>
      <c r="N2576" s="14">
        <f>IF($AB2576&lt;($D$6-$C$6)/($E$6-$C$6),$C$6+SQRT($AB2576*($E$6-$C$6)*($D$6-$C$6)),$E$6-SQRT((1-$AB2576)*($E$6-$C$6)*($E$6-$D$6)))</f>
        <v/>
      </c>
      <c r="O2576" s="14">
        <f>_xlfn.NORM.INV($AC2576,$C$7,$D$7)</f>
        <v/>
      </c>
      <c r="P2576" s="14">
        <f>$C$8+($D$8-$C$8)*$AD2576</f>
        <v/>
      </c>
      <c r="Q2576" s="14">
        <f>$C$9</f>
        <v/>
      </c>
      <c r="R2576" s="14">
        <f>_xlfn.LOGNORM.INV($AF2576,LN($C$10)-0.5*LN(1+($D$10/$C$10)^2),SQRT(LN(1+($D$10/$C$10)^2)))</f>
        <v/>
      </c>
      <c r="S2576" s="14">
        <f>SUM(M2576:R2576)</f>
        <v/>
      </c>
      <c r="AA2576">
        <f>RAND()</f>
        <v/>
      </c>
      <c r="AB2576">
        <f>RAND()</f>
        <v/>
      </c>
      <c r="AC2576">
        <f>RAND()</f>
        <v/>
      </c>
      <c r="AD2576">
        <f>RAND()</f>
        <v/>
      </c>
      <c r="AE2576">
        <f>RAND()</f>
        <v/>
      </c>
      <c r="AF2576">
        <f>RAND()</f>
        <v/>
      </c>
    </row>
    <row r="2577">
      <c r="M2577" s="14">
        <f>_xlfn.BETA.INV($AA2577,1+4*($D$5-$C$5)/($E$5-$C$5),1+4*($E$5-$D$5)/($E$5-$C$5),$C$5,$E$5)</f>
        <v/>
      </c>
      <c r="N2577" s="14">
        <f>IF($AB2577&lt;($D$6-$C$6)/($E$6-$C$6),$C$6+SQRT($AB2577*($E$6-$C$6)*($D$6-$C$6)),$E$6-SQRT((1-$AB2577)*($E$6-$C$6)*($E$6-$D$6)))</f>
        <v/>
      </c>
      <c r="O2577" s="14">
        <f>_xlfn.NORM.INV($AC2577,$C$7,$D$7)</f>
        <v/>
      </c>
      <c r="P2577" s="14">
        <f>$C$8+($D$8-$C$8)*$AD2577</f>
        <v/>
      </c>
      <c r="Q2577" s="14">
        <f>$C$9</f>
        <v/>
      </c>
      <c r="R2577" s="14">
        <f>_xlfn.LOGNORM.INV($AF2577,LN($C$10)-0.5*LN(1+($D$10/$C$10)^2),SQRT(LN(1+($D$10/$C$10)^2)))</f>
        <v/>
      </c>
      <c r="S2577" s="14">
        <f>SUM(M2577:R2577)</f>
        <v/>
      </c>
      <c r="AA2577">
        <f>RAND()</f>
        <v/>
      </c>
      <c r="AB2577">
        <f>RAND()</f>
        <v/>
      </c>
      <c r="AC2577">
        <f>RAND()</f>
        <v/>
      </c>
      <c r="AD2577">
        <f>RAND()</f>
        <v/>
      </c>
      <c r="AE2577">
        <f>RAND()</f>
        <v/>
      </c>
      <c r="AF2577">
        <f>RAND()</f>
        <v/>
      </c>
    </row>
    <row r="2578">
      <c r="M2578" s="14">
        <f>_xlfn.BETA.INV($AA2578,1+4*($D$5-$C$5)/($E$5-$C$5),1+4*($E$5-$D$5)/($E$5-$C$5),$C$5,$E$5)</f>
        <v/>
      </c>
      <c r="N2578" s="14">
        <f>IF($AB2578&lt;($D$6-$C$6)/($E$6-$C$6),$C$6+SQRT($AB2578*($E$6-$C$6)*($D$6-$C$6)),$E$6-SQRT((1-$AB2578)*($E$6-$C$6)*($E$6-$D$6)))</f>
        <v/>
      </c>
      <c r="O2578" s="14">
        <f>_xlfn.NORM.INV($AC2578,$C$7,$D$7)</f>
        <v/>
      </c>
      <c r="P2578" s="14">
        <f>$C$8+($D$8-$C$8)*$AD2578</f>
        <v/>
      </c>
      <c r="Q2578" s="14">
        <f>$C$9</f>
        <v/>
      </c>
      <c r="R2578" s="14">
        <f>_xlfn.LOGNORM.INV($AF2578,LN($C$10)-0.5*LN(1+($D$10/$C$10)^2),SQRT(LN(1+($D$10/$C$10)^2)))</f>
        <v/>
      </c>
      <c r="S2578" s="14">
        <f>SUM(M2578:R2578)</f>
        <v/>
      </c>
      <c r="AA2578">
        <f>RAND()</f>
        <v/>
      </c>
      <c r="AB2578">
        <f>RAND()</f>
        <v/>
      </c>
      <c r="AC2578">
        <f>RAND()</f>
        <v/>
      </c>
      <c r="AD2578">
        <f>RAND()</f>
        <v/>
      </c>
      <c r="AE2578">
        <f>RAND()</f>
        <v/>
      </c>
      <c r="AF2578">
        <f>RAND()</f>
        <v/>
      </c>
    </row>
    <row r="2579">
      <c r="M2579" s="14">
        <f>_xlfn.BETA.INV($AA2579,1+4*($D$5-$C$5)/($E$5-$C$5),1+4*($E$5-$D$5)/($E$5-$C$5),$C$5,$E$5)</f>
        <v/>
      </c>
      <c r="N2579" s="14">
        <f>IF($AB2579&lt;($D$6-$C$6)/($E$6-$C$6),$C$6+SQRT($AB2579*($E$6-$C$6)*($D$6-$C$6)),$E$6-SQRT((1-$AB2579)*($E$6-$C$6)*($E$6-$D$6)))</f>
        <v/>
      </c>
      <c r="O2579" s="14">
        <f>_xlfn.NORM.INV($AC2579,$C$7,$D$7)</f>
        <v/>
      </c>
      <c r="P2579" s="14">
        <f>$C$8+($D$8-$C$8)*$AD2579</f>
        <v/>
      </c>
      <c r="Q2579" s="14">
        <f>$C$9</f>
        <v/>
      </c>
      <c r="R2579" s="14">
        <f>_xlfn.LOGNORM.INV($AF2579,LN($C$10)-0.5*LN(1+($D$10/$C$10)^2),SQRT(LN(1+($D$10/$C$10)^2)))</f>
        <v/>
      </c>
      <c r="S2579" s="14">
        <f>SUM(M2579:R2579)</f>
        <v/>
      </c>
      <c r="AA2579">
        <f>RAND()</f>
        <v/>
      </c>
      <c r="AB2579">
        <f>RAND()</f>
        <v/>
      </c>
      <c r="AC2579">
        <f>RAND()</f>
        <v/>
      </c>
      <c r="AD2579">
        <f>RAND()</f>
        <v/>
      </c>
      <c r="AE2579">
        <f>RAND()</f>
        <v/>
      </c>
      <c r="AF2579">
        <f>RAND()</f>
        <v/>
      </c>
    </row>
    <row r="2580">
      <c r="M2580" s="14">
        <f>_xlfn.BETA.INV($AA2580,1+4*($D$5-$C$5)/($E$5-$C$5),1+4*($E$5-$D$5)/($E$5-$C$5),$C$5,$E$5)</f>
        <v/>
      </c>
      <c r="N2580" s="14">
        <f>IF($AB2580&lt;($D$6-$C$6)/($E$6-$C$6),$C$6+SQRT($AB2580*($E$6-$C$6)*($D$6-$C$6)),$E$6-SQRT((1-$AB2580)*($E$6-$C$6)*($E$6-$D$6)))</f>
        <v/>
      </c>
      <c r="O2580" s="14">
        <f>_xlfn.NORM.INV($AC2580,$C$7,$D$7)</f>
        <v/>
      </c>
      <c r="P2580" s="14">
        <f>$C$8+($D$8-$C$8)*$AD2580</f>
        <v/>
      </c>
      <c r="Q2580" s="14">
        <f>$C$9</f>
        <v/>
      </c>
      <c r="R2580" s="14">
        <f>_xlfn.LOGNORM.INV($AF2580,LN($C$10)-0.5*LN(1+($D$10/$C$10)^2),SQRT(LN(1+($D$10/$C$10)^2)))</f>
        <v/>
      </c>
      <c r="S2580" s="14">
        <f>SUM(M2580:R2580)</f>
        <v/>
      </c>
      <c r="AA2580">
        <f>RAND()</f>
        <v/>
      </c>
      <c r="AB2580">
        <f>RAND()</f>
        <v/>
      </c>
      <c r="AC2580">
        <f>RAND()</f>
        <v/>
      </c>
      <c r="AD2580">
        <f>RAND()</f>
        <v/>
      </c>
      <c r="AE2580">
        <f>RAND()</f>
        <v/>
      </c>
      <c r="AF2580">
        <f>RAND()</f>
        <v/>
      </c>
    </row>
    <row r="2581">
      <c r="M2581" s="14">
        <f>_xlfn.BETA.INV($AA2581,1+4*($D$5-$C$5)/($E$5-$C$5),1+4*($E$5-$D$5)/($E$5-$C$5),$C$5,$E$5)</f>
        <v/>
      </c>
      <c r="N2581" s="14">
        <f>IF($AB2581&lt;($D$6-$C$6)/($E$6-$C$6),$C$6+SQRT($AB2581*($E$6-$C$6)*($D$6-$C$6)),$E$6-SQRT((1-$AB2581)*($E$6-$C$6)*($E$6-$D$6)))</f>
        <v/>
      </c>
      <c r="O2581" s="14">
        <f>_xlfn.NORM.INV($AC2581,$C$7,$D$7)</f>
        <v/>
      </c>
      <c r="P2581" s="14">
        <f>$C$8+($D$8-$C$8)*$AD2581</f>
        <v/>
      </c>
      <c r="Q2581" s="14">
        <f>$C$9</f>
        <v/>
      </c>
      <c r="R2581" s="14">
        <f>_xlfn.LOGNORM.INV($AF2581,LN($C$10)-0.5*LN(1+($D$10/$C$10)^2),SQRT(LN(1+($D$10/$C$10)^2)))</f>
        <v/>
      </c>
      <c r="S2581" s="14">
        <f>SUM(M2581:R2581)</f>
        <v/>
      </c>
      <c r="AA2581">
        <f>RAND()</f>
        <v/>
      </c>
      <c r="AB2581">
        <f>RAND()</f>
        <v/>
      </c>
      <c r="AC2581">
        <f>RAND()</f>
        <v/>
      </c>
      <c r="AD2581">
        <f>RAND()</f>
        <v/>
      </c>
      <c r="AE2581">
        <f>RAND()</f>
        <v/>
      </c>
      <c r="AF2581">
        <f>RAND()</f>
        <v/>
      </c>
    </row>
    <row r="2582">
      <c r="M2582" s="14">
        <f>_xlfn.BETA.INV($AA2582,1+4*($D$5-$C$5)/($E$5-$C$5),1+4*($E$5-$D$5)/($E$5-$C$5),$C$5,$E$5)</f>
        <v/>
      </c>
      <c r="N2582" s="14">
        <f>IF($AB2582&lt;($D$6-$C$6)/($E$6-$C$6),$C$6+SQRT($AB2582*($E$6-$C$6)*($D$6-$C$6)),$E$6-SQRT((1-$AB2582)*($E$6-$C$6)*($E$6-$D$6)))</f>
        <v/>
      </c>
      <c r="O2582" s="14">
        <f>_xlfn.NORM.INV($AC2582,$C$7,$D$7)</f>
        <v/>
      </c>
      <c r="P2582" s="14">
        <f>$C$8+($D$8-$C$8)*$AD2582</f>
        <v/>
      </c>
      <c r="Q2582" s="14">
        <f>$C$9</f>
        <v/>
      </c>
      <c r="R2582" s="14">
        <f>_xlfn.LOGNORM.INV($AF2582,LN($C$10)-0.5*LN(1+($D$10/$C$10)^2),SQRT(LN(1+($D$10/$C$10)^2)))</f>
        <v/>
      </c>
      <c r="S2582" s="14">
        <f>SUM(M2582:R2582)</f>
        <v/>
      </c>
      <c r="AA2582">
        <f>RAND()</f>
        <v/>
      </c>
      <c r="AB2582">
        <f>RAND()</f>
        <v/>
      </c>
      <c r="AC2582">
        <f>RAND()</f>
        <v/>
      </c>
      <c r="AD2582">
        <f>RAND()</f>
        <v/>
      </c>
      <c r="AE2582">
        <f>RAND()</f>
        <v/>
      </c>
      <c r="AF2582">
        <f>RAND()</f>
        <v/>
      </c>
    </row>
    <row r="2583">
      <c r="M2583" s="14">
        <f>_xlfn.BETA.INV($AA2583,1+4*($D$5-$C$5)/($E$5-$C$5),1+4*($E$5-$D$5)/($E$5-$C$5),$C$5,$E$5)</f>
        <v/>
      </c>
      <c r="N2583" s="14">
        <f>IF($AB2583&lt;($D$6-$C$6)/($E$6-$C$6),$C$6+SQRT($AB2583*($E$6-$C$6)*($D$6-$C$6)),$E$6-SQRT((1-$AB2583)*($E$6-$C$6)*($E$6-$D$6)))</f>
        <v/>
      </c>
      <c r="O2583" s="14">
        <f>_xlfn.NORM.INV($AC2583,$C$7,$D$7)</f>
        <v/>
      </c>
      <c r="P2583" s="14">
        <f>$C$8+($D$8-$C$8)*$AD2583</f>
        <v/>
      </c>
      <c r="Q2583" s="14">
        <f>$C$9</f>
        <v/>
      </c>
      <c r="R2583" s="14">
        <f>_xlfn.LOGNORM.INV($AF2583,LN($C$10)-0.5*LN(1+($D$10/$C$10)^2),SQRT(LN(1+($D$10/$C$10)^2)))</f>
        <v/>
      </c>
      <c r="S2583" s="14">
        <f>SUM(M2583:R2583)</f>
        <v/>
      </c>
      <c r="AA2583">
        <f>RAND()</f>
        <v/>
      </c>
      <c r="AB2583">
        <f>RAND()</f>
        <v/>
      </c>
      <c r="AC2583">
        <f>RAND()</f>
        <v/>
      </c>
      <c r="AD2583">
        <f>RAND()</f>
        <v/>
      </c>
      <c r="AE2583">
        <f>RAND()</f>
        <v/>
      </c>
      <c r="AF2583">
        <f>RAND()</f>
        <v/>
      </c>
    </row>
    <row r="2584">
      <c r="M2584" s="14">
        <f>_xlfn.BETA.INV($AA2584,1+4*($D$5-$C$5)/($E$5-$C$5),1+4*($E$5-$D$5)/($E$5-$C$5),$C$5,$E$5)</f>
        <v/>
      </c>
      <c r="N2584" s="14">
        <f>IF($AB2584&lt;($D$6-$C$6)/($E$6-$C$6),$C$6+SQRT($AB2584*($E$6-$C$6)*($D$6-$C$6)),$E$6-SQRT((1-$AB2584)*($E$6-$C$6)*($E$6-$D$6)))</f>
        <v/>
      </c>
      <c r="O2584" s="14">
        <f>_xlfn.NORM.INV($AC2584,$C$7,$D$7)</f>
        <v/>
      </c>
      <c r="P2584" s="14">
        <f>$C$8+($D$8-$C$8)*$AD2584</f>
        <v/>
      </c>
      <c r="Q2584" s="14">
        <f>$C$9</f>
        <v/>
      </c>
      <c r="R2584" s="14">
        <f>_xlfn.LOGNORM.INV($AF2584,LN($C$10)-0.5*LN(1+($D$10/$C$10)^2),SQRT(LN(1+($D$10/$C$10)^2)))</f>
        <v/>
      </c>
      <c r="S2584" s="14">
        <f>SUM(M2584:R2584)</f>
        <v/>
      </c>
      <c r="AA2584">
        <f>RAND()</f>
        <v/>
      </c>
      <c r="AB2584">
        <f>RAND()</f>
        <v/>
      </c>
      <c r="AC2584">
        <f>RAND()</f>
        <v/>
      </c>
      <c r="AD2584">
        <f>RAND()</f>
        <v/>
      </c>
      <c r="AE2584">
        <f>RAND()</f>
        <v/>
      </c>
      <c r="AF2584">
        <f>RAND()</f>
        <v/>
      </c>
    </row>
    <row r="2585">
      <c r="M2585" s="14">
        <f>_xlfn.BETA.INV($AA2585,1+4*($D$5-$C$5)/($E$5-$C$5),1+4*($E$5-$D$5)/($E$5-$C$5),$C$5,$E$5)</f>
        <v/>
      </c>
      <c r="N2585" s="14">
        <f>IF($AB2585&lt;($D$6-$C$6)/($E$6-$C$6),$C$6+SQRT($AB2585*($E$6-$C$6)*($D$6-$C$6)),$E$6-SQRT((1-$AB2585)*($E$6-$C$6)*($E$6-$D$6)))</f>
        <v/>
      </c>
      <c r="O2585" s="14">
        <f>_xlfn.NORM.INV($AC2585,$C$7,$D$7)</f>
        <v/>
      </c>
      <c r="P2585" s="14">
        <f>$C$8+($D$8-$C$8)*$AD2585</f>
        <v/>
      </c>
      <c r="Q2585" s="14">
        <f>$C$9</f>
        <v/>
      </c>
      <c r="R2585" s="14">
        <f>_xlfn.LOGNORM.INV($AF2585,LN($C$10)-0.5*LN(1+($D$10/$C$10)^2),SQRT(LN(1+($D$10/$C$10)^2)))</f>
        <v/>
      </c>
      <c r="S2585" s="14">
        <f>SUM(M2585:R2585)</f>
        <v/>
      </c>
      <c r="AA2585">
        <f>RAND()</f>
        <v/>
      </c>
      <c r="AB2585">
        <f>RAND()</f>
        <v/>
      </c>
      <c r="AC2585">
        <f>RAND()</f>
        <v/>
      </c>
      <c r="AD2585">
        <f>RAND()</f>
        <v/>
      </c>
      <c r="AE2585">
        <f>RAND()</f>
        <v/>
      </c>
      <c r="AF2585">
        <f>RAND()</f>
        <v/>
      </c>
    </row>
    <row r="2586">
      <c r="M2586" s="14">
        <f>_xlfn.BETA.INV($AA2586,1+4*($D$5-$C$5)/($E$5-$C$5),1+4*($E$5-$D$5)/($E$5-$C$5),$C$5,$E$5)</f>
        <v/>
      </c>
      <c r="N2586" s="14">
        <f>IF($AB2586&lt;($D$6-$C$6)/($E$6-$C$6),$C$6+SQRT($AB2586*($E$6-$C$6)*($D$6-$C$6)),$E$6-SQRT((1-$AB2586)*($E$6-$C$6)*($E$6-$D$6)))</f>
        <v/>
      </c>
      <c r="O2586" s="14">
        <f>_xlfn.NORM.INV($AC2586,$C$7,$D$7)</f>
        <v/>
      </c>
      <c r="P2586" s="14">
        <f>$C$8+($D$8-$C$8)*$AD2586</f>
        <v/>
      </c>
      <c r="Q2586" s="14">
        <f>$C$9</f>
        <v/>
      </c>
      <c r="R2586" s="14">
        <f>_xlfn.LOGNORM.INV($AF2586,LN($C$10)-0.5*LN(1+($D$10/$C$10)^2),SQRT(LN(1+($D$10/$C$10)^2)))</f>
        <v/>
      </c>
      <c r="S2586" s="14">
        <f>SUM(M2586:R2586)</f>
        <v/>
      </c>
      <c r="AA2586">
        <f>RAND()</f>
        <v/>
      </c>
      <c r="AB2586">
        <f>RAND()</f>
        <v/>
      </c>
      <c r="AC2586">
        <f>RAND()</f>
        <v/>
      </c>
      <c r="AD2586">
        <f>RAND()</f>
        <v/>
      </c>
      <c r="AE2586">
        <f>RAND()</f>
        <v/>
      </c>
      <c r="AF2586">
        <f>RAND()</f>
        <v/>
      </c>
    </row>
    <row r="2587">
      <c r="M2587" s="14">
        <f>_xlfn.BETA.INV($AA2587,1+4*($D$5-$C$5)/($E$5-$C$5),1+4*($E$5-$D$5)/($E$5-$C$5),$C$5,$E$5)</f>
        <v/>
      </c>
      <c r="N2587" s="14">
        <f>IF($AB2587&lt;($D$6-$C$6)/($E$6-$C$6),$C$6+SQRT($AB2587*($E$6-$C$6)*($D$6-$C$6)),$E$6-SQRT((1-$AB2587)*($E$6-$C$6)*($E$6-$D$6)))</f>
        <v/>
      </c>
      <c r="O2587" s="14">
        <f>_xlfn.NORM.INV($AC2587,$C$7,$D$7)</f>
        <v/>
      </c>
      <c r="P2587" s="14">
        <f>$C$8+($D$8-$C$8)*$AD2587</f>
        <v/>
      </c>
      <c r="Q2587" s="14">
        <f>$C$9</f>
        <v/>
      </c>
      <c r="R2587" s="14">
        <f>_xlfn.LOGNORM.INV($AF2587,LN($C$10)-0.5*LN(1+($D$10/$C$10)^2),SQRT(LN(1+($D$10/$C$10)^2)))</f>
        <v/>
      </c>
      <c r="S2587" s="14">
        <f>SUM(M2587:R2587)</f>
        <v/>
      </c>
      <c r="AA2587">
        <f>RAND()</f>
        <v/>
      </c>
      <c r="AB2587">
        <f>RAND()</f>
        <v/>
      </c>
      <c r="AC2587">
        <f>RAND()</f>
        <v/>
      </c>
      <c r="AD2587">
        <f>RAND()</f>
        <v/>
      </c>
      <c r="AE2587">
        <f>RAND()</f>
        <v/>
      </c>
      <c r="AF2587">
        <f>RAND()</f>
        <v/>
      </c>
    </row>
    <row r="2588">
      <c r="M2588" s="14">
        <f>_xlfn.BETA.INV($AA2588,1+4*($D$5-$C$5)/($E$5-$C$5),1+4*($E$5-$D$5)/($E$5-$C$5),$C$5,$E$5)</f>
        <v/>
      </c>
      <c r="N2588" s="14">
        <f>IF($AB2588&lt;($D$6-$C$6)/($E$6-$C$6),$C$6+SQRT($AB2588*($E$6-$C$6)*($D$6-$C$6)),$E$6-SQRT((1-$AB2588)*($E$6-$C$6)*($E$6-$D$6)))</f>
        <v/>
      </c>
      <c r="O2588" s="14">
        <f>_xlfn.NORM.INV($AC2588,$C$7,$D$7)</f>
        <v/>
      </c>
      <c r="P2588" s="14">
        <f>$C$8+($D$8-$C$8)*$AD2588</f>
        <v/>
      </c>
      <c r="Q2588" s="14">
        <f>$C$9</f>
        <v/>
      </c>
      <c r="R2588" s="14">
        <f>_xlfn.LOGNORM.INV($AF2588,LN($C$10)-0.5*LN(1+($D$10/$C$10)^2),SQRT(LN(1+($D$10/$C$10)^2)))</f>
        <v/>
      </c>
      <c r="S2588" s="14">
        <f>SUM(M2588:R2588)</f>
        <v/>
      </c>
      <c r="AA2588">
        <f>RAND()</f>
        <v/>
      </c>
      <c r="AB2588">
        <f>RAND()</f>
        <v/>
      </c>
      <c r="AC2588">
        <f>RAND()</f>
        <v/>
      </c>
      <c r="AD2588">
        <f>RAND()</f>
        <v/>
      </c>
      <c r="AE2588">
        <f>RAND()</f>
        <v/>
      </c>
      <c r="AF2588">
        <f>RAND()</f>
        <v/>
      </c>
    </row>
    <row r="2589">
      <c r="M2589" s="14">
        <f>_xlfn.BETA.INV($AA2589,1+4*($D$5-$C$5)/($E$5-$C$5),1+4*($E$5-$D$5)/($E$5-$C$5),$C$5,$E$5)</f>
        <v/>
      </c>
      <c r="N2589" s="14">
        <f>IF($AB2589&lt;($D$6-$C$6)/($E$6-$C$6),$C$6+SQRT($AB2589*($E$6-$C$6)*($D$6-$C$6)),$E$6-SQRT((1-$AB2589)*($E$6-$C$6)*($E$6-$D$6)))</f>
        <v/>
      </c>
      <c r="O2589" s="14">
        <f>_xlfn.NORM.INV($AC2589,$C$7,$D$7)</f>
        <v/>
      </c>
      <c r="P2589" s="14">
        <f>$C$8+($D$8-$C$8)*$AD2589</f>
        <v/>
      </c>
      <c r="Q2589" s="14">
        <f>$C$9</f>
        <v/>
      </c>
      <c r="R2589" s="14">
        <f>_xlfn.LOGNORM.INV($AF2589,LN($C$10)-0.5*LN(1+($D$10/$C$10)^2),SQRT(LN(1+($D$10/$C$10)^2)))</f>
        <v/>
      </c>
      <c r="S2589" s="14">
        <f>SUM(M2589:R2589)</f>
        <v/>
      </c>
      <c r="AA2589">
        <f>RAND()</f>
        <v/>
      </c>
      <c r="AB2589">
        <f>RAND()</f>
        <v/>
      </c>
      <c r="AC2589">
        <f>RAND()</f>
        <v/>
      </c>
      <c r="AD2589">
        <f>RAND()</f>
        <v/>
      </c>
      <c r="AE2589">
        <f>RAND()</f>
        <v/>
      </c>
      <c r="AF2589">
        <f>RAND()</f>
        <v/>
      </c>
    </row>
    <row r="2590">
      <c r="M2590" s="14">
        <f>_xlfn.BETA.INV($AA2590,1+4*($D$5-$C$5)/($E$5-$C$5),1+4*($E$5-$D$5)/($E$5-$C$5),$C$5,$E$5)</f>
        <v/>
      </c>
      <c r="N2590" s="14">
        <f>IF($AB2590&lt;($D$6-$C$6)/($E$6-$C$6),$C$6+SQRT($AB2590*($E$6-$C$6)*($D$6-$C$6)),$E$6-SQRT((1-$AB2590)*($E$6-$C$6)*($E$6-$D$6)))</f>
        <v/>
      </c>
      <c r="O2590" s="14">
        <f>_xlfn.NORM.INV($AC2590,$C$7,$D$7)</f>
        <v/>
      </c>
      <c r="P2590" s="14">
        <f>$C$8+($D$8-$C$8)*$AD2590</f>
        <v/>
      </c>
      <c r="Q2590" s="14">
        <f>$C$9</f>
        <v/>
      </c>
      <c r="R2590" s="14">
        <f>_xlfn.LOGNORM.INV($AF2590,LN($C$10)-0.5*LN(1+($D$10/$C$10)^2),SQRT(LN(1+($D$10/$C$10)^2)))</f>
        <v/>
      </c>
      <c r="S2590" s="14">
        <f>SUM(M2590:R2590)</f>
        <v/>
      </c>
      <c r="AA2590">
        <f>RAND()</f>
        <v/>
      </c>
      <c r="AB2590">
        <f>RAND()</f>
        <v/>
      </c>
      <c r="AC2590">
        <f>RAND()</f>
        <v/>
      </c>
      <c r="AD2590">
        <f>RAND()</f>
        <v/>
      </c>
      <c r="AE2590">
        <f>RAND()</f>
        <v/>
      </c>
      <c r="AF2590">
        <f>RAND()</f>
        <v/>
      </c>
    </row>
    <row r="2591">
      <c r="M2591" s="14">
        <f>_xlfn.BETA.INV($AA2591,1+4*($D$5-$C$5)/($E$5-$C$5),1+4*($E$5-$D$5)/($E$5-$C$5),$C$5,$E$5)</f>
        <v/>
      </c>
      <c r="N2591" s="14">
        <f>IF($AB2591&lt;($D$6-$C$6)/($E$6-$C$6),$C$6+SQRT($AB2591*($E$6-$C$6)*($D$6-$C$6)),$E$6-SQRT((1-$AB2591)*($E$6-$C$6)*($E$6-$D$6)))</f>
        <v/>
      </c>
      <c r="O2591" s="14">
        <f>_xlfn.NORM.INV($AC2591,$C$7,$D$7)</f>
        <v/>
      </c>
      <c r="P2591" s="14">
        <f>$C$8+($D$8-$C$8)*$AD2591</f>
        <v/>
      </c>
      <c r="Q2591" s="14">
        <f>$C$9</f>
        <v/>
      </c>
      <c r="R2591" s="14">
        <f>_xlfn.LOGNORM.INV($AF2591,LN($C$10)-0.5*LN(1+($D$10/$C$10)^2),SQRT(LN(1+($D$10/$C$10)^2)))</f>
        <v/>
      </c>
      <c r="S2591" s="14">
        <f>SUM(M2591:R2591)</f>
        <v/>
      </c>
      <c r="AA2591">
        <f>RAND()</f>
        <v/>
      </c>
      <c r="AB2591">
        <f>RAND()</f>
        <v/>
      </c>
      <c r="AC2591">
        <f>RAND()</f>
        <v/>
      </c>
      <c r="AD2591">
        <f>RAND()</f>
        <v/>
      </c>
      <c r="AE2591">
        <f>RAND()</f>
        <v/>
      </c>
      <c r="AF2591">
        <f>RAND()</f>
        <v/>
      </c>
    </row>
    <row r="2592">
      <c r="M2592" s="14">
        <f>_xlfn.BETA.INV($AA2592,1+4*($D$5-$C$5)/($E$5-$C$5),1+4*($E$5-$D$5)/($E$5-$C$5),$C$5,$E$5)</f>
        <v/>
      </c>
      <c r="N2592" s="14">
        <f>IF($AB2592&lt;($D$6-$C$6)/($E$6-$C$6),$C$6+SQRT($AB2592*($E$6-$C$6)*($D$6-$C$6)),$E$6-SQRT((1-$AB2592)*($E$6-$C$6)*($E$6-$D$6)))</f>
        <v/>
      </c>
      <c r="O2592" s="14">
        <f>_xlfn.NORM.INV($AC2592,$C$7,$D$7)</f>
        <v/>
      </c>
      <c r="P2592" s="14">
        <f>$C$8+($D$8-$C$8)*$AD2592</f>
        <v/>
      </c>
      <c r="Q2592" s="14">
        <f>$C$9</f>
        <v/>
      </c>
      <c r="R2592" s="14">
        <f>_xlfn.LOGNORM.INV($AF2592,LN($C$10)-0.5*LN(1+($D$10/$C$10)^2),SQRT(LN(1+($D$10/$C$10)^2)))</f>
        <v/>
      </c>
      <c r="S2592" s="14">
        <f>SUM(M2592:R2592)</f>
        <v/>
      </c>
      <c r="AA2592">
        <f>RAND()</f>
        <v/>
      </c>
      <c r="AB2592">
        <f>RAND()</f>
        <v/>
      </c>
      <c r="AC2592">
        <f>RAND()</f>
        <v/>
      </c>
      <c r="AD2592">
        <f>RAND()</f>
        <v/>
      </c>
      <c r="AE2592">
        <f>RAND()</f>
        <v/>
      </c>
      <c r="AF2592">
        <f>RAND()</f>
        <v/>
      </c>
    </row>
    <row r="2593">
      <c r="M2593" s="14">
        <f>_xlfn.BETA.INV($AA2593,1+4*($D$5-$C$5)/($E$5-$C$5),1+4*($E$5-$D$5)/($E$5-$C$5),$C$5,$E$5)</f>
        <v/>
      </c>
      <c r="N2593" s="14">
        <f>IF($AB2593&lt;($D$6-$C$6)/($E$6-$C$6),$C$6+SQRT($AB2593*($E$6-$C$6)*($D$6-$C$6)),$E$6-SQRT((1-$AB2593)*($E$6-$C$6)*($E$6-$D$6)))</f>
        <v/>
      </c>
      <c r="O2593" s="14">
        <f>_xlfn.NORM.INV($AC2593,$C$7,$D$7)</f>
        <v/>
      </c>
      <c r="P2593" s="14">
        <f>$C$8+($D$8-$C$8)*$AD2593</f>
        <v/>
      </c>
      <c r="Q2593" s="14">
        <f>$C$9</f>
        <v/>
      </c>
      <c r="R2593" s="14">
        <f>_xlfn.LOGNORM.INV($AF2593,LN($C$10)-0.5*LN(1+($D$10/$C$10)^2),SQRT(LN(1+($D$10/$C$10)^2)))</f>
        <v/>
      </c>
      <c r="S2593" s="14">
        <f>SUM(M2593:R2593)</f>
        <v/>
      </c>
      <c r="AA2593">
        <f>RAND()</f>
        <v/>
      </c>
      <c r="AB2593">
        <f>RAND()</f>
        <v/>
      </c>
      <c r="AC2593">
        <f>RAND()</f>
        <v/>
      </c>
      <c r="AD2593">
        <f>RAND()</f>
        <v/>
      </c>
      <c r="AE2593">
        <f>RAND()</f>
        <v/>
      </c>
      <c r="AF2593">
        <f>RAND()</f>
        <v/>
      </c>
    </row>
    <row r="2594">
      <c r="M2594" s="14">
        <f>_xlfn.BETA.INV($AA2594,1+4*($D$5-$C$5)/($E$5-$C$5),1+4*($E$5-$D$5)/($E$5-$C$5),$C$5,$E$5)</f>
        <v/>
      </c>
      <c r="N2594" s="14">
        <f>IF($AB2594&lt;($D$6-$C$6)/($E$6-$C$6),$C$6+SQRT($AB2594*($E$6-$C$6)*($D$6-$C$6)),$E$6-SQRT((1-$AB2594)*($E$6-$C$6)*($E$6-$D$6)))</f>
        <v/>
      </c>
      <c r="O2594" s="14">
        <f>_xlfn.NORM.INV($AC2594,$C$7,$D$7)</f>
        <v/>
      </c>
      <c r="P2594" s="14">
        <f>$C$8+($D$8-$C$8)*$AD2594</f>
        <v/>
      </c>
      <c r="Q2594" s="14">
        <f>$C$9</f>
        <v/>
      </c>
      <c r="R2594" s="14">
        <f>_xlfn.LOGNORM.INV($AF2594,LN($C$10)-0.5*LN(1+($D$10/$C$10)^2),SQRT(LN(1+($D$10/$C$10)^2)))</f>
        <v/>
      </c>
      <c r="S2594" s="14">
        <f>SUM(M2594:R2594)</f>
        <v/>
      </c>
      <c r="AA2594">
        <f>RAND()</f>
        <v/>
      </c>
      <c r="AB2594">
        <f>RAND()</f>
        <v/>
      </c>
      <c r="AC2594">
        <f>RAND()</f>
        <v/>
      </c>
      <c r="AD2594">
        <f>RAND()</f>
        <v/>
      </c>
      <c r="AE2594">
        <f>RAND()</f>
        <v/>
      </c>
      <c r="AF2594">
        <f>RAND()</f>
        <v/>
      </c>
    </row>
    <row r="2595">
      <c r="M2595" s="14">
        <f>_xlfn.BETA.INV($AA2595,1+4*($D$5-$C$5)/($E$5-$C$5),1+4*($E$5-$D$5)/($E$5-$C$5),$C$5,$E$5)</f>
        <v/>
      </c>
      <c r="N2595" s="14">
        <f>IF($AB2595&lt;($D$6-$C$6)/($E$6-$C$6),$C$6+SQRT($AB2595*($E$6-$C$6)*($D$6-$C$6)),$E$6-SQRT((1-$AB2595)*($E$6-$C$6)*($E$6-$D$6)))</f>
        <v/>
      </c>
      <c r="O2595" s="14">
        <f>_xlfn.NORM.INV($AC2595,$C$7,$D$7)</f>
        <v/>
      </c>
      <c r="P2595" s="14">
        <f>$C$8+($D$8-$C$8)*$AD2595</f>
        <v/>
      </c>
      <c r="Q2595" s="14">
        <f>$C$9</f>
        <v/>
      </c>
      <c r="R2595" s="14">
        <f>_xlfn.LOGNORM.INV($AF2595,LN($C$10)-0.5*LN(1+($D$10/$C$10)^2),SQRT(LN(1+($D$10/$C$10)^2)))</f>
        <v/>
      </c>
      <c r="S2595" s="14">
        <f>SUM(M2595:R2595)</f>
        <v/>
      </c>
      <c r="AA2595">
        <f>RAND()</f>
        <v/>
      </c>
      <c r="AB2595">
        <f>RAND()</f>
        <v/>
      </c>
      <c r="AC2595">
        <f>RAND()</f>
        <v/>
      </c>
      <c r="AD2595">
        <f>RAND()</f>
        <v/>
      </c>
      <c r="AE2595">
        <f>RAND()</f>
        <v/>
      </c>
      <c r="AF2595">
        <f>RAND()</f>
        <v/>
      </c>
    </row>
    <row r="2596">
      <c r="M2596" s="14">
        <f>_xlfn.BETA.INV($AA2596,1+4*($D$5-$C$5)/($E$5-$C$5),1+4*($E$5-$D$5)/($E$5-$C$5),$C$5,$E$5)</f>
        <v/>
      </c>
      <c r="N2596" s="14">
        <f>IF($AB2596&lt;($D$6-$C$6)/($E$6-$C$6),$C$6+SQRT($AB2596*($E$6-$C$6)*($D$6-$C$6)),$E$6-SQRT((1-$AB2596)*($E$6-$C$6)*($E$6-$D$6)))</f>
        <v/>
      </c>
      <c r="O2596" s="14">
        <f>_xlfn.NORM.INV($AC2596,$C$7,$D$7)</f>
        <v/>
      </c>
      <c r="P2596" s="14">
        <f>$C$8+($D$8-$C$8)*$AD2596</f>
        <v/>
      </c>
      <c r="Q2596" s="14">
        <f>$C$9</f>
        <v/>
      </c>
      <c r="R2596" s="14">
        <f>_xlfn.LOGNORM.INV($AF2596,LN($C$10)-0.5*LN(1+($D$10/$C$10)^2),SQRT(LN(1+($D$10/$C$10)^2)))</f>
        <v/>
      </c>
      <c r="S2596" s="14">
        <f>SUM(M2596:R2596)</f>
        <v/>
      </c>
      <c r="AA2596">
        <f>RAND()</f>
        <v/>
      </c>
      <c r="AB2596">
        <f>RAND()</f>
        <v/>
      </c>
      <c r="AC2596">
        <f>RAND()</f>
        <v/>
      </c>
      <c r="AD2596">
        <f>RAND()</f>
        <v/>
      </c>
      <c r="AE2596">
        <f>RAND()</f>
        <v/>
      </c>
      <c r="AF2596">
        <f>RAND()</f>
        <v/>
      </c>
    </row>
    <row r="2597">
      <c r="M2597" s="14">
        <f>_xlfn.BETA.INV($AA2597,1+4*($D$5-$C$5)/($E$5-$C$5),1+4*($E$5-$D$5)/($E$5-$C$5),$C$5,$E$5)</f>
        <v/>
      </c>
      <c r="N2597" s="14">
        <f>IF($AB2597&lt;($D$6-$C$6)/($E$6-$C$6),$C$6+SQRT($AB2597*($E$6-$C$6)*($D$6-$C$6)),$E$6-SQRT((1-$AB2597)*($E$6-$C$6)*($E$6-$D$6)))</f>
        <v/>
      </c>
      <c r="O2597" s="14">
        <f>_xlfn.NORM.INV($AC2597,$C$7,$D$7)</f>
        <v/>
      </c>
      <c r="P2597" s="14">
        <f>$C$8+($D$8-$C$8)*$AD2597</f>
        <v/>
      </c>
      <c r="Q2597" s="14">
        <f>$C$9</f>
        <v/>
      </c>
      <c r="R2597" s="14">
        <f>_xlfn.LOGNORM.INV($AF2597,LN($C$10)-0.5*LN(1+($D$10/$C$10)^2),SQRT(LN(1+($D$10/$C$10)^2)))</f>
        <v/>
      </c>
      <c r="S2597" s="14">
        <f>SUM(M2597:R2597)</f>
        <v/>
      </c>
      <c r="AA2597">
        <f>RAND()</f>
        <v/>
      </c>
      <c r="AB2597">
        <f>RAND()</f>
        <v/>
      </c>
      <c r="AC2597">
        <f>RAND()</f>
        <v/>
      </c>
      <c r="AD2597">
        <f>RAND()</f>
        <v/>
      </c>
      <c r="AE2597">
        <f>RAND()</f>
        <v/>
      </c>
      <c r="AF2597">
        <f>RAND()</f>
        <v/>
      </c>
    </row>
    <row r="2598">
      <c r="M2598" s="14">
        <f>_xlfn.BETA.INV($AA2598,1+4*($D$5-$C$5)/($E$5-$C$5),1+4*($E$5-$D$5)/($E$5-$C$5),$C$5,$E$5)</f>
        <v/>
      </c>
      <c r="N2598" s="14">
        <f>IF($AB2598&lt;($D$6-$C$6)/($E$6-$C$6),$C$6+SQRT($AB2598*($E$6-$C$6)*($D$6-$C$6)),$E$6-SQRT((1-$AB2598)*($E$6-$C$6)*($E$6-$D$6)))</f>
        <v/>
      </c>
      <c r="O2598" s="14">
        <f>_xlfn.NORM.INV($AC2598,$C$7,$D$7)</f>
        <v/>
      </c>
      <c r="P2598" s="14">
        <f>$C$8+($D$8-$C$8)*$AD2598</f>
        <v/>
      </c>
      <c r="Q2598" s="14">
        <f>$C$9</f>
        <v/>
      </c>
      <c r="R2598" s="14">
        <f>_xlfn.LOGNORM.INV($AF2598,LN($C$10)-0.5*LN(1+($D$10/$C$10)^2),SQRT(LN(1+($D$10/$C$10)^2)))</f>
        <v/>
      </c>
      <c r="S2598" s="14">
        <f>SUM(M2598:R2598)</f>
        <v/>
      </c>
      <c r="AA2598">
        <f>RAND()</f>
        <v/>
      </c>
      <c r="AB2598">
        <f>RAND()</f>
        <v/>
      </c>
      <c r="AC2598">
        <f>RAND()</f>
        <v/>
      </c>
      <c r="AD2598">
        <f>RAND()</f>
        <v/>
      </c>
      <c r="AE2598">
        <f>RAND()</f>
        <v/>
      </c>
      <c r="AF2598">
        <f>RAND()</f>
        <v/>
      </c>
    </row>
    <row r="2599">
      <c r="M2599" s="14">
        <f>_xlfn.BETA.INV($AA2599,1+4*($D$5-$C$5)/($E$5-$C$5),1+4*($E$5-$D$5)/($E$5-$C$5),$C$5,$E$5)</f>
        <v/>
      </c>
      <c r="N2599" s="14">
        <f>IF($AB2599&lt;($D$6-$C$6)/($E$6-$C$6),$C$6+SQRT($AB2599*($E$6-$C$6)*($D$6-$C$6)),$E$6-SQRT((1-$AB2599)*($E$6-$C$6)*($E$6-$D$6)))</f>
        <v/>
      </c>
      <c r="O2599" s="14">
        <f>_xlfn.NORM.INV($AC2599,$C$7,$D$7)</f>
        <v/>
      </c>
      <c r="P2599" s="14">
        <f>$C$8+($D$8-$C$8)*$AD2599</f>
        <v/>
      </c>
      <c r="Q2599" s="14">
        <f>$C$9</f>
        <v/>
      </c>
      <c r="R2599" s="14">
        <f>_xlfn.LOGNORM.INV($AF2599,LN($C$10)-0.5*LN(1+($D$10/$C$10)^2),SQRT(LN(1+($D$10/$C$10)^2)))</f>
        <v/>
      </c>
      <c r="S2599" s="14">
        <f>SUM(M2599:R2599)</f>
        <v/>
      </c>
      <c r="AA2599">
        <f>RAND()</f>
        <v/>
      </c>
      <c r="AB2599">
        <f>RAND()</f>
        <v/>
      </c>
      <c r="AC2599">
        <f>RAND()</f>
        <v/>
      </c>
      <c r="AD2599">
        <f>RAND()</f>
        <v/>
      </c>
      <c r="AE2599">
        <f>RAND()</f>
        <v/>
      </c>
      <c r="AF2599">
        <f>RAND()</f>
        <v/>
      </c>
    </row>
    <row r="2600">
      <c r="M2600" s="14">
        <f>_xlfn.BETA.INV($AA2600,1+4*($D$5-$C$5)/($E$5-$C$5),1+4*($E$5-$D$5)/($E$5-$C$5),$C$5,$E$5)</f>
        <v/>
      </c>
      <c r="N2600" s="14">
        <f>IF($AB2600&lt;($D$6-$C$6)/($E$6-$C$6),$C$6+SQRT($AB2600*($E$6-$C$6)*($D$6-$C$6)),$E$6-SQRT((1-$AB2600)*($E$6-$C$6)*($E$6-$D$6)))</f>
        <v/>
      </c>
      <c r="O2600" s="14">
        <f>_xlfn.NORM.INV($AC2600,$C$7,$D$7)</f>
        <v/>
      </c>
      <c r="P2600" s="14">
        <f>$C$8+($D$8-$C$8)*$AD2600</f>
        <v/>
      </c>
      <c r="Q2600" s="14">
        <f>$C$9</f>
        <v/>
      </c>
      <c r="R2600" s="14">
        <f>_xlfn.LOGNORM.INV($AF2600,LN($C$10)-0.5*LN(1+($D$10/$C$10)^2),SQRT(LN(1+($D$10/$C$10)^2)))</f>
        <v/>
      </c>
      <c r="S2600" s="14">
        <f>SUM(M2600:R2600)</f>
        <v/>
      </c>
      <c r="AA2600">
        <f>RAND()</f>
        <v/>
      </c>
      <c r="AB2600">
        <f>RAND()</f>
        <v/>
      </c>
      <c r="AC2600">
        <f>RAND()</f>
        <v/>
      </c>
      <c r="AD2600">
        <f>RAND()</f>
        <v/>
      </c>
      <c r="AE2600">
        <f>RAND()</f>
        <v/>
      </c>
      <c r="AF2600">
        <f>RAND()</f>
        <v/>
      </c>
    </row>
    <row r="2601">
      <c r="M2601" s="14">
        <f>_xlfn.BETA.INV($AA2601,1+4*($D$5-$C$5)/($E$5-$C$5),1+4*($E$5-$D$5)/($E$5-$C$5),$C$5,$E$5)</f>
        <v/>
      </c>
      <c r="N2601" s="14">
        <f>IF($AB2601&lt;($D$6-$C$6)/($E$6-$C$6),$C$6+SQRT($AB2601*($E$6-$C$6)*($D$6-$C$6)),$E$6-SQRT((1-$AB2601)*($E$6-$C$6)*($E$6-$D$6)))</f>
        <v/>
      </c>
      <c r="O2601" s="14">
        <f>_xlfn.NORM.INV($AC2601,$C$7,$D$7)</f>
        <v/>
      </c>
      <c r="P2601" s="14">
        <f>$C$8+($D$8-$C$8)*$AD2601</f>
        <v/>
      </c>
      <c r="Q2601" s="14">
        <f>$C$9</f>
        <v/>
      </c>
      <c r="R2601" s="14">
        <f>_xlfn.LOGNORM.INV($AF2601,LN($C$10)-0.5*LN(1+($D$10/$C$10)^2),SQRT(LN(1+($D$10/$C$10)^2)))</f>
        <v/>
      </c>
      <c r="S2601" s="14">
        <f>SUM(M2601:R2601)</f>
        <v/>
      </c>
      <c r="AA2601">
        <f>RAND()</f>
        <v/>
      </c>
      <c r="AB2601">
        <f>RAND()</f>
        <v/>
      </c>
      <c r="AC2601">
        <f>RAND()</f>
        <v/>
      </c>
      <c r="AD2601">
        <f>RAND()</f>
        <v/>
      </c>
      <c r="AE2601">
        <f>RAND()</f>
        <v/>
      </c>
      <c r="AF2601">
        <f>RAND()</f>
        <v/>
      </c>
    </row>
    <row r="2602">
      <c r="M2602" s="14">
        <f>_xlfn.BETA.INV($AA2602,1+4*($D$5-$C$5)/($E$5-$C$5),1+4*($E$5-$D$5)/($E$5-$C$5),$C$5,$E$5)</f>
        <v/>
      </c>
      <c r="N2602" s="14">
        <f>IF($AB2602&lt;($D$6-$C$6)/($E$6-$C$6),$C$6+SQRT($AB2602*($E$6-$C$6)*($D$6-$C$6)),$E$6-SQRT((1-$AB2602)*($E$6-$C$6)*($E$6-$D$6)))</f>
        <v/>
      </c>
      <c r="O2602" s="14">
        <f>_xlfn.NORM.INV($AC2602,$C$7,$D$7)</f>
        <v/>
      </c>
      <c r="P2602" s="14">
        <f>$C$8+($D$8-$C$8)*$AD2602</f>
        <v/>
      </c>
      <c r="Q2602" s="14">
        <f>$C$9</f>
        <v/>
      </c>
      <c r="R2602" s="14">
        <f>_xlfn.LOGNORM.INV($AF2602,LN($C$10)-0.5*LN(1+($D$10/$C$10)^2),SQRT(LN(1+($D$10/$C$10)^2)))</f>
        <v/>
      </c>
      <c r="S2602" s="14">
        <f>SUM(M2602:R2602)</f>
        <v/>
      </c>
      <c r="AA2602">
        <f>RAND()</f>
        <v/>
      </c>
      <c r="AB2602">
        <f>RAND()</f>
        <v/>
      </c>
      <c r="AC2602">
        <f>RAND()</f>
        <v/>
      </c>
      <c r="AD2602">
        <f>RAND()</f>
        <v/>
      </c>
      <c r="AE2602">
        <f>RAND()</f>
        <v/>
      </c>
      <c r="AF2602">
        <f>RAND()</f>
        <v/>
      </c>
    </row>
    <row r="2603">
      <c r="M2603" s="14">
        <f>_xlfn.BETA.INV($AA2603,1+4*($D$5-$C$5)/($E$5-$C$5),1+4*($E$5-$D$5)/($E$5-$C$5),$C$5,$E$5)</f>
        <v/>
      </c>
      <c r="N2603" s="14">
        <f>IF($AB2603&lt;($D$6-$C$6)/($E$6-$C$6),$C$6+SQRT($AB2603*($E$6-$C$6)*($D$6-$C$6)),$E$6-SQRT((1-$AB2603)*($E$6-$C$6)*($E$6-$D$6)))</f>
        <v/>
      </c>
      <c r="O2603" s="14">
        <f>_xlfn.NORM.INV($AC2603,$C$7,$D$7)</f>
        <v/>
      </c>
      <c r="P2603" s="14">
        <f>$C$8+($D$8-$C$8)*$AD2603</f>
        <v/>
      </c>
      <c r="Q2603" s="14">
        <f>$C$9</f>
        <v/>
      </c>
      <c r="R2603" s="14">
        <f>_xlfn.LOGNORM.INV($AF2603,LN($C$10)-0.5*LN(1+($D$10/$C$10)^2),SQRT(LN(1+($D$10/$C$10)^2)))</f>
        <v/>
      </c>
      <c r="S2603" s="14">
        <f>SUM(M2603:R2603)</f>
        <v/>
      </c>
      <c r="AA2603">
        <f>RAND()</f>
        <v/>
      </c>
      <c r="AB2603">
        <f>RAND()</f>
        <v/>
      </c>
      <c r="AC2603">
        <f>RAND()</f>
        <v/>
      </c>
      <c r="AD2603">
        <f>RAND()</f>
        <v/>
      </c>
      <c r="AE2603">
        <f>RAND()</f>
        <v/>
      </c>
      <c r="AF2603">
        <f>RAND()</f>
        <v/>
      </c>
    </row>
    <row r="2604">
      <c r="M2604" s="14">
        <f>_xlfn.BETA.INV($AA2604,1+4*($D$5-$C$5)/($E$5-$C$5),1+4*($E$5-$D$5)/($E$5-$C$5),$C$5,$E$5)</f>
        <v/>
      </c>
      <c r="N2604" s="14">
        <f>IF($AB2604&lt;($D$6-$C$6)/($E$6-$C$6),$C$6+SQRT($AB2604*($E$6-$C$6)*($D$6-$C$6)),$E$6-SQRT((1-$AB2604)*($E$6-$C$6)*($E$6-$D$6)))</f>
        <v/>
      </c>
      <c r="O2604" s="14">
        <f>_xlfn.NORM.INV($AC2604,$C$7,$D$7)</f>
        <v/>
      </c>
      <c r="P2604" s="14">
        <f>$C$8+($D$8-$C$8)*$AD2604</f>
        <v/>
      </c>
      <c r="Q2604" s="14">
        <f>$C$9</f>
        <v/>
      </c>
      <c r="R2604" s="14">
        <f>_xlfn.LOGNORM.INV($AF2604,LN($C$10)-0.5*LN(1+($D$10/$C$10)^2),SQRT(LN(1+($D$10/$C$10)^2)))</f>
        <v/>
      </c>
      <c r="S2604" s="14">
        <f>SUM(M2604:R2604)</f>
        <v/>
      </c>
      <c r="AA2604">
        <f>RAND()</f>
        <v/>
      </c>
      <c r="AB2604">
        <f>RAND()</f>
        <v/>
      </c>
      <c r="AC2604">
        <f>RAND()</f>
        <v/>
      </c>
      <c r="AD2604">
        <f>RAND()</f>
        <v/>
      </c>
      <c r="AE2604">
        <f>RAND()</f>
        <v/>
      </c>
      <c r="AF2604">
        <f>RAND()</f>
        <v/>
      </c>
    </row>
    <row r="2605">
      <c r="M2605" s="14">
        <f>_xlfn.BETA.INV($AA2605,1+4*($D$5-$C$5)/($E$5-$C$5),1+4*($E$5-$D$5)/($E$5-$C$5),$C$5,$E$5)</f>
        <v/>
      </c>
      <c r="N2605" s="14">
        <f>IF($AB2605&lt;($D$6-$C$6)/($E$6-$C$6),$C$6+SQRT($AB2605*($E$6-$C$6)*($D$6-$C$6)),$E$6-SQRT((1-$AB2605)*($E$6-$C$6)*($E$6-$D$6)))</f>
        <v/>
      </c>
      <c r="O2605" s="14">
        <f>_xlfn.NORM.INV($AC2605,$C$7,$D$7)</f>
        <v/>
      </c>
      <c r="P2605" s="14">
        <f>$C$8+($D$8-$C$8)*$AD2605</f>
        <v/>
      </c>
      <c r="Q2605" s="14">
        <f>$C$9</f>
        <v/>
      </c>
      <c r="R2605" s="14">
        <f>_xlfn.LOGNORM.INV($AF2605,LN($C$10)-0.5*LN(1+($D$10/$C$10)^2),SQRT(LN(1+($D$10/$C$10)^2)))</f>
        <v/>
      </c>
      <c r="S2605" s="14">
        <f>SUM(M2605:R2605)</f>
        <v/>
      </c>
      <c r="AA2605">
        <f>RAND()</f>
        <v/>
      </c>
      <c r="AB2605">
        <f>RAND()</f>
        <v/>
      </c>
      <c r="AC2605">
        <f>RAND()</f>
        <v/>
      </c>
      <c r="AD2605">
        <f>RAND()</f>
        <v/>
      </c>
      <c r="AE2605">
        <f>RAND()</f>
        <v/>
      </c>
      <c r="AF2605">
        <f>RAND()</f>
        <v/>
      </c>
    </row>
    <row r="2606">
      <c r="M2606" s="14">
        <f>_xlfn.BETA.INV($AA2606,1+4*($D$5-$C$5)/($E$5-$C$5),1+4*($E$5-$D$5)/($E$5-$C$5),$C$5,$E$5)</f>
        <v/>
      </c>
      <c r="N2606" s="14">
        <f>IF($AB2606&lt;($D$6-$C$6)/($E$6-$C$6),$C$6+SQRT($AB2606*($E$6-$C$6)*($D$6-$C$6)),$E$6-SQRT((1-$AB2606)*($E$6-$C$6)*($E$6-$D$6)))</f>
        <v/>
      </c>
      <c r="O2606" s="14">
        <f>_xlfn.NORM.INV($AC2606,$C$7,$D$7)</f>
        <v/>
      </c>
      <c r="P2606" s="14">
        <f>$C$8+($D$8-$C$8)*$AD2606</f>
        <v/>
      </c>
      <c r="Q2606" s="14">
        <f>$C$9</f>
        <v/>
      </c>
      <c r="R2606" s="14">
        <f>_xlfn.LOGNORM.INV($AF2606,LN($C$10)-0.5*LN(1+($D$10/$C$10)^2),SQRT(LN(1+($D$10/$C$10)^2)))</f>
        <v/>
      </c>
      <c r="S2606" s="14">
        <f>SUM(M2606:R2606)</f>
        <v/>
      </c>
      <c r="AA2606">
        <f>RAND()</f>
        <v/>
      </c>
      <c r="AB2606">
        <f>RAND()</f>
        <v/>
      </c>
      <c r="AC2606">
        <f>RAND()</f>
        <v/>
      </c>
      <c r="AD2606">
        <f>RAND()</f>
        <v/>
      </c>
      <c r="AE2606">
        <f>RAND()</f>
        <v/>
      </c>
      <c r="AF2606">
        <f>RAND()</f>
        <v/>
      </c>
    </row>
    <row r="2607">
      <c r="M2607" s="14">
        <f>_xlfn.BETA.INV($AA2607,1+4*($D$5-$C$5)/($E$5-$C$5),1+4*($E$5-$D$5)/($E$5-$C$5),$C$5,$E$5)</f>
        <v/>
      </c>
      <c r="N2607" s="14">
        <f>IF($AB2607&lt;($D$6-$C$6)/($E$6-$C$6),$C$6+SQRT($AB2607*($E$6-$C$6)*($D$6-$C$6)),$E$6-SQRT((1-$AB2607)*($E$6-$C$6)*($E$6-$D$6)))</f>
        <v/>
      </c>
      <c r="O2607" s="14">
        <f>_xlfn.NORM.INV($AC2607,$C$7,$D$7)</f>
        <v/>
      </c>
      <c r="P2607" s="14">
        <f>$C$8+($D$8-$C$8)*$AD2607</f>
        <v/>
      </c>
      <c r="Q2607" s="14">
        <f>$C$9</f>
        <v/>
      </c>
      <c r="R2607" s="14">
        <f>_xlfn.LOGNORM.INV($AF2607,LN($C$10)-0.5*LN(1+($D$10/$C$10)^2),SQRT(LN(1+($D$10/$C$10)^2)))</f>
        <v/>
      </c>
      <c r="S2607" s="14">
        <f>SUM(M2607:R2607)</f>
        <v/>
      </c>
      <c r="AA2607">
        <f>RAND()</f>
        <v/>
      </c>
      <c r="AB2607">
        <f>RAND()</f>
        <v/>
      </c>
      <c r="AC2607">
        <f>RAND()</f>
        <v/>
      </c>
      <c r="AD2607">
        <f>RAND()</f>
        <v/>
      </c>
      <c r="AE2607">
        <f>RAND()</f>
        <v/>
      </c>
      <c r="AF2607">
        <f>RAND()</f>
        <v/>
      </c>
    </row>
    <row r="2608">
      <c r="M2608" s="14">
        <f>_xlfn.BETA.INV($AA2608,1+4*($D$5-$C$5)/($E$5-$C$5),1+4*($E$5-$D$5)/($E$5-$C$5),$C$5,$E$5)</f>
        <v/>
      </c>
      <c r="N2608" s="14">
        <f>IF($AB2608&lt;($D$6-$C$6)/($E$6-$C$6),$C$6+SQRT($AB2608*($E$6-$C$6)*($D$6-$C$6)),$E$6-SQRT((1-$AB2608)*($E$6-$C$6)*($E$6-$D$6)))</f>
        <v/>
      </c>
      <c r="O2608" s="14">
        <f>_xlfn.NORM.INV($AC2608,$C$7,$D$7)</f>
        <v/>
      </c>
      <c r="P2608" s="14">
        <f>$C$8+($D$8-$C$8)*$AD2608</f>
        <v/>
      </c>
      <c r="Q2608" s="14">
        <f>$C$9</f>
        <v/>
      </c>
      <c r="R2608" s="14">
        <f>_xlfn.LOGNORM.INV($AF2608,LN($C$10)-0.5*LN(1+($D$10/$C$10)^2),SQRT(LN(1+($D$10/$C$10)^2)))</f>
        <v/>
      </c>
      <c r="S2608" s="14">
        <f>SUM(M2608:R2608)</f>
        <v/>
      </c>
      <c r="AA2608">
        <f>RAND()</f>
        <v/>
      </c>
      <c r="AB2608">
        <f>RAND()</f>
        <v/>
      </c>
      <c r="AC2608">
        <f>RAND()</f>
        <v/>
      </c>
      <c r="AD2608">
        <f>RAND()</f>
        <v/>
      </c>
      <c r="AE2608">
        <f>RAND()</f>
        <v/>
      </c>
      <c r="AF2608">
        <f>RAND()</f>
        <v/>
      </c>
    </row>
    <row r="2609">
      <c r="M2609" s="14">
        <f>_xlfn.BETA.INV($AA2609,1+4*($D$5-$C$5)/($E$5-$C$5),1+4*($E$5-$D$5)/($E$5-$C$5),$C$5,$E$5)</f>
        <v/>
      </c>
      <c r="N2609" s="14">
        <f>IF($AB2609&lt;($D$6-$C$6)/($E$6-$C$6),$C$6+SQRT($AB2609*($E$6-$C$6)*($D$6-$C$6)),$E$6-SQRT((1-$AB2609)*($E$6-$C$6)*($E$6-$D$6)))</f>
        <v/>
      </c>
      <c r="O2609" s="14">
        <f>_xlfn.NORM.INV($AC2609,$C$7,$D$7)</f>
        <v/>
      </c>
      <c r="P2609" s="14">
        <f>$C$8+($D$8-$C$8)*$AD2609</f>
        <v/>
      </c>
      <c r="Q2609" s="14">
        <f>$C$9</f>
        <v/>
      </c>
      <c r="R2609" s="14">
        <f>_xlfn.LOGNORM.INV($AF2609,LN($C$10)-0.5*LN(1+($D$10/$C$10)^2),SQRT(LN(1+($D$10/$C$10)^2)))</f>
        <v/>
      </c>
      <c r="S2609" s="14">
        <f>SUM(M2609:R2609)</f>
        <v/>
      </c>
      <c r="AA2609">
        <f>RAND()</f>
        <v/>
      </c>
      <c r="AB2609">
        <f>RAND()</f>
        <v/>
      </c>
      <c r="AC2609">
        <f>RAND()</f>
        <v/>
      </c>
      <c r="AD2609">
        <f>RAND()</f>
        <v/>
      </c>
      <c r="AE2609">
        <f>RAND()</f>
        <v/>
      </c>
      <c r="AF2609">
        <f>RAND()</f>
        <v/>
      </c>
    </row>
    <row r="2610">
      <c r="M2610" s="14">
        <f>_xlfn.BETA.INV($AA2610,1+4*($D$5-$C$5)/($E$5-$C$5),1+4*($E$5-$D$5)/($E$5-$C$5),$C$5,$E$5)</f>
        <v/>
      </c>
      <c r="N2610" s="14">
        <f>IF($AB2610&lt;($D$6-$C$6)/($E$6-$C$6),$C$6+SQRT($AB2610*($E$6-$C$6)*($D$6-$C$6)),$E$6-SQRT((1-$AB2610)*($E$6-$C$6)*($E$6-$D$6)))</f>
        <v/>
      </c>
      <c r="O2610" s="14">
        <f>_xlfn.NORM.INV($AC2610,$C$7,$D$7)</f>
        <v/>
      </c>
      <c r="P2610" s="14">
        <f>$C$8+($D$8-$C$8)*$AD2610</f>
        <v/>
      </c>
      <c r="Q2610" s="14">
        <f>$C$9</f>
        <v/>
      </c>
      <c r="R2610" s="14">
        <f>_xlfn.LOGNORM.INV($AF2610,LN($C$10)-0.5*LN(1+($D$10/$C$10)^2),SQRT(LN(1+($D$10/$C$10)^2)))</f>
        <v/>
      </c>
      <c r="S2610" s="14">
        <f>SUM(M2610:R2610)</f>
        <v/>
      </c>
      <c r="AA2610">
        <f>RAND()</f>
        <v/>
      </c>
      <c r="AB2610">
        <f>RAND()</f>
        <v/>
      </c>
      <c r="AC2610">
        <f>RAND()</f>
        <v/>
      </c>
      <c r="AD2610">
        <f>RAND()</f>
        <v/>
      </c>
      <c r="AE2610">
        <f>RAND()</f>
        <v/>
      </c>
      <c r="AF2610">
        <f>RAND()</f>
        <v/>
      </c>
    </row>
    <row r="2611">
      <c r="M2611" s="14">
        <f>_xlfn.BETA.INV($AA2611,1+4*($D$5-$C$5)/($E$5-$C$5),1+4*($E$5-$D$5)/($E$5-$C$5),$C$5,$E$5)</f>
        <v/>
      </c>
      <c r="N2611" s="14">
        <f>IF($AB2611&lt;($D$6-$C$6)/($E$6-$C$6),$C$6+SQRT($AB2611*($E$6-$C$6)*($D$6-$C$6)),$E$6-SQRT((1-$AB2611)*($E$6-$C$6)*($E$6-$D$6)))</f>
        <v/>
      </c>
      <c r="O2611" s="14">
        <f>_xlfn.NORM.INV($AC2611,$C$7,$D$7)</f>
        <v/>
      </c>
      <c r="P2611" s="14">
        <f>$C$8+($D$8-$C$8)*$AD2611</f>
        <v/>
      </c>
      <c r="Q2611" s="14">
        <f>$C$9</f>
        <v/>
      </c>
      <c r="R2611" s="14">
        <f>_xlfn.LOGNORM.INV($AF2611,LN($C$10)-0.5*LN(1+($D$10/$C$10)^2),SQRT(LN(1+($D$10/$C$10)^2)))</f>
        <v/>
      </c>
      <c r="S2611" s="14">
        <f>SUM(M2611:R2611)</f>
        <v/>
      </c>
      <c r="AA2611">
        <f>RAND()</f>
        <v/>
      </c>
      <c r="AB2611">
        <f>RAND()</f>
        <v/>
      </c>
      <c r="AC2611">
        <f>RAND()</f>
        <v/>
      </c>
      <c r="AD2611">
        <f>RAND()</f>
        <v/>
      </c>
      <c r="AE2611">
        <f>RAND()</f>
        <v/>
      </c>
      <c r="AF2611">
        <f>RAND()</f>
        <v/>
      </c>
    </row>
    <row r="2612">
      <c r="M2612" s="14">
        <f>_xlfn.BETA.INV($AA2612,1+4*($D$5-$C$5)/($E$5-$C$5),1+4*($E$5-$D$5)/($E$5-$C$5),$C$5,$E$5)</f>
        <v/>
      </c>
      <c r="N2612" s="14">
        <f>IF($AB2612&lt;($D$6-$C$6)/($E$6-$C$6),$C$6+SQRT($AB2612*($E$6-$C$6)*($D$6-$C$6)),$E$6-SQRT((1-$AB2612)*($E$6-$C$6)*($E$6-$D$6)))</f>
        <v/>
      </c>
      <c r="O2612" s="14">
        <f>_xlfn.NORM.INV($AC2612,$C$7,$D$7)</f>
        <v/>
      </c>
      <c r="P2612" s="14">
        <f>$C$8+($D$8-$C$8)*$AD2612</f>
        <v/>
      </c>
      <c r="Q2612" s="14">
        <f>$C$9</f>
        <v/>
      </c>
      <c r="R2612" s="14">
        <f>_xlfn.LOGNORM.INV($AF2612,LN($C$10)-0.5*LN(1+($D$10/$C$10)^2),SQRT(LN(1+($D$10/$C$10)^2)))</f>
        <v/>
      </c>
      <c r="S2612" s="14">
        <f>SUM(M2612:R2612)</f>
        <v/>
      </c>
      <c r="AA2612">
        <f>RAND()</f>
        <v/>
      </c>
      <c r="AB2612">
        <f>RAND()</f>
        <v/>
      </c>
      <c r="AC2612">
        <f>RAND()</f>
        <v/>
      </c>
      <c r="AD2612">
        <f>RAND()</f>
        <v/>
      </c>
      <c r="AE2612">
        <f>RAND()</f>
        <v/>
      </c>
      <c r="AF2612">
        <f>RAND()</f>
        <v/>
      </c>
    </row>
    <row r="2613">
      <c r="M2613" s="14">
        <f>_xlfn.BETA.INV($AA2613,1+4*($D$5-$C$5)/($E$5-$C$5),1+4*($E$5-$D$5)/($E$5-$C$5),$C$5,$E$5)</f>
        <v/>
      </c>
      <c r="N2613" s="14">
        <f>IF($AB2613&lt;($D$6-$C$6)/($E$6-$C$6),$C$6+SQRT($AB2613*($E$6-$C$6)*($D$6-$C$6)),$E$6-SQRT((1-$AB2613)*($E$6-$C$6)*($E$6-$D$6)))</f>
        <v/>
      </c>
      <c r="O2613" s="14">
        <f>_xlfn.NORM.INV($AC2613,$C$7,$D$7)</f>
        <v/>
      </c>
      <c r="P2613" s="14">
        <f>$C$8+($D$8-$C$8)*$AD2613</f>
        <v/>
      </c>
      <c r="Q2613" s="14">
        <f>$C$9</f>
        <v/>
      </c>
      <c r="R2613" s="14">
        <f>_xlfn.LOGNORM.INV($AF2613,LN($C$10)-0.5*LN(1+($D$10/$C$10)^2),SQRT(LN(1+($D$10/$C$10)^2)))</f>
        <v/>
      </c>
      <c r="S2613" s="14">
        <f>SUM(M2613:R2613)</f>
        <v/>
      </c>
      <c r="AA2613">
        <f>RAND()</f>
        <v/>
      </c>
      <c r="AB2613">
        <f>RAND()</f>
        <v/>
      </c>
      <c r="AC2613">
        <f>RAND()</f>
        <v/>
      </c>
      <c r="AD2613">
        <f>RAND()</f>
        <v/>
      </c>
      <c r="AE2613">
        <f>RAND()</f>
        <v/>
      </c>
      <c r="AF2613">
        <f>RAND()</f>
        <v/>
      </c>
    </row>
    <row r="2614">
      <c r="M2614" s="14">
        <f>_xlfn.BETA.INV($AA2614,1+4*($D$5-$C$5)/($E$5-$C$5),1+4*($E$5-$D$5)/($E$5-$C$5),$C$5,$E$5)</f>
        <v/>
      </c>
      <c r="N2614" s="14">
        <f>IF($AB2614&lt;($D$6-$C$6)/($E$6-$C$6),$C$6+SQRT($AB2614*($E$6-$C$6)*($D$6-$C$6)),$E$6-SQRT((1-$AB2614)*($E$6-$C$6)*($E$6-$D$6)))</f>
        <v/>
      </c>
      <c r="O2614" s="14">
        <f>_xlfn.NORM.INV($AC2614,$C$7,$D$7)</f>
        <v/>
      </c>
      <c r="P2614" s="14">
        <f>$C$8+($D$8-$C$8)*$AD2614</f>
        <v/>
      </c>
      <c r="Q2614" s="14">
        <f>$C$9</f>
        <v/>
      </c>
      <c r="R2614" s="14">
        <f>_xlfn.LOGNORM.INV($AF2614,LN($C$10)-0.5*LN(1+($D$10/$C$10)^2),SQRT(LN(1+($D$10/$C$10)^2)))</f>
        <v/>
      </c>
      <c r="S2614" s="14">
        <f>SUM(M2614:R2614)</f>
        <v/>
      </c>
      <c r="AA2614">
        <f>RAND()</f>
        <v/>
      </c>
      <c r="AB2614">
        <f>RAND()</f>
        <v/>
      </c>
      <c r="AC2614">
        <f>RAND()</f>
        <v/>
      </c>
      <c r="AD2614">
        <f>RAND()</f>
        <v/>
      </c>
      <c r="AE2614">
        <f>RAND()</f>
        <v/>
      </c>
      <c r="AF2614">
        <f>RAND()</f>
        <v/>
      </c>
    </row>
    <row r="2615">
      <c r="M2615" s="14">
        <f>_xlfn.BETA.INV($AA2615,1+4*($D$5-$C$5)/($E$5-$C$5),1+4*($E$5-$D$5)/($E$5-$C$5),$C$5,$E$5)</f>
        <v/>
      </c>
      <c r="N2615" s="14">
        <f>IF($AB2615&lt;($D$6-$C$6)/($E$6-$C$6),$C$6+SQRT($AB2615*($E$6-$C$6)*($D$6-$C$6)),$E$6-SQRT((1-$AB2615)*($E$6-$C$6)*($E$6-$D$6)))</f>
        <v/>
      </c>
      <c r="O2615" s="14">
        <f>_xlfn.NORM.INV($AC2615,$C$7,$D$7)</f>
        <v/>
      </c>
      <c r="P2615" s="14">
        <f>$C$8+($D$8-$C$8)*$AD2615</f>
        <v/>
      </c>
      <c r="Q2615" s="14">
        <f>$C$9</f>
        <v/>
      </c>
      <c r="R2615" s="14">
        <f>_xlfn.LOGNORM.INV($AF2615,LN($C$10)-0.5*LN(1+($D$10/$C$10)^2),SQRT(LN(1+($D$10/$C$10)^2)))</f>
        <v/>
      </c>
      <c r="S2615" s="14">
        <f>SUM(M2615:R2615)</f>
        <v/>
      </c>
      <c r="AA2615">
        <f>RAND()</f>
        <v/>
      </c>
      <c r="AB2615">
        <f>RAND()</f>
        <v/>
      </c>
      <c r="AC2615">
        <f>RAND()</f>
        <v/>
      </c>
      <c r="AD2615">
        <f>RAND()</f>
        <v/>
      </c>
      <c r="AE2615">
        <f>RAND()</f>
        <v/>
      </c>
      <c r="AF2615">
        <f>RAND()</f>
        <v/>
      </c>
    </row>
    <row r="2616">
      <c r="M2616" s="14">
        <f>_xlfn.BETA.INV($AA2616,1+4*($D$5-$C$5)/($E$5-$C$5),1+4*($E$5-$D$5)/($E$5-$C$5),$C$5,$E$5)</f>
        <v/>
      </c>
      <c r="N2616" s="14">
        <f>IF($AB2616&lt;($D$6-$C$6)/($E$6-$C$6),$C$6+SQRT($AB2616*($E$6-$C$6)*($D$6-$C$6)),$E$6-SQRT((1-$AB2616)*($E$6-$C$6)*($E$6-$D$6)))</f>
        <v/>
      </c>
      <c r="O2616" s="14">
        <f>_xlfn.NORM.INV($AC2616,$C$7,$D$7)</f>
        <v/>
      </c>
      <c r="P2616" s="14">
        <f>$C$8+($D$8-$C$8)*$AD2616</f>
        <v/>
      </c>
      <c r="Q2616" s="14">
        <f>$C$9</f>
        <v/>
      </c>
      <c r="R2616" s="14">
        <f>_xlfn.LOGNORM.INV($AF2616,LN($C$10)-0.5*LN(1+($D$10/$C$10)^2),SQRT(LN(1+($D$10/$C$10)^2)))</f>
        <v/>
      </c>
      <c r="S2616" s="14">
        <f>SUM(M2616:R2616)</f>
        <v/>
      </c>
      <c r="AA2616">
        <f>RAND()</f>
        <v/>
      </c>
      <c r="AB2616">
        <f>RAND()</f>
        <v/>
      </c>
      <c r="AC2616">
        <f>RAND()</f>
        <v/>
      </c>
      <c r="AD2616">
        <f>RAND()</f>
        <v/>
      </c>
      <c r="AE2616">
        <f>RAND()</f>
        <v/>
      </c>
      <c r="AF2616">
        <f>RAND()</f>
        <v/>
      </c>
    </row>
    <row r="2617">
      <c r="M2617" s="14">
        <f>_xlfn.BETA.INV($AA2617,1+4*($D$5-$C$5)/($E$5-$C$5),1+4*($E$5-$D$5)/($E$5-$C$5),$C$5,$E$5)</f>
        <v/>
      </c>
      <c r="N2617" s="14">
        <f>IF($AB2617&lt;($D$6-$C$6)/($E$6-$C$6),$C$6+SQRT($AB2617*($E$6-$C$6)*($D$6-$C$6)),$E$6-SQRT((1-$AB2617)*($E$6-$C$6)*($E$6-$D$6)))</f>
        <v/>
      </c>
      <c r="O2617" s="14">
        <f>_xlfn.NORM.INV($AC2617,$C$7,$D$7)</f>
        <v/>
      </c>
      <c r="P2617" s="14">
        <f>$C$8+($D$8-$C$8)*$AD2617</f>
        <v/>
      </c>
      <c r="Q2617" s="14">
        <f>$C$9</f>
        <v/>
      </c>
      <c r="R2617" s="14">
        <f>_xlfn.LOGNORM.INV($AF2617,LN($C$10)-0.5*LN(1+($D$10/$C$10)^2),SQRT(LN(1+($D$10/$C$10)^2)))</f>
        <v/>
      </c>
      <c r="S2617" s="14">
        <f>SUM(M2617:R2617)</f>
        <v/>
      </c>
      <c r="AA2617">
        <f>RAND()</f>
        <v/>
      </c>
      <c r="AB2617">
        <f>RAND()</f>
        <v/>
      </c>
      <c r="AC2617">
        <f>RAND()</f>
        <v/>
      </c>
      <c r="AD2617">
        <f>RAND()</f>
        <v/>
      </c>
      <c r="AE2617">
        <f>RAND()</f>
        <v/>
      </c>
      <c r="AF2617">
        <f>RAND()</f>
        <v/>
      </c>
    </row>
    <row r="2618">
      <c r="M2618" s="14">
        <f>_xlfn.BETA.INV($AA2618,1+4*($D$5-$C$5)/($E$5-$C$5),1+4*($E$5-$D$5)/($E$5-$C$5),$C$5,$E$5)</f>
        <v/>
      </c>
      <c r="N2618" s="14">
        <f>IF($AB2618&lt;($D$6-$C$6)/($E$6-$C$6),$C$6+SQRT($AB2618*($E$6-$C$6)*($D$6-$C$6)),$E$6-SQRT((1-$AB2618)*($E$6-$C$6)*($E$6-$D$6)))</f>
        <v/>
      </c>
      <c r="O2618" s="14">
        <f>_xlfn.NORM.INV($AC2618,$C$7,$D$7)</f>
        <v/>
      </c>
      <c r="P2618" s="14">
        <f>$C$8+($D$8-$C$8)*$AD2618</f>
        <v/>
      </c>
      <c r="Q2618" s="14">
        <f>$C$9</f>
        <v/>
      </c>
      <c r="R2618" s="14">
        <f>_xlfn.LOGNORM.INV($AF2618,LN($C$10)-0.5*LN(1+($D$10/$C$10)^2),SQRT(LN(1+($D$10/$C$10)^2)))</f>
        <v/>
      </c>
      <c r="S2618" s="14">
        <f>SUM(M2618:R2618)</f>
        <v/>
      </c>
      <c r="AA2618">
        <f>RAND()</f>
        <v/>
      </c>
      <c r="AB2618">
        <f>RAND()</f>
        <v/>
      </c>
      <c r="AC2618">
        <f>RAND()</f>
        <v/>
      </c>
      <c r="AD2618">
        <f>RAND()</f>
        <v/>
      </c>
      <c r="AE2618">
        <f>RAND()</f>
        <v/>
      </c>
      <c r="AF2618">
        <f>RAND()</f>
        <v/>
      </c>
    </row>
    <row r="2619">
      <c r="M2619" s="14">
        <f>_xlfn.BETA.INV($AA2619,1+4*($D$5-$C$5)/($E$5-$C$5),1+4*($E$5-$D$5)/($E$5-$C$5),$C$5,$E$5)</f>
        <v/>
      </c>
      <c r="N2619" s="14">
        <f>IF($AB2619&lt;($D$6-$C$6)/($E$6-$C$6),$C$6+SQRT($AB2619*($E$6-$C$6)*($D$6-$C$6)),$E$6-SQRT((1-$AB2619)*($E$6-$C$6)*($E$6-$D$6)))</f>
        <v/>
      </c>
      <c r="O2619" s="14">
        <f>_xlfn.NORM.INV($AC2619,$C$7,$D$7)</f>
        <v/>
      </c>
      <c r="P2619" s="14">
        <f>$C$8+($D$8-$C$8)*$AD2619</f>
        <v/>
      </c>
      <c r="Q2619" s="14">
        <f>$C$9</f>
        <v/>
      </c>
      <c r="R2619" s="14">
        <f>_xlfn.LOGNORM.INV($AF2619,LN($C$10)-0.5*LN(1+($D$10/$C$10)^2),SQRT(LN(1+($D$10/$C$10)^2)))</f>
        <v/>
      </c>
      <c r="S2619" s="14">
        <f>SUM(M2619:R2619)</f>
        <v/>
      </c>
      <c r="AA2619">
        <f>RAND()</f>
        <v/>
      </c>
      <c r="AB2619">
        <f>RAND()</f>
        <v/>
      </c>
      <c r="AC2619">
        <f>RAND()</f>
        <v/>
      </c>
      <c r="AD2619">
        <f>RAND()</f>
        <v/>
      </c>
      <c r="AE2619">
        <f>RAND()</f>
        <v/>
      </c>
      <c r="AF2619">
        <f>RAND()</f>
        <v/>
      </c>
    </row>
    <row r="2620">
      <c r="M2620" s="14">
        <f>_xlfn.BETA.INV($AA2620,1+4*($D$5-$C$5)/($E$5-$C$5),1+4*($E$5-$D$5)/($E$5-$C$5),$C$5,$E$5)</f>
        <v/>
      </c>
      <c r="N2620" s="14">
        <f>IF($AB2620&lt;($D$6-$C$6)/($E$6-$C$6),$C$6+SQRT($AB2620*($E$6-$C$6)*($D$6-$C$6)),$E$6-SQRT((1-$AB2620)*($E$6-$C$6)*($E$6-$D$6)))</f>
        <v/>
      </c>
      <c r="O2620" s="14">
        <f>_xlfn.NORM.INV($AC2620,$C$7,$D$7)</f>
        <v/>
      </c>
      <c r="P2620" s="14">
        <f>$C$8+($D$8-$C$8)*$AD2620</f>
        <v/>
      </c>
      <c r="Q2620" s="14">
        <f>$C$9</f>
        <v/>
      </c>
      <c r="R2620" s="14">
        <f>_xlfn.LOGNORM.INV($AF2620,LN($C$10)-0.5*LN(1+($D$10/$C$10)^2),SQRT(LN(1+($D$10/$C$10)^2)))</f>
        <v/>
      </c>
      <c r="S2620" s="14">
        <f>SUM(M2620:R2620)</f>
        <v/>
      </c>
      <c r="AA2620">
        <f>RAND()</f>
        <v/>
      </c>
      <c r="AB2620">
        <f>RAND()</f>
        <v/>
      </c>
      <c r="AC2620">
        <f>RAND()</f>
        <v/>
      </c>
      <c r="AD2620">
        <f>RAND()</f>
        <v/>
      </c>
      <c r="AE2620">
        <f>RAND()</f>
        <v/>
      </c>
      <c r="AF2620">
        <f>RAND()</f>
        <v/>
      </c>
    </row>
    <row r="2621">
      <c r="M2621" s="14">
        <f>_xlfn.BETA.INV($AA2621,1+4*($D$5-$C$5)/($E$5-$C$5),1+4*($E$5-$D$5)/($E$5-$C$5),$C$5,$E$5)</f>
        <v/>
      </c>
      <c r="N2621" s="14">
        <f>IF($AB2621&lt;($D$6-$C$6)/($E$6-$C$6),$C$6+SQRT($AB2621*($E$6-$C$6)*($D$6-$C$6)),$E$6-SQRT((1-$AB2621)*($E$6-$C$6)*($E$6-$D$6)))</f>
        <v/>
      </c>
      <c r="O2621" s="14">
        <f>_xlfn.NORM.INV($AC2621,$C$7,$D$7)</f>
        <v/>
      </c>
      <c r="P2621" s="14">
        <f>$C$8+($D$8-$C$8)*$AD2621</f>
        <v/>
      </c>
      <c r="Q2621" s="14">
        <f>$C$9</f>
        <v/>
      </c>
      <c r="R2621" s="14">
        <f>_xlfn.LOGNORM.INV($AF2621,LN($C$10)-0.5*LN(1+($D$10/$C$10)^2),SQRT(LN(1+($D$10/$C$10)^2)))</f>
        <v/>
      </c>
      <c r="S2621" s="14">
        <f>SUM(M2621:R2621)</f>
        <v/>
      </c>
      <c r="AA2621">
        <f>RAND()</f>
        <v/>
      </c>
      <c r="AB2621">
        <f>RAND()</f>
        <v/>
      </c>
      <c r="AC2621">
        <f>RAND()</f>
        <v/>
      </c>
      <c r="AD2621">
        <f>RAND()</f>
        <v/>
      </c>
      <c r="AE2621">
        <f>RAND()</f>
        <v/>
      </c>
      <c r="AF2621">
        <f>RAND()</f>
        <v/>
      </c>
    </row>
    <row r="2622">
      <c r="M2622" s="14">
        <f>_xlfn.BETA.INV($AA2622,1+4*($D$5-$C$5)/($E$5-$C$5),1+4*($E$5-$D$5)/($E$5-$C$5),$C$5,$E$5)</f>
        <v/>
      </c>
      <c r="N2622" s="14">
        <f>IF($AB2622&lt;($D$6-$C$6)/($E$6-$C$6),$C$6+SQRT($AB2622*($E$6-$C$6)*($D$6-$C$6)),$E$6-SQRT((1-$AB2622)*($E$6-$C$6)*($E$6-$D$6)))</f>
        <v/>
      </c>
      <c r="O2622" s="14">
        <f>_xlfn.NORM.INV($AC2622,$C$7,$D$7)</f>
        <v/>
      </c>
      <c r="P2622" s="14">
        <f>$C$8+($D$8-$C$8)*$AD2622</f>
        <v/>
      </c>
      <c r="Q2622" s="14">
        <f>$C$9</f>
        <v/>
      </c>
      <c r="R2622" s="14">
        <f>_xlfn.LOGNORM.INV($AF2622,LN($C$10)-0.5*LN(1+($D$10/$C$10)^2),SQRT(LN(1+($D$10/$C$10)^2)))</f>
        <v/>
      </c>
      <c r="S2622" s="14">
        <f>SUM(M2622:R2622)</f>
        <v/>
      </c>
      <c r="AA2622">
        <f>RAND()</f>
        <v/>
      </c>
      <c r="AB2622">
        <f>RAND()</f>
        <v/>
      </c>
      <c r="AC2622">
        <f>RAND()</f>
        <v/>
      </c>
      <c r="AD2622">
        <f>RAND()</f>
        <v/>
      </c>
      <c r="AE2622">
        <f>RAND()</f>
        <v/>
      </c>
      <c r="AF2622">
        <f>RAND()</f>
        <v/>
      </c>
    </row>
    <row r="2623">
      <c r="M2623" s="14">
        <f>_xlfn.BETA.INV($AA2623,1+4*($D$5-$C$5)/($E$5-$C$5),1+4*($E$5-$D$5)/($E$5-$C$5),$C$5,$E$5)</f>
        <v/>
      </c>
      <c r="N2623" s="14">
        <f>IF($AB2623&lt;($D$6-$C$6)/($E$6-$C$6),$C$6+SQRT($AB2623*($E$6-$C$6)*($D$6-$C$6)),$E$6-SQRT((1-$AB2623)*($E$6-$C$6)*($E$6-$D$6)))</f>
        <v/>
      </c>
      <c r="O2623" s="14">
        <f>_xlfn.NORM.INV($AC2623,$C$7,$D$7)</f>
        <v/>
      </c>
      <c r="P2623" s="14">
        <f>$C$8+($D$8-$C$8)*$AD2623</f>
        <v/>
      </c>
      <c r="Q2623" s="14">
        <f>$C$9</f>
        <v/>
      </c>
      <c r="R2623" s="14">
        <f>_xlfn.LOGNORM.INV($AF2623,LN($C$10)-0.5*LN(1+($D$10/$C$10)^2),SQRT(LN(1+($D$10/$C$10)^2)))</f>
        <v/>
      </c>
      <c r="S2623" s="14">
        <f>SUM(M2623:R2623)</f>
        <v/>
      </c>
      <c r="AA2623">
        <f>RAND()</f>
        <v/>
      </c>
      <c r="AB2623">
        <f>RAND()</f>
        <v/>
      </c>
      <c r="AC2623">
        <f>RAND()</f>
        <v/>
      </c>
      <c r="AD2623">
        <f>RAND()</f>
        <v/>
      </c>
      <c r="AE2623">
        <f>RAND()</f>
        <v/>
      </c>
      <c r="AF2623">
        <f>RAND()</f>
        <v/>
      </c>
    </row>
    <row r="2624">
      <c r="M2624" s="14">
        <f>_xlfn.BETA.INV($AA2624,1+4*($D$5-$C$5)/($E$5-$C$5),1+4*($E$5-$D$5)/($E$5-$C$5),$C$5,$E$5)</f>
        <v/>
      </c>
      <c r="N2624" s="14">
        <f>IF($AB2624&lt;($D$6-$C$6)/($E$6-$C$6),$C$6+SQRT($AB2624*($E$6-$C$6)*($D$6-$C$6)),$E$6-SQRT((1-$AB2624)*($E$6-$C$6)*($E$6-$D$6)))</f>
        <v/>
      </c>
      <c r="O2624" s="14">
        <f>_xlfn.NORM.INV($AC2624,$C$7,$D$7)</f>
        <v/>
      </c>
      <c r="P2624" s="14">
        <f>$C$8+($D$8-$C$8)*$AD2624</f>
        <v/>
      </c>
      <c r="Q2624" s="14">
        <f>$C$9</f>
        <v/>
      </c>
      <c r="R2624" s="14">
        <f>_xlfn.LOGNORM.INV($AF2624,LN($C$10)-0.5*LN(1+($D$10/$C$10)^2),SQRT(LN(1+($D$10/$C$10)^2)))</f>
        <v/>
      </c>
      <c r="S2624" s="14">
        <f>SUM(M2624:R2624)</f>
        <v/>
      </c>
      <c r="AA2624">
        <f>RAND()</f>
        <v/>
      </c>
      <c r="AB2624">
        <f>RAND()</f>
        <v/>
      </c>
      <c r="AC2624">
        <f>RAND()</f>
        <v/>
      </c>
      <c r="AD2624">
        <f>RAND()</f>
        <v/>
      </c>
      <c r="AE2624">
        <f>RAND()</f>
        <v/>
      </c>
      <c r="AF2624">
        <f>RAND()</f>
        <v/>
      </c>
    </row>
    <row r="2625">
      <c r="M2625" s="14">
        <f>_xlfn.BETA.INV($AA2625,1+4*($D$5-$C$5)/($E$5-$C$5),1+4*($E$5-$D$5)/($E$5-$C$5),$C$5,$E$5)</f>
        <v/>
      </c>
      <c r="N2625" s="14">
        <f>IF($AB2625&lt;($D$6-$C$6)/($E$6-$C$6),$C$6+SQRT($AB2625*($E$6-$C$6)*($D$6-$C$6)),$E$6-SQRT((1-$AB2625)*($E$6-$C$6)*($E$6-$D$6)))</f>
        <v/>
      </c>
      <c r="O2625" s="14">
        <f>_xlfn.NORM.INV($AC2625,$C$7,$D$7)</f>
        <v/>
      </c>
      <c r="P2625" s="14">
        <f>$C$8+($D$8-$C$8)*$AD2625</f>
        <v/>
      </c>
      <c r="Q2625" s="14">
        <f>$C$9</f>
        <v/>
      </c>
      <c r="R2625" s="14">
        <f>_xlfn.LOGNORM.INV($AF2625,LN($C$10)-0.5*LN(1+($D$10/$C$10)^2),SQRT(LN(1+($D$10/$C$10)^2)))</f>
        <v/>
      </c>
      <c r="S2625" s="14">
        <f>SUM(M2625:R2625)</f>
        <v/>
      </c>
      <c r="AA2625">
        <f>RAND()</f>
        <v/>
      </c>
      <c r="AB2625">
        <f>RAND()</f>
        <v/>
      </c>
      <c r="AC2625">
        <f>RAND()</f>
        <v/>
      </c>
      <c r="AD2625">
        <f>RAND()</f>
        <v/>
      </c>
      <c r="AE2625">
        <f>RAND()</f>
        <v/>
      </c>
      <c r="AF2625">
        <f>RAND()</f>
        <v/>
      </c>
    </row>
    <row r="2626">
      <c r="M2626" s="14">
        <f>_xlfn.BETA.INV($AA2626,1+4*($D$5-$C$5)/($E$5-$C$5),1+4*($E$5-$D$5)/($E$5-$C$5),$C$5,$E$5)</f>
        <v/>
      </c>
      <c r="N2626" s="14">
        <f>IF($AB2626&lt;($D$6-$C$6)/($E$6-$C$6),$C$6+SQRT($AB2626*($E$6-$C$6)*($D$6-$C$6)),$E$6-SQRT((1-$AB2626)*($E$6-$C$6)*($E$6-$D$6)))</f>
        <v/>
      </c>
      <c r="O2626" s="14">
        <f>_xlfn.NORM.INV($AC2626,$C$7,$D$7)</f>
        <v/>
      </c>
      <c r="P2626" s="14">
        <f>$C$8+($D$8-$C$8)*$AD2626</f>
        <v/>
      </c>
      <c r="Q2626" s="14">
        <f>$C$9</f>
        <v/>
      </c>
      <c r="R2626" s="14">
        <f>_xlfn.LOGNORM.INV($AF2626,LN($C$10)-0.5*LN(1+($D$10/$C$10)^2),SQRT(LN(1+($D$10/$C$10)^2)))</f>
        <v/>
      </c>
      <c r="S2626" s="14">
        <f>SUM(M2626:R2626)</f>
        <v/>
      </c>
      <c r="AA2626">
        <f>RAND()</f>
        <v/>
      </c>
      <c r="AB2626">
        <f>RAND()</f>
        <v/>
      </c>
      <c r="AC2626">
        <f>RAND()</f>
        <v/>
      </c>
      <c r="AD2626">
        <f>RAND()</f>
        <v/>
      </c>
      <c r="AE2626">
        <f>RAND()</f>
        <v/>
      </c>
      <c r="AF2626">
        <f>RAND()</f>
        <v/>
      </c>
    </row>
    <row r="2627">
      <c r="M2627" s="14">
        <f>_xlfn.BETA.INV($AA2627,1+4*($D$5-$C$5)/($E$5-$C$5),1+4*($E$5-$D$5)/($E$5-$C$5),$C$5,$E$5)</f>
        <v/>
      </c>
      <c r="N2627" s="14">
        <f>IF($AB2627&lt;($D$6-$C$6)/($E$6-$C$6),$C$6+SQRT($AB2627*($E$6-$C$6)*($D$6-$C$6)),$E$6-SQRT((1-$AB2627)*($E$6-$C$6)*($E$6-$D$6)))</f>
        <v/>
      </c>
      <c r="O2627" s="14">
        <f>_xlfn.NORM.INV($AC2627,$C$7,$D$7)</f>
        <v/>
      </c>
      <c r="P2627" s="14">
        <f>$C$8+($D$8-$C$8)*$AD2627</f>
        <v/>
      </c>
      <c r="Q2627" s="14">
        <f>$C$9</f>
        <v/>
      </c>
      <c r="R2627" s="14">
        <f>_xlfn.LOGNORM.INV($AF2627,LN($C$10)-0.5*LN(1+($D$10/$C$10)^2),SQRT(LN(1+($D$10/$C$10)^2)))</f>
        <v/>
      </c>
      <c r="S2627" s="14">
        <f>SUM(M2627:R2627)</f>
        <v/>
      </c>
      <c r="AA2627">
        <f>RAND()</f>
        <v/>
      </c>
      <c r="AB2627">
        <f>RAND()</f>
        <v/>
      </c>
      <c r="AC2627">
        <f>RAND()</f>
        <v/>
      </c>
      <c r="AD2627">
        <f>RAND()</f>
        <v/>
      </c>
      <c r="AE2627">
        <f>RAND()</f>
        <v/>
      </c>
      <c r="AF2627">
        <f>RAND()</f>
        <v/>
      </c>
    </row>
    <row r="2628">
      <c r="M2628" s="14">
        <f>_xlfn.BETA.INV($AA2628,1+4*($D$5-$C$5)/($E$5-$C$5),1+4*($E$5-$D$5)/($E$5-$C$5),$C$5,$E$5)</f>
        <v/>
      </c>
      <c r="N2628" s="14">
        <f>IF($AB2628&lt;($D$6-$C$6)/($E$6-$C$6),$C$6+SQRT($AB2628*($E$6-$C$6)*($D$6-$C$6)),$E$6-SQRT((1-$AB2628)*($E$6-$C$6)*($E$6-$D$6)))</f>
        <v/>
      </c>
      <c r="O2628" s="14">
        <f>_xlfn.NORM.INV($AC2628,$C$7,$D$7)</f>
        <v/>
      </c>
      <c r="P2628" s="14">
        <f>$C$8+($D$8-$C$8)*$AD2628</f>
        <v/>
      </c>
      <c r="Q2628" s="14">
        <f>$C$9</f>
        <v/>
      </c>
      <c r="R2628" s="14">
        <f>_xlfn.LOGNORM.INV($AF2628,LN($C$10)-0.5*LN(1+($D$10/$C$10)^2),SQRT(LN(1+($D$10/$C$10)^2)))</f>
        <v/>
      </c>
      <c r="S2628" s="14">
        <f>SUM(M2628:R2628)</f>
        <v/>
      </c>
      <c r="AA2628">
        <f>RAND()</f>
        <v/>
      </c>
      <c r="AB2628">
        <f>RAND()</f>
        <v/>
      </c>
      <c r="AC2628">
        <f>RAND()</f>
        <v/>
      </c>
      <c r="AD2628">
        <f>RAND()</f>
        <v/>
      </c>
      <c r="AE2628">
        <f>RAND()</f>
        <v/>
      </c>
      <c r="AF2628">
        <f>RAND()</f>
        <v/>
      </c>
    </row>
    <row r="2629">
      <c r="M2629" s="14">
        <f>_xlfn.BETA.INV($AA2629,1+4*($D$5-$C$5)/($E$5-$C$5),1+4*($E$5-$D$5)/($E$5-$C$5),$C$5,$E$5)</f>
        <v/>
      </c>
      <c r="N2629" s="14">
        <f>IF($AB2629&lt;($D$6-$C$6)/($E$6-$C$6),$C$6+SQRT($AB2629*($E$6-$C$6)*($D$6-$C$6)),$E$6-SQRT((1-$AB2629)*($E$6-$C$6)*($E$6-$D$6)))</f>
        <v/>
      </c>
      <c r="O2629" s="14">
        <f>_xlfn.NORM.INV($AC2629,$C$7,$D$7)</f>
        <v/>
      </c>
      <c r="P2629" s="14">
        <f>$C$8+($D$8-$C$8)*$AD2629</f>
        <v/>
      </c>
      <c r="Q2629" s="14">
        <f>$C$9</f>
        <v/>
      </c>
      <c r="R2629" s="14">
        <f>_xlfn.LOGNORM.INV($AF2629,LN($C$10)-0.5*LN(1+($D$10/$C$10)^2),SQRT(LN(1+($D$10/$C$10)^2)))</f>
        <v/>
      </c>
      <c r="S2629" s="14">
        <f>SUM(M2629:R2629)</f>
        <v/>
      </c>
      <c r="AA2629">
        <f>RAND()</f>
        <v/>
      </c>
      <c r="AB2629">
        <f>RAND()</f>
        <v/>
      </c>
      <c r="AC2629">
        <f>RAND()</f>
        <v/>
      </c>
      <c r="AD2629">
        <f>RAND()</f>
        <v/>
      </c>
      <c r="AE2629">
        <f>RAND()</f>
        <v/>
      </c>
      <c r="AF2629">
        <f>RAND()</f>
        <v/>
      </c>
    </row>
    <row r="2630">
      <c r="M2630" s="14">
        <f>_xlfn.BETA.INV($AA2630,1+4*($D$5-$C$5)/($E$5-$C$5),1+4*($E$5-$D$5)/($E$5-$C$5),$C$5,$E$5)</f>
        <v/>
      </c>
      <c r="N2630" s="14">
        <f>IF($AB2630&lt;($D$6-$C$6)/($E$6-$C$6),$C$6+SQRT($AB2630*($E$6-$C$6)*($D$6-$C$6)),$E$6-SQRT((1-$AB2630)*($E$6-$C$6)*($E$6-$D$6)))</f>
        <v/>
      </c>
      <c r="O2630" s="14">
        <f>_xlfn.NORM.INV($AC2630,$C$7,$D$7)</f>
        <v/>
      </c>
      <c r="P2630" s="14">
        <f>$C$8+($D$8-$C$8)*$AD2630</f>
        <v/>
      </c>
      <c r="Q2630" s="14">
        <f>$C$9</f>
        <v/>
      </c>
      <c r="R2630" s="14">
        <f>_xlfn.LOGNORM.INV($AF2630,LN($C$10)-0.5*LN(1+($D$10/$C$10)^2),SQRT(LN(1+($D$10/$C$10)^2)))</f>
        <v/>
      </c>
      <c r="S2630" s="14">
        <f>SUM(M2630:R2630)</f>
        <v/>
      </c>
      <c r="AA2630">
        <f>RAND()</f>
        <v/>
      </c>
      <c r="AB2630">
        <f>RAND()</f>
        <v/>
      </c>
      <c r="AC2630">
        <f>RAND()</f>
        <v/>
      </c>
      <c r="AD2630">
        <f>RAND()</f>
        <v/>
      </c>
      <c r="AE2630">
        <f>RAND()</f>
        <v/>
      </c>
      <c r="AF2630">
        <f>RAND()</f>
        <v/>
      </c>
    </row>
    <row r="2631">
      <c r="M2631" s="14">
        <f>_xlfn.BETA.INV($AA2631,1+4*($D$5-$C$5)/($E$5-$C$5),1+4*($E$5-$D$5)/($E$5-$C$5),$C$5,$E$5)</f>
        <v/>
      </c>
      <c r="N2631" s="14">
        <f>IF($AB2631&lt;($D$6-$C$6)/($E$6-$C$6),$C$6+SQRT($AB2631*($E$6-$C$6)*($D$6-$C$6)),$E$6-SQRT((1-$AB2631)*($E$6-$C$6)*($E$6-$D$6)))</f>
        <v/>
      </c>
      <c r="O2631" s="14">
        <f>_xlfn.NORM.INV($AC2631,$C$7,$D$7)</f>
        <v/>
      </c>
      <c r="P2631" s="14">
        <f>$C$8+($D$8-$C$8)*$AD2631</f>
        <v/>
      </c>
      <c r="Q2631" s="14">
        <f>$C$9</f>
        <v/>
      </c>
      <c r="R2631" s="14">
        <f>_xlfn.LOGNORM.INV($AF2631,LN($C$10)-0.5*LN(1+($D$10/$C$10)^2),SQRT(LN(1+($D$10/$C$10)^2)))</f>
        <v/>
      </c>
      <c r="S2631" s="14">
        <f>SUM(M2631:R2631)</f>
        <v/>
      </c>
      <c r="AA2631">
        <f>RAND()</f>
        <v/>
      </c>
      <c r="AB2631">
        <f>RAND()</f>
        <v/>
      </c>
      <c r="AC2631">
        <f>RAND()</f>
        <v/>
      </c>
      <c r="AD2631">
        <f>RAND()</f>
        <v/>
      </c>
      <c r="AE2631">
        <f>RAND()</f>
        <v/>
      </c>
      <c r="AF2631">
        <f>RAND()</f>
        <v/>
      </c>
    </row>
    <row r="2632">
      <c r="M2632" s="14">
        <f>_xlfn.BETA.INV($AA2632,1+4*($D$5-$C$5)/($E$5-$C$5),1+4*($E$5-$D$5)/($E$5-$C$5),$C$5,$E$5)</f>
        <v/>
      </c>
      <c r="N2632" s="14">
        <f>IF($AB2632&lt;($D$6-$C$6)/($E$6-$C$6),$C$6+SQRT($AB2632*($E$6-$C$6)*($D$6-$C$6)),$E$6-SQRT((1-$AB2632)*($E$6-$C$6)*($E$6-$D$6)))</f>
        <v/>
      </c>
      <c r="O2632" s="14">
        <f>_xlfn.NORM.INV($AC2632,$C$7,$D$7)</f>
        <v/>
      </c>
      <c r="P2632" s="14">
        <f>$C$8+($D$8-$C$8)*$AD2632</f>
        <v/>
      </c>
      <c r="Q2632" s="14">
        <f>$C$9</f>
        <v/>
      </c>
      <c r="R2632" s="14">
        <f>_xlfn.LOGNORM.INV($AF2632,LN($C$10)-0.5*LN(1+($D$10/$C$10)^2),SQRT(LN(1+($D$10/$C$10)^2)))</f>
        <v/>
      </c>
      <c r="S2632" s="14">
        <f>SUM(M2632:R2632)</f>
        <v/>
      </c>
      <c r="AA2632">
        <f>RAND()</f>
        <v/>
      </c>
      <c r="AB2632">
        <f>RAND()</f>
        <v/>
      </c>
      <c r="AC2632">
        <f>RAND()</f>
        <v/>
      </c>
      <c r="AD2632">
        <f>RAND()</f>
        <v/>
      </c>
      <c r="AE2632">
        <f>RAND()</f>
        <v/>
      </c>
      <c r="AF2632">
        <f>RAND()</f>
        <v/>
      </c>
    </row>
    <row r="2633">
      <c r="M2633" s="14">
        <f>_xlfn.BETA.INV($AA2633,1+4*($D$5-$C$5)/($E$5-$C$5),1+4*($E$5-$D$5)/($E$5-$C$5),$C$5,$E$5)</f>
        <v/>
      </c>
      <c r="N2633" s="14">
        <f>IF($AB2633&lt;($D$6-$C$6)/($E$6-$C$6),$C$6+SQRT($AB2633*($E$6-$C$6)*($D$6-$C$6)),$E$6-SQRT((1-$AB2633)*($E$6-$C$6)*($E$6-$D$6)))</f>
        <v/>
      </c>
      <c r="O2633" s="14">
        <f>_xlfn.NORM.INV($AC2633,$C$7,$D$7)</f>
        <v/>
      </c>
      <c r="P2633" s="14">
        <f>$C$8+($D$8-$C$8)*$AD2633</f>
        <v/>
      </c>
      <c r="Q2633" s="14">
        <f>$C$9</f>
        <v/>
      </c>
      <c r="R2633" s="14">
        <f>_xlfn.LOGNORM.INV($AF2633,LN($C$10)-0.5*LN(1+($D$10/$C$10)^2),SQRT(LN(1+($D$10/$C$10)^2)))</f>
        <v/>
      </c>
      <c r="S2633" s="14">
        <f>SUM(M2633:R2633)</f>
        <v/>
      </c>
      <c r="AA2633">
        <f>RAND()</f>
        <v/>
      </c>
      <c r="AB2633">
        <f>RAND()</f>
        <v/>
      </c>
      <c r="AC2633">
        <f>RAND()</f>
        <v/>
      </c>
      <c r="AD2633">
        <f>RAND()</f>
        <v/>
      </c>
      <c r="AE2633">
        <f>RAND()</f>
        <v/>
      </c>
      <c r="AF2633">
        <f>RAND()</f>
        <v/>
      </c>
    </row>
    <row r="2634">
      <c r="M2634" s="14">
        <f>_xlfn.BETA.INV($AA2634,1+4*($D$5-$C$5)/($E$5-$C$5),1+4*($E$5-$D$5)/($E$5-$C$5),$C$5,$E$5)</f>
        <v/>
      </c>
      <c r="N2634" s="14">
        <f>IF($AB2634&lt;($D$6-$C$6)/($E$6-$C$6),$C$6+SQRT($AB2634*($E$6-$C$6)*($D$6-$C$6)),$E$6-SQRT((1-$AB2634)*($E$6-$C$6)*($E$6-$D$6)))</f>
        <v/>
      </c>
      <c r="O2634" s="14">
        <f>_xlfn.NORM.INV($AC2634,$C$7,$D$7)</f>
        <v/>
      </c>
      <c r="P2634" s="14">
        <f>$C$8+($D$8-$C$8)*$AD2634</f>
        <v/>
      </c>
      <c r="Q2634" s="14">
        <f>$C$9</f>
        <v/>
      </c>
      <c r="R2634" s="14">
        <f>_xlfn.LOGNORM.INV($AF2634,LN($C$10)-0.5*LN(1+($D$10/$C$10)^2),SQRT(LN(1+($D$10/$C$10)^2)))</f>
        <v/>
      </c>
      <c r="S2634" s="14">
        <f>SUM(M2634:R2634)</f>
        <v/>
      </c>
      <c r="AA2634">
        <f>RAND()</f>
        <v/>
      </c>
      <c r="AB2634">
        <f>RAND()</f>
        <v/>
      </c>
      <c r="AC2634">
        <f>RAND()</f>
        <v/>
      </c>
      <c r="AD2634">
        <f>RAND()</f>
        <v/>
      </c>
      <c r="AE2634">
        <f>RAND()</f>
        <v/>
      </c>
      <c r="AF2634">
        <f>RAND()</f>
        <v/>
      </c>
    </row>
    <row r="2635">
      <c r="M2635" s="14">
        <f>_xlfn.BETA.INV($AA2635,1+4*($D$5-$C$5)/($E$5-$C$5),1+4*($E$5-$D$5)/($E$5-$C$5),$C$5,$E$5)</f>
        <v/>
      </c>
      <c r="N2635" s="14">
        <f>IF($AB2635&lt;($D$6-$C$6)/($E$6-$C$6),$C$6+SQRT($AB2635*($E$6-$C$6)*($D$6-$C$6)),$E$6-SQRT((1-$AB2635)*($E$6-$C$6)*($E$6-$D$6)))</f>
        <v/>
      </c>
      <c r="O2635" s="14">
        <f>_xlfn.NORM.INV($AC2635,$C$7,$D$7)</f>
        <v/>
      </c>
      <c r="P2635" s="14">
        <f>$C$8+($D$8-$C$8)*$AD2635</f>
        <v/>
      </c>
      <c r="Q2635" s="14">
        <f>$C$9</f>
        <v/>
      </c>
      <c r="R2635" s="14">
        <f>_xlfn.LOGNORM.INV($AF2635,LN($C$10)-0.5*LN(1+($D$10/$C$10)^2),SQRT(LN(1+($D$10/$C$10)^2)))</f>
        <v/>
      </c>
      <c r="S2635" s="14">
        <f>SUM(M2635:R2635)</f>
        <v/>
      </c>
      <c r="AA2635">
        <f>RAND()</f>
        <v/>
      </c>
      <c r="AB2635">
        <f>RAND()</f>
        <v/>
      </c>
      <c r="AC2635">
        <f>RAND()</f>
        <v/>
      </c>
      <c r="AD2635">
        <f>RAND()</f>
        <v/>
      </c>
      <c r="AE2635">
        <f>RAND()</f>
        <v/>
      </c>
      <c r="AF2635">
        <f>RAND()</f>
        <v/>
      </c>
    </row>
    <row r="2636">
      <c r="M2636" s="14">
        <f>_xlfn.BETA.INV($AA2636,1+4*($D$5-$C$5)/($E$5-$C$5),1+4*($E$5-$D$5)/($E$5-$C$5),$C$5,$E$5)</f>
        <v/>
      </c>
      <c r="N2636" s="14">
        <f>IF($AB2636&lt;($D$6-$C$6)/($E$6-$C$6),$C$6+SQRT($AB2636*($E$6-$C$6)*($D$6-$C$6)),$E$6-SQRT((1-$AB2636)*($E$6-$C$6)*($E$6-$D$6)))</f>
        <v/>
      </c>
      <c r="O2636" s="14">
        <f>_xlfn.NORM.INV($AC2636,$C$7,$D$7)</f>
        <v/>
      </c>
      <c r="P2636" s="14">
        <f>$C$8+($D$8-$C$8)*$AD2636</f>
        <v/>
      </c>
      <c r="Q2636" s="14">
        <f>$C$9</f>
        <v/>
      </c>
      <c r="R2636" s="14">
        <f>_xlfn.LOGNORM.INV($AF2636,LN($C$10)-0.5*LN(1+($D$10/$C$10)^2),SQRT(LN(1+($D$10/$C$10)^2)))</f>
        <v/>
      </c>
      <c r="S2636" s="14">
        <f>SUM(M2636:R2636)</f>
        <v/>
      </c>
      <c r="AA2636">
        <f>RAND()</f>
        <v/>
      </c>
      <c r="AB2636">
        <f>RAND()</f>
        <v/>
      </c>
      <c r="AC2636">
        <f>RAND()</f>
        <v/>
      </c>
      <c r="AD2636">
        <f>RAND()</f>
        <v/>
      </c>
      <c r="AE2636">
        <f>RAND()</f>
        <v/>
      </c>
      <c r="AF2636">
        <f>RAND()</f>
        <v/>
      </c>
    </row>
    <row r="2637">
      <c r="M2637" s="14">
        <f>_xlfn.BETA.INV($AA2637,1+4*($D$5-$C$5)/($E$5-$C$5),1+4*($E$5-$D$5)/($E$5-$C$5),$C$5,$E$5)</f>
        <v/>
      </c>
      <c r="N2637" s="14">
        <f>IF($AB2637&lt;($D$6-$C$6)/($E$6-$C$6),$C$6+SQRT($AB2637*($E$6-$C$6)*($D$6-$C$6)),$E$6-SQRT((1-$AB2637)*($E$6-$C$6)*($E$6-$D$6)))</f>
        <v/>
      </c>
      <c r="O2637" s="14">
        <f>_xlfn.NORM.INV($AC2637,$C$7,$D$7)</f>
        <v/>
      </c>
      <c r="P2637" s="14">
        <f>$C$8+($D$8-$C$8)*$AD2637</f>
        <v/>
      </c>
      <c r="Q2637" s="14">
        <f>$C$9</f>
        <v/>
      </c>
      <c r="R2637" s="14">
        <f>_xlfn.LOGNORM.INV($AF2637,LN($C$10)-0.5*LN(1+($D$10/$C$10)^2),SQRT(LN(1+($D$10/$C$10)^2)))</f>
        <v/>
      </c>
      <c r="S2637" s="14">
        <f>SUM(M2637:R2637)</f>
        <v/>
      </c>
      <c r="AA2637">
        <f>RAND()</f>
        <v/>
      </c>
      <c r="AB2637">
        <f>RAND()</f>
        <v/>
      </c>
      <c r="AC2637">
        <f>RAND()</f>
        <v/>
      </c>
      <c r="AD2637">
        <f>RAND()</f>
        <v/>
      </c>
      <c r="AE2637">
        <f>RAND()</f>
        <v/>
      </c>
      <c r="AF2637">
        <f>RAND()</f>
        <v/>
      </c>
    </row>
    <row r="2638">
      <c r="M2638" s="14">
        <f>_xlfn.BETA.INV($AA2638,1+4*($D$5-$C$5)/($E$5-$C$5),1+4*($E$5-$D$5)/($E$5-$C$5),$C$5,$E$5)</f>
        <v/>
      </c>
      <c r="N2638" s="14">
        <f>IF($AB2638&lt;($D$6-$C$6)/($E$6-$C$6),$C$6+SQRT($AB2638*($E$6-$C$6)*($D$6-$C$6)),$E$6-SQRT((1-$AB2638)*($E$6-$C$6)*($E$6-$D$6)))</f>
        <v/>
      </c>
      <c r="O2638" s="14">
        <f>_xlfn.NORM.INV($AC2638,$C$7,$D$7)</f>
        <v/>
      </c>
      <c r="P2638" s="14">
        <f>$C$8+($D$8-$C$8)*$AD2638</f>
        <v/>
      </c>
      <c r="Q2638" s="14">
        <f>$C$9</f>
        <v/>
      </c>
      <c r="R2638" s="14">
        <f>_xlfn.LOGNORM.INV($AF2638,LN($C$10)-0.5*LN(1+($D$10/$C$10)^2),SQRT(LN(1+($D$10/$C$10)^2)))</f>
        <v/>
      </c>
      <c r="S2638" s="14">
        <f>SUM(M2638:R2638)</f>
        <v/>
      </c>
      <c r="AA2638">
        <f>RAND()</f>
        <v/>
      </c>
      <c r="AB2638">
        <f>RAND()</f>
        <v/>
      </c>
      <c r="AC2638">
        <f>RAND()</f>
        <v/>
      </c>
      <c r="AD2638">
        <f>RAND()</f>
        <v/>
      </c>
      <c r="AE2638">
        <f>RAND()</f>
        <v/>
      </c>
      <c r="AF2638">
        <f>RAND()</f>
        <v/>
      </c>
    </row>
    <row r="2639">
      <c r="M2639" s="14">
        <f>_xlfn.BETA.INV($AA2639,1+4*($D$5-$C$5)/($E$5-$C$5),1+4*($E$5-$D$5)/($E$5-$C$5),$C$5,$E$5)</f>
        <v/>
      </c>
      <c r="N2639" s="14">
        <f>IF($AB2639&lt;($D$6-$C$6)/($E$6-$C$6),$C$6+SQRT($AB2639*($E$6-$C$6)*($D$6-$C$6)),$E$6-SQRT((1-$AB2639)*($E$6-$C$6)*($E$6-$D$6)))</f>
        <v/>
      </c>
      <c r="O2639" s="14">
        <f>_xlfn.NORM.INV($AC2639,$C$7,$D$7)</f>
        <v/>
      </c>
      <c r="P2639" s="14">
        <f>$C$8+($D$8-$C$8)*$AD2639</f>
        <v/>
      </c>
      <c r="Q2639" s="14">
        <f>$C$9</f>
        <v/>
      </c>
      <c r="R2639" s="14">
        <f>_xlfn.LOGNORM.INV($AF2639,LN($C$10)-0.5*LN(1+($D$10/$C$10)^2),SQRT(LN(1+($D$10/$C$10)^2)))</f>
        <v/>
      </c>
      <c r="S2639" s="14">
        <f>SUM(M2639:R2639)</f>
        <v/>
      </c>
      <c r="AA2639">
        <f>RAND()</f>
        <v/>
      </c>
      <c r="AB2639">
        <f>RAND()</f>
        <v/>
      </c>
      <c r="AC2639">
        <f>RAND()</f>
        <v/>
      </c>
      <c r="AD2639">
        <f>RAND()</f>
        <v/>
      </c>
      <c r="AE2639">
        <f>RAND()</f>
        <v/>
      </c>
      <c r="AF2639">
        <f>RAND()</f>
        <v/>
      </c>
    </row>
    <row r="2640">
      <c r="M2640" s="14">
        <f>_xlfn.BETA.INV($AA2640,1+4*($D$5-$C$5)/($E$5-$C$5),1+4*($E$5-$D$5)/($E$5-$C$5),$C$5,$E$5)</f>
        <v/>
      </c>
      <c r="N2640" s="14">
        <f>IF($AB2640&lt;($D$6-$C$6)/($E$6-$C$6),$C$6+SQRT($AB2640*($E$6-$C$6)*($D$6-$C$6)),$E$6-SQRT((1-$AB2640)*($E$6-$C$6)*($E$6-$D$6)))</f>
        <v/>
      </c>
      <c r="O2640" s="14">
        <f>_xlfn.NORM.INV($AC2640,$C$7,$D$7)</f>
        <v/>
      </c>
      <c r="P2640" s="14">
        <f>$C$8+($D$8-$C$8)*$AD2640</f>
        <v/>
      </c>
      <c r="Q2640" s="14">
        <f>$C$9</f>
        <v/>
      </c>
      <c r="R2640" s="14">
        <f>_xlfn.LOGNORM.INV($AF2640,LN($C$10)-0.5*LN(1+($D$10/$C$10)^2),SQRT(LN(1+($D$10/$C$10)^2)))</f>
        <v/>
      </c>
      <c r="S2640" s="14">
        <f>SUM(M2640:R2640)</f>
        <v/>
      </c>
      <c r="AA2640">
        <f>RAND()</f>
        <v/>
      </c>
      <c r="AB2640">
        <f>RAND()</f>
        <v/>
      </c>
      <c r="AC2640">
        <f>RAND()</f>
        <v/>
      </c>
      <c r="AD2640">
        <f>RAND()</f>
        <v/>
      </c>
      <c r="AE2640">
        <f>RAND()</f>
        <v/>
      </c>
      <c r="AF2640">
        <f>RAND()</f>
        <v/>
      </c>
    </row>
    <row r="2641">
      <c r="M2641" s="14">
        <f>_xlfn.BETA.INV($AA2641,1+4*($D$5-$C$5)/($E$5-$C$5),1+4*($E$5-$D$5)/($E$5-$C$5),$C$5,$E$5)</f>
        <v/>
      </c>
      <c r="N2641" s="14">
        <f>IF($AB2641&lt;($D$6-$C$6)/($E$6-$C$6),$C$6+SQRT($AB2641*($E$6-$C$6)*($D$6-$C$6)),$E$6-SQRT((1-$AB2641)*($E$6-$C$6)*($E$6-$D$6)))</f>
        <v/>
      </c>
      <c r="O2641" s="14">
        <f>_xlfn.NORM.INV($AC2641,$C$7,$D$7)</f>
        <v/>
      </c>
      <c r="P2641" s="14">
        <f>$C$8+($D$8-$C$8)*$AD2641</f>
        <v/>
      </c>
      <c r="Q2641" s="14">
        <f>$C$9</f>
        <v/>
      </c>
      <c r="R2641" s="14">
        <f>_xlfn.LOGNORM.INV($AF2641,LN($C$10)-0.5*LN(1+($D$10/$C$10)^2),SQRT(LN(1+($D$10/$C$10)^2)))</f>
        <v/>
      </c>
      <c r="S2641" s="14">
        <f>SUM(M2641:R2641)</f>
        <v/>
      </c>
      <c r="AA2641">
        <f>RAND()</f>
        <v/>
      </c>
      <c r="AB2641">
        <f>RAND()</f>
        <v/>
      </c>
      <c r="AC2641">
        <f>RAND()</f>
        <v/>
      </c>
      <c r="AD2641">
        <f>RAND()</f>
        <v/>
      </c>
      <c r="AE2641">
        <f>RAND()</f>
        <v/>
      </c>
      <c r="AF2641">
        <f>RAND()</f>
        <v/>
      </c>
    </row>
    <row r="2642">
      <c r="M2642" s="14">
        <f>_xlfn.BETA.INV($AA2642,1+4*($D$5-$C$5)/($E$5-$C$5),1+4*($E$5-$D$5)/($E$5-$C$5),$C$5,$E$5)</f>
        <v/>
      </c>
      <c r="N2642" s="14">
        <f>IF($AB2642&lt;($D$6-$C$6)/($E$6-$C$6),$C$6+SQRT($AB2642*($E$6-$C$6)*($D$6-$C$6)),$E$6-SQRT((1-$AB2642)*($E$6-$C$6)*($E$6-$D$6)))</f>
        <v/>
      </c>
      <c r="O2642" s="14">
        <f>_xlfn.NORM.INV($AC2642,$C$7,$D$7)</f>
        <v/>
      </c>
      <c r="P2642" s="14">
        <f>$C$8+($D$8-$C$8)*$AD2642</f>
        <v/>
      </c>
      <c r="Q2642" s="14">
        <f>$C$9</f>
        <v/>
      </c>
      <c r="R2642" s="14">
        <f>_xlfn.LOGNORM.INV($AF2642,LN($C$10)-0.5*LN(1+($D$10/$C$10)^2),SQRT(LN(1+($D$10/$C$10)^2)))</f>
        <v/>
      </c>
      <c r="S2642" s="14">
        <f>SUM(M2642:R2642)</f>
        <v/>
      </c>
      <c r="AA2642">
        <f>RAND()</f>
        <v/>
      </c>
      <c r="AB2642">
        <f>RAND()</f>
        <v/>
      </c>
      <c r="AC2642">
        <f>RAND()</f>
        <v/>
      </c>
      <c r="AD2642">
        <f>RAND()</f>
        <v/>
      </c>
      <c r="AE2642">
        <f>RAND()</f>
        <v/>
      </c>
      <c r="AF2642">
        <f>RAND()</f>
        <v/>
      </c>
    </row>
    <row r="2643">
      <c r="M2643" s="14">
        <f>_xlfn.BETA.INV($AA2643,1+4*($D$5-$C$5)/($E$5-$C$5),1+4*($E$5-$D$5)/($E$5-$C$5),$C$5,$E$5)</f>
        <v/>
      </c>
      <c r="N2643" s="14">
        <f>IF($AB2643&lt;($D$6-$C$6)/($E$6-$C$6),$C$6+SQRT($AB2643*($E$6-$C$6)*($D$6-$C$6)),$E$6-SQRT((1-$AB2643)*($E$6-$C$6)*($E$6-$D$6)))</f>
        <v/>
      </c>
      <c r="O2643" s="14">
        <f>_xlfn.NORM.INV($AC2643,$C$7,$D$7)</f>
        <v/>
      </c>
      <c r="P2643" s="14">
        <f>$C$8+($D$8-$C$8)*$AD2643</f>
        <v/>
      </c>
      <c r="Q2643" s="14">
        <f>$C$9</f>
        <v/>
      </c>
      <c r="R2643" s="14">
        <f>_xlfn.LOGNORM.INV($AF2643,LN($C$10)-0.5*LN(1+($D$10/$C$10)^2),SQRT(LN(1+($D$10/$C$10)^2)))</f>
        <v/>
      </c>
      <c r="S2643" s="14">
        <f>SUM(M2643:R2643)</f>
        <v/>
      </c>
      <c r="AA2643">
        <f>RAND()</f>
        <v/>
      </c>
      <c r="AB2643">
        <f>RAND()</f>
        <v/>
      </c>
      <c r="AC2643">
        <f>RAND()</f>
        <v/>
      </c>
      <c r="AD2643">
        <f>RAND()</f>
        <v/>
      </c>
      <c r="AE2643">
        <f>RAND()</f>
        <v/>
      </c>
      <c r="AF2643">
        <f>RAND()</f>
        <v/>
      </c>
    </row>
    <row r="2644">
      <c r="M2644" s="14">
        <f>_xlfn.BETA.INV($AA2644,1+4*($D$5-$C$5)/($E$5-$C$5),1+4*($E$5-$D$5)/($E$5-$C$5),$C$5,$E$5)</f>
        <v/>
      </c>
      <c r="N2644" s="14">
        <f>IF($AB2644&lt;($D$6-$C$6)/($E$6-$C$6),$C$6+SQRT($AB2644*($E$6-$C$6)*($D$6-$C$6)),$E$6-SQRT((1-$AB2644)*($E$6-$C$6)*($E$6-$D$6)))</f>
        <v/>
      </c>
      <c r="O2644" s="14">
        <f>_xlfn.NORM.INV($AC2644,$C$7,$D$7)</f>
        <v/>
      </c>
      <c r="P2644" s="14">
        <f>$C$8+($D$8-$C$8)*$AD2644</f>
        <v/>
      </c>
      <c r="Q2644" s="14">
        <f>$C$9</f>
        <v/>
      </c>
      <c r="R2644" s="14">
        <f>_xlfn.LOGNORM.INV($AF2644,LN($C$10)-0.5*LN(1+($D$10/$C$10)^2),SQRT(LN(1+($D$10/$C$10)^2)))</f>
        <v/>
      </c>
      <c r="S2644" s="14">
        <f>SUM(M2644:R2644)</f>
        <v/>
      </c>
      <c r="AA2644">
        <f>RAND()</f>
        <v/>
      </c>
      <c r="AB2644">
        <f>RAND()</f>
        <v/>
      </c>
      <c r="AC2644">
        <f>RAND()</f>
        <v/>
      </c>
      <c r="AD2644">
        <f>RAND()</f>
        <v/>
      </c>
      <c r="AE2644">
        <f>RAND()</f>
        <v/>
      </c>
      <c r="AF2644">
        <f>RAND()</f>
        <v/>
      </c>
    </row>
    <row r="2645">
      <c r="M2645" s="14">
        <f>_xlfn.BETA.INV($AA2645,1+4*($D$5-$C$5)/($E$5-$C$5),1+4*($E$5-$D$5)/($E$5-$C$5),$C$5,$E$5)</f>
        <v/>
      </c>
      <c r="N2645" s="14">
        <f>IF($AB2645&lt;($D$6-$C$6)/($E$6-$C$6),$C$6+SQRT($AB2645*($E$6-$C$6)*($D$6-$C$6)),$E$6-SQRT((1-$AB2645)*($E$6-$C$6)*($E$6-$D$6)))</f>
        <v/>
      </c>
      <c r="O2645" s="14">
        <f>_xlfn.NORM.INV($AC2645,$C$7,$D$7)</f>
        <v/>
      </c>
      <c r="P2645" s="14">
        <f>$C$8+($D$8-$C$8)*$AD2645</f>
        <v/>
      </c>
      <c r="Q2645" s="14">
        <f>$C$9</f>
        <v/>
      </c>
      <c r="R2645" s="14">
        <f>_xlfn.LOGNORM.INV($AF2645,LN($C$10)-0.5*LN(1+($D$10/$C$10)^2),SQRT(LN(1+($D$10/$C$10)^2)))</f>
        <v/>
      </c>
      <c r="S2645" s="14">
        <f>SUM(M2645:R2645)</f>
        <v/>
      </c>
      <c r="AA2645">
        <f>RAND()</f>
        <v/>
      </c>
      <c r="AB2645">
        <f>RAND()</f>
        <v/>
      </c>
      <c r="AC2645">
        <f>RAND()</f>
        <v/>
      </c>
      <c r="AD2645">
        <f>RAND()</f>
        <v/>
      </c>
      <c r="AE2645">
        <f>RAND()</f>
        <v/>
      </c>
      <c r="AF2645">
        <f>RAND()</f>
        <v/>
      </c>
    </row>
    <row r="2646">
      <c r="M2646" s="14">
        <f>_xlfn.BETA.INV($AA2646,1+4*($D$5-$C$5)/($E$5-$C$5),1+4*($E$5-$D$5)/($E$5-$C$5),$C$5,$E$5)</f>
        <v/>
      </c>
      <c r="N2646" s="14">
        <f>IF($AB2646&lt;($D$6-$C$6)/($E$6-$C$6),$C$6+SQRT($AB2646*($E$6-$C$6)*($D$6-$C$6)),$E$6-SQRT((1-$AB2646)*($E$6-$C$6)*($E$6-$D$6)))</f>
        <v/>
      </c>
      <c r="O2646" s="14">
        <f>_xlfn.NORM.INV($AC2646,$C$7,$D$7)</f>
        <v/>
      </c>
      <c r="P2646" s="14">
        <f>$C$8+($D$8-$C$8)*$AD2646</f>
        <v/>
      </c>
      <c r="Q2646" s="14">
        <f>$C$9</f>
        <v/>
      </c>
      <c r="R2646" s="14">
        <f>_xlfn.LOGNORM.INV($AF2646,LN($C$10)-0.5*LN(1+($D$10/$C$10)^2),SQRT(LN(1+($D$10/$C$10)^2)))</f>
        <v/>
      </c>
      <c r="S2646" s="14">
        <f>SUM(M2646:R2646)</f>
        <v/>
      </c>
      <c r="AA2646">
        <f>RAND()</f>
        <v/>
      </c>
      <c r="AB2646">
        <f>RAND()</f>
        <v/>
      </c>
      <c r="AC2646">
        <f>RAND()</f>
        <v/>
      </c>
      <c r="AD2646">
        <f>RAND()</f>
        <v/>
      </c>
      <c r="AE2646">
        <f>RAND()</f>
        <v/>
      </c>
      <c r="AF2646">
        <f>RAND()</f>
        <v/>
      </c>
    </row>
    <row r="2647">
      <c r="M2647" s="14">
        <f>_xlfn.BETA.INV($AA2647,1+4*($D$5-$C$5)/($E$5-$C$5),1+4*($E$5-$D$5)/($E$5-$C$5),$C$5,$E$5)</f>
        <v/>
      </c>
      <c r="N2647" s="14">
        <f>IF($AB2647&lt;($D$6-$C$6)/($E$6-$C$6),$C$6+SQRT($AB2647*($E$6-$C$6)*($D$6-$C$6)),$E$6-SQRT((1-$AB2647)*($E$6-$C$6)*($E$6-$D$6)))</f>
        <v/>
      </c>
      <c r="O2647" s="14">
        <f>_xlfn.NORM.INV($AC2647,$C$7,$D$7)</f>
        <v/>
      </c>
      <c r="P2647" s="14">
        <f>$C$8+($D$8-$C$8)*$AD2647</f>
        <v/>
      </c>
      <c r="Q2647" s="14">
        <f>$C$9</f>
        <v/>
      </c>
      <c r="R2647" s="14">
        <f>_xlfn.LOGNORM.INV($AF2647,LN($C$10)-0.5*LN(1+($D$10/$C$10)^2),SQRT(LN(1+($D$10/$C$10)^2)))</f>
        <v/>
      </c>
      <c r="S2647" s="14">
        <f>SUM(M2647:R2647)</f>
        <v/>
      </c>
      <c r="AA2647">
        <f>RAND()</f>
        <v/>
      </c>
      <c r="AB2647">
        <f>RAND()</f>
        <v/>
      </c>
      <c r="AC2647">
        <f>RAND()</f>
        <v/>
      </c>
      <c r="AD2647">
        <f>RAND()</f>
        <v/>
      </c>
      <c r="AE2647">
        <f>RAND()</f>
        <v/>
      </c>
      <c r="AF2647">
        <f>RAND()</f>
        <v/>
      </c>
    </row>
    <row r="2648">
      <c r="M2648" s="14">
        <f>_xlfn.BETA.INV($AA2648,1+4*($D$5-$C$5)/($E$5-$C$5),1+4*($E$5-$D$5)/($E$5-$C$5),$C$5,$E$5)</f>
        <v/>
      </c>
      <c r="N2648" s="14">
        <f>IF($AB2648&lt;($D$6-$C$6)/($E$6-$C$6),$C$6+SQRT($AB2648*($E$6-$C$6)*($D$6-$C$6)),$E$6-SQRT((1-$AB2648)*($E$6-$C$6)*($E$6-$D$6)))</f>
        <v/>
      </c>
      <c r="O2648" s="14">
        <f>_xlfn.NORM.INV($AC2648,$C$7,$D$7)</f>
        <v/>
      </c>
      <c r="P2648" s="14">
        <f>$C$8+($D$8-$C$8)*$AD2648</f>
        <v/>
      </c>
      <c r="Q2648" s="14">
        <f>$C$9</f>
        <v/>
      </c>
      <c r="R2648" s="14">
        <f>_xlfn.LOGNORM.INV($AF2648,LN($C$10)-0.5*LN(1+($D$10/$C$10)^2),SQRT(LN(1+($D$10/$C$10)^2)))</f>
        <v/>
      </c>
      <c r="S2648" s="14">
        <f>SUM(M2648:R2648)</f>
        <v/>
      </c>
      <c r="AA2648">
        <f>RAND()</f>
        <v/>
      </c>
      <c r="AB2648">
        <f>RAND()</f>
        <v/>
      </c>
      <c r="AC2648">
        <f>RAND()</f>
        <v/>
      </c>
      <c r="AD2648">
        <f>RAND()</f>
        <v/>
      </c>
      <c r="AE2648">
        <f>RAND()</f>
        <v/>
      </c>
      <c r="AF2648">
        <f>RAND()</f>
        <v/>
      </c>
    </row>
    <row r="2649">
      <c r="M2649" s="14">
        <f>_xlfn.BETA.INV($AA2649,1+4*($D$5-$C$5)/($E$5-$C$5),1+4*($E$5-$D$5)/($E$5-$C$5),$C$5,$E$5)</f>
        <v/>
      </c>
      <c r="N2649" s="14">
        <f>IF($AB2649&lt;($D$6-$C$6)/($E$6-$C$6),$C$6+SQRT($AB2649*($E$6-$C$6)*($D$6-$C$6)),$E$6-SQRT((1-$AB2649)*($E$6-$C$6)*($E$6-$D$6)))</f>
        <v/>
      </c>
      <c r="O2649" s="14">
        <f>_xlfn.NORM.INV($AC2649,$C$7,$D$7)</f>
        <v/>
      </c>
      <c r="P2649" s="14">
        <f>$C$8+($D$8-$C$8)*$AD2649</f>
        <v/>
      </c>
      <c r="Q2649" s="14">
        <f>$C$9</f>
        <v/>
      </c>
      <c r="R2649" s="14">
        <f>_xlfn.LOGNORM.INV($AF2649,LN($C$10)-0.5*LN(1+($D$10/$C$10)^2),SQRT(LN(1+($D$10/$C$10)^2)))</f>
        <v/>
      </c>
      <c r="S2649" s="14">
        <f>SUM(M2649:R2649)</f>
        <v/>
      </c>
      <c r="AA2649">
        <f>RAND()</f>
        <v/>
      </c>
      <c r="AB2649">
        <f>RAND()</f>
        <v/>
      </c>
      <c r="AC2649">
        <f>RAND()</f>
        <v/>
      </c>
      <c r="AD2649">
        <f>RAND()</f>
        <v/>
      </c>
      <c r="AE2649">
        <f>RAND()</f>
        <v/>
      </c>
      <c r="AF2649">
        <f>RAND()</f>
        <v/>
      </c>
    </row>
    <row r="2650">
      <c r="M2650" s="14">
        <f>_xlfn.BETA.INV($AA2650,1+4*($D$5-$C$5)/($E$5-$C$5),1+4*($E$5-$D$5)/($E$5-$C$5),$C$5,$E$5)</f>
        <v/>
      </c>
      <c r="N2650" s="14">
        <f>IF($AB2650&lt;($D$6-$C$6)/($E$6-$C$6),$C$6+SQRT($AB2650*($E$6-$C$6)*($D$6-$C$6)),$E$6-SQRT((1-$AB2650)*($E$6-$C$6)*($E$6-$D$6)))</f>
        <v/>
      </c>
      <c r="O2650" s="14">
        <f>_xlfn.NORM.INV($AC2650,$C$7,$D$7)</f>
        <v/>
      </c>
      <c r="P2650" s="14">
        <f>$C$8+($D$8-$C$8)*$AD2650</f>
        <v/>
      </c>
      <c r="Q2650" s="14">
        <f>$C$9</f>
        <v/>
      </c>
      <c r="R2650" s="14">
        <f>_xlfn.LOGNORM.INV($AF2650,LN($C$10)-0.5*LN(1+($D$10/$C$10)^2),SQRT(LN(1+($D$10/$C$10)^2)))</f>
        <v/>
      </c>
      <c r="S2650" s="14">
        <f>SUM(M2650:R2650)</f>
        <v/>
      </c>
      <c r="AA2650">
        <f>RAND()</f>
        <v/>
      </c>
      <c r="AB2650">
        <f>RAND()</f>
        <v/>
      </c>
      <c r="AC2650">
        <f>RAND()</f>
        <v/>
      </c>
      <c r="AD2650">
        <f>RAND()</f>
        <v/>
      </c>
      <c r="AE2650">
        <f>RAND()</f>
        <v/>
      </c>
      <c r="AF2650">
        <f>RAND()</f>
        <v/>
      </c>
    </row>
    <row r="2651">
      <c r="M2651" s="14">
        <f>_xlfn.BETA.INV($AA2651,1+4*($D$5-$C$5)/($E$5-$C$5),1+4*($E$5-$D$5)/($E$5-$C$5),$C$5,$E$5)</f>
        <v/>
      </c>
      <c r="N2651" s="14">
        <f>IF($AB2651&lt;($D$6-$C$6)/($E$6-$C$6),$C$6+SQRT($AB2651*($E$6-$C$6)*($D$6-$C$6)),$E$6-SQRT((1-$AB2651)*($E$6-$C$6)*($E$6-$D$6)))</f>
        <v/>
      </c>
      <c r="O2651" s="14">
        <f>_xlfn.NORM.INV($AC2651,$C$7,$D$7)</f>
        <v/>
      </c>
      <c r="P2651" s="14">
        <f>$C$8+($D$8-$C$8)*$AD2651</f>
        <v/>
      </c>
      <c r="Q2651" s="14">
        <f>$C$9</f>
        <v/>
      </c>
      <c r="R2651" s="14">
        <f>_xlfn.LOGNORM.INV($AF2651,LN($C$10)-0.5*LN(1+($D$10/$C$10)^2),SQRT(LN(1+($D$10/$C$10)^2)))</f>
        <v/>
      </c>
      <c r="S2651" s="14">
        <f>SUM(M2651:R2651)</f>
        <v/>
      </c>
      <c r="AA2651">
        <f>RAND()</f>
        <v/>
      </c>
      <c r="AB2651">
        <f>RAND()</f>
        <v/>
      </c>
      <c r="AC2651">
        <f>RAND()</f>
        <v/>
      </c>
      <c r="AD2651">
        <f>RAND()</f>
        <v/>
      </c>
      <c r="AE2651">
        <f>RAND()</f>
        <v/>
      </c>
      <c r="AF2651">
        <f>RAND()</f>
        <v/>
      </c>
    </row>
    <row r="2652">
      <c r="M2652" s="14">
        <f>_xlfn.BETA.INV($AA2652,1+4*($D$5-$C$5)/($E$5-$C$5),1+4*($E$5-$D$5)/($E$5-$C$5),$C$5,$E$5)</f>
        <v/>
      </c>
      <c r="N2652" s="14">
        <f>IF($AB2652&lt;($D$6-$C$6)/($E$6-$C$6),$C$6+SQRT($AB2652*($E$6-$C$6)*($D$6-$C$6)),$E$6-SQRT((1-$AB2652)*($E$6-$C$6)*($E$6-$D$6)))</f>
        <v/>
      </c>
      <c r="O2652" s="14">
        <f>_xlfn.NORM.INV($AC2652,$C$7,$D$7)</f>
        <v/>
      </c>
      <c r="P2652" s="14">
        <f>$C$8+($D$8-$C$8)*$AD2652</f>
        <v/>
      </c>
      <c r="Q2652" s="14">
        <f>$C$9</f>
        <v/>
      </c>
      <c r="R2652" s="14">
        <f>_xlfn.LOGNORM.INV($AF2652,LN($C$10)-0.5*LN(1+($D$10/$C$10)^2),SQRT(LN(1+($D$10/$C$10)^2)))</f>
        <v/>
      </c>
      <c r="S2652" s="14">
        <f>SUM(M2652:R2652)</f>
        <v/>
      </c>
      <c r="AA2652">
        <f>RAND()</f>
        <v/>
      </c>
      <c r="AB2652">
        <f>RAND()</f>
        <v/>
      </c>
      <c r="AC2652">
        <f>RAND()</f>
        <v/>
      </c>
      <c r="AD2652">
        <f>RAND()</f>
        <v/>
      </c>
      <c r="AE2652">
        <f>RAND()</f>
        <v/>
      </c>
      <c r="AF2652">
        <f>RAND()</f>
        <v/>
      </c>
    </row>
    <row r="2653">
      <c r="M2653" s="14">
        <f>_xlfn.BETA.INV($AA2653,1+4*($D$5-$C$5)/($E$5-$C$5),1+4*($E$5-$D$5)/($E$5-$C$5),$C$5,$E$5)</f>
        <v/>
      </c>
      <c r="N2653" s="14">
        <f>IF($AB2653&lt;($D$6-$C$6)/($E$6-$C$6),$C$6+SQRT($AB2653*($E$6-$C$6)*($D$6-$C$6)),$E$6-SQRT((1-$AB2653)*($E$6-$C$6)*($E$6-$D$6)))</f>
        <v/>
      </c>
      <c r="O2653" s="14">
        <f>_xlfn.NORM.INV($AC2653,$C$7,$D$7)</f>
        <v/>
      </c>
      <c r="P2653" s="14">
        <f>$C$8+($D$8-$C$8)*$AD2653</f>
        <v/>
      </c>
      <c r="Q2653" s="14">
        <f>$C$9</f>
        <v/>
      </c>
      <c r="R2653" s="14">
        <f>_xlfn.LOGNORM.INV($AF2653,LN($C$10)-0.5*LN(1+($D$10/$C$10)^2),SQRT(LN(1+($D$10/$C$10)^2)))</f>
        <v/>
      </c>
      <c r="S2653" s="14">
        <f>SUM(M2653:R2653)</f>
        <v/>
      </c>
      <c r="AA2653">
        <f>RAND()</f>
        <v/>
      </c>
      <c r="AB2653">
        <f>RAND()</f>
        <v/>
      </c>
      <c r="AC2653">
        <f>RAND()</f>
        <v/>
      </c>
      <c r="AD2653">
        <f>RAND()</f>
        <v/>
      </c>
      <c r="AE2653">
        <f>RAND()</f>
        <v/>
      </c>
      <c r="AF2653">
        <f>RAND()</f>
        <v/>
      </c>
    </row>
    <row r="2654">
      <c r="M2654" s="14">
        <f>_xlfn.BETA.INV($AA2654,1+4*($D$5-$C$5)/($E$5-$C$5),1+4*($E$5-$D$5)/($E$5-$C$5),$C$5,$E$5)</f>
        <v/>
      </c>
      <c r="N2654" s="14">
        <f>IF($AB2654&lt;($D$6-$C$6)/($E$6-$C$6),$C$6+SQRT($AB2654*($E$6-$C$6)*($D$6-$C$6)),$E$6-SQRT((1-$AB2654)*($E$6-$C$6)*($E$6-$D$6)))</f>
        <v/>
      </c>
      <c r="O2654" s="14">
        <f>_xlfn.NORM.INV($AC2654,$C$7,$D$7)</f>
        <v/>
      </c>
      <c r="P2654" s="14">
        <f>$C$8+($D$8-$C$8)*$AD2654</f>
        <v/>
      </c>
      <c r="Q2654" s="14">
        <f>$C$9</f>
        <v/>
      </c>
      <c r="R2654" s="14">
        <f>_xlfn.LOGNORM.INV($AF2654,LN($C$10)-0.5*LN(1+($D$10/$C$10)^2),SQRT(LN(1+($D$10/$C$10)^2)))</f>
        <v/>
      </c>
      <c r="S2654" s="14">
        <f>SUM(M2654:R2654)</f>
        <v/>
      </c>
      <c r="AA2654">
        <f>RAND()</f>
        <v/>
      </c>
      <c r="AB2654">
        <f>RAND()</f>
        <v/>
      </c>
      <c r="AC2654">
        <f>RAND()</f>
        <v/>
      </c>
      <c r="AD2654">
        <f>RAND()</f>
        <v/>
      </c>
      <c r="AE2654">
        <f>RAND()</f>
        <v/>
      </c>
      <c r="AF2654">
        <f>RAND()</f>
        <v/>
      </c>
    </row>
    <row r="2655">
      <c r="M2655" s="14">
        <f>_xlfn.BETA.INV($AA2655,1+4*($D$5-$C$5)/($E$5-$C$5),1+4*($E$5-$D$5)/($E$5-$C$5),$C$5,$E$5)</f>
        <v/>
      </c>
      <c r="N2655" s="14">
        <f>IF($AB2655&lt;($D$6-$C$6)/($E$6-$C$6),$C$6+SQRT($AB2655*($E$6-$C$6)*($D$6-$C$6)),$E$6-SQRT((1-$AB2655)*($E$6-$C$6)*($E$6-$D$6)))</f>
        <v/>
      </c>
      <c r="O2655" s="14">
        <f>_xlfn.NORM.INV($AC2655,$C$7,$D$7)</f>
        <v/>
      </c>
      <c r="P2655" s="14">
        <f>$C$8+($D$8-$C$8)*$AD2655</f>
        <v/>
      </c>
      <c r="Q2655" s="14">
        <f>$C$9</f>
        <v/>
      </c>
      <c r="R2655" s="14">
        <f>_xlfn.LOGNORM.INV($AF2655,LN($C$10)-0.5*LN(1+($D$10/$C$10)^2),SQRT(LN(1+($D$10/$C$10)^2)))</f>
        <v/>
      </c>
      <c r="S2655" s="14">
        <f>SUM(M2655:R2655)</f>
        <v/>
      </c>
      <c r="AA2655">
        <f>RAND()</f>
        <v/>
      </c>
      <c r="AB2655">
        <f>RAND()</f>
        <v/>
      </c>
      <c r="AC2655">
        <f>RAND()</f>
        <v/>
      </c>
      <c r="AD2655">
        <f>RAND()</f>
        <v/>
      </c>
      <c r="AE2655">
        <f>RAND()</f>
        <v/>
      </c>
      <c r="AF2655">
        <f>RAND()</f>
        <v/>
      </c>
    </row>
    <row r="2656">
      <c r="M2656" s="14">
        <f>_xlfn.BETA.INV($AA2656,1+4*($D$5-$C$5)/($E$5-$C$5),1+4*($E$5-$D$5)/($E$5-$C$5),$C$5,$E$5)</f>
        <v/>
      </c>
      <c r="N2656" s="14">
        <f>IF($AB2656&lt;($D$6-$C$6)/($E$6-$C$6),$C$6+SQRT($AB2656*($E$6-$C$6)*($D$6-$C$6)),$E$6-SQRT((1-$AB2656)*($E$6-$C$6)*($E$6-$D$6)))</f>
        <v/>
      </c>
      <c r="O2656" s="14">
        <f>_xlfn.NORM.INV($AC2656,$C$7,$D$7)</f>
        <v/>
      </c>
      <c r="P2656" s="14">
        <f>$C$8+($D$8-$C$8)*$AD2656</f>
        <v/>
      </c>
      <c r="Q2656" s="14">
        <f>$C$9</f>
        <v/>
      </c>
      <c r="R2656" s="14">
        <f>_xlfn.LOGNORM.INV($AF2656,LN($C$10)-0.5*LN(1+($D$10/$C$10)^2),SQRT(LN(1+($D$10/$C$10)^2)))</f>
        <v/>
      </c>
      <c r="S2656" s="14">
        <f>SUM(M2656:R2656)</f>
        <v/>
      </c>
      <c r="AA2656">
        <f>RAND()</f>
        <v/>
      </c>
      <c r="AB2656">
        <f>RAND()</f>
        <v/>
      </c>
      <c r="AC2656">
        <f>RAND()</f>
        <v/>
      </c>
      <c r="AD2656">
        <f>RAND()</f>
        <v/>
      </c>
      <c r="AE2656">
        <f>RAND()</f>
        <v/>
      </c>
      <c r="AF2656">
        <f>RAND()</f>
        <v/>
      </c>
    </row>
    <row r="2657">
      <c r="M2657" s="14">
        <f>_xlfn.BETA.INV($AA2657,1+4*($D$5-$C$5)/($E$5-$C$5),1+4*($E$5-$D$5)/($E$5-$C$5),$C$5,$E$5)</f>
        <v/>
      </c>
      <c r="N2657" s="14">
        <f>IF($AB2657&lt;($D$6-$C$6)/($E$6-$C$6),$C$6+SQRT($AB2657*($E$6-$C$6)*($D$6-$C$6)),$E$6-SQRT((1-$AB2657)*($E$6-$C$6)*($E$6-$D$6)))</f>
        <v/>
      </c>
      <c r="O2657" s="14">
        <f>_xlfn.NORM.INV($AC2657,$C$7,$D$7)</f>
        <v/>
      </c>
      <c r="P2657" s="14">
        <f>$C$8+($D$8-$C$8)*$AD2657</f>
        <v/>
      </c>
      <c r="Q2657" s="14">
        <f>$C$9</f>
        <v/>
      </c>
      <c r="R2657" s="14">
        <f>_xlfn.LOGNORM.INV($AF2657,LN($C$10)-0.5*LN(1+($D$10/$C$10)^2),SQRT(LN(1+($D$10/$C$10)^2)))</f>
        <v/>
      </c>
      <c r="S2657" s="14">
        <f>SUM(M2657:R2657)</f>
        <v/>
      </c>
      <c r="AA2657">
        <f>RAND()</f>
        <v/>
      </c>
      <c r="AB2657">
        <f>RAND()</f>
        <v/>
      </c>
      <c r="AC2657">
        <f>RAND()</f>
        <v/>
      </c>
      <c r="AD2657">
        <f>RAND()</f>
        <v/>
      </c>
      <c r="AE2657">
        <f>RAND()</f>
        <v/>
      </c>
      <c r="AF2657">
        <f>RAND()</f>
        <v/>
      </c>
    </row>
    <row r="2658">
      <c r="M2658" s="14">
        <f>_xlfn.BETA.INV($AA2658,1+4*($D$5-$C$5)/($E$5-$C$5),1+4*($E$5-$D$5)/($E$5-$C$5),$C$5,$E$5)</f>
        <v/>
      </c>
      <c r="N2658" s="14">
        <f>IF($AB2658&lt;($D$6-$C$6)/($E$6-$C$6),$C$6+SQRT($AB2658*($E$6-$C$6)*($D$6-$C$6)),$E$6-SQRT((1-$AB2658)*($E$6-$C$6)*($E$6-$D$6)))</f>
        <v/>
      </c>
      <c r="O2658" s="14">
        <f>_xlfn.NORM.INV($AC2658,$C$7,$D$7)</f>
        <v/>
      </c>
      <c r="P2658" s="14">
        <f>$C$8+($D$8-$C$8)*$AD2658</f>
        <v/>
      </c>
      <c r="Q2658" s="14">
        <f>$C$9</f>
        <v/>
      </c>
      <c r="R2658" s="14">
        <f>_xlfn.LOGNORM.INV($AF2658,LN($C$10)-0.5*LN(1+($D$10/$C$10)^2),SQRT(LN(1+($D$10/$C$10)^2)))</f>
        <v/>
      </c>
      <c r="S2658" s="14">
        <f>SUM(M2658:R2658)</f>
        <v/>
      </c>
      <c r="AA2658">
        <f>RAND()</f>
        <v/>
      </c>
      <c r="AB2658">
        <f>RAND()</f>
        <v/>
      </c>
      <c r="AC2658">
        <f>RAND()</f>
        <v/>
      </c>
      <c r="AD2658">
        <f>RAND()</f>
        <v/>
      </c>
      <c r="AE2658">
        <f>RAND()</f>
        <v/>
      </c>
      <c r="AF2658">
        <f>RAND()</f>
        <v/>
      </c>
    </row>
    <row r="2659">
      <c r="M2659" s="14">
        <f>_xlfn.BETA.INV($AA2659,1+4*($D$5-$C$5)/($E$5-$C$5),1+4*($E$5-$D$5)/($E$5-$C$5),$C$5,$E$5)</f>
        <v/>
      </c>
      <c r="N2659" s="14">
        <f>IF($AB2659&lt;($D$6-$C$6)/($E$6-$C$6),$C$6+SQRT($AB2659*($E$6-$C$6)*($D$6-$C$6)),$E$6-SQRT((1-$AB2659)*($E$6-$C$6)*($E$6-$D$6)))</f>
        <v/>
      </c>
      <c r="O2659" s="14">
        <f>_xlfn.NORM.INV($AC2659,$C$7,$D$7)</f>
        <v/>
      </c>
      <c r="P2659" s="14">
        <f>$C$8+($D$8-$C$8)*$AD2659</f>
        <v/>
      </c>
      <c r="Q2659" s="14">
        <f>$C$9</f>
        <v/>
      </c>
      <c r="R2659" s="14">
        <f>_xlfn.LOGNORM.INV($AF2659,LN($C$10)-0.5*LN(1+($D$10/$C$10)^2),SQRT(LN(1+($D$10/$C$10)^2)))</f>
        <v/>
      </c>
      <c r="S2659" s="14">
        <f>SUM(M2659:R2659)</f>
        <v/>
      </c>
      <c r="AA2659">
        <f>RAND()</f>
        <v/>
      </c>
      <c r="AB2659">
        <f>RAND()</f>
        <v/>
      </c>
      <c r="AC2659">
        <f>RAND()</f>
        <v/>
      </c>
      <c r="AD2659">
        <f>RAND()</f>
        <v/>
      </c>
      <c r="AE2659">
        <f>RAND()</f>
        <v/>
      </c>
      <c r="AF2659">
        <f>RAND()</f>
        <v/>
      </c>
    </row>
    <row r="2660">
      <c r="M2660" s="14">
        <f>_xlfn.BETA.INV($AA2660,1+4*($D$5-$C$5)/($E$5-$C$5),1+4*($E$5-$D$5)/($E$5-$C$5),$C$5,$E$5)</f>
        <v/>
      </c>
      <c r="N2660" s="14">
        <f>IF($AB2660&lt;($D$6-$C$6)/($E$6-$C$6),$C$6+SQRT($AB2660*($E$6-$C$6)*($D$6-$C$6)),$E$6-SQRT((1-$AB2660)*($E$6-$C$6)*($E$6-$D$6)))</f>
        <v/>
      </c>
      <c r="O2660" s="14">
        <f>_xlfn.NORM.INV($AC2660,$C$7,$D$7)</f>
        <v/>
      </c>
      <c r="P2660" s="14">
        <f>$C$8+($D$8-$C$8)*$AD2660</f>
        <v/>
      </c>
      <c r="Q2660" s="14">
        <f>$C$9</f>
        <v/>
      </c>
      <c r="R2660" s="14">
        <f>_xlfn.LOGNORM.INV($AF2660,LN($C$10)-0.5*LN(1+($D$10/$C$10)^2),SQRT(LN(1+($D$10/$C$10)^2)))</f>
        <v/>
      </c>
      <c r="S2660" s="14">
        <f>SUM(M2660:R2660)</f>
        <v/>
      </c>
      <c r="AA2660">
        <f>RAND()</f>
        <v/>
      </c>
      <c r="AB2660">
        <f>RAND()</f>
        <v/>
      </c>
      <c r="AC2660">
        <f>RAND()</f>
        <v/>
      </c>
      <c r="AD2660">
        <f>RAND()</f>
        <v/>
      </c>
      <c r="AE2660">
        <f>RAND()</f>
        <v/>
      </c>
      <c r="AF2660">
        <f>RAND()</f>
        <v/>
      </c>
    </row>
    <row r="2661">
      <c r="M2661" s="14">
        <f>_xlfn.BETA.INV($AA2661,1+4*($D$5-$C$5)/($E$5-$C$5),1+4*($E$5-$D$5)/($E$5-$C$5),$C$5,$E$5)</f>
        <v/>
      </c>
      <c r="N2661" s="14">
        <f>IF($AB2661&lt;($D$6-$C$6)/($E$6-$C$6),$C$6+SQRT($AB2661*($E$6-$C$6)*($D$6-$C$6)),$E$6-SQRT((1-$AB2661)*($E$6-$C$6)*($E$6-$D$6)))</f>
        <v/>
      </c>
      <c r="O2661" s="14">
        <f>_xlfn.NORM.INV($AC2661,$C$7,$D$7)</f>
        <v/>
      </c>
      <c r="P2661" s="14">
        <f>$C$8+($D$8-$C$8)*$AD2661</f>
        <v/>
      </c>
      <c r="Q2661" s="14">
        <f>$C$9</f>
        <v/>
      </c>
      <c r="R2661" s="14">
        <f>_xlfn.LOGNORM.INV($AF2661,LN($C$10)-0.5*LN(1+($D$10/$C$10)^2),SQRT(LN(1+($D$10/$C$10)^2)))</f>
        <v/>
      </c>
      <c r="S2661" s="14">
        <f>SUM(M2661:R2661)</f>
        <v/>
      </c>
      <c r="AA2661">
        <f>RAND()</f>
        <v/>
      </c>
      <c r="AB2661">
        <f>RAND()</f>
        <v/>
      </c>
      <c r="AC2661">
        <f>RAND()</f>
        <v/>
      </c>
      <c r="AD2661">
        <f>RAND()</f>
        <v/>
      </c>
      <c r="AE2661">
        <f>RAND()</f>
        <v/>
      </c>
      <c r="AF2661">
        <f>RAND()</f>
        <v/>
      </c>
    </row>
    <row r="2662">
      <c r="M2662" s="14">
        <f>_xlfn.BETA.INV($AA2662,1+4*($D$5-$C$5)/($E$5-$C$5),1+4*($E$5-$D$5)/($E$5-$C$5),$C$5,$E$5)</f>
        <v/>
      </c>
      <c r="N2662" s="14">
        <f>IF($AB2662&lt;($D$6-$C$6)/($E$6-$C$6),$C$6+SQRT($AB2662*($E$6-$C$6)*($D$6-$C$6)),$E$6-SQRT((1-$AB2662)*($E$6-$C$6)*($E$6-$D$6)))</f>
        <v/>
      </c>
      <c r="O2662" s="14">
        <f>_xlfn.NORM.INV($AC2662,$C$7,$D$7)</f>
        <v/>
      </c>
      <c r="P2662" s="14">
        <f>$C$8+($D$8-$C$8)*$AD2662</f>
        <v/>
      </c>
      <c r="Q2662" s="14">
        <f>$C$9</f>
        <v/>
      </c>
      <c r="R2662" s="14">
        <f>_xlfn.LOGNORM.INV($AF2662,LN($C$10)-0.5*LN(1+($D$10/$C$10)^2),SQRT(LN(1+($D$10/$C$10)^2)))</f>
        <v/>
      </c>
      <c r="S2662" s="14">
        <f>SUM(M2662:R2662)</f>
        <v/>
      </c>
      <c r="AA2662">
        <f>RAND()</f>
        <v/>
      </c>
      <c r="AB2662">
        <f>RAND()</f>
        <v/>
      </c>
      <c r="AC2662">
        <f>RAND()</f>
        <v/>
      </c>
      <c r="AD2662">
        <f>RAND()</f>
        <v/>
      </c>
      <c r="AE2662">
        <f>RAND()</f>
        <v/>
      </c>
      <c r="AF2662">
        <f>RAND()</f>
        <v/>
      </c>
    </row>
    <row r="2663">
      <c r="M2663" s="14">
        <f>_xlfn.BETA.INV($AA2663,1+4*($D$5-$C$5)/($E$5-$C$5),1+4*($E$5-$D$5)/($E$5-$C$5),$C$5,$E$5)</f>
        <v/>
      </c>
      <c r="N2663" s="14">
        <f>IF($AB2663&lt;($D$6-$C$6)/($E$6-$C$6),$C$6+SQRT($AB2663*($E$6-$C$6)*($D$6-$C$6)),$E$6-SQRT((1-$AB2663)*($E$6-$C$6)*($E$6-$D$6)))</f>
        <v/>
      </c>
      <c r="O2663" s="14">
        <f>_xlfn.NORM.INV($AC2663,$C$7,$D$7)</f>
        <v/>
      </c>
      <c r="P2663" s="14">
        <f>$C$8+($D$8-$C$8)*$AD2663</f>
        <v/>
      </c>
      <c r="Q2663" s="14">
        <f>$C$9</f>
        <v/>
      </c>
      <c r="R2663" s="14">
        <f>_xlfn.LOGNORM.INV($AF2663,LN($C$10)-0.5*LN(1+($D$10/$C$10)^2),SQRT(LN(1+($D$10/$C$10)^2)))</f>
        <v/>
      </c>
      <c r="S2663" s="14">
        <f>SUM(M2663:R2663)</f>
        <v/>
      </c>
      <c r="AA2663">
        <f>RAND()</f>
        <v/>
      </c>
      <c r="AB2663">
        <f>RAND()</f>
        <v/>
      </c>
      <c r="AC2663">
        <f>RAND()</f>
        <v/>
      </c>
      <c r="AD2663">
        <f>RAND()</f>
        <v/>
      </c>
      <c r="AE2663">
        <f>RAND()</f>
        <v/>
      </c>
      <c r="AF2663">
        <f>RAND()</f>
        <v/>
      </c>
    </row>
    <row r="2664">
      <c r="M2664" s="14">
        <f>_xlfn.BETA.INV($AA2664,1+4*($D$5-$C$5)/($E$5-$C$5),1+4*($E$5-$D$5)/($E$5-$C$5),$C$5,$E$5)</f>
        <v/>
      </c>
      <c r="N2664" s="14">
        <f>IF($AB2664&lt;($D$6-$C$6)/($E$6-$C$6),$C$6+SQRT($AB2664*($E$6-$C$6)*($D$6-$C$6)),$E$6-SQRT((1-$AB2664)*($E$6-$C$6)*($E$6-$D$6)))</f>
        <v/>
      </c>
      <c r="O2664" s="14">
        <f>_xlfn.NORM.INV($AC2664,$C$7,$D$7)</f>
        <v/>
      </c>
      <c r="P2664" s="14">
        <f>$C$8+($D$8-$C$8)*$AD2664</f>
        <v/>
      </c>
      <c r="Q2664" s="14">
        <f>$C$9</f>
        <v/>
      </c>
      <c r="R2664" s="14">
        <f>_xlfn.LOGNORM.INV($AF2664,LN($C$10)-0.5*LN(1+($D$10/$C$10)^2),SQRT(LN(1+($D$10/$C$10)^2)))</f>
        <v/>
      </c>
      <c r="S2664" s="14">
        <f>SUM(M2664:R2664)</f>
        <v/>
      </c>
      <c r="AA2664">
        <f>RAND()</f>
        <v/>
      </c>
      <c r="AB2664">
        <f>RAND()</f>
        <v/>
      </c>
      <c r="AC2664">
        <f>RAND()</f>
        <v/>
      </c>
      <c r="AD2664">
        <f>RAND()</f>
        <v/>
      </c>
      <c r="AE2664">
        <f>RAND()</f>
        <v/>
      </c>
      <c r="AF2664">
        <f>RAND()</f>
        <v/>
      </c>
    </row>
    <row r="2665">
      <c r="M2665" s="14">
        <f>_xlfn.BETA.INV($AA2665,1+4*($D$5-$C$5)/($E$5-$C$5),1+4*($E$5-$D$5)/($E$5-$C$5),$C$5,$E$5)</f>
        <v/>
      </c>
      <c r="N2665" s="14">
        <f>IF($AB2665&lt;($D$6-$C$6)/($E$6-$C$6),$C$6+SQRT($AB2665*($E$6-$C$6)*($D$6-$C$6)),$E$6-SQRT((1-$AB2665)*($E$6-$C$6)*($E$6-$D$6)))</f>
        <v/>
      </c>
      <c r="O2665" s="14">
        <f>_xlfn.NORM.INV($AC2665,$C$7,$D$7)</f>
        <v/>
      </c>
      <c r="P2665" s="14">
        <f>$C$8+($D$8-$C$8)*$AD2665</f>
        <v/>
      </c>
      <c r="Q2665" s="14">
        <f>$C$9</f>
        <v/>
      </c>
      <c r="R2665" s="14">
        <f>_xlfn.LOGNORM.INV($AF2665,LN($C$10)-0.5*LN(1+($D$10/$C$10)^2),SQRT(LN(1+($D$10/$C$10)^2)))</f>
        <v/>
      </c>
      <c r="S2665" s="14">
        <f>SUM(M2665:R2665)</f>
        <v/>
      </c>
      <c r="AA2665">
        <f>RAND()</f>
        <v/>
      </c>
      <c r="AB2665">
        <f>RAND()</f>
        <v/>
      </c>
      <c r="AC2665">
        <f>RAND()</f>
        <v/>
      </c>
      <c r="AD2665">
        <f>RAND()</f>
        <v/>
      </c>
      <c r="AE2665">
        <f>RAND()</f>
        <v/>
      </c>
      <c r="AF2665">
        <f>RAND()</f>
        <v/>
      </c>
    </row>
    <row r="2666">
      <c r="M2666" s="14">
        <f>_xlfn.BETA.INV($AA2666,1+4*($D$5-$C$5)/($E$5-$C$5),1+4*($E$5-$D$5)/($E$5-$C$5),$C$5,$E$5)</f>
        <v/>
      </c>
      <c r="N2666" s="14">
        <f>IF($AB2666&lt;($D$6-$C$6)/($E$6-$C$6),$C$6+SQRT($AB2666*($E$6-$C$6)*($D$6-$C$6)),$E$6-SQRT((1-$AB2666)*($E$6-$C$6)*($E$6-$D$6)))</f>
        <v/>
      </c>
      <c r="O2666" s="14">
        <f>_xlfn.NORM.INV($AC2666,$C$7,$D$7)</f>
        <v/>
      </c>
      <c r="P2666" s="14">
        <f>$C$8+($D$8-$C$8)*$AD2666</f>
        <v/>
      </c>
      <c r="Q2666" s="14">
        <f>$C$9</f>
        <v/>
      </c>
      <c r="R2666" s="14">
        <f>_xlfn.LOGNORM.INV($AF2666,LN($C$10)-0.5*LN(1+($D$10/$C$10)^2),SQRT(LN(1+($D$10/$C$10)^2)))</f>
        <v/>
      </c>
      <c r="S2666" s="14">
        <f>SUM(M2666:R2666)</f>
        <v/>
      </c>
      <c r="AA2666">
        <f>RAND()</f>
        <v/>
      </c>
      <c r="AB2666">
        <f>RAND()</f>
        <v/>
      </c>
      <c r="AC2666">
        <f>RAND()</f>
        <v/>
      </c>
      <c r="AD2666">
        <f>RAND()</f>
        <v/>
      </c>
      <c r="AE2666">
        <f>RAND()</f>
        <v/>
      </c>
      <c r="AF2666">
        <f>RAND()</f>
        <v/>
      </c>
    </row>
    <row r="2667">
      <c r="M2667" s="14">
        <f>_xlfn.BETA.INV($AA2667,1+4*($D$5-$C$5)/($E$5-$C$5),1+4*($E$5-$D$5)/($E$5-$C$5),$C$5,$E$5)</f>
        <v/>
      </c>
      <c r="N2667" s="14">
        <f>IF($AB2667&lt;($D$6-$C$6)/($E$6-$C$6),$C$6+SQRT($AB2667*($E$6-$C$6)*($D$6-$C$6)),$E$6-SQRT((1-$AB2667)*($E$6-$C$6)*($E$6-$D$6)))</f>
        <v/>
      </c>
      <c r="O2667" s="14">
        <f>_xlfn.NORM.INV($AC2667,$C$7,$D$7)</f>
        <v/>
      </c>
      <c r="P2667" s="14">
        <f>$C$8+($D$8-$C$8)*$AD2667</f>
        <v/>
      </c>
      <c r="Q2667" s="14">
        <f>$C$9</f>
        <v/>
      </c>
      <c r="R2667" s="14">
        <f>_xlfn.LOGNORM.INV($AF2667,LN($C$10)-0.5*LN(1+($D$10/$C$10)^2),SQRT(LN(1+($D$10/$C$10)^2)))</f>
        <v/>
      </c>
      <c r="S2667" s="14">
        <f>SUM(M2667:R2667)</f>
        <v/>
      </c>
      <c r="AA2667">
        <f>RAND()</f>
        <v/>
      </c>
      <c r="AB2667">
        <f>RAND()</f>
        <v/>
      </c>
      <c r="AC2667">
        <f>RAND()</f>
        <v/>
      </c>
      <c r="AD2667">
        <f>RAND()</f>
        <v/>
      </c>
      <c r="AE2667">
        <f>RAND()</f>
        <v/>
      </c>
      <c r="AF2667">
        <f>RAND()</f>
        <v/>
      </c>
    </row>
    <row r="2668">
      <c r="M2668" s="14">
        <f>_xlfn.BETA.INV($AA2668,1+4*($D$5-$C$5)/($E$5-$C$5),1+4*($E$5-$D$5)/($E$5-$C$5),$C$5,$E$5)</f>
        <v/>
      </c>
      <c r="N2668" s="14">
        <f>IF($AB2668&lt;($D$6-$C$6)/($E$6-$C$6),$C$6+SQRT($AB2668*($E$6-$C$6)*($D$6-$C$6)),$E$6-SQRT((1-$AB2668)*($E$6-$C$6)*($E$6-$D$6)))</f>
        <v/>
      </c>
      <c r="O2668" s="14">
        <f>_xlfn.NORM.INV($AC2668,$C$7,$D$7)</f>
        <v/>
      </c>
      <c r="P2668" s="14">
        <f>$C$8+($D$8-$C$8)*$AD2668</f>
        <v/>
      </c>
      <c r="Q2668" s="14">
        <f>$C$9</f>
        <v/>
      </c>
      <c r="R2668" s="14">
        <f>_xlfn.LOGNORM.INV($AF2668,LN($C$10)-0.5*LN(1+($D$10/$C$10)^2),SQRT(LN(1+($D$10/$C$10)^2)))</f>
        <v/>
      </c>
      <c r="S2668" s="14">
        <f>SUM(M2668:R2668)</f>
        <v/>
      </c>
      <c r="AA2668">
        <f>RAND()</f>
        <v/>
      </c>
      <c r="AB2668">
        <f>RAND()</f>
        <v/>
      </c>
      <c r="AC2668">
        <f>RAND()</f>
        <v/>
      </c>
      <c r="AD2668">
        <f>RAND()</f>
        <v/>
      </c>
      <c r="AE2668">
        <f>RAND()</f>
        <v/>
      </c>
      <c r="AF2668">
        <f>RAND()</f>
        <v/>
      </c>
    </row>
    <row r="2669">
      <c r="M2669" s="14">
        <f>_xlfn.BETA.INV($AA2669,1+4*($D$5-$C$5)/($E$5-$C$5),1+4*($E$5-$D$5)/($E$5-$C$5),$C$5,$E$5)</f>
        <v/>
      </c>
      <c r="N2669" s="14">
        <f>IF($AB2669&lt;($D$6-$C$6)/($E$6-$C$6),$C$6+SQRT($AB2669*($E$6-$C$6)*($D$6-$C$6)),$E$6-SQRT((1-$AB2669)*($E$6-$C$6)*($E$6-$D$6)))</f>
        <v/>
      </c>
      <c r="O2669" s="14">
        <f>_xlfn.NORM.INV($AC2669,$C$7,$D$7)</f>
        <v/>
      </c>
      <c r="P2669" s="14">
        <f>$C$8+($D$8-$C$8)*$AD2669</f>
        <v/>
      </c>
      <c r="Q2669" s="14">
        <f>$C$9</f>
        <v/>
      </c>
      <c r="R2669" s="14">
        <f>_xlfn.LOGNORM.INV($AF2669,LN($C$10)-0.5*LN(1+($D$10/$C$10)^2),SQRT(LN(1+($D$10/$C$10)^2)))</f>
        <v/>
      </c>
      <c r="S2669" s="14">
        <f>SUM(M2669:R2669)</f>
        <v/>
      </c>
      <c r="AA2669">
        <f>RAND()</f>
        <v/>
      </c>
      <c r="AB2669">
        <f>RAND()</f>
        <v/>
      </c>
      <c r="AC2669">
        <f>RAND()</f>
        <v/>
      </c>
      <c r="AD2669">
        <f>RAND()</f>
        <v/>
      </c>
      <c r="AE2669">
        <f>RAND()</f>
        <v/>
      </c>
      <c r="AF2669">
        <f>RAND()</f>
        <v/>
      </c>
    </row>
    <row r="2670">
      <c r="M2670" s="14">
        <f>_xlfn.BETA.INV($AA2670,1+4*($D$5-$C$5)/($E$5-$C$5),1+4*($E$5-$D$5)/($E$5-$C$5),$C$5,$E$5)</f>
        <v/>
      </c>
      <c r="N2670" s="14">
        <f>IF($AB2670&lt;($D$6-$C$6)/($E$6-$C$6),$C$6+SQRT($AB2670*($E$6-$C$6)*($D$6-$C$6)),$E$6-SQRT((1-$AB2670)*($E$6-$C$6)*($E$6-$D$6)))</f>
        <v/>
      </c>
      <c r="O2670" s="14">
        <f>_xlfn.NORM.INV($AC2670,$C$7,$D$7)</f>
        <v/>
      </c>
      <c r="P2670" s="14">
        <f>$C$8+($D$8-$C$8)*$AD2670</f>
        <v/>
      </c>
      <c r="Q2670" s="14">
        <f>$C$9</f>
        <v/>
      </c>
      <c r="R2670" s="14">
        <f>_xlfn.LOGNORM.INV($AF2670,LN($C$10)-0.5*LN(1+($D$10/$C$10)^2),SQRT(LN(1+($D$10/$C$10)^2)))</f>
        <v/>
      </c>
      <c r="S2670" s="14">
        <f>SUM(M2670:R2670)</f>
        <v/>
      </c>
      <c r="AA2670">
        <f>RAND()</f>
        <v/>
      </c>
      <c r="AB2670">
        <f>RAND()</f>
        <v/>
      </c>
      <c r="AC2670">
        <f>RAND()</f>
        <v/>
      </c>
      <c r="AD2670">
        <f>RAND()</f>
        <v/>
      </c>
      <c r="AE2670">
        <f>RAND()</f>
        <v/>
      </c>
      <c r="AF2670">
        <f>RAND()</f>
        <v/>
      </c>
    </row>
    <row r="2671">
      <c r="M2671" s="14">
        <f>_xlfn.BETA.INV($AA2671,1+4*($D$5-$C$5)/($E$5-$C$5),1+4*($E$5-$D$5)/($E$5-$C$5),$C$5,$E$5)</f>
        <v/>
      </c>
      <c r="N2671" s="14">
        <f>IF($AB2671&lt;($D$6-$C$6)/($E$6-$C$6),$C$6+SQRT($AB2671*($E$6-$C$6)*($D$6-$C$6)),$E$6-SQRT((1-$AB2671)*($E$6-$C$6)*($E$6-$D$6)))</f>
        <v/>
      </c>
      <c r="O2671" s="14">
        <f>_xlfn.NORM.INV($AC2671,$C$7,$D$7)</f>
        <v/>
      </c>
      <c r="P2671" s="14">
        <f>$C$8+($D$8-$C$8)*$AD2671</f>
        <v/>
      </c>
      <c r="Q2671" s="14">
        <f>$C$9</f>
        <v/>
      </c>
      <c r="R2671" s="14">
        <f>_xlfn.LOGNORM.INV($AF2671,LN($C$10)-0.5*LN(1+($D$10/$C$10)^2),SQRT(LN(1+($D$10/$C$10)^2)))</f>
        <v/>
      </c>
      <c r="S2671" s="14">
        <f>SUM(M2671:R2671)</f>
        <v/>
      </c>
      <c r="AA2671">
        <f>RAND()</f>
        <v/>
      </c>
      <c r="AB2671">
        <f>RAND()</f>
        <v/>
      </c>
      <c r="AC2671">
        <f>RAND()</f>
        <v/>
      </c>
      <c r="AD2671">
        <f>RAND()</f>
        <v/>
      </c>
      <c r="AE2671">
        <f>RAND()</f>
        <v/>
      </c>
      <c r="AF2671">
        <f>RAND()</f>
        <v/>
      </c>
    </row>
    <row r="2672">
      <c r="M2672" s="14">
        <f>_xlfn.BETA.INV($AA2672,1+4*($D$5-$C$5)/($E$5-$C$5),1+4*($E$5-$D$5)/($E$5-$C$5),$C$5,$E$5)</f>
        <v/>
      </c>
      <c r="N2672" s="14">
        <f>IF($AB2672&lt;($D$6-$C$6)/($E$6-$C$6),$C$6+SQRT($AB2672*($E$6-$C$6)*($D$6-$C$6)),$E$6-SQRT((1-$AB2672)*($E$6-$C$6)*($E$6-$D$6)))</f>
        <v/>
      </c>
      <c r="O2672" s="14">
        <f>_xlfn.NORM.INV($AC2672,$C$7,$D$7)</f>
        <v/>
      </c>
      <c r="P2672" s="14">
        <f>$C$8+($D$8-$C$8)*$AD2672</f>
        <v/>
      </c>
      <c r="Q2672" s="14">
        <f>$C$9</f>
        <v/>
      </c>
      <c r="R2672" s="14">
        <f>_xlfn.LOGNORM.INV($AF2672,LN($C$10)-0.5*LN(1+($D$10/$C$10)^2),SQRT(LN(1+($D$10/$C$10)^2)))</f>
        <v/>
      </c>
      <c r="S2672" s="14">
        <f>SUM(M2672:R2672)</f>
        <v/>
      </c>
      <c r="AA2672">
        <f>RAND()</f>
        <v/>
      </c>
      <c r="AB2672">
        <f>RAND()</f>
        <v/>
      </c>
      <c r="AC2672">
        <f>RAND()</f>
        <v/>
      </c>
      <c r="AD2672">
        <f>RAND()</f>
        <v/>
      </c>
      <c r="AE2672">
        <f>RAND()</f>
        <v/>
      </c>
      <c r="AF2672">
        <f>RAND()</f>
        <v/>
      </c>
    </row>
    <row r="2673">
      <c r="M2673" s="14">
        <f>_xlfn.BETA.INV($AA2673,1+4*($D$5-$C$5)/($E$5-$C$5),1+4*($E$5-$D$5)/($E$5-$C$5),$C$5,$E$5)</f>
        <v/>
      </c>
      <c r="N2673" s="14">
        <f>IF($AB2673&lt;($D$6-$C$6)/($E$6-$C$6),$C$6+SQRT($AB2673*($E$6-$C$6)*($D$6-$C$6)),$E$6-SQRT((1-$AB2673)*($E$6-$C$6)*($E$6-$D$6)))</f>
        <v/>
      </c>
      <c r="O2673" s="14">
        <f>_xlfn.NORM.INV($AC2673,$C$7,$D$7)</f>
        <v/>
      </c>
      <c r="P2673" s="14">
        <f>$C$8+($D$8-$C$8)*$AD2673</f>
        <v/>
      </c>
      <c r="Q2673" s="14">
        <f>$C$9</f>
        <v/>
      </c>
      <c r="R2673" s="14">
        <f>_xlfn.LOGNORM.INV($AF2673,LN($C$10)-0.5*LN(1+($D$10/$C$10)^2),SQRT(LN(1+($D$10/$C$10)^2)))</f>
        <v/>
      </c>
      <c r="S2673" s="14">
        <f>SUM(M2673:R2673)</f>
        <v/>
      </c>
      <c r="AA2673">
        <f>RAND()</f>
        <v/>
      </c>
      <c r="AB2673">
        <f>RAND()</f>
        <v/>
      </c>
      <c r="AC2673">
        <f>RAND()</f>
        <v/>
      </c>
      <c r="AD2673">
        <f>RAND()</f>
        <v/>
      </c>
      <c r="AE2673">
        <f>RAND()</f>
        <v/>
      </c>
      <c r="AF2673">
        <f>RAND()</f>
        <v/>
      </c>
    </row>
    <row r="2674">
      <c r="M2674" s="14">
        <f>_xlfn.BETA.INV($AA2674,1+4*($D$5-$C$5)/($E$5-$C$5),1+4*($E$5-$D$5)/($E$5-$C$5),$C$5,$E$5)</f>
        <v/>
      </c>
      <c r="N2674" s="14">
        <f>IF($AB2674&lt;($D$6-$C$6)/($E$6-$C$6),$C$6+SQRT($AB2674*($E$6-$C$6)*($D$6-$C$6)),$E$6-SQRT((1-$AB2674)*($E$6-$C$6)*($E$6-$D$6)))</f>
        <v/>
      </c>
      <c r="O2674" s="14">
        <f>_xlfn.NORM.INV($AC2674,$C$7,$D$7)</f>
        <v/>
      </c>
      <c r="P2674" s="14">
        <f>$C$8+($D$8-$C$8)*$AD2674</f>
        <v/>
      </c>
      <c r="Q2674" s="14">
        <f>$C$9</f>
        <v/>
      </c>
      <c r="R2674" s="14">
        <f>_xlfn.LOGNORM.INV($AF2674,LN($C$10)-0.5*LN(1+($D$10/$C$10)^2),SQRT(LN(1+($D$10/$C$10)^2)))</f>
        <v/>
      </c>
      <c r="S2674" s="14">
        <f>SUM(M2674:R2674)</f>
        <v/>
      </c>
      <c r="AA2674">
        <f>RAND()</f>
        <v/>
      </c>
      <c r="AB2674">
        <f>RAND()</f>
        <v/>
      </c>
      <c r="AC2674">
        <f>RAND()</f>
        <v/>
      </c>
      <c r="AD2674">
        <f>RAND()</f>
        <v/>
      </c>
      <c r="AE2674">
        <f>RAND()</f>
        <v/>
      </c>
      <c r="AF2674">
        <f>RAND()</f>
        <v/>
      </c>
    </row>
    <row r="2675">
      <c r="M2675" s="14">
        <f>_xlfn.BETA.INV($AA2675,1+4*($D$5-$C$5)/($E$5-$C$5),1+4*($E$5-$D$5)/($E$5-$C$5),$C$5,$E$5)</f>
        <v/>
      </c>
      <c r="N2675" s="14">
        <f>IF($AB2675&lt;($D$6-$C$6)/($E$6-$C$6),$C$6+SQRT($AB2675*($E$6-$C$6)*($D$6-$C$6)),$E$6-SQRT((1-$AB2675)*($E$6-$C$6)*($E$6-$D$6)))</f>
        <v/>
      </c>
      <c r="O2675" s="14">
        <f>_xlfn.NORM.INV($AC2675,$C$7,$D$7)</f>
        <v/>
      </c>
      <c r="P2675" s="14">
        <f>$C$8+($D$8-$C$8)*$AD2675</f>
        <v/>
      </c>
      <c r="Q2675" s="14">
        <f>$C$9</f>
        <v/>
      </c>
      <c r="R2675" s="14">
        <f>_xlfn.LOGNORM.INV($AF2675,LN($C$10)-0.5*LN(1+($D$10/$C$10)^2),SQRT(LN(1+($D$10/$C$10)^2)))</f>
        <v/>
      </c>
      <c r="S2675" s="14">
        <f>SUM(M2675:R2675)</f>
        <v/>
      </c>
      <c r="AA2675">
        <f>RAND()</f>
        <v/>
      </c>
      <c r="AB2675">
        <f>RAND()</f>
        <v/>
      </c>
      <c r="AC2675">
        <f>RAND()</f>
        <v/>
      </c>
      <c r="AD2675">
        <f>RAND()</f>
        <v/>
      </c>
      <c r="AE2675">
        <f>RAND()</f>
        <v/>
      </c>
      <c r="AF2675">
        <f>RAND()</f>
        <v/>
      </c>
    </row>
    <row r="2676">
      <c r="M2676" s="14">
        <f>_xlfn.BETA.INV($AA2676,1+4*($D$5-$C$5)/($E$5-$C$5),1+4*($E$5-$D$5)/($E$5-$C$5),$C$5,$E$5)</f>
        <v/>
      </c>
      <c r="N2676" s="14">
        <f>IF($AB2676&lt;($D$6-$C$6)/($E$6-$C$6),$C$6+SQRT($AB2676*($E$6-$C$6)*($D$6-$C$6)),$E$6-SQRT((1-$AB2676)*($E$6-$C$6)*($E$6-$D$6)))</f>
        <v/>
      </c>
      <c r="O2676" s="14">
        <f>_xlfn.NORM.INV($AC2676,$C$7,$D$7)</f>
        <v/>
      </c>
      <c r="P2676" s="14">
        <f>$C$8+($D$8-$C$8)*$AD2676</f>
        <v/>
      </c>
      <c r="Q2676" s="14">
        <f>$C$9</f>
        <v/>
      </c>
      <c r="R2676" s="14">
        <f>_xlfn.LOGNORM.INV($AF2676,LN($C$10)-0.5*LN(1+($D$10/$C$10)^2),SQRT(LN(1+($D$10/$C$10)^2)))</f>
        <v/>
      </c>
      <c r="S2676" s="14">
        <f>SUM(M2676:R2676)</f>
        <v/>
      </c>
      <c r="AA2676">
        <f>RAND()</f>
        <v/>
      </c>
      <c r="AB2676">
        <f>RAND()</f>
        <v/>
      </c>
      <c r="AC2676">
        <f>RAND()</f>
        <v/>
      </c>
      <c r="AD2676">
        <f>RAND()</f>
        <v/>
      </c>
      <c r="AE2676">
        <f>RAND()</f>
        <v/>
      </c>
      <c r="AF2676">
        <f>RAND()</f>
        <v/>
      </c>
    </row>
    <row r="2677">
      <c r="M2677" s="14">
        <f>_xlfn.BETA.INV($AA2677,1+4*($D$5-$C$5)/($E$5-$C$5),1+4*($E$5-$D$5)/($E$5-$C$5),$C$5,$E$5)</f>
        <v/>
      </c>
      <c r="N2677" s="14">
        <f>IF($AB2677&lt;($D$6-$C$6)/($E$6-$C$6),$C$6+SQRT($AB2677*($E$6-$C$6)*($D$6-$C$6)),$E$6-SQRT((1-$AB2677)*($E$6-$C$6)*($E$6-$D$6)))</f>
        <v/>
      </c>
      <c r="O2677" s="14">
        <f>_xlfn.NORM.INV($AC2677,$C$7,$D$7)</f>
        <v/>
      </c>
      <c r="P2677" s="14">
        <f>$C$8+($D$8-$C$8)*$AD2677</f>
        <v/>
      </c>
      <c r="Q2677" s="14">
        <f>$C$9</f>
        <v/>
      </c>
      <c r="R2677" s="14">
        <f>_xlfn.LOGNORM.INV($AF2677,LN($C$10)-0.5*LN(1+($D$10/$C$10)^2),SQRT(LN(1+($D$10/$C$10)^2)))</f>
        <v/>
      </c>
      <c r="S2677" s="14">
        <f>SUM(M2677:R2677)</f>
        <v/>
      </c>
      <c r="AA2677">
        <f>RAND()</f>
        <v/>
      </c>
      <c r="AB2677">
        <f>RAND()</f>
        <v/>
      </c>
      <c r="AC2677">
        <f>RAND()</f>
        <v/>
      </c>
      <c r="AD2677">
        <f>RAND()</f>
        <v/>
      </c>
      <c r="AE2677">
        <f>RAND()</f>
        <v/>
      </c>
      <c r="AF2677">
        <f>RAND()</f>
        <v/>
      </c>
    </row>
    <row r="2678">
      <c r="M2678" s="14">
        <f>_xlfn.BETA.INV($AA2678,1+4*($D$5-$C$5)/($E$5-$C$5),1+4*($E$5-$D$5)/($E$5-$C$5),$C$5,$E$5)</f>
        <v/>
      </c>
      <c r="N2678" s="14">
        <f>IF($AB2678&lt;($D$6-$C$6)/($E$6-$C$6),$C$6+SQRT($AB2678*($E$6-$C$6)*($D$6-$C$6)),$E$6-SQRT((1-$AB2678)*($E$6-$C$6)*($E$6-$D$6)))</f>
        <v/>
      </c>
      <c r="O2678" s="14">
        <f>_xlfn.NORM.INV($AC2678,$C$7,$D$7)</f>
        <v/>
      </c>
      <c r="P2678" s="14">
        <f>$C$8+($D$8-$C$8)*$AD2678</f>
        <v/>
      </c>
      <c r="Q2678" s="14">
        <f>$C$9</f>
        <v/>
      </c>
      <c r="R2678" s="14">
        <f>_xlfn.LOGNORM.INV($AF2678,LN($C$10)-0.5*LN(1+($D$10/$C$10)^2),SQRT(LN(1+($D$10/$C$10)^2)))</f>
        <v/>
      </c>
      <c r="S2678" s="14">
        <f>SUM(M2678:R2678)</f>
        <v/>
      </c>
      <c r="AA2678">
        <f>RAND()</f>
        <v/>
      </c>
      <c r="AB2678">
        <f>RAND()</f>
        <v/>
      </c>
      <c r="AC2678">
        <f>RAND()</f>
        <v/>
      </c>
      <c r="AD2678">
        <f>RAND()</f>
        <v/>
      </c>
      <c r="AE2678">
        <f>RAND()</f>
        <v/>
      </c>
      <c r="AF2678">
        <f>RAND()</f>
        <v/>
      </c>
    </row>
    <row r="2679">
      <c r="M2679" s="14">
        <f>_xlfn.BETA.INV($AA2679,1+4*($D$5-$C$5)/($E$5-$C$5),1+4*($E$5-$D$5)/($E$5-$C$5),$C$5,$E$5)</f>
        <v/>
      </c>
      <c r="N2679" s="14">
        <f>IF($AB2679&lt;($D$6-$C$6)/($E$6-$C$6),$C$6+SQRT($AB2679*($E$6-$C$6)*($D$6-$C$6)),$E$6-SQRT((1-$AB2679)*($E$6-$C$6)*($E$6-$D$6)))</f>
        <v/>
      </c>
      <c r="O2679" s="14">
        <f>_xlfn.NORM.INV($AC2679,$C$7,$D$7)</f>
        <v/>
      </c>
      <c r="P2679" s="14">
        <f>$C$8+($D$8-$C$8)*$AD2679</f>
        <v/>
      </c>
      <c r="Q2679" s="14">
        <f>$C$9</f>
        <v/>
      </c>
      <c r="R2679" s="14">
        <f>_xlfn.LOGNORM.INV($AF2679,LN($C$10)-0.5*LN(1+($D$10/$C$10)^2),SQRT(LN(1+($D$10/$C$10)^2)))</f>
        <v/>
      </c>
      <c r="S2679" s="14">
        <f>SUM(M2679:R2679)</f>
        <v/>
      </c>
      <c r="AA2679">
        <f>RAND()</f>
        <v/>
      </c>
      <c r="AB2679">
        <f>RAND()</f>
        <v/>
      </c>
      <c r="AC2679">
        <f>RAND()</f>
        <v/>
      </c>
      <c r="AD2679">
        <f>RAND()</f>
        <v/>
      </c>
      <c r="AE2679">
        <f>RAND()</f>
        <v/>
      </c>
      <c r="AF2679">
        <f>RAND()</f>
        <v/>
      </c>
    </row>
    <row r="2680">
      <c r="M2680" s="14">
        <f>_xlfn.BETA.INV($AA2680,1+4*($D$5-$C$5)/($E$5-$C$5),1+4*($E$5-$D$5)/($E$5-$C$5),$C$5,$E$5)</f>
        <v/>
      </c>
      <c r="N2680" s="14">
        <f>IF($AB2680&lt;($D$6-$C$6)/($E$6-$C$6),$C$6+SQRT($AB2680*($E$6-$C$6)*($D$6-$C$6)),$E$6-SQRT((1-$AB2680)*($E$6-$C$6)*($E$6-$D$6)))</f>
        <v/>
      </c>
      <c r="O2680" s="14">
        <f>_xlfn.NORM.INV($AC2680,$C$7,$D$7)</f>
        <v/>
      </c>
      <c r="P2680" s="14">
        <f>$C$8+($D$8-$C$8)*$AD2680</f>
        <v/>
      </c>
      <c r="Q2680" s="14">
        <f>$C$9</f>
        <v/>
      </c>
      <c r="R2680" s="14">
        <f>_xlfn.LOGNORM.INV($AF2680,LN($C$10)-0.5*LN(1+($D$10/$C$10)^2),SQRT(LN(1+($D$10/$C$10)^2)))</f>
        <v/>
      </c>
      <c r="S2680" s="14">
        <f>SUM(M2680:R2680)</f>
        <v/>
      </c>
      <c r="AA2680">
        <f>RAND()</f>
        <v/>
      </c>
      <c r="AB2680">
        <f>RAND()</f>
        <v/>
      </c>
      <c r="AC2680">
        <f>RAND()</f>
        <v/>
      </c>
      <c r="AD2680">
        <f>RAND()</f>
        <v/>
      </c>
      <c r="AE2680">
        <f>RAND()</f>
        <v/>
      </c>
      <c r="AF2680">
        <f>RAND()</f>
        <v/>
      </c>
    </row>
    <row r="2681">
      <c r="M2681" s="14">
        <f>_xlfn.BETA.INV($AA2681,1+4*($D$5-$C$5)/($E$5-$C$5),1+4*($E$5-$D$5)/($E$5-$C$5),$C$5,$E$5)</f>
        <v/>
      </c>
      <c r="N2681" s="14">
        <f>IF($AB2681&lt;($D$6-$C$6)/($E$6-$C$6),$C$6+SQRT($AB2681*($E$6-$C$6)*($D$6-$C$6)),$E$6-SQRT((1-$AB2681)*($E$6-$C$6)*($E$6-$D$6)))</f>
        <v/>
      </c>
      <c r="O2681" s="14">
        <f>_xlfn.NORM.INV($AC2681,$C$7,$D$7)</f>
        <v/>
      </c>
      <c r="P2681" s="14">
        <f>$C$8+($D$8-$C$8)*$AD2681</f>
        <v/>
      </c>
      <c r="Q2681" s="14">
        <f>$C$9</f>
        <v/>
      </c>
      <c r="R2681" s="14">
        <f>_xlfn.LOGNORM.INV($AF2681,LN($C$10)-0.5*LN(1+($D$10/$C$10)^2),SQRT(LN(1+($D$10/$C$10)^2)))</f>
        <v/>
      </c>
      <c r="S2681" s="14">
        <f>SUM(M2681:R2681)</f>
        <v/>
      </c>
      <c r="AA2681">
        <f>RAND()</f>
        <v/>
      </c>
      <c r="AB2681">
        <f>RAND()</f>
        <v/>
      </c>
      <c r="AC2681">
        <f>RAND()</f>
        <v/>
      </c>
      <c r="AD2681">
        <f>RAND()</f>
        <v/>
      </c>
      <c r="AE2681">
        <f>RAND()</f>
        <v/>
      </c>
      <c r="AF2681">
        <f>RAND()</f>
        <v/>
      </c>
    </row>
    <row r="2682">
      <c r="M2682" s="14">
        <f>_xlfn.BETA.INV($AA2682,1+4*($D$5-$C$5)/($E$5-$C$5),1+4*($E$5-$D$5)/($E$5-$C$5),$C$5,$E$5)</f>
        <v/>
      </c>
      <c r="N2682" s="14">
        <f>IF($AB2682&lt;($D$6-$C$6)/($E$6-$C$6),$C$6+SQRT($AB2682*($E$6-$C$6)*($D$6-$C$6)),$E$6-SQRT((1-$AB2682)*($E$6-$C$6)*($E$6-$D$6)))</f>
        <v/>
      </c>
      <c r="O2682" s="14">
        <f>_xlfn.NORM.INV($AC2682,$C$7,$D$7)</f>
        <v/>
      </c>
      <c r="P2682" s="14">
        <f>$C$8+($D$8-$C$8)*$AD2682</f>
        <v/>
      </c>
      <c r="Q2682" s="14">
        <f>$C$9</f>
        <v/>
      </c>
      <c r="R2682" s="14">
        <f>_xlfn.LOGNORM.INV($AF2682,LN($C$10)-0.5*LN(1+($D$10/$C$10)^2),SQRT(LN(1+($D$10/$C$10)^2)))</f>
        <v/>
      </c>
      <c r="S2682" s="14">
        <f>SUM(M2682:R2682)</f>
        <v/>
      </c>
      <c r="AA2682">
        <f>RAND()</f>
        <v/>
      </c>
      <c r="AB2682">
        <f>RAND()</f>
        <v/>
      </c>
      <c r="AC2682">
        <f>RAND()</f>
        <v/>
      </c>
      <c r="AD2682">
        <f>RAND()</f>
        <v/>
      </c>
      <c r="AE2682">
        <f>RAND()</f>
        <v/>
      </c>
      <c r="AF2682">
        <f>RAND()</f>
        <v/>
      </c>
    </row>
    <row r="2683">
      <c r="M2683" s="14">
        <f>_xlfn.BETA.INV($AA2683,1+4*($D$5-$C$5)/($E$5-$C$5),1+4*($E$5-$D$5)/($E$5-$C$5),$C$5,$E$5)</f>
        <v/>
      </c>
      <c r="N2683" s="14">
        <f>IF($AB2683&lt;($D$6-$C$6)/($E$6-$C$6),$C$6+SQRT($AB2683*($E$6-$C$6)*($D$6-$C$6)),$E$6-SQRT((1-$AB2683)*($E$6-$C$6)*($E$6-$D$6)))</f>
        <v/>
      </c>
      <c r="O2683" s="14">
        <f>_xlfn.NORM.INV($AC2683,$C$7,$D$7)</f>
        <v/>
      </c>
      <c r="P2683" s="14">
        <f>$C$8+($D$8-$C$8)*$AD2683</f>
        <v/>
      </c>
      <c r="Q2683" s="14">
        <f>$C$9</f>
        <v/>
      </c>
      <c r="R2683" s="14">
        <f>_xlfn.LOGNORM.INV($AF2683,LN($C$10)-0.5*LN(1+($D$10/$C$10)^2),SQRT(LN(1+($D$10/$C$10)^2)))</f>
        <v/>
      </c>
      <c r="S2683" s="14">
        <f>SUM(M2683:R2683)</f>
        <v/>
      </c>
      <c r="AA2683">
        <f>RAND()</f>
        <v/>
      </c>
      <c r="AB2683">
        <f>RAND()</f>
        <v/>
      </c>
      <c r="AC2683">
        <f>RAND()</f>
        <v/>
      </c>
      <c r="AD2683">
        <f>RAND()</f>
        <v/>
      </c>
      <c r="AE2683">
        <f>RAND()</f>
        <v/>
      </c>
      <c r="AF2683">
        <f>RAND()</f>
        <v/>
      </c>
    </row>
    <row r="2684">
      <c r="M2684" s="14">
        <f>_xlfn.BETA.INV($AA2684,1+4*($D$5-$C$5)/($E$5-$C$5),1+4*($E$5-$D$5)/($E$5-$C$5),$C$5,$E$5)</f>
        <v/>
      </c>
      <c r="N2684" s="14">
        <f>IF($AB2684&lt;($D$6-$C$6)/($E$6-$C$6),$C$6+SQRT($AB2684*($E$6-$C$6)*($D$6-$C$6)),$E$6-SQRT((1-$AB2684)*($E$6-$C$6)*($E$6-$D$6)))</f>
        <v/>
      </c>
      <c r="O2684" s="14">
        <f>_xlfn.NORM.INV($AC2684,$C$7,$D$7)</f>
        <v/>
      </c>
      <c r="P2684" s="14">
        <f>$C$8+($D$8-$C$8)*$AD2684</f>
        <v/>
      </c>
      <c r="Q2684" s="14">
        <f>$C$9</f>
        <v/>
      </c>
      <c r="R2684" s="14">
        <f>_xlfn.LOGNORM.INV($AF2684,LN($C$10)-0.5*LN(1+($D$10/$C$10)^2),SQRT(LN(1+($D$10/$C$10)^2)))</f>
        <v/>
      </c>
      <c r="S2684" s="14">
        <f>SUM(M2684:R2684)</f>
        <v/>
      </c>
      <c r="AA2684">
        <f>RAND()</f>
        <v/>
      </c>
      <c r="AB2684">
        <f>RAND()</f>
        <v/>
      </c>
      <c r="AC2684">
        <f>RAND()</f>
        <v/>
      </c>
      <c r="AD2684">
        <f>RAND()</f>
        <v/>
      </c>
      <c r="AE2684">
        <f>RAND()</f>
        <v/>
      </c>
      <c r="AF2684">
        <f>RAND()</f>
        <v/>
      </c>
    </row>
    <row r="2685">
      <c r="M2685" s="14">
        <f>_xlfn.BETA.INV($AA2685,1+4*($D$5-$C$5)/($E$5-$C$5),1+4*($E$5-$D$5)/($E$5-$C$5),$C$5,$E$5)</f>
        <v/>
      </c>
      <c r="N2685" s="14">
        <f>IF($AB2685&lt;($D$6-$C$6)/($E$6-$C$6),$C$6+SQRT($AB2685*($E$6-$C$6)*($D$6-$C$6)),$E$6-SQRT((1-$AB2685)*($E$6-$C$6)*($E$6-$D$6)))</f>
        <v/>
      </c>
      <c r="O2685" s="14">
        <f>_xlfn.NORM.INV($AC2685,$C$7,$D$7)</f>
        <v/>
      </c>
      <c r="P2685" s="14">
        <f>$C$8+($D$8-$C$8)*$AD2685</f>
        <v/>
      </c>
      <c r="Q2685" s="14">
        <f>$C$9</f>
        <v/>
      </c>
      <c r="R2685" s="14">
        <f>_xlfn.LOGNORM.INV($AF2685,LN($C$10)-0.5*LN(1+($D$10/$C$10)^2),SQRT(LN(1+($D$10/$C$10)^2)))</f>
        <v/>
      </c>
      <c r="S2685" s="14">
        <f>SUM(M2685:R2685)</f>
        <v/>
      </c>
      <c r="AA2685">
        <f>RAND()</f>
        <v/>
      </c>
      <c r="AB2685">
        <f>RAND()</f>
        <v/>
      </c>
      <c r="AC2685">
        <f>RAND()</f>
        <v/>
      </c>
      <c r="AD2685">
        <f>RAND()</f>
        <v/>
      </c>
      <c r="AE2685">
        <f>RAND()</f>
        <v/>
      </c>
      <c r="AF2685">
        <f>RAND()</f>
        <v/>
      </c>
    </row>
    <row r="2686">
      <c r="M2686" s="14">
        <f>_xlfn.BETA.INV($AA2686,1+4*($D$5-$C$5)/($E$5-$C$5),1+4*($E$5-$D$5)/($E$5-$C$5),$C$5,$E$5)</f>
        <v/>
      </c>
      <c r="N2686" s="14">
        <f>IF($AB2686&lt;($D$6-$C$6)/($E$6-$C$6),$C$6+SQRT($AB2686*($E$6-$C$6)*($D$6-$C$6)),$E$6-SQRT((1-$AB2686)*($E$6-$C$6)*($E$6-$D$6)))</f>
        <v/>
      </c>
      <c r="O2686" s="14">
        <f>_xlfn.NORM.INV($AC2686,$C$7,$D$7)</f>
        <v/>
      </c>
      <c r="P2686" s="14">
        <f>$C$8+($D$8-$C$8)*$AD2686</f>
        <v/>
      </c>
      <c r="Q2686" s="14">
        <f>$C$9</f>
        <v/>
      </c>
      <c r="R2686" s="14">
        <f>_xlfn.LOGNORM.INV($AF2686,LN($C$10)-0.5*LN(1+($D$10/$C$10)^2),SQRT(LN(1+($D$10/$C$10)^2)))</f>
        <v/>
      </c>
      <c r="S2686" s="14">
        <f>SUM(M2686:R2686)</f>
        <v/>
      </c>
      <c r="AA2686">
        <f>RAND()</f>
        <v/>
      </c>
      <c r="AB2686">
        <f>RAND()</f>
        <v/>
      </c>
      <c r="AC2686">
        <f>RAND()</f>
        <v/>
      </c>
      <c r="AD2686">
        <f>RAND()</f>
        <v/>
      </c>
      <c r="AE2686">
        <f>RAND()</f>
        <v/>
      </c>
      <c r="AF2686">
        <f>RAND()</f>
        <v/>
      </c>
    </row>
    <row r="2687">
      <c r="M2687" s="14">
        <f>_xlfn.BETA.INV($AA2687,1+4*($D$5-$C$5)/($E$5-$C$5),1+4*($E$5-$D$5)/($E$5-$C$5),$C$5,$E$5)</f>
        <v/>
      </c>
      <c r="N2687" s="14">
        <f>IF($AB2687&lt;($D$6-$C$6)/($E$6-$C$6),$C$6+SQRT($AB2687*($E$6-$C$6)*($D$6-$C$6)),$E$6-SQRT((1-$AB2687)*($E$6-$C$6)*($E$6-$D$6)))</f>
        <v/>
      </c>
      <c r="O2687" s="14">
        <f>_xlfn.NORM.INV($AC2687,$C$7,$D$7)</f>
        <v/>
      </c>
      <c r="P2687" s="14">
        <f>$C$8+($D$8-$C$8)*$AD2687</f>
        <v/>
      </c>
      <c r="Q2687" s="14">
        <f>$C$9</f>
        <v/>
      </c>
      <c r="R2687" s="14">
        <f>_xlfn.LOGNORM.INV($AF2687,LN($C$10)-0.5*LN(1+($D$10/$C$10)^2),SQRT(LN(1+($D$10/$C$10)^2)))</f>
        <v/>
      </c>
      <c r="S2687" s="14">
        <f>SUM(M2687:R2687)</f>
        <v/>
      </c>
      <c r="AA2687">
        <f>RAND()</f>
        <v/>
      </c>
      <c r="AB2687">
        <f>RAND()</f>
        <v/>
      </c>
      <c r="AC2687">
        <f>RAND()</f>
        <v/>
      </c>
      <c r="AD2687">
        <f>RAND()</f>
        <v/>
      </c>
      <c r="AE2687">
        <f>RAND()</f>
        <v/>
      </c>
      <c r="AF2687">
        <f>RAND()</f>
        <v/>
      </c>
    </row>
    <row r="2688">
      <c r="M2688" s="14">
        <f>_xlfn.BETA.INV($AA2688,1+4*($D$5-$C$5)/($E$5-$C$5),1+4*($E$5-$D$5)/($E$5-$C$5),$C$5,$E$5)</f>
        <v/>
      </c>
      <c r="N2688" s="14">
        <f>IF($AB2688&lt;($D$6-$C$6)/($E$6-$C$6),$C$6+SQRT($AB2688*($E$6-$C$6)*($D$6-$C$6)),$E$6-SQRT((1-$AB2688)*($E$6-$C$6)*($E$6-$D$6)))</f>
        <v/>
      </c>
      <c r="O2688" s="14">
        <f>_xlfn.NORM.INV($AC2688,$C$7,$D$7)</f>
        <v/>
      </c>
      <c r="P2688" s="14">
        <f>$C$8+($D$8-$C$8)*$AD2688</f>
        <v/>
      </c>
      <c r="Q2688" s="14">
        <f>$C$9</f>
        <v/>
      </c>
      <c r="R2688" s="14">
        <f>_xlfn.LOGNORM.INV($AF2688,LN($C$10)-0.5*LN(1+($D$10/$C$10)^2),SQRT(LN(1+($D$10/$C$10)^2)))</f>
        <v/>
      </c>
      <c r="S2688" s="14">
        <f>SUM(M2688:R2688)</f>
        <v/>
      </c>
      <c r="AA2688">
        <f>RAND()</f>
        <v/>
      </c>
      <c r="AB2688">
        <f>RAND()</f>
        <v/>
      </c>
      <c r="AC2688">
        <f>RAND()</f>
        <v/>
      </c>
      <c r="AD2688">
        <f>RAND()</f>
        <v/>
      </c>
      <c r="AE2688">
        <f>RAND()</f>
        <v/>
      </c>
      <c r="AF2688">
        <f>RAND()</f>
        <v/>
      </c>
    </row>
    <row r="2689">
      <c r="M2689" s="14">
        <f>_xlfn.BETA.INV($AA2689,1+4*($D$5-$C$5)/($E$5-$C$5),1+4*($E$5-$D$5)/($E$5-$C$5),$C$5,$E$5)</f>
        <v/>
      </c>
      <c r="N2689" s="14">
        <f>IF($AB2689&lt;($D$6-$C$6)/($E$6-$C$6),$C$6+SQRT($AB2689*($E$6-$C$6)*($D$6-$C$6)),$E$6-SQRT((1-$AB2689)*($E$6-$C$6)*($E$6-$D$6)))</f>
        <v/>
      </c>
      <c r="O2689" s="14">
        <f>_xlfn.NORM.INV($AC2689,$C$7,$D$7)</f>
        <v/>
      </c>
      <c r="P2689" s="14">
        <f>$C$8+($D$8-$C$8)*$AD2689</f>
        <v/>
      </c>
      <c r="Q2689" s="14">
        <f>$C$9</f>
        <v/>
      </c>
      <c r="R2689" s="14">
        <f>_xlfn.LOGNORM.INV($AF2689,LN($C$10)-0.5*LN(1+($D$10/$C$10)^2),SQRT(LN(1+($D$10/$C$10)^2)))</f>
        <v/>
      </c>
      <c r="S2689" s="14">
        <f>SUM(M2689:R2689)</f>
        <v/>
      </c>
      <c r="AA2689">
        <f>RAND()</f>
        <v/>
      </c>
      <c r="AB2689">
        <f>RAND()</f>
        <v/>
      </c>
      <c r="AC2689">
        <f>RAND()</f>
        <v/>
      </c>
      <c r="AD2689">
        <f>RAND()</f>
        <v/>
      </c>
      <c r="AE2689">
        <f>RAND()</f>
        <v/>
      </c>
      <c r="AF2689">
        <f>RAND()</f>
        <v/>
      </c>
    </row>
    <row r="2690">
      <c r="M2690" s="14">
        <f>_xlfn.BETA.INV($AA2690,1+4*($D$5-$C$5)/($E$5-$C$5),1+4*($E$5-$D$5)/($E$5-$C$5),$C$5,$E$5)</f>
        <v/>
      </c>
      <c r="N2690" s="14">
        <f>IF($AB2690&lt;($D$6-$C$6)/($E$6-$C$6),$C$6+SQRT($AB2690*($E$6-$C$6)*($D$6-$C$6)),$E$6-SQRT((1-$AB2690)*($E$6-$C$6)*($E$6-$D$6)))</f>
        <v/>
      </c>
      <c r="O2690" s="14">
        <f>_xlfn.NORM.INV($AC2690,$C$7,$D$7)</f>
        <v/>
      </c>
      <c r="P2690" s="14">
        <f>$C$8+($D$8-$C$8)*$AD2690</f>
        <v/>
      </c>
      <c r="Q2690" s="14">
        <f>$C$9</f>
        <v/>
      </c>
      <c r="R2690" s="14">
        <f>_xlfn.LOGNORM.INV($AF2690,LN($C$10)-0.5*LN(1+($D$10/$C$10)^2),SQRT(LN(1+($D$10/$C$10)^2)))</f>
        <v/>
      </c>
      <c r="S2690" s="14">
        <f>SUM(M2690:R2690)</f>
        <v/>
      </c>
      <c r="AA2690">
        <f>RAND()</f>
        <v/>
      </c>
      <c r="AB2690">
        <f>RAND()</f>
        <v/>
      </c>
      <c r="AC2690">
        <f>RAND()</f>
        <v/>
      </c>
      <c r="AD2690">
        <f>RAND()</f>
        <v/>
      </c>
      <c r="AE2690">
        <f>RAND()</f>
        <v/>
      </c>
      <c r="AF2690">
        <f>RAND()</f>
        <v/>
      </c>
    </row>
    <row r="2691">
      <c r="M2691" s="14">
        <f>_xlfn.BETA.INV($AA2691,1+4*($D$5-$C$5)/($E$5-$C$5),1+4*($E$5-$D$5)/($E$5-$C$5),$C$5,$E$5)</f>
        <v/>
      </c>
      <c r="N2691" s="14">
        <f>IF($AB2691&lt;($D$6-$C$6)/($E$6-$C$6),$C$6+SQRT($AB2691*($E$6-$C$6)*($D$6-$C$6)),$E$6-SQRT((1-$AB2691)*($E$6-$C$6)*($E$6-$D$6)))</f>
        <v/>
      </c>
      <c r="O2691" s="14">
        <f>_xlfn.NORM.INV($AC2691,$C$7,$D$7)</f>
        <v/>
      </c>
      <c r="P2691" s="14">
        <f>$C$8+($D$8-$C$8)*$AD2691</f>
        <v/>
      </c>
      <c r="Q2691" s="14">
        <f>$C$9</f>
        <v/>
      </c>
      <c r="R2691" s="14">
        <f>_xlfn.LOGNORM.INV($AF2691,LN($C$10)-0.5*LN(1+($D$10/$C$10)^2),SQRT(LN(1+($D$10/$C$10)^2)))</f>
        <v/>
      </c>
      <c r="S2691" s="14">
        <f>SUM(M2691:R2691)</f>
        <v/>
      </c>
      <c r="AA2691">
        <f>RAND()</f>
        <v/>
      </c>
      <c r="AB2691">
        <f>RAND()</f>
        <v/>
      </c>
      <c r="AC2691">
        <f>RAND()</f>
        <v/>
      </c>
      <c r="AD2691">
        <f>RAND()</f>
        <v/>
      </c>
      <c r="AE2691">
        <f>RAND()</f>
        <v/>
      </c>
      <c r="AF2691">
        <f>RAND()</f>
        <v/>
      </c>
    </row>
    <row r="2692">
      <c r="M2692" s="14">
        <f>_xlfn.BETA.INV($AA2692,1+4*($D$5-$C$5)/($E$5-$C$5),1+4*($E$5-$D$5)/($E$5-$C$5),$C$5,$E$5)</f>
        <v/>
      </c>
      <c r="N2692" s="14">
        <f>IF($AB2692&lt;($D$6-$C$6)/($E$6-$C$6),$C$6+SQRT($AB2692*($E$6-$C$6)*($D$6-$C$6)),$E$6-SQRT((1-$AB2692)*($E$6-$C$6)*($E$6-$D$6)))</f>
        <v/>
      </c>
      <c r="O2692" s="14">
        <f>_xlfn.NORM.INV($AC2692,$C$7,$D$7)</f>
        <v/>
      </c>
      <c r="P2692" s="14">
        <f>$C$8+($D$8-$C$8)*$AD2692</f>
        <v/>
      </c>
      <c r="Q2692" s="14">
        <f>$C$9</f>
        <v/>
      </c>
      <c r="R2692" s="14">
        <f>_xlfn.LOGNORM.INV($AF2692,LN($C$10)-0.5*LN(1+($D$10/$C$10)^2),SQRT(LN(1+($D$10/$C$10)^2)))</f>
        <v/>
      </c>
      <c r="S2692" s="14">
        <f>SUM(M2692:R2692)</f>
        <v/>
      </c>
      <c r="AA2692">
        <f>RAND()</f>
        <v/>
      </c>
      <c r="AB2692">
        <f>RAND()</f>
        <v/>
      </c>
      <c r="AC2692">
        <f>RAND()</f>
        <v/>
      </c>
      <c r="AD2692">
        <f>RAND()</f>
        <v/>
      </c>
      <c r="AE2692">
        <f>RAND()</f>
        <v/>
      </c>
      <c r="AF2692">
        <f>RAND()</f>
        <v/>
      </c>
    </row>
    <row r="2693">
      <c r="M2693" s="14">
        <f>_xlfn.BETA.INV($AA2693,1+4*($D$5-$C$5)/($E$5-$C$5),1+4*($E$5-$D$5)/($E$5-$C$5),$C$5,$E$5)</f>
        <v/>
      </c>
      <c r="N2693" s="14">
        <f>IF($AB2693&lt;($D$6-$C$6)/($E$6-$C$6),$C$6+SQRT($AB2693*($E$6-$C$6)*($D$6-$C$6)),$E$6-SQRT((1-$AB2693)*($E$6-$C$6)*($E$6-$D$6)))</f>
        <v/>
      </c>
      <c r="O2693" s="14">
        <f>_xlfn.NORM.INV($AC2693,$C$7,$D$7)</f>
        <v/>
      </c>
      <c r="P2693" s="14">
        <f>$C$8+($D$8-$C$8)*$AD2693</f>
        <v/>
      </c>
      <c r="Q2693" s="14">
        <f>$C$9</f>
        <v/>
      </c>
      <c r="R2693" s="14">
        <f>_xlfn.LOGNORM.INV($AF2693,LN($C$10)-0.5*LN(1+($D$10/$C$10)^2),SQRT(LN(1+($D$10/$C$10)^2)))</f>
        <v/>
      </c>
      <c r="S2693" s="14">
        <f>SUM(M2693:R2693)</f>
        <v/>
      </c>
      <c r="AA2693">
        <f>RAND()</f>
        <v/>
      </c>
      <c r="AB2693">
        <f>RAND()</f>
        <v/>
      </c>
      <c r="AC2693">
        <f>RAND()</f>
        <v/>
      </c>
      <c r="AD2693">
        <f>RAND()</f>
        <v/>
      </c>
      <c r="AE2693">
        <f>RAND()</f>
        <v/>
      </c>
      <c r="AF2693">
        <f>RAND()</f>
        <v/>
      </c>
    </row>
    <row r="2694">
      <c r="M2694" s="14">
        <f>_xlfn.BETA.INV($AA2694,1+4*($D$5-$C$5)/($E$5-$C$5),1+4*($E$5-$D$5)/($E$5-$C$5),$C$5,$E$5)</f>
        <v/>
      </c>
      <c r="N2694" s="14">
        <f>IF($AB2694&lt;($D$6-$C$6)/($E$6-$C$6),$C$6+SQRT($AB2694*($E$6-$C$6)*($D$6-$C$6)),$E$6-SQRT((1-$AB2694)*($E$6-$C$6)*($E$6-$D$6)))</f>
        <v/>
      </c>
      <c r="O2694" s="14">
        <f>_xlfn.NORM.INV($AC2694,$C$7,$D$7)</f>
        <v/>
      </c>
      <c r="P2694" s="14">
        <f>$C$8+($D$8-$C$8)*$AD2694</f>
        <v/>
      </c>
      <c r="Q2694" s="14">
        <f>$C$9</f>
        <v/>
      </c>
      <c r="R2694" s="14">
        <f>_xlfn.LOGNORM.INV($AF2694,LN($C$10)-0.5*LN(1+($D$10/$C$10)^2),SQRT(LN(1+($D$10/$C$10)^2)))</f>
        <v/>
      </c>
      <c r="S2694" s="14">
        <f>SUM(M2694:R2694)</f>
        <v/>
      </c>
      <c r="AA2694">
        <f>RAND()</f>
        <v/>
      </c>
      <c r="AB2694">
        <f>RAND()</f>
        <v/>
      </c>
      <c r="AC2694">
        <f>RAND()</f>
        <v/>
      </c>
      <c r="AD2694">
        <f>RAND()</f>
        <v/>
      </c>
      <c r="AE2694">
        <f>RAND()</f>
        <v/>
      </c>
      <c r="AF2694">
        <f>RAND()</f>
        <v/>
      </c>
    </row>
    <row r="2695">
      <c r="M2695" s="14">
        <f>_xlfn.BETA.INV($AA2695,1+4*($D$5-$C$5)/($E$5-$C$5),1+4*($E$5-$D$5)/($E$5-$C$5),$C$5,$E$5)</f>
        <v/>
      </c>
      <c r="N2695" s="14">
        <f>IF($AB2695&lt;($D$6-$C$6)/($E$6-$C$6),$C$6+SQRT($AB2695*($E$6-$C$6)*($D$6-$C$6)),$E$6-SQRT((1-$AB2695)*($E$6-$C$6)*($E$6-$D$6)))</f>
        <v/>
      </c>
      <c r="O2695" s="14">
        <f>_xlfn.NORM.INV($AC2695,$C$7,$D$7)</f>
        <v/>
      </c>
      <c r="P2695" s="14">
        <f>$C$8+($D$8-$C$8)*$AD2695</f>
        <v/>
      </c>
      <c r="Q2695" s="14">
        <f>$C$9</f>
        <v/>
      </c>
      <c r="R2695" s="14">
        <f>_xlfn.LOGNORM.INV($AF2695,LN($C$10)-0.5*LN(1+($D$10/$C$10)^2),SQRT(LN(1+($D$10/$C$10)^2)))</f>
        <v/>
      </c>
      <c r="S2695" s="14">
        <f>SUM(M2695:R2695)</f>
        <v/>
      </c>
      <c r="AA2695">
        <f>RAND()</f>
        <v/>
      </c>
      <c r="AB2695">
        <f>RAND()</f>
        <v/>
      </c>
      <c r="AC2695">
        <f>RAND()</f>
        <v/>
      </c>
      <c r="AD2695">
        <f>RAND()</f>
        <v/>
      </c>
      <c r="AE2695">
        <f>RAND()</f>
        <v/>
      </c>
      <c r="AF2695">
        <f>RAND()</f>
        <v/>
      </c>
    </row>
    <row r="2696">
      <c r="M2696" s="14">
        <f>_xlfn.BETA.INV($AA2696,1+4*($D$5-$C$5)/($E$5-$C$5),1+4*($E$5-$D$5)/($E$5-$C$5),$C$5,$E$5)</f>
        <v/>
      </c>
      <c r="N2696" s="14">
        <f>IF($AB2696&lt;($D$6-$C$6)/($E$6-$C$6),$C$6+SQRT($AB2696*($E$6-$C$6)*($D$6-$C$6)),$E$6-SQRT((1-$AB2696)*($E$6-$C$6)*($E$6-$D$6)))</f>
        <v/>
      </c>
      <c r="O2696" s="14">
        <f>_xlfn.NORM.INV($AC2696,$C$7,$D$7)</f>
        <v/>
      </c>
      <c r="P2696" s="14">
        <f>$C$8+($D$8-$C$8)*$AD2696</f>
        <v/>
      </c>
      <c r="Q2696" s="14">
        <f>$C$9</f>
        <v/>
      </c>
      <c r="R2696" s="14">
        <f>_xlfn.LOGNORM.INV($AF2696,LN($C$10)-0.5*LN(1+($D$10/$C$10)^2),SQRT(LN(1+($D$10/$C$10)^2)))</f>
        <v/>
      </c>
      <c r="S2696" s="14">
        <f>SUM(M2696:R2696)</f>
        <v/>
      </c>
      <c r="AA2696">
        <f>RAND()</f>
        <v/>
      </c>
      <c r="AB2696">
        <f>RAND()</f>
        <v/>
      </c>
      <c r="AC2696">
        <f>RAND()</f>
        <v/>
      </c>
      <c r="AD2696">
        <f>RAND()</f>
        <v/>
      </c>
      <c r="AE2696">
        <f>RAND()</f>
        <v/>
      </c>
      <c r="AF2696">
        <f>RAND()</f>
        <v/>
      </c>
    </row>
    <row r="2697">
      <c r="M2697" s="14">
        <f>_xlfn.BETA.INV($AA2697,1+4*($D$5-$C$5)/($E$5-$C$5),1+4*($E$5-$D$5)/($E$5-$C$5),$C$5,$E$5)</f>
        <v/>
      </c>
      <c r="N2697" s="14">
        <f>IF($AB2697&lt;($D$6-$C$6)/($E$6-$C$6),$C$6+SQRT($AB2697*($E$6-$C$6)*($D$6-$C$6)),$E$6-SQRT((1-$AB2697)*($E$6-$C$6)*($E$6-$D$6)))</f>
        <v/>
      </c>
      <c r="O2697" s="14">
        <f>_xlfn.NORM.INV($AC2697,$C$7,$D$7)</f>
        <v/>
      </c>
      <c r="P2697" s="14">
        <f>$C$8+($D$8-$C$8)*$AD2697</f>
        <v/>
      </c>
      <c r="Q2697" s="14">
        <f>$C$9</f>
        <v/>
      </c>
      <c r="R2697" s="14">
        <f>_xlfn.LOGNORM.INV($AF2697,LN($C$10)-0.5*LN(1+($D$10/$C$10)^2),SQRT(LN(1+($D$10/$C$10)^2)))</f>
        <v/>
      </c>
      <c r="S2697" s="14">
        <f>SUM(M2697:R2697)</f>
        <v/>
      </c>
      <c r="AA2697">
        <f>RAND()</f>
        <v/>
      </c>
      <c r="AB2697">
        <f>RAND()</f>
        <v/>
      </c>
      <c r="AC2697">
        <f>RAND()</f>
        <v/>
      </c>
      <c r="AD2697">
        <f>RAND()</f>
        <v/>
      </c>
      <c r="AE2697">
        <f>RAND()</f>
        <v/>
      </c>
      <c r="AF2697">
        <f>RAND()</f>
        <v/>
      </c>
    </row>
    <row r="2698">
      <c r="M2698" s="14">
        <f>_xlfn.BETA.INV($AA2698,1+4*($D$5-$C$5)/($E$5-$C$5),1+4*($E$5-$D$5)/($E$5-$C$5),$C$5,$E$5)</f>
        <v/>
      </c>
      <c r="N2698" s="14">
        <f>IF($AB2698&lt;($D$6-$C$6)/($E$6-$C$6),$C$6+SQRT($AB2698*($E$6-$C$6)*($D$6-$C$6)),$E$6-SQRT((1-$AB2698)*($E$6-$C$6)*($E$6-$D$6)))</f>
        <v/>
      </c>
      <c r="O2698" s="14">
        <f>_xlfn.NORM.INV($AC2698,$C$7,$D$7)</f>
        <v/>
      </c>
      <c r="P2698" s="14">
        <f>$C$8+($D$8-$C$8)*$AD2698</f>
        <v/>
      </c>
      <c r="Q2698" s="14">
        <f>$C$9</f>
        <v/>
      </c>
      <c r="R2698" s="14">
        <f>_xlfn.LOGNORM.INV($AF2698,LN($C$10)-0.5*LN(1+($D$10/$C$10)^2),SQRT(LN(1+($D$10/$C$10)^2)))</f>
        <v/>
      </c>
      <c r="S2698" s="14">
        <f>SUM(M2698:R2698)</f>
        <v/>
      </c>
      <c r="AA2698">
        <f>RAND()</f>
        <v/>
      </c>
      <c r="AB2698">
        <f>RAND()</f>
        <v/>
      </c>
      <c r="AC2698">
        <f>RAND()</f>
        <v/>
      </c>
      <c r="AD2698">
        <f>RAND()</f>
        <v/>
      </c>
      <c r="AE2698">
        <f>RAND()</f>
        <v/>
      </c>
      <c r="AF2698">
        <f>RAND()</f>
        <v/>
      </c>
    </row>
    <row r="2699">
      <c r="M2699" s="14">
        <f>_xlfn.BETA.INV($AA2699,1+4*($D$5-$C$5)/($E$5-$C$5),1+4*($E$5-$D$5)/($E$5-$C$5),$C$5,$E$5)</f>
        <v/>
      </c>
      <c r="N2699" s="14">
        <f>IF($AB2699&lt;($D$6-$C$6)/($E$6-$C$6),$C$6+SQRT($AB2699*($E$6-$C$6)*($D$6-$C$6)),$E$6-SQRT((1-$AB2699)*($E$6-$C$6)*($E$6-$D$6)))</f>
        <v/>
      </c>
      <c r="O2699" s="14">
        <f>_xlfn.NORM.INV($AC2699,$C$7,$D$7)</f>
        <v/>
      </c>
      <c r="P2699" s="14">
        <f>$C$8+($D$8-$C$8)*$AD2699</f>
        <v/>
      </c>
      <c r="Q2699" s="14">
        <f>$C$9</f>
        <v/>
      </c>
      <c r="R2699" s="14">
        <f>_xlfn.LOGNORM.INV($AF2699,LN($C$10)-0.5*LN(1+($D$10/$C$10)^2),SQRT(LN(1+($D$10/$C$10)^2)))</f>
        <v/>
      </c>
      <c r="S2699" s="14">
        <f>SUM(M2699:R2699)</f>
        <v/>
      </c>
      <c r="AA2699">
        <f>RAND()</f>
        <v/>
      </c>
      <c r="AB2699">
        <f>RAND()</f>
        <v/>
      </c>
      <c r="AC2699">
        <f>RAND()</f>
        <v/>
      </c>
      <c r="AD2699">
        <f>RAND()</f>
        <v/>
      </c>
      <c r="AE2699">
        <f>RAND()</f>
        <v/>
      </c>
      <c r="AF2699">
        <f>RAND()</f>
        <v/>
      </c>
    </row>
    <row r="2700">
      <c r="M2700" s="14">
        <f>_xlfn.BETA.INV($AA2700,1+4*($D$5-$C$5)/($E$5-$C$5),1+4*($E$5-$D$5)/($E$5-$C$5),$C$5,$E$5)</f>
        <v/>
      </c>
      <c r="N2700" s="14">
        <f>IF($AB2700&lt;($D$6-$C$6)/($E$6-$C$6),$C$6+SQRT($AB2700*($E$6-$C$6)*($D$6-$C$6)),$E$6-SQRT((1-$AB2700)*($E$6-$C$6)*($E$6-$D$6)))</f>
        <v/>
      </c>
      <c r="O2700" s="14">
        <f>_xlfn.NORM.INV($AC2700,$C$7,$D$7)</f>
        <v/>
      </c>
      <c r="P2700" s="14">
        <f>$C$8+($D$8-$C$8)*$AD2700</f>
        <v/>
      </c>
      <c r="Q2700" s="14">
        <f>$C$9</f>
        <v/>
      </c>
      <c r="R2700" s="14">
        <f>_xlfn.LOGNORM.INV($AF2700,LN($C$10)-0.5*LN(1+($D$10/$C$10)^2),SQRT(LN(1+($D$10/$C$10)^2)))</f>
        <v/>
      </c>
      <c r="S2700" s="14">
        <f>SUM(M2700:R2700)</f>
        <v/>
      </c>
      <c r="AA2700">
        <f>RAND()</f>
        <v/>
      </c>
      <c r="AB2700">
        <f>RAND()</f>
        <v/>
      </c>
      <c r="AC2700">
        <f>RAND()</f>
        <v/>
      </c>
      <c r="AD2700">
        <f>RAND()</f>
        <v/>
      </c>
      <c r="AE2700">
        <f>RAND()</f>
        <v/>
      </c>
      <c r="AF2700">
        <f>RAND()</f>
        <v/>
      </c>
    </row>
    <row r="2701">
      <c r="M2701" s="14">
        <f>_xlfn.BETA.INV($AA2701,1+4*($D$5-$C$5)/($E$5-$C$5),1+4*($E$5-$D$5)/($E$5-$C$5),$C$5,$E$5)</f>
        <v/>
      </c>
      <c r="N2701" s="14">
        <f>IF($AB2701&lt;($D$6-$C$6)/($E$6-$C$6),$C$6+SQRT($AB2701*($E$6-$C$6)*($D$6-$C$6)),$E$6-SQRT((1-$AB2701)*($E$6-$C$6)*($E$6-$D$6)))</f>
        <v/>
      </c>
      <c r="O2701" s="14">
        <f>_xlfn.NORM.INV($AC2701,$C$7,$D$7)</f>
        <v/>
      </c>
      <c r="P2701" s="14">
        <f>$C$8+($D$8-$C$8)*$AD2701</f>
        <v/>
      </c>
      <c r="Q2701" s="14">
        <f>$C$9</f>
        <v/>
      </c>
      <c r="R2701" s="14">
        <f>_xlfn.LOGNORM.INV($AF2701,LN($C$10)-0.5*LN(1+($D$10/$C$10)^2),SQRT(LN(1+($D$10/$C$10)^2)))</f>
        <v/>
      </c>
      <c r="S2701" s="14">
        <f>SUM(M2701:R2701)</f>
        <v/>
      </c>
      <c r="AA2701">
        <f>RAND()</f>
        <v/>
      </c>
      <c r="AB2701">
        <f>RAND()</f>
        <v/>
      </c>
      <c r="AC2701">
        <f>RAND()</f>
        <v/>
      </c>
      <c r="AD2701">
        <f>RAND()</f>
        <v/>
      </c>
      <c r="AE2701">
        <f>RAND()</f>
        <v/>
      </c>
      <c r="AF2701">
        <f>RAND()</f>
        <v/>
      </c>
    </row>
    <row r="2702">
      <c r="M2702" s="14">
        <f>_xlfn.BETA.INV($AA2702,1+4*($D$5-$C$5)/($E$5-$C$5),1+4*($E$5-$D$5)/($E$5-$C$5),$C$5,$E$5)</f>
        <v/>
      </c>
      <c r="N2702" s="14">
        <f>IF($AB2702&lt;($D$6-$C$6)/($E$6-$C$6),$C$6+SQRT($AB2702*($E$6-$C$6)*($D$6-$C$6)),$E$6-SQRT((1-$AB2702)*($E$6-$C$6)*($E$6-$D$6)))</f>
        <v/>
      </c>
      <c r="O2702" s="14">
        <f>_xlfn.NORM.INV($AC2702,$C$7,$D$7)</f>
        <v/>
      </c>
      <c r="P2702" s="14">
        <f>$C$8+($D$8-$C$8)*$AD2702</f>
        <v/>
      </c>
      <c r="Q2702" s="14">
        <f>$C$9</f>
        <v/>
      </c>
      <c r="R2702" s="14">
        <f>_xlfn.LOGNORM.INV($AF2702,LN($C$10)-0.5*LN(1+($D$10/$C$10)^2),SQRT(LN(1+($D$10/$C$10)^2)))</f>
        <v/>
      </c>
      <c r="S2702" s="14">
        <f>SUM(M2702:R2702)</f>
        <v/>
      </c>
      <c r="AA2702">
        <f>RAND()</f>
        <v/>
      </c>
      <c r="AB2702">
        <f>RAND()</f>
        <v/>
      </c>
      <c r="AC2702">
        <f>RAND()</f>
        <v/>
      </c>
      <c r="AD2702">
        <f>RAND()</f>
        <v/>
      </c>
      <c r="AE2702">
        <f>RAND()</f>
        <v/>
      </c>
      <c r="AF2702">
        <f>RAND()</f>
        <v/>
      </c>
    </row>
    <row r="2703">
      <c r="M2703" s="14">
        <f>_xlfn.BETA.INV($AA2703,1+4*($D$5-$C$5)/($E$5-$C$5),1+4*($E$5-$D$5)/($E$5-$C$5),$C$5,$E$5)</f>
        <v/>
      </c>
      <c r="N2703" s="14">
        <f>IF($AB2703&lt;($D$6-$C$6)/($E$6-$C$6),$C$6+SQRT($AB2703*($E$6-$C$6)*($D$6-$C$6)),$E$6-SQRT((1-$AB2703)*($E$6-$C$6)*($E$6-$D$6)))</f>
        <v/>
      </c>
      <c r="O2703" s="14">
        <f>_xlfn.NORM.INV($AC2703,$C$7,$D$7)</f>
        <v/>
      </c>
      <c r="P2703" s="14">
        <f>$C$8+($D$8-$C$8)*$AD2703</f>
        <v/>
      </c>
      <c r="Q2703" s="14">
        <f>$C$9</f>
        <v/>
      </c>
      <c r="R2703" s="14">
        <f>_xlfn.LOGNORM.INV($AF2703,LN($C$10)-0.5*LN(1+($D$10/$C$10)^2),SQRT(LN(1+($D$10/$C$10)^2)))</f>
        <v/>
      </c>
      <c r="S2703" s="14">
        <f>SUM(M2703:R2703)</f>
        <v/>
      </c>
      <c r="AA2703">
        <f>RAND()</f>
        <v/>
      </c>
      <c r="AB2703">
        <f>RAND()</f>
        <v/>
      </c>
      <c r="AC2703">
        <f>RAND()</f>
        <v/>
      </c>
      <c r="AD2703">
        <f>RAND()</f>
        <v/>
      </c>
      <c r="AE2703">
        <f>RAND()</f>
        <v/>
      </c>
      <c r="AF2703">
        <f>RAND()</f>
        <v/>
      </c>
    </row>
    <row r="2704">
      <c r="M2704" s="14">
        <f>_xlfn.BETA.INV($AA2704,1+4*($D$5-$C$5)/($E$5-$C$5),1+4*($E$5-$D$5)/($E$5-$C$5),$C$5,$E$5)</f>
        <v/>
      </c>
      <c r="N2704" s="14">
        <f>IF($AB2704&lt;($D$6-$C$6)/($E$6-$C$6),$C$6+SQRT($AB2704*($E$6-$C$6)*($D$6-$C$6)),$E$6-SQRT((1-$AB2704)*($E$6-$C$6)*($E$6-$D$6)))</f>
        <v/>
      </c>
      <c r="O2704" s="14">
        <f>_xlfn.NORM.INV($AC2704,$C$7,$D$7)</f>
        <v/>
      </c>
      <c r="P2704" s="14">
        <f>$C$8+($D$8-$C$8)*$AD2704</f>
        <v/>
      </c>
      <c r="Q2704" s="14">
        <f>$C$9</f>
        <v/>
      </c>
      <c r="R2704" s="14">
        <f>_xlfn.LOGNORM.INV($AF2704,LN($C$10)-0.5*LN(1+($D$10/$C$10)^2),SQRT(LN(1+($D$10/$C$10)^2)))</f>
        <v/>
      </c>
      <c r="S2704" s="14">
        <f>SUM(M2704:R2704)</f>
        <v/>
      </c>
      <c r="AA2704">
        <f>RAND()</f>
        <v/>
      </c>
      <c r="AB2704">
        <f>RAND()</f>
        <v/>
      </c>
      <c r="AC2704">
        <f>RAND()</f>
        <v/>
      </c>
      <c r="AD2704">
        <f>RAND()</f>
        <v/>
      </c>
      <c r="AE2704">
        <f>RAND()</f>
        <v/>
      </c>
      <c r="AF2704">
        <f>RAND()</f>
        <v/>
      </c>
    </row>
    <row r="2705">
      <c r="M2705" s="14">
        <f>_xlfn.BETA.INV($AA2705,1+4*($D$5-$C$5)/($E$5-$C$5),1+4*($E$5-$D$5)/($E$5-$C$5),$C$5,$E$5)</f>
        <v/>
      </c>
      <c r="N2705" s="14">
        <f>IF($AB2705&lt;($D$6-$C$6)/($E$6-$C$6),$C$6+SQRT($AB2705*($E$6-$C$6)*($D$6-$C$6)),$E$6-SQRT((1-$AB2705)*($E$6-$C$6)*($E$6-$D$6)))</f>
        <v/>
      </c>
      <c r="O2705" s="14">
        <f>_xlfn.NORM.INV($AC2705,$C$7,$D$7)</f>
        <v/>
      </c>
      <c r="P2705" s="14">
        <f>$C$8+($D$8-$C$8)*$AD2705</f>
        <v/>
      </c>
      <c r="Q2705" s="14">
        <f>$C$9</f>
        <v/>
      </c>
      <c r="R2705" s="14">
        <f>_xlfn.LOGNORM.INV($AF2705,LN($C$10)-0.5*LN(1+($D$10/$C$10)^2),SQRT(LN(1+($D$10/$C$10)^2)))</f>
        <v/>
      </c>
      <c r="S2705" s="14">
        <f>SUM(M2705:R2705)</f>
        <v/>
      </c>
      <c r="AA2705">
        <f>RAND()</f>
        <v/>
      </c>
      <c r="AB2705">
        <f>RAND()</f>
        <v/>
      </c>
      <c r="AC2705">
        <f>RAND()</f>
        <v/>
      </c>
      <c r="AD2705">
        <f>RAND()</f>
        <v/>
      </c>
      <c r="AE2705">
        <f>RAND()</f>
        <v/>
      </c>
      <c r="AF2705">
        <f>RAND()</f>
        <v/>
      </c>
    </row>
    <row r="2706">
      <c r="M2706" s="14">
        <f>_xlfn.BETA.INV($AA2706,1+4*($D$5-$C$5)/($E$5-$C$5),1+4*($E$5-$D$5)/($E$5-$C$5),$C$5,$E$5)</f>
        <v/>
      </c>
      <c r="N2706" s="14">
        <f>IF($AB2706&lt;($D$6-$C$6)/($E$6-$C$6),$C$6+SQRT($AB2706*($E$6-$C$6)*($D$6-$C$6)),$E$6-SQRT((1-$AB2706)*($E$6-$C$6)*($E$6-$D$6)))</f>
        <v/>
      </c>
      <c r="O2706" s="14">
        <f>_xlfn.NORM.INV($AC2706,$C$7,$D$7)</f>
        <v/>
      </c>
      <c r="P2706" s="14">
        <f>$C$8+($D$8-$C$8)*$AD2706</f>
        <v/>
      </c>
      <c r="Q2706" s="14">
        <f>$C$9</f>
        <v/>
      </c>
      <c r="R2706" s="14">
        <f>_xlfn.LOGNORM.INV($AF2706,LN($C$10)-0.5*LN(1+($D$10/$C$10)^2),SQRT(LN(1+($D$10/$C$10)^2)))</f>
        <v/>
      </c>
      <c r="S2706" s="14">
        <f>SUM(M2706:R2706)</f>
        <v/>
      </c>
      <c r="AA2706">
        <f>RAND()</f>
        <v/>
      </c>
      <c r="AB2706">
        <f>RAND()</f>
        <v/>
      </c>
      <c r="AC2706">
        <f>RAND()</f>
        <v/>
      </c>
      <c r="AD2706">
        <f>RAND()</f>
        <v/>
      </c>
      <c r="AE2706">
        <f>RAND()</f>
        <v/>
      </c>
      <c r="AF2706">
        <f>RAND()</f>
        <v/>
      </c>
    </row>
    <row r="2707">
      <c r="M2707" s="14">
        <f>_xlfn.BETA.INV($AA2707,1+4*($D$5-$C$5)/($E$5-$C$5),1+4*($E$5-$D$5)/($E$5-$C$5),$C$5,$E$5)</f>
        <v/>
      </c>
      <c r="N2707" s="14">
        <f>IF($AB2707&lt;($D$6-$C$6)/($E$6-$C$6),$C$6+SQRT($AB2707*($E$6-$C$6)*($D$6-$C$6)),$E$6-SQRT((1-$AB2707)*($E$6-$C$6)*($E$6-$D$6)))</f>
        <v/>
      </c>
      <c r="O2707" s="14">
        <f>_xlfn.NORM.INV($AC2707,$C$7,$D$7)</f>
        <v/>
      </c>
      <c r="P2707" s="14">
        <f>$C$8+($D$8-$C$8)*$AD2707</f>
        <v/>
      </c>
      <c r="Q2707" s="14">
        <f>$C$9</f>
        <v/>
      </c>
      <c r="R2707" s="14">
        <f>_xlfn.LOGNORM.INV($AF2707,LN($C$10)-0.5*LN(1+($D$10/$C$10)^2),SQRT(LN(1+($D$10/$C$10)^2)))</f>
        <v/>
      </c>
      <c r="S2707" s="14">
        <f>SUM(M2707:R2707)</f>
        <v/>
      </c>
      <c r="AA2707">
        <f>RAND()</f>
        <v/>
      </c>
      <c r="AB2707">
        <f>RAND()</f>
        <v/>
      </c>
      <c r="AC2707">
        <f>RAND()</f>
        <v/>
      </c>
      <c r="AD2707">
        <f>RAND()</f>
        <v/>
      </c>
      <c r="AE2707">
        <f>RAND()</f>
        <v/>
      </c>
      <c r="AF2707">
        <f>RAND()</f>
        <v/>
      </c>
    </row>
    <row r="2708">
      <c r="M2708" s="14">
        <f>_xlfn.BETA.INV($AA2708,1+4*($D$5-$C$5)/($E$5-$C$5),1+4*($E$5-$D$5)/($E$5-$C$5),$C$5,$E$5)</f>
        <v/>
      </c>
      <c r="N2708" s="14">
        <f>IF($AB2708&lt;($D$6-$C$6)/($E$6-$C$6),$C$6+SQRT($AB2708*($E$6-$C$6)*($D$6-$C$6)),$E$6-SQRT((1-$AB2708)*($E$6-$C$6)*($E$6-$D$6)))</f>
        <v/>
      </c>
      <c r="O2708" s="14">
        <f>_xlfn.NORM.INV($AC2708,$C$7,$D$7)</f>
        <v/>
      </c>
      <c r="P2708" s="14">
        <f>$C$8+($D$8-$C$8)*$AD2708</f>
        <v/>
      </c>
      <c r="Q2708" s="14">
        <f>$C$9</f>
        <v/>
      </c>
      <c r="R2708" s="14">
        <f>_xlfn.LOGNORM.INV($AF2708,LN($C$10)-0.5*LN(1+($D$10/$C$10)^2),SQRT(LN(1+($D$10/$C$10)^2)))</f>
        <v/>
      </c>
      <c r="S2708" s="14">
        <f>SUM(M2708:R2708)</f>
        <v/>
      </c>
      <c r="AA2708">
        <f>RAND()</f>
        <v/>
      </c>
      <c r="AB2708">
        <f>RAND()</f>
        <v/>
      </c>
      <c r="AC2708">
        <f>RAND()</f>
        <v/>
      </c>
      <c r="AD2708">
        <f>RAND()</f>
        <v/>
      </c>
      <c r="AE2708">
        <f>RAND()</f>
        <v/>
      </c>
      <c r="AF2708">
        <f>RAND()</f>
        <v/>
      </c>
    </row>
    <row r="2709">
      <c r="M2709" s="14">
        <f>_xlfn.BETA.INV($AA2709,1+4*($D$5-$C$5)/($E$5-$C$5),1+4*($E$5-$D$5)/($E$5-$C$5),$C$5,$E$5)</f>
        <v/>
      </c>
      <c r="N2709" s="14">
        <f>IF($AB2709&lt;($D$6-$C$6)/($E$6-$C$6),$C$6+SQRT($AB2709*($E$6-$C$6)*($D$6-$C$6)),$E$6-SQRT((1-$AB2709)*($E$6-$C$6)*($E$6-$D$6)))</f>
        <v/>
      </c>
      <c r="O2709" s="14">
        <f>_xlfn.NORM.INV($AC2709,$C$7,$D$7)</f>
        <v/>
      </c>
      <c r="P2709" s="14">
        <f>$C$8+($D$8-$C$8)*$AD2709</f>
        <v/>
      </c>
      <c r="Q2709" s="14">
        <f>$C$9</f>
        <v/>
      </c>
      <c r="R2709" s="14">
        <f>_xlfn.LOGNORM.INV($AF2709,LN($C$10)-0.5*LN(1+($D$10/$C$10)^2),SQRT(LN(1+($D$10/$C$10)^2)))</f>
        <v/>
      </c>
      <c r="S2709" s="14">
        <f>SUM(M2709:R2709)</f>
        <v/>
      </c>
      <c r="AA2709">
        <f>RAND()</f>
        <v/>
      </c>
      <c r="AB2709">
        <f>RAND()</f>
        <v/>
      </c>
      <c r="AC2709">
        <f>RAND()</f>
        <v/>
      </c>
      <c r="AD2709">
        <f>RAND()</f>
        <v/>
      </c>
      <c r="AE2709">
        <f>RAND()</f>
        <v/>
      </c>
      <c r="AF2709">
        <f>RAND()</f>
        <v/>
      </c>
    </row>
    <row r="2710">
      <c r="M2710" s="14">
        <f>_xlfn.BETA.INV($AA2710,1+4*($D$5-$C$5)/($E$5-$C$5),1+4*($E$5-$D$5)/($E$5-$C$5),$C$5,$E$5)</f>
        <v/>
      </c>
      <c r="N2710" s="14">
        <f>IF($AB2710&lt;($D$6-$C$6)/($E$6-$C$6),$C$6+SQRT($AB2710*($E$6-$C$6)*($D$6-$C$6)),$E$6-SQRT((1-$AB2710)*($E$6-$C$6)*($E$6-$D$6)))</f>
        <v/>
      </c>
      <c r="O2710" s="14">
        <f>_xlfn.NORM.INV($AC2710,$C$7,$D$7)</f>
        <v/>
      </c>
      <c r="P2710" s="14">
        <f>$C$8+($D$8-$C$8)*$AD2710</f>
        <v/>
      </c>
      <c r="Q2710" s="14">
        <f>$C$9</f>
        <v/>
      </c>
      <c r="R2710" s="14">
        <f>_xlfn.LOGNORM.INV($AF2710,LN($C$10)-0.5*LN(1+($D$10/$C$10)^2),SQRT(LN(1+($D$10/$C$10)^2)))</f>
        <v/>
      </c>
      <c r="S2710" s="14">
        <f>SUM(M2710:R2710)</f>
        <v/>
      </c>
      <c r="AA2710">
        <f>RAND()</f>
        <v/>
      </c>
      <c r="AB2710">
        <f>RAND()</f>
        <v/>
      </c>
      <c r="AC2710">
        <f>RAND()</f>
        <v/>
      </c>
      <c r="AD2710">
        <f>RAND()</f>
        <v/>
      </c>
      <c r="AE2710">
        <f>RAND()</f>
        <v/>
      </c>
      <c r="AF2710">
        <f>RAND()</f>
        <v/>
      </c>
    </row>
    <row r="2711">
      <c r="M2711" s="14">
        <f>_xlfn.BETA.INV($AA2711,1+4*($D$5-$C$5)/($E$5-$C$5),1+4*($E$5-$D$5)/($E$5-$C$5),$C$5,$E$5)</f>
        <v/>
      </c>
      <c r="N2711" s="14">
        <f>IF($AB2711&lt;($D$6-$C$6)/($E$6-$C$6),$C$6+SQRT($AB2711*($E$6-$C$6)*($D$6-$C$6)),$E$6-SQRT((1-$AB2711)*($E$6-$C$6)*($E$6-$D$6)))</f>
        <v/>
      </c>
      <c r="O2711" s="14">
        <f>_xlfn.NORM.INV($AC2711,$C$7,$D$7)</f>
        <v/>
      </c>
      <c r="P2711" s="14">
        <f>$C$8+($D$8-$C$8)*$AD2711</f>
        <v/>
      </c>
      <c r="Q2711" s="14">
        <f>$C$9</f>
        <v/>
      </c>
      <c r="R2711" s="14">
        <f>_xlfn.LOGNORM.INV($AF2711,LN($C$10)-0.5*LN(1+($D$10/$C$10)^2),SQRT(LN(1+($D$10/$C$10)^2)))</f>
        <v/>
      </c>
      <c r="S2711" s="14">
        <f>SUM(M2711:R2711)</f>
        <v/>
      </c>
      <c r="AA2711">
        <f>RAND()</f>
        <v/>
      </c>
      <c r="AB2711">
        <f>RAND()</f>
        <v/>
      </c>
      <c r="AC2711">
        <f>RAND()</f>
        <v/>
      </c>
      <c r="AD2711">
        <f>RAND()</f>
        <v/>
      </c>
      <c r="AE2711">
        <f>RAND()</f>
        <v/>
      </c>
      <c r="AF2711">
        <f>RAND()</f>
        <v/>
      </c>
    </row>
    <row r="2712">
      <c r="M2712" s="14">
        <f>_xlfn.BETA.INV($AA2712,1+4*($D$5-$C$5)/($E$5-$C$5),1+4*($E$5-$D$5)/($E$5-$C$5),$C$5,$E$5)</f>
        <v/>
      </c>
      <c r="N2712" s="14">
        <f>IF($AB2712&lt;($D$6-$C$6)/($E$6-$C$6),$C$6+SQRT($AB2712*($E$6-$C$6)*($D$6-$C$6)),$E$6-SQRT((1-$AB2712)*($E$6-$C$6)*($E$6-$D$6)))</f>
        <v/>
      </c>
      <c r="O2712" s="14">
        <f>_xlfn.NORM.INV($AC2712,$C$7,$D$7)</f>
        <v/>
      </c>
      <c r="P2712" s="14">
        <f>$C$8+($D$8-$C$8)*$AD2712</f>
        <v/>
      </c>
      <c r="Q2712" s="14">
        <f>$C$9</f>
        <v/>
      </c>
      <c r="R2712" s="14">
        <f>_xlfn.LOGNORM.INV($AF2712,LN($C$10)-0.5*LN(1+($D$10/$C$10)^2),SQRT(LN(1+($D$10/$C$10)^2)))</f>
        <v/>
      </c>
      <c r="S2712" s="14">
        <f>SUM(M2712:R2712)</f>
        <v/>
      </c>
      <c r="AA2712">
        <f>RAND()</f>
        <v/>
      </c>
      <c r="AB2712">
        <f>RAND()</f>
        <v/>
      </c>
      <c r="AC2712">
        <f>RAND()</f>
        <v/>
      </c>
      <c r="AD2712">
        <f>RAND()</f>
        <v/>
      </c>
      <c r="AE2712">
        <f>RAND()</f>
        <v/>
      </c>
      <c r="AF2712">
        <f>RAND()</f>
        <v/>
      </c>
    </row>
    <row r="2713">
      <c r="M2713" s="14">
        <f>_xlfn.BETA.INV($AA2713,1+4*($D$5-$C$5)/($E$5-$C$5),1+4*($E$5-$D$5)/($E$5-$C$5),$C$5,$E$5)</f>
        <v/>
      </c>
      <c r="N2713" s="14">
        <f>IF($AB2713&lt;($D$6-$C$6)/($E$6-$C$6),$C$6+SQRT($AB2713*($E$6-$C$6)*($D$6-$C$6)),$E$6-SQRT((1-$AB2713)*($E$6-$C$6)*($E$6-$D$6)))</f>
        <v/>
      </c>
      <c r="O2713" s="14">
        <f>_xlfn.NORM.INV($AC2713,$C$7,$D$7)</f>
        <v/>
      </c>
      <c r="P2713" s="14">
        <f>$C$8+($D$8-$C$8)*$AD2713</f>
        <v/>
      </c>
      <c r="Q2713" s="14">
        <f>$C$9</f>
        <v/>
      </c>
      <c r="R2713" s="14">
        <f>_xlfn.LOGNORM.INV($AF2713,LN($C$10)-0.5*LN(1+($D$10/$C$10)^2),SQRT(LN(1+($D$10/$C$10)^2)))</f>
        <v/>
      </c>
      <c r="S2713" s="14">
        <f>SUM(M2713:R2713)</f>
        <v/>
      </c>
      <c r="AA2713">
        <f>RAND()</f>
        <v/>
      </c>
      <c r="AB2713">
        <f>RAND()</f>
        <v/>
      </c>
      <c r="AC2713">
        <f>RAND()</f>
        <v/>
      </c>
      <c r="AD2713">
        <f>RAND()</f>
        <v/>
      </c>
      <c r="AE2713">
        <f>RAND()</f>
        <v/>
      </c>
      <c r="AF2713">
        <f>RAND()</f>
        <v/>
      </c>
    </row>
    <row r="2714">
      <c r="M2714" s="14">
        <f>_xlfn.BETA.INV($AA2714,1+4*($D$5-$C$5)/($E$5-$C$5),1+4*($E$5-$D$5)/($E$5-$C$5),$C$5,$E$5)</f>
        <v/>
      </c>
      <c r="N2714" s="14">
        <f>IF($AB2714&lt;($D$6-$C$6)/($E$6-$C$6),$C$6+SQRT($AB2714*($E$6-$C$6)*($D$6-$C$6)),$E$6-SQRT((1-$AB2714)*($E$6-$C$6)*($E$6-$D$6)))</f>
        <v/>
      </c>
      <c r="O2714" s="14">
        <f>_xlfn.NORM.INV($AC2714,$C$7,$D$7)</f>
        <v/>
      </c>
      <c r="P2714" s="14">
        <f>$C$8+($D$8-$C$8)*$AD2714</f>
        <v/>
      </c>
      <c r="Q2714" s="14">
        <f>$C$9</f>
        <v/>
      </c>
      <c r="R2714" s="14">
        <f>_xlfn.LOGNORM.INV($AF2714,LN($C$10)-0.5*LN(1+($D$10/$C$10)^2),SQRT(LN(1+($D$10/$C$10)^2)))</f>
        <v/>
      </c>
      <c r="S2714" s="14">
        <f>SUM(M2714:R2714)</f>
        <v/>
      </c>
      <c r="AA2714">
        <f>RAND()</f>
        <v/>
      </c>
      <c r="AB2714">
        <f>RAND()</f>
        <v/>
      </c>
      <c r="AC2714">
        <f>RAND()</f>
        <v/>
      </c>
      <c r="AD2714">
        <f>RAND()</f>
        <v/>
      </c>
      <c r="AE2714">
        <f>RAND()</f>
        <v/>
      </c>
      <c r="AF2714">
        <f>RAND()</f>
        <v/>
      </c>
    </row>
    <row r="2715">
      <c r="M2715" s="14">
        <f>_xlfn.BETA.INV($AA2715,1+4*($D$5-$C$5)/($E$5-$C$5),1+4*($E$5-$D$5)/($E$5-$C$5),$C$5,$E$5)</f>
        <v/>
      </c>
      <c r="N2715" s="14">
        <f>IF($AB2715&lt;($D$6-$C$6)/($E$6-$C$6),$C$6+SQRT($AB2715*($E$6-$C$6)*($D$6-$C$6)),$E$6-SQRT((1-$AB2715)*($E$6-$C$6)*($E$6-$D$6)))</f>
        <v/>
      </c>
      <c r="O2715" s="14">
        <f>_xlfn.NORM.INV($AC2715,$C$7,$D$7)</f>
        <v/>
      </c>
      <c r="P2715" s="14">
        <f>$C$8+($D$8-$C$8)*$AD2715</f>
        <v/>
      </c>
      <c r="Q2715" s="14">
        <f>$C$9</f>
        <v/>
      </c>
      <c r="R2715" s="14">
        <f>_xlfn.LOGNORM.INV($AF2715,LN($C$10)-0.5*LN(1+($D$10/$C$10)^2),SQRT(LN(1+($D$10/$C$10)^2)))</f>
        <v/>
      </c>
      <c r="S2715" s="14">
        <f>SUM(M2715:R2715)</f>
        <v/>
      </c>
      <c r="AA2715">
        <f>RAND()</f>
        <v/>
      </c>
      <c r="AB2715">
        <f>RAND()</f>
        <v/>
      </c>
      <c r="AC2715">
        <f>RAND()</f>
        <v/>
      </c>
      <c r="AD2715">
        <f>RAND()</f>
        <v/>
      </c>
      <c r="AE2715">
        <f>RAND()</f>
        <v/>
      </c>
      <c r="AF2715">
        <f>RAND()</f>
        <v/>
      </c>
    </row>
    <row r="2716">
      <c r="M2716" s="14">
        <f>_xlfn.BETA.INV($AA2716,1+4*($D$5-$C$5)/($E$5-$C$5),1+4*($E$5-$D$5)/($E$5-$C$5),$C$5,$E$5)</f>
        <v/>
      </c>
      <c r="N2716" s="14">
        <f>IF($AB2716&lt;($D$6-$C$6)/($E$6-$C$6),$C$6+SQRT($AB2716*($E$6-$C$6)*($D$6-$C$6)),$E$6-SQRT((1-$AB2716)*($E$6-$C$6)*($E$6-$D$6)))</f>
        <v/>
      </c>
      <c r="O2716" s="14">
        <f>_xlfn.NORM.INV($AC2716,$C$7,$D$7)</f>
        <v/>
      </c>
      <c r="P2716" s="14">
        <f>$C$8+($D$8-$C$8)*$AD2716</f>
        <v/>
      </c>
      <c r="Q2716" s="14">
        <f>$C$9</f>
        <v/>
      </c>
      <c r="R2716" s="14">
        <f>_xlfn.LOGNORM.INV($AF2716,LN($C$10)-0.5*LN(1+($D$10/$C$10)^2),SQRT(LN(1+($D$10/$C$10)^2)))</f>
        <v/>
      </c>
      <c r="S2716" s="14">
        <f>SUM(M2716:R2716)</f>
        <v/>
      </c>
      <c r="AA2716">
        <f>RAND()</f>
        <v/>
      </c>
      <c r="AB2716">
        <f>RAND()</f>
        <v/>
      </c>
      <c r="AC2716">
        <f>RAND()</f>
        <v/>
      </c>
      <c r="AD2716">
        <f>RAND()</f>
        <v/>
      </c>
      <c r="AE2716">
        <f>RAND()</f>
        <v/>
      </c>
      <c r="AF2716">
        <f>RAND()</f>
        <v/>
      </c>
    </row>
    <row r="2717">
      <c r="M2717" s="14">
        <f>_xlfn.BETA.INV($AA2717,1+4*($D$5-$C$5)/($E$5-$C$5),1+4*($E$5-$D$5)/($E$5-$C$5),$C$5,$E$5)</f>
        <v/>
      </c>
      <c r="N2717" s="14">
        <f>IF($AB2717&lt;($D$6-$C$6)/($E$6-$C$6),$C$6+SQRT($AB2717*($E$6-$C$6)*($D$6-$C$6)),$E$6-SQRT((1-$AB2717)*($E$6-$C$6)*($E$6-$D$6)))</f>
        <v/>
      </c>
      <c r="O2717" s="14">
        <f>_xlfn.NORM.INV($AC2717,$C$7,$D$7)</f>
        <v/>
      </c>
      <c r="P2717" s="14">
        <f>$C$8+($D$8-$C$8)*$AD2717</f>
        <v/>
      </c>
      <c r="Q2717" s="14">
        <f>$C$9</f>
        <v/>
      </c>
      <c r="R2717" s="14">
        <f>_xlfn.LOGNORM.INV($AF2717,LN($C$10)-0.5*LN(1+($D$10/$C$10)^2),SQRT(LN(1+($D$10/$C$10)^2)))</f>
        <v/>
      </c>
      <c r="S2717" s="14">
        <f>SUM(M2717:R2717)</f>
        <v/>
      </c>
      <c r="AA2717">
        <f>RAND()</f>
        <v/>
      </c>
      <c r="AB2717">
        <f>RAND()</f>
        <v/>
      </c>
      <c r="AC2717">
        <f>RAND()</f>
        <v/>
      </c>
      <c r="AD2717">
        <f>RAND()</f>
        <v/>
      </c>
      <c r="AE2717">
        <f>RAND()</f>
        <v/>
      </c>
      <c r="AF2717">
        <f>RAND()</f>
        <v/>
      </c>
    </row>
    <row r="2718">
      <c r="M2718" s="14">
        <f>_xlfn.BETA.INV($AA2718,1+4*($D$5-$C$5)/($E$5-$C$5),1+4*($E$5-$D$5)/($E$5-$C$5),$C$5,$E$5)</f>
        <v/>
      </c>
      <c r="N2718" s="14">
        <f>IF($AB2718&lt;($D$6-$C$6)/($E$6-$C$6),$C$6+SQRT($AB2718*($E$6-$C$6)*($D$6-$C$6)),$E$6-SQRT((1-$AB2718)*($E$6-$C$6)*($E$6-$D$6)))</f>
        <v/>
      </c>
      <c r="O2718" s="14">
        <f>_xlfn.NORM.INV($AC2718,$C$7,$D$7)</f>
        <v/>
      </c>
      <c r="P2718" s="14">
        <f>$C$8+($D$8-$C$8)*$AD2718</f>
        <v/>
      </c>
      <c r="Q2718" s="14">
        <f>$C$9</f>
        <v/>
      </c>
      <c r="R2718" s="14">
        <f>_xlfn.LOGNORM.INV($AF2718,LN($C$10)-0.5*LN(1+($D$10/$C$10)^2),SQRT(LN(1+($D$10/$C$10)^2)))</f>
        <v/>
      </c>
      <c r="S2718" s="14">
        <f>SUM(M2718:R2718)</f>
        <v/>
      </c>
      <c r="AA2718">
        <f>RAND()</f>
        <v/>
      </c>
      <c r="AB2718">
        <f>RAND()</f>
        <v/>
      </c>
      <c r="AC2718">
        <f>RAND()</f>
        <v/>
      </c>
      <c r="AD2718">
        <f>RAND()</f>
        <v/>
      </c>
      <c r="AE2718">
        <f>RAND()</f>
        <v/>
      </c>
      <c r="AF2718">
        <f>RAND()</f>
        <v/>
      </c>
    </row>
    <row r="2719">
      <c r="M2719" s="14">
        <f>_xlfn.BETA.INV($AA2719,1+4*($D$5-$C$5)/($E$5-$C$5),1+4*($E$5-$D$5)/($E$5-$C$5),$C$5,$E$5)</f>
        <v/>
      </c>
      <c r="N2719" s="14">
        <f>IF($AB2719&lt;($D$6-$C$6)/($E$6-$C$6),$C$6+SQRT($AB2719*($E$6-$C$6)*($D$6-$C$6)),$E$6-SQRT((1-$AB2719)*($E$6-$C$6)*($E$6-$D$6)))</f>
        <v/>
      </c>
      <c r="O2719" s="14">
        <f>_xlfn.NORM.INV($AC2719,$C$7,$D$7)</f>
        <v/>
      </c>
      <c r="P2719" s="14">
        <f>$C$8+($D$8-$C$8)*$AD2719</f>
        <v/>
      </c>
      <c r="Q2719" s="14">
        <f>$C$9</f>
        <v/>
      </c>
      <c r="R2719" s="14">
        <f>_xlfn.LOGNORM.INV($AF2719,LN($C$10)-0.5*LN(1+($D$10/$C$10)^2),SQRT(LN(1+($D$10/$C$10)^2)))</f>
        <v/>
      </c>
      <c r="S2719" s="14">
        <f>SUM(M2719:R2719)</f>
        <v/>
      </c>
      <c r="AA2719">
        <f>RAND()</f>
        <v/>
      </c>
      <c r="AB2719">
        <f>RAND()</f>
        <v/>
      </c>
      <c r="AC2719">
        <f>RAND()</f>
        <v/>
      </c>
      <c r="AD2719">
        <f>RAND()</f>
        <v/>
      </c>
      <c r="AE2719">
        <f>RAND()</f>
        <v/>
      </c>
      <c r="AF2719">
        <f>RAND()</f>
        <v/>
      </c>
    </row>
    <row r="2720">
      <c r="M2720" s="14">
        <f>_xlfn.BETA.INV($AA2720,1+4*($D$5-$C$5)/($E$5-$C$5),1+4*($E$5-$D$5)/($E$5-$C$5),$C$5,$E$5)</f>
        <v/>
      </c>
      <c r="N2720" s="14">
        <f>IF($AB2720&lt;($D$6-$C$6)/($E$6-$C$6),$C$6+SQRT($AB2720*($E$6-$C$6)*($D$6-$C$6)),$E$6-SQRT((1-$AB2720)*($E$6-$C$6)*($E$6-$D$6)))</f>
        <v/>
      </c>
      <c r="O2720" s="14">
        <f>_xlfn.NORM.INV($AC2720,$C$7,$D$7)</f>
        <v/>
      </c>
      <c r="P2720" s="14">
        <f>$C$8+($D$8-$C$8)*$AD2720</f>
        <v/>
      </c>
      <c r="Q2720" s="14">
        <f>$C$9</f>
        <v/>
      </c>
      <c r="R2720" s="14">
        <f>_xlfn.LOGNORM.INV($AF2720,LN($C$10)-0.5*LN(1+($D$10/$C$10)^2),SQRT(LN(1+($D$10/$C$10)^2)))</f>
        <v/>
      </c>
      <c r="S2720" s="14">
        <f>SUM(M2720:R2720)</f>
        <v/>
      </c>
      <c r="AA2720">
        <f>RAND()</f>
        <v/>
      </c>
      <c r="AB2720">
        <f>RAND()</f>
        <v/>
      </c>
      <c r="AC2720">
        <f>RAND()</f>
        <v/>
      </c>
      <c r="AD2720">
        <f>RAND()</f>
        <v/>
      </c>
      <c r="AE2720">
        <f>RAND()</f>
        <v/>
      </c>
      <c r="AF2720">
        <f>RAND()</f>
        <v/>
      </c>
    </row>
    <row r="2721">
      <c r="M2721" s="14">
        <f>_xlfn.BETA.INV($AA2721,1+4*($D$5-$C$5)/($E$5-$C$5),1+4*($E$5-$D$5)/($E$5-$C$5),$C$5,$E$5)</f>
        <v/>
      </c>
      <c r="N2721" s="14">
        <f>IF($AB2721&lt;($D$6-$C$6)/($E$6-$C$6),$C$6+SQRT($AB2721*($E$6-$C$6)*($D$6-$C$6)),$E$6-SQRT((1-$AB2721)*($E$6-$C$6)*($E$6-$D$6)))</f>
        <v/>
      </c>
      <c r="O2721" s="14">
        <f>_xlfn.NORM.INV($AC2721,$C$7,$D$7)</f>
        <v/>
      </c>
      <c r="P2721" s="14">
        <f>$C$8+($D$8-$C$8)*$AD2721</f>
        <v/>
      </c>
      <c r="Q2721" s="14">
        <f>$C$9</f>
        <v/>
      </c>
      <c r="R2721" s="14">
        <f>_xlfn.LOGNORM.INV($AF2721,LN($C$10)-0.5*LN(1+($D$10/$C$10)^2),SQRT(LN(1+($D$10/$C$10)^2)))</f>
        <v/>
      </c>
      <c r="S2721" s="14">
        <f>SUM(M2721:R2721)</f>
        <v/>
      </c>
      <c r="AA2721">
        <f>RAND()</f>
        <v/>
      </c>
      <c r="AB2721">
        <f>RAND()</f>
        <v/>
      </c>
      <c r="AC2721">
        <f>RAND()</f>
        <v/>
      </c>
      <c r="AD2721">
        <f>RAND()</f>
        <v/>
      </c>
      <c r="AE2721">
        <f>RAND()</f>
        <v/>
      </c>
      <c r="AF2721">
        <f>RAND()</f>
        <v/>
      </c>
    </row>
    <row r="2722">
      <c r="M2722" s="14">
        <f>_xlfn.BETA.INV($AA2722,1+4*($D$5-$C$5)/($E$5-$C$5),1+4*($E$5-$D$5)/($E$5-$C$5),$C$5,$E$5)</f>
        <v/>
      </c>
      <c r="N2722" s="14">
        <f>IF($AB2722&lt;($D$6-$C$6)/($E$6-$C$6),$C$6+SQRT($AB2722*($E$6-$C$6)*($D$6-$C$6)),$E$6-SQRT((1-$AB2722)*($E$6-$C$6)*($E$6-$D$6)))</f>
        <v/>
      </c>
      <c r="O2722" s="14">
        <f>_xlfn.NORM.INV($AC2722,$C$7,$D$7)</f>
        <v/>
      </c>
      <c r="P2722" s="14">
        <f>$C$8+($D$8-$C$8)*$AD2722</f>
        <v/>
      </c>
      <c r="Q2722" s="14">
        <f>$C$9</f>
        <v/>
      </c>
      <c r="R2722" s="14">
        <f>_xlfn.LOGNORM.INV($AF2722,LN($C$10)-0.5*LN(1+($D$10/$C$10)^2),SQRT(LN(1+($D$10/$C$10)^2)))</f>
        <v/>
      </c>
      <c r="S2722" s="14">
        <f>SUM(M2722:R2722)</f>
        <v/>
      </c>
      <c r="AA2722">
        <f>RAND()</f>
        <v/>
      </c>
      <c r="AB2722">
        <f>RAND()</f>
        <v/>
      </c>
      <c r="AC2722">
        <f>RAND()</f>
        <v/>
      </c>
      <c r="AD2722">
        <f>RAND()</f>
        <v/>
      </c>
      <c r="AE2722">
        <f>RAND()</f>
        <v/>
      </c>
      <c r="AF2722">
        <f>RAND()</f>
        <v/>
      </c>
    </row>
    <row r="2723">
      <c r="M2723" s="14">
        <f>_xlfn.BETA.INV($AA2723,1+4*($D$5-$C$5)/($E$5-$C$5),1+4*($E$5-$D$5)/($E$5-$C$5),$C$5,$E$5)</f>
        <v/>
      </c>
      <c r="N2723" s="14">
        <f>IF($AB2723&lt;($D$6-$C$6)/($E$6-$C$6),$C$6+SQRT($AB2723*($E$6-$C$6)*($D$6-$C$6)),$E$6-SQRT((1-$AB2723)*($E$6-$C$6)*($E$6-$D$6)))</f>
        <v/>
      </c>
      <c r="O2723" s="14">
        <f>_xlfn.NORM.INV($AC2723,$C$7,$D$7)</f>
        <v/>
      </c>
      <c r="P2723" s="14">
        <f>$C$8+($D$8-$C$8)*$AD2723</f>
        <v/>
      </c>
      <c r="Q2723" s="14">
        <f>$C$9</f>
        <v/>
      </c>
      <c r="R2723" s="14">
        <f>_xlfn.LOGNORM.INV($AF2723,LN($C$10)-0.5*LN(1+($D$10/$C$10)^2),SQRT(LN(1+($D$10/$C$10)^2)))</f>
        <v/>
      </c>
      <c r="S2723" s="14">
        <f>SUM(M2723:R2723)</f>
        <v/>
      </c>
      <c r="AA2723">
        <f>RAND()</f>
        <v/>
      </c>
      <c r="AB2723">
        <f>RAND()</f>
        <v/>
      </c>
      <c r="AC2723">
        <f>RAND()</f>
        <v/>
      </c>
      <c r="AD2723">
        <f>RAND()</f>
        <v/>
      </c>
      <c r="AE2723">
        <f>RAND()</f>
        <v/>
      </c>
      <c r="AF2723">
        <f>RAND()</f>
        <v/>
      </c>
    </row>
    <row r="2724">
      <c r="M2724" s="14">
        <f>_xlfn.BETA.INV($AA2724,1+4*($D$5-$C$5)/($E$5-$C$5),1+4*($E$5-$D$5)/($E$5-$C$5),$C$5,$E$5)</f>
        <v/>
      </c>
      <c r="N2724" s="14">
        <f>IF($AB2724&lt;($D$6-$C$6)/($E$6-$C$6),$C$6+SQRT($AB2724*($E$6-$C$6)*($D$6-$C$6)),$E$6-SQRT((1-$AB2724)*($E$6-$C$6)*($E$6-$D$6)))</f>
        <v/>
      </c>
      <c r="O2724" s="14">
        <f>_xlfn.NORM.INV($AC2724,$C$7,$D$7)</f>
        <v/>
      </c>
      <c r="P2724" s="14">
        <f>$C$8+($D$8-$C$8)*$AD2724</f>
        <v/>
      </c>
      <c r="Q2724" s="14">
        <f>$C$9</f>
        <v/>
      </c>
      <c r="R2724" s="14">
        <f>_xlfn.LOGNORM.INV($AF2724,LN($C$10)-0.5*LN(1+($D$10/$C$10)^2),SQRT(LN(1+($D$10/$C$10)^2)))</f>
        <v/>
      </c>
      <c r="S2724" s="14">
        <f>SUM(M2724:R2724)</f>
        <v/>
      </c>
      <c r="AA2724">
        <f>RAND()</f>
        <v/>
      </c>
      <c r="AB2724">
        <f>RAND()</f>
        <v/>
      </c>
      <c r="AC2724">
        <f>RAND()</f>
        <v/>
      </c>
      <c r="AD2724">
        <f>RAND()</f>
        <v/>
      </c>
      <c r="AE2724">
        <f>RAND()</f>
        <v/>
      </c>
      <c r="AF2724">
        <f>RAND()</f>
        <v/>
      </c>
    </row>
    <row r="2725">
      <c r="M2725" s="14">
        <f>_xlfn.BETA.INV($AA2725,1+4*($D$5-$C$5)/($E$5-$C$5),1+4*($E$5-$D$5)/($E$5-$C$5),$C$5,$E$5)</f>
        <v/>
      </c>
      <c r="N2725" s="14">
        <f>IF($AB2725&lt;($D$6-$C$6)/($E$6-$C$6),$C$6+SQRT($AB2725*($E$6-$C$6)*($D$6-$C$6)),$E$6-SQRT((1-$AB2725)*($E$6-$C$6)*($E$6-$D$6)))</f>
        <v/>
      </c>
      <c r="O2725" s="14">
        <f>_xlfn.NORM.INV($AC2725,$C$7,$D$7)</f>
        <v/>
      </c>
      <c r="P2725" s="14">
        <f>$C$8+($D$8-$C$8)*$AD2725</f>
        <v/>
      </c>
      <c r="Q2725" s="14">
        <f>$C$9</f>
        <v/>
      </c>
      <c r="R2725" s="14">
        <f>_xlfn.LOGNORM.INV($AF2725,LN($C$10)-0.5*LN(1+($D$10/$C$10)^2),SQRT(LN(1+($D$10/$C$10)^2)))</f>
        <v/>
      </c>
      <c r="S2725" s="14">
        <f>SUM(M2725:R2725)</f>
        <v/>
      </c>
      <c r="AA2725">
        <f>RAND()</f>
        <v/>
      </c>
      <c r="AB2725">
        <f>RAND()</f>
        <v/>
      </c>
      <c r="AC2725">
        <f>RAND()</f>
        <v/>
      </c>
      <c r="AD2725">
        <f>RAND()</f>
        <v/>
      </c>
      <c r="AE2725">
        <f>RAND()</f>
        <v/>
      </c>
      <c r="AF2725">
        <f>RAND()</f>
        <v/>
      </c>
    </row>
    <row r="2726">
      <c r="M2726" s="14">
        <f>_xlfn.BETA.INV($AA2726,1+4*($D$5-$C$5)/($E$5-$C$5),1+4*($E$5-$D$5)/($E$5-$C$5),$C$5,$E$5)</f>
        <v/>
      </c>
      <c r="N2726" s="14">
        <f>IF($AB2726&lt;($D$6-$C$6)/($E$6-$C$6),$C$6+SQRT($AB2726*($E$6-$C$6)*($D$6-$C$6)),$E$6-SQRT((1-$AB2726)*($E$6-$C$6)*($E$6-$D$6)))</f>
        <v/>
      </c>
      <c r="O2726" s="14">
        <f>_xlfn.NORM.INV($AC2726,$C$7,$D$7)</f>
        <v/>
      </c>
      <c r="P2726" s="14">
        <f>$C$8+($D$8-$C$8)*$AD2726</f>
        <v/>
      </c>
      <c r="Q2726" s="14">
        <f>$C$9</f>
        <v/>
      </c>
      <c r="R2726" s="14">
        <f>_xlfn.LOGNORM.INV($AF2726,LN($C$10)-0.5*LN(1+($D$10/$C$10)^2),SQRT(LN(1+($D$10/$C$10)^2)))</f>
        <v/>
      </c>
      <c r="S2726" s="14">
        <f>SUM(M2726:R2726)</f>
        <v/>
      </c>
      <c r="AA2726">
        <f>RAND()</f>
        <v/>
      </c>
      <c r="AB2726">
        <f>RAND()</f>
        <v/>
      </c>
      <c r="AC2726">
        <f>RAND()</f>
        <v/>
      </c>
      <c r="AD2726">
        <f>RAND()</f>
        <v/>
      </c>
      <c r="AE2726">
        <f>RAND()</f>
        <v/>
      </c>
      <c r="AF2726">
        <f>RAND()</f>
        <v/>
      </c>
    </row>
    <row r="2727">
      <c r="M2727" s="14">
        <f>_xlfn.BETA.INV($AA2727,1+4*($D$5-$C$5)/($E$5-$C$5),1+4*($E$5-$D$5)/($E$5-$C$5),$C$5,$E$5)</f>
        <v/>
      </c>
      <c r="N2727" s="14">
        <f>IF($AB2727&lt;($D$6-$C$6)/($E$6-$C$6),$C$6+SQRT($AB2727*($E$6-$C$6)*($D$6-$C$6)),$E$6-SQRT((1-$AB2727)*($E$6-$C$6)*($E$6-$D$6)))</f>
        <v/>
      </c>
      <c r="O2727" s="14">
        <f>_xlfn.NORM.INV($AC2727,$C$7,$D$7)</f>
        <v/>
      </c>
      <c r="P2727" s="14">
        <f>$C$8+($D$8-$C$8)*$AD2727</f>
        <v/>
      </c>
      <c r="Q2727" s="14">
        <f>$C$9</f>
        <v/>
      </c>
      <c r="R2727" s="14">
        <f>_xlfn.LOGNORM.INV($AF2727,LN($C$10)-0.5*LN(1+($D$10/$C$10)^2),SQRT(LN(1+($D$10/$C$10)^2)))</f>
        <v/>
      </c>
      <c r="S2727" s="14">
        <f>SUM(M2727:R2727)</f>
        <v/>
      </c>
      <c r="AA2727">
        <f>RAND()</f>
        <v/>
      </c>
      <c r="AB2727">
        <f>RAND()</f>
        <v/>
      </c>
      <c r="AC2727">
        <f>RAND()</f>
        <v/>
      </c>
      <c r="AD2727">
        <f>RAND()</f>
        <v/>
      </c>
      <c r="AE2727">
        <f>RAND()</f>
        <v/>
      </c>
      <c r="AF2727">
        <f>RAND()</f>
        <v/>
      </c>
    </row>
    <row r="2728">
      <c r="M2728" s="14">
        <f>_xlfn.BETA.INV($AA2728,1+4*($D$5-$C$5)/($E$5-$C$5),1+4*($E$5-$D$5)/($E$5-$C$5),$C$5,$E$5)</f>
        <v/>
      </c>
      <c r="N2728" s="14">
        <f>IF($AB2728&lt;($D$6-$C$6)/($E$6-$C$6),$C$6+SQRT($AB2728*($E$6-$C$6)*($D$6-$C$6)),$E$6-SQRT((1-$AB2728)*($E$6-$C$6)*($E$6-$D$6)))</f>
        <v/>
      </c>
      <c r="O2728" s="14">
        <f>_xlfn.NORM.INV($AC2728,$C$7,$D$7)</f>
        <v/>
      </c>
      <c r="P2728" s="14">
        <f>$C$8+($D$8-$C$8)*$AD2728</f>
        <v/>
      </c>
      <c r="Q2728" s="14">
        <f>$C$9</f>
        <v/>
      </c>
      <c r="R2728" s="14">
        <f>_xlfn.LOGNORM.INV($AF2728,LN($C$10)-0.5*LN(1+($D$10/$C$10)^2),SQRT(LN(1+($D$10/$C$10)^2)))</f>
        <v/>
      </c>
      <c r="S2728" s="14">
        <f>SUM(M2728:R2728)</f>
        <v/>
      </c>
      <c r="AA2728">
        <f>RAND()</f>
        <v/>
      </c>
      <c r="AB2728">
        <f>RAND()</f>
        <v/>
      </c>
      <c r="AC2728">
        <f>RAND()</f>
        <v/>
      </c>
      <c r="AD2728">
        <f>RAND()</f>
        <v/>
      </c>
      <c r="AE2728">
        <f>RAND()</f>
        <v/>
      </c>
      <c r="AF2728">
        <f>RAND()</f>
        <v/>
      </c>
    </row>
    <row r="2729">
      <c r="M2729" s="14">
        <f>_xlfn.BETA.INV($AA2729,1+4*($D$5-$C$5)/($E$5-$C$5),1+4*($E$5-$D$5)/($E$5-$C$5),$C$5,$E$5)</f>
        <v/>
      </c>
      <c r="N2729" s="14">
        <f>IF($AB2729&lt;($D$6-$C$6)/($E$6-$C$6),$C$6+SQRT($AB2729*($E$6-$C$6)*($D$6-$C$6)),$E$6-SQRT((1-$AB2729)*($E$6-$C$6)*($E$6-$D$6)))</f>
        <v/>
      </c>
      <c r="O2729" s="14">
        <f>_xlfn.NORM.INV($AC2729,$C$7,$D$7)</f>
        <v/>
      </c>
      <c r="P2729" s="14">
        <f>$C$8+($D$8-$C$8)*$AD2729</f>
        <v/>
      </c>
      <c r="Q2729" s="14">
        <f>$C$9</f>
        <v/>
      </c>
      <c r="R2729" s="14">
        <f>_xlfn.LOGNORM.INV($AF2729,LN($C$10)-0.5*LN(1+($D$10/$C$10)^2),SQRT(LN(1+($D$10/$C$10)^2)))</f>
        <v/>
      </c>
      <c r="S2729" s="14">
        <f>SUM(M2729:R2729)</f>
        <v/>
      </c>
      <c r="AA2729">
        <f>RAND()</f>
        <v/>
      </c>
      <c r="AB2729">
        <f>RAND()</f>
        <v/>
      </c>
      <c r="AC2729">
        <f>RAND()</f>
        <v/>
      </c>
      <c r="AD2729">
        <f>RAND()</f>
        <v/>
      </c>
      <c r="AE2729">
        <f>RAND()</f>
        <v/>
      </c>
      <c r="AF2729">
        <f>RAND()</f>
        <v/>
      </c>
    </row>
    <row r="2730">
      <c r="M2730" s="14">
        <f>_xlfn.BETA.INV($AA2730,1+4*($D$5-$C$5)/($E$5-$C$5),1+4*($E$5-$D$5)/($E$5-$C$5),$C$5,$E$5)</f>
        <v/>
      </c>
      <c r="N2730" s="14">
        <f>IF($AB2730&lt;($D$6-$C$6)/($E$6-$C$6),$C$6+SQRT($AB2730*($E$6-$C$6)*($D$6-$C$6)),$E$6-SQRT((1-$AB2730)*($E$6-$C$6)*($E$6-$D$6)))</f>
        <v/>
      </c>
      <c r="O2730" s="14">
        <f>_xlfn.NORM.INV($AC2730,$C$7,$D$7)</f>
        <v/>
      </c>
      <c r="P2730" s="14">
        <f>$C$8+($D$8-$C$8)*$AD2730</f>
        <v/>
      </c>
      <c r="Q2730" s="14">
        <f>$C$9</f>
        <v/>
      </c>
      <c r="R2730" s="14">
        <f>_xlfn.LOGNORM.INV($AF2730,LN($C$10)-0.5*LN(1+($D$10/$C$10)^2),SQRT(LN(1+($D$10/$C$10)^2)))</f>
        <v/>
      </c>
      <c r="S2730" s="14">
        <f>SUM(M2730:R2730)</f>
        <v/>
      </c>
      <c r="AA2730">
        <f>RAND()</f>
        <v/>
      </c>
      <c r="AB2730">
        <f>RAND()</f>
        <v/>
      </c>
      <c r="AC2730">
        <f>RAND()</f>
        <v/>
      </c>
      <c r="AD2730">
        <f>RAND()</f>
        <v/>
      </c>
      <c r="AE2730">
        <f>RAND()</f>
        <v/>
      </c>
      <c r="AF2730">
        <f>RAND()</f>
        <v/>
      </c>
    </row>
    <row r="2731">
      <c r="M2731" s="14">
        <f>_xlfn.BETA.INV($AA2731,1+4*($D$5-$C$5)/($E$5-$C$5),1+4*($E$5-$D$5)/($E$5-$C$5),$C$5,$E$5)</f>
        <v/>
      </c>
      <c r="N2731" s="14">
        <f>IF($AB2731&lt;($D$6-$C$6)/($E$6-$C$6),$C$6+SQRT($AB2731*($E$6-$C$6)*($D$6-$C$6)),$E$6-SQRT((1-$AB2731)*($E$6-$C$6)*($E$6-$D$6)))</f>
        <v/>
      </c>
      <c r="O2731" s="14">
        <f>_xlfn.NORM.INV($AC2731,$C$7,$D$7)</f>
        <v/>
      </c>
      <c r="P2731" s="14">
        <f>$C$8+($D$8-$C$8)*$AD2731</f>
        <v/>
      </c>
      <c r="Q2731" s="14">
        <f>$C$9</f>
        <v/>
      </c>
      <c r="R2731" s="14">
        <f>_xlfn.LOGNORM.INV($AF2731,LN($C$10)-0.5*LN(1+($D$10/$C$10)^2),SQRT(LN(1+($D$10/$C$10)^2)))</f>
        <v/>
      </c>
      <c r="S2731" s="14">
        <f>SUM(M2731:R2731)</f>
        <v/>
      </c>
      <c r="AA2731">
        <f>RAND()</f>
        <v/>
      </c>
      <c r="AB2731">
        <f>RAND()</f>
        <v/>
      </c>
      <c r="AC2731">
        <f>RAND()</f>
        <v/>
      </c>
      <c r="AD2731">
        <f>RAND()</f>
        <v/>
      </c>
      <c r="AE2731">
        <f>RAND()</f>
        <v/>
      </c>
      <c r="AF2731">
        <f>RAND()</f>
        <v/>
      </c>
    </row>
    <row r="2732">
      <c r="M2732" s="14">
        <f>_xlfn.BETA.INV($AA2732,1+4*($D$5-$C$5)/($E$5-$C$5),1+4*($E$5-$D$5)/($E$5-$C$5),$C$5,$E$5)</f>
        <v/>
      </c>
      <c r="N2732" s="14">
        <f>IF($AB2732&lt;($D$6-$C$6)/($E$6-$C$6),$C$6+SQRT($AB2732*($E$6-$C$6)*($D$6-$C$6)),$E$6-SQRT((1-$AB2732)*($E$6-$C$6)*($E$6-$D$6)))</f>
        <v/>
      </c>
      <c r="O2732" s="14">
        <f>_xlfn.NORM.INV($AC2732,$C$7,$D$7)</f>
        <v/>
      </c>
      <c r="P2732" s="14">
        <f>$C$8+($D$8-$C$8)*$AD2732</f>
        <v/>
      </c>
      <c r="Q2732" s="14">
        <f>$C$9</f>
        <v/>
      </c>
      <c r="R2732" s="14">
        <f>_xlfn.LOGNORM.INV($AF2732,LN($C$10)-0.5*LN(1+($D$10/$C$10)^2),SQRT(LN(1+($D$10/$C$10)^2)))</f>
        <v/>
      </c>
      <c r="S2732" s="14">
        <f>SUM(M2732:R2732)</f>
        <v/>
      </c>
      <c r="AA2732">
        <f>RAND()</f>
        <v/>
      </c>
      <c r="AB2732">
        <f>RAND()</f>
        <v/>
      </c>
      <c r="AC2732">
        <f>RAND()</f>
        <v/>
      </c>
      <c r="AD2732">
        <f>RAND()</f>
        <v/>
      </c>
      <c r="AE2732">
        <f>RAND()</f>
        <v/>
      </c>
      <c r="AF2732">
        <f>RAND()</f>
        <v/>
      </c>
    </row>
    <row r="2733">
      <c r="M2733" s="14">
        <f>_xlfn.BETA.INV($AA2733,1+4*($D$5-$C$5)/($E$5-$C$5),1+4*($E$5-$D$5)/($E$5-$C$5),$C$5,$E$5)</f>
        <v/>
      </c>
      <c r="N2733" s="14">
        <f>IF($AB2733&lt;($D$6-$C$6)/($E$6-$C$6),$C$6+SQRT($AB2733*($E$6-$C$6)*($D$6-$C$6)),$E$6-SQRT((1-$AB2733)*($E$6-$C$6)*($E$6-$D$6)))</f>
        <v/>
      </c>
      <c r="O2733" s="14">
        <f>_xlfn.NORM.INV($AC2733,$C$7,$D$7)</f>
        <v/>
      </c>
      <c r="P2733" s="14">
        <f>$C$8+($D$8-$C$8)*$AD2733</f>
        <v/>
      </c>
      <c r="Q2733" s="14">
        <f>$C$9</f>
        <v/>
      </c>
      <c r="R2733" s="14">
        <f>_xlfn.LOGNORM.INV($AF2733,LN($C$10)-0.5*LN(1+($D$10/$C$10)^2),SQRT(LN(1+($D$10/$C$10)^2)))</f>
        <v/>
      </c>
      <c r="S2733" s="14">
        <f>SUM(M2733:R2733)</f>
        <v/>
      </c>
      <c r="AA2733">
        <f>RAND()</f>
        <v/>
      </c>
      <c r="AB2733">
        <f>RAND()</f>
        <v/>
      </c>
      <c r="AC2733">
        <f>RAND()</f>
        <v/>
      </c>
      <c r="AD2733">
        <f>RAND()</f>
        <v/>
      </c>
      <c r="AE2733">
        <f>RAND()</f>
        <v/>
      </c>
      <c r="AF2733">
        <f>RAND()</f>
        <v/>
      </c>
    </row>
    <row r="2734">
      <c r="M2734" s="14">
        <f>_xlfn.BETA.INV($AA2734,1+4*($D$5-$C$5)/($E$5-$C$5),1+4*($E$5-$D$5)/($E$5-$C$5),$C$5,$E$5)</f>
        <v/>
      </c>
      <c r="N2734" s="14">
        <f>IF($AB2734&lt;($D$6-$C$6)/($E$6-$C$6),$C$6+SQRT($AB2734*($E$6-$C$6)*($D$6-$C$6)),$E$6-SQRT((1-$AB2734)*($E$6-$C$6)*($E$6-$D$6)))</f>
        <v/>
      </c>
      <c r="O2734" s="14">
        <f>_xlfn.NORM.INV($AC2734,$C$7,$D$7)</f>
        <v/>
      </c>
      <c r="P2734" s="14">
        <f>$C$8+($D$8-$C$8)*$AD2734</f>
        <v/>
      </c>
      <c r="Q2734" s="14">
        <f>$C$9</f>
        <v/>
      </c>
      <c r="R2734" s="14">
        <f>_xlfn.LOGNORM.INV($AF2734,LN($C$10)-0.5*LN(1+($D$10/$C$10)^2),SQRT(LN(1+($D$10/$C$10)^2)))</f>
        <v/>
      </c>
      <c r="S2734" s="14">
        <f>SUM(M2734:R2734)</f>
        <v/>
      </c>
      <c r="AA2734">
        <f>RAND()</f>
        <v/>
      </c>
      <c r="AB2734">
        <f>RAND()</f>
        <v/>
      </c>
      <c r="AC2734">
        <f>RAND()</f>
        <v/>
      </c>
      <c r="AD2734">
        <f>RAND()</f>
        <v/>
      </c>
      <c r="AE2734">
        <f>RAND()</f>
        <v/>
      </c>
      <c r="AF2734">
        <f>RAND()</f>
        <v/>
      </c>
    </row>
    <row r="2735">
      <c r="M2735" s="14">
        <f>_xlfn.BETA.INV($AA2735,1+4*($D$5-$C$5)/($E$5-$C$5),1+4*($E$5-$D$5)/($E$5-$C$5),$C$5,$E$5)</f>
        <v/>
      </c>
      <c r="N2735" s="14">
        <f>IF($AB2735&lt;($D$6-$C$6)/($E$6-$C$6),$C$6+SQRT($AB2735*($E$6-$C$6)*($D$6-$C$6)),$E$6-SQRT((1-$AB2735)*($E$6-$C$6)*($E$6-$D$6)))</f>
        <v/>
      </c>
      <c r="O2735" s="14">
        <f>_xlfn.NORM.INV($AC2735,$C$7,$D$7)</f>
        <v/>
      </c>
      <c r="P2735" s="14">
        <f>$C$8+($D$8-$C$8)*$AD2735</f>
        <v/>
      </c>
      <c r="Q2735" s="14">
        <f>$C$9</f>
        <v/>
      </c>
      <c r="R2735" s="14">
        <f>_xlfn.LOGNORM.INV($AF2735,LN($C$10)-0.5*LN(1+($D$10/$C$10)^2),SQRT(LN(1+($D$10/$C$10)^2)))</f>
        <v/>
      </c>
      <c r="S2735" s="14">
        <f>SUM(M2735:R2735)</f>
        <v/>
      </c>
      <c r="AA2735">
        <f>RAND()</f>
        <v/>
      </c>
      <c r="AB2735">
        <f>RAND()</f>
        <v/>
      </c>
      <c r="AC2735">
        <f>RAND()</f>
        <v/>
      </c>
      <c r="AD2735">
        <f>RAND()</f>
        <v/>
      </c>
      <c r="AE2735">
        <f>RAND()</f>
        <v/>
      </c>
      <c r="AF2735">
        <f>RAND()</f>
        <v/>
      </c>
    </row>
    <row r="2736">
      <c r="M2736" s="14">
        <f>_xlfn.BETA.INV($AA2736,1+4*($D$5-$C$5)/($E$5-$C$5),1+4*($E$5-$D$5)/($E$5-$C$5),$C$5,$E$5)</f>
        <v/>
      </c>
      <c r="N2736" s="14">
        <f>IF($AB2736&lt;($D$6-$C$6)/($E$6-$C$6),$C$6+SQRT($AB2736*($E$6-$C$6)*($D$6-$C$6)),$E$6-SQRT((1-$AB2736)*($E$6-$C$6)*($E$6-$D$6)))</f>
        <v/>
      </c>
      <c r="O2736" s="14">
        <f>_xlfn.NORM.INV($AC2736,$C$7,$D$7)</f>
        <v/>
      </c>
      <c r="P2736" s="14">
        <f>$C$8+($D$8-$C$8)*$AD2736</f>
        <v/>
      </c>
      <c r="Q2736" s="14">
        <f>$C$9</f>
        <v/>
      </c>
      <c r="R2736" s="14">
        <f>_xlfn.LOGNORM.INV($AF2736,LN($C$10)-0.5*LN(1+($D$10/$C$10)^2),SQRT(LN(1+($D$10/$C$10)^2)))</f>
        <v/>
      </c>
      <c r="S2736" s="14">
        <f>SUM(M2736:R2736)</f>
        <v/>
      </c>
      <c r="AA2736">
        <f>RAND()</f>
        <v/>
      </c>
      <c r="AB2736">
        <f>RAND()</f>
        <v/>
      </c>
      <c r="AC2736">
        <f>RAND()</f>
        <v/>
      </c>
      <c r="AD2736">
        <f>RAND()</f>
        <v/>
      </c>
      <c r="AE2736">
        <f>RAND()</f>
        <v/>
      </c>
      <c r="AF2736">
        <f>RAND()</f>
        <v/>
      </c>
    </row>
    <row r="2737">
      <c r="M2737" s="14">
        <f>_xlfn.BETA.INV($AA2737,1+4*($D$5-$C$5)/($E$5-$C$5),1+4*($E$5-$D$5)/($E$5-$C$5),$C$5,$E$5)</f>
        <v/>
      </c>
      <c r="N2737" s="14">
        <f>IF($AB2737&lt;($D$6-$C$6)/($E$6-$C$6),$C$6+SQRT($AB2737*($E$6-$C$6)*($D$6-$C$6)),$E$6-SQRT((1-$AB2737)*($E$6-$C$6)*($E$6-$D$6)))</f>
        <v/>
      </c>
      <c r="O2737" s="14">
        <f>_xlfn.NORM.INV($AC2737,$C$7,$D$7)</f>
        <v/>
      </c>
      <c r="P2737" s="14">
        <f>$C$8+($D$8-$C$8)*$AD2737</f>
        <v/>
      </c>
      <c r="Q2737" s="14">
        <f>$C$9</f>
        <v/>
      </c>
      <c r="R2737" s="14">
        <f>_xlfn.LOGNORM.INV($AF2737,LN($C$10)-0.5*LN(1+($D$10/$C$10)^2),SQRT(LN(1+($D$10/$C$10)^2)))</f>
        <v/>
      </c>
      <c r="S2737" s="14">
        <f>SUM(M2737:R2737)</f>
        <v/>
      </c>
      <c r="AA2737">
        <f>RAND()</f>
        <v/>
      </c>
      <c r="AB2737">
        <f>RAND()</f>
        <v/>
      </c>
      <c r="AC2737">
        <f>RAND()</f>
        <v/>
      </c>
      <c r="AD2737">
        <f>RAND()</f>
        <v/>
      </c>
      <c r="AE2737">
        <f>RAND()</f>
        <v/>
      </c>
      <c r="AF2737">
        <f>RAND()</f>
        <v/>
      </c>
    </row>
    <row r="2738">
      <c r="M2738" s="14">
        <f>_xlfn.BETA.INV($AA2738,1+4*($D$5-$C$5)/($E$5-$C$5),1+4*($E$5-$D$5)/($E$5-$C$5),$C$5,$E$5)</f>
        <v/>
      </c>
      <c r="N2738" s="14">
        <f>IF($AB2738&lt;($D$6-$C$6)/($E$6-$C$6),$C$6+SQRT($AB2738*($E$6-$C$6)*($D$6-$C$6)),$E$6-SQRT((1-$AB2738)*($E$6-$C$6)*($E$6-$D$6)))</f>
        <v/>
      </c>
      <c r="O2738" s="14">
        <f>_xlfn.NORM.INV($AC2738,$C$7,$D$7)</f>
        <v/>
      </c>
      <c r="P2738" s="14">
        <f>$C$8+($D$8-$C$8)*$AD2738</f>
        <v/>
      </c>
      <c r="Q2738" s="14">
        <f>$C$9</f>
        <v/>
      </c>
      <c r="R2738" s="14">
        <f>_xlfn.LOGNORM.INV($AF2738,LN($C$10)-0.5*LN(1+($D$10/$C$10)^2),SQRT(LN(1+($D$10/$C$10)^2)))</f>
        <v/>
      </c>
      <c r="S2738" s="14">
        <f>SUM(M2738:R2738)</f>
        <v/>
      </c>
      <c r="AA2738">
        <f>RAND()</f>
        <v/>
      </c>
      <c r="AB2738">
        <f>RAND()</f>
        <v/>
      </c>
      <c r="AC2738">
        <f>RAND()</f>
        <v/>
      </c>
      <c r="AD2738">
        <f>RAND()</f>
        <v/>
      </c>
      <c r="AE2738">
        <f>RAND()</f>
        <v/>
      </c>
      <c r="AF2738">
        <f>RAND()</f>
        <v/>
      </c>
    </row>
    <row r="2739">
      <c r="M2739" s="14">
        <f>_xlfn.BETA.INV($AA2739,1+4*($D$5-$C$5)/($E$5-$C$5),1+4*($E$5-$D$5)/($E$5-$C$5),$C$5,$E$5)</f>
        <v/>
      </c>
      <c r="N2739" s="14">
        <f>IF($AB2739&lt;($D$6-$C$6)/($E$6-$C$6),$C$6+SQRT($AB2739*($E$6-$C$6)*($D$6-$C$6)),$E$6-SQRT((1-$AB2739)*($E$6-$C$6)*($E$6-$D$6)))</f>
        <v/>
      </c>
      <c r="O2739" s="14">
        <f>_xlfn.NORM.INV($AC2739,$C$7,$D$7)</f>
        <v/>
      </c>
      <c r="P2739" s="14">
        <f>$C$8+($D$8-$C$8)*$AD2739</f>
        <v/>
      </c>
      <c r="Q2739" s="14">
        <f>$C$9</f>
        <v/>
      </c>
      <c r="R2739" s="14">
        <f>_xlfn.LOGNORM.INV($AF2739,LN($C$10)-0.5*LN(1+($D$10/$C$10)^2),SQRT(LN(1+($D$10/$C$10)^2)))</f>
        <v/>
      </c>
      <c r="S2739" s="14">
        <f>SUM(M2739:R2739)</f>
        <v/>
      </c>
      <c r="AA2739">
        <f>RAND()</f>
        <v/>
      </c>
      <c r="AB2739">
        <f>RAND()</f>
        <v/>
      </c>
      <c r="AC2739">
        <f>RAND()</f>
        <v/>
      </c>
      <c r="AD2739">
        <f>RAND()</f>
        <v/>
      </c>
      <c r="AE2739">
        <f>RAND()</f>
        <v/>
      </c>
      <c r="AF2739">
        <f>RAND()</f>
        <v/>
      </c>
    </row>
    <row r="2740">
      <c r="M2740" s="14">
        <f>_xlfn.BETA.INV($AA2740,1+4*($D$5-$C$5)/($E$5-$C$5),1+4*($E$5-$D$5)/($E$5-$C$5),$C$5,$E$5)</f>
        <v/>
      </c>
      <c r="N2740" s="14">
        <f>IF($AB2740&lt;($D$6-$C$6)/($E$6-$C$6),$C$6+SQRT($AB2740*($E$6-$C$6)*($D$6-$C$6)),$E$6-SQRT((1-$AB2740)*($E$6-$C$6)*($E$6-$D$6)))</f>
        <v/>
      </c>
      <c r="O2740" s="14">
        <f>_xlfn.NORM.INV($AC2740,$C$7,$D$7)</f>
        <v/>
      </c>
      <c r="P2740" s="14">
        <f>$C$8+($D$8-$C$8)*$AD2740</f>
        <v/>
      </c>
      <c r="Q2740" s="14">
        <f>$C$9</f>
        <v/>
      </c>
      <c r="R2740" s="14">
        <f>_xlfn.LOGNORM.INV($AF2740,LN($C$10)-0.5*LN(1+($D$10/$C$10)^2),SQRT(LN(1+($D$10/$C$10)^2)))</f>
        <v/>
      </c>
      <c r="S2740" s="14">
        <f>SUM(M2740:R2740)</f>
        <v/>
      </c>
      <c r="AA2740">
        <f>RAND()</f>
        <v/>
      </c>
      <c r="AB2740">
        <f>RAND()</f>
        <v/>
      </c>
      <c r="AC2740">
        <f>RAND()</f>
        <v/>
      </c>
      <c r="AD2740">
        <f>RAND()</f>
        <v/>
      </c>
      <c r="AE2740">
        <f>RAND()</f>
        <v/>
      </c>
      <c r="AF2740">
        <f>RAND()</f>
        <v/>
      </c>
    </row>
    <row r="2741">
      <c r="M2741" s="14">
        <f>_xlfn.BETA.INV($AA2741,1+4*($D$5-$C$5)/($E$5-$C$5),1+4*($E$5-$D$5)/($E$5-$C$5),$C$5,$E$5)</f>
        <v/>
      </c>
      <c r="N2741" s="14">
        <f>IF($AB2741&lt;($D$6-$C$6)/($E$6-$C$6),$C$6+SQRT($AB2741*($E$6-$C$6)*($D$6-$C$6)),$E$6-SQRT((1-$AB2741)*($E$6-$C$6)*($E$6-$D$6)))</f>
        <v/>
      </c>
      <c r="O2741" s="14">
        <f>_xlfn.NORM.INV($AC2741,$C$7,$D$7)</f>
        <v/>
      </c>
      <c r="P2741" s="14">
        <f>$C$8+($D$8-$C$8)*$AD2741</f>
        <v/>
      </c>
      <c r="Q2741" s="14">
        <f>$C$9</f>
        <v/>
      </c>
      <c r="R2741" s="14">
        <f>_xlfn.LOGNORM.INV($AF2741,LN($C$10)-0.5*LN(1+($D$10/$C$10)^2),SQRT(LN(1+($D$10/$C$10)^2)))</f>
        <v/>
      </c>
      <c r="S2741" s="14">
        <f>SUM(M2741:R2741)</f>
        <v/>
      </c>
      <c r="AA2741">
        <f>RAND()</f>
        <v/>
      </c>
      <c r="AB2741">
        <f>RAND()</f>
        <v/>
      </c>
      <c r="AC2741">
        <f>RAND()</f>
        <v/>
      </c>
      <c r="AD2741">
        <f>RAND()</f>
        <v/>
      </c>
      <c r="AE2741">
        <f>RAND()</f>
        <v/>
      </c>
      <c r="AF2741">
        <f>RAND()</f>
        <v/>
      </c>
    </row>
    <row r="2742">
      <c r="M2742" s="14">
        <f>_xlfn.BETA.INV($AA2742,1+4*($D$5-$C$5)/($E$5-$C$5),1+4*($E$5-$D$5)/($E$5-$C$5),$C$5,$E$5)</f>
        <v/>
      </c>
      <c r="N2742" s="14">
        <f>IF($AB2742&lt;($D$6-$C$6)/($E$6-$C$6),$C$6+SQRT($AB2742*($E$6-$C$6)*($D$6-$C$6)),$E$6-SQRT((1-$AB2742)*($E$6-$C$6)*($E$6-$D$6)))</f>
        <v/>
      </c>
      <c r="O2742" s="14">
        <f>_xlfn.NORM.INV($AC2742,$C$7,$D$7)</f>
        <v/>
      </c>
      <c r="P2742" s="14">
        <f>$C$8+($D$8-$C$8)*$AD2742</f>
        <v/>
      </c>
      <c r="Q2742" s="14">
        <f>$C$9</f>
        <v/>
      </c>
      <c r="R2742" s="14">
        <f>_xlfn.LOGNORM.INV($AF2742,LN($C$10)-0.5*LN(1+($D$10/$C$10)^2),SQRT(LN(1+($D$10/$C$10)^2)))</f>
        <v/>
      </c>
      <c r="S2742" s="14">
        <f>SUM(M2742:R2742)</f>
        <v/>
      </c>
      <c r="AA2742">
        <f>RAND()</f>
        <v/>
      </c>
      <c r="AB2742">
        <f>RAND()</f>
        <v/>
      </c>
      <c r="AC2742">
        <f>RAND()</f>
        <v/>
      </c>
      <c r="AD2742">
        <f>RAND()</f>
        <v/>
      </c>
      <c r="AE2742">
        <f>RAND()</f>
        <v/>
      </c>
      <c r="AF2742">
        <f>RAND()</f>
        <v/>
      </c>
    </row>
    <row r="2743">
      <c r="M2743" s="14">
        <f>_xlfn.BETA.INV($AA2743,1+4*($D$5-$C$5)/($E$5-$C$5),1+4*($E$5-$D$5)/($E$5-$C$5),$C$5,$E$5)</f>
        <v/>
      </c>
      <c r="N2743" s="14">
        <f>IF($AB2743&lt;($D$6-$C$6)/($E$6-$C$6),$C$6+SQRT($AB2743*($E$6-$C$6)*($D$6-$C$6)),$E$6-SQRT((1-$AB2743)*($E$6-$C$6)*($E$6-$D$6)))</f>
        <v/>
      </c>
      <c r="O2743" s="14">
        <f>_xlfn.NORM.INV($AC2743,$C$7,$D$7)</f>
        <v/>
      </c>
      <c r="P2743" s="14">
        <f>$C$8+($D$8-$C$8)*$AD2743</f>
        <v/>
      </c>
      <c r="Q2743" s="14">
        <f>$C$9</f>
        <v/>
      </c>
      <c r="R2743" s="14">
        <f>_xlfn.LOGNORM.INV($AF2743,LN($C$10)-0.5*LN(1+($D$10/$C$10)^2),SQRT(LN(1+($D$10/$C$10)^2)))</f>
        <v/>
      </c>
      <c r="S2743" s="14">
        <f>SUM(M2743:R2743)</f>
        <v/>
      </c>
      <c r="AA2743">
        <f>RAND()</f>
        <v/>
      </c>
      <c r="AB2743">
        <f>RAND()</f>
        <v/>
      </c>
      <c r="AC2743">
        <f>RAND()</f>
        <v/>
      </c>
      <c r="AD2743">
        <f>RAND()</f>
        <v/>
      </c>
      <c r="AE2743">
        <f>RAND()</f>
        <v/>
      </c>
      <c r="AF2743">
        <f>RAND()</f>
        <v/>
      </c>
    </row>
    <row r="2744">
      <c r="M2744" s="14">
        <f>_xlfn.BETA.INV($AA2744,1+4*($D$5-$C$5)/($E$5-$C$5),1+4*($E$5-$D$5)/($E$5-$C$5),$C$5,$E$5)</f>
        <v/>
      </c>
      <c r="N2744" s="14">
        <f>IF($AB2744&lt;($D$6-$C$6)/($E$6-$C$6),$C$6+SQRT($AB2744*($E$6-$C$6)*($D$6-$C$6)),$E$6-SQRT((1-$AB2744)*($E$6-$C$6)*($E$6-$D$6)))</f>
        <v/>
      </c>
      <c r="O2744" s="14">
        <f>_xlfn.NORM.INV($AC2744,$C$7,$D$7)</f>
        <v/>
      </c>
      <c r="P2744" s="14">
        <f>$C$8+($D$8-$C$8)*$AD2744</f>
        <v/>
      </c>
      <c r="Q2744" s="14">
        <f>$C$9</f>
        <v/>
      </c>
      <c r="R2744" s="14">
        <f>_xlfn.LOGNORM.INV($AF2744,LN($C$10)-0.5*LN(1+($D$10/$C$10)^2),SQRT(LN(1+($D$10/$C$10)^2)))</f>
        <v/>
      </c>
      <c r="S2744" s="14">
        <f>SUM(M2744:R2744)</f>
        <v/>
      </c>
      <c r="AA2744">
        <f>RAND()</f>
        <v/>
      </c>
      <c r="AB2744">
        <f>RAND()</f>
        <v/>
      </c>
      <c r="AC2744">
        <f>RAND()</f>
        <v/>
      </c>
      <c r="AD2744">
        <f>RAND()</f>
        <v/>
      </c>
      <c r="AE2744">
        <f>RAND()</f>
        <v/>
      </c>
      <c r="AF2744">
        <f>RAND()</f>
        <v/>
      </c>
    </row>
    <row r="2745">
      <c r="M2745" s="14">
        <f>_xlfn.BETA.INV($AA2745,1+4*($D$5-$C$5)/($E$5-$C$5),1+4*($E$5-$D$5)/($E$5-$C$5),$C$5,$E$5)</f>
        <v/>
      </c>
      <c r="N2745" s="14">
        <f>IF($AB2745&lt;($D$6-$C$6)/($E$6-$C$6),$C$6+SQRT($AB2745*($E$6-$C$6)*($D$6-$C$6)),$E$6-SQRT((1-$AB2745)*($E$6-$C$6)*($E$6-$D$6)))</f>
        <v/>
      </c>
      <c r="O2745" s="14">
        <f>_xlfn.NORM.INV($AC2745,$C$7,$D$7)</f>
        <v/>
      </c>
      <c r="P2745" s="14">
        <f>$C$8+($D$8-$C$8)*$AD2745</f>
        <v/>
      </c>
      <c r="Q2745" s="14">
        <f>$C$9</f>
        <v/>
      </c>
      <c r="R2745" s="14">
        <f>_xlfn.LOGNORM.INV($AF2745,LN($C$10)-0.5*LN(1+($D$10/$C$10)^2),SQRT(LN(1+($D$10/$C$10)^2)))</f>
        <v/>
      </c>
      <c r="S2745" s="14">
        <f>SUM(M2745:R2745)</f>
        <v/>
      </c>
      <c r="AA2745">
        <f>RAND()</f>
        <v/>
      </c>
      <c r="AB2745">
        <f>RAND()</f>
        <v/>
      </c>
      <c r="AC2745">
        <f>RAND()</f>
        <v/>
      </c>
      <c r="AD2745">
        <f>RAND()</f>
        <v/>
      </c>
      <c r="AE2745">
        <f>RAND()</f>
        <v/>
      </c>
      <c r="AF2745">
        <f>RAND()</f>
        <v/>
      </c>
    </row>
    <row r="2746">
      <c r="M2746" s="14">
        <f>_xlfn.BETA.INV($AA2746,1+4*($D$5-$C$5)/($E$5-$C$5),1+4*($E$5-$D$5)/($E$5-$C$5),$C$5,$E$5)</f>
        <v/>
      </c>
      <c r="N2746" s="14">
        <f>IF($AB2746&lt;($D$6-$C$6)/($E$6-$C$6),$C$6+SQRT($AB2746*($E$6-$C$6)*($D$6-$C$6)),$E$6-SQRT((1-$AB2746)*($E$6-$C$6)*($E$6-$D$6)))</f>
        <v/>
      </c>
      <c r="O2746" s="14">
        <f>_xlfn.NORM.INV($AC2746,$C$7,$D$7)</f>
        <v/>
      </c>
      <c r="P2746" s="14">
        <f>$C$8+($D$8-$C$8)*$AD2746</f>
        <v/>
      </c>
      <c r="Q2746" s="14">
        <f>$C$9</f>
        <v/>
      </c>
      <c r="R2746" s="14">
        <f>_xlfn.LOGNORM.INV($AF2746,LN($C$10)-0.5*LN(1+($D$10/$C$10)^2),SQRT(LN(1+($D$10/$C$10)^2)))</f>
        <v/>
      </c>
      <c r="S2746" s="14">
        <f>SUM(M2746:R2746)</f>
        <v/>
      </c>
      <c r="AA2746">
        <f>RAND()</f>
        <v/>
      </c>
      <c r="AB2746">
        <f>RAND()</f>
        <v/>
      </c>
      <c r="AC2746">
        <f>RAND()</f>
        <v/>
      </c>
      <c r="AD2746">
        <f>RAND()</f>
        <v/>
      </c>
      <c r="AE2746">
        <f>RAND()</f>
        <v/>
      </c>
      <c r="AF2746">
        <f>RAND()</f>
        <v/>
      </c>
    </row>
    <row r="2747">
      <c r="M2747" s="14">
        <f>_xlfn.BETA.INV($AA2747,1+4*($D$5-$C$5)/($E$5-$C$5),1+4*($E$5-$D$5)/($E$5-$C$5),$C$5,$E$5)</f>
        <v/>
      </c>
      <c r="N2747" s="14">
        <f>IF($AB2747&lt;($D$6-$C$6)/($E$6-$C$6),$C$6+SQRT($AB2747*($E$6-$C$6)*($D$6-$C$6)),$E$6-SQRT((1-$AB2747)*($E$6-$C$6)*($E$6-$D$6)))</f>
        <v/>
      </c>
      <c r="O2747" s="14">
        <f>_xlfn.NORM.INV($AC2747,$C$7,$D$7)</f>
        <v/>
      </c>
      <c r="P2747" s="14">
        <f>$C$8+($D$8-$C$8)*$AD2747</f>
        <v/>
      </c>
      <c r="Q2747" s="14">
        <f>$C$9</f>
        <v/>
      </c>
      <c r="R2747" s="14">
        <f>_xlfn.LOGNORM.INV($AF2747,LN($C$10)-0.5*LN(1+($D$10/$C$10)^2),SQRT(LN(1+($D$10/$C$10)^2)))</f>
        <v/>
      </c>
      <c r="S2747" s="14">
        <f>SUM(M2747:R2747)</f>
        <v/>
      </c>
      <c r="AA2747">
        <f>RAND()</f>
        <v/>
      </c>
      <c r="AB2747">
        <f>RAND()</f>
        <v/>
      </c>
      <c r="AC2747">
        <f>RAND()</f>
        <v/>
      </c>
      <c r="AD2747">
        <f>RAND()</f>
        <v/>
      </c>
      <c r="AE2747">
        <f>RAND()</f>
        <v/>
      </c>
      <c r="AF2747">
        <f>RAND()</f>
        <v/>
      </c>
    </row>
    <row r="2748">
      <c r="M2748" s="14">
        <f>_xlfn.BETA.INV($AA2748,1+4*($D$5-$C$5)/($E$5-$C$5),1+4*($E$5-$D$5)/($E$5-$C$5),$C$5,$E$5)</f>
        <v/>
      </c>
      <c r="N2748" s="14">
        <f>IF($AB2748&lt;($D$6-$C$6)/($E$6-$C$6),$C$6+SQRT($AB2748*($E$6-$C$6)*($D$6-$C$6)),$E$6-SQRT((1-$AB2748)*($E$6-$C$6)*($E$6-$D$6)))</f>
        <v/>
      </c>
      <c r="O2748" s="14">
        <f>_xlfn.NORM.INV($AC2748,$C$7,$D$7)</f>
        <v/>
      </c>
      <c r="P2748" s="14">
        <f>$C$8+($D$8-$C$8)*$AD2748</f>
        <v/>
      </c>
      <c r="Q2748" s="14">
        <f>$C$9</f>
        <v/>
      </c>
      <c r="R2748" s="14">
        <f>_xlfn.LOGNORM.INV($AF2748,LN($C$10)-0.5*LN(1+($D$10/$C$10)^2),SQRT(LN(1+($D$10/$C$10)^2)))</f>
        <v/>
      </c>
      <c r="S2748" s="14">
        <f>SUM(M2748:R2748)</f>
        <v/>
      </c>
      <c r="AA2748">
        <f>RAND()</f>
        <v/>
      </c>
      <c r="AB2748">
        <f>RAND()</f>
        <v/>
      </c>
      <c r="AC2748">
        <f>RAND()</f>
        <v/>
      </c>
      <c r="AD2748">
        <f>RAND()</f>
        <v/>
      </c>
      <c r="AE2748">
        <f>RAND()</f>
        <v/>
      </c>
      <c r="AF2748">
        <f>RAND()</f>
        <v/>
      </c>
    </row>
    <row r="2749">
      <c r="M2749" s="14">
        <f>_xlfn.BETA.INV($AA2749,1+4*($D$5-$C$5)/($E$5-$C$5),1+4*($E$5-$D$5)/($E$5-$C$5),$C$5,$E$5)</f>
        <v/>
      </c>
      <c r="N2749" s="14">
        <f>IF($AB2749&lt;($D$6-$C$6)/($E$6-$C$6),$C$6+SQRT($AB2749*($E$6-$C$6)*($D$6-$C$6)),$E$6-SQRT((1-$AB2749)*($E$6-$C$6)*($E$6-$D$6)))</f>
        <v/>
      </c>
      <c r="O2749" s="14">
        <f>_xlfn.NORM.INV($AC2749,$C$7,$D$7)</f>
        <v/>
      </c>
      <c r="P2749" s="14">
        <f>$C$8+($D$8-$C$8)*$AD2749</f>
        <v/>
      </c>
      <c r="Q2749" s="14">
        <f>$C$9</f>
        <v/>
      </c>
      <c r="R2749" s="14">
        <f>_xlfn.LOGNORM.INV($AF2749,LN($C$10)-0.5*LN(1+($D$10/$C$10)^2),SQRT(LN(1+($D$10/$C$10)^2)))</f>
        <v/>
      </c>
      <c r="S2749" s="14">
        <f>SUM(M2749:R2749)</f>
        <v/>
      </c>
      <c r="AA2749">
        <f>RAND()</f>
        <v/>
      </c>
      <c r="AB2749">
        <f>RAND()</f>
        <v/>
      </c>
      <c r="AC2749">
        <f>RAND()</f>
        <v/>
      </c>
      <c r="AD2749">
        <f>RAND()</f>
        <v/>
      </c>
      <c r="AE2749">
        <f>RAND()</f>
        <v/>
      </c>
      <c r="AF2749">
        <f>RAND()</f>
        <v/>
      </c>
    </row>
    <row r="2750">
      <c r="M2750" s="14">
        <f>_xlfn.BETA.INV($AA2750,1+4*($D$5-$C$5)/($E$5-$C$5),1+4*($E$5-$D$5)/($E$5-$C$5),$C$5,$E$5)</f>
        <v/>
      </c>
      <c r="N2750" s="14">
        <f>IF($AB2750&lt;($D$6-$C$6)/($E$6-$C$6),$C$6+SQRT($AB2750*($E$6-$C$6)*($D$6-$C$6)),$E$6-SQRT((1-$AB2750)*($E$6-$C$6)*($E$6-$D$6)))</f>
        <v/>
      </c>
      <c r="O2750" s="14">
        <f>_xlfn.NORM.INV($AC2750,$C$7,$D$7)</f>
        <v/>
      </c>
      <c r="P2750" s="14">
        <f>$C$8+($D$8-$C$8)*$AD2750</f>
        <v/>
      </c>
      <c r="Q2750" s="14">
        <f>$C$9</f>
        <v/>
      </c>
      <c r="R2750" s="14">
        <f>_xlfn.LOGNORM.INV($AF2750,LN($C$10)-0.5*LN(1+($D$10/$C$10)^2),SQRT(LN(1+($D$10/$C$10)^2)))</f>
        <v/>
      </c>
      <c r="S2750" s="14">
        <f>SUM(M2750:R2750)</f>
        <v/>
      </c>
      <c r="AA2750">
        <f>RAND()</f>
        <v/>
      </c>
      <c r="AB2750">
        <f>RAND()</f>
        <v/>
      </c>
      <c r="AC2750">
        <f>RAND()</f>
        <v/>
      </c>
      <c r="AD2750">
        <f>RAND()</f>
        <v/>
      </c>
      <c r="AE2750">
        <f>RAND()</f>
        <v/>
      </c>
      <c r="AF2750">
        <f>RAND()</f>
        <v/>
      </c>
    </row>
    <row r="2751">
      <c r="M2751" s="14">
        <f>_xlfn.BETA.INV($AA2751,1+4*($D$5-$C$5)/($E$5-$C$5),1+4*($E$5-$D$5)/($E$5-$C$5),$C$5,$E$5)</f>
        <v/>
      </c>
      <c r="N2751" s="14">
        <f>IF($AB2751&lt;($D$6-$C$6)/($E$6-$C$6),$C$6+SQRT($AB2751*($E$6-$C$6)*($D$6-$C$6)),$E$6-SQRT((1-$AB2751)*($E$6-$C$6)*($E$6-$D$6)))</f>
        <v/>
      </c>
      <c r="O2751" s="14">
        <f>_xlfn.NORM.INV($AC2751,$C$7,$D$7)</f>
        <v/>
      </c>
      <c r="P2751" s="14">
        <f>$C$8+($D$8-$C$8)*$AD2751</f>
        <v/>
      </c>
      <c r="Q2751" s="14">
        <f>$C$9</f>
        <v/>
      </c>
      <c r="R2751" s="14">
        <f>_xlfn.LOGNORM.INV($AF2751,LN($C$10)-0.5*LN(1+($D$10/$C$10)^2),SQRT(LN(1+($D$10/$C$10)^2)))</f>
        <v/>
      </c>
      <c r="S2751" s="14">
        <f>SUM(M2751:R2751)</f>
        <v/>
      </c>
      <c r="AA2751">
        <f>RAND()</f>
        <v/>
      </c>
      <c r="AB2751">
        <f>RAND()</f>
        <v/>
      </c>
      <c r="AC2751">
        <f>RAND()</f>
        <v/>
      </c>
      <c r="AD2751">
        <f>RAND()</f>
        <v/>
      </c>
      <c r="AE2751">
        <f>RAND()</f>
        <v/>
      </c>
      <c r="AF2751">
        <f>RAND()</f>
        <v/>
      </c>
    </row>
    <row r="2752">
      <c r="M2752" s="14">
        <f>_xlfn.BETA.INV($AA2752,1+4*($D$5-$C$5)/($E$5-$C$5),1+4*($E$5-$D$5)/($E$5-$C$5),$C$5,$E$5)</f>
        <v/>
      </c>
      <c r="N2752" s="14">
        <f>IF($AB2752&lt;($D$6-$C$6)/($E$6-$C$6),$C$6+SQRT($AB2752*($E$6-$C$6)*($D$6-$C$6)),$E$6-SQRT((1-$AB2752)*($E$6-$C$6)*($E$6-$D$6)))</f>
        <v/>
      </c>
      <c r="O2752" s="14">
        <f>_xlfn.NORM.INV($AC2752,$C$7,$D$7)</f>
        <v/>
      </c>
      <c r="P2752" s="14">
        <f>$C$8+($D$8-$C$8)*$AD2752</f>
        <v/>
      </c>
      <c r="Q2752" s="14">
        <f>$C$9</f>
        <v/>
      </c>
      <c r="R2752" s="14">
        <f>_xlfn.LOGNORM.INV($AF2752,LN($C$10)-0.5*LN(1+($D$10/$C$10)^2),SQRT(LN(1+($D$10/$C$10)^2)))</f>
        <v/>
      </c>
      <c r="S2752" s="14">
        <f>SUM(M2752:R2752)</f>
        <v/>
      </c>
      <c r="AA2752">
        <f>RAND()</f>
        <v/>
      </c>
      <c r="AB2752">
        <f>RAND()</f>
        <v/>
      </c>
      <c r="AC2752">
        <f>RAND()</f>
        <v/>
      </c>
      <c r="AD2752">
        <f>RAND()</f>
        <v/>
      </c>
      <c r="AE2752">
        <f>RAND()</f>
        <v/>
      </c>
      <c r="AF2752">
        <f>RAND()</f>
        <v/>
      </c>
    </row>
    <row r="2753">
      <c r="M2753" s="14">
        <f>_xlfn.BETA.INV($AA2753,1+4*($D$5-$C$5)/($E$5-$C$5),1+4*($E$5-$D$5)/($E$5-$C$5),$C$5,$E$5)</f>
        <v/>
      </c>
      <c r="N2753" s="14">
        <f>IF($AB2753&lt;($D$6-$C$6)/($E$6-$C$6),$C$6+SQRT($AB2753*($E$6-$C$6)*($D$6-$C$6)),$E$6-SQRT((1-$AB2753)*($E$6-$C$6)*($E$6-$D$6)))</f>
        <v/>
      </c>
      <c r="O2753" s="14">
        <f>_xlfn.NORM.INV($AC2753,$C$7,$D$7)</f>
        <v/>
      </c>
      <c r="P2753" s="14">
        <f>$C$8+($D$8-$C$8)*$AD2753</f>
        <v/>
      </c>
      <c r="Q2753" s="14">
        <f>$C$9</f>
        <v/>
      </c>
      <c r="R2753" s="14">
        <f>_xlfn.LOGNORM.INV($AF2753,LN($C$10)-0.5*LN(1+($D$10/$C$10)^2),SQRT(LN(1+($D$10/$C$10)^2)))</f>
        <v/>
      </c>
      <c r="S2753" s="14">
        <f>SUM(M2753:R2753)</f>
        <v/>
      </c>
      <c r="AA2753">
        <f>RAND()</f>
        <v/>
      </c>
      <c r="AB2753">
        <f>RAND()</f>
        <v/>
      </c>
      <c r="AC2753">
        <f>RAND()</f>
        <v/>
      </c>
      <c r="AD2753">
        <f>RAND()</f>
        <v/>
      </c>
      <c r="AE2753">
        <f>RAND()</f>
        <v/>
      </c>
      <c r="AF2753">
        <f>RAND()</f>
        <v/>
      </c>
    </row>
    <row r="2754">
      <c r="M2754" s="14">
        <f>_xlfn.BETA.INV($AA2754,1+4*($D$5-$C$5)/($E$5-$C$5),1+4*($E$5-$D$5)/($E$5-$C$5),$C$5,$E$5)</f>
        <v/>
      </c>
      <c r="N2754" s="14">
        <f>IF($AB2754&lt;($D$6-$C$6)/($E$6-$C$6),$C$6+SQRT($AB2754*($E$6-$C$6)*($D$6-$C$6)),$E$6-SQRT((1-$AB2754)*($E$6-$C$6)*($E$6-$D$6)))</f>
        <v/>
      </c>
      <c r="O2754" s="14">
        <f>_xlfn.NORM.INV($AC2754,$C$7,$D$7)</f>
        <v/>
      </c>
      <c r="P2754" s="14">
        <f>$C$8+($D$8-$C$8)*$AD2754</f>
        <v/>
      </c>
      <c r="Q2754" s="14">
        <f>$C$9</f>
        <v/>
      </c>
      <c r="R2754" s="14">
        <f>_xlfn.LOGNORM.INV($AF2754,LN($C$10)-0.5*LN(1+($D$10/$C$10)^2),SQRT(LN(1+($D$10/$C$10)^2)))</f>
        <v/>
      </c>
      <c r="S2754" s="14">
        <f>SUM(M2754:R2754)</f>
        <v/>
      </c>
      <c r="AA2754">
        <f>RAND()</f>
        <v/>
      </c>
      <c r="AB2754">
        <f>RAND()</f>
        <v/>
      </c>
      <c r="AC2754">
        <f>RAND()</f>
        <v/>
      </c>
      <c r="AD2754">
        <f>RAND()</f>
        <v/>
      </c>
      <c r="AE2754">
        <f>RAND()</f>
        <v/>
      </c>
      <c r="AF2754">
        <f>RAND()</f>
        <v/>
      </c>
    </row>
    <row r="2755">
      <c r="M2755" s="14">
        <f>_xlfn.BETA.INV($AA2755,1+4*($D$5-$C$5)/($E$5-$C$5),1+4*($E$5-$D$5)/($E$5-$C$5),$C$5,$E$5)</f>
        <v/>
      </c>
      <c r="N2755" s="14">
        <f>IF($AB2755&lt;($D$6-$C$6)/($E$6-$C$6),$C$6+SQRT($AB2755*($E$6-$C$6)*($D$6-$C$6)),$E$6-SQRT((1-$AB2755)*($E$6-$C$6)*($E$6-$D$6)))</f>
        <v/>
      </c>
      <c r="O2755" s="14">
        <f>_xlfn.NORM.INV($AC2755,$C$7,$D$7)</f>
        <v/>
      </c>
      <c r="P2755" s="14">
        <f>$C$8+($D$8-$C$8)*$AD2755</f>
        <v/>
      </c>
      <c r="Q2755" s="14">
        <f>$C$9</f>
        <v/>
      </c>
      <c r="R2755" s="14">
        <f>_xlfn.LOGNORM.INV($AF2755,LN($C$10)-0.5*LN(1+($D$10/$C$10)^2),SQRT(LN(1+($D$10/$C$10)^2)))</f>
        <v/>
      </c>
      <c r="S2755" s="14">
        <f>SUM(M2755:R2755)</f>
        <v/>
      </c>
      <c r="AA2755">
        <f>RAND()</f>
        <v/>
      </c>
      <c r="AB2755">
        <f>RAND()</f>
        <v/>
      </c>
      <c r="AC2755">
        <f>RAND()</f>
        <v/>
      </c>
      <c r="AD2755">
        <f>RAND()</f>
        <v/>
      </c>
      <c r="AE2755">
        <f>RAND()</f>
        <v/>
      </c>
      <c r="AF2755">
        <f>RAND()</f>
        <v/>
      </c>
    </row>
    <row r="2756">
      <c r="M2756" s="14">
        <f>_xlfn.BETA.INV($AA2756,1+4*($D$5-$C$5)/($E$5-$C$5),1+4*($E$5-$D$5)/($E$5-$C$5),$C$5,$E$5)</f>
        <v/>
      </c>
      <c r="N2756" s="14">
        <f>IF($AB2756&lt;($D$6-$C$6)/($E$6-$C$6),$C$6+SQRT($AB2756*($E$6-$C$6)*($D$6-$C$6)),$E$6-SQRT((1-$AB2756)*($E$6-$C$6)*($E$6-$D$6)))</f>
        <v/>
      </c>
      <c r="O2756" s="14">
        <f>_xlfn.NORM.INV($AC2756,$C$7,$D$7)</f>
        <v/>
      </c>
      <c r="P2756" s="14">
        <f>$C$8+($D$8-$C$8)*$AD2756</f>
        <v/>
      </c>
      <c r="Q2756" s="14">
        <f>$C$9</f>
        <v/>
      </c>
      <c r="R2756" s="14">
        <f>_xlfn.LOGNORM.INV($AF2756,LN($C$10)-0.5*LN(1+($D$10/$C$10)^2),SQRT(LN(1+($D$10/$C$10)^2)))</f>
        <v/>
      </c>
      <c r="S2756" s="14">
        <f>SUM(M2756:R2756)</f>
        <v/>
      </c>
      <c r="AA2756">
        <f>RAND()</f>
        <v/>
      </c>
      <c r="AB2756">
        <f>RAND()</f>
        <v/>
      </c>
      <c r="AC2756">
        <f>RAND()</f>
        <v/>
      </c>
      <c r="AD2756">
        <f>RAND()</f>
        <v/>
      </c>
      <c r="AE2756">
        <f>RAND()</f>
        <v/>
      </c>
      <c r="AF2756">
        <f>RAND()</f>
        <v/>
      </c>
    </row>
    <row r="2757">
      <c r="M2757" s="14">
        <f>_xlfn.BETA.INV($AA2757,1+4*($D$5-$C$5)/($E$5-$C$5),1+4*($E$5-$D$5)/($E$5-$C$5),$C$5,$E$5)</f>
        <v/>
      </c>
      <c r="N2757" s="14">
        <f>IF($AB2757&lt;($D$6-$C$6)/($E$6-$C$6),$C$6+SQRT($AB2757*($E$6-$C$6)*($D$6-$C$6)),$E$6-SQRT((1-$AB2757)*($E$6-$C$6)*($E$6-$D$6)))</f>
        <v/>
      </c>
      <c r="O2757" s="14">
        <f>_xlfn.NORM.INV($AC2757,$C$7,$D$7)</f>
        <v/>
      </c>
      <c r="P2757" s="14">
        <f>$C$8+($D$8-$C$8)*$AD2757</f>
        <v/>
      </c>
      <c r="Q2757" s="14">
        <f>$C$9</f>
        <v/>
      </c>
      <c r="R2757" s="14">
        <f>_xlfn.LOGNORM.INV($AF2757,LN($C$10)-0.5*LN(1+($D$10/$C$10)^2),SQRT(LN(1+($D$10/$C$10)^2)))</f>
        <v/>
      </c>
      <c r="S2757" s="14">
        <f>SUM(M2757:R2757)</f>
        <v/>
      </c>
      <c r="AA2757">
        <f>RAND()</f>
        <v/>
      </c>
      <c r="AB2757">
        <f>RAND()</f>
        <v/>
      </c>
      <c r="AC2757">
        <f>RAND()</f>
        <v/>
      </c>
      <c r="AD2757">
        <f>RAND()</f>
        <v/>
      </c>
      <c r="AE2757">
        <f>RAND()</f>
        <v/>
      </c>
      <c r="AF2757">
        <f>RAND()</f>
        <v/>
      </c>
    </row>
    <row r="2758">
      <c r="M2758" s="14">
        <f>_xlfn.BETA.INV($AA2758,1+4*($D$5-$C$5)/($E$5-$C$5),1+4*($E$5-$D$5)/($E$5-$C$5),$C$5,$E$5)</f>
        <v/>
      </c>
      <c r="N2758" s="14">
        <f>IF($AB2758&lt;($D$6-$C$6)/($E$6-$C$6),$C$6+SQRT($AB2758*($E$6-$C$6)*($D$6-$C$6)),$E$6-SQRT((1-$AB2758)*($E$6-$C$6)*($E$6-$D$6)))</f>
        <v/>
      </c>
      <c r="O2758" s="14">
        <f>_xlfn.NORM.INV($AC2758,$C$7,$D$7)</f>
        <v/>
      </c>
      <c r="P2758" s="14">
        <f>$C$8+($D$8-$C$8)*$AD2758</f>
        <v/>
      </c>
      <c r="Q2758" s="14">
        <f>$C$9</f>
        <v/>
      </c>
      <c r="R2758" s="14">
        <f>_xlfn.LOGNORM.INV($AF2758,LN($C$10)-0.5*LN(1+($D$10/$C$10)^2),SQRT(LN(1+($D$10/$C$10)^2)))</f>
        <v/>
      </c>
      <c r="S2758" s="14">
        <f>SUM(M2758:R2758)</f>
        <v/>
      </c>
      <c r="AA2758">
        <f>RAND()</f>
        <v/>
      </c>
      <c r="AB2758">
        <f>RAND()</f>
        <v/>
      </c>
      <c r="AC2758">
        <f>RAND()</f>
        <v/>
      </c>
      <c r="AD2758">
        <f>RAND()</f>
        <v/>
      </c>
      <c r="AE2758">
        <f>RAND()</f>
        <v/>
      </c>
      <c r="AF2758">
        <f>RAND()</f>
        <v/>
      </c>
    </row>
    <row r="2759">
      <c r="M2759" s="14">
        <f>_xlfn.BETA.INV($AA2759,1+4*($D$5-$C$5)/($E$5-$C$5),1+4*($E$5-$D$5)/($E$5-$C$5),$C$5,$E$5)</f>
        <v/>
      </c>
      <c r="N2759" s="14">
        <f>IF($AB2759&lt;($D$6-$C$6)/($E$6-$C$6),$C$6+SQRT($AB2759*($E$6-$C$6)*($D$6-$C$6)),$E$6-SQRT((1-$AB2759)*($E$6-$C$6)*($E$6-$D$6)))</f>
        <v/>
      </c>
      <c r="O2759" s="14">
        <f>_xlfn.NORM.INV($AC2759,$C$7,$D$7)</f>
        <v/>
      </c>
      <c r="P2759" s="14">
        <f>$C$8+($D$8-$C$8)*$AD2759</f>
        <v/>
      </c>
      <c r="Q2759" s="14">
        <f>$C$9</f>
        <v/>
      </c>
      <c r="R2759" s="14">
        <f>_xlfn.LOGNORM.INV($AF2759,LN($C$10)-0.5*LN(1+($D$10/$C$10)^2),SQRT(LN(1+($D$10/$C$10)^2)))</f>
        <v/>
      </c>
      <c r="S2759" s="14">
        <f>SUM(M2759:R2759)</f>
        <v/>
      </c>
      <c r="AA2759">
        <f>RAND()</f>
        <v/>
      </c>
      <c r="AB2759">
        <f>RAND()</f>
        <v/>
      </c>
      <c r="AC2759">
        <f>RAND()</f>
        <v/>
      </c>
      <c r="AD2759">
        <f>RAND()</f>
        <v/>
      </c>
      <c r="AE2759">
        <f>RAND()</f>
        <v/>
      </c>
      <c r="AF2759">
        <f>RAND()</f>
        <v/>
      </c>
    </row>
    <row r="2760">
      <c r="M2760" s="14">
        <f>_xlfn.BETA.INV($AA2760,1+4*($D$5-$C$5)/($E$5-$C$5),1+4*($E$5-$D$5)/($E$5-$C$5),$C$5,$E$5)</f>
        <v/>
      </c>
      <c r="N2760" s="14">
        <f>IF($AB2760&lt;($D$6-$C$6)/($E$6-$C$6),$C$6+SQRT($AB2760*($E$6-$C$6)*($D$6-$C$6)),$E$6-SQRT((1-$AB2760)*($E$6-$C$6)*($E$6-$D$6)))</f>
        <v/>
      </c>
      <c r="O2760" s="14">
        <f>_xlfn.NORM.INV($AC2760,$C$7,$D$7)</f>
        <v/>
      </c>
      <c r="P2760" s="14">
        <f>$C$8+($D$8-$C$8)*$AD2760</f>
        <v/>
      </c>
      <c r="Q2760" s="14">
        <f>$C$9</f>
        <v/>
      </c>
      <c r="R2760" s="14">
        <f>_xlfn.LOGNORM.INV($AF2760,LN($C$10)-0.5*LN(1+($D$10/$C$10)^2),SQRT(LN(1+($D$10/$C$10)^2)))</f>
        <v/>
      </c>
      <c r="S2760" s="14">
        <f>SUM(M2760:R2760)</f>
        <v/>
      </c>
      <c r="AA2760">
        <f>RAND()</f>
        <v/>
      </c>
      <c r="AB2760">
        <f>RAND()</f>
        <v/>
      </c>
      <c r="AC2760">
        <f>RAND()</f>
        <v/>
      </c>
      <c r="AD2760">
        <f>RAND()</f>
        <v/>
      </c>
      <c r="AE2760">
        <f>RAND()</f>
        <v/>
      </c>
      <c r="AF2760">
        <f>RAND()</f>
        <v/>
      </c>
    </row>
    <row r="2761">
      <c r="M2761" s="14">
        <f>_xlfn.BETA.INV($AA2761,1+4*($D$5-$C$5)/($E$5-$C$5),1+4*($E$5-$D$5)/($E$5-$C$5),$C$5,$E$5)</f>
        <v/>
      </c>
      <c r="N2761" s="14">
        <f>IF($AB2761&lt;($D$6-$C$6)/($E$6-$C$6),$C$6+SQRT($AB2761*($E$6-$C$6)*($D$6-$C$6)),$E$6-SQRT((1-$AB2761)*($E$6-$C$6)*($E$6-$D$6)))</f>
        <v/>
      </c>
      <c r="O2761" s="14">
        <f>_xlfn.NORM.INV($AC2761,$C$7,$D$7)</f>
        <v/>
      </c>
      <c r="P2761" s="14">
        <f>$C$8+($D$8-$C$8)*$AD2761</f>
        <v/>
      </c>
      <c r="Q2761" s="14">
        <f>$C$9</f>
        <v/>
      </c>
      <c r="R2761" s="14">
        <f>_xlfn.LOGNORM.INV($AF2761,LN($C$10)-0.5*LN(1+($D$10/$C$10)^2),SQRT(LN(1+($D$10/$C$10)^2)))</f>
        <v/>
      </c>
      <c r="S2761" s="14">
        <f>SUM(M2761:R2761)</f>
        <v/>
      </c>
      <c r="AA2761">
        <f>RAND()</f>
        <v/>
      </c>
      <c r="AB2761">
        <f>RAND()</f>
        <v/>
      </c>
      <c r="AC2761">
        <f>RAND()</f>
        <v/>
      </c>
      <c r="AD2761">
        <f>RAND()</f>
        <v/>
      </c>
      <c r="AE2761">
        <f>RAND()</f>
        <v/>
      </c>
      <c r="AF2761">
        <f>RAND()</f>
        <v/>
      </c>
    </row>
    <row r="2762">
      <c r="M2762" s="14">
        <f>_xlfn.BETA.INV($AA2762,1+4*($D$5-$C$5)/($E$5-$C$5),1+4*($E$5-$D$5)/($E$5-$C$5),$C$5,$E$5)</f>
        <v/>
      </c>
      <c r="N2762" s="14">
        <f>IF($AB2762&lt;($D$6-$C$6)/($E$6-$C$6),$C$6+SQRT($AB2762*($E$6-$C$6)*($D$6-$C$6)),$E$6-SQRT((1-$AB2762)*($E$6-$C$6)*($E$6-$D$6)))</f>
        <v/>
      </c>
      <c r="O2762" s="14">
        <f>_xlfn.NORM.INV($AC2762,$C$7,$D$7)</f>
        <v/>
      </c>
      <c r="P2762" s="14">
        <f>$C$8+($D$8-$C$8)*$AD2762</f>
        <v/>
      </c>
      <c r="Q2762" s="14">
        <f>$C$9</f>
        <v/>
      </c>
      <c r="R2762" s="14">
        <f>_xlfn.LOGNORM.INV($AF2762,LN($C$10)-0.5*LN(1+($D$10/$C$10)^2),SQRT(LN(1+($D$10/$C$10)^2)))</f>
        <v/>
      </c>
      <c r="S2762" s="14">
        <f>SUM(M2762:R2762)</f>
        <v/>
      </c>
      <c r="AA2762">
        <f>RAND()</f>
        <v/>
      </c>
      <c r="AB2762">
        <f>RAND()</f>
        <v/>
      </c>
      <c r="AC2762">
        <f>RAND()</f>
        <v/>
      </c>
      <c r="AD2762">
        <f>RAND()</f>
        <v/>
      </c>
      <c r="AE2762">
        <f>RAND()</f>
        <v/>
      </c>
      <c r="AF2762">
        <f>RAND()</f>
        <v/>
      </c>
    </row>
    <row r="2763">
      <c r="M2763" s="14">
        <f>_xlfn.BETA.INV($AA2763,1+4*($D$5-$C$5)/($E$5-$C$5),1+4*($E$5-$D$5)/($E$5-$C$5),$C$5,$E$5)</f>
        <v/>
      </c>
      <c r="N2763" s="14">
        <f>IF($AB2763&lt;($D$6-$C$6)/($E$6-$C$6),$C$6+SQRT($AB2763*($E$6-$C$6)*($D$6-$C$6)),$E$6-SQRT((1-$AB2763)*($E$6-$C$6)*($E$6-$D$6)))</f>
        <v/>
      </c>
      <c r="O2763" s="14">
        <f>_xlfn.NORM.INV($AC2763,$C$7,$D$7)</f>
        <v/>
      </c>
      <c r="P2763" s="14">
        <f>$C$8+($D$8-$C$8)*$AD2763</f>
        <v/>
      </c>
      <c r="Q2763" s="14">
        <f>$C$9</f>
        <v/>
      </c>
      <c r="R2763" s="14">
        <f>_xlfn.LOGNORM.INV($AF2763,LN($C$10)-0.5*LN(1+($D$10/$C$10)^2),SQRT(LN(1+($D$10/$C$10)^2)))</f>
        <v/>
      </c>
      <c r="S2763" s="14">
        <f>SUM(M2763:R2763)</f>
        <v/>
      </c>
      <c r="AA2763">
        <f>RAND()</f>
        <v/>
      </c>
      <c r="AB2763">
        <f>RAND()</f>
        <v/>
      </c>
      <c r="AC2763">
        <f>RAND()</f>
        <v/>
      </c>
      <c r="AD2763">
        <f>RAND()</f>
        <v/>
      </c>
      <c r="AE2763">
        <f>RAND()</f>
        <v/>
      </c>
      <c r="AF2763">
        <f>RAND()</f>
        <v/>
      </c>
    </row>
    <row r="2764">
      <c r="M2764" s="14">
        <f>_xlfn.BETA.INV($AA2764,1+4*($D$5-$C$5)/($E$5-$C$5),1+4*($E$5-$D$5)/($E$5-$C$5),$C$5,$E$5)</f>
        <v/>
      </c>
      <c r="N2764" s="14">
        <f>IF($AB2764&lt;($D$6-$C$6)/($E$6-$C$6),$C$6+SQRT($AB2764*($E$6-$C$6)*($D$6-$C$6)),$E$6-SQRT((1-$AB2764)*($E$6-$C$6)*($E$6-$D$6)))</f>
        <v/>
      </c>
      <c r="O2764" s="14">
        <f>_xlfn.NORM.INV($AC2764,$C$7,$D$7)</f>
        <v/>
      </c>
      <c r="P2764" s="14">
        <f>$C$8+($D$8-$C$8)*$AD2764</f>
        <v/>
      </c>
      <c r="Q2764" s="14">
        <f>$C$9</f>
        <v/>
      </c>
      <c r="R2764" s="14">
        <f>_xlfn.LOGNORM.INV($AF2764,LN($C$10)-0.5*LN(1+($D$10/$C$10)^2),SQRT(LN(1+($D$10/$C$10)^2)))</f>
        <v/>
      </c>
      <c r="S2764" s="14">
        <f>SUM(M2764:R2764)</f>
        <v/>
      </c>
      <c r="AA2764">
        <f>RAND()</f>
        <v/>
      </c>
      <c r="AB2764">
        <f>RAND()</f>
        <v/>
      </c>
      <c r="AC2764">
        <f>RAND()</f>
        <v/>
      </c>
      <c r="AD2764">
        <f>RAND()</f>
        <v/>
      </c>
      <c r="AE2764">
        <f>RAND()</f>
        <v/>
      </c>
      <c r="AF2764">
        <f>RAND()</f>
        <v/>
      </c>
    </row>
    <row r="2765">
      <c r="M2765" s="14">
        <f>_xlfn.BETA.INV($AA2765,1+4*($D$5-$C$5)/($E$5-$C$5),1+4*($E$5-$D$5)/($E$5-$C$5),$C$5,$E$5)</f>
        <v/>
      </c>
      <c r="N2765" s="14">
        <f>IF($AB2765&lt;($D$6-$C$6)/($E$6-$C$6),$C$6+SQRT($AB2765*($E$6-$C$6)*($D$6-$C$6)),$E$6-SQRT((1-$AB2765)*($E$6-$C$6)*($E$6-$D$6)))</f>
        <v/>
      </c>
      <c r="O2765" s="14">
        <f>_xlfn.NORM.INV($AC2765,$C$7,$D$7)</f>
        <v/>
      </c>
      <c r="P2765" s="14">
        <f>$C$8+($D$8-$C$8)*$AD2765</f>
        <v/>
      </c>
      <c r="Q2765" s="14">
        <f>$C$9</f>
        <v/>
      </c>
      <c r="R2765" s="14">
        <f>_xlfn.LOGNORM.INV($AF2765,LN($C$10)-0.5*LN(1+($D$10/$C$10)^2),SQRT(LN(1+($D$10/$C$10)^2)))</f>
        <v/>
      </c>
      <c r="S2765" s="14">
        <f>SUM(M2765:R2765)</f>
        <v/>
      </c>
      <c r="AA2765">
        <f>RAND()</f>
        <v/>
      </c>
      <c r="AB2765">
        <f>RAND()</f>
        <v/>
      </c>
      <c r="AC2765">
        <f>RAND()</f>
        <v/>
      </c>
      <c r="AD2765">
        <f>RAND()</f>
        <v/>
      </c>
      <c r="AE2765">
        <f>RAND()</f>
        <v/>
      </c>
      <c r="AF2765">
        <f>RAND()</f>
        <v/>
      </c>
    </row>
    <row r="2766">
      <c r="M2766" s="14">
        <f>_xlfn.BETA.INV($AA2766,1+4*($D$5-$C$5)/($E$5-$C$5),1+4*($E$5-$D$5)/($E$5-$C$5),$C$5,$E$5)</f>
        <v/>
      </c>
      <c r="N2766" s="14">
        <f>IF($AB2766&lt;($D$6-$C$6)/($E$6-$C$6),$C$6+SQRT($AB2766*($E$6-$C$6)*($D$6-$C$6)),$E$6-SQRT((1-$AB2766)*($E$6-$C$6)*($E$6-$D$6)))</f>
        <v/>
      </c>
      <c r="O2766" s="14">
        <f>_xlfn.NORM.INV($AC2766,$C$7,$D$7)</f>
        <v/>
      </c>
      <c r="P2766" s="14">
        <f>$C$8+($D$8-$C$8)*$AD2766</f>
        <v/>
      </c>
      <c r="Q2766" s="14">
        <f>$C$9</f>
        <v/>
      </c>
      <c r="R2766" s="14">
        <f>_xlfn.LOGNORM.INV($AF2766,LN($C$10)-0.5*LN(1+($D$10/$C$10)^2),SQRT(LN(1+($D$10/$C$10)^2)))</f>
        <v/>
      </c>
      <c r="S2766" s="14">
        <f>SUM(M2766:R2766)</f>
        <v/>
      </c>
      <c r="AA2766">
        <f>RAND()</f>
        <v/>
      </c>
      <c r="AB2766">
        <f>RAND()</f>
        <v/>
      </c>
      <c r="AC2766">
        <f>RAND()</f>
        <v/>
      </c>
      <c r="AD2766">
        <f>RAND()</f>
        <v/>
      </c>
      <c r="AE2766">
        <f>RAND()</f>
        <v/>
      </c>
      <c r="AF2766">
        <f>RAND()</f>
        <v/>
      </c>
    </row>
    <row r="2767">
      <c r="M2767" s="14">
        <f>_xlfn.BETA.INV($AA2767,1+4*($D$5-$C$5)/($E$5-$C$5),1+4*($E$5-$D$5)/($E$5-$C$5),$C$5,$E$5)</f>
        <v/>
      </c>
      <c r="N2767" s="14">
        <f>IF($AB2767&lt;($D$6-$C$6)/($E$6-$C$6),$C$6+SQRT($AB2767*($E$6-$C$6)*($D$6-$C$6)),$E$6-SQRT((1-$AB2767)*($E$6-$C$6)*($E$6-$D$6)))</f>
        <v/>
      </c>
      <c r="O2767" s="14">
        <f>_xlfn.NORM.INV($AC2767,$C$7,$D$7)</f>
        <v/>
      </c>
      <c r="P2767" s="14">
        <f>$C$8+($D$8-$C$8)*$AD2767</f>
        <v/>
      </c>
      <c r="Q2767" s="14">
        <f>$C$9</f>
        <v/>
      </c>
      <c r="R2767" s="14">
        <f>_xlfn.LOGNORM.INV($AF2767,LN($C$10)-0.5*LN(1+($D$10/$C$10)^2),SQRT(LN(1+($D$10/$C$10)^2)))</f>
        <v/>
      </c>
      <c r="S2767" s="14">
        <f>SUM(M2767:R2767)</f>
        <v/>
      </c>
      <c r="AA2767">
        <f>RAND()</f>
        <v/>
      </c>
      <c r="AB2767">
        <f>RAND()</f>
        <v/>
      </c>
      <c r="AC2767">
        <f>RAND()</f>
        <v/>
      </c>
      <c r="AD2767">
        <f>RAND()</f>
        <v/>
      </c>
      <c r="AE2767">
        <f>RAND()</f>
        <v/>
      </c>
      <c r="AF2767">
        <f>RAND()</f>
        <v/>
      </c>
    </row>
    <row r="2768">
      <c r="M2768" s="14">
        <f>_xlfn.BETA.INV($AA2768,1+4*($D$5-$C$5)/($E$5-$C$5),1+4*($E$5-$D$5)/($E$5-$C$5),$C$5,$E$5)</f>
        <v/>
      </c>
      <c r="N2768" s="14">
        <f>IF($AB2768&lt;($D$6-$C$6)/($E$6-$C$6),$C$6+SQRT($AB2768*($E$6-$C$6)*($D$6-$C$6)),$E$6-SQRT((1-$AB2768)*($E$6-$C$6)*($E$6-$D$6)))</f>
        <v/>
      </c>
      <c r="O2768" s="14">
        <f>_xlfn.NORM.INV($AC2768,$C$7,$D$7)</f>
        <v/>
      </c>
      <c r="P2768" s="14">
        <f>$C$8+($D$8-$C$8)*$AD2768</f>
        <v/>
      </c>
      <c r="Q2768" s="14">
        <f>$C$9</f>
        <v/>
      </c>
      <c r="R2768" s="14">
        <f>_xlfn.LOGNORM.INV($AF2768,LN($C$10)-0.5*LN(1+($D$10/$C$10)^2),SQRT(LN(1+($D$10/$C$10)^2)))</f>
        <v/>
      </c>
      <c r="S2768" s="14">
        <f>SUM(M2768:R2768)</f>
        <v/>
      </c>
      <c r="AA2768">
        <f>RAND()</f>
        <v/>
      </c>
      <c r="AB2768">
        <f>RAND()</f>
        <v/>
      </c>
      <c r="AC2768">
        <f>RAND()</f>
        <v/>
      </c>
      <c r="AD2768">
        <f>RAND()</f>
        <v/>
      </c>
      <c r="AE2768">
        <f>RAND()</f>
        <v/>
      </c>
      <c r="AF2768">
        <f>RAND()</f>
        <v/>
      </c>
    </row>
    <row r="2769">
      <c r="M2769" s="14">
        <f>_xlfn.BETA.INV($AA2769,1+4*($D$5-$C$5)/($E$5-$C$5),1+4*($E$5-$D$5)/($E$5-$C$5),$C$5,$E$5)</f>
        <v/>
      </c>
      <c r="N2769" s="14">
        <f>IF($AB2769&lt;($D$6-$C$6)/($E$6-$C$6),$C$6+SQRT($AB2769*($E$6-$C$6)*($D$6-$C$6)),$E$6-SQRT((1-$AB2769)*($E$6-$C$6)*($E$6-$D$6)))</f>
        <v/>
      </c>
      <c r="O2769" s="14">
        <f>_xlfn.NORM.INV($AC2769,$C$7,$D$7)</f>
        <v/>
      </c>
      <c r="P2769" s="14">
        <f>$C$8+($D$8-$C$8)*$AD2769</f>
        <v/>
      </c>
      <c r="Q2769" s="14">
        <f>$C$9</f>
        <v/>
      </c>
      <c r="R2769" s="14">
        <f>_xlfn.LOGNORM.INV($AF2769,LN($C$10)-0.5*LN(1+($D$10/$C$10)^2),SQRT(LN(1+($D$10/$C$10)^2)))</f>
        <v/>
      </c>
      <c r="S2769" s="14">
        <f>SUM(M2769:R2769)</f>
        <v/>
      </c>
      <c r="AA2769">
        <f>RAND()</f>
        <v/>
      </c>
      <c r="AB2769">
        <f>RAND()</f>
        <v/>
      </c>
      <c r="AC2769">
        <f>RAND()</f>
        <v/>
      </c>
      <c r="AD2769">
        <f>RAND()</f>
        <v/>
      </c>
      <c r="AE2769">
        <f>RAND()</f>
        <v/>
      </c>
      <c r="AF2769">
        <f>RAND()</f>
        <v/>
      </c>
    </row>
    <row r="2770">
      <c r="M2770" s="14">
        <f>_xlfn.BETA.INV($AA2770,1+4*($D$5-$C$5)/($E$5-$C$5),1+4*($E$5-$D$5)/($E$5-$C$5),$C$5,$E$5)</f>
        <v/>
      </c>
      <c r="N2770" s="14">
        <f>IF($AB2770&lt;($D$6-$C$6)/($E$6-$C$6),$C$6+SQRT($AB2770*($E$6-$C$6)*($D$6-$C$6)),$E$6-SQRT((1-$AB2770)*($E$6-$C$6)*($E$6-$D$6)))</f>
        <v/>
      </c>
      <c r="O2770" s="14">
        <f>_xlfn.NORM.INV($AC2770,$C$7,$D$7)</f>
        <v/>
      </c>
      <c r="P2770" s="14">
        <f>$C$8+($D$8-$C$8)*$AD2770</f>
        <v/>
      </c>
      <c r="Q2770" s="14">
        <f>$C$9</f>
        <v/>
      </c>
      <c r="R2770" s="14">
        <f>_xlfn.LOGNORM.INV($AF2770,LN($C$10)-0.5*LN(1+($D$10/$C$10)^2),SQRT(LN(1+($D$10/$C$10)^2)))</f>
        <v/>
      </c>
      <c r="S2770" s="14">
        <f>SUM(M2770:R2770)</f>
        <v/>
      </c>
      <c r="AA2770">
        <f>RAND()</f>
        <v/>
      </c>
      <c r="AB2770">
        <f>RAND()</f>
        <v/>
      </c>
      <c r="AC2770">
        <f>RAND()</f>
        <v/>
      </c>
      <c r="AD2770">
        <f>RAND()</f>
        <v/>
      </c>
      <c r="AE2770">
        <f>RAND()</f>
        <v/>
      </c>
      <c r="AF2770">
        <f>RAND()</f>
        <v/>
      </c>
    </row>
    <row r="2771">
      <c r="M2771" s="14">
        <f>_xlfn.BETA.INV($AA2771,1+4*($D$5-$C$5)/($E$5-$C$5),1+4*($E$5-$D$5)/($E$5-$C$5),$C$5,$E$5)</f>
        <v/>
      </c>
      <c r="N2771" s="14">
        <f>IF($AB2771&lt;($D$6-$C$6)/($E$6-$C$6),$C$6+SQRT($AB2771*($E$6-$C$6)*($D$6-$C$6)),$E$6-SQRT((1-$AB2771)*($E$6-$C$6)*($E$6-$D$6)))</f>
        <v/>
      </c>
      <c r="O2771" s="14">
        <f>_xlfn.NORM.INV($AC2771,$C$7,$D$7)</f>
        <v/>
      </c>
      <c r="P2771" s="14">
        <f>$C$8+($D$8-$C$8)*$AD2771</f>
        <v/>
      </c>
      <c r="Q2771" s="14">
        <f>$C$9</f>
        <v/>
      </c>
      <c r="R2771" s="14">
        <f>_xlfn.LOGNORM.INV($AF2771,LN($C$10)-0.5*LN(1+($D$10/$C$10)^2),SQRT(LN(1+($D$10/$C$10)^2)))</f>
        <v/>
      </c>
      <c r="S2771" s="14">
        <f>SUM(M2771:R2771)</f>
        <v/>
      </c>
      <c r="AA2771">
        <f>RAND()</f>
        <v/>
      </c>
      <c r="AB2771">
        <f>RAND()</f>
        <v/>
      </c>
      <c r="AC2771">
        <f>RAND()</f>
        <v/>
      </c>
      <c r="AD2771">
        <f>RAND()</f>
        <v/>
      </c>
      <c r="AE2771">
        <f>RAND()</f>
        <v/>
      </c>
      <c r="AF2771">
        <f>RAND()</f>
        <v/>
      </c>
    </row>
    <row r="2772">
      <c r="M2772" s="14">
        <f>_xlfn.BETA.INV($AA2772,1+4*($D$5-$C$5)/($E$5-$C$5),1+4*($E$5-$D$5)/($E$5-$C$5),$C$5,$E$5)</f>
        <v/>
      </c>
      <c r="N2772" s="14">
        <f>IF($AB2772&lt;($D$6-$C$6)/($E$6-$C$6),$C$6+SQRT($AB2772*($E$6-$C$6)*($D$6-$C$6)),$E$6-SQRT((1-$AB2772)*($E$6-$C$6)*($E$6-$D$6)))</f>
        <v/>
      </c>
      <c r="O2772" s="14">
        <f>_xlfn.NORM.INV($AC2772,$C$7,$D$7)</f>
        <v/>
      </c>
      <c r="P2772" s="14">
        <f>$C$8+($D$8-$C$8)*$AD2772</f>
        <v/>
      </c>
      <c r="Q2772" s="14">
        <f>$C$9</f>
        <v/>
      </c>
      <c r="R2772" s="14">
        <f>_xlfn.LOGNORM.INV($AF2772,LN($C$10)-0.5*LN(1+($D$10/$C$10)^2),SQRT(LN(1+($D$10/$C$10)^2)))</f>
        <v/>
      </c>
      <c r="S2772" s="14">
        <f>SUM(M2772:R2772)</f>
        <v/>
      </c>
      <c r="AA2772">
        <f>RAND()</f>
        <v/>
      </c>
      <c r="AB2772">
        <f>RAND()</f>
        <v/>
      </c>
      <c r="AC2772">
        <f>RAND()</f>
        <v/>
      </c>
      <c r="AD2772">
        <f>RAND()</f>
        <v/>
      </c>
      <c r="AE2772">
        <f>RAND()</f>
        <v/>
      </c>
      <c r="AF2772">
        <f>RAND()</f>
        <v/>
      </c>
    </row>
    <row r="2773">
      <c r="M2773" s="14">
        <f>_xlfn.BETA.INV($AA2773,1+4*($D$5-$C$5)/($E$5-$C$5),1+4*($E$5-$D$5)/($E$5-$C$5),$C$5,$E$5)</f>
        <v/>
      </c>
      <c r="N2773" s="14">
        <f>IF($AB2773&lt;($D$6-$C$6)/($E$6-$C$6),$C$6+SQRT($AB2773*($E$6-$C$6)*($D$6-$C$6)),$E$6-SQRT((1-$AB2773)*($E$6-$C$6)*($E$6-$D$6)))</f>
        <v/>
      </c>
      <c r="O2773" s="14">
        <f>_xlfn.NORM.INV($AC2773,$C$7,$D$7)</f>
        <v/>
      </c>
      <c r="P2773" s="14">
        <f>$C$8+($D$8-$C$8)*$AD2773</f>
        <v/>
      </c>
      <c r="Q2773" s="14">
        <f>$C$9</f>
        <v/>
      </c>
      <c r="R2773" s="14">
        <f>_xlfn.LOGNORM.INV($AF2773,LN($C$10)-0.5*LN(1+($D$10/$C$10)^2),SQRT(LN(1+($D$10/$C$10)^2)))</f>
        <v/>
      </c>
      <c r="S2773" s="14">
        <f>SUM(M2773:R2773)</f>
        <v/>
      </c>
      <c r="AA2773">
        <f>RAND()</f>
        <v/>
      </c>
      <c r="AB2773">
        <f>RAND()</f>
        <v/>
      </c>
      <c r="AC2773">
        <f>RAND()</f>
        <v/>
      </c>
      <c r="AD2773">
        <f>RAND()</f>
        <v/>
      </c>
      <c r="AE2773">
        <f>RAND()</f>
        <v/>
      </c>
      <c r="AF2773">
        <f>RAND()</f>
        <v/>
      </c>
    </row>
    <row r="2774">
      <c r="M2774" s="14">
        <f>_xlfn.BETA.INV($AA2774,1+4*($D$5-$C$5)/($E$5-$C$5),1+4*($E$5-$D$5)/($E$5-$C$5),$C$5,$E$5)</f>
        <v/>
      </c>
      <c r="N2774" s="14">
        <f>IF($AB2774&lt;($D$6-$C$6)/($E$6-$C$6),$C$6+SQRT($AB2774*($E$6-$C$6)*($D$6-$C$6)),$E$6-SQRT((1-$AB2774)*($E$6-$C$6)*($E$6-$D$6)))</f>
        <v/>
      </c>
      <c r="O2774" s="14">
        <f>_xlfn.NORM.INV($AC2774,$C$7,$D$7)</f>
        <v/>
      </c>
      <c r="P2774" s="14">
        <f>$C$8+($D$8-$C$8)*$AD2774</f>
        <v/>
      </c>
      <c r="Q2774" s="14">
        <f>$C$9</f>
        <v/>
      </c>
      <c r="R2774" s="14">
        <f>_xlfn.LOGNORM.INV($AF2774,LN($C$10)-0.5*LN(1+($D$10/$C$10)^2),SQRT(LN(1+($D$10/$C$10)^2)))</f>
        <v/>
      </c>
      <c r="S2774" s="14">
        <f>SUM(M2774:R2774)</f>
        <v/>
      </c>
      <c r="AA2774">
        <f>RAND()</f>
        <v/>
      </c>
      <c r="AB2774">
        <f>RAND()</f>
        <v/>
      </c>
      <c r="AC2774">
        <f>RAND()</f>
        <v/>
      </c>
      <c r="AD2774">
        <f>RAND()</f>
        <v/>
      </c>
      <c r="AE2774">
        <f>RAND()</f>
        <v/>
      </c>
      <c r="AF2774">
        <f>RAND()</f>
        <v/>
      </c>
    </row>
    <row r="2775">
      <c r="M2775" s="14">
        <f>_xlfn.BETA.INV($AA2775,1+4*($D$5-$C$5)/($E$5-$C$5),1+4*($E$5-$D$5)/($E$5-$C$5),$C$5,$E$5)</f>
        <v/>
      </c>
      <c r="N2775" s="14">
        <f>IF($AB2775&lt;($D$6-$C$6)/($E$6-$C$6),$C$6+SQRT($AB2775*($E$6-$C$6)*($D$6-$C$6)),$E$6-SQRT((1-$AB2775)*($E$6-$C$6)*($E$6-$D$6)))</f>
        <v/>
      </c>
      <c r="O2775" s="14">
        <f>_xlfn.NORM.INV($AC2775,$C$7,$D$7)</f>
        <v/>
      </c>
      <c r="P2775" s="14">
        <f>$C$8+($D$8-$C$8)*$AD2775</f>
        <v/>
      </c>
      <c r="Q2775" s="14">
        <f>$C$9</f>
        <v/>
      </c>
      <c r="R2775" s="14">
        <f>_xlfn.LOGNORM.INV($AF2775,LN($C$10)-0.5*LN(1+($D$10/$C$10)^2),SQRT(LN(1+($D$10/$C$10)^2)))</f>
        <v/>
      </c>
      <c r="S2775" s="14">
        <f>SUM(M2775:R2775)</f>
        <v/>
      </c>
      <c r="AA2775">
        <f>RAND()</f>
        <v/>
      </c>
      <c r="AB2775">
        <f>RAND()</f>
        <v/>
      </c>
      <c r="AC2775">
        <f>RAND()</f>
        <v/>
      </c>
      <c r="AD2775">
        <f>RAND()</f>
        <v/>
      </c>
      <c r="AE2775">
        <f>RAND()</f>
        <v/>
      </c>
      <c r="AF2775">
        <f>RAND()</f>
        <v/>
      </c>
    </row>
    <row r="2776">
      <c r="M2776" s="14">
        <f>_xlfn.BETA.INV($AA2776,1+4*($D$5-$C$5)/($E$5-$C$5),1+4*($E$5-$D$5)/($E$5-$C$5),$C$5,$E$5)</f>
        <v/>
      </c>
      <c r="N2776" s="14">
        <f>IF($AB2776&lt;($D$6-$C$6)/($E$6-$C$6),$C$6+SQRT($AB2776*($E$6-$C$6)*($D$6-$C$6)),$E$6-SQRT((1-$AB2776)*($E$6-$C$6)*($E$6-$D$6)))</f>
        <v/>
      </c>
      <c r="O2776" s="14">
        <f>_xlfn.NORM.INV($AC2776,$C$7,$D$7)</f>
        <v/>
      </c>
      <c r="P2776" s="14">
        <f>$C$8+($D$8-$C$8)*$AD2776</f>
        <v/>
      </c>
      <c r="Q2776" s="14">
        <f>$C$9</f>
        <v/>
      </c>
      <c r="R2776" s="14">
        <f>_xlfn.LOGNORM.INV($AF2776,LN($C$10)-0.5*LN(1+($D$10/$C$10)^2),SQRT(LN(1+($D$10/$C$10)^2)))</f>
        <v/>
      </c>
      <c r="S2776" s="14">
        <f>SUM(M2776:R2776)</f>
        <v/>
      </c>
      <c r="AA2776">
        <f>RAND()</f>
        <v/>
      </c>
      <c r="AB2776">
        <f>RAND()</f>
        <v/>
      </c>
      <c r="AC2776">
        <f>RAND()</f>
        <v/>
      </c>
      <c r="AD2776">
        <f>RAND()</f>
        <v/>
      </c>
      <c r="AE2776">
        <f>RAND()</f>
        <v/>
      </c>
      <c r="AF2776">
        <f>RAND()</f>
        <v/>
      </c>
    </row>
    <row r="2777">
      <c r="M2777" s="14">
        <f>_xlfn.BETA.INV($AA2777,1+4*($D$5-$C$5)/($E$5-$C$5),1+4*($E$5-$D$5)/($E$5-$C$5),$C$5,$E$5)</f>
        <v/>
      </c>
      <c r="N2777" s="14">
        <f>IF($AB2777&lt;($D$6-$C$6)/($E$6-$C$6),$C$6+SQRT($AB2777*($E$6-$C$6)*($D$6-$C$6)),$E$6-SQRT((1-$AB2777)*($E$6-$C$6)*($E$6-$D$6)))</f>
        <v/>
      </c>
      <c r="O2777" s="14">
        <f>_xlfn.NORM.INV($AC2777,$C$7,$D$7)</f>
        <v/>
      </c>
      <c r="P2777" s="14">
        <f>$C$8+($D$8-$C$8)*$AD2777</f>
        <v/>
      </c>
      <c r="Q2777" s="14">
        <f>$C$9</f>
        <v/>
      </c>
      <c r="R2777" s="14">
        <f>_xlfn.LOGNORM.INV($AF2777,LN($C$10)-0.5*LN(1+($D$10/$C$10)^2),SQRT(LN(1+($D$10/$C$10)^2)))</f>
        <v/>
      </c>
      <c r="S2777" s="14">
        <f>SUM(M2777:R2777)</f>
        <v/>
      </c>
      <c r="AA2777">
        <f>RAND()</f>
        <v/>
      </c>
      <c r="AB2777">
        <f>RAND()</f>
        <v/>
      </c>
      <c r="AC2777">
        <f>RAND()</f>
        <v/>
      </c>
      <c r="AD2777">
        <f>RAND()</f>
        <v/>
      </c>
      <c r="AE2777">
        <f>RAND()</f>
        <v/>
      </c>
      <c r="AF2777">
        <f>RAND()</f>
        <v/>
      </c>
    </row>
    <row r="2778">
      <c r="M2778" s="14">
        <f>_xlfn.BETA.INV($AA2778,1+4*($D$5-$C$5)/($E$5-$C$5),1+4*($E$5-$D$5)/($E$5-$C$5),$C$5,$E$5)</f>
        <v/>
      </c>
      <c r="N2778" s="14">
        <f>IF($AB2778&lt;($D$6-$C$6)/($E$6-$C$6),$C$6+SQRT($AB2778*($E$6-$C$6)*($D$6-$C$6)),$E$6-SQRT((1-$AB2778)*($E$6-$C$6)*($E$6-$D$6)))</f>
        <v/>
      </c>
      <c r="O2778" s="14">
        <f>_xlfn.NORM.INV($AC2778,$C$7,$D$7)</f>
        <v/>
      </c>
      <c r="P2778" s="14">
        <f>$C$8+($D$8-$C$8)*$AD2778</f>
        <v/>
      </c>
      <c r="Q2778" s="14">
        <f>$C$9</f>
        <v/>
      </c>
      <c r="R2778" s="14">
        <f>_xlfn.LOGNORM.INV($AF2778,LN($C$10)-0.5*LN(1+($D$10/$C$10)^2),SQRT(LN(1+($D$10/$C$10)^2)))</f>
        <v/>
      </c>
      <c r="S2778" s="14">
        <f>SUM(M2778:R2778)</f>
        <v/>
      </c>
      <c r="AA2778">
        <f>RAND()</f>
        <v/>
      </c>
      <c r="AB2778">
        <f>RAND()</f>
        <v/>
      </c>
      <c r="AC2778">
        <f>RAND()</f>
        <v/>
      </c>
      <c r="AD2778">
        <f>RAND()</f>
        <v/>
      </c>
      <c r="AE2778">
        <f>RAND()</f>
        <v/>
      </c>
      <c r="AF2778">
        <f>RAND()</f>
        <v/>
      </c>
    </row>
    <row r="2779">
      <c r="M2779" s="14">
        <f>_xlfn.BETA.INV($AA2779,1+4*($D$5-$C$5)/($E$5-$C$5),1+4*($E$5-$D$5)/($E$5-$C$5),$C$5,$E$5)</f>
        <v/>
      </c>
      <c r="N2779" s="14">
        <f>IF($AB2779&lt;($D$6-$C$6)/($E$6-$C$6),$C$6+SQRT($AB2779*($E$6-$C$6)*($D$6-$C$6)),$E$6-SQRT((1-$AB2779)*($E$6-$C$6)*($E$6-$D$6)))</f>
        <v/>
      </c>
      <c r="O2779" s="14">
        <f>_xlfn.NORM.INV($AC2779,$C$7,$D$7)</f>
        <v/>
      </c>
      <c r="P2779" s="14">
        <f>$C$8+($D$8-$C$8)*$AD2779</f>
        <v/>
      </c>
      <c r="Q2779" s="14">
        <f>$C$9</f>
        <v/>
      </c>
      <c r="R2779" s="14">
        <f>_xlfn.LOGNORM.INV($AF2779,LN($C$10)-0.5*LN(1+($D$10/$C$10)^2),SQRT(LN(1+($D$10/$C$10)^2)))</f>
        <v/>
      </c>
      <c r="S2779" s="14">
        <f>SUM(M2779:R2779)</f>
        <v/>
      </c>
      <c r="AA2779">
        <f>RAND()</f>
        <v/>
      </c>
      <c r="AB2779">
        <f>RAND()</f>
        <v/>
      </c>
      <c r="AC2779">
        <f>RAND()</f>
        <v/>
      </c>
      <c r="AD2779">
        <f>RAND()</f>
        <v/>
      </c>
      <c r="AE2779">
        <f>RAND()</f>
        <v/>
      </c>
      <c r="AF2779">
        <f>RAND()</f>
        <v/>
      </c>
    </row>
    <row r="2780">
      <c r="M2780" s="14">
        <f>_xlfn.BETA.INV($AA2780,1+4*($D$5-$C$5)/($E$5-$C$5),1+4*($E$5-$D$5)/($E$5-$C$5),$C$5,$E$5)</f>
        <v/>
      </c>
      <c r="N2780" s="14">
        <f>IF($AB2780&lt;($D$6-$C$6)/($E$6-$C$6),$C$6+SQRT($AB2780*($E$6-$C$6)*($D$6-$C$6)),$E$6-SQRT((1-$AB2780)*($E$6-$C$6)*($E$6-$D$6)))</f>
        <v/>
      </c>
      <c r="O2780" s="14">
        <f>_xlfn.NORM.INV($AC2780,$C$7,$D$7)</f>
        <v/>
      </c>
      <c r="P2780" s="14">
        <f>$C$8+($D$8-$C$8)*$AD2780</f>
        <v/>
      </c>
      <c r="Q2780" s="14">
        <f>$C$9</f>
        <v/>
      </c>
      <c r="R2780" s="14">
        <f>_xlfn.LOGNORM.INV($AF2780,LN($C$10)-0.5*LN(1+($D$10/$C$10)^2),SQRT(LN(1+($D$10/$C$10)^2)))</f>
        <v/>
      </c>
      <c r="S2780" s="14">
        <f>SUM(M2780:R2780)</f>
        <v/>
      </c>
      <c r="AA2780">
        <f>RAND()</f>
        <v/>
      </c>
      <c r="AB2780">
        <f>RAND()</f>
        <v/>
      </c>
      <c r="AC2780">
        <f>RAND()</f>
        <v/>
      </c>
      <c r="AD2780">
        <f>RAND()</f>
        <v/>
      </c>
      <c r="AE2780">
        <f>RAND()</f>
        <v/>
      </c>
      <c r="AF2780">
        <f>RAND()</f>
        <v/>
      </c>
    </row>
    <row r="2781">
      <c r="M2781" s="14">
        <f>_xlfn.BETA.INV($AA2781,1+4*($D$5-$C$5)/($E$5-$C$5),1+4*($E$5-$D$5)/($E$5-$C$5),$C$5,$E$5)</f>
        <v/>
      </c>
      <c r="N2781" s="14">
        <f>IF($AB2781&lt;($D$6-$C$6)/($E$6-$C$6),$C$6+SQRT($AB2781*($E$6-$C$6)*($D$6-$C$6)),$E$6-SQRT((1-$AB2781)*($E$6-$C$6)*($E$6-$D$6)))</f>
        <v/>
      </c>
      <c r="O2781" s="14">
        <f>_xlfn.NORM.INV($AC2781,$C$7,$D$7)</f>
        <v/>
      </c>
      <c r="P2781" s="14">
        <f>$C$8+($D$8-$C$8)*$AD2781</f>
        <v/>
      </c>
      <c r="Q2781" s="14">
        <f>$C$9</f>
        <v/>
      </c>
      <c r="R2781" s="14">
        <f>_xlfn.LOGNORM.INV($AF2781,LN($C$10)-0.5*LN(1+($D$10/$C$10)^2),SQRT(LN(1+($D$10/$C$10)^2)))</f>
        <v/>
      </c>
      <c r="S2781" s="14">
        <f>SUM(M2781:R2781)</f>
        <v/>
      </c>
      <c r="AA2781">
        <f>RAND()</f>
        <v/>
      </c>
      <c r="AB2781">
        <f>RAND()</f>
        <v/>
      </c>
      <c r="AC2781">
        <f>RAND()</f>
        <v/>
      </c>
      <c r="AD2781">
        <f>RAND()</f>
        <v/>
      </c>
      <c r="AE2781">
        <f>RAND()</f>
        <v/>
      </c>
      <c r="AF2781">
        <f>RAND()</f>
        <v/>
      </c>
    </row>
    <row r="2782">
      <c r="M2782" s="14">
        <f>_xlfn.BETA.INV($AA2782,1+4*($D$5-$C$5)/($E$5-$C$5),1+4*($E$5-$D$5)/($E$5-$C$5),$C$5,$E$5)</f>
        <v/>
      </c>
      <c r="N2782" s="14">
        <f>IF($AB2782&lt;($D$6-$C$6)/($E$6-$C$6),$C$6+SQRT($AB2782*($E$6-$C$6)*($D$6-$C$6)),$E$6-SQRT((1-$AB2782)*($E$6-$C$6)*($E$6-$D$6)))</f>
        <v/>
      </c>
      <c r="O2782" s="14">
        <f>_xlfn.NORM.INV($AC2782,$C$7,$D$7)</f>
        <v/>
      </c>
      <c r="P2782" s="14">
        <f>$C$8+($D$8-$C$8)*$AD2782</f>
        <v/>
      </c>
      <c r="Q2782" s="14">
        <f>$C$9</f>
        <v/>
      </c>
      <c r="R2782" s="14">
        <f>_xlfn.LOGNORM.INV($AF2782,LN($C$10)-0.5*LN(1+($D$10/$C$10)^2),SQRT(LN(1+($D$10/$C$10)^2)))</f>
        <v/>
      </c>
      <c r="S2782" s="14">
        <f>SUM(M2782:R2782)</f>
        <v/>
      </c>
      <c r="AA2782">
        <f>RAND()</f>
        <v/>
      </c>
      <c r="AB2782">
        <f>RAND()</f>
        <v/>
      </c>
      <c r="AC2782">
        <f>RAND()</f>
        <v/>
      </c>
      <c r="AD2782">
        <f>RAND()</f>
        <v/>
      </c>
      <c r="AE2782">
        <f>RAND()</f>
        <v/>
      </c>
      <c r="AF2782">
        <f>RAND()</f>
        <v/>
      </c>
    </row>
    <row r="2783">
      <c r="M2783" s="14">
        <f>_xlfn.BETA.INV($AA2783,1+4*($D$5-$C$5)/($E$5-$C$5),1+4*($E$5-$D$5)/($E$5-$C$5),$C$5,$E$5)</f>
        <v/>
      </c>
      <c r="N2783" s="14">
        <f>IF($AB2783&lt;($D$6-$C$6)/($E$6-$C$6),$C$6+SQRT($AB2783*($E$6-$C$6)*($D$6-$C$6)),$E$6-SQRT((1-$AB2783)*($E$6-$C$6)*($E$6-$D$6)))</f>
        <v/>
      </c>
      <c r="O2783" s="14">
        <f>_xlfn.NORM.INV($AC2783,$C$7,$D$7)</f>
        <v/>
      </c>
      <c r="P2783" s="14">
        <f>$C$8+($D$8-$C$8)*$AD2783</f>
        <v/>
      </c>
      <c r="Q2783" s="14">
        <f>$C$9</f>
        <v/>
      </c>
      <c r="R2783" s="14">
        <f>_xlfn.LOGNORM.INV($AF2783,LN($C$10)-0.5*LN(1+($D$10/$C$10)^2),SQRT(LN(1+($D$10/$C$10)^2)))</f>
        <v/>
      </c>
      <c r="S2783" s="14">
        <f>SUM(M2783:R2783)</f>
        <v/>
      </c>
      <c r="AA2783">
        <f>RAND()</f>
        <v/>
      </c>
      <c r="AB2783">
        <f>RAND()</f>
        <v/>
      </c>
      <c r="AC2783">
        <f>RAND()</f>
        <v/>
      </c>
      <c r="AD2783">
        <f>RAND()</f>
        <v/>
      </c>
      <c r="AE2783">
        <f>RAND()</f>
        <v/>
      </c>
      <c r="AF2783">
        <f>RAND()</f>
        <v/>
      </c>
    </row>
    <row r="2784">
      <c r="M2784" s="14">
        <f>_xlfn.BETA.INV($AA2784,1+4*($D$5-$C$5)/($E$5-$C$5),1+4*($E$5-$D$5)/($E$5-$C$5),$C$5,$E$5)</f>
        <v/>
      </c>
      <c r="N2784" s="14">
        <f>IF($AB2784&lt;($D$6-$C$6)/($E$6-$C$6),$C$6+SQRT($AB2784*($E$6-$C$6)*($D$6-$C$6)),$E$6-SQRT((1-$AB2784)*($E$6-$C$6)*($E$6-$D$6)))</f>
        <v/>
      </c>
      <c r="O2784" s="14">
        <f>_xlfn.NORM.INV($AC2784,$C$7,$D$7)</f>
        <v/>
      </c>
      <c r="P2784" s="14">
        <f>$C$8+($D$8-$C$8)*$AD2784</f>
        <v/>
      </c>
      <c r="Q2784" s="14">
        <f>$C$9</f>
        <v/>
      </c>
      <c r="R2784" s="14">
        <f>_xlfn.LOGNORM.INV($AF2784,LN($C$10)-0.5*LN(1+($D$10/$C$10)^2),SQRT(LN(1+($D$10/$C$10)^2)))</f>
        <v/>
      </c>
      <c r="S2784" s="14">
        <f>SUM(M2784:R2784)</f>
        <v/>
      </c>
      <c r="AA2784">
        <f>RAND()</f>
        <v/>
      </c>
      <c r="AB2784">
        <f>RAND()</f>
        <v/>
      </c>
      <c r="AC2784">
        <f>RAND()</f>
        <v/>
      </c>
      <c r="AD2784">
        <f>RAND()</f>
        <v/>
      </c>
      <c r="AE2784">
        <f>RAND()</f>
        <v/>
      </c>
      <c r="AF2784">
        <f>RAND()</f>
        <v/>
      </c>
    </row>
    <row r="2785">
      <c r="M2785" s="14">
        <f>_xlfn.BETA.INV($AA2785,1+4*($D$5-$C$5)/($E$5-$C$5),1+4*($E$5-$D$5)/($E$5-$C$5),$C$5,$E$5)</f>
        <v/>
      </c>
      <c r="N2785" s="14">
        <f>IF($AB2785&lt;($D$6-$C$6)/($E$6-$C$6),$C$6+SQRT($AB2785*($E$6-$C$6)*($D$6-$C$6)),$E$6-SQRT((1-$AB2785)*($E$6-$C$6)*($E$6-$D$6)))</f>
        <v/>
      </c>
      <c r="O2785" s="14">
        <f>_xlfn.NORM.INV($AC2785,$C$7,$D$7)</f>
        <v/>
      </c>
      <c r="P2785" s="14">
        <f>$C$8+($D$8-$C$8)*$AD2785</f>
        <v/>
      </c>
      <c r="Q2785" s="14">
        <f>$C$9</f>
        <v/>
      </c>
      <c r="R2785" s="14">
        <f>_xlfn.LOGNORM.INV($AF2785,LN($C$10)-0.5*LN(1+($D$10/$C$10)^2),SQRT(LN(1+($D$10/$C$10)^2)))</f>
        <v/>
      </c>
      <c r="S2785" s="14">
        <f>SUM(M2785:R2785)</f>
        <v/>
      </c>
      <c r="AA2785">
        <f>RAND()</f>
        <v/>
      </c>
      <c r="AB2785">
        <f>RAND()</f>
        <v/>
      </c>
      <c r="AC2785">
        <f>RAND()</f>
        <v/>
      </c>
      <c r="AD2785">
        <f>RAND()</f>
        <v/>
      </c>
      <c r="AE2785">
        <f>RAND()</f>
        <v/>
      </c>
      <c r="AF2785">
        <f>RAND()</f>
        <v/>
      </c>
    </row>
    <row r="2786">
      <c r="M2786" s="14">
        <f>_xlfn.BETA.INV($AA2786,1+4*($D$5-$C$5)/($E$5-$C$5),1+4*($E$5-$D$5)/($E$5-$C$5),$C$5,$E$5)</f>
        <v/>
      </c>
      <c r="N2786" s="14">
        <f>IF($AB2786&lt;($D$6-$C$6)/($E$6-$C$6),$C$6+SQRT($AB2786*($E$6-$C$6)*($D$6-$C$6)),$E$6-SQRT((1-$AB2786)*($E$6-$C$6)*($E$6-$D$6)))</f>
        <v/>
      </c>
      <c r="O2786" s="14">
        <f>_xlfn.NORM.INV($AC2786,$C$7,$D$7)</f>
        <v/>
      </c>
      <c r="P2786" s="14">
        <f>$C$8+($D$8-$C$8)*$AD2786</f>
        <v/>
      </c>
      <c r="Q2786" s="14">
        <f>$C$9</f>
        <v/>
      </c>
      <c r="R2786" s="14">
        <f>_xlfn.LOGNORM.INV($AF2786,LN($C$10)-0.5*LN(1+($D$10/$C$10)^2),SQRT(LN(1+($D$10/$C$10)^2)))</f>
        <v/>
      </c>
      <c r="S2786" s="14">
        <f>SUM(M2786:R2786)</f>
        <v/>
      </c>
      <c r="AA2786">
        <f>RAND()</f>
        <v/>
      </c>
      <c r="AB2786">
        <f>RAND()</f>
        <v/>
      </c>
      <c r="AC2786">
        <f>RAND()</f>
        <v/>
      </c>
      <c r="AD2786">
        <f>RAND()</f>
        <v/>
      </c>
      <c r="AE2786">
        <f>RAND()</f>
        <v/>
      </c>
      <c r="AF2786">
        <f>RAND()</f>
        <v/>
      </c>
    </row>
    <row r="2787">
      <c r="M2787" s="14">
        <f>_xlfn.BETA.INV($AA2787,1+4*($D$5-$C$5)/($E$5-$C$5),1+4*($E$5-$D$5)/($E$5-$C$5),$C$5,$E$5)</f>
        <v/>
      </c>
      <c r="N2787" s="14">
        <f>IF($AB2787&lt;($D$6-$C$6)/($E$6-$C$6),$C$6+SQRT($AB2787*($E$6-$C$6)*($D$6-$C$6)),$E$6-SQRT((1-$AB2787)*($E$6-$C$6)*($E$6-$D$6)))</f>
        <v/>
      </c>
      <c r="O2787" s="14">
        <f>_xlfn.NORM.INV($AC2787,$C$7,$D$7)</f>
        <v/>
      </c>
      <c r="P2787" s="14">
        <f>$C$8+($D$8-$C$8)*$AD2787</f>
        <v/>
      </c>
      <c r="Q2787" s="14">
        <f>$C$9</f>
        <v/>
      </c>
      <c r="R2787" s="14">
        <f>_xlfn.LOGNORM.INV($AF2787,LN($C$10)-0.5*LN(1+($D$10/$C$10)^2),SQRT(LN(1+($D$10/$C$10)^2)))</f>
        <v/>
      </c>
      <c r="S2787" s="14">
        <f>SUM(M2787:R2787)</f>
        <v/>
      </c>
      <c r="AA2787">
        <f>RAND()</f>
        <v/>
      </c>
      <c r="AB2787">
        <f>RAND()</f>
        <v/>
      </c>
      <c r="AC2787">
        <f>RAND()</f>
        <v/>
      </c>
      <c r="AD2787">
        <f>RAND()</f>
        <v/>
      </c>
      <c r="AE2787">
        <f>RAND()</f>
        <v/>
      </c>
      <c r="AF2787">
        <f>RAND()</f>
        <v/>
      </c>
    </row>
    <row r="2788">
      <c r="M2788" s="14">
        <f>_xlfn.BETA.INV($AA2788,1+4*($D$5-$C$5)/($E$5-$C$5),1+4*($E$5-$D$5)/($E$5-$C$5),$C$5,$E$5)</f>
        <v/>
      </c>
      <c r="N2788" s="14">
        <f>IF($AB2788&lt;($D$6-$C$6)/($E$6-$C$6),$C$6+SQRT($AB2788*($E$6-$C$6)*($D$6-$C$6)),$E$6-SQRT((1-$AB2788)*($E$6-$C$6)*($E$6-$D$6)))</f>
        <v/>
      </c>
      <c r="O2788" s="14">
        <f>_xlfn.NORM.INV($AC2788,$C$7,$D$7)</f>
        <v/>
      </c>
      <c r="P2788" s="14">
        <f>$C$8+($D$8-$C$8)*$AD2788</f>
        <v/>
      </c>
      <c r="Q2788" s="14">
        <f>$C$9</f>
        <v/>
      </c>
      <c r="R2788" s="14">
        <f>_xlfn.LOGNORM.INV($AF2788,LN($C$10)-0.5*LN(1+($D$10/$C$10)^2),SQRT(LN(1+($D$10/$C$10)^2)))</f>
        <v/>
      </c>
      <c r="S2788" s="14">
        <f>SUM(M2788:R2788)</f>
        <v/>
      </c>
      <c r="AA2788">
        <f>RAND()</f>
        <v/>
      </c>
      <c r="AB2788">
        <f>RAND()</f>
        <v/>
      </c>
      <c r="AC2788">
        <f>RAND()</f>
        <v/>
      </c>
      <c r="AD2788">
        <f>RAND()</f>
        <v/>
      </c>
      <c r="AE2788">
        <f>RAND()</f>
        <v/>
      </c>
      <c r="AF2788">
        <f>RAND()</f>
        <v/>
      </c>
    </row>
    <row r="2789">
      <c r="M2789" s="14">
        <f>_xlfn.BETA.INV($AA2789,1+4*($D$5-$C$5)/($E$5-$C$5),1+4*($E$5-$D$5)/($E$5-$C$5),$C$5,$E$5)</f>
        <v/>
      </c>
      <c r="N2789" s="14">
        <f>IF($AB2789&lt;($D$6-$C$6)/($E$6-$C$6),$C$6+SQRT($AB2789*($E$6-$C$6)*($D$6-$C$6)),$E$6-SQRT((1-$AB2789)*($E$6-$C$6)*($E$6-$D$6)))</f>
        <v/>
      </c>
      <c r="O2789" s="14">
        <f>_xlfn.NORM.INV($AC2789,$C$7,$D$7)</f>
        <v/>
      </c>
      <c r="P2789" s="14">
        <f>$C$8+($D$8-$C$8)*$AD2789</f>
        <v/>
      </c>
      <c r="Q2789" s="14">
        <f>$C$9</f>
        <v/>
      </c>
      <c r="R2789" s="14">
        <f>_xlfn.LOGNORM.INV($AF2789,LN($C$10)-0.5*LN(1+($D$10/$C$10)^2),SQRT(LN(1+($D$10/$C$10)^2)))</f>
        <v/>
      </c>
      <c r="S2789" s="14">
        <f>SUM(M2789:R2789)</f>
        <v/>
      </c>
      <c r="AA2789">
        <f>RAND()</f>
        <v/>
      </c>
      <c r="AB2789">
        <f>RAND()</f>
        <v/>
      </c>
      <c r="AC2789">
        <f>RAND()</f>
        <v/>
      </c>
      <c r="AD2789">
        <f>RAND()</f>
        <v/>
      </c>
      <c r="AE2789">
        <f>RAND()</f>
        <v/>
      </c>
      <c r="AF2789">
        <f>RAND()</f>
        <v/>
      </c>
    </row>
    <row r="2790">
      <c r="M2790" s="14">
        <f>_xlfn.BETA.INV($AA2790,1+4*($D$5-$C$5)/($E$5-$C$5),1+4*($E$5-$D$5)/($E$5-$C$5),$C$5,$E$5)</f>
        <v/>
      </c>
      <c r="N2790" s="14">
        <f>IF($AB2790&lt;($D$6-$C$6)/($E$6-$C$6),$C$6+SQRT($AB2790*($E$6-$C$6)*($D$6-$C$6)),$E$6-SQRT((1-$AB2790)*($E$6-$C$6)*($E$6-$D$6)))</f>
        <v/>
      </c>
      <c r="O2790" s="14">
        <f>_xlfn.NORM.INV($AC2790,$C$7,$D$7)</f>
        <v/>
      </c>
      <c r="P2790" s="14">
        <f>$C$8+($D$8-$C$8)*$AD2790</f>
        <v/>
      </c>
      <c r="Q2790" s="14">
        <f>$C$9</f>
        <v/>
      </c>
      <c r="R2790" s="14">
        <f>_xlfn.LOGNORM.INV($AF2790,LN($C$10)-0.5*LN(1+($D$10/$C$10)^2),SQRT(LN(1+($D$10/$C$10)^2)))</f>
        <v/>
      </c>
      <c r="S2790" s="14">
        <f>SUM(M2790:R2790)</f>
        <v/>
      </c>
      <c r="AA2790">
        <f>RAND()</f>
        <v/>
      </c>
      <c r="AB2790">
        <f>RAND()</f>
        <v/>
      </c>
      <c r="AC2790">
        <f>RAND()</f>
        <v/>
      </c>
      <c r="AD2790">
        <f>RAND()</f>
        <v/>
      </c>
      <c r="AE2790">
        <f>RAND()</f>
        <v/>
      </c>
      <c r="AF2790">
        <f>RAND()</f>
        <v/>
      </c>
    </row>
    <row r="2791">
      <c r="M2791" s="14">
        <f>_xlfn.BETA.INV($AA2791,1+4*($D$5-$C$5)/($E$5-$C$5),1+4*($E$5-$D$5)/($E$5-$C$5),$C$5,$E$5)</f>
        <v/>
      </c>
      <c r="N2791" s="14">
        <f>IF($AB2791&lt;($D$6-$C$6)/($E$6-$C$6),$C$6+SQRT($AB2791*($E$6-$C$6)*($D$6-$C$6)),$E$6-SQRT((1-$AB2791)*($E$6-$C$6)*($E$6-$D$6)))</f>
        <v/>
      </c>
      <c r="O2791" s="14">
        <f>_xlfn.NORM.INV($AC2791,$C$7,$D$7)</f>
        <v/>
      </c>
      <c r="P2791" s="14">
        <f>$C$8+($D$8-$C$8)*$AD2791</f>
        <v/>
      </c>
      <c r="Q2791" s="14">
        <f>$C$9</f>
        <v/>
      </c>
      <c r="R2791" s="14">
        <f>_xlfn.LOGNORM.INV($AF2791,LN($C$10)-0.5*LN(1+($D$10/$C$10)^2),SQRT(LN(1+($D$10/$C$10)^2)))</f>
        <v/>
      </c>
      <c r="S2791" s="14">
        <f>SUM(M2791:R2791)</f>
        <v/>
      </c>
      <c r="AA2791">
        <f>RAND()</f>
        <v/>
      </c>
      <c r="AB2791">
        <f>RAND()</f>
        <v/>
      </c>
      <c r="AC2791">
        <f>RAND()</f>
        <v/>
      </c>
      <c r="AD2791">
        <f>RAND()</f>
        <v/>
      </c>
      <c r="AE2791">
        <f>RAND()</f>
        <v/>
      </c>
      <c r="AF2791">
        <f>RAND()</f>
        <v/>
      </c>
    </row>
    <row r="2792">
      <c r="M2792" s="14">
        <f>_xlfn.BETA.INV($AA2792,1+4*($D$5-$C$5)/($E$5-$C$5),1+4*($E$5-$D$5)/($E$5-$C$5),$C$5,$E$5)</f>
        <v/>
      </c>
      <c r="N2792" s="14">
        <f>IF($AB2792&lt;($D$6-$C$6)/($E$6-$C$6),$C$6+SQRT($AB2792*($E$6-$C$6)*($D$6-$C$6)),$E$6-SQRT((1-$AB2792)*($E$6-$C$6)*($E$6-$D$6)))</f>
        <v/>
      </c>
      <c r="O2792" s="14">
        <f>_xlfn.NORM.INV($AC2792,$C$7,$D$7)</f>
        <v/>
      </c>
      <c r="P2792" s="14">
        <f>$C$8+($D$8-$C$8)*$AD2792</f>
        <v/>
      </c>
      <c r="Q2792" s="14">
        <f>$C$9</f>
        <v/>
      </c>
      <c r="R2792" s="14">
        <f>_xlfn.LOGNORM.INV($AF2792,LN($C$10)-0.5*LN(1+($D$10/$C$10)^2),SQRT(LN(1+($D$10/$C$10)^2)))</f>
        <v/>
      </c>
      <c r="S2792" s="14">
        <f>SUM(M2792:R2792)</f>
        <v/>
      </c>
      <c r="AA2792">
        <f>RAND()</f>
        <v/>
      </c>
      <c r="AB2792">
        <f>RAND()</f>
        <v/>
      </c>
      <c r="AC2792">
        <f>RAND()</f>
        <v/>
      </c>
      <c r="AD2792">
        <f>RAND()</f>
        <v/>
      </c>
      <c r="AE2792">
        <f>RAND()</f>
        <v/>
      </c>
      <c r="AF2792">
        <f>RAND()</f>
        <v/>
      </c>
    </row>
    <row r="2793">
      <c r="M2793" s="14">
        <f>_xlfn.BETA.INV($AA2793,1+4*($D$5-$C$5)/($E$5-$C$5),1+4*($E$5-$D$5)/($E$5-$C$5),$C$5,$E$5)</f>
        <v/>
      </c>
      <c r="N2793" s="14">
        <f>IF($AB2793&lt;($D$6-$C$6)/($E$6-$C$6),$C$6+SQRT($AB2793*($E$6-$C$6)*($D$6-$C$6)),$E$6-SQRT((1-$AB2793)*($E$6-$C$6)*($E$6-$D$6)))</f>
        <v/>
      </c>
      <c r="O2793" s="14">
        <f>_xlfn.NORM.INV($AC2793,$C$7,$D$7)</f>
        <v/>
      </c>
      <c r="P2793" s="14">
        <f>$C$8+($D$8-$C$8)*$AD2793</f>
        <v/>
      </c>
      <c r="Q2793" s="14">
        <f>$C$9</f>
        <v/>
      </c>
      <c r="R2793" s="14">
        <f>_xlfn.LOGNORM.INV($AF2793,LN($C$10)-0.5*LN(1+($D$10/$C$10)^2),SQRT(LN(1+($D$10/$C$10)^2)))</f>
        <v/>
      </c>
      <c r="S2793" s="14">
        <f>SUM(M2793:R2793)</f>
        <v/>
      </c>
      <c r="AA2793">
        <f>RAND()</f>
        <v/>
      </c>
      <c r="AB2793">
        <f>RAND()</f>
        <v/>
      </c>
      <c r="AC2793">
        <f>RAND()</f>
        <v/>
      </c>
      <c r="AD2793">
        <f>RAND()</f>
        <v/>
      </c>
      <c r="AE2793">
        <f>RAND()</f>
        <v/>
      </c>
      <c r="AF2793">
        <f>RAND()</f>
        <v/>
      </c>
    </row>
    <row r="2794">
      <c r="M2794" s="14">
        <f>_xlfn.BETA.INV($AA2794,1+4*($D$5-$C$5)/($E$5-$C$5),1+4*($E$5-$D$5)/($E$5-$C$5),$C$5,$E$5)</f>
        <v/>
      </c>
      <c r="N2794" s="14">
        <f>IF($AB2794&lt;($D$6-$C$6)/($E$6-$C$6),$C$6+SQRT($AB2794*($E$6-$C$6)*($D$6-$C$6)),$E$6-SQRT((1-$AB2794)*($E$6-$C$6)*($E$6-$D$6)))</f>
        <v/>
      </c>
      <c r="O2794" s="14">
        <f>_xlfn.NORM.INV($AC2794,$C$7,$D$7)</f>
        <v/>
      </c>
      <c r="P2794" s="14">
        <f>$C$8+($D$8-$C$8)*$AD2794</f>
        <v/>
      </c>
      <c r="Q2794" s="14">
        <f>$C$9</f>
        <v/>
      </c>
      <c r="R2794" s="14">
        <f>_xlfn.LOGNORM.INV($AF2794,LN($C$10)-0.5*LN(1+($D$10/$C$10)^2),SQRT(LN(1+($D$10/$C$10)^2)))</f>
        <v/>
      </c>
      <c r="S2794" s="14">
        <f>SUM(M2794:R2794)</f>
        <v/>
      </c>
      <c r="AA2794">
        <f>RAND()</f>
        <v/>
      </c>
      <c r="AB2794">
        <f>RAND()</f>
        <v/>
      </c>
      <c r="AC2794">
        <f>RAND()</f>
        <v/>
      </c>
      <c r="AD2794">
        <f>RAND()</f>
        <v/>
      </c>
      <c r="AE2794">
        <f>RAND()</f>
        <v/>
      </c>
      <c r="AF2794">
        <f>RAND()</f>
        <v/>
      </c>
    </row>
    <row r="2795">
      <c r="M2795" s="14">
        <f>_xlfn.BETA.INV($AA2795,1+4*($D$5-$C$5)/($E$5-$C$5),1+4*($E$5-$D$5)/($E$5-$C$5),$C$5,$E$5)</f>
        <v/>
      </c>
      <c r="N2795" s="14">
        <f>IF($AB2795&lt;($D$6-$C$6)/($E$6-$C$6),$C$6+SQRT($AB2795*($E$6-$C$6)*($D$6-$C$6)),$E$6-SQRT((1-$AB2795)*($E$6-$C$6)*($E$6-$D$6)))</f>
        <v/>
      </c>
      <c r="O2795" s="14">
        <f>_xlfn.NORM.INV($AC2795,$C$7,$D$7)</f>
        <v/>
      </c>
      <c r="P2795" s="14">
        <f>$C$8+($D$8-$C$8)*$AD2795</f>
        <v/>
      </c>
      <c r="Q2795" s="14">
        <f>$C$9</f>
        <v/>
      </c>
      <c r="R2795" s="14">
        <f>_xlfn.LOGNORM.INV($AF2795,LN($C$10)-0.5*LN(1+($D$10/$C$10)^2),SQRT(LN(1+($D$10/$C$10)^2)))</f>
        <v/>
      </c>
      <c r="S2795" s="14">
        <f>SUM(M2795:R2795)</f>
        <v/>
      </c>
      <c r="AA2795">
        <f>RAND()</f>
        <v/>
      </c>
      <c r="AB2795">
        <f>RAND()</f>
        <v/>
      </c>
      <c r="AC2795">
        <f>RAND()</f>
        <v/>
      </c>
      <c r="AD2795">
        <f>RAND()</f>
        <v/>
      </c>
      <c r="AE2795">
        <f>RAND()</f>
        <v/>
      </c>
      <c r="AF2795">
        <f>RAND()</f>
        <v/>
      </c>
    </row>
    <row r="2796">
      <c r="M2796" s="14">
        <f>_xlfn.BETA.INV($AA2796,1+4*($D$5-$C$5)/($E$5-$C$5),1+4*($E$5-$D$5)/($E$5-$C$5),$C$5,$E$5)</f>
        <v/>
      </c>
      <c r="N2796" s="14">
        <f>IF($AB2796&lt;($D$6-$C$6)/($E$6-$C$6),$C$6+SQRT($AB2796*($E$6-$C$6)*($D$6-$C$6)),$E$6-SQRT((1-$AB2796)*($E$6-$C$6)*($E$6-$D$6)))</f>
        <v/>
      </c>
      <c r="O2796" s="14">
        <f>_xlfn.NORM.INV($AC2796,$C$7,$D$7)</f>
        <v/>
      </c>
      <c r="P2796" s="14">
        <f>$C$8+($D$8-$C$8)*$AD2796</f>
        <v/>
      </c>
      <c r="Q2796" s="14">
        <f>$C$9</f>
        <v/>
      </c>
      <c r="R2796" s="14">
        <f>_xlfn.LOGNORM.INV($AF2796,LN($C$10)-0.5*LN(1+($D$10/$C$10)^2),SQRT(LN(1+($D$10/$C$10)^2)))</f>
        <v/>
      </c>
      <c r="S2796" s="14">
        <f>SUM(M2796:R2796)</f>
        <v/>
      </c>
      <c r="AA2796">
        <f>RAND()</f>
        <v/>
      </c>
      <c r="AB2796">
        <f>RAND()</f>
        <v/>
      </c>
      <c r="AC2796">
        <f>RAND()</f>
        <v/>
      </c>
      <c r="AD2796">
        <f>RAND()</f>
        <v/>
      </c>
      <c r="AE2796">
        <f>RAND()</f>
        <v/>
      </c>
      <c r="AF2796">
        <f>RAND()</f>
        <v/>
      </c>
    </row>
    <row r="2797">
      <c r="M2797" s="14">
        <f>_xlfn.BETA.INV($AA2797,1+4*($D$5-$C$5)/($E$5-$C$5),1+4*($E$5-$D$5)/($E$5-$C$5),$C$5,$E$5)</f>
        <v/>
      </c>
      <c r="N2797" s="14">
        <f>IF($AB2797&lt;($D$6-$C$6)/($E$6-$C$6),$C$6+SQRT($AB2797*($E$6-$C$6)*($D$6-$C$6)),$E$6-SQRT((1-$AB2797)*($E$6-$C$6)*($E$6-$D$6)))</f>
        <v/>
      </c>
      <c r="O2797" s="14">
        <f>_xlfn.NORM.INV($AC2797,$C$7,$D$7)</f>
        <v/>
      </c>
      <c r="P2797" s="14">
        <f>$C$8+($D$8-$C$8)*$AD2797</f>
        <v/>
      </c>
      <c r="Q2797" s="14">
        <f>$C$9</f>
        <v/>
      </c>
      <c r="R2797" s="14">
        <f>_xlfn.LOGNORM.INV($AF2797,LN($C$10)-0.5*LN(1+($D$10/$C$10)^2),SQRT(LN(1+($D$10/$C$10)^2)))</f>
        <v/>
      </c>
      <c r="S2797" s="14">
        <f>SUM(M2797:R2797)</f>
        <v/>
      </c>
      <c r="AA2797">
        <f>RAND()</f>
        <v/>
      </c>
      <c r="AB2797">
        <f>RAND()</f>
        <v/>
      </c>
      <c r="AC2797">
        <f>RAND()</f>
        <v/>
      </c>
      <c r="AD2797">
        <f>RAND()</f>
        <v/>
      </c>
      <c r="AE2797">
        <f>RAND()</f>
        <v/>
      </c>
      <c r="AF2797">
        <f>RAND()</f>
        <v/>
      </c>
    </row>
    <row r="2798">
      <c r="M2798" s="14">
        <f>_xlfn.BETA.INV($AA2798,1+4*($D$5-$C$5)/($E$5-$C$5),1+4*($E$5-$D$5)/($E$5-$C$5),$C$5,$E$5)</f>
        <v/>
      </c>
      <c r="N2798" s="14">
        <f>IF($AB2798&lt;($D$6-$C$6)/($E$6-$C$6),$C$6+SQRT($AB2798*($E$6-$C$6)*($D$6-$C$6)),$E$6-SQRT((1-$AB2798)*($E$6-$C$6)*($E$6-$D$6)))</f>
        <v/>
      </c>
      <c r="O2798" s="14">
        <f>_xlfn.NORM.INV($AC2798,$C$7,$D$7)</f>
        <v/>
      </c>
      <c r="P2798" s="14">
        <f>$C$8+($D$8-$C$8)*$AD2798</f>
        <v/>
      </c>
      <c r="Q2798" s="14">
        <f>$C$9</f>
        <v/>
      </c>
      <c r="R2798" s="14">
        <f>_xlfn.LOGNORM.INV($AF2798,LN($C$10)-0.5*LN(1+($D$10/$C$10)^2),SQRT(LN(1+($D$10/$C$10)^2)))</f>
        <v/>
      </c>
      <c r="S2798" s="14">
        <f>SUM(M2798:R2798)</f>
        <v/>
      </c>
      <c r="AA2798">
        <f>RAND()</f>
        <v/>
      </c>
      <c r="AB2798">
        <f>RAND()</f>
        <v/>
      </c>
      <c r="AC2798">
        <f>RAND()</f>
        <v/>
      </c>
      <c r="AD2798">
        <f>RAND()</f>
        <v/>
      </c>
      <c r="AE2798">
        <f>RAND()</f>
        <v/>
      </c>
      <c r="AF2798">
        <f>RAND()</f>
        <v/>
      </c>
    </row>
    <row r="2799">
      <c r="M2799" s="14">
        <f>_xlfn.BETA.INV($AA2799,1+4*($D$5-$C$5)/($E$5-$C$5),1+4*($E$5-$D$5)/($E$5-$C$5),$C$5,$E$5)</f>
        <v/>
      </c>
      <c r="N2799" s="14">
        <f>IF($AB2799&lt;($D$6-$C$6)/($E$6-$C$6),$C$6+SQRT($AB2799*($E$6-$C$6)*($D$6-$C$6)),$E$6-SQRT((1-$AB2799)*($E$6-$C$6)*($E$6-$D$6)))</f>
        <v/>
      </c>
      <c r="O2799" s="14">
        <f>_xlfn.NORM.INV($AC2799,$C$7,$D$7)</f>
        <v/>
      </c>
      <c r="P2799" s="14">
        <f>$C$8+($D$8-$C$8)*$AD2799</f>
        <v/>
      </c>
      <c r="Q2799" s="14">
        <f>$C$9</f>
        <v/>
      </c>
      <c r="R2799" s="14">
        <f>_xlfn.LOGNORM.INV($AF2799,LN($C$10)-0.5*LN(1+($D$10/$C$10)^2),SQRT(LN(1+($D$10/$C$10)^2)))</f>
        <v/>
      </c>
      <c r="S2799" s="14">
        <f>SUM(M2799:R2799)</f>
        <v/>
      </c>
      <c r="AA2799">
        <f>RAND()</f>
        <v/>
      </c>
      <c r="AB2799">
        <f>RAND()</f>
        <v/>
      </c>
      <c r="AC2799">
        <f>RAND()</f>
        <v/>
      </c>
      <c r="AD2799">
        <f>RAND()</f>
        <v/>
      </c>
      <c r="AE2799">
        <f>RAND()</f>
        <v/>
      </c>
      <c r="AF2799">
        <f>RAND()</f>
        <v/>
      </c>
    </row>
    <row r="2800">
      <c r="M2800" s="14">
        <f>_xlfn.BETA.INV($AA2800,1+4*($D$5-$C$5)/($E$5-$C$5),1+4*($E$5-$D$5)/($E$5-$C$5),$C$5,$E$5)</f>
        <v/>
      </c>
      <c r="N2800" s="14">
        <f>IF($AB2800&lt;($D$6-$C$6)/($E$6-$C$6),$C$6+SQRT($AB2800*($E$6-$C$6)*($D$6-$C$6)),$E$6-SQRT((1-$AB2800)*($E$6-$C$6)*($E$6-$D$6)))</f>
        <v/>
      </c>
      <c r="O2800" s="14">
        <f>_xlfn.NORM.INV($AC2800,$C$7,$D$7)</f>
        <v/>
      </c>
      <c r="P2800" s="14">
        <f>$C$8+($D$8-$C$8)*$AD2800</f>
        <v/>
      </c>
      <c r="Q2800" s="14">
        <f>$C$9</f>
        <v/>
      </c>
      <c r="R2800" s="14">
        <f>_xlfn.LOGNORM.INV($AF2800,LN($C$10)-0.5*LN(1+($D$10/$C$10)^2),SQRT(LN(1+($D$10/$C$10)^2)))</f>
        <v/>
      </c>
      <c r="S2800" s="14">
        <f>SUM(M2800:R2800)</f>
        <v/>
      </c>
      <c r="AA2800">
        <f>RAND()</f>
        <v/>
      </c>
      <c r="AB2800">
        <f>RAND()</f>
        <v/>
      </c>
      <c r="AC2800">
        <f>RAND()</f>
        <v/>
      </c>
      <c r="AD2800">
        <f>RAND()</f>
        <v/>
      </c>
      <c r="AE2800">
        <f>RAND()</f>
        <v/>
      </c>
      <c r="AF2800">
        <f>RAND()</f>
        <v/>
      </c>
    </row>
    <row r="2801">
      <c r="M2801" s="14">
        <f>_xlfn.BETA.INV($AA2801,1+4*($D$5-$C$5)/($E$5-$C$5),1+4*($E$5-$D$5)/($E$5-$C$5),$C$5,$E$5)</f>
        <v/>
      </c>
      <c r="N2801" s="14">
        <f>IF($AB2801&lt;($D$6-$C$6)/($E$6-$C$6),$C$6+SQRT($AB2801*($E$6-$C$6)*($D$6-$C$6)),$E$6-SQRT((1-$AB2801)*($E$6-$C$6)*($E$6-$D$6)))</f>
        <v/>
      </c>
      <c r="O2801" s="14">
        <f>_xlfn.NORM.INV($AC2801,$C$7,$D$7)</f>
        <v/>
      </c>
      <c r="P2801" s="14">
        <f>$C$8+($D$8-$C$8)*$AD2801</f>
        <v/>
      </c>
      <c r="Q2801" s="14">
        <f>$C$9</f>
        <v/>
      </c>
      <c r="R2801" s="14">
        <f>_xlfn.LOGNORM.INV($AF2801,LN($C$10)-0.5*LN(1+($D$10/$C$10)^2),SQRT(LN(1+($D$10/$C$10)^2)))</f>
        <v/>
      </c>
      <c r="S2801" s="14">
        <f>SUM(M2801:R2801)</f>
        <v/>
      </c>
      <c r="AA2801">
        <f>RAND()</f>
        <v/>
      </c>
      <c r="AB2801">
        <f>RAND()</f>
        <v/>
      </c>
      <c r="AC2801">
        <f>RAND()</f>
        <v/>
      </c>
      <c r="AD2801">
        <f>RAND()</f>
        <v/>
      </c>
      <c r="AE2801">
        <f>RAND()</f>
        <v/>
      </c>
      <c r="AF2801">
        <f>RAND()</f>
        <v/>
      </c>
    </row>
    <row r="2802">
      <c r="M2802" s="14">
        <f>_xlfn.BETA.INV($AA2802,1+4*($D$5-$C$5)/($E$5-$C$5),1+4*($E$5-$D$5)/($E$5-$C$5),$C$5,$E$5)</f>
        <v/>
      </c>
      <c r="N2802" s="14">
        <f>IF($AB2802&lt;($D$6-$C$6)/($E$6-$C$6),$C$6+SQRT($AB2802*($E$6-$C$6)*($D$6-$C$6)),$E$6-SQRT((1-$AB2802)*($E$6-$C$6)*($E$6-$D$6)))</f>
        <v/>
      </c>
      <c r="O2802" s="14">
        <f>_xlfn.NORM.INV($AC2802,$C$7,$D$7)</f>
        <v/>
      </c>
      <c r="P2802" s="14">
        <f>$C$8+($D$8-$C$8)*$AD2802</f>
        <v/>
      </c>
      <c r="Q2802" s="14">
        <f>$C$9</f>
        <v/>
      </c>
      <c r="R2802" s="14">
        <f>_xlfn.LOGNORM.INV($AF2802,LN($C$10)-0.5*LN(1+($D$10/$C$10)^2),SQRT(LN(1+($D$10/$C$10)^2)))</f>
        <v/>
      </c>
      <c r="S2802" s="14">
        <f>SUM(M2802:R2802)</f>
        <v/>
      </c>
      <c r="AA2802">
        <f>RAND()</f>
        <v/>
      </c>
      <c r="AB2802">
        <f>RAND()</f>
        <v/>
      </c>
      <c r="AC2802">
        <f>RAND()</f>
        <v/>
      </c>
      <c r="AD2802">
        <f>RAND()</f>
        <v/>
      </c>
      <c r="AE2802">
        <f>RAND()</f>
        <v/>
      </c>
      <c r="AF2802">
        <f>RAND()</f>
        <v/>
      </c>
    </row>
    <row r="2803">
      <c r="M2803" s="14">
        <f>_xlfn.BETA.INV($AA2803,1+4*($D$5-$C$5)/($E$5-$C$5),1+4*($E$5-$D$5)/($E$5-$C$5),$C$5,$E$5)</f>
        <v/>
      </c>
      <c r="N2803" s="14">
        <f>IF($AB2803&lt;($D$6-$C$6)/($E$6-$C$6),$C$6+SQRT($AB2803*($E$6-$C$6)*($D$6-$C$6)),$E$6-SQRT((1-$AB2803)*($E$6-$C$6)*($E$6-$D$6)))</f>
        <v/>
      </c>
      <c r="O2803" s="14">
        <f>_xlfn.NORM.INV($AC2803,$C$7,$D$7)</f>
        <v/>
      </c>
      <c r="P2803" s="14">
        <f>$C$8+($D$8-$C$8)*$AD2803</f>
        <v/>
      </c>
      <c r="Q2803" s="14">
        <f>$C$9</f>
        <v/>
      </c>
      <c r="R2803" s="14">
        <f>_xlfn.LOGNORM.INV($AF2803,LN($C$10)-0.5*LN(1+($D$10/$C$10)^2),SQRT(LN(1+($D$10/$C$10)^2)))</f>
        <v/>
      </c>
      <c r="S2803" s="14">
        <f>SUM(M2803:R2803)</f>
        <v/>
      </c>
      <c r="AA2803">
        <f>RAND()</f>
        <v/>
      </c>
      <c r="AB2803">
        <f>RAND()</f>
        <v/>
      </c>
      <c r="AC2803">
        <f>RAND()</f>
        <v/>
      </c>
      <c r="AD2803">
        <f>RAND()</f>
        <v/>
      </c>
      <c r="AE2803">
        <f>RAND()</f>
        <v/>
      </c>
      <c r="AF2803">
        <f>RAND()</f>
        <v/>
      </c>
    </row>
    <row r="2804">
      <c r="M2804" s="14">
        <f>_xlfn.BETA.INV($AA2804,1+4*($D$5-$C$5)/($E$5-$C$5),1+4*($E$5-$D$5)/($E$5-$C$5),$C$5,$E$5)</f>
        <v/>
      </c>
      <c r="N2804" s="14">
        <f>IF($AB2804&lt;($D$6-$C$6)/($E$6-$C$6),$C$6+SQRT($AB2804*($E$6-$C$6)*($D$6-$C$6)),$E$6-SQRT((1-$AB2804)*($E$6-$C$6)*($E$6-$D$6)))</f>
        <v/>
      </c>
      <c r="O2804" s="14">
        <f>_xlfn.NORM.INV($AC2804,$C$7,$D$7)</f>
        <v/>
      </c>
      <c r="P2804" s="14">
        <f>$C$8+($D$8-$C$8)*$AD2804</f>
        <v/>
      </c>
      <c r="Q2804" s="14">
        <f>$C$9</f>
        <v/>
      </c>
      <c r="R2804" s="14">
        <f>_xlfn.LOGNORM.INV($AF2804,LN($C$10)-0.5*LN(1+($D$10/$C$10)^2),SQRT(LN(1+($D$10/$C$10)^2)))</f>
        <v/>
      </c>
      <c r="S2804" s="14">
        <f>SUM(M2804:R2804)</f>
        <v/>
      </c>
      <c r="AA2804">
        <f>RAND()</f>
        <v/>
      </c>
      <c r="AB2804">
        <f>RAND()</f>
        <v/>
      </c>
      <c r="AC2804">
        <f>RAND()</f>
        <v/>
      </c>
      <c r="AD2804">
        <f>RAND()</f>
        <v/>
      </c>
      <c r="AE2804">
        <f>RAND()</f>
        <v/>
      </c>
      <c r="AF2804">
        <f>RAND()</f>
        <v/>
      </c>
    </row>
    <row r="2805">
      <c r="M2805" s="14">
        <f>_xlfn.BETA.INV($AA2805,1+4*($D$5-$C$5)/($E$5-$C$5),1+4*($E$5-$D$5)/($E$5-$C$5),$C$5,$E$5)</f>
        <v/>
      </c>
      <c r="N2805" s="14">
        <f>IF($AB2805&lt;($D$6-$C$6)/($E$6-$C$6),$C$6+SQRT($AB2805*($E$6-$C$6)*($D$6-$C$6)),$E$6-SQRT((1-$AB2805)*($E$6-$C$6)*($E$6-$D$6)))</f>
        <v/>
      </c>
      <c r="O2805" s="14">
        <f>_xlfn.NORM.INV($AC2805,$C$7,$D$7)</f>
        <v/>
      </c>
      <c r="P2805" s="14">
        <f>$C$8+($D$8-$C$8)*$AD2805</f>
        <v/>
      </c>
      <c r="Q2805" s="14">
        <f>$C$9</f>
        <v/>
      </c>
      <c r="R2805" s="14">
        <f>_xlfn.LOGNORM.INV($AF2805,LN($C$10)-0.5*LN(1+($D$10/$C$10)^2),SQRT(LN(1+($D$10/$C$10)^2)))</f>
        <v/>
      </c>
      <c r="S2805" s="14">
        <f>SUM(M2805:R2805)</f>
        <v/>
      </c>
      <c r="AA2805">
        <f>RAND()</f>
        <v/>
      </c>
      <c r="AB2805">
        <f>RAND()</f>
        <v/>
      </c>
      <c r="AC2805">
        <f>RAND()</f>
        <v/>
      </c>
      <c r="AD2805">
        <f>RAND()</f>
        <v/>
      </c>
      <c r="AE2805">
        <f>RAND()</f>
        <v/>
      </c>
      <c r="AF2805">
        <f>RAND()</f>
        <v/>
      </c>
    </row>
    <row r="2806">
      <c r="M2806" s="14">
        <f>_xlfn.BETA.INV($AA2806,1+4*($D$5-$C$5)/($E$5-$C$5),1+4*($E$5-$D$5)/($E$5-$C$5),$C$5,$E$5)</f>
        <v/>
      </c>
      <c r="N2806" s="14">
        <f>IF($AB2806&lt;($D$6-$C$6)/($E$6-$C$6),$C$6+SQRT($AB2806*($E$6-$C$6)*($D$6-$C$6)),$E$6-SQRT((1-$AB2806)*($E$6-$C$6)*($E$6-$D$6)))</f>
        <v/>
      </c>
      <c r="O2806" s="14">
        <f>_xlfn.NORM.INV($AC2806,$C$7,$D$7)</f>
        <v/>
      </c>
      <c r="P2806" s="14">
        <f>$C$8+($D$8-$C$8)*$AD2806</f>
        <v/>
      </c>
      <c r="Q2806" s="14">
        <f>$C$9</f>
        <v/>
      </c>
      <c r="R2806" s="14">
        <f>_xlfn.LOGNORM.INV($AF2806,LN($C$10)-0.5*LN(1+($D$10/$C$10)^2),SQRT(LN(1+($D$10/$C$10)^2)))</f>
        <v/>
      </c>
      <c r="S2806" s="14">
        <f>SUM(M2806:R2806)</f>
        <v/>
      </c>
      <c r="AA2806">
        <f>RAND()</f>
        <v/>
      </c>
      <c r="AB2806">
        <f>RAND()</f>
        <v/>
      </c>
      <c r="AC2806">
        <f>RAND()</f>
        <v/>
      </c>
      <c r="AD2806">
        <f>RAND()</f>
        <v/>
      </c>
      <c r="AE2806">
        <f>RAND()</f>
        <v/>
      </c>
      <c r="AF2806">
        <f>RAND()</f>
        <v/>
      </c>
    </row>
    <row r="2807">
      <c r="M2807" s="14">
        <f>_xlfn.BETA.INV($AA2807,1+4*($D$5-$C$5)/($E$5-$C$5),1+4*($E$5-$D$5)/($E$5-$C$5),$C$5,$E$5)</f>
        <v/>
      </c>
      <c r="N2807" s="14">
        <f>IF($AB2807&lt;($D$6-$C$6)/($E$6-$C$6),$C$6+SQRT($AB2807*($E$6-$C$6)*($D$6-$C$6)),$E$6-SQRT((1-$AB2807)*($E$6-$C$6)*($E$6-$D$6)))</f>
        <v/>
      </c>
      <c r="O2807" s="14">
        <f>_xlfn.NORM.INV($AC2807,$C$7,$D$7)</f>
        <v/>
      </c>
      <c r="P2807" s="14">
        <f>$C$8+($D$8-$C$8)*$AD2807</f>
        <v/>
      </c>
      <c r="Q2807" s="14">
        <f>$C$9</f>
        <v/>
      </c>
      <c r="R2807" s="14">
        <f>_xlfn.LOGNORM.INV($AF2807,LN($C$10)-0.5*LN(1+($D$10/$C$10)^2),SQRT(LN(1+($D$10/$C$10)^2)))</f>
        <v/>
      </c>
      <c r="S2807" s="14">
        <f>SUM(M2807:R2807)</f>
        <v/>
      </c>
      <c r="AA2807">
        <f>RAND()</f>
        <v/>
      </c>
      <c r="AB2807">
        <f>RAND()</f>
        <v/>
      </c>
      <c r="AC2807">
        <f>RAND()</f>
        <v/>
      </c>
      <c r="AD2807">
        <f>RAND()</f>
        <v/>
      </c>
      <c r="AE2807">
        <f>RAND()</f>
        <v/>
      </c>
      <c r="AF2807">
        <f>RAND()</f>
        <v/>
      </c>
    </row>
    <row r="2808">
      <c r="M2808" s="14">
        <f>_xlfn.BETA.INV($AA2808,1+4*($D$5-$C$5)/($E$5-$C$5),1+4*($E$5-$D$5)/($E$5-$C$5),$C$5,$E$5)</f>
        <v/>
      </c>
      <c r="N2808" s="14">
        <f>IF($AB2808&lt;($D$6-$C$6)/($E$6-$C$6),$C$6+SQRT($AB2808*($E$6-$C$6)*($D$6-$C$6)),$E$6-SQRT((1-$AB2808)*($E$6-$C$6)*($E$6-$D$6)))</f>
        <v/>
      </c>
      <c r="O2808" s="14">
        <f>_xlfn.NORM.INV($AC2808,$C$7,$D$7)</f>
        <v/>
      </c>
      <c r="P2808" s="14">
        <f>$C$8+($D$8-$C$8)*$AD2808</f>
        <v/>
      </c>
      <c r="Q2808" s="14">
        <f>$C$9</f>
        <v/>
      </c>
      <c r="R2808" s="14">
        <f>_xlfn.LOGNORM.INV($AF2808,LN($C$10)-0.5*LN(1+($D$10/$C$10)^2),SQRT(LN(1+($D$10/$C$10)^2)))</f>
        <v/>
      </c>
      <c r="S2808" s="14">
        <f>SUM(M2808:R2808)</f>
        <v/>
      </c>
      <c r="AA2808">
        <f>RAND()</f>
        <v/>
      </c>
      <c r="AB2808">
        <f>RAND()</f>
        <v/>
      </c>
      <c r="AC2808">
        <f>RAND()</f>
        <v/>
      </c>
      <c r="AD2808">
        <f>RAND()</f>
        <v/>
      </c>
      <c r="AE2808">
        <f>RAND()</f>
        <v/>
      </c>
      <c r="AF2808">
        <f>RAND()</f>
        <v/>
      </c>
    </row>
    <row r="2809">
      <c r="M2809" s="14">
        <f>_xlfn.BETA.INV($AA2809,1+4*($D$5-$C$5)/($E$5-$C$5),1+4*($E$5-$D$5)/($E$5-$C$5),$C$5,$E$5)</f>
        <v/>
      </c>
      <c r="N2809" s="14">
        <f>IF($AB2809&lt;($D$6-$C$6)/($E$6-$C$6),$C$6+SQRT($AB2809*($E$6-$C$6)*($D$6-$C$6)),$E$6-SQRT((1-$AB2809)*($E$6-$C$6)*($E$6-$D$6)))</f>
        <v/>
      </c>
      <c r="O2809" s="14">
        <f>_xlfn.NORM.INV($AC2809,$C$7,$D$7)</f>
        <v/>
      </c>
      <c r="P2809" s="14">
        <f>$C$8+($D$8-$C$8)*$AD2809</f>
        <v/>
      </c>
      <c r="Q2809" s="14">
        <f>$C$9</f>
        <v/>
      </c>
      <c r="R2809" s="14">
        <f>_xlfn.LOGNORM.INV($AF2809,LN($C$10)-0.5*LN(1+($D$10/$C$10)^2),SQRT(LN(1+($D$10/$C$10)^2)))</f>
        <v/>
      </c>
      <c r="S2809" s="14">
        <f>SUM(M2809:R2809)</f>
        <v/>
      </c>
      <c r="AA2809">
        <f>RAND()</f>
        <v/>
      </c>
      <c r="AB2809">
        <f>RAND()</f>
        <v/>
      </c>
      <c r="AC2809">
        <f>RAND()</f>
        <v/>
      </c>
      <c r="AD2809">
        <f>RAND()</f>
        <v/>
      </c>
      <c r="AE2809">
        <f>RAND()</f>
        <v/>
      </c>
      <c r="AF2809">
        <f>RAND()</f>
        <v/>
      </c>
    </row>
    <row r="2810">
      <c r="M2810" s="14">
        <f>_xlfn.BETA.INV($AA2810,1+4*($D$5-$C$5)/($E$5-$C$5),1+4*($E$5-$D$5)/($E$5-$C$5),$C$5,$E$5)</f>
        <v/>
      </c>
      <c r="N2810" s="14">
        <f>IF($AB2810&lt;($D$6-$C$6)/($E$6-$C$6),$C$6+SQRT($AB2810*($E$6-$C$6)*($D$6-$C$6)),$E$6-SQRT((1-$AB2810)*($E$6-$C$6)*($E$6-$D$6)))</f>
        <v/>
      </c>
      <c r="O2810" s="14">
        <f>_xlfn.NORM.INV($AC2810,$C$7,$D$7)</f>
        <v/>
      </c>
      <c r="P2810" s="14">
        <f>$C$8+($D$8-$C$8)*$AD2810</f>
        <v/>
      </c>
      <c r="Q2810" s="14">
        <f>$C$9</f>
        <v/>
      </c>
      <c r="R2810" s="14">
        <f>_xlfn.LOGNORM.INV($AF2810,LN($C$10)-0.5*LN(1+($D$10/$C$10)^2),SQRT(LN(1+($D$10/$C$10)^2)))</f>
        <v/>
      </c>
      <c r="S2810" s="14">
        <f>SUM(M2810:R2810)</f>
        <v/>
      </c>
      <c r="AA2810">
        <f>RAND()</f>
        <v/>
      </c>
      <c r="AB2810">
        <f>RAND()</f>
        <v/>
      </c>
      <c r="AC2810">
        <f>RAND()</f>
        <v/>
      </c>
      <c r="AD2810">
        <f>RAND()</f>
        <v/>
      </c>
      <c r="AE2810">
        <f>RAND()</f>
        <v/>
      </c>
      <c r="AF2810">
        <f>RAND()</f>
        <v/>
      </c>
    </row>
    <row r="2811">
      <c r="M2811" s="14">
        <f>_xlfn.BETA.INV($AA2811,1+4*($D$5-$C$5)/($E$5-$C$5),1+4*($E$5-$D$5)/($E$5-$C$5),$C$5,$E$5)</f>
        <v/>
      </c>
      <c r="N2811" s="14">
        <f>IF($AB2811&lt;($D$6-$C$6)/($E$6-$C$6),$C$6+SQRT($AB2811*($E$6-$C$6)*($D$6-$C$6)),$E$6-SQRT((1-$AB2811)*($E$6-$C$6)*($E$6-$D$6)))</f>
        <v/>
      </c>
      <c r="O2811" s="14">
        <f>_xlfn.NORM.INV($AC2811,$C$7,$D$7)</f>
        <v/>
      </c>
      <c r="P2811" s="14">
        <f>$C$8+($D$8-$C$8)*$AD2811</f>
        <v/>
      </c>
      <c r="Q2811" s="14">
        <f>$C$9</f>
        <v/>
      </c>
      <c r="R2811" s="14">
        <f>_xlfn.LOGNORM.INV($AF2811,LN($C$10)-0.5*LN(1+($D$10/$C$10)^2),SQRT(LN(1+($D$10/$C$10)^2)))</f>
        <v/>
      </c>
      <c r="S2811" s="14">
        <f>SUM(M2811:R2811)</f>
        <v/>
      </c>
      <c r="AA2811">
        <f>RAND()</f>
        <v/>
      </c>
      <c r="AB2811">
        <f>RAND()</f>
        <v/>
      </c>
      <c r="AC2811">
        <f>RAND()</f>
        <v/>
      </c>
      <c r="AD2811">
        <f>RAND()</f>
        <v/>
      </c>
      <c r="AE2811">
        <f>RAND()</f>
        <v/>
      </c>
      <c r="AF2811">
        <f>RAND()</f>
        <v/>
      </c>
    </row>
    <row r="2812">
      <c r="M2812" s="14">
        <f>_xlfn.BETA.INV($AA2812,1+4*($D$5-$C$5)/($E$5-$C$5),1+4*($E$5-$D$5)/($E$5-$C$5),$C$5,$E$5)</f>
        <v/>
      </c>
      <c r="N2812" s="14">
        <f>IF($AB2812&lt;($D$6-$C$6)/($E$6-$C$6),$C$6+SQRT($AB2812*($E$6-$C$6)*($D$6-$C$6)),$E$6-SQRT((1-$AB2812)*($E$6-$C$6)*($E$6-$D$6)))</f>
        <v/>
      </c>
      <c r="O2812" s="14">
        <f>_xlfn.NORM.INV($AC2812,$C$7,$D$7)</f>
        <v/>
      </c>
      <c r="P2812" s="14">
        <f>$C$8+($D$8-$C$8)*$AD2812</f>
        <v/>
      </c>
      <c r="Q2812" s="14">
        <f>$C$9</f>
        <v/>
      </c>
      <c r="R2812" s="14">
        <f>_xlfn.LOGNORM.INV($AF2812,LN($C$10)-0.5*LN(1+($D$10/$C$10)^2),SQRT(LN(1+($D$10/$C$10)^2)))</f>
        <v/>
      </c>
      <c r="S2812" s="14">
        <f>SUM(M2812:R2812)</f>
        <v/>
      </c>
      <c r="AA2812">
        <f>RAND()</f>
        <v/>
      </c>
      <c r="AB2812">
        <f>RAND()</f>
        <v/>
      </c>
      <c r="AC2812">
        <f>RAND()</f>
        <v/>
      </c>
      <c r="AD2812">
        <f>RAND()</f>
        <v/>
      </c>
      <c r="AE2812">
        <f>RAND()</f>
        <v/>
      </c>
      <c r="AF2812">
        <f>RAND()</f>
        <v/>
      </c>
    </row>
    <row r="2813">
      <c r="M2813" s="14">
        <f>_xlfn.BETA.INV($AA2813,1+4*($D$5-$C$5)/($E$5-$C$5),1+4*($E$5-$D$5)/($E$5-$C$5),$C$5,$E$5)</f>
        <v/>
      </c>
      <c r="N2813" s="14">
        <f>IF($AB2813&lt;($D$6-$C$6)/($E$6-$C$6),$C$6+SQRT($AB2813*($E$6-$C$6)*($D$6-$C$6)),$E$6-SQRT((1-$AB2813)*($E$6-$C$6)*($E$6-$D$6)))</f>
        <v/>
      </c>
      <c r="O2813" s="14">
        <f>_xlfn.NORM.INV($AC2813,$C$7,$D$7)</f>
        <v/>
      </c>
      <c r="P2813" s="14">
        <f>$C$8+($D$8-$C$8)*$AD2813</f>
        <v/>
      </c>
      <c r="Q2813" s="14">
        <f>$C$9</f>
        <v/>
      </c>
      <c r="R2813" s="14">
        <f>_xlfn.LOGNORM.INV($AF2813,LN($C$10)-0.5*LN(1+($D$10/$C$10)^2),SQRT(LN(1+($D$10/$C$10)^2)))</f>
        <v/>
      </c>
      <c r="S2813" s="14">
        <f>SUM(M2813:R2813)</f>
        <v/>
      </c>
      <c r="AA2813">
        <f>RAND()</f>
        <v/>
      </c>
      <c r="AB2813">
        <f>RAND()</f>
        <v/>
      </c>
      <c r="AC2813">
        <f>RAND()</f>
        <v/>
      </c>
      <c r="AD2813">
        <f>RAND()</f>
        <v/>
      </c>
      <c r="AE2813">
        <f>RAND()</f>
        <v/>
      </c>
      <c r="AF2813">
        <f>RAND()</f>
        <v/>
      </c>
    </row>
    <row r="2814">
      <c r="M2814" s="14">
        <f>_xlfn.BETA.INV($AA2814,1+4*($D$5-$C$5)/($E$5-$C$5),1+4*($E$5-$D$5)/($E$5-$C$5),$C$5,$E$5)</f>
        <v/>
      </c>
      <c r="N2814" s="14">
        <f>IF($AB2814&lt;($D$6-$C$6)/($E$6-$C$6),$C$6+SQRT($AB2814*($E$6-$C$6)*($D$6-$C$6)),$E$6-SQRT((1-$AB2814)*($E$6-$C$6)*($E$6-$D$6)))</f>
        <v/>
      </c>
      <c r="O2814" s="14">
        <f>_xlfn.NORM.INV($AC2814,$C$7,$D$7)</f>
        <v/>
      </c>
      <c r="P2814" s="14">
        <f>$C$8+($D$8-$C$8)*$AD2814</f>
        <v/>
      </c>
      <c r="Q2814" s="14">
        <f>$C$9</f>
        <v/>
      </c>
      <c r="R2814" s="14">
        <f>_xlfn.LOGNORM.INV($AF2814,LN($C$10)-0.5*LN(1+($D$10/$C$10)^2),SQRT(LN(1+($D$10/$C$10)^2)))</f>
        <v/>
      </c>
      <c r="S2814" s="14">
        <f>SUM(M2814:R2814)</f>
        <v/>
      </c>
      <c r="AA2814">
        <f>RAND()</f>
        <v/>
      </c>
      <c r="AB2814">
        <f>RAND()</f>
        <v/>
      </c>
      <c r="AC2814">
        <f>RAND()</f>
        <v/>
      </c>
      <c r="AD2814">
        <f>RAND()</f>
        <v/>
      </c>
      <c r="AE2814">
        <f>RAND()</f>
        <v/>
      </c>
      <c r="AF2814">
        <f>RAND()</f>
        <v/>
      </c>
    </row>
    <row r="2815">
      <c r="M2815" s="14">
        <f>_xlfn.BETA.INV($AA2815,1+4*($D$5-$C$5)/($E$5-$C$5),1+4*($E$5-$D$5)/($E$5-$C$5),$C$5,$E$5)</f>
        <v/>
      </c>
      <c r="N2815" s="14">
        <f>IF($AB2815&lt;($D$6-$C$6)/($E$6-$C$6),$C$6+SQRT($AB2815*($E$6-$C$6)*($D$6-$C$6)),$E$6-SQRT((1-$AB2815)*($E$6-$C$6)*($E$6-$D$6)))</f>
        <v/>
      </c>
      <c r="O2815" s="14">
        <f>_xlfn.NORM.INV($AC2815,$C$7,$D$7)</f>
        <v/>
      </c>
      <c r="P2815" s="14">
        <f>$C$8+($D$8-$C$8)*$AD2815</f>
        <v/>
      </c>
      <c r="Q2815" s="14">
        <f>$C$9</f>
        <v/>
      </c>
      <c r="R2815" s="14">
        <f>_xlfn.LOGNORM.INV($AF2815,LN($C$10)-0.5*LN(1+($D$10/$C$10)^2),SQRT(LN(1+($D$10/$C$10)^2)))</f>
        <v/>
      </c>
      <c r="S2815" s="14">
        <f>SUM(M2815:R2815)</f>
        <v/>
      </c>
      <c r="AA2815">
        <f>RAND()</f>
        <v/>
      </c>
      <c r="AB2815">
        <f>RAND()</f>
        <v/>
      </c>
      <c r="AC2815">
        <f>RAND()</f>
        <v/>
      </c>
      <c r="AD2815">
        <f>RAND()</f>
        <v/>
      </c>
      <c r="AE2815">
        <f>RAND()</f>
        <v/>
      </c>
      <c r="AF2815">
        <f>RAND()</f>
        <v/>
      </c>
    </row>
    <row r="2816">
      <c r="M2816" s="14">
        <f>_xlfn.BETA.INV($AA2816,1+4*($D$5-$C$5)/($E$5-$C$5),1+4*($E$5-$D$5)/($E$5-$C$5),$C$5,$E$5)</f>
        <v/>
      </c>
      <c r="N2816" s="14">
        <f>IF($AB2816&lt;($D$6-$C$6)/($E$6-$C$6),$C$6+SQRT($AB2816*($E$6-$C$6)*($D$6-$C$6)),$E$6-SQRT((1-$AB2816)*($E$6-$C$6)*($E$6-$D$6)))</f>
        <v/>
      </c>
      <c r="O2816" s="14">
        <f>_xlfn.NORM.INV($AC2816,$C$7,$D$7)</f>
        <v/>
      </c>
      <c r="P2816" s="14">
        <f>$C$8+($D$8-$C$8)*$AD2816</f>
        <v/>
      </c>
      <c r="Q2816" s="14">
        <f>$C$9</f>
        <v/>
      </c>
      <c r="R2816" s="14">
        <f>_xlfn.LOGNORM.INV($AF2816,LN($C$10)-0.5*LN(1+($D$10/$C$10)^2),SQRT(LN(1+($D$10/$C$10)^2)))</f>
        <v/>
      </c>
      <c r="S2816" s="14">
        <f>SUM(M2816:R2816)</f>
        <v/>
      </c>
      <c r="AA2816">
        <f>RAND()</f>
        <v/>
      </c>
      <c r="AB2816">
        <f>RAND()</f>
        <v/>
      </c>
      <c r="AC2816">
        <f>RAND()</f>
        <v/>
      </c>
      <c r="AD2816">
        <f>RAND()</f>
        <v/>
      </c>
      <c r="AE2816">
        <f>RAND()</f>
        <v/>
      </c>
      <c r="AF2816">
        <f>RAND()</f>
        <v/>
      </c>
    </row>
    <row r="2817">
      <c r="M2817" s="14">
        <f>_xlfn.BETA.INV($AA2817,1+4*($D$5-$C$5)/($E$5-$C$5),1+4*($E$5-$D$5)/($E$5-$C$5),$C$5,$E$5)</f>
        <v/>
      </c>
      <c r="N2817" s="14">
        <f>IF($AB2817&lt;($D$6-$C$6)/($E$6-$C$6),$C$6+SQRT($AB2817*($E$6-$C$6)*($D$6-$C$6)),$E$6-SQRT((1-$AB2817)*($E$6-$C$6)*($E$6-$D$6)))</f>
        <v/>
      </c>
      <c r="O2817" s="14">
        <f>_xlfn.NORM.INV($AC2817,$C$7,$D$7)</f>
        <v/>
      </c>
      <c r="P2817" s="14">
        <f>$C$8+($D$8-$C$8)*$AD2817</f>
        <v/>
      </c>
      <c r="Q2817" s="14">
        <f>$C$9</f>
        <v/>
      </c>
      <c r="R2817" s="14">
        <f>_xlfn.LOGNORM.INV($AF2817,LN($C$10)-0.5*LN(1+($D$10/$C$10)^2),SQRT(LN(1+($D$10/$C$10)^2)))</f>
        <v/>
      </c>
      <c r="S2817" s="14">
        <f>SUM(M2817:R2817)</f>
        <v/>
      </c>
      <c r="AA2817">
        <f>RAND()</f>
        <v/>
      </c>
      <c r="AB2817">
        <f>RAND()</f>
        <v/>
      </c>
      <c r="AC2817">
        <f>RAND()</f>
        <v/>
      </c>
      <c r="AD2817">
        <f>RAND()</f>
        <v/>
      </c>
      <c r="AE2817">
        <f>RAND()</f>
        <v/>
      </c>
      <c r="AF2817">
        <f>RAND()</f>
        <v/>
      </c>
    </row>
    <row r="2818">
      <c r="M2818" s="14">
        <f>_xlfn.BETA.INV($AA2818,1+4*($D$5-$C$5)/($E$5-$C$5),1+4*($E$5-$D$5)/($E$5-$C$5),$C$5,$E$5)</f>
        <v/>
      </c>
      <c r="N2818" s="14">
        <f>IF($AB2818&lt;($D$6-$C$6)/($E$6-$C$6),$C$6+SQRT($AB2818*($E$6-$C$6)*($D$6-$C$6)),$E$6-SQRT((1-$AB2818)*($E$6-$C$6)*($E$6-$D$6)))</f>
        <v/>
      </c>
      <c r="O2818" s="14">
        <f>_xlfn.NORM.INV($AC2818,$C$7,$D$7)</f>
        <v/>
      </c>
      <c r="P2818" s="14">
        <f>$C$8+($D$8-$C$8)*$AD2818</f>
        <v/>
      </c>
      <c r="Q2818" s="14">
        <f>$C$9</f>
        <v/>
      </c>
      <c r="R2818" s="14">
        <f>_xlfn.LOGNORM.INV($AF2818,LN($C$10)-0.5*LN(1+($D$10/$C$10)^2),SQRT(LN(1+($D$10/$C$10)^2)))</f>
        <v/>
      </c>
      <c r="S2818" s="14">
        <f>SUM(M2818:R2818)</f>
        <v/>
      </c>
      <c r="AA2818">
        <f>RAND()</f>
        <v/>
      </c>
      <c r="AB2818">
        <f>RAND()</f>
        <v/>
      </c>
      <c r="AC2818">
        <f>RAND()</f>
        <v/>
      </c>
      <c r="AD2818">
        <f>RAND()</f>
        <v/>
      </c>
      <c r="AE2818">
        <f>RAND()</f>
        <v/>
      </c>
      <c r="AF2818">
        <f>RAND()</f>
        <v/>
      </c>
    </row>
    <row r="2819">
      <c r="M2819" s="14">
        <f>_xlfn.BETA.INV($AA2819,1+4*($D$5-$C$5)/($E$5-$C$5),1+4*($E$5-$D$5)/($E$5-$C$5),$C$5,$E$5)</f>
        <v/>
      </c>
      <c r="N2819" s="14">
        <f>IF($AB2819&lt;($D$6-$C$6)/($E$6-$C$6),$C$6+SQRT($AB2819*($E$6-$C$6)*($D$6-$C$6)),$E$6-SQRT((1-$AB2819)*($E$6-$C$6)*($E$6-$D$6)))</f>
        <v/>
      </c>
      <c r="O2819" s="14">
        <f>_xlfn.NORM.INV($AC2819,$C$7,$D$7)</f>
        <v/>
      </c>
      <c r="P2819" s="14">
        <f>$C$8+($D$8-$C$8)*$AD2819</f>
        <v/>
      </c>
      <c r="Q2819" s="14">
        <f>$C$9</f>
        <v/>
      </c>
      <c r="R2819" s="14">
        <f>_xlfn.LOGNORM.INV($AF2819,LN($C$10)-0.5*LN(1+($D$10/$C$10)^2),SQRT(LN(1+($D$10/$C$10)^2)))</f>
        <v/>
      </c>
      <c r="S2819" s="14">
        <f>SUM(M2819:R2819)</f>
        <v/>
      </c>
      <c r="AA2819">
        <f>RAND()</f>
        <v/>
      </c>
      <c r="AB2819">
        <f>RAND()</f>
        <v/>
      </c>
      <c r="AC2819">
        <f>RAND()</f>
        <v/>
      </c>
      <c r="AD2819">
        <f>RAND()</f>
        <v/>
      </c>
      <c r="AE2819">
        <f>RAND()</f>
        <v/>
      </c>
      <c r="AF2819">
        <f>RAND()</f>
        <v/>
      </c>
    </row>
    <row r="2820">
      <c r="M2820" s="14">
        <f>_xlfn.BETA.INV($AA2820,1+4*($D$5-$C$5)/($E$5-$C$5),1+4*($E$5-$D$5)/($E$5-$C$5),$C$5,$E$5)</f>
        <v/>
      </c>
      <c r="N2820" s="14">
        <f>IF($AB2820&lt;($D$6-$C$6)/($E$6-$C$6),$C$6+SQRT($AB2820*($E$6-$C$6)*($D$6-$C$6)),$E$6-SQRT((1-$AB2820)*($E$6-$C$6)*($E$6-$D$6)))</f>
        <v/>
      </c>
      <c r="O2820" s="14">
        <f>_xlfn.NORM.INV($AC2820,$C$7,$D$7)</f>
        <v/>
      </c>
      <c r="P2820" s="14">
        <f>$C$8+($D$8-$C$8)*$AD2820</f>
        <v/>
      </c>
      <c r="Q2820" s="14">
        <f>$C$9</f>
        <v/>
      </c>
      <c r="R2820" s="14">
        <f>_xlfn.LOGNORM.INV($AF2820,LN($C$10)-0.5*LN(1+($D$10/$C$10)^2),SQRT(LN(1+($D$10/$C$10)^2)))</f>
        <v/>
      </c>
      <c r="S2820" s="14">
        <f>SUM(M2820:R2820)</f>
        <v/>
      </c>
      <c r="AA2820">
        <f>RAND()</f>
        <v/>
      </c>
      <c r="AB2820">
        <f>RAND()</f>
        <v/>
      </c>
      <c r="AC2820">
        <f>RAND()</f>
        <v/>
      </c>
      <c r="AD2820">
        <f>RAND()</f>
        <v/>
      </c>
      <c r="AE2820">
        <f>RAND()</f>
        <v/>
      </c>
      <c r="AF2820">
        <f>RAND()</f>
        <v/>
      </c>
    </row>
    <row r="2821">
      <c r="M2821" s="14">
        <f>_xlfn.BETA.INV($AA2821,1+4*($D$5-$C$5)/($E$5-$C$5),1+4*($E$5-$D$5)/($E$5-$C$5),$C$5,$E$5)</f>
        <v/>
      </c>
      <c r="N2821" s="14">
        <f>IF($AB2821&lt;($D$6-$C$6)/($E$6-$C$6),$C$6+SQRT($AB2821*($E$6-$C$6)*($D$6-$C$6)),$E$6-SQRT((1-$AB2821)*($E$6-$C$6)*($E$6-$D$6)))</f>
        <v/>
      </c>
      <c r="O2821" s="14">
        <f>_xlfn.NORM.INV($AC2821,$C$7,$D$7)</f>
        <v/>
      </c>
      <c r="P2821" s="14">
        <f>$C$8+($D$8-$C$8)*$AD2821</f>
        <v/>
      </c>
      <c r="Q2821" s="14">
        <f>$C$9</f>
        <v/>
      </c>
      <c r="R2821" s="14">
        <f>_xlfn.LOGNORM.INV($AF2821,LN($C$10)-0.5*LN(1+($D$10/$C$10)^2),SQRT(LN(1+($D$10/$C$10)^2)))</f>
        <v/>
      </c>
      <c r="S2821" s="14">
        <f>SUM(M2821:R2821)</f>
        <v/>
      </c>
      <c r="AA2821">
        <f>RAND()</f>
        <v/>
      </c>
      <c r="AB2821">
        <f>RAND()</f>
        <v/>
      </c>
      <c r="AC2821">
        <f>RAND()</f>
        <v/>
      </c>
      <c r="AD2821">
        <f>RAND()</f>
        <v/>
      </c>
      <c r="AE2821">
        <f>RAND()</f>
        <v/>
      </c>
      <c r="AF2821">
        <f>RAND()</f>
        <v/>
      </c>
    </row>
    <row r="2822">
      <c r="M2822" s="14">
        <f>_xlfn.BETA.INV($AA2822,1+4*($D$5-$C$5)/($E$5-$C$5),1+4*($E$5-$D$5)/($E$5-$C$5),$C$5,$E$5)</f>
        <v/>
      </c>
      <c r="N2822" s="14">
        <f>IF($AB2822&lt;($D$6-$C$6)/($E$6-$C$6),$C$6+SQRT($AB2822*($E$6-$C$6)*($D$6-$C$6)),$E$6-SQRT((1-$AB2822)*($E$6-$C$6)*($E$6-$D$6)))</f>
        <v/>
      </c>
      <c r="O2822" s="14">
        <f>_xlfn.NORM.INV($AC2822,$C$7,$D$7)</f>
        <v/>
      </c>
      <c r="P2822" s="14">
        <f>$C$8+($D$8-$C$8)*$AD2822</f>
        <v/>
      </c>
      <c r="Q2822" s="14">
        <f>$C$9</f>
        <v/>
      </c>
      <c r="R2822" s="14">
        <f>_xlfn.LOGNORM.INV($AF2822,LN($C$10)-0.5*LN(1+($D$10/$C$10)^2),SQRT(LN(1+($D$10/$C$10)^2)))</f>
        <v/>
      </c>
      <c r="S2822" s="14">
        <f>SUM(M2822:R2822)</f>
        <v/>
      </c>
      <c r="AA2822">
        <f>RAND()</f>
        <v/>
      </c>
      <c r="AB2822">
        <f>RAND()</f>
        <v/>
      </c>
      <c r="AC2822">
        <f>RAND()</f>
        <v/>
      </c>
      <c r="AD2822">
        <f>RAND()</f>
        <v/>
      </c>
      <c r="AE2822">
        <f>RAND()</f>
        <v/>
      </c>
      <c r="AF2822">
        <f>RAND()</f>
        <v/>
      </c>
    </row>
    <row r="2823">
      <c r="M2823" s="14">
        <f>_xlfn.BETA.INV($AA2823,1+4*($D$5-$C$5)/($E$5-$C$5),1+4*($E$5-$D$5)/($E$5-$C$5),$C$5,$E$5)</f>
        <v/>
      </c>
      <c r="N2823" s="14">
        <f>IF($AB2823&lt;($D$6-$C$6)/($E$6-$C$6),$C$6+SQRT($AB2823*($E$6-$C$6)*($D$6-$C$6)),$E$6-SQRT((1-$AB2823)*($E$6-$C$6)*($E$6-$D$6)))</f>
        <v/>
      </c>
      <c r="O2823" s="14">
        <f>_xlfn.NORM.INV($AC2823,$C$7,$D$7)</f>
        <v/>
      </c>
      <c r="P2823" s="14">
        <f>$C$8+($D$8-$C$8)*$AD2823</f>
        <v/>
      </c>
      <c r="Q2823" s="14">
        <f>$C$9</f>
        <v/>
      </c>
      <c r="R2823" s="14">
        <f>_xlfn.LOGNORM.INV($AF2823,LN($C$10)-0.5*LN(1+($D$10/$C$10)^2),SQRT(LN(1+($D$10/$C$10)^2)))</f>
        <v/>
      </c>
      <c r="S2823" s="14">
        <f>SUM(M2823:R2823)</f>
        <v/>
      </c>
      <c r="AA2823">
        <f>RAND()</f>
        <v/>
      </c>
      <c r="AB2823">
        <f>RAND()</f>
        <v/>
      </c>
      <c r="AC2823">
        <f>RAND()</f>
        <v/>
      </c>
      <c r="AD2823">
        <f>RAND()</f>
        <v/>
      </c>
      <c r="AE2823">
        <f>RAND()</f>
        <v/>
      </c>
      <c r="AF2823">
        <f>RAND()</f>
        <v/>
      </c>
    </row>
    <row r="2824">
      <c r="M2824" s="14">
        <f>_xlfn.BETA.INV($AA2824,1+4*($D$5-$C$5)/($E$5-$C$5),1+4*($E$5-$D$5)/($E$5-$C$5),$C$5,$E$5)</f>
        <v/>
      </c>
      <c r="N2824" s="14">
        <f>IF($AB2824&lt;($D$6-$C$6)/($E$6-$C$6),$C$6+SQRT($AB2824*($E$6-$C$6)*($D$6-$C$6)),$E$6-SQRT((1-$AB2824)*($E$6-$C$6)*($E$6-$D$6)))</f>
        <v/>
      </c>
      <c r="O2824" s="14">
        <f>_xlfn.NORM.INV($AC2824,$C$7,$D$7)</f>
        <v/>
      </c>
      <c r="P2824" s="14">
        <f>$C$8+($D$8-$C$8)*$AD2824</f>
        <v/>
      </c>
      <c r="Q2824" s="14">
        <f>$C$9</f>
        <v/>
      </c>
      <c r="R2824" s="14">
        <f>_xlfn.LOGNORM.INV($AF2824,LN($C$10)-0.5*LN(1+($D$10/$C$10)^2),SQRT(LN(1+($D$10/$C$10)^2)))</f>
        <v/>
      </c>
      <c r="S2824" s="14">
        <f>SUM(M2824:R2824)</f>
        <v/>
      </c>
      <c r="AA2824">
        <f>RAND()</f>
        <v/>
      </c>
      <c r="AB2824">
        <f>RAND()</f>
        <v/>
      </c>
      <c r="AC2824">
        <f>RAND()</f>
        <v/>
      </c>
      <c r="AD2824">
        <f>RAND()</f>
        <v/>
      </c>
      <c r="AE2824">
        <f>RAND()</f>
        <v/>
      </c>
      <c r="AF2824">
        <f>RAND()</f>
        <v/>
      </c>
    </row>
    <row r="2825">
      <c r="M2825" s="14">
        <f>_xlfn.BETA.INV($AA2825,1+4*($D$5-$C$5)/($E$5-$C$5),1+4*($E$5-$D$5)/($E$5-$C$5),$C$5,$E$5)</f>
        <v/>
      </c>
      <c r="N2825" s="14">
        <f>IF($AB2825&lt;($D$6-$C$6)/($E$6-$C$6),$C$6+SQRT($AB2825*($E$6-$C$6)*($D$6-$C$6)),$E$6-SQRT((1-$AB2825)*($E$6-$C$6)*($E$6-$D$6)))</f>
        <v/>
      </c>
      <c r="O2825" s="14">
        <f>_xlfn.NORM.INV($AC2825,$C$7,$D$7)</f>
        <v/>
      </c>
      <c r="P2825" s="14">
        <f>$C$8+($D$8-$C$8)*$AD2825</f>
        <v/>
      </c>
      <c r="Q2825" s="14">
        <f>$C$9</f>
        <v/>
      </c>
      <c r="R2825" s="14">
        <f>_xlfn.LOGNORM.INV($AF2825,LN($C$10)-0.5*LN(1+($D$10/$C$10)^2),SQRT(LN(1+($D$10/$C$10)^2)))</f>
        <v/>
      </c>
      <c r="S2825" s="14">
        <f>SUM(M2825:R2825)</f>
        <v/>
      </c>
      <c r="AA2825">
        <f>RAND()</f>
        <v/>
      </c>
      <c r="AB2825">
        <f>RAND()</f>
        <v/>
      </c>
      <c r="AC2825">
        <f>RAND()</f>
        <v/>
      </c>
      <c r="AD2825">
        <f>RAND()</f>
        <v/>
      </c>
      <c r="AE2825">
        <f>RAND()</f>
        <v/>
      </c>
      <c r="AF2825">
        <f>RAND()</f>
        <v/>
      </c>
    </row>
    <row r="2826">
      <c r="M2826" s="14">
        <f>_xlfn.BETA.INV($AA2826,1+4*($D$5-$C$5)/($E$5-$C$5),1+4*($E$5-$D$5)/($E$5-$C$5),$C$5,$E$5)</f>
        <v/>
      </c>
      <c r="N2826" s="14">
        <f>IF($AB2826&lt;($D$6-$C$6)/($E$6-$C$6),$C$6+SQRT($AB2826*($E$6-$C$6)*($D$6-$C$6)),$E$6-SQRT((1-$AB2826)*($E$6-$C$6)*($E$6-$D$6)))</f>
        <v/>
      </c>
      <c r="O2826" s="14">
        <f>_xlfn.NORM.INV($AC2826,$C$7,$D$7)</f>
        <v/>
      </c>
      <c r="P2826" s="14">
        <f>$C$8+($D$8-$C$8)*$AD2826</f>
        <v/>
      </c>
      <c r="Q2826" s="14">
        <f>$C$9</f>
        <v/>
      </c>
      <c r="R2826" s="14">
        <f>_xlfn.LOGNORM.INV($AF2826,LN($C$10)-0.5*LN(1+($D$10/$C$10)^2),SQRT(LN(1+($D$10/$C$10)^2)))</f>
        <v/>
      </c>
      <c r="S2826" s="14">
        <f>SUM(M2826:R2826)</f>
        <v/>
      </c>
      <c r="AA2826">
        <f>RAND()</f>
        <v/>
      </c>
      <c r="AB2826">
        <f>RAND()</f>
        <v/>
      </c>
      <c r="AC2826">
        <f>RAND()</f>
        <v/>
      </c>
      <c r="AD2826">
        <f>RAND()</f>
        <v/>
      </c>
      <c r="AE2826">
        <f>RAND()</f>
        <v/>
      </c>
      <c r="AF2826">
        <f>RAND()</f>
        <v/>
      </c>
    </row>
    <row r="2827">
      <c r="M2827" s="14">
        <f>_xlfn.BETA.INV($AA2827,1+4*($D$5-$C$5)/($E$5-$C$5),1+4*($E$5-$D$5)/($E$5-$C$5),$C$5,$E$5)</f>
        <v/>
      </c>
      <c r="N2827" s="14">
        <f>IF($AB2827&lt;($D$6-$C$6)/($E$6-$C$6),$C$6+SQRT($AB2827*($E$6-$C$6)*($D$6-$C$6)),$E$6-SQRT((1-$AB2827)*($E$6-$C$6)*($E$6-$D$6)))</f>
        <v/>
      </c>
      <c r="O2827" s="14">
        <f>_xlfn.NORM.INV($AC2827,$C$7,$D$7)</f>
        <v/>
      </c>
      <c r="P2827" s="14">
        <f>$C$8+($D$8-$C$8)*$AD2827</f>
        <v/>
      </c>
      <c r="Q2827" s="14">
        <f>$C$9</f>
        <v/>
      </c>
      <c r="R2827" s="14">
        <f>_xlfn.LOGNORM.INV($AF2827,LN($C$10)-0.5*LN(1+($D$10/$C$10)^2),SQRT(LN(1+($D$10/$C$10)^2)))</f>
        <v/>
      </c>
      <c r="S2827" s="14">
        <f>SUM(M2827:R2827)</f>
        <v/>
      </c>
      <c r="AA2827">
        <f>RAND()</f>
        <v/>
      </c>
      <c r="AB2827">
        <f>RAND()</f>
        <v/>
      </c>
      <c r="AC2827">
        <f>RAND()</f>
        <v/>
      </c>
      <c r="AD2827">
        <f>RAND()</f>
        <v/>
      </c>
      <c r="AE2827">
        <f>RAND()</f>
        <v/>
      </c>
      <c r="AF2827">
        <f>RAND()</f>
        <v/>
      </c>
    </row>
    <row r="2828">
      <c r="M2828" s="14">
        <f>_xlfn.BETA.INV($AA2828,1+4*($D$5-$C$5)/($E$5-$C$5),1+4*($E$5-$D$5)/($E$5-$C$5),$C$5,$E$5)</f>
        <v/>
      </c>
      <c r="N2828" s="14">
        <f>IF($AB2828&lt;($D$6-$C$6)/($E$6-$C$6),$C$6+SQRT($AB2828*($E$6-$C$6)*($D$6-$C$6)),$E$6-SQRT((1-$AB2828)*($E$6-$C$6)*($E$6-$D$6)))</f>
        <v/>
      </c>
      <c r="O2828" s="14">
        <f>_xlfn.NORM.INV($AC2828,$C$7,$D$7)</f>
        <v/>
      </c>
      <c r="P2828" s="14">
        <f>$C$8+($D$8-$C$8)*$AD2828</f>
        <v/>
      </c>
      <c r="Q2828" s="14">
        <f>$C$9</f>
        <v/>
      </c>
      <c r="R2828" s="14">
        <f>_xlfn.LOGNORM.INV($AF2828,LN($C$10)-0.5*LN(1+($D$10/$C$10)^2),SQRT(LN(1+($D$10/$C$10)^2)))</f>
        <v/>
      </c>
      <c r="S2828" s="14">
        <f>SUM(M2828:R2828)</f>
        <v/>
      </c>
      <c r="AA2828">
        <f>RAND()</f>
        <v/>
      </c>
      <c r="AB2828">
        <f>RAND()</f>
        <v/>
      </c>
      <c r="AC2828">
        <f>RAND()</f>
        <v/>
      </c>
      <c r="AD2828">
        <f>RAND()</f>
        <v/>
      </c>
      <c r="AE2828">
        <f>RAND()</f>
        <v/>
      </c>
      <c r="AF2828">
        <f>RAND()</f>
        <v/>
      </c>
    </row>
    <row r="2829">
      <c r="M2829" s="14">
        <f>_xlfn.BETA.INV($AA2829,1+4*($D$5-$C$5)/($E$5-$C$5),1+4*($E$5-$D$5)/($E$5-$C$5),$C$5,$E$5)</f>
        <v/>
      </c>
      <c r="N2829" s="14">
        <f>IF($AB2829&lt;($D$6-$C$6)/($E$6-$C$6),$C$6+SQRT($AB2829*($E$6-$C$6)*($D$6-$C$6)),$E$6-SQRT((1-$AB2829)*($E$6-$C$6)*($E$6-$D$6)))</f>
        <v/>
      </c>
      <c r="O2829" s="14">
        <f>_xlfn.NORM.INV($AC2829,$C$7,$D$7)</f>
        <v/>
      </c>
      <c r="P2829" s="14">
        <f>$C$8+($D$8-$C$8)*$AD2829</f>
        <v/>
      </c>
      <c r="Q2829" s="14">
        <f>$C$9</f>
        <v/>
      </c>
      <c r="R2829" s="14">
        <f>_xlfn.LOGNORM.INV($AF2829,LN($C$10)-0.5*LN(1+($D$10/$C$10)^2),SQRT(LN(1+($D$10/$C$10)^2)))</f>
        <v/>
      </c>
      <c r="S2829" s="14">
        <f>SUM(M2829:R2829)</f>
        <v/>
      </c>
      <c r="AA2829">
        <f>RAND()</f>
        <v/>
      </c>
      <c r="AB2829">
        <f>RAND()</f>
        <v/>
      </c>
      <c r="AC2829">
        <f>RAND()</f>
        <v/>
      </c>
      <c r="AD2829">
        <f>RAND()</f>
        <v/>
      </c>
      <c r="AE2829">
        <f>RAND()</f>
        <v/>
      </c>
      <c r="AF2829">
        <f>RAND()</f>
        <v/>
      </c>
    </row>
    <row r="2830">
      <c r="M2830" s="14">
        <f>_xlfn.BETA.INV($AA2830,1+4*($D$5-$C$5)/($E$5-$C$5),1+4*($E$5-$D$5)/($E$5-$C$5),$C$5,$E$5)</f>
        <v/>
      </c>
      <c r="N2830" s="14">
        <f>IF($AB2830&lt;($D$6-$C$6)/($E$6-$C$6),$C$6+SQRT($AB2830*($E$6-$C$6)*($D$6-$C$6)),$E$6-SQRT((1-$AB2830)*($E$6-$C$6)*($E$6-$D$6)))</f>
        <v/>
      </c>
      <c r="O2830" s="14">
        <f>_xlfn.NORM.INV($AC2830,$C$7,$D$7)</f>
        <v/>
      </c>
      <c r="P2830" s="14">
        <f>$C$8+($D$8-$C$8)*$AD2830</f>
        <v/>
      </c>
      <c r="Q2830" s="14">
        <f>$C$9</f>
        <v/>
      </c>
      <c r="R2830" s="14">
        <f>_xlfn.LOGNORM.INV($AF2830,LN($C$10)-0.5*LN(1+($D$10/$C$10)^2),SQRT(LN(1+($D$10/$C$10)^2)))</f>
        <v/>
      </c>
      <c r="S2830" s="14">
        <f>SUM(M2830:R2830)</f>
        <v/>
      </c>
      <c r="AA2830">
        <f>RAND()</f>
        <v/>
      </c>
      <c r="AB2830">
        <f>RAND()</f>
        <v/>
      </c>
      <c r="AC2830">
        <f>RAND()</f>
        <v/>
      </c>
      <c r="AD2830">
        <f>RAND()</f>
        <v/>
      </c>
      <c r="AE2830">
        <f>RAND()</f>
        <v/>
      </c>
      <c r="AF2830">
        <f>RAND()</f>
        <v/>
      </c>
    </row>
    <row r="2831">
      <c r="M2831" s="14">
        <f>_xlfn.BETA.INV($AA2831,1+4*($D$5-$C$5)/($E$5-$C$5),1+4*($E$5-$D$5)/($E$5-$C$5),$C$5,$E$5)</f>
        <v/>
      </c>
      <c r="N2831" s="14">
        <f>IF($AB2831&lt;($D$6-$C$6)/($E$6-$C$6),$C$6+SQRT($AB2831*($E$6-$C$6)*($D$6-$C$6)),$E$6-SQRT((1-$AB2831)*($E$6-$C$6)*($E$6-$D$6)))</f>
        <v/>
      </c>
      <c r="O2831" s="14">
        <f>_xlfn.NORM.INV($AC2831,$C$7,$D$7)</f>
        <v/>
      </c>
      <c r="P2831" s="14">
        <f>$C$8+($D$8-$C$8)*$AD2831</f>
        <v/>
      </c>
      <c r="Q2831" s="14">
        <f>$C$9</f>
        <v/>
      </c>
      <c r="R2831" s="14">
        <f>_xlfn.LOGNORM.INV($AF2831,LN($C$10)-0.5*LN(1+($D$10/$C$10)^2),SQRT(LN(1+($D$10/$C$10)^2)))</f>
        <v/>
      </c>
      <c r="S2831" s="14">
        <f>SUM(M2831:R2831)</f>
        <v/>
      </c>
      <c r="AA2831">
        <f>RAND()</f>
        <v/>
      </c>
      <c r="AB2831">
        <f>RAND()</f>
        <v/>
      </c>
      <c r="AC2831">
        <f>RAND()</f>
        <v/>
      </c>
      <c r="AD2831">
        <f>RAND()</f>
        <v/>
      </c>
      <c r="AE2831">
        <f>RAND()</f>
        <v/>
      </c>
      <c r="AF2831">
        <f>RAND()</f>
        <v/>
      </c>
    </row>
    <row r="2832">
      <c r="M2832" s="14">
        <f>_xlfn.BETA.INV($AA2832,1+4*($D$5-$C$5)/($E$5-$C$5),1+4*($E$5-$D$5)/($E$5-$C$5),$C$5,$E$5)</f>
        <v/>
      </c>
      <c r="N2832" s="14">
        <f>IF($AB2832&lt;($D$6-$C$6)/($E$6-$C$6),$C$6+SQRT($AB2832*($E$6-$C$6)*($D$6-$C$6)),$E$6-SQRT((1-$AB2832)*($E$6-$C$6)*($E$6-$D$6)))</f>
        <v/>
      </c>
      <c r="O2832" s="14">
        <f>_xlfn.NORM.INV($AC2832,$C$7,$D$7)</f>
        <v/>
      </c>
      <c r="P2832" s="14">
        <f>$C$8+($D$8-$C$8)*$AD2832</f>
        <v/>
      </c>
      <c r="Q2832" s="14">
        <f>$C$9</f>
        <v/>
      </c>
      <c r="R2832" s="14">
        <f>_xlfn.LOGNORM.INV($AF2832,LN($C$10)-0.5*LN(1+($D$10/$C$10)^2),SQRT(LN(1+($D$10/$C$10)^2)))</f>
        <v/>
      </c>
      <c r="S2832" s="14">
        <f>SUM(M2832:R2832)</f>
        <v/>
      </c>
      <c r="AA2832">
        <f>RAND()</f>
        <v/>
      </c>
      <c r="AB2832">
        <f>RAND()</f>
        <v/>
      </c>
      <c r="AC2832">
        <f>RAND()</f>
        <v/>
      </c>
      <c r="AD2832">
        <f>RAND()</f>
        <v/>
      </c>
      <c r="AE2832">
        <f>RAND()</f>
        <v/>
      </c>
      <c r="AF2832">
        <f>RAND()</f>
        <v/>
      </c>
    </row>
    <row r="2833">
      <c r="M2833" s="14">
        <f>_xlfn.BETA.INV($AA2833,1+4*($D$5-$C$5)/($E$5-$C$5),1+4*($E$5-$D$5)/($E$5-$C$5),$C$5,$E$5)</f>
        <v/>
      </c>
      <c r="N2833" s="14">
        <f>IF($AB2833&lt;($D$6-$C$6)/($E$6-$C$6),$C$6+SQRT($AB2833*($E$6-$C$6)*($D$6-$C$6)),$E$6-SQRT((1-$AB2833)*($E$6-$C$6)*($E$6-$D$6)))</f>
        <v/>
      </c>
      <c r="O2833" s="14">
        <f>_xlfn.NORM.INV($AC2833,$C$7,$D$7)</f>
        <v/>
      </c>
      <c r="P2833" s="14">
        <f>$C$8+($D$8-$C$8)*$AD2833</f>
        <v/>
      </c>
      <c r="Q2833" s="14">
        <f>$C$9</f>
        <v/>
      </c>
      <c r="R2833" s="14">
        <f>_xlfn.LOGNORM.INV($AF2833,LN($C$10)-0.5*LN(1+($D$10/$C$10)^2),SQRT(LN(1+($D$10/$C$10)^2)))</f>
        <v/>
      </c>
      <c r="S2833" s="14">
        <f>SUM(M2833:R2833)</f>
        <v/>
      </c>
      <c r="AA2833">
        <f>RAND()</f>
        <v/>
      </c>
      <c r="AB2833">
        <f>RAND()</f>
        <v/>
      </c>
      <c r="AC2833">
        <f>RAND()</f>
        <v/>
      </c>
      <c r="AD2833">
        <f>RAND()</f>
        <v/>
      </c>
      <c r="AE2833">
        <f>RAND()</f>
        <v/>
      </c>
      <c r="AF2833">
        <f>RAND()</f>
        <v/>
      </c>
    </row>
    <row r="2834">
      <c r="M2834" s="14">
        <f>_xlfn.BETA.INV($AA2834,1+4*($D$5-$C$5)/($E$5-$C$5),1+4*($E$5-$D$5)/($E$5-$C$5),$C$5,$E$5)</f>
        <v/>
      </c>
      <c r="N2834" s="14">
        <f>IF($AB2834&lt;($D$6-$C$6)/($E$6-$C$6),$C$6+SQRT($AB2834*($E$6-$C$6)*($D$6-$C$6)),$E$6-SQRT((1-$AB2834)*($E$6-$C$6)*($E$6-$D$6)))</f>
        <v/>
      </c>
      <c r="O2834" s="14">
        <f>_xlfn.NORM.INV($AC2834,$C$7,$D$7)</f>
        <v/>
      </c>
      <c r="P2834" s="14">
        <f>$C$8+($D$8-$C$8)*$AD2834</f>
        <v/>
      </c>
      <c r="Q2834" s="14">
        <f>$C$9</f>
        <v/>
      </c>
      <c r="R2834" s="14">
        <f>_xlfn.LOGNORM.INV($AF2834,LN($C$10)-0.5*LN(1+($D$10/$C$10)^2),SQRT(LN(1+($D$10/$C$10)^2)))</f>
        <v/>
      </c>
      <c r="S2834" s="14">
        <f>SUM(M2834:R2834)</f>
        <v/>
      </c>
      <c r="AA2834">
        <f>RAND()</f>
        <v/>
      </c>
      <c r="AB2834">
        <f>RAND()</f>
        <v/>
      </c>
      <c r="AC2834">
        <f>RAND()</f>
        <v/>
      </c>
      <c r="AD2834">
        <f>RAND()</f>
        <v/>
      </c>
      <c r="AE2834">
        <f>RAND()</f>
        <v/>
      </c>
      <c r="AF2834">
        <f>RAND()</f>
        <v/>
      </c>
    </row>
    <row r="2835">
      <c r="M2835" s="14">
        <f>_xlfn.BETA.INV($AA2835,1+4*($D$5-$C$5)/($E$5-$C$5),1+4*($E$5-$D$5)/($E$5-$C$5),$C$5,$E$5)</f>
        <v/>
      </c>
      <c r="N2835" s="14">
        <f>IF($AB2835&lt;($D$6-$C$6)/($E$6-$C$6),$C$6+SQRT($AB2835*($E$6-$C$6)*($D$6-$C$6)),$E$6-SQRT((1-$AB2835)*($E$6-$C$6)*($E$6-$D$6)))</f>
        <v/>
      </c>
      <c r="O2835" s="14">
        <f>_xlfn.NORM.INV($AC2835,$C$7,$D$7)</f>
        <v/>
      </c>
      <c r="P2835" s="14">
        <f>$C$8+($D$8-$C$8)*$AD2835</f>
        <v/>
      </c>
      <c r="Q2835" s="14">
        <f>$C$9</f>
        <v/>
      </c>
      <c r="R2835" s="14">
        <f>_xlfn.LOGNORM.INV($AF2835,LN($C$10)-0.5*LN(1+($D$10/$C$10)^2),SQRT(LN(1+($D$10/$C$10)^2)))</f>
        <v/>
      </c>
      <c r="S2835" s="14">
        <f>SUM(M2835:R2835)</f>
        <v/>
      </c>
      <c r="AA2835">
        <f>RAND()</f>
        <v/>
      </c>
      <c r="AB2835">
        <f>RAND()</f>
        <v/>
      </c>
      <c r="AC2835">
        <f>RAND()</f>
        <v/>
      </c>
      <c r="AD2835">
        <f>RAND()</f>
        <v/>
      </c>
      <c r="AE2835">
        <f>RAND()</f>
        <v/>
      </c>
      <c r="AF2835">
        <f>RAND()</f>
        <v/>
      </c>
    </row>
    <row r="2836">
      <c r="M2836" s="14">
        <f>_xlfn.BETA.INV($AA2836,1+4*($D$5-$C$5)/($E$5-$C$5),1+4*($E$5-$D$5)/($E$5-$C$5),$C$5,$E$5)</f>
        <v/>
      </c>
      <c r="N2836" s="14">
        <f>IF($AB2836&lt;($D$6-$C$6)/($E$6-$C$6),$C$6+SQRT($AB2836*($E$6-$C$6)*($D$6-$C$6)),$E$6-SQRT((1-$AB2836)*($E$6-$C$6)*($E$6-$D$6)))</f>
        <v/>
      </c>
      <c r="O2836" s="14">
        <f>_xlfn.NORM.INV($AC2836,$C$7,$D$7)</f>
        <v/>
      </c>
      <c r="P2836" s="14">
        <f>$C$8+($D$8-$C$8)*$AD2836</f>
        <v/>
      </c>
      <c r="Q2836" s="14">
        <f>$C$9</f>
        <v/>
      </c>
      <c r="R2836" s="14">
        <f>_xlfn.LOGNORM.INV($AF2836,LN($C$10)-0.5*LN(1+($D$10/$C$10)^2),SQRT(LN(1+($D$10/$C$10)^2)))</f>
        <v/>
      </c>
      <c r="S2836" s="14">
        <f>SUM(M2836:R2836)</f>
        <v/>
      </c>
      <c r="AA2836">
        <f>RAND()</f>
        <v/>
      </c>
      <c r="AB2836">
        <f>RAND()</f>
        <v/>
      </c>
      <c r="AC2836">
        <f>RAND()</f>
        <v/>
      </c>
      <c r="AD2836">
        <f>RAND()</f>
        <v/>
      </c>
      <c r="AE2836">
        <f>RAND()</f>
        <v/>
      </c>
      <c r="AF2836">
        <f>RAND()</f>
        <v/>
      </c>
    </row>
    <row r="2837">
      <c r="M2837" s="14">
        <f>_xlfn.BETA.INV($AA2837,1+4*($D$5-$C$5)/($E$5-$C$5),1+4*($E$5-$D$5)/($E$5-$C$5),$C$5,$E$5)</f>
        <v/>
      </c>
      <c r="N2837" s="14">
        <f>IF($AB2837&lt;($D$6-$C$6)/($E$6-$C$6),$C$6+SQRT($AB2837*($E$6-$C$6)*($D$6-$C$6)),$E$6-SQRT((1-$AB2837)*($E$6-$C$6)*($E$6-$D$6)))</f>
        <v/>
      </c>
      <c r="O2837" s="14">
        <f>_xlfn.NORM.INV($AC2837,$C$7,$D$7)</f>
        <v/>
      </c>
      <c r="P2837" s="14">
        <f>$C$8+($D$8-$C$8)*$AD2837</f>
        <v/>
      </c>
      <c r="Q2837" s="14">
        <f>$C$9</f>
        <v/>
      </c>
      <c r="R2837" s="14">
        <f>_xlfn.LOGNORM.INV($AF2837,LN($C$10)-0.5*LN(1+($D$10/$C$10)^2),SQRT(LN(1+($D$10/$C$10)^2)))</f>
        <v/>
      </c>
      <c r="S2837" s="14">
        <f>SUM(M2837:R2837)</f>
        <v/>
      </c>
      <c r="AA2837">
        <f>RAND()</f>
        <v/>
      </c>
      <c r="AB2837">
        <f>RAND()</f>
        <v/>
      </c>
      <c r="AC2837">
        <f>RAND()</f>
        <v/>
      </c>
      <c r="AD2837">
        <f>RAND()</f>
        <v/>
      </c>
      <c r="AE2837">
        <f>RAND()</f>
        <v/>
      </c>
      <c r="AF2837">
        <f>RAND()</f>
        <v/>
      </c>
    </row>
    <row r="2838">
      <c r="M2838" s="14">
        <f>_xlfn.BETA.INV($AA2838,1+4*($D$5-$C$5)/($E$5-$C$5),1+4*($E$5-$D$5)/($E$5-$C$5),$C$5,$E$5)</f>
        <v/>
      </c>
      <c r="N2838" s="14">
        <f>IF($AB2838&lt;($D$6-$C$6)/($E$6-$C$6),$C$6+SQRT($AB2838*($E$6-$C$6)*($D$6-$C$6)),$E$6-SQRT((1-$AB2838)*($E$6-$C$6)*($E$6-$D$6)))</f>
        <v/>
      </c>
      <c r="O2838" s="14">
        <f>_xlfn.NORM.INV($AC2838,$C$7,$D$7)</f>
        <v/>
      </c>
      <c r="P2838" s="14">
        <f>$C$8+($D$8-$C$8)*$AD2838</f>
        <v/>
      </c>
      <c r="Q2838" s="14">
        <f>$C$9</f>
        <v/>
      </c>
      <c r="R2838" s="14">
        <f>_xlfn.LOGNORM.INV($AF2838,LN($C$10)-0.5*LN(1+($D$10/$C$10)^2),SQRT(LN(1+($D$10/$C$10)^2)))</f>
        <v/>
      </c>
      <c r="S2838" s="14">
        <f>SUM(M2838:R2838)</f>
        <v/>
      </c>
      <c r="AA2838">
        <f>RAND()</f>
        <v/>
      </c>
      <c r="AB2838">
        <f>RAND()</f>
        <v/>
      </c>
      <c r="AC2838">
        <f>RAND()</f>
        <v/>
      </c>
      <c r="AD2838">
        <f>RAND()</f>
        <v/>
      </c>
      <c r="AE2838">
        <f>RAND()</f>
        <v/>
      </c>
      <c r="AF2838">
        <f>RAND()</f>
        <v/>
      </c>
    </row>
    <row r="2839">
      <c r="M2839" s="14">
        <f>_xlfn.BETA.INV($AA2839,1+4*($D$5-$C$5)/($E$5-$C$5),1+4*($E$5-$D$5)/($E$5-$C$5),$C$5,$E$5)</f>
        <v/>
      </c>
      <c r="N2839" s="14">
        <f>IF($AB2839&lt;($D$6-$C$6)/($E$6-$C$6),$C$6+SQRT($AB2839*($E$6-$C$6)*($D$6-$C$6)),$E$6-SQRT((1-$AB2839)*($E$6-$C$6)*($E$6-$D$6)))</f>
        <v/>
      </c>
      <c r="O2839" s="14">
        <f>_xlfn.NORM.INV($AC2839,$C$7,$D$7)</f>
        <v/>
      </c>
      <c r="P2839" s="14">
        <f>$C$8+($D$8-$C$8)*$AD2839</f>
        <v/>
      </c>
      <c r="Q2839" s="14">
        <f>$C$9</f>
        <v/>
      </c>
      <c r="R2839" s="14">
        <f>_xlfn.LOGNORM.INV($AF2839,LN($C$10)-0.5*LN(1+($D$10/$C$10)^2),SQRT(LN(1+($D$10/$C$10)^2)))</f>
        <v/>
      </c>
      <c r="S2839" s="14">
        <f>SUM(M2839:R2839)</f>
        <v/>
      </c>
      <c r="AA2839">
        <f>RAND()</f>
        <v/>
      </c>
      <c r="AB2839">
        <f>RAND()</f>
        <v/>
      </c>
      <c r="AC2839">
        <f>RAND()</f>
        <v/>
      </c>
      <c r="AD2839">
        <f>RAND()</f>
        <v/>
      </c>
      <c r="AE2839">
        <f>RAND()</f>
        <v/>
      </c>
      <c r="AF2839">
        <f>RAND()</f>
        <v/>
      </c>
    </row>
    <row r="2840">
      <c r="M2840" s="14">
        <f>_xlfn.BETA.INV($AA2840,1+4*($D$5-$C$5)/($E$5-$C$5),1+4*($E$5-$D$5)/($E$5-$C$5),$C$5,$E$5)</f>
        <v/>
      </c>
      <c r="N2840" s="14">
        <f>IF($AB2840&lt;($D$6-$C$6)/($E$6-$C$6),$C$6+SQRT($AB2840*($E$6-$C$6)*($D$6-$C$6)),$E$6-SQRT((1-$AB2840)*($E$6-$C$6)*($E$6-$D$6)))</f>
        <v/>
      </c>
      <c r="O2840" s="14">
        <f>_xlfn.NORM.INV($AC2840,$C$7,$D$7)</f>
        <v/>
      </c>
      <c r="P2840" s="14">
        <f>$C$8+($D$8-$C$8)*$AD2840</f>
        <v/>
      </c>
      <c r="Q2840" s="14">
        <f>$C$9</f>
        <v/>
      </c>
      <c r="R2840" s="14">
        <f>_xlfn.LOGNORM.INV($AF2840,LN($C$10)-0.5*LN(1+($D$10/$C$10)^2),SQRT(LN(1+($D$10/$C$10)^2)))</f>
        <v/>
      </c>
      <c r="S2840" s="14">
        <f>SUM(M2840:R2840)</f>
        <v/>
      </c>
      <c r="AA2840">
        <f>RAND()</f>
        <v/>
      </c>
      <c r="AB2840">
        <f>RAND()</f>
        <v/>
      </c>
      <c r="AC2840">
        <f>RAND()</f>
        <v/>
      </c>
      <c r="AD2840">
        <f>RAND()</f>
        <v/>
      </c>
      <c r="AE2840">
        <f>RAND()</f>
        <v/>
      </c>
      <c r="AF2840">
        <f>RAND()</f>
        <v/>
      </c>
    </row>
    <row r="2841">
      <c r="M2841" s="14">
        <f>_xlfn.BETA.INV($AA2841,1+4*($D$5-$C$5)/($E$5-$C$5),1+4*($E$5-$D$5)/($E$5-$C$5),$C$5,$E$5)</f>
        <v/>
      </c>
      <c r="N2841" s="14">
        <f>IF($AB2841&lt;($D$6-$C$6)/($E$6-$C$6),$C$6+SQRT($AB2841*($E$6-$C$6)*($D$6-$C$6)),$E$6-SQRT((1-$AB2841)*($E$6-$C$6)*($E$6-$D$6)))</f>
        <v/>
      </c>
      <c r="O2841" s="14">
        <f>_xlfn.NORM.INV($AC2841,$C$7,$D$7)</f>
        <v/>
      </c>
      <c r="P2841" s="14">
        <f>$C$8+($D$8-$C$8)*$AD2841</f>
        <v/>
      </c>
      <c r="Q2841" s="14">
        <f>$C$9</f>
        <v/>
      </c>
      <c r="R2841" s="14">
        <f>_xlfn.LOGNORM.INV($AF2841,LN($C$10)-0.5*LN(1+($D$10/$C$10)^2),SQRT(LN(1+($D$10/$C$10)^2)))</f>
        <v/>
      </c>
      <c r="S2841" s="14">
        <f>SUM(M2841:R2841)</f>
        <v/>
      </c>
      <c r="AA2841">
        <f>RAND()</f>
        <v/>
      </c>
      <c r="AB2841">
        <f>RAND()</f>
        <v/>
      </c>
      <c r="AC2841">
        <f>RAND()</f>
        <v/>
      </c>
      <c r="AD2841">
        <f>RAND()</f>
        <v/>
      </c>
      <c r="AE2841">
        <f>RAND()</f>
        <v/>
      </c>
      <c r="AF2841">
        <f>RAND()</f>
        <v/>
      </c>
    </row>
    <row r="2842">
      <c r="M2842" s="14">
        <f>_xlfn.BETA.INV($AA2842,1+4*($D$5-$C$5)/($E$5-$C$5),1+4*($E$5-$D$5)/($E$5-$C$5),$C$5,$E$5)</f>
        <v/>
      </c>
      <c r="N2842" s="14">
        <f>IF($AB2842&lt;($D$6-$C$6)/($E$6-$C$6),$C$6+SQRT($AB2842*($E$6-$C$6)*($D$6-$C$6)),$E$6-SQRT((1-$AB2842)*($E$6-$C$6)*($E$6-$D$6)))</f>
        <v/>
      </c>
      <c r="O2842" s="14">
        <f>_xlfn.NORM.INV($AC2842,$C$7,$D$7)</f>
        <v/>
      </c>
      <c r="P2842" s="14">
        <f>$C$8+($D$8-$C$8)*$AD2842</f>
        <v/>
      </c>
      <c r="Q2842" s="14">
        <f>$C$9</f>
        <v/>
      </c>
      <c r="R2842" s="14">
        <f>_xlfn.LOGNORM.INV($AF2842,LN($C$10)-0.5*LN(1+($D$10/$C$10)^2),SQRT(LN(1+($D$10/$C$10)^2)))</f>
        <v/>
      </c>
      <c r="S2842" s="14">
        <f>SUM(M2842:R2842)</f>
        <v/>
      </c>
      <c r="AA2842">
        <f>RAND()</f>
        <v/>
      </c>
      <c r="AB2842">
        <f>RAND()</f>
        <v/>
      </c>
      <c r="AC2842">
        <f>RAND()</f>
        <v/>
      </c>
      <c r="AD2842">
        <f>RAND()</f>
        <v/>
      </c>
      <c r="AE2842">
        <f>RAND()</f>
        <v/>
      </c>
      <c r="AF2842">
        <f>RAND()</f>
        <v/>
      </c>
    </row>
    <row r="2843">
      <c r="M2843" s="14">
        <f>_xlfn.BETA.INV($AA2843,1+4*($D$5-$C$5)/($E$5-$C$5),1+4*($E$5-$D$5)/($E$5-$C$5),$C$5,$E$5)</f>
        <v/>
      </c>
      <c r="N2843" s="14">
        <f>IF($AB2843&lt;($D$6-$C$6)/($E$6-$C$6),$C$6+SQRT($AB2843*($E$6-$C$6)*($D$6-$C$6)),$E$6-SQRT((1-$AB2843)*($E$6-$C$6)*($E$6-$D$6)))</f>
        <v/>
      </c>
      <c r="O2843" s="14">
        <f>_xlfn.NORM.INV($AC2843,$C$7,$D$7)</f>
        <v/>
      </c>
      <c r="P2843" s="14">
        <f>$C$8+($D$8-$C$8)*$AD2843</f>
        <v/>
      </c>
      <c r="Q2843" s="14">
        <f>$C$9</f>
        <v/>
      </c>
      <c r="R2843" s="14">
        <f>_xlfn.LOGNORM.INV($AF2843,LN($C$10)-0.5*LN(1+($D$10/$C$10)^2),SQRT(LN(1+($D$10/$C$10)^2)))</f>
        <v/>
      </c>
      <c r="S2843" s="14">
        <f>SUM(M2843:R2843)</f>
        <v/>
      </c>
      <c r="AA2843">
        <f>RAND()</f>
        <v/>
      </c>
      <c r="AB2843">
        <f>RAND()</f>
        <v/>
      </c>
      <c r="AC2843">
        <f>RAND()</f>
        <v/>
      </c>
      <c r="AD2843">
        <f>RAND()</f>
        <v/>
      </c>
      <c r="AE2843">
        <f>RAND()</f>
        <v/>
      </c>
      <c r="AF2843">
        <f>RAND()</f>
        <v/>
      </c>
    </row>
    <row r="2844">
      <c r="M2844" s="14">
        <f>_xlfn.BETA.INV($AA2844,1+4*($D$5-$C$5)/($E$5-$C$5),1+4*($E$5-$D$5)/($E$5-$C$5),$C$5,$E$5)</f>
        <v/>
      </c>
      <c r="N2844" s="14">
        <f>IF($AB2844&lt;($D$6-$C$6)/($E$6-$C$6),$C$6+SQRT($AB2844*($E$6-$C$6)*($D$6-$C$6)),$E$6-SQRT((1-$AB2844)*($E$6-$C$6)*($E$6-$D$6)))</f>
        <v/>
      </c>
      <c r="O2844" s="14">
        <f>_xlfn.NORM.INV($AC2844,$C$7,$D$7)</f>
        <v/>
      </c>
      <c r="P2844" s="14">
        <f>$C$8+($D$8-$C$8)*$AD2844</f>
        <v/>
      </c>
      <c r="Q2844" s="14">
        <f>$C$9</f>
        <v/>
      </c>
      <c r="R2844" s="14">
        <f>_xlfn.LOGNORM.INV($AF2844,LN($C$10)-0.5*LN(1+($D$10/$C$10)^2),SQRT(LN(1+($D$10/$C$10)^2)))</f>
        <v/>
      </c>
      <c r="S2844" s="14">
        <f>SUM(M2844:R2844)</f>
        <v/>
      </c>
      <c r="AA2844">
        <f>RAND()</f>
        <v/>
      </c>
      <c r="AB2844">
        <f>RAND()</f>
        <v/>
      </c>
      <c r="AC2844">
        <f>RAND()</f>
        <v/>
      </c>
      <c r="AD2844">
        <f>RAND()</f>
        <v/>
      </c>
      <c r="AE2844">
        <f>RAND()</f>
        <v/>
      </c>
      <c r="AF2844">
        <f>RAND()</f>
        <v/>
      </c>
    </row>
    <row r="2845">
      <c r="M2845" s="14">
        <f>_xlfn.BETA.INV($AA2845,1+4*($D$5-$C$5)/($E$5-$C$5),1+4*($E$5-$D$5)/($E$5-$C$5),$C$5,$E$5)</f>
        <v/>
      </c>
      <c r="N2845" s="14">
        <f>IF($AB2845&lt;($D$6-$C$6)/($E$6-$C$6),$C$6+SQRT($AB2845*($E$6-$C$6)*($D$6-$C$6)),$E$6-SQRT((1-$AB2845)*($E$6-$C$6)*($E$6-$D$6)))</f>
        <v/>
      </c>
      <c r="O2845" s="14">
        <f>_xlfn.NORM.INV($AC2845,$C$7,$D$7)</f>
        <v/>
      </c>
      <c r="P2845" s="14">
        <f>$C$8+($D$8-$C$8)*$AD2845</f>
        <v/>
      </c>
      <c r="Q2845" s="14">
        <f>$C$9</f>
        <v/>
      </c>
      <c r="R2845" s="14">
        <f>_xlfn.LOGNORM.INV($AF2845,LN($C$10)-0.5*LN(1+($D$10/$C$10)^2),SQRT(LN(1+($D$10/$C$10)^2)))</f>
        <v/>
      </c>
      <c r="S2845" s="14">
        <f>SUM(M2845:R2845)</f>
        <v/>
      </c>
      <c r="AA2845">
        <f>RAND()</f>
        <v/>
      </c>
      <c r="AB2845">
        <f>RAND()</f>
        <v/>
      </c>
      <c r="AC2845">
        <f>RAND()</f>
        <v/>
      </c>
      <c r="AD2845">
        <f>RAND()</f>
        <v/>
      </c>
      <c r="AE2845">
        <f>RAND()</f>
        <v/>
      </c>
      <c r="AF2845">
        <f>RAND()</f>
        <v/>
      </c>
    </row>
    <row r="2846">
      <c r="M2846" s="14">
        <f>_xlfn.BETA.INV($AA2846,1+4*($D$5-$C$5)/($E$5-$C$5),1+4*($E$5-$D$5)/($E$5-$C$5),$C$5,$E$5)</f>
        <v/>
      </c>
      <c r="N2846" s="14">
        <f>IF($AB2846&lt;($D$6-$C$6)/($E$6-$C$6),$C$6+SQRT($AB2846*($E$6-$C$6)*($D$6-$C$6)),$E$6-SQRT((1-$AB2846)*($E$6-$C$6)*($E$6-$D$6)))</f>
        <v/>
      </c>
      <c r="O2846" s="14">
        <f>_xlfn.NORM.INV($AC2846,$C$7,$D$7)</f>
        <v/>
      </c>
      <c r="P2846" s="14">
        <f>$C$8+($D$8-$C$8)*$AD2846</f>
        <v/>
      </c>
      <c r="Q2846" s="14">
        <f>$C$9</f>
        <v/>
      </c>
      <c r="R2846" s="14">
        <f>_xlfn.LOGNORM.INV($AF2846,LN($C$10)-0.5*LN(1+($D$10/$C$10)^2),SQRT(LN(1+($D$10/$C$10)^2)))</f>
        <v/>
      </c>
      <c r="S2846" s="14">
        <f>SUM(M2846:R2846)</f>
        <v/>
      </c>
      <c r="AA2846">
        <f>RAND()</f>
        <v/>
      </c>
      <c r="AB2846">
        <f>RAND()</f>
        <v/>
      </c>
      <c r="AC2846">
        <f>RAND()</f>
        <v/>
      </c>
      <c r="AD2846">
        <f>RAND()</f>
        <v/>
      </c>
      <c r="AE2846">
        <f>RAND()</f>
        <v/>
      </c>
      <c r="AF2846">
        <f>RAND()</f>
        <v/>
      </c>
    </row>
    <row r="2847">
      <c r="M2847" s="14">
        <f>_xlfn.BETA.INV($AA2847,1+4*($D$5-$C$5)/($E$5-$C$5),1+4*($E$5-$D$5)/($E$5-$C$5),$C$5,$E$5)</f>
        <v/>
      </c>
      <c r="N2847" s="14">
        <f>IF($AB2847&lt;($D$6-$C$6)/($E$6-$C$6),$C$6+SQRT($AB2847*($E$6-$C$6)*($D$6-$C$6)),$E$6-SQRT((1-$AB2847)*($E$6-$C$6)*($E$6-$D$6)))</f>
        <v/>
      </c>
      <c r="O2847" s="14">
        <f>_xlfn.NORM.INV($AC2847,$C$7,$D$7)</f>
        <v/>
      </c>
      <c r="P2847" s="14">
        <f>$C$8+($D$8-$C$8)*$AD2847</f>
        <v/>
      </c>
      <c r="Q2847" s="14">
        <f>$C$9</f>
        <v/>
      </c>
      <c r="R2847" s="14">
        <f>_xlfn.LOGNORM.INV($AF2847,LN($C$10)-0.5*LN(1+($D$10/$C$10)^2),SQRT(LN(1+($D$10/$C$10)^2)))</f>
        <v/>
      </c>
      <c r="S2847" s="14">
        <f>SUM(M2847:R2847)</f>
        <v/>
      </c>
      <c r="AA2847">
        <f>RAND()</f>
        <v/>
      </c>
      <c r="AB2847">
        <f>RAND()</f>
        <v/>
      </c>
      <c r="AC2847">
        <f>RAND()</f>
        <v/>
      </c>
      <c r="AD2847">
        <f>RAND()</f>
        <v/>
      </c>
      <c r="AE2847">
        <f>RAND()</f>
        <v/>
      </c>
      <c r="AF2847">
        <f>RAND()</f>
        <v/>
      </c>
    </row>
    <row r="2848">
      <c r="M2848" s="14">
        <f>_xlfn.BETA.INV($AA2848,1+4*($D$5-$C$5)/($E$5-$C$5),1+4*($E$5-$D$5)/($E$5-$C$5),$C$5,$E$5)</f>
        <v/>
      </c>
      <c r="N2848" s="14">
        <f>IF($AB2848&lt;($D$6-$C$6)/($E$6-$C$6),$C$6+SQRT($AB2848*($E$6-$C$6)*($D$6-$C$6)),$E$6-SQRT((1-$AB2848)*($E$6-$C$6)*($E$6-$D$6)))</f>
        <v/>
      </c>
      <c r="O2848" s="14">
        <f>_xlfn.NORM.INV($AC2848,$C$7,$D$7)</f>
        <v/>
      </c>
      <c r="P2848" s="14">
        <f>$C$8+($D$8-$C$8)*$AD2848</f>
        <v/>
      </c>
      <c r="Q2848" s="14">
        <f>$C$9</f>
        <v/>
      </c>
      <c r="R2848" s="14">
        <f>_xlfn.LOGNORM.INV($AF2848,LN($C$10)-0.5*LN(1+($D$10/$C$10)^2),SQRT(LN(1+($D$10/$C$10)^2)))</f>
        <v/>
      </c>
      <c r="S2848" s="14">
        <f>SUM(M2848:R2848)</f>
        <v/>
      </c>
      <c r="AA2848">
        <f>RAND()</f>
        <v/>
      </c>
      <c r="AB2848">
        <f>RAND()</f>
        <v/>
      </c>
      <c r="AC2848">
        <f>RAND()</f>
        <v/>
      </c>
      <c r="AD2848">
        <f>RAND()</f>
        <v/>
      </c>
      <c r="AE2848">
        <f>RAND()</f>
        <v/>
      </c>
      <c r="AF2848">
        <f>RAND()</f>
        <v/>
      </c>
    </row>
    <row r="2849">
      <c r="M2849" s="14">
        <f>_xlfn.BETA.INV($AA2849,1+4*($D$5-$C$5)/($E$5-$C$5),1+4*($E$5-$D$5)/($E$5-$C$5),$C$5,$E$5)</f>
        <v/>
      </c>
      <c r="N2849" s="14">
        <f>IF($AB2849&lt;($D$6-$C$6)/($E$6-$C$6),$C$6+SQRT($AB2849*($E$6-$C$6)*($D$6-$C$6)),$E$6-SQRT((1-$AB2849)*($E$6-$C$6)*($E$6-$D$6)))</f>
        <v/>
      </c>
      <c r="O2849" s="14">
        <f>_xlfn.NORM.INV($AC2849,$C$7,$D$7)</f>
        <v/>
      </c>
      <c r="P2849" s="14">
        <f>$C$8+($D$8-$C$8)*$AD2849</f>
        <v/>
      </c>
      <c r="Q2849" s="14">
        <f>$C$9</f>
        <v/>
      </c>
      <c r="R2849" s="14">
        <f>_xlfn.LOGNORM.INV($AF2849,LN($C$10)-0.5*LN(1+($D$10/$C$10)^2),SQRT(LN(1+($D$10/$C$10)^2)))</f>
        <v/>
      </c>
      <c r="S2849" s="14">
        <f>SUM(M2849:R2849)</f>
        <v/>
      </c>
      <c r="AA2849">
        <f>RAND()</f>
        <v/>
      </c>
      <c r="AB2849">
        <f>RAND()</f>
        <v/>
      </c>
      <c r="AC2849">
        <f>RAND()</f>
        <v/>
      </c>
      <c r="AD2849">
        <f>RAND()</f>
        <v/>
      </c>
      <c r="AE2849">
        <f>RAND()</f>
        <v/>
      </c>
      <c r="AF2849">
        <f>RAND()</f>
        <v/>
      </c>
    </row>
    <row r="2850">
      <c r="M2850" s="14">
        <f>_xlfn.BETA.INV($AA2850,1+4*($D$5-$C$5)/($E$5-$C$5),1+4*($E$5-$D$5)/($E$5-$C$5),$C$5,$E$5)</f>
        <v/>
      </c>
      <c r="N2850" s="14">
        <f>IF($AB2850&lt;($D$6-$C$6)/($E$6-$C$6),$C$6+SQRT($AB2850*($E$6-$C$6)*($D$6-$C$6)),$E$6-SQRT((1-$AB2850)*($E$6-$C$6)*($E$6-$D$6)))</f>
        <v/>
      </c>
      <c r="O2850" s="14">
        <f>_xlfn.NORM.INV($AC2850,$C$7,$D$7)</f>
        <v/>
      </c>
      <c r="P2850" s="14">
        <f>$C$8+($D$8-$C$8)*$AD2850</f>
        <v/>
      </c>
      <c r="Q2850" s="14">
        <f>$C$9</f>
        <v/>
      </c>
      <c r="R2850" s="14">
        <f>_xlfn.LOGNORM.INV($AF2850,LN($C$10)-0.5*LN(1+($D$10/$C$10)^2),SQRT(LN(1+($D$10/$C$10)^2)))</f>
        <v/>
      </c>
      <c r="S2850" s="14">
        <f>SUM(M2850:R2850)</f>
        <v/>
      </c>
      <c r="AA2850">
        <f>RAND()</f>
        <v/>
      </c>
      <c r="AB2850">
        <f>RAND()</f>
        <v/>
      </c>
      <c r="AC2850">
        <f>RAND()</f>
        <v/>
      </c>
      <c r="AD2850">
        <f>RAND()</f>
        <v/>
      </c>
      <c r="AE2850">
        <f>RAND()</f>
        <v/>
      </c>
      <c r="AF2850">
        <f>RAND()</f>
        <v/>
      </c>
    </row>
    <row r="2851">
      <c r="M2851" s="14">
        <f>_xlfn.BETA.INV($AA2851,1+4*($D$5-$C$5)/($E$5-$C$5),1+4*($E$5-$D$5)/($E$5-$C$5),$C$5,$E$5)</f>
        <v/>
      </c>
      <c r="N2851" s="14">
        <f>IF($AB2851&lt;($D$6-$C$6)/($E$6-$C$6),$C$6+SQRT($AB2851*($E$6-$C$6)*($D$6-$C$6)),$E$6-SQRT((1-$AB2851)*($E$6-$C$6)*($E$6-$D$6)))</f>
        <v/>
      </c>
      <c r="O2851" s="14">
        <f>_xlfn.NORM.INV($AC2851,$C$7,$D$7)</f>
        <v/>
      </c>
      <c r="P2851" s="14">
        <f>$C$8+($D$8-$C$8)*$AD2851</f>
        <v/>
      </c>
      <c r="Q2851" s="14">
        <f>$C$9</f>
        <v/>
      </c>
      <c r="R2851" s="14">
        <f>_xlfn.LOGNORM.INV($AF2851,LN($C$10)-0.5*LN(1+($D$10/$C$10)^2),SQRT(LN(1+($D$10/$C$10)^2)))</f>
        <v/>
      </c>
      <c r="S2851" s="14">
        <f>SUM(M2851:R2851)</f>
        <v/>
      </c>
      <c r="AA2851">
        <f>RAND()</f>
        <v/>
      </c>
      <c r="AB2851">
        <f>RAND()</f>
        <v/>
      </c>
      <c r="AC2851">
        <f>RAND()</f>
        <v/>
      </c>
      <c r="AD2851">
        <f>RAND()</f>
        <v/>
      </c>
      <c r="AE2851">
        <f>RAND()</f>
        <v/>
      </c>
      <c r="AF2851">
        <f>RAND()</f>
        <v/>
      </c>
    </row>
    <row r="2852">
      <c r="M2852" s="14">
        <f>_xlfn.BETA.INV($AA2852,1+4*($D$5-$C$5)/($E$5-$C$5),1+4*($E$5-$D$5)/($E$5-$C$5),$C$5,$E$5)</f>
        <v/>
      </c>
      <c r="N2852" s="14">
        <f>IF($AB2852&lt;($D$6-$C$6)/($E$6-$C$6),$C$6+SQRT($AB2852*($E$6-$C$6)*($D$6-$C$6)),$E$6-SQRT((1-$AB2852)*($E$6-$C$6)*($E$6-$D$6)))</f>
        <v/>
      </c>
      <c r="O2852" s="14">
        <f>_xlfn.NORM.INV($AC2852,$C$7,$D$7)</f>
        <v/>
      </c>
      <c r="P2852" s="14">
        <f>$C$8+($D$8-$C$8)*$AD2852</f>
        <v/>
      </c>
      <c r="Q2852" s="14">
        <f>$C$9</f>
        <v/>
      </c>
      <c r="R2852" s="14">
        <f>_xlfn.LOGNORM.INV($AF2852,LN($C$10)-0.5*LN(1+($D$10/$C$10)^2),SQRT(LN(1+($D$10/$C$10)^2)))</f>
        <v/>
      </c>
      <c r="S2852" s="14">
        <f>SUM(M2852:R2852)</f>
        <v/>
      </c>
      <c r="AA2852">
        <f>RAND()</f>
        <v/>
      </c>
      <c r="AB2852">
        <f>RAND()</f>
        <v/>
      </c>
      <c r="AC2852">
        <f>RAND()</f>
        <v/>
      </c>
      <c r="AD2852">
        <f>RAND()</f>
        <v/>
      </c>
      <c r="AE2852">
        <f>RAND()</f>
        <v/>
      </c>
      <c r="AF2852">
        <f>RAND()</f>
        <v/>
      </c>
    </row>
    <row r="2853">
      <c r="M2853" s="14">
        <f>_xlfn.BETA.INV($AA2853,1+4*($D$5-$C$5)/($E$5-$C$5),1+4*($E$5-$D$5)/($E$5-$C$5),$C$5,$E$5)</f>
        <v/>
      </c>
      <c r="N2853" s="14">
        <f>IF($AB2853&lt;($D$6-$C$6)/($E$6-$C$6),$C$6+SQRT($AB2853*($E$6-$C$6)*($D$6-$C$6)),$E$6-SQRT((1-$AB2853)*($E$6-$C$6)*($E$6-$D$6)))</f>
        <v/>
      </c>
      <c r="O2853" s="14">
        <f>_xlfn.NORM.INV($AC2853,$C$7,$D$7)</f>
        <v/>
      </c>
      <c r="P2853" s="14">
        <f>$C$8+($D$8-$C$8)*$AD2853</f>
        <v/>
      </c>
      <c r="Q2853" s="14">
        <f>$C$9</f>
        <v/>
      </c>
      <c r="R2853" s="14">
        <f>_xlfn.LOGNORM.INV($AF2853,LN($C$10)-0.5*LN(1+($D$10/$C$10)^2),SQRT(LN(1+($D$10/$C$10)^2)))</f>
        <v/>
      </c>
      <c r="S2853" s="14">
        <f>SUM(M2853:R2853)</f>
        <v/>
      </c>
      <c r="AA2853">
        <f>RAND()</f>
        <v/>
      </c>
      <c r="AB2853">
        <f>RAND()</f>
        <v/>
      </c>
      <c r="AC2853">
        <f>RAND()</f>
        <v/>
      </c>
      <c r="AD2853">
        <f>RAND()</f>
        <v/>
      </c>
      <c r="AE2853">
        <f>RAND()</f>
        <v/>
      </c>
      <c r="AF2853">
        <f>RAND()</f>
        <v/>
      </c>
    </row>
    <row r="2854">
      <c r="M2854" s="14">
        <f>_xlfn.BETA.INV($AA2854,1+4*($D$5-$C$5)/($E$5-$C$5),1+4*($E$5-$D$5)/($E$5-$C$5),$C$5,$E$5)</f>
        <v/>
      </c>
      <c r="N2854" s="14">
        <f>IF($AB2854&lt;($D$6-$C$6)/($E$6-$C$6),$C$6+SQRT($AB2854*($E$6-$C$6)*($D$6-$C$6)),$E$6-SQRT((1-$AB2854)*($E$6-$C$6)*($E$6-$D$6)))</f>
        <v/>
      </c>
      <c r="O2854" s="14">
        <f>_xlfn.NORM.INV($AC2854,$C$7,$D$7)</f>
        <v/>
      </c>
      <c r="P2854" s="14">
        <f>$C$8+($D$8-$C$8)*$AD2854</f>
        <v/>
      </c>
      <c r="Q2854" s="14">
        <f>$C$9</f>
        <v/>
      </c>
      <c r="R2854" s="14">
        <f>_xlfn.LOGNORM.INV($AF2854,LN($C$10)-0.5*LN(1+($D$10/$C$10)^2),SQRT(LN(1+($D$10/$C$10)^2)))</f>
        <v/>
      </c>
      <c r="S2854" s="14">
        <f>SUM(M2854:R2854)</f>
        <v/>
      </c>
      <c r="AA2854">
        <f>RAND()</f>
        <v/>
      </c>
      <c r="AB2854">
        <f>RAND()</f>
        <v/>
      </c>
      <c r="AC2854">
        <f>RAND()</f>
        <v/>
      </c>
      <c r="AD2854">
        <f>RAND()</f>
        <v/>
      </c>
      <c r="AE2854">
        <f>RAND()</f>
        <v/>
      </c>
      <c r="AF2854">
        <f>RAND()</f>
        <v/>
      </c>
    </row>
    <row r="2855">
      <c r="M2855" s="14">
        <f>_xlfn.BETA.INV($AA2855,1+4*($D$5-$C$5)/($E$5-$C$5),1+4*($E$5-$D$5)/($E$5-$C$5),$C$5,$E$5)</f>
        <v/>
      </c>
      <c r="N2855" s="14">
        <f>IF($AB2855&lt;($D$6-$C$6)/($E$6-$C$6),$C$6+SQRT($AB2855*($E$6-$C$6)*($D$6-$C$6)),$E$6-SQRT((1-$AB2855)*($E$6-$C$6)*($E$6-$D$6)))</f>
        <v/>
      </c>
      <c r="O2855" s="14">
        <f>_xlfn.NORM.INV($AC2855,$C$7,$D$7)</f>
        <v/>
      </c>
      <c r="P2855" s="14">
        <f>$C$8+($D$8-$C$8)*$AD2855</f>
        <v/>
      </c>
      <c r="Q2855" s="14">
        <f>$C$9</f>
        <v/>
      </c>
      <c r="R2855" s="14">
        <f>_xlfn.LOGNORM.INV($AF2855,LN($C$10)-0.5*LN(1+($D$10/$C$10)^2),SQRT(LN(1+($D$10/$C$10)^2)))</f>
        <v/>
      </c>
      <c r="S2855" s="14">
        <f>SUM(M2855:R2855)</f>
        <v/>
      </c>
      <c r="AA2855">
        <f>RAND()</f>
        <v/>
      </c>
      <c r="AB2855">
        <f>RAND()</f>
        <v/>
      </c>
      <c r="AC2855">
        <f>RAND()</f>
        <v/>
      </c>
      <c r="AD2855">
        <f>RAND()</f>
        <v/>
      </c>
      <c r="AE2855">
        <f>RAND()</f>
        <v/>
      </c>
      <c r="AF2855">
        <f>RAND()</f>
        <v/>
      </c>
    </row>
    <row r="2856">
      <c r="M2856" s="14">
        <f>_xlfn.BETA.INV($AA2856,1+4*($D$5-$C$5)/($E$5-$C$5),1+4*($E$5-$D$5)/($E$5-$C$5),$C$5,$E$5)</f>
        <v/>
      </c>
      <c r="N2856" s="14">
        <f>IF($AB2856&lt;($D$6-$C$6)/($E$6-$C$6),$C$6+SQRT($AB2856*($E$6-$C$6)*($D$6-$C$6)),$E$6-SQRT((1-$AB2856)*($E$6-$C$6)*($E$6-$D$6)))</f>
        <v/>
      </c>
      <c r="O2856" s="14">
        <f>_xlfn.NORM.INV($AC2856,$C$7,$D$7)</f>
        <v/>
      </c>
      <c r="P2856" s="14">
        <f>$C$8+($D$8-$C$8)*$AD2856</f>
        <v/>
      </c>
      <c r="Q2856" s="14">
        <f>$C$9</f>
        <v/>
      </c>
      <c r="R2856" s="14">
        <f>_xlfn.LOGNORM.INV($AF2856,LN($C$10)-0.5*LN(1+($D$10/$C$10)^2),SQRT(LN(1+($D$10/$C$10)^2)))</f>
        <v/>
      </c>
      <c r="S2856" s="14">
        <f>SUM(M2856:R2856)</f>
        <v/>
      </c>
      <c r="AA2856">
        <f>RAND()</f>
        <v/>
      </c>
      <c r="AB2856">
        <f>RAND()</f>
        <v/>
      </c>
      <c r="AC2856">
        <f>RAND()</f>
        <v/>
      </c>
      <c r="AD2856">
        <f>RAND()</f>
        <v/>
      </c>
      <c r="AE2856">
        <f>RAND()</f>
        <v/>
      </c>
      <c r="AF2856">
        <f>RAND()</f>
        <v/>
      </c>
    </row>
    <row r="2857">
      <c r="M2857" s="14">
        <f>_xlfn.BETA.INV($AA2857,1+4*($D$5-$C$5)/($E$5-$C$5),1+4*($E$5-$D$5)/($E$5-$C$5),$C$5,$E$5)</f>
        <v/>
      </c>
      <c r="N2857" s="14">
        <f>IF($AB2857&lt;($D$6-$C$6)/($E$6-$C$6),$C$6+SQRT($AB2857*($E$6-$C$6)*($D$6-$C$6)),$E$6-SQRT((1-$AB2857)*($E$6-$C$6)*($E$6-$D$6)))</f>
        <v/>
      </c>
      <c r="O2857" s="14">
        <f>_xlfn.NORM.INV($AC2857,$C$7,$D$7)</f>
        <v/>
      </c>
      <c r="P2857" s="14">
        <f>$C$8+($D$8-$C$8)*$AD2857</f>
        <v/>
      </c>
      <c r="Q2857" s="14">
        <f>$C$9</f>
        <v/>
      </c>
      <c r="R2857" s="14">
        <f>_xlfn.LOGNORM.INV($AF2857,LN($C$10)-0.5*LN(1+($D$10/$C$10)^2),SQRT(LN(1+($D$10/$C$10)^2)))</f>
        <v/>
      </c>
      <c r="S2857" s="14">
        <f>SUM(M2857:R2857)</f>
        <v/>
      </c>
      <c r="AA2857">
        <f>RAND()</f>
        <v/>
      </c>
      <c r="AB2857">
        <f>RAND()</f>
        <v/>
      </c>
      <c r="AC2857">
        <f>RAND()</f>
        <v/>
      </c>
      <c r="AD2857">
        <f>RAND()</f>
        <v/>
      </c>
      <c r="AE2857">
        <f>RAND()</f>
        <v/>
      </c>
      <c r="AF2857">
        <f>RAND()</f>
        <v/>
      </c>
    </row>
    <row r="2858">
      <c r="M2858" s="14">
        <f>_xlfn.BETA.INV($AA2858,1+4*($D$5-$C$5)/($E$5-$C$5),1+4*($E$5-$D$5)/($E$5-$C$5),$C$5,$E$5)</f>
        <v/>
      </c>
      <c r="N2858" s="14">
        <f>IF($AB2858&lt;($D$6-$C$6)/($E$6-$C$6),$C$6+SQRT($AB2858*($E$6-$C$6)*($D$6-$C$6)),$E$6-SQRT((1-$AB2858)*($E$6-$C$6)*($E$6-$D$6)))</f>
        <v/>
      </c>
      <c r="O2858" s="14">
        <f>_xlfn.NORM.INV($AC2858,$C$7,$D$7)</f>
        <v/>
      </c>
      <c r="P2858" s="14">
        <f>$C$8+($D$8-$C$8)*$AD2858</f>
        <v/>
      </c>
      <c r="Q2858" s="14">
        <f>$C$9</f>
        <v/>
      </c>
      <c r="R2858" s="14">
        <f>_xlfn.LOGNORM.INV($AF2858,LN($C$10)-0.5*LN(1+($D$10/$C$10)^2),SQRT(LN(1+($D$10/$C$10)^2)))</f>
        <v/>
      </c>
      <c r="S2858" s="14">
        <f>SUM(M2858:R2858)</f>
        <v/>
      </c>
      <c r="AA2858">
        <f>RAND()</f>
        <v/>
      </c>
      <c r="AB2858">
        <f>RAND()</f>
        <v/>
      </c>
      <c r="AC2858">
        <f>RAND()</f>
        <v/>
      </c>
      <c r="AD2858">
        <f>RAND()</f>
        <v/>
      </c>
      <c r="AE2858">
        <f>RAND()</f>
        <v/>
      </c>
      <c r="AF2858">
        <f>RAND()</f>
        <v/>
      </c>
    </row>
    <row r="2859">
      <c r="M2859" s="14">
        <f>_xlfn.BETA.INV($AA2859,1+4*($D$5-$C$5)/($E$5-$C$5),1+4*($E$5-$D$5)/($E$5-$C$5),$C$5,$E$5)</f>
        <v/>
      </c>
      <c r="N2859" s="14">
        <f>IF($AB2859&lt;($D$6-$C$6)/($E$6-$C$6),$C$6+SQRT($AB2859*($E$6-$C$6)*($D$6-$C$6)),$E$6-SQRT((1-$AB2859)*($E$6-$C$6)*($E$6-$D$6)))</f>
        <v/>
      </c>
      <c r="O2859" s="14">
        <f>_xlfn.NORM.INV($AC2859,$C$7,$D$7)</f>
        <v/>
      </c>
      <c r="P2859" s="14">
        <f>$C$8+($D$8-$C$8)*$AD2859</f>
        <v/>
      </c>
      <c r="Q2859" s="14">
        <f>$C$9</f>
        <v/>
      </c>
      <c r="R2859" s="14">
        <f>_xlfn.LOGNORM.INV($AF2859,LN($C$10)-0.5*LN(1+($D$10/$C$10)^2),SQRT(LN(1+($D$10/$C$10)^2)))</f>
        <v/>
      </c>
      <c r="S2859" s="14">
        <f>SUM(M2859:R2859)</f>
        <v/>
      </c>
      <c r="AA2859">
        <f>RAND()</f>
        <v/>
      </c>
      <c r="AB2859">
        <f>RAND()</f>
        <v/>
      </c>
      <c r="AC2859">
        <f>RAND()</f>
        <v/>
      </c>
      <c r="AD2859">
        <f>RAND()</f>
        <v/>
      </c>
      <c r="AE2859">
        <f>RAND()</f>
        <v/>
      </c>
      <c r="AF2859">
        <f>RAND()</f>
        <v/>
      </c>
    </row>
    <row r="2860">
      <c r="M2860" s="14">
        <f>_xlfn.BETA.INV($AA2860,1+4*($D$5-$C$5)/($E$5-$C$5),1+4*($E$5-$D$5)/($E$5-$C$5),$C$5,$E$5)</f>
        <v/>
      </c>
      <c r="N2860" s="14">
        <f>IF($AB2860&lt;($D$6-$C$6)/($E$6-$C$6),$C$6+SQRT($AB2860*($E$6-$C$6)*($D$6-$C$6)),$E$6-SQRT((1-$AB2860)*($E$6-$C$6)*($E$6-$D$6)))</f>
        <v/>
      </c>
      <c r="O2860" s="14">
        <f>_xlfn.NORM.INV($AC2860,$C$7,$D$7)</f>
        <v/>
      </c>
      <c r="P2860" s="14">
        <f>$C$8+($D$8-$C$8)*$AD2860</f>
        <v/>
      </c>
      <c r="Q2860" s="14">
        <f>$C$9</f>
        <v/>
      </c>
      <c r="R2860" s="14">
        <f>_xlfn.LOGNORM.INV($AF2860,LN($C$10)-0.5*LN(1+($D$10/$C$10)^2),SQRT(LN(1+($D$10/$C$10)^2)))</f>
        <v/>
      </c>
      <c r="S2860" s="14">
        <f>SUM(M2860:R2860)</f>
        <v/>
      </c>
      <c r="AA2860">
        <f>RAND()</f>
        <v/>
      </c>
      <c r="AB2860">
        <f>RAND()</f>
        <v/>
      </c>
      <c r="AC2860">
        <f>RAND()</f>
        <v/>
      </c>
      <c r="AD2860">
        <f>RAND()</f>
        <v/>
      </c>
      <c r="AE2860">
        <f>RAND()</f>
        <v/>
      </c>
      <c r="AF2860">
        <f>RAND()</f>
        <v/>
      </c>
    </row>
    <row r="2861">
      <c r="M2861" s="14">
        <f>_xlfn.BETA.INV($AA2861,1+4*($D$5-$C$5)/($E$5-$C$5),1+4*($E$5-$D$5)/($E$5-$C$5),$C$5,$E$5)</f>
        <v/>
      </c>
      <c r="N2861" s="14">
        <f>IF($AB2861&lt;($D$6-$C$6)/($E$6-$C$6),$C$6+SQRT($AB2861*($E$6-$C$6)*($D$6-$C$6)),$E$6-SQRT((1-$AB2861)*($E$6-$C$6)*($E$6-$D$6)))</f>
        <v/>
      </c>
      <c r="O2861" s="14">
        <f>_xlfn.NORM.INV($AC2861,$C$7,$D$7)</f>
        <v/>
      </c>
      <c r="P2861" s="14">
        <f>$C$8+($D$8-$C$8)*$AD2861</f>
        <v/>
      </c>
      <c r="Q2861" s="14">
        <f>$C$9</f>
        <v/>
      </c>
      <c r="R2861" s="14">
        <f>_xlfn.LOGNORM.INV($AF2861,LN($C$10)-0.5*LN(1+($D$10/$C$10)^2),SQRT(LN(1+($D$10/$C$10)^2)))</f>
        <v/>
      </c>
      <c r="S2861" s="14">
        <f>SUM(M2861:R2861)</f>
        <v/>
      </c>
      <c r="AA2861">
        <f>RAND()</f>
        <v/>
      </c>
      <c r="AB2861">
        <f>RAND()</f>
        <v/>
      </c>
      <c r="AC2861">
        <f>RAND()</f>
        <v/>
      </c>
      <c r="AD2861">
        <f>RAND()</f>
        <v/>
      </c>
      <c r="AE2861">
        <f>RAND()</f>
        <v/>
      </c>
      <c r="AF2861">
        <f>RAND()</f>
        <v/>
      </c>
    </row>
    <row r="2862">
      <c r="M2862" s="14">
        <f>_xlfn.BETA.INV($AA2862,1+4*($D$5-$C$5)/($E$5-$C$5),1+4*($E$5-$D$5)/($E$5-$C$5),$C$5,$E$5)</f>
        <v/>
      </c>
      <c r="N2862" s="14">
        <f>IF($AB2862&lt;($D$6-$C$6)/($E$6-$C$6),$C$6+SQRT($AB2862*($E$6-$C$6)*($D$6-$C$6)),$E$6-SQRT((1-$AB2862)*($E$6-$C$6)*($E$6-$D$6)))</f>
        <v/>
      </c>
      <c r="O2862" s="14">
        <f>_xlfn.NORM.INV($AC2862,$C$7,$D$7)</f>
        <v/>
      </c>
      <c r="P2862" s="14">
        <f>$C$8+($D$8-$C$8)*$AD2862</f>
        <v/>
      </c>
      <c r="Q2862" s="14">
        <f>$C$9</f>
        <v/>
      </c>
      <c r="R2862" s="14">
        <f>_xlfn.LOGNORM.INV($AF2862,LN($C$10)-0.5*LN(1+($D$10/$C$10)^2),SQRT(LN(1+($D$10/$C$10)^2)))</f>
        <v/>
      </c>
      <c r="S2862" s="14">
        <f>SUM(M2862:R2862)</f>
        <v/>
      </c>
      <c r="AA2862">
        <f>RAND()</f>
        <v/>
      </c>
      <c r="AB2862">
        <f>RAND()</f>
        <v/>
      </c>
      <c r="AC2862">
        <f>RAND()</f>
        <v/>
      </c>
      <c r="AD2862">
        <f>RAND()</f>
        <v/>
      </c>
      <c r="AE2862">
        <f>RAND()</f>
        <v/>
      </c>
      <c r="AF2862">
        <f>RAND()</f>
        <v/>
      </c>
    </row>
    <row r="2863">
      <c r="M2863" s="14">
        <f>_xlfn.BETA.INV($AA2863,1+4*($D$5-$C$5)/($E$5-$C$5),1+4*($E$5-$D$5)/($E$5-$C$5),$C$5,$E$5)</f>
        <v/>
      </c>
      <c r="N2863" s="14">
        <f>IF($AB2863&lt;($D$6-$C$6)/($E$6-$C$6),$C$6+SQRT($AB2863*($E$6-$C$6)*($D$6-$C$6)),$E$6-SQRT((1-$AB2863)*($E$6-$C$6)*($E$6-$D$6)))</f>
        <v/>
      </c>
      <c r="O2863" s="14">
        <f>_xlfn.NORM.INV($AC2863,$C$7,$D$7)</f>
        <v/>
      </c>
      <c r="P2863" s="14">
        <f>$C$8+($D$8-$C$8)*$AD2863</f>
        <v/>
      </c>
      <c r="Q2863" s="14">
        <f>$C$9</f>
        <v/>
      </c>
      <c r="R2863" s="14">
        <f>_xlfn.LOGNORM.INV($AF2863,LN($C$10)-0.5*LN(1+($D$10/$C$10)^2),SQRT(LN(1+($D$10/$C$10)^2)))</f>
        <v/>
      </c>
      <c r="S2863" s="14">
        <f>SUM(M2863:R2863)</f>
        <v/>
      </c>
      <c r="AA2863">
        <f>RAND()</f>
        <v/>
      </c>
      <c r="AB2863">
        <f>RAND()</f>
        <v/>
      </c>
      <c r="AC2863">
        <f>RAND()</f>
        <v/>
      </c>
      <c r="AD2863">
        <f>RAND()</f>
        <v/>
      </c>
      <c r="AE2863">
        <f>RAND()</f>
        <v/>
      </c>
      <c r="AF2863">
        <f>RAND()</f>
        <v/>
      </c>
    </row>
    <row r="2864">
      <c r="M2864" s="14">
        <f>_xlfn.BETA.INV($AA2864,1+4*($D$5-$C$5)/($E$5-$C$5),1+4*($E$5-$D$5)/($E$5-$C$5),$C$5,$E$5)</f>
        <v/>
      </c>
      <c r="N2864" s="14">
        <f>IF($AB2864&lt;($D$6-$C$6)/($E$6-$C$6),$C$6+SQRT($AB2864*($E$6-$C$6)*($D$6-$C$6)),$E$6-SQRT((1-$AB2864)*($E$6-$C$6)*($E$6-$D$6)))</f>
        <v/>
      </c>
      <c r="O2864" s="14">
        <f>_xlfn.NORM.INV($AC2864,$C$7,$D$7)</f>
        <v/>
      </c>
      <c r="P2864" s="14">
        <f>$C$8+($D$8-$C$8)*$AD2864</f>
        <v/>
      </c>
      <c r="Q2864" s="14">
        <f>$C$9</f>
        <v/>
      </c>
      <c r="R2864" s="14">
        <f>_xlfn.LOGNORM.INV($AF2864,LN($C$10)-0.5*LN(1+($D$10/$C$10)^2),SQRT(LN(1+($D$10/$C$10)^2)))</f>
        <v/>
      </c>
      <c r="S2864" s="14">
        <f>SUM(M2864:R2864)</f>
        <v/>
      </c>
      <c r="AA2864">
        <f>RAND()</f>
        <v/>
      </c>
      <c r="AB2864">
        <f>RAND()</f>
        <v/>
      </c>
      <c r="AC2864">
        <f>RAND()</f>
        <v/>
      </c>
      <c r="AD2864">
        <f>RAND()</f>
        <v/>
      </c>
      <c r="AE2864">
        <f>RAND()</f>
        <v/>
      </c>
      <c r="AF2864">
        <f>RAND()</f>
        <v/>
      </c>
    </row>
    <row r="2865">
      <c r="M2865" s="14">
        <f>_xlfn.BETA.INV($AA2865,1+4*($D$5-$C$5)/($E$5-$C$5),1+4*($E$5-$D$5)/($E$5-$C$5),$C$5,$E$5)</f>
        <v/>
      </c>
      <c r="N2865" s="14">
        <f>IF($AB2865&lt;($D$6-$C$6)/($E$6-$C$6),$C$6+SQRT($AB2865*($E$6-$C$6)*($D$6-$C$6)),$E$6-SQRT((1-$AB2865)*($E$6-$C$6)*($E$6-$D$6)))</f>
        <v/>
      </c>
      <c r="O2865" s="14">
        <f>_xlfn.NORM.INV($AC2865,$C$7,$D$7)</f>
        <v/>
      </c>
      <c r="P2865" s="14">
        <f>$C$8+($D$8-$C$8)*$AD2865</f>
        <v/>
      </c>
      <c r="Q2865" s="14">
        <f>$C$9</f>
        <v/>
      </c>
      <c r="R2865" s="14">
        <f>_xlfn.LOGNORM.INV($AF2865,LN($C$10)-0.5*LN(1+($D$10/$C$10)^2),SQRT(LN(1+($D$10/$C$10)^2)))</f>
        <v/>
      </c>
      <c r="S2865" s="14">
        <f>SUM(M2865:R2865)</f>
        <v/>
      </c>
      <c r="AA2865">
        <f>RAND()</f>
        <v/>
      </c>
      <c r="AB2865">
        <f>RAND()</f>
        <v/>
      </c>
      <c r="AC2865">
        <f>RAND()</f>
        <v/>
      </c>
      <c r="AD2865">
        <f>RAND()</f>
        <v/>
      </c>
      <c r="AE2865">
        <f>RAND()</f>
        <v/>
      </c>
      <c r="AF2865">
        <f>RAND()</f>
        <v/>
      </c>
    </row>
    <row r="2866">
      <c r="M2866" s="14">
        <f>_xlfn.BETA.INV($AA2866,1+4*($D$5-$C$5)/($E$5-$C$5),1+4*($E$5-$D$5)/($E$5-$C$5),$C$5,$E$5)</f>
        <v/>
      </c>
      <c r="N2866" s="14">
        <f>IF($AB2866&lt;($D$6-$C$6)/($E$6-$C$6),$C$6+SQRT($AB2866*($E$6-$C$6)*($D$6-$C$6)),$E$6-SQRT((1-$AB2866)*($E$6-$C$6)*($E$6-$D$6)))</f>
        <v/>
      </c>
      <c r="O2866" s="14">
        <f>_xlfn.NORM.INV($AC2866,$C$7,$D$7)</f>
        <v/>
      </c>
      <c r="P2866" s="14">
        <f>$C$8+($D$8-$C$8)*$AD2866</f>
        <v/>
      </c>
      <c r="Q2866" s="14">
        <f>$C$9</f>
        <v/>
      </c>
      <c r="R2866" s="14">
        <f>_xlfn.LOGNORM.INV($AF2866,LN($C$10)-0.5*LN(1+($D$10/$C$10)^2),SQRT(LN(1+($D$10/$C$10)^2)))</f>
        <v/>
      </c>
      <c r="S2866" s="14">
        <f>SUM(M2866:R2866)</f>
        <v/>
      </c>
      <c r="AA2866">
        <f>RAND()</f>
        <v/>
      </c>
      <c r="AB2866">
        <f>RAND()</f>
        <v/>
      </c>
      <c r="AC2866">
        <f>RAND()</f>
        <v/>
      </c>
      <c r="AD2866">
        <f>RAND()</f>
        <v/>
      </c>
      <c r="AE2866">
        <f>RAND()</f>
        <v/>
      </c>
      <c r="AF2866">
        <f>RAND()</f>
        <v/>
      </c>
    </row>
    <row r="2867">
      <c r="M2867" s="14">
        <f>_xlfn.BETA.INV($AA2867,1+4*($D$5-$C$5)/($E$5-$C$5),1+4*($E$5-$D$5)/($E$5-$C$5),$C$5,$E$5)</f>
        <v/>
      </c>
      <c r="N2867" s="14">
        <f>IF($AB2867&lt;($D$6-$C$6)/($E$6-$C$6),$C$6+SQRT($AB2867*($E$6-$C$6)*($D$6-$C$6)),$E$6-SQRT((1-$AB2867)*($E$6-$C$6)*($E$6-$D$6)))</f>
        <v/>
      </c>
      <c r="O2867" s="14">
        <f>_xlfn.NORM.INV($AC2867,$C$7,$D$7)</f>
        <v/>
      </c>
      <c r="P2867" s="14">
        <f>$C$8+($D$8-$C$8)*$AD2867</f>
        <v/>
      </c>
      <c r="Q2867" s="14">
        <f>$C$9</f>
        <v/>
      </c>
      <c r="R2867" s="14">
        <f>_xlfn.LOGNORM.INV($AF2867,LN($C$10)-0.5*LN(1+($D$10/$C$10)^2),SQRT(LN(1+($D$10/$C$10)^2)))</f>
        <v/>
      </c>
      <c r="S2867" s="14">
        <f>SUM(M2867:R2867)</f>
        <v/>
      </c>
      <c r="AA2867">
        <f>RAND()</f>
        <v/>
      </c>
      <c r="AB2867">
        <f>RAND()</f>
        <v/>
      </c>
      <c r="AC2867">
        <f>RAND()</f>
        <v/>
      </c>
      <c r="AD2867">
        <f>RAND()</f>
        <v/>
      </c>
      <c r="AE2867">
        <f>RAND()</f>
        <v/>
      </c>
      <c r="AF2867">
        <f>RAND()</f>
        <v/>
      </c>
    </row>
    <row r="2868">
      <c r="M2868" s="14">
        <f>_xlfn.BETA.INV($AA2868,1+4*($D$5-$C$5)/($E$5-$C$5),1+4*($E$5-$D$5)/($E$5-$C$5),$C$5,$E$5)</f>
        <v/>
      </c>
      <c r="N2868" s="14">
        <f>IF($AB2868&lt;($D$6-$C$6)/($E$6-$C$6),$C$6+SQRT($AB2868*($E$6-$C$6)*($D$6-$C$6)),$E$6-SQRT((1-$AB2868)*($E$6-$C$6)*($E$6-$D$6)))</f>
        <v/>
      </c>
      <c r="O2868" s="14">
        <f>_xlfn.NORM.INV($AC2868,$C$7,$D$7)</f>
        <v/>
      </c>
      <c r="P2868" s="14">
        <f>$C$8+($D$8-$C$8)*$AD2868</f>
        <v/>
      </c>
      <c r="Q2868" s="14">
        <f>$C$9</f>
        <v/>
      </c>
      <c r="R2868" s="14">
        <f>_xlfn.LOGNORM.INV($AF2868,LN($C$10)-0.5*LN(1+($D$10/$C$10)^2),SQRT(LN(1+($D$10/$C$10)^2)))</f>
        <v/>
      </c>
      <c r="S2868" s="14">
        <f>SUM(M2868:R2868)</f>
        <v/>
      </c>
      <c r="AA2868">
        <f>RAND()</f>
        <v/>
      </c>
      <c r="AB2868">
        <f>RAND()</f>
        <v/>
      </c>
      <c r="AC2868">
        <f>RAND()</f>
        <v/>
      </c>
      <c r="AD2868">
        <f>RAND()</f>
        <v/>
      </c>
      <c r="AE2868">
        <f>RAND()</f>
        <v/>
      </c>
      <c r="AF2868">
        <f>RAND()</f>
        <v/>
      </c>
    </row>
    <row r="2869">
      <c r="M2869" s="14">
        <f>_xlfn.BETA.INV($AA2869,1+4*($D$5-$C$5)/($E$5-$C$5),1+4*($E$5-$D$5)/($E$5-$C$5),$C$5,$E$5)</f>
        <v/>
      </c>
      <c r="N2869" s="14">
        <f>IF($AB2869&lt;($D$6-$C$6)/($E$6-$C$6),$C$6+SQRT($AB2869*($E$6-$C$6)*($D$6-$C$6)),$E$6-SQRT((1-$AB2869)*($E$6-$C$6)*($E$6-$D$6)))</f>
        <v/>
      </c>
      <c r="O2869" s="14">
        <f>_xlfn.NORM.INV($AC2869,$C$7,$D$7)</f>
        <v/>
      </c>
      <c r="P2869" s="14">
        <f>$C$8+($D$8-$C$8)*$AD2869</f>
        <v/>
      </c>
      <c r="Q2869" s="14">
        <f>$C$9</f>
        <v/>
      </c>
      <c r="R2869" s="14">
        <f>_xlfn.LOGNORM.INV($AF2869,LN($C$10)-0.5*LN(1+($D$10/$C$10)^2),SQRT(LN(1+($D$10/$C$10)^2)))</f>
        <v/>
      </c>
      <c r="S2869" s="14">
        <f>SUM(M2869:R2869)</f>
        <v/>
      </c>
      <c r="AA2869">
        <f>RAND()</f>
        <v/>
      </c>
      <c r="AB2869">
        <f>RAND()</f>
        <v/>
      </c>
      <c r="AC2869">
        <f>RAND()</f>
        <v/>
      </c>
      <c r="AD2869">
        <f>RAND()</f>
        <v/>
      </c>
      <c r="AE2869">
        <f>RAND()</f>
        <v/>
      </c>
      <c r="AF2869">
        <f>RAND()</f>
        <v/>
      </c>
    </row>
    <row r="2870">
      <c r="M2870" s="14">
        <f>_xlfn.BETA.INV($AA2870,1+4*($D$5-$C$5)/($E$5-$C$5),1+4*($E$5-$D$5)/($E$5-$C$5),$C$5,$E$5)</f>
        <v/>
      </c>
      <c r="N2870" s="14">
        <f>IF($AB2870&lt;($D$6-$C$6)/($E$6-$C$6),$C$6+SQRT($AB2870*($E$6-$C$6)*($D$6-$C$6)),$E$6-SQRT((1-$AB2870)*($E$6-$C$6)*($E$6-$D$6)))</f>
        <v/>
      </c>
      <c r="O2870" s="14">
        <f>_xlfn.NORM.INV($AC2870,$C$7,$D$7)</f>
        <v/>
      </c>
      <c r="P2870" s="14">
        <f>$C$8+($D$8-$C$8)*$AD2870</f>
        <v/>
      </c>
      <c r="Q2870" s="14">
        <f>$C$9</f>
        <v/>
      </c>
      <c r="R2870" s="14">
        <f>_xlfn.LOGNORM.INV($AF2870,LN($C$10)-0.5*LN(1+($D$10/$C$10)^2),SQRT(LN(1+($D$10/$C$10)^2)))</f>
        <v/>
      </c>
      <c r="S2870" s="14">
        <f>SUM(M2870:R2870)</f>
        <v/>
      </c>
      <c r="AA2870">
        <f>RAND()</f>
        <v/>
      </c>
      <c r="AB2870">
        <f>RAND()</f>
        <v/>
      </c>
      <c r="AC2870">
        <f>RAND()</f>
        <v/>
      </c>
      <c r="AD2870">
        <f>RAND()</f>
        <v/>
      </c>
      <c r="AE2870">
        <f>RAND()</f>
        <v/>
      </c>
      <c r="AF2870">
        <f>RAND()</f>
        <v/>
      </c>
    </row>
    <row r="2871">
      <c r="M2871" s="14">
        <f>_xlfn.BETA.INV($AA2871,1+4*($D$5-$C$5)/($E$5-$C$5),1+4*($E$5-$D$5)/($E$5-$C$5),$C$5,$E$5)</f>
        <v/>
      </c>
      <c r="N2871" s="14">
        <f>IF($AB2871&lt;($D$6-$C$6)/($E$6-$C$6),$C$6+SQRT($AB2871*($E$6-$C$6)*($D$6-$C$6)),$E$6-SQRT((1-$AB2871)*($E$6-$C$6)*($E$6-$D$6)))</f>
        <v/>
      </c>
      <c r="O2871" s="14">
        <f>_xlfn.NORM.INV($AC2871,$C$7,$D$7)</f>
        <v/>
      </c>
      <c r="P2871" s="14">
        <f>$C$8+($D$8-$C$8)*$AD2871</f>
        <v/>
      </c>
      <c r="Q2871" s="14">
        <f>$C$9</f>
        <v/>
      </c>
      <c r="R2871" s="14">
        <f>_xlfn.LOGNORM.INV($AF2871,LN($C$10)-0.5*LN(1+($D$10/$C$10)^2),SQRT(LN(1+($D$10/$C$10)^2)))</f>
        <v/>
      </c>
      <c r="S2871" s="14">
        <f>SUM(M2871:R2871)</f>
        <v/>
      </c>
      <c r="AA2871">
        <f>RAND()</f>
        <v/>
      </c>
      <c r="AB2871">
        <f>RAND()</f>
        <v/>
      </c>
      <c r="AC2871">
        <f>RAND()</f>
        <v/>
      </c>
      <c r="AD2871">
        <f>RAND()</f>
        <v/>
      </c>
      <c r="AE2871">
        <f>RAND()</f>
        <v/>
      </c>
      <c r="AF2871">
        <f>RAND()</f>
        <v/>
      </c>
    </row>
    <row r="2872">
      <c r="M2872" s="14">
        <f>_xlfn.BETA.INV($AA2872,1+4*($D$5-$C$5)/($E$5-$C$5),1+4*($E$5-$D$5)/($E$5-$C$5),$C$5,$E$5)</f>
        <v/>
      </c>
      <c r="N2872" s="14">
        <f>IF($AB2872&lt;($D$6-$C$6)/($E$6-$C$6),$C$6+SQRT($AB2872*($E$6-$C$6)*($D$6-$C$6)),$E$6-SQRT((1-$AB2872)*($E$6-$C$6)*($E$6-$D$6)))</f>
        <v/>
      </c>
      <c r="O2872" s="14">
        <f>_xlfn.NORM.INV($AC2872,$C$7,$D$7)</f>
        <v/>
      </c>
      <c r="P2872" s="14">
        <f>$C$8+($D$8-$C$8)*$AD2872</f>
        <v/>
      </c>
      <c r="Q2872" s="14">
        <f>$C$9</f>
        <v/>
      </c>
      <c r="R2872" s="14">
        <f>_xlfn.LOGNORM.INV($AF2872,LN($C$10)-0.5*LN(1+($D$10/$C$10)^2),SQRT(LN(1+($D$10/$C$10)^2)))</f>
        <v/>
      </c>
      <c r="S2872" s="14">
        <f>SUM(M2872:R2872)</f>
        <v/>
      </c>
      <c r="AA2872">
        <f>RAND()</f>
        <v/>
      </c>
      <c r="AB2872">
        <f>RAND()</f>
        <v/>
      </c>
      <c r="AC2872">
        <f>RAND()</f>
        <v/>
      </c>
      <c r="AD2872">
        <f>RAND()</f>
        <v/>
      </c>
      <c r="AE2872">
        <f>RAND()</f>
        <v/>
      </c>
      <c r="AF2872">
        <f>RAND()</f>
        <v/>
      </c>
    </row>
    <row r="2873">
      <c r="M2873" s="14">
        <f>_xlfn.BETA.INV($AA2873,1+4*($D$5-$C$5)/($E$5-$C$5),1+4*($E$5-$D$5)/($E$5-$C$5),$C$5,$E$5)</f>
        <v/>
      </c>
      <c r="N2873" s="14">
        <f>IF($AB2873&lt;($D$6-$C$6)/($E$6-$C$6),$C$6+SQRT($AB2873*($E$6-$C$6)*($D$6-$C$6)),$E$6-SQRT((1-$AB2873)*($E$6-$C$6)*($E$6-$D$6)))</f>
        <v/>
      </c>
      <c r="O2873" s="14">
        <f>_xlfn.NORM.INV($AC2873,$C$7,$D$7)</f>
        <v/>
      </c>
      <c r="P2873" s="14">
        <f>$C$8+($D$8-$C$8)*$AD2873</f>
        <v/>
      </c>
      <c r="Q2873" s="14">
        <f>$C$9</f>
        <v/>
      </c>
      <c r="R2873" s="14">
        <f>_xlfn.LOGNORM.INV($AF2873,LN($C$10)-0.5*LN(1+($D$10/$C$10)^2),SQRT(LN(1+($D$10/$C$10)^2)))</f>
        <v/>
      </c>
      <c r="S2873" s="14">
        <f>SUM(M2873:R2873)</f>
        <v/>
      </c>
      <c r="AA2873">
        <f>RAND()</f>
        <v/>
      </c>
      <c r="AB2873">
        <f>RAND()</f>
        <v/>
      </c>
      <c r="AC2873">
        <f>RAND()</f>
        <v/>
      </c>
      <c r="AD2873">
        <f>RAND()</f>
        <v/>
      </c>
      <c r="AE2873">
        <f>RAND()</f>
        <v/>
      </c>
      <c r="AF2873">
        <f>RAND()</f>
        <v/>
      </c>
    </row>
    <row r="2874">
      <c r="M2874" s="14">
        <f>_xlfn.BETA.INV($AA2874,1+4*($D$5-$C$5)/($E$5-$C$5),1+4*($E$5-$D$5)/($E$5-$C$5),$C$5,$E$5)</f>
        <v/>
      </c>
      <c r="N2874" s="14">
        <f>IF($AB2874&lt;($D$6-$C$6)/($E$6-$C$6),$C$6+SQRT($AB2874*($E$6-$C$6)*($D$6-$C$6)),$E$6-SQRT((1-$AB2874)*($E$6-$C$6)*($E$6-$D$6)))</f>
        <v/>
      </c>
      <c r="O2874" s="14">
        <f>_xlfn.NORM.INV($AC2874,$C$7,$D$7)</f>
        <v/>
      </c>
      <c r="P2874" s="14">
        <f>$C$8+($D$8-$C$8)*$AD2874</f>
        <v/>
      </c>
      <c r="Q2874" s="14">
        <f>$C$9</f>
        <v/>
      </c>
      <c r="R2874" s="14">
        <f>_xlfn.LOGNORM.INV($AF2874,LN($C$10)-0.5*LN(1+($D$10/$C$10)^2),SQRT(LN(1+($D$10/$C$10)^2)))</f>
        <v/>
      </c>
      <c r="S2874" s="14">
        <f>SUM(M2874:R2874)</f>
        <v/>
      </c>
      <c r="AA2874">
        <f>RAND()</f>
        <v/>
      </c>
      <c r="AB2874">
        <f>RAND()</f>
        <v/>
      </c>
      <c r="AC2874">
        <f>RAND()</f>
        <v/>
      </c>
      <c r="AD2874">
        <f>RAND()</f>
        <v/>
      </c>
      <c r="AE2874">
        <f>RAND()</f>
        <v/>
      </c>
      <c r="AF2874">
        <f>RAND()</f>
        <v/>
      </c>
    </row>
    <row r="2875">
      <c r="M2875" s="14">
        <f>_xlfn.BETA.INV($AA2875,1+4*($D$5-$C$5)/($E$5-$C$5),1+4*($E$5-$D$5)/($E$5-$C$5),$C$5,$E$5)</f>
        <v/>
      </c>
      <c r="N2875" s="14">
        <f>IF($AB2875&lt;($D$6-$C$6)/($E$6-$C$6),$C$6+SQRT($AB2875*($E$6-$C$6)*($D$6-$C$6)),$E$6-SQRT((1-$AB2875)*($E$6-$C$6)*($E$6-$D$6)))</f>
        <v/>
      </c>
      <c r="O2875" s="14">
        <f>_xlfn.NORM.INV($AC2875,$C$7,$D$7)</f>
        <v/>
      </c>
      <c r="P2875" s="14">
        <f>$C$8+($D$8-$C$8)*$AD2875</f>
        <v/>
      </c>
      <c r="Q2875" s="14">
        <f>$C$9</f>
        <v/>
      </c>
      <c r="R2875" s="14">
        <f>_xlfn.LOGNORM.INV($AF2875,LN($C$10)-0.5*LN(1+($D$10/$C$10)^2),SQRT(LN(1+($D$10/$C$10)^2)))</f>
        <v/>
      </c>
      <c r="S2875" s="14">
        <f>SUM(M2875:R2875)</f>
        <v/>
      </c>
      <c r="AA2875">
        <f>RAND()</f>
        <v/>
      </c>
      <c r="AB2875">
        <f>RAND()</f>
        <v/>
      </c>
      <c r="AC2875">
        <f>RAND()</f>
        <v/>
      </c>
      <c r="AD2875">
        <f>RAND()</f>
        <v/>
      </c>
      <c r="AE2875">
        <f>RAND()</f>
        <v/>
      </c>
      <c r="AF2875">
        <f>RAND()</f>
        <v/>
      </c>
    </row>
    <row r="2876">
      <c r="M2876" s="14">
        <f>_xlfn.BETA.INV($AA2876,1+4*($D$5-$C$5)/($E$5-$C$5),1+4*($E$5-$D$5)/($E$5-$C$5),$C$5,$E$5)</f>
        <v/>
      </c>
      <c r="N2876" s="14">
        <f>IF($AB2876&lt;($D$6-$C$6)/($E$6-$C$6),$C$6+SQRT($AB2876*($E$6-$C$6)*($D$6-$C$6)),$E$6-SQRT((1-$AB2876)*($E$6-$C$6)*($E$6-$D$6)))</f>
        <v/>
      </c>
      <c r="O2876" s="14">
        <f>_xlfn.NORM.INV($AC2876,$C$7,$D$7)</f>
        <v/>
      </c>
      <c r="P2876" s="14">
        <f>$C$8+($D$8-$C$8)*$AD2876</f>
        <v/>
      </c>
      <c r="Q2876" s="14">
        <f>$C$9</f>
        <v/>
      </c>
      <c r="R2876" s="14">
        <f>_xlfn.LOGNORM.INV($AF2876,LN($C$10)-0.5*LN(1+($D$10/$C$10)^2),SQRT(LN(1+($D$10/$C$10)^2)))</f>
        <v/>
      </c>
      <c r="S2876" s="14">
        <f>SUM(M2876:R2876)</f>
        <v/>
      </c>
      <c r="AA2876">
        <f>RAND()</f>
        <v/>
      </c>
      <c r="AB2876">
        <f>RAND()</f>
        <v/>
      </c>
      <c r="AC2876">
        <f>RAND()</f>
        <v/>
      </c>
      <c r="AD2876">
        <f>RAND()</f>
        <v/>
      </c>
      <c r="AE2876">
        <f>RAND()</f>
        <v/>
      </c>
      <c r="AF2876">
        <f>RAND()</f>
        <v/>
      </c>
    </row>
    <row r="2877">
      <c r="M2877" s="14">
        <f>_xlfn.BETA.INV($AA2877,1+4*($D$5-$C$5)/($E$5-$C$5),1+4*($E$5-$D$5)/($E$5-$C$5),$C$5,$E$5)</f>
        <v/>
      </c>
      <c r="N2877" s="14">
        <f>IF($AB2877&lt;($D$6-$C$6)/($E$6-$C$6),$C$6+SQRT($AB2877*($E$6-$C$6)*($D$6-$C$6)),$E$6-SQRT((1-$AB2877)*($E$6-$C$6)*($E$6-$D$6)))</f>
        <v/>
      </c>
      <c r="O2877" s="14">
        <f>_xlfn.NORM.INV($AC2877,$C$7,$D$7)</f>
        <v/>
      </c>
      <c r="P2877" s="14">
        <f>$C$8+($D$8-$C$8)*$AD2877</f>
        <v/>
      </c>
      <c r="Q2877" s="14">
        <f>$C$9</f>
        <v/>
      </c>
      <c r="R2877" s="14">
        <f>_xlfn.LOGNORM.INV($AF2877,LN($C$10)-0.5*LN(1+($D$10/$C$10)^2),SQRT(LN(1+($D$10/$C$10)^2)))</f>
        <v/>
      </c>
      <c r="S2877" s="14">
        <f>SUM(M2877:R2877)</f>
        <v/>
      </c>
      <c r="AA2877">
        <f>RAND()</f>
        <v/>
      </c>
      <c r="AB2877">
        <f>RAND()</f>
        <v/>
      </c>
      <c r="AC2877">
        <f>RAND()</f>
        <v/>
      </c>
      <c r="AD2877">
        <f>RAND()</f>
        <v/>
      </c>
      <c r="AE2877">
        <f>RAND()</f>
        <v/>
      </c>
      <c r="AF2877">
        <f>RAND()</f>
        <v/>
      </c>
    </row>
    <row r="2878">
      <c r="M2878" s="14">
        <f>_xlfn.BETA.INV($AA2878,1+4*($D$5-$C$5)/($E$5-$C$5),1+4*($E$5-$D$5)/($E$5-$C$5),$C$5,$E$5)</f>
        <v/>
      </c>
      <c r="N2878" s="14">
        <f>IF($AB2878&lt;($D$6-$C$6)/($E$6-$C$6),$C$6+SQRT($AB2878*($E$6-$C$6)*($D$6-$C$6)),$E$6-SQRT((1-$AB2878)*($E$6-$C$6)*($E$6-$D$6)))</f>
        <v/>
      </c>
      <c r="O2878" s="14">
        <f>_xlfn.NORM.INV($AC2878,$C$7,$D$7)</f>
        <v/>
      </c>
      <c r="P2878" s="14">
        <f>$C$8+($D$8-$C$8)*$AD2878</f>
        <v/>
      </c>
      <c r="Q2878" s="14">
        <f>$C$9</f>
        <v/>
      </c>
      <c r="R2878" s="14">
        <f>_xlfn.LOGNORM.INV($AF2878,LN($C$10)-0.5*LN(1+($D$10/$C$10)^2),SQRT(LN(1+($D$10/$C$10)^2)))</f>
        <v/>
      </c>
      <c r="S2878" s="14">
        <f>SUM(M2878:R2878)</f>
        <v/>
      </c>
      <c r="AA2878">
        <f>RAND()</f>
        <v/>
      </c>
      <c r="AB2878">
        <f>RAND()</f>
        <v/>
      </c>
      <c r="AC2878">
        <f>RAND()</f>
        <v/>
      </c>
      <c r="AD2878">
        <f>RAND()</f>
        <v/>
      </c>
      <c r="AE2878">
        <f>RAND()</f>
        <v/>
      </c>
      <c r="AF2878">
        <f>RAND()</f>
        <v/>
      </c>
    </row>
    <row r="2879">
      <c r="M2879" s="14">
        <f>_xlfn.BETA.INV($AA2879,1+4*($D$5-$C$5)/($E$5-$C$5),1+4*($E$5-$D$5)/($E$5-$C$5),$C$5,$E$5)</f>
        <v/>
      </c>
      <c r="N2879" s="14">
        <f>IF($AB2879&lt;($D$6-$C$6)/($E$6-$C$6),$C$6+SQRT($AB2879*($E$6-$C$6)*($D$6-$C$6)),$E$6-SQRT((1-$AB2879)*($E$6-$C$6)*($E$6-$D$6)))</f>
        <v/>
      </c>
      <c r="O2879" s="14">
        <f>_xlfn.NORM.INV($AC2879,$C$7,$D$7)</f>
        <v/>
      </c>
      <c r="P2879" s="14">
        <f>$C$8+($D$8-$C$8)*$AD2879</f>
        <v/>
      </c>
      <c r="Q2879" s="14">
        <f>$C$9</f>
        <v/>
      </c>
      <c r="R2879" s="14">
        <f>_xlfn.LOGNORM.INV($AF2879,LN($C$10)-0.5*LN(1+($D$10/$C$10)^2),SQRT(LN(1+($D$10/$C$10)^2)))</f>
        <v/>
      </c>
      <c r="S2879" s="14">
        <f>SUM(M2879:R2879)</f>
        <v/>
      </c>
      <c r="AA2879">
        <f>RAND()</f>
        <v/>
      </c>
      <c r="AB2879">
        <f>RAND()</f>
        <v/>
      </c>
      <c r="AC2879">
        <f>RAND()</f>
        <v/>
      </c>
      <c r="AD2879">
        <f>RAND()</f>
        <v/>
      </c>
      <c r="AE2879">
        <f>RAND()</f>
        <v/>
      </c>
      <c r="AF2879">
        <f>RAND()</f>
        <v/>
      </c>
    </row>
    <row r="2880">
      <c r="M2880" s="14">
        <f>_xlfn.BETA.INV($AA2880,1+4*($D$5-$C$5)/($E$5-$C$5),1+4*($E$5-$D$5)/($E$5-$C$5),$C$5,$E$5)</f>
        <v/>
      </c>
      <c r="N2880" s="14">
        <f>IF($AB2880&lt;($D$6-$C$6)/($E$6-$C$6),$C$6+SQRT($AB2880*($E$6-$C$6)*($D$6-$C$6)),$E$6-SQRT((1-$AB2880)*($E$6-$C$6)*($E$6-$D$6)))</f>
        <v/>
      </c>
      <c r="O2880" s="14">
        <f>_xlfn.NORM.INV($AC2880,$C$7,$D$7)</f>
        <v/>
      </c>
      <c r="P2880" s="14">
        <f>$C$8+($D$8-$C$8)*$AD2880</f>
        <v/>
      </c>
      <c r="Q2880" s="14">
        <f>$C$9</f>
        <v/>
      </c>
      <c r="R2880" s="14">
        <f>_xlfn.LOGNORM.INV($AF2880,LN($C$10)-0.5*LN(1+($D$10/$C$10)^2),SQRT(LN(1+($D$10/$C$10)^2)))</f>
        <v/>
      </c>
      <c r="S2880" s="14">
        <f>SUM(M2880:R2880)</f>
        <v/>
      </c>
      <c r="AA2880">
        <f>RAND()</f>
        <v/>
      </c>
      <c r="AB2880">
        <f>RAND()</f>
        <v/>
      </c>
      <c r="AC2880">
        <f>RAND()</f>
        <v/>
      </c>
      <c r="AD2880">
        <f>RAND()</f>
        <v/>
      </c>
      <c r="AE2880">
        <f>RAND()</f>
        <v/>
      </c>
      <c r="AF2880">
        <f>RAND()</f>
        <v/>
      </c>
    </row>
    <row r="2881">
      <c r="M2881" s="14">
        <f>_xlfn.BETA.INV($AA2881,1+4*($D$5-$C$5)/($E$5-$C$5),1+4*($E$5-$D$5)/($E$5-$C$5),$C$5,$E$5)</f>
        <v/>
      </c>
      <c r="N2881" s="14">
        <f>IF($AB2881&lt;($D$6-$C$6)/($E$6-$C$6),$C$6+SQRT($AB2881*($E$6-$C$6)*($D$6-$C$6)),$E$6-SQRT((1-$AB2881)*($E$6-$C$6)*($E$6-$D$6)))</f>
        <v/>
      </c>
      <c r="O2881" s="14">
        <f>_xlfn.NORM.INV($AC2881,$C$7,$D$7)</f>
        <v/>
      </c>
      <c r="P2881" s="14">
        <f>$C$8+($D$8-$C$8)*$AD2881</f>
        <v/>
      </c>
      <c r="Q2881" s="14">
        <f>$C$9</f>
        <v/>
      </c>
      <c r="R2881" s="14">
        <f>_xlfn.LOGNORM.INV($AF2881,LN($C$10)-0.5*LN(1+($D$10/$C$10)^2),SQRT(LN(1+($D$10/$C$10)^2)))</f>
        <v/>
      </c>
      <c r="S2881" s="14">
        <f>SUM(M2881:R2881)</f>
        <v/>
      </c>
      <c r="AA2881">
        <f>RAND()</f>
        <v/>
      </c>
      <c r="AB2881">
        <f>RAND()</f>
        <v/>
      </c>
      <c r="AC2881">
        <f>RAND()</f>
        <v/>
      </c>
      <c r="AD2881">
        <f>RAND()</f>
        <v/>
      </c>
      <c r="AE2881">
        <f>RAND()</f>
        <v/>
      </c>
      <c r="AF2881">
        <f>RAND()</f>
        <v/>
      </c>
    </row>
    <row r="2882">
      <c r="M2882" s="14">
        <f>_xlfn.BETA.INV($AA2882,1+4*($D$5-$C$5)/($E$5-$C$5),1+4*($E$5-$D$5)/($E$5-$C$5),$C$5,$E$5)</f>
        <v/>
      </c>
      <c r="N2882" s="14">
        <f>IF($AB2882&lt;($D$6-$C$6)/($E$6-$C$6),$C$6+SQRT($AB2882*($E$6-$C$6)*($D$6-$C$6)),$E$6-SQRT((1-$AB2882)*($E$6-$C$6)*($E$6-$D$6)))</f>
        <v/>
      </c>
      <c r="O2882" s="14">
        <f>_xlfn.NORM.INV($AC2882,$C$7,$D$7)</f>
        <v/>
      </c>
      <c r="P2882" s="14">
        <f>$C$8+($D$8-$C$8)*$AD2882</f>
        <v/>
      </c>
      <c r="Q2882" s="14">
        <f>$C$9</f>
        <v/>
      </c>
      <c r="R2882" s="14">
        <f>_xlfn.LOGNORM.INV($AF2882,LN($C$10)-0.5*LN(1+($D$10/$C$10)^2),SQRT(LN(1+($D$10/$C$10)^2)))</f>
        <v/>
      </c>
      <c r="S2882" s="14">
        <f>SUM(M2882:R2882)</f>
        <v/>
      </c>
      <c r="AA2882">
        <f>RAND()</f>
        <v/>
      </c>
      <c r="AB2882">
        <f>RAND()</f>
        <v/>
      </c>
      <c r="AC2882">
        <f>RAND()</f>
        <v/>
      </c>
      <c r="AD2882">
        <f>RAND()</f>
        <v/>
      </c>
      <c r="AE2882">
        <f>RAND()</f>
        <v/>
      </c>
      <c r="AF2882">
        <f>RAND()</f>
        <v/>
      </c>
    </row>
    <row r="2883">
      <c r="M2883" s="14">
        <f>_xlfn.BETA.INV($AA2883,1+4*($D$5-$C$5)/($E$5-$C$5),1+4*($E$5-$D$5)/($E$5-$C$5),$C$5,$E$5)</f>
        <v/>
      </c>
      <c r="N2883" s="14">
        <f>IF($AB2883&lt;($D$6-$C$6)/($E$6-$C$6),$C$6+SQRT($AB2883*($E$6-$C$6)*($D$6-$C$6)),$E$6-SQRT((1-$AB2883)*($E$6-$C$6)*($E$6-$D$6)))</f>
        <v/>
      </c>
      <c r="O2883" s="14">
        <f>_xlfn.NORM.INV($AC2883,$C$7,$D$7)</f>
        <v/>
      </c>
      <c r="P2883" s="14">
        <f>$C$8+($D$8-$C$8)*$AD2883</f>
        <v/>
      </c>
      <c r="Q2883" s="14">
        <f>$C$9</f>
        <v/>
      </c>
      <c r="R2883" s="14">
        <f>_xlfn.LOGNORM.INV($AF2883,LN($C$10)-0.5*LN(1+($D$10/$C$10)^2),SQRT(LN(1+($D$10/$C$10)^2)))</f>
        <v/>
      </c>
      <c r="S2883" s="14">
        <f>SUM(M2883:R2883)</f>
        <v/>
      </c>
      <c r="AA2883">
        <f>RAND()</f>
        <v/>
      </c>
      <c r="AB2883">
        <f>RAND()</f>
        <v/>
      </c>
      <c r="AC2883">
        <f>RAND()</f>
        <v/>
      </c>
      <c r="AD2883">
        <f>RAND()</f>
        <v/>
      </c>
      <c r="AE2883">
        <f>RAND()</f>
        <v/>
      </c>
      <c r="AF2883">
        <f>RAND()</f>
        <v/>
      </c>
    </row>
    <row r="2884">
      <c r="M2884" s="14">
        <f>_xlfn.BETA.INV($AA2884,1+4*($D$5-$C$5)/($E$5-$C$5),1+4*($E$5-$D$5)/($E$5-$C$5),$C$5,$E$5)</f>
        <v/>
      </c>
      <c r="N2884" s="14">
        <f>IF($AB2884&lt;($D$6-$C$6)/($E$6-$C$6),$C$6+SQRT($AB2884*($E$6-$C$6)*($D$6-$C$6)),$E$6-SQRT((1-$AB2884)*($E$6-$C$6)*($E$6-$D$6)))</f>
        <v/>
      </c>
      <c r="O2884" s="14">
        <f>_xlfn.NORM.INV($AC2884,$C$7,$D$7)</f>
        <v/>
      </c>
      <c r="P2884" s="14">
        <f>$C$8+($D$8-$C$8)*$AD2884</f>
        <v/>
      </c>
      <c r="Q2884" s="14">
        <f>$C$9</f>
        <v/>
      </c>
      <c r="R2884" s="14">
        <f>_xlfn.LOGNORM.INV($AF2884,LN($C$10)-0.5*LN(1+($D$10/$C$10)^2),SQRT(LN(1+($D$10/$C$10)^2)))</f>
        <v/>
      </c>
      <c r="S2884" s="14">
        <f>SUM(M2884:R2884)</f>
        <v/>
      </c>
      <c r="AA2884">
        <f>RAND()</f>
        <v/>
      </c>
      <c r="AB2884">
        <f>RAND()</f>
        <v/>
      </c>
      <c r="AC2884">
        <f>RAND()</f>
        <v/>
      </c>
      <c r="AD2884">
        <f>RAND()</f>
        <v/>
      </c>
      <c r="AE2884">
        <f>RAND()</f>
        <v/>
      </c>
      <c r="AF2884">
        <f>RAND()</f>
        <v/>
      </c>
    </row>
    <row r="2885">
      <c r="M2885" s="14">
        <f>_xlfn.BETA.INV($AA2885,1+4*($D$5-$C$5)/($E$5-$C$5),1+4*($E$5-$D$5)/($E$5-$C$5),$C$5,$E$5)</f>
        <v/>
      </c>
      <c r="N2885" s="14">
        <f>IF($AB2885&lt;($D$6-$C$6)/($E$6-$C$6),$C$6+SQRT($AB2885*($E$6-$C$6)*($D$6-$C$6)),$E$6-SQRT((1-$AB2885)*($E$6-$C$6)*($E$6-$D$6)))</f>
        <v/>
      </c>
      <c r="O2885" s="14">
        <f>_xlfn.NORM.INV($AC2885,$C$7,$D$7)</f>
        <v/>
      </c>
      <c r="P2885" s="14">
        <f>$C$8+($D$8-$C$8)*$AD2885</f>
        <v/>
      </c>
      <c r="Q2885" s="14">
        <f>$C$9</f>
        <v/>
      </c>
      <c r="R2885" s="14">
        <f>_xlfn.LOGNORM.INV($AF2885,LN($C$10)-0.5*LN(1+($D$10/$C$10)^2),SQRT(LN(1+($D$10/$C$10)^2)))</f>
        <v/>
      </c>
      <c r="S2885" s="14">
        <f>SUM(M2885:R2885)</f>
        <v/>
      </c>
      <c r="AA2885">
        <f>RAND()</f>
        <v/>
      </c>
      <c r="AB2885">
        <f>RAND()</f>
        <v/>
      </c>
      <c r="AC2885">
        <f>RAND()</f>
        <v/>
      </c>
      <c r="AD2885">
        <f>RAND()</f>
        <v/>
      </c>
      <c r="AE2885">
        <f>RAND()</f>
        <v/>
      </c>
      <c r="AF2885">
        <f>RAND()</f>
        <v/>
      </c>
    </row>
    <row r="2886">
      <c r="M2886" s="14">
        <f>_xlfn.BETA.INV($AA2886,1+4*($D$5-$C$5)/($E$5-$C$5),1+4*($E$5-$D$5)/($E$5-$C$5),$C$5,$E$5)</f>
        <v/>
      </c>
      <c r="N2886" s="14">
        <f>IF($AB2886&lt;($D$6-$C$6)/($E$6-$C$6),$C$6+SQRT($AB2886*($E$6-$C$6)*($D$6-$C$6)),$E$6-SQRT((1-$AB2886)*($E$6-$C$6)*($E$6-$D$6)))</f>
        <v/>
      </c>
      <c r="O2886" s="14">
        <f>_xlfn.NORM.INV($AC2886,$C$7,$D$7)</f>
        <v/>
      </c>
      <c r="P2886" s="14">
        <f>$C$8+($D$8-$C$8)*$AD2886</f>
        <v/>
      </c>
      <c r="Q2886" s="14">
        <f>$C$9</f>
        <v/>
      </c>
      <c r="R2886" s="14">
        <f>_xlfn.LOGNORM.INV($AF2886,LN($C$10)-0.5*LN(1+($D$10/$C$10)^2),SQRT(LN(1+($D$10/$C$10)^2)))</f>
        <v/>
      </c>
      <c r="S2886" s="14">
        <f>SUM(M2886:R2886)</f>
        <v/>
      </c>
      <c r="AA2886">
        <f>RAND()</f>
        <v/>
      </c>
      <c r="AB2886">
        <f>RAND()</f>
        <v/>
      </c>
      <c r="AC2886">
        <f>RAND()</f>
        <v/>
      </c>
      <c r="AD2886">
        <f>RAND()</f>
        <v/>
      </c>
      <c r="AE2886">
        <f>RAND()</f>
        <v/>
      </c>
      <c r="AF2886">
        <f>RAND()</f>
        <v/>
      </c>
    </row>
    <row r="2887">
      <c r="M2887" s="14">
        <f>_xlfn.BETA.INV($AA2887,1+4*($D$5-$C$5)/($E$5-$C$5),1+4*($E$5-$D$5)/($E$5-$C$5),$C$5,$E$5)</f>
        <v/>
      </c>
      <c r="N2887" s="14">
        <f>IF($AB2887&lt;($D$6-$C$6)/($E$6-$C$6),$C$6+SQRT($AB2887*($E$6-$C$6)*($D$6-$C$6)),$E$6-SQRT((1-$AB2887)*($E$6-$C$6)*($E$6-$D$6)))</f>
        <v/>
      </c>
      <c r="O2887" s="14">
        <f>_xlfn.NORM.INV($AC2887,$C$7,$D$7)</f>
        <v/>
      </c>
      <c r="P2887" s="14">
        <f>$C$8+($D$8-$C$8)*$AD2887</f>
        <v/>
      </c>
      <c r="Q2887" s="14">
        <f>$C$9</f>
        <v/>
      </c>
      <c r="R2887" s="14">
        <f>_xlfn.LOGNORM.INV($AF2887,LN($C$10)-0.5*LN(1+($D$10/$C$10)^2),SQRT(LN(1+($D$10/$C$10)^2)))</f>
        <v/>
      </c>
      <c r="S2887" s="14">
        <f>SUM(M2887:R2887)</f>
        <v/>
      </c>
      <c r="AA2887">
        <f>RAND()</f>
        <v/>
      </c>
      <c r="AB2887">
        <f>RAND()</f>
        <v/>
      </c>
      <c r="AC2887">
        <f>RAND()</f>
        <v/>
      </c>
      <c r="AD2887">
        <f>RAND()</f>
        <v/>
      </c>
      <c r="AE2887">
        <f>RAND()</f>
        <v/>
      </c>
      <c r="AF2887">
        <f>RAND()</f>
        <v/>
      </c>
    </row>
    <row r="2888">
      <c r="M2888" s="14">
        <f>_xlfn.BETA.INV($AA2888,1+4*($D$5-$C$5)/($E$5-$C$5),1+4*($E$5-$D$5)/($E$5-$C$5),$C$5,$E$5)</f>
        <v/>
      </c>
      <c r="N2888" s="14">
        <f>IF($AB2888&lt;($D$6-$C$6)/($E$6-$C$6),$C$6+SQRT($AB2888*($E$6-$C$6)*($D$6-$C$6)),$E$6-SQRT((1-$AB2888)*($E$6-$C$6)*($E$6-$D$6)))</f>
        <v/>
      </c>
      <c r="O2888" s="14">
        <f>_xlfn.NORM.INV($AC2888,$C$7,$D$7)</f>
        <v/>
      </c>
      <c r="P2888" s="14">
        <f>$C$8+($D$8-$C$8)*$AD2888</f>
        <v/>
      </c>
      <c r="Q2888" s="14">
        <f>$C$9</f>
        <v/>
      </c>
      <c r="R2888" s="14">
        <f>_xlfn.LOGNORM.INV($AF2888,LN($C$10)-0.5*LN(1+($D$10/$C$10)^2),SQRT(LN(1+($D$10/$C$10)^2)))</f>
        <v/>
      </c>
      <c r="S2888" s="14">
        <f>SUM(M2888:R2888)</f>
        <v/>
      </c>
      <c r="AA2888">
        <f>RAND()</f>
        <v/>
      </c>
      <c r="AB2888">
        <f>RAND()</f>
        <v/>
      </c>
      <c r="AC2888">
        <f>RAND()</f>
        <v/>
      </c>
      <c r="AD2888">
        <f>RAND()</f>
        <v/>
      </c>
      <c r="AE2888">
        <f>RAND()</f>
        <v/>
      </c>
      <c r="AF2888">
        <f>RAND()</f>
        <v/>
      </c>
    </row>
    <row r="2889">
      <c r="M2889" s="14">
        <f>_xlfn.BETA.INV($AA2889,1+4*($D$5-$C$5)/($E$5-$C$5),1+4*($E$5-$D$5)/($E$5-$C$5),$C$5,$E$5)</f>
        <v/>
      </c>
      <c r="N2889" s="14">
        <f>IF($AB2889&lt;($D$6-$C$6)/($E$6-$C$6),$C$6+SQRT($AB2889*($E$6-$C$6)*($D$6-$C$6)),$E$6-SQRT((1-$AB2889)*($E$6-$C$6)*($E$6-$D$6)))</f>
        <v/>
      </c>
      <c r="O2889" s="14">
        <f>_xlfn.NORM.INV($AC2889,$C$7,$D$7)</f>
        <v/>
      </c>
      <c r="P2889" s="14">
        <f>$C$8+($D$8-$C$8)*$AD2889</f>
        <v/>
      </c>
      <c r="Q2889" s="14">
        <f>$C$9</f>
        <v/>
      </c>
      <c r="R2889" s="14">
        <f>_xlfn.LOGNORM.INV($AF2889,LN($C$10)-0.5*LN(1+($D$10/$C$10)^2),SQRT(LN(1+($D$10/$C$10)^2)))</f>
        <v/>
      </c>
      <c r="S2889" s="14">
        <f>SUM(M2889:R2889)</f>
        <v/>
      </c>
      <c r="AA2889">
        <f>RAND()</f>
        <v/>
      </c>
      <c r="AB2889">
        <f>RAND()</f>
        <v/>
      </c>
      <c r="AC2889">
        <f>RAND()</f>
        <v/>
      </c>
      <c r="AD2889">
        <f>RAND()</f>
        <v/>
      </c>
      <c r="AE2889">
        <f>RAND()</f>
        <v/>
      </c>
      <c r="AF2889">
        <f>RAND()</f>
        <v/>
      </c>
    </row>
    <row r="2890">
      <c r="M2890" s="14">
        <f>_xlfn.BETA.INV($AA2890,1+4*($D$5-$C$5)/($E$5-$C$5),1+4*($E$5-$D$5)/($E$5-$C$5),$C$5,$E$5)</f>
        <v/>
      </c>
      <c r="N2890" s="14">
        <f>IF($AB2890&lt;($D$6-$C$6)/($E$6-$C$6),$C$6+SQRT($AB2890*($E$6-$C$6)*($D$6-$C$6)),$E$6-SQRT((1-$AB2890)*($E$6-$C$6)*($E$6-$D$6)))</f>
        <v/>
      </c>
      <c r="O2890" s="14">
        <f>_xlfn.NORM.INV($AC2890,$C$7,$D$7)</f>
        <v/>
      </c>
      <c r="P2890" s="14">
        <f>$C$8+($D$8-$C$8)*$AD2890</f>
        <v/>
      </c>
      <c r="Q2890" s="14">
        <f>$C$9</f>
        <v/>
      </c>
      <c r="R2890" s="14">
        <f>_xlfn.LOGNORM.INV($AF2890,LN($C$10)-0.5*LN(1+($D$10/$C$10)^2),SQRT(LN(1+($D$10/$C$10)^2)))</f>
        <v/>
      </c>
      <c r="S2890" s="14">
        <f>SUM(M2890:R2890)</f>
        <v/>
      </c>
      <c r="AA2890">
        <f>RAND()</f>
        <v/>
      </c>
      <c r="AB2890">
        <f>RAND()</f>
        <v/>
      </c>
      <c r="AC2890">
        <f>RAND()</f>
        <v/>
      </c>
      <c r="AD2890">
        <f>RAND()</f>
        <v/>
      </c>
      <c r="AE2890">
        <f>RAND()</f>
        <v/>
      </c>
      <c r="AF2890">
        <f>RAND()</f>
        <v/>
      </c>
    </row>
    <row r="2891">
      <c r="M2891" s="14">
        <f>_xlfn.BETA.INV($AA2891,1+4*($D$5-$C$5)/($E$5-$C$5),1+4*($E$5-$D$5)/($E$5-$C$5),$C$5,$E$5)</f>
        <v/>
      </c>
      <c r="N2891" s="14">
        <f>IF($AB2891&lt;($D$6-$C$6)/($E$6-$C$6),$C$6+SQRT($AB2891*($E$6-$C$6)*($D$6-$C$6)),$E$6-SQRT((1-$AB2891)*($E$6-$C$6)*($E$6-$D$6)))</f>
        <v/>
      </c>
      <c r="O2891" s="14">
        <f>_xlfn.NORM.INV($AC2891,$C$7,$D$7)</f>
        <v/>
      </c>
      <c r="P2891" s="14">
        <f>$C$8+($D$8-$C$8)*$AD2891</f>
        <v/>
      </c>
      <c r="Q2891" s="14">
        <f>$C$9</f>
        <v/>
      </c>
      <c r="R2891" s="14">
        <f>_xlfn.LOGNORM.INV($AF2891,LN($C$10)-0.5*LN(1+($D$10/$C$10)^2),SQRT(LN(1+($D$10/$C$10)^2)))</f>
        <v/>
      </c>
      <c r="S2891" s="14">
        <f>SUM(M2891:R2891)</f>
        <v/>
      </c>
      <c r="AA2891">
        <f>RAND()</f>
        <v/>
      </c>
      <c r="AB2891">
        <f>RAND()</f>
        <v/>
      </c>
      <c r="AC2891">
        <f>RAND()</f>
        <v/>
      </c>
      <c r="AD2891">
        <f>RAND()</f>
        <v/>
      </c>
      <c r="AE2891">
        <f>RAND()</f>
        <v/>
      </c>
      <c r="AF2891">
        <f>RAND()</f>
        <v/>
      </c>
    </row>
    <row r="2892">
      <c r="M2892" s="14">
        <f>_xlfn.BETA.INV($AA2892,1+4*($D$5-$C$5)/($E$5-$C$5),1+4*($E$5-$D$5)/($E$5-$C$5),$C$5,$E$5)</f>
        <v/>
      </c>
      <c r="N2892" s="14">
        <f>IF($AB2892&lt;($D$6-$C$6)/($E$6-$C$6),$C$6+SQRT($AB2892*($E$6-$C$6)*($D$6-$C$6)),$E$6-SQRT((1-$AB2892)*($E$6-$C$6)*($E$6-$D$6)))</f>
        <v/>
      </c>
      <c r="O2892" s="14">
        <f>_xlfn.NORM.INV($AC2892,$C$7,$D$7)</f>
        <v/>
      </c>
      <c r="P2892" s="14">
        <f>$C$8+($D$8-$C$8)*$AD2892</f>
        <v/>
      </c>
      <c r="Q2892" s="14">
        <f>$C$9</f>
        <v/>
      </c>
      <c r="R2892" s="14">
        <f>_xlfn.LOGNORM.INV($AF2892,LN($C$10)-0.5*LN(1+($D$10/$C$10)^2),SQRT(LN(1+($D$10/$C$10)^2)))</f>
        <v/>
      </c>
      <c r="S2892" s="14">
        <f>SUM(M2892:R2892)</f>
        <v/>
      </c>
      <c r="AA2892">
        <f>RAND()</f>
        <v/>
      </c>
      <c r="AB2892">
        <f>RAND()</f>
        <v/>
      </c>
      <c r="AC2892">
        <f>RAND()</f>
        <v/>
      </c>
      <c r="AD2892">
        <f>RAND()</f>
        <v/>
      </c>
      <c r="AE2892">
        <f>RAND()</f>
        <v/>
      </c>
      <c r="AF2892">
        <f>RAND()</f>
        <v/>
      </c>
    </row>
    <row r="2893">
      <c r="M2893" s="14">
        <f>_xlfn.BETA.INV($AA2893,1+4*($D$5-$C$5)/($E$5-$C$5),1+4*($E$5-$D$5)/($E$5-$C$5),$C$5,$E$5)</f>
        <v/>
      </c>
      <c r="N2893" s="14">
        <f>IF($AB2893&lt;($D$6-$C$6)/($E$6-$C$6),$C$6+SQRT($AB2893*($E$6-$C$6)*($D$6-$C$6)),$E$6-SQRT((1-$AB2893)*($E$6-$C$6)*($E$6-$D$6)))</f>
        <v/>
      </c>
      <c r="O2893" s="14">
        <f>_xlfn.NORM.INV($AC2893,$C$7,$D$7)</f>
        <v/>
      </c>
      <c r="P2893" s="14">
        <f>$C$8+($D$8-$C$8)*$AD2893</f>
        <v/>
      </c>
      <c r="Q2893" s="14">
        <f>$C$9</f>
        <v/>
      </c>
      <c r="R2893" s="14">
        <f>_xlfn.LOGNORM.INV($AF2893,LN($C$10)-0.5*LN(1+($D$10/$C$10)^2),SQRT(LN(1+($D$10/$C$10)^2)))</f>
        <v/>
      </c>
      <c r="S2893" s="14">
        <f>SUM(M2893:R2893)</f>
        <v/>
      </c>
      <c r="AA2893">
        <f>RAND()</f>
        <v/>
      </c>
      <c r="AB2893">
        <f>RAND()</f>
        <v/>
      </c>
      <c r="AC2893">
        <f>RAND()</f>
        <v/>
      </c>
      <c r="AD2893">
        <f>RAND()</f>
        <v/>
      </c>
      <c r="AE2893">
        <f>RAND()</f>
        <v/>
      </c>
      <c r="AF2893">
        <f>RAND()</f>
        <v/>
      </c>
    </row>
    <row r="2894">
      <c r="M2894" s="14">
        <f>_xlfn.BETA.INV($AA2894,1+4*($D$5-$C$5)/($E$5-$C$5),1+4*($E$5-$D$5)/($E$5-$C$5),$C$5,$E$5)</f>
        <v/>
      </c>
      <c r="N2894" s="14">
        <f>IF($AB2894&lt;($D$6-$C$6)/($E$6-$C$6),$C$6+SQRT($AB2894*($E$6-$C$6)*($D$6-$C$6)),$E$6-SQRT((1-$AB2894)*($E$6-$C$6)*($E$6-$D$6)))</f>
        <v/>
      </c>
      <c r="O2894" s="14">
        <f>_xlfn.NORM.INV($AC2894,$C$7,$D$7)</f>
        <v/>
      </c>
      <c r="P2894" s="14">
        <f>$C$8+($D$8-$C$8)*$AD2894</f>
        <v/>
      </c>
      <c r="Q2894" s="14">
        <f>$C$9</f>
        <v/>
      </c>
      <c r="R2894" s="14">
        <f>_xlfn.LOGNORM.INV($AF2894,LN($C$10)-0.5*LN(1+($D$10/$C$10)^2),SQRT(LN(1+($D$10/$C$10)^2)))</f>
        <v/>
      </c>
      <c r="S2894" s="14">
        <f>SUM(M2894:R2894)</f>
        <v/>
      </c>
      <c r="AA2894">
        <f>RAND()</f>
        <v/>
      </c>
      <c r="AB2894">
        <f>RAND()</f>
        <v/>
      </c>
      <c r="AC2894">
        <f>RAND()</f>
        <v/>
      </c>
      <c r="AD2894">
        <f>RAND()</f>
        <v/>
      </c>
      <c r="AE2894">
        <f>RAND()</f>
        <v/>
      </c>
      <c r="AF2894">
        <f>RAND()</f>
        <v/>
      </c>
    </row>
    <row r="2895">
      <c r="M2895" s="14">
        <f>_xlfn.BETA.INV($AA2895,1+4*($D$5-$C$5)/($E$5-$C$5),1+4*($E$5-$D$5)/($E$5-$C$5),$C$5,$E$5)</f>
        <v/>
      </c>
      <c r="N2895" s="14">
        <f>IF($AB2895&lt;($D$6-$C$6)/($E$6-$C$6),$C$6+SQRT($AB2895*($E$6-$C$6)*($D$6-$C$6)),$E$6-SQRT((1-$AB2895)*($E$6-$C$6)*($E$6-$D$6)))</f>
        <v/>
      </c>
      <c r="O2895" s="14">
        <f>_xlfn.NORM.INV($AC2895,$C$7,$D$7)</f>
        <v/>
      </c>
      <c r="P2895" s="14">
        <f>$C$8+($D$8-$C$8)*$AD2895</f>
        <v/>
      </c>
      <c r="Q2895" s="14">
        <f>$C$9</f>
        <v/>
      </c>
      <c r="R2895" s="14">
        <f>_xlfn.LOGNORM.INV($AF2895,LN($C$10)-0.5*LN(1+($D$10/$C$10)^2),SQRT(LN(1+($D$10/$C$10)^2)))</f>
        <v/>
      </c>
      <c r="S2895" s="14">
        <f>SUM(M2895:R2895)</f>
        <v/>
      </c>
      <c r="AA2895">
        <f>RAND()</f>
        <v/>
      </c>
      <c r="AB2895">
        <f>RAND()</f>
        <v/>
      </c>
      <c r="AC2895">
        <f>RAND()</f>
        <v/>
      </c>
      <c r="AD2895">
        <f>RAND()</f>
        <v/>
      </c>
      <c r="AE2895">
        <f>RAND()</f>
        <v/>
      </c>
      <c r="AF2895">
        <f>RAND()</f>
        <v/>
      </c>
    </row>
    <row r="2896">
      <c r="M2896" s="14">
        <f>_xlfn.BETA.INV($AA2896,1+4*($D$5-$C$5)/($E$5-$C$5),1+4*($E$5-$D$5)/($E$5-$C$5),$C$5,$E$5)</f>
        <v/>
      </c>
      <c r="N2896" s="14">
        <f>IF($AB2896&lt;($D$6-$C$6)/($E$6-$C$6),$C$6+SQRT($AB2896*($E$6-$C$6)*($D$6-$C$6)),$E$6-SQRT((1-$AB2896)*($E$6-$C$6)*($E$6-$D$6)))</f>
        <v/>
      </c>
      <c r="O2896" s="14">
        <f>_xlfn.NORM.INV($AC2896,$C$7,$D$7)</f>
        <v/>
      </c>
      <c r="P2896" s="14">
        <f>$C$8+($D$8-$C$8)*$AD2896</f>
        <v/>
      </c>
      <c r="Q2896" s="14">
        <f>$C$9</f>
        <v/>
      </c>
      <c r="R2896" s="14">
        <f>_xlfn.LOGNORM.INV($AF2896,LN($C$10)-0.5*LN(1+($D$10/$C$10)^2),SQRT(LN(1+($D$10/$C$10)^2)))</f>
        <v/>
      </c>
      <c r="S2896" s="14">
        <f>SUM(M2896:R2896)</f>
        <v/>
      </c>
      <c r="AA2896">
        <f>RAND()</f>
        <v/>
      </c>
      <c r="AB2896">
        <f>RAND()</f>
        <v/>
      </c>
      <c r="AC2896">
        <f>RAND()</f>
        <v/>
      </c>
      <c r="AD2896">
        <f>RAND()</f>
        <v/>
      </c>
      <c r="AE2896">
        <f>RAND()</f>
        <v/>
      </c>
      <c r="AF2896">
        <f>RAND()</f>
        <v/>
      </c>
    </row>
    <row r="2897">
      <c r="M2897" s="14">
        <f>_xlfn.BETA.INV($AA2897,1+4*($D$5-$C$5)/($E$5-$C$5),1+4*($E$5-$D$5)/($E$5-$C$5),$C$5,$E$5)</f>
        <v/>
      </c>
      <c r="N2897" s="14">
        <f>IF($AB2897&lt;($D$6-$C$6)/($E$6-$C$6),$C$6+SQRT($AB2897*($E$6-$C$6)*($D$6-$C$6)),$E$6-SQRT((1-$AB2897)*($E$6-$C$6)*($E$6-$D$6)))</f>
        <v/>
      </c>
      <c r="O2897" s="14">
        <f>_xlfn.NORM.INV($AC2897,$C$7,$D$7)</f>
        <v/>
      </c>
      <c r="P2897" s="14">
        <f>$C$8+($D$8-$C$8)*$AD2897</f>
        <v/>
      </c>
      <c r="Q2897" s="14">
        <f>$C$9</f>
        <v/>
      </c>
      <c r="R2897" s="14">
        <f>_xlfn.LOGNORM.INV($AF2897,LN($C$10)-0.5*LN(1+($D$10/$C$10)^2),SQRT(LN(1+($D$10/$C$10)^2)))</f>
        <v/>
      </c>
      <c r="S2897" s="14">
        <f>SUM(M2897:R2897)</f>
        <v/>
      </c>
      <c r="AA2897">
        <f>RAND()</f>
        <v/>
      </c>
      <c r="AB2897">
        <f>RAND()</f>
        <v/>
      </c>
      <c r="AC2897">
        <f>RAND()</f>
        <v/>
      </c>
      <c r="AD2897">
        <f>RAND()</f>
        <v/>
      </c>
      <c r="AE2897">
        <f>RAND()</f>
        <v/>
      </c>
      <c r="AF2897">
        <f>RAND()</f>
        <v/>
      </c>
    </row>
    <row r="2898">
      <c r="M2898" s="14">
        <f>_xlfn.BETA.INV($AA2898,1+4*($D$5-$C$5)/($E$5-$C$5),1+4*($E$5-$D$5)/($E$5-$C$5),$C$5,$E$5)</f>
        <v/>
      </c>
      <c r="N2898" s="14">
        <f>IF($AB2898&lt;($D$6-$C$6)/($E$6-$C$6),$C$6+SQRT($AB2898*($E$6-$C$6)*($D$6-$C$6)),$E$6-SQRT((1-$AB2898)*($E$6-$C$6)*($E$6-$D$6)))</f>
        <v/>
      </c>
      <c r="O2898" s="14">
        <f>_xlfn.NORM.INV($AC2898,$C$7,$D$7)</f>
        <v/>
      </c>
      <c r="P2898" s="14">
        <f>$C$8+($D$8-$C$8)*$AD2898</f>
        <v/>
      </c>
      <c r="Q2898" s="14">
        <f>$C$9</f>
        <v/>
      </c>
      <c r="R2898" s="14">
        <f>_xlfn.LOGNORM.INV($AF2898,LN($C$10)-0.5*LN(1+($D$10/$C$10)^2),SQRT(LN(1+($D$10/$C$10)^2)))</f>
        <v/>
      </c>
      <c r="S2898" s="14">
        <f>SUM(M2898:R2898)</f>
        <v/>
      </c>
      <c r="AA2898">
        <f>RAND()</f>
        <v/>
      </c>
      <c r="AB2898">
        <f>RAND()</f>
        <v/>
      </c>
      <c r="AC2898">
        <f>RAND()</f>
        <v/>
      </c>
      <c r="AD2898">
        <f>RAND()</f>
        <v/>
      </c>
      <c r="AE2898">
        <f>RAND()</f>
        <v/>
      </c>
      <c r="AF2898">
        <f>RAND()</f>
        <v/>
      </c>
    </row>
    <row r="2899">
      <c r="M2899" s="14">
        <f>_xlfn.BETA.INV($AA2899,1+4*($D$5-$C$5)/($E$5-$C$5),1+4*($E$5-$D$5)/($E$5-$C$5),$C$5,$E$5)</f>
        <v/>
      </c>
      <c r="N2899" s="14">
        <f>IF($AB2899&lt;($D$6-$C$6)/($E$6-$C$6),$C$6+SQRT($AB2899*($E$6-$C$6)*($D$6-$C$6)),$E$6-SQRT((1-$AB2899)*($E$6-$C$6)*($E$6-$D$6)))</f>
        <v/>
      </c>
      <c r="O2899" s="14">
        <f>_xlfn.NORM.INV($AC2899,$C$7,$D$7)</f>
        <v/>
      </c>
      <c r="P2899" s="14">
        <f>$C$8+($D$8-$C$8)*$AD2899</f>
        <v/>
      </c>
      <c r="Q2899" s="14">
        <f>$C$9</f>
        <v/>
      </c>
      <c r="R2899" s="14">
        <f>_xlfn.LOGNORM.INV($AF2899,LN($C$10)-0.5*LN(1+($D$10/$C$10)^2),SQRT(LN(1+($D$10/$C$10)^2)))</f>
        <v/>
      </c>
      <c r="S2899" s="14">
        <f>SUM(M2899:R2899)</f>
        <v/>
      </c>
      <c r="AA2899">
        <f>RAND()</f>
        <v/>
      </c>
      <c r="AB2899">
        <f>RAND()</f>
        <v/>
      </c>
      <c r="AC2899">
        <f>RAND()</f>
        <v/>
      </c>
      <c r="AD2899">
        <f>RAND()</f>
        <v/>
      </c>
      <c r="AE2899">
        <f>RAND()</f>
        <v/>
      </c>
      <c r="AF2899">
        <f>RAND()</f>
        <v/>
      </c>
    </row>
    <row r="2900">
      <c r="M2900" s="14">
        <f>_xlfn.BETA.INV($AA2900,1+4*($D$5-$C$5)/($E$5-$C$5),1+4*($E$5-$D$5)/($E$5-$C$5),$C$5,$E$5)</f>
        <v/>
      </c>
      <c r="N2900" s="14">
        <f>IF($AB2900&lt;($D$6-$C$6)/($E$6-$C$6),$C$6+SQRT($AB2900*($E$6-$C$6)*($D$6-$C$6)),$E$6-SQRT((1-$AB2900)*($E$6-$C$6)*($E$6-$D$6)))</f>
        <v/>
      </c>
      <c r="O2900" s="14">
        <f>_xlfn.NORM.INV($AC2900,$C$7,$D$7)</f>
        <v/>
      </c>
      <c r="P2900" s="14">
        <f>$C$8+($D$8-$C$8)*$AD2900</f>
        <v/>
      </c>
      <c r="Q2900" s="14">
        <f>$C$9</f>
        <v/>
      </c>
      <c r="R2900" s="14">
        <f>_xlfn.LOGNORM.INV($AF2900,LN($C$10)-0.5*LN(1+($D$10/$C$10)^2),SQRT(LN(1+($D$10/$C$10)^2)))</f>
        <v/>
      </c>
      <c r="S2900" s="14">
        <f>SUM(M2900:R2900)</f>
        <v/>
      </c>
      <c r="AA2900">
        <f>RAND()</f>
        <v/>
      </c>
      <c r="AB2900">
        <f>RAND()</f>
        <v/>
      </c>
      <c r="AC2900">
        <f>RAND()</f>
        <v/>
      </c>
      <c r="AD2900">
        <f>RAND()</f>
        <v/>
      </c>
      <c r="AE2900">
        <f>RAND()</f>
        <v/>
      </c>
      <c r="AF2900">
        <f>RAND()</f>
        <v/>
      </c>
    </row>
    <row r="2901">
      <c r="M2901" s="14">
        <f>_xlfn.BETA.INV($AA2901,1+4*($D$5-$C$5)/($E$5-$C$5),1+4*($E$5-$D$5)/($E$5-$C$5),$C$5,$E$5)</f>
        <v/>
      </c>
      <c r="N2901" s="14">
        <f>IF($AB2901&lt;($D$6-$C$6)/($E$6-$C$6),$C$6+SQRT($AB2901*($E$6-$C$6)*($D$6-$C$6)),$E$6-SQRT((1-$AB2901)*($E$6-$C$6)*($E$6-$D$6)))</f>
        <v/>
      </c>
      <c r="O2901" s="14">
        <f>_xlfn.NORM.INV($AC2901,$C$7,$D$7)</f>
        <v/>
      </c>
      <c r="P2901" s="14">
        <f>$C$8+($D$8-$C$8)*$AD2901</f>
        <v/>
      </c>
      <c r="Q2901" s="14">
        <f>$C$9</f>
        <v/>
      </c>
      <c r="R2901" s="14">
        <f>_xlfn.LOGNORM.INV($AF2901,LN($C$10)-0.5*LN(1+($D$10/$C$10)^2),SQRT(LN(1+($D$10/$C$10)^2)))</f>
        <v/>
      </c>
      <c r="S2901" s="14">
        <f>SUM(M2901:R2901)</f>
        <v/>
      </c>
      <c r="AA2901">
        <f>RAND()</f>
        <v/>
      </c>
      <c r="AB2901">
        <f>RAND()</f>
        <v/>
      </c>
      <c r="AC2901">
        <f>RAND()</f>
        <v/>
      </c>
      <c r="AD2901">
        <f>RAND()</f>
        <v/>
      </c>
      <c r="AE2901">
        <f>RAND()</f>
        <v/>
      </c>
      <c r="AF2901">
        <f>RAND()</f>
        <v/>
      </c>
    </row>
    <row r="2902">
      <c r="M2902" s="14">
        <f>_xlfn.BETA.INV($AA2902,1+4*($D$5-$C$5)/($E$5-$C$5),1+4*($E$5-$D$5)/($E$5-$C$5),$C$5,$E$5)</f>
        <v/>
      </c>
      <c r="N2902" s="14">
        <f>IF($AB2902&lt;($D$6-$C$6)/($E$6-$C$6),$C$6+SQRT($AB2902*($E$6-$C$6)*($D$6-$C$6)),$E$6-SQRT((1-$AB2902)*($E$6-$C$6)*($E$6-$D$6)))</f>
        <v/>
      </c>
      <c r="O2902" s="14">
        <f>_xlfn.NORM.INV($AC2902,$C$7,$D$7)</f>
        <v/>
      </c>
      <c r="P2902" s="14">
        <f>$C$8+($D$8-$C$8)*$AD2902</f>
        <v/>
      </c>
      <c r="Q2902" s="14">
        <f>$C$9</f>
        <v/>
      </c>
      <c r="R2902" s="14">
        <f>_xlfn.LOGNORM.INV($AF2902,LN($C$10)-0.5*LN(1+($D$10/$C$10)^2),SQRT(LN(1+($D$10/$C$10)^2)))</f>
        <v/>
      </c>
      <c r="S2902" s="14">
        <f>SUM(M2902:R2902)</f>
        <v/>
      </c>
      <c r="AA2902">
        <f>RAND()</f>
        <v/>
      </c>
      <c r="AB2902">
        <f>RAND()</f>
        <v/>
      </c>
      <c r="AC2902">
        <f>RAND()</f>
        <v/>
      </c>
      <c r="AD2902">
        <f>RAND()</f>
        <v/>
      </c>
      <c r="AE2902">
        <f>RAND()</f>
        <v/>
      </c>
      <c r="AF2902">
        <f>RAND()</f>
        <v/>
      </c>
    </row>
    <row r="2903">
      <c r="M2903" s="14">
        <f>_xlfn.BETA.INV($AA2903,1+4*($D$5-$C$5)/($E$5-$C$5),1+4*($E$5-$D$5)/($E$5-$C$5),$C$5,$E$5)</f>
        <v/>
      </c>
      <c r="N2903" s="14">
        <f>IF($AB2903&lt;($D$6-$C$6)/($E$6-$C$6),$C$6+SQRT($AB2903*($E$6-$C$6)*($D$6-$C$6)),$E$6-SQRT((1-$AB2903)*($E$6-$C$6)*($E$6-$D$6)))</f>
        <v/>
      </c>
      <c r="O2903" s="14">
        <f>_xlfn.NORM.INV($AC2903,$C$7,$D$7)</f>
        <v/>
      </c>
      <c r="P2903" s="14">
        <f>$C$8+($D$8-$C$8)*$AD2903</f>
        <v/>
      </c>
      <c r="Q2903" s="14">
        <f>$C$9</f>
        <v/>
      </c>
      <c r="R2903" s="14">
        <f>_xlfn.LOGNORM.INV($AF2903,LN($C$10)-0.5*LN(1+($D$10/$C$10)^2),SQRT(LN(1+($D$10/$C$10)^2)))</f>
        <v/>
      </c>
      <c r="S2903" s="14">
        <f>SUM(M2903:R2903)</f>
        <v/>
      </c>
      <c r="AA2903">
        <f>RAND()</f>
        <v/>
      </c>
      <c r="AB2903">
        <f>RAND()</f>
        <v/>
      </c>
      <c r="AC2903">
        <f>RAND()</f>
        <v/>
      </c>
      <c r="AD2903">
        <f>RAND()</f>
        <v/>
      </c>
      <c r="AE2903">
        <f>RAND()</f>
        <v/>
      </c>
      <c r="AF2903">
        <f>RAND()</f>
        <v/>
      </c>
    </row>
    <row r="2904">
      <c r="M2904" s="14">
        <f>_xlfn.BETA.INV($AA2904,1+4*($D$5-$C$5)/($E$5-$C$5),1+4*($E$5-$D$5)/($E$5-$C$5),$C$5,$E$5)</f>
        <v/>
      </c>
      <c r="N2904" s="14">
        <f>IF($AB2904&lt;($D$6-$C$6)/($E$6-$C$6),$C$6+SQRT($AB2904*($E$6-$C$6)*($D$6-$C$6)),$E$6-SQRT((1-$AB2904)*($E$6-$C$6)*($E$6-$D$6)))</f>
        <v/>
      </c>
      <c r="O2904" s="14">
        <f>_xlfn.NORM.INV($AC2904,$C$7,$D$7)</f>
        <v/>
      </c>
      <c r="P2904" s="14">
        <f>$C$8+($D$8-$C$8)*$AD2904</f>
        <v/>
      </c>
      <c r="Q2904" s="14">
        <f>$C$9</f>
        <v/>
      </c>
      <c r="R2904" s="14">
        <f>_xlfn.LOGNORM.INV($AF2904,LN($C$10)-0.5*LN(1+($D$10/$C$10)^2),SQRT(LN(1+($D$10/$C$10)^2)))</f>
        <v/>
      </c>
      <c r="S2904" s="14">
        <f>SUM(M2904:R2904)</f>
        <v/>
      </c>
      <c r="AA2904">
        <f>RAND()</f>
        <v/>
      </c>
      <c r="AB2904">
        <f>RAND()</f>
        <v/>
      </c>
      <c r="AC2904">
        <f>RAND()</f>
        <v/>
      </c>
      <c r="AD2904">
        <f>RAND()</f>
        <v/>
      </c>
      <c r="AE2904">
        <f>RAND()</f>
        <v/>
      </c>
      <c r="AF2904">
        <f>RAND()</f>
        <v/>
      </c>
    </row>
    <row r="2905">
      <c r="M2905" s="14">
        <f>_xlfn.BETA.INV($AA2905,1+4*($D$5-$C$5)/($E$5-$C$5),1+4*($E$5-$D$5)/($E$5-$C$5),$C$5,$E$5)</f>
        <v/>
      </c>
      <c r="N2905" s="14">
        <f>IF($AB2905&lt;($D$6-$C$6)/($E$6-$C$6),$C$6+SQRT($AB2905*($E$6-$C$6)*($D$6-$C$6)),$E$6-SQRT((1-$AB2905)*($E$6-$C$6)*($E$6-$D$6)))</f>
        <v/>
      </c>
      <c r="O2905" s="14">
        <f>_xlfn.NORM.INV($AC2905,$C$7,$D$7)</f>
        <v/>
      </c>
      <c r="P2905" s="14">
        <f>$C$8+($D$8-$C$8)*$AD2905</f>
        <v/>
      </c>
      <c r="Q2905" s="14">
        <f>$C$9</f>
        <v/>
      </c>
      <c r="R2905" s="14">
        <f>_xlfn.LOGNORM.INV($AF2905,LN($C$10)-0.5*LN(1+($D$10/$C$10)^2),SQRT(LN(1+($D$10/$C$10)^2)))</f>
        <v/>
      </c>
      <c r="S2905" s="14">
        <f>SUM(M2905:R2905)</f>
        <v/>
      </c>
      <c r="AA2905">
        <f>RAND()</f>
        <v/>
      </c>
      <c r="AB2905">
        <f>RAND()</f>
        <v/>
      </c>
      <c r="AC2905">
        <f>RAND()</f>
        <v/>
      </c>
      <c r="AD2905">
        <f>RAND()</f>
        <v/>
      </c>
      <c r="AE2905">
        <f>RAND()</f>
        <v/>
      </c>
      <c r="AF2905">
        <f>RAND()</f>
        <v/>
      </c>
    </row>
    <row r="2906">
      <c r="M2906" s="14">
        <f>_xlfn.BETA.INV($AA2906,1+4*($D$5-$C$5)/($E$5-$C$5),1+4*($E$5-$D$5)/($E$5-$C$5),$C$5,$E$5)</f>
        <v/>
      </c>
      <c r="N2906" s="14">
        <f>IF($AB2906&lt;($D$6-$C$6)/($E$6-$C$6),$C$6+SQRT($AB2906*($E$6-$C$6)*($D$6-$C$6)),$E$6-SQRT((1-$AB2906)*($E$6-$C$6)*($E$6-$D$6)))</f>
        <v/>
      </c>
      <c r="O2906" s="14">
        <f>_xlfn.NORM.INV($AC2906,$C$7,$D$7)</f>
        <v/>
      </c>
      <c r="P2906" s="14">
        <f>$C$8+($D$8-$C$8)*$AD2906</f>
        <v/>
      </c>
      <c r="Q2906" s="14">
        <f>$C$9</f>
        <v/>
      </c>
      <c r="R2906" s="14">
        <f>_xlfn.LOGNORM.INV($AF2906,LN($C$10)-0.5*LN(1+($D$10/$C$10)^2),SQRT(LN(1+($D$10/$C$10)^2)))</f>
        <v/>
      </c>
      <c r="S2906" s="14">
        <f>SUM(M2906:R2906)</f>
        <v/>
      </c>
      <c r="AA2906">
        <f>RAND()</f>
        <v/>
      </c>
      <c r="AB2906">
        <f>RAND()</f>
        <v/>
      </c>
      <c r="AC2906">
        <f>RAND()</f>
        <v/>
      </c>
      <c r="AD2906">
        <f>RAND()</f>
        <v/>
      </c>
      <c r="AE2906">
        <f>RAND()</f>
        <v/>
      </c>
      <c r="AF2906">
        <f>RAND()</f>
        <v/>
      </c>
    </row>
    <row r="2907">
      <c r="M2907" s="14">
        <f>_xlfn.BETA.INV($AA2907,1+4*($D$5-$C$5)/($E$5-$C$5),1+4*($E$5-$D$5)/($E$5-$C$5),$C$5,$E$5)</f>
        <v/>
      </c>
      <c r="N2907" s="14">
        <f>IF($AB2907&lt;($D$6-$C$6)/($E$6-$C$6),$C$6+SQRT($AB2907*($E$6-$C$6)*($D$6-$C$6)),$E$6-SQRT((1-$AB2907)*($E$6-$C$6)*($E$6-$D$6)))</f>
        <v/>
      </c>
      <c r="O2907" s="14">
        <f>_xlfn.NORM.INV($AC2907,$C$7,$D$7)</f>
        <v/>
      </c>
      <c r="P2907" s="14">
        <f>$C$8+($D$8-$C$8)*$AD2907</f>
        <v/>
      </c>
      <c r="Q2907" s="14">
        <f>$C$9</f>
        <v/>
      </c>
      <c r="R2907" s="14">
        <f>_xlfn.LOGNORM.INV($AF2907,LN($C$10)-0.5*LN(1+($D$10/$C$10)^2),SQRT(LN(1+($D$10/$C$10)^2)))</f>
        <v/>
      </c>
      <c r="S2907" s="14">
        <f>SUM(M2907:R2907)</f>
        <v/>
      </c>
      <c r="AA2907">
        <f>RAND()</f>
        <v/>
      </c>
      <c r="AB2907">
        <f>RAND()</f>
        <v/>
      </c>
      <c r="AC2907">
        <f>RAND()</f>
        <v/>
      </c>
      <c r="AD2907">
        <f>RAND()</f>
        <v/>
      </c>
      <c r="AE2907">
        <f>RAND()</f>
        <v/>
      </c>
      <c r="AF2907">
        <f>RAND()</f>
        <v/>
      </c>
    </row>
    <row r="2908">
      <c r="M2908" s="14">
        <f>_xlfn.BETA.INV($AA2908,1+4*($D$5-$C$5)/($E$5-$C$5),1+4*($E$5-$D$5)/($E$5-$C$5),$C$5,$E$5)</f>
        <v/>
      </c>
      <c r="N2908" s="14">
        <f>IF($AB2908&lt;($D$6-$C$6)/($E$6-$C$6),$C$6+SQRT($AB2908*($E$6-$C$6)*($D$6-$C$6)),$E$6-SQRT((1-$AB2908)*($E$6-$C$6)*($E$6-$D$6)))</f>
        <v/>
      </c>
      <c r="O2908" s="14">
        <f>_xlfn.NORM.INV($AC2908,$C$7,$D$7)</f>
        <v/>
      </c>
      <c r="P2908" s="14">
        <f>$C$8+($D$8-$C$8)*$AD2908</f>
        <v/>
      </c>
      <c r="Q2908" s="14">
        <f>$C$9</f>
        <v/>
      </c>
      <c r="R2908" s="14">
        <f>_xlfn.LOGNORM.INV($AF2908,LN($C$10)-0.5*LN(1+($D$10/$C$10)^2),SQRT(LN(1+($D$10/$C$10)^2)))</f>
        <v/>
      </c>
      <c r="S2908" s="14">
        <f>SUM(M2908:R2908)</f>
        <v/>
      </c>
      <c r="AA2908">
        <f>RAND()</f>
        <v/>
      </c>
      <c r="AB2908">
        <f>RAND()</f>
        <v/>
      </c>
      <c r="AC2908">
        <f>RAND()</f>
        <v/>
      </c>
      <c r="AD2908">
        <f>RAND()</f>
        <v/>
      </c>
      <c r="AE2908">
        <f>RAND()</f>
        <v/>
      </c>
      <c r="AF2908">
        <f>RAND()</f>
        <v/>
      </c>
    </row>
    <row r="2909">
      <c r="M2909" s="14">
        <f>_xlfn.BETA.INV($AA2909,1+4*($D$5-$C$5)/($E$5-$C$5),1+4*($E$5-$D$5)/($E$5-$C$5),$C$5,$E$5)</f>
        <v/>
      </c>
      <c r="N2909" s="14">
        <f>IF($AB2909&lt;($D$6-$C$6)/($E$6-$C$6),$C$6+SQRT($AB2909*($E$6-$C$6)*($D$6-$C$6)),$E$6-SQRT((1-$AB2909)*($E$6-$C$6)*($E$6-$D$6)))</f>
        <v/>
      </c>
      <c r="O2909" s="14">
        <f>_xlfn.NORM.INV($AC2909,$C$7,$D$7)</f>
        <v/>
      </c>
      <c r="P2909" s="14">
        <f>$C$8+($D$8-$C$8)*$AD2909</f>
        <v/>
      </c>
      <c r="Q2909" s="14">
        <f>$C$9</f>
        <v/>
      </c>
      <c r="R2909" s="14">
        <f>_xlfn.LOGNORM.INV($AF2909,LN($C$10)-0.5*LN(1+($D$10/$C$10)^2),SQRT(LN(1+($D$10/$C$10)^2)))</f>
        <v/>
      </c>
      <c r="S2909" s="14">
        <f>SUM(M2909:R2909)</f>
        <v/>
      </c>
      <c r="AA2909">
        <f>RAND()</f>
        <v/>
      </c>
      <c r="AB2909">
        <f>RAND()</f>
        <v/>
      </c>
      <c r="AC2909">
        <f>RAND()</f>
        <v/>
      </c>
      <c r="AD2909">
        <f>RAND()</f>
        <v/>
      </c>
      <c r="AE2909">
        <f>RAND()</f>
        <v/>
      </c>
      <c r="AF2909">
        <f>RAND()</f>
        <v/>
      </c>
    </row>
    <row r="2910">
      <c r="M2910" s="14">
        <f>_xlfn.BETA.INV($AA2910,1+4*($D$5-$C$5)/($E$5-$C$5),1+4*($E$5-$D$5)/($E$5-$C$5),$C$5,$E$5)</f>
        <v/>
      </c>
      <c r="N2910" s="14">
        <f>IF($AB2910&lt;($D$6-$C$6)/($E$6-$C$6),$C$6+SQRT($AB2910*($E$6-$C$6)*($D$6-$C$6)),$E$6-SQRT((1-$AB2910)*($E$6-$C$6)*($E$6-$D$6)))</f>
        <v/>
      </c>
      <c r="O2910" s="14">
        <f>_xlfn.NORM.INV($AC2910,$C$7,$D$7)</f>
        <v/>
      </c>
      <c r="P2910" s="14">
        <f>$C$8+($D$8-$C$8)*$AD2910</f>
        <v/>
      </c>
      <c r="Q2910" s="14">
        <f>$C$9</f>
        <v/>
      </c>
      <c r="R2910" s="14">
        <f>_xlfn.LOGNORM.INV($AF2910,LN($C$10)-0.5*LN(1+($D$10/$C$10)^2),SQRT(LN(1+($D$10/$C$10)^2)))</f>
        <v/>
      </c>
      <c r="S2910" s="14">
        <f>SUM(M2910:R2910)</f>
        <v/>
      </c>
      <c r="AA2910">
        <f>RAND()</f>
        <v/>
      </c>
      <c r="AB2910">
        <f>RAND()</f>
        <v/>
      </c>
      <c r="AC2910">
        <f>RAND()</f>
        <v/>
      </c>
      <c r="AD2910">
        <f>RAND()</f>
        <v/>
      </c>
      <c r="AE2910">
        <f>RAND()</f>
        <v/>
      </c>
      <c r="AF2910">
        <f>RAND()</f>
        <v/>
      </c>
    </row>
    <row r="2911">
      <c r="M2911" s="14">
        <f>_xlfn.BETA.INV($AA2911,1+4*($D$5-$C$5)/($E$5-$C$5),1+4*($E$5-$D$5)/($E$5-$C$5),$C$5,$E$5)</f>
        <v/>
      </c>
      <c r="N2911" s="14">
        <f>IF($AB2911&lt;($D$6-$C$6)/($E$6-$C$6),$C$6+SQRT($AB2911*($E$6-$C$6)*($D$6-$C$6)),$E$6-SQRT((1-$AB2911)*($E$6-$C$6)*($E$6-$D$6)))</f>
        <v/>
      </c>
      <c r="O2911" s="14">
        <f>_xlfn.NORM.INV($AC2911,$C$7,$D$7)</f>
        <v/>
      </c>
      <c r="P2911" s="14">
        <f>$C$8+($D$8-$C$8)*$AD2911</f>
        <v/>
      </c>
      <c r="Q2911" s="14">
        <f>$C$9</f>
        <v/>
      </c>
      <c r="R2911" s="14">
        <f>_xlfn.LOGNORM.INV($AF2911,LN($C$10)-0.5*LN(1+($D$10/$C$10)^2),SQRT(LN(1+($D$10/$C$10)^2)))</f>
        <v/>
      </c>
      <c r="S2911" s="14">
        <f>SUM(M2911:R2911)</f>
        <v/>
      </c>
      <c r="AA2911">
        <f>RAND()</f>
        <v/>
      </c>
      <c r="AB2911">
        <f>RAND()</f>
        <v/>
      </c>
      <c r="AC2911">
        <f>RAND()</f>
        <v/>
      </c>
      <c r="AD2911">
        <f>RAND()</f>
        <v/>
      </c>
      <c r="AE2911">
        <f>RAND()</f>
        <v/>
      </c>
      <c r="AF2911">
        <f>RAND()</f>
        <v/>
      </c>
    </row>
    <row r="2912">
      <c r="M2912" s="14">
        <f>_xlfn.BETA.INV($AA2912,1+4*($D$5-$C$5)/($E$5-$C$5),1+4*($E$5-$D$5)/($E$5-$C$5),$C$5,$E$5)</f>
        <v/>
      </c>
      <c r="N2912" s="14">
        <f>IF($AB2912&lt;($D$6-$C$6)/($E$6-$C$6),$C$6+SQRT($AB2912*($E$6-$C$6)*($D$6-$C$6)),$E$6-SQRT((1-$AB2912)*($E$6-$C$6)*($E$6-$D$6)))</f>
        <v/>
      </c>
      <c r="O2912" s="14">
        <f>_xlfn.NORM.INV($AC2912,$C$7,$D$7)</f>
        <v/>
      </c>
      <c r="P2912" s="14">
        <f>$C$8+($D$8-$C$8)*$AD2912</f>
        <v/>
      </c>
      <c r="Q2912" s="14">
        <f>$C$9</f>
        <v/>
      </c>
      <c r="R2912" s="14">
        <f>_xlfn.LOGNORM.INV($AF2912,LN($C$10)-0.5*LN(1+($D$10/$C$10)^2),SQRT(LN(1+($D$10/$C$10)^2)))</f>
        <v/>
      </c>
      <c r="S2912" s="14">
        <f>SUM(M2912:R2912)</f>
        <v/>
      </c>
      <c r="AA2912">
        <f>RAND()</f>
        <v/>
      </c>
      <c r="AB2912">
        <f>RAND()</f>
        <v/>
      </c>
      <c r="AC2912">
        <f>RAND()</f>
        <v/>
      </c>
      <c r="AD2912">
        <f>RAND()</f>
        <v/>
      </c>
      <c r="AE2912">
        <f>RAND()</f>
        <v/>
      </c>
      <c r="AF2912">
        <f>RAND()</f>
        <v/>
      </c>
    </row>
    <row r="2913">
      <c r="M2913" s="14">
        <f>_xlfn.BETA.INV($AA2913,1+4*($D$5-$C$5)/($E$5-$C$5),1+4*($E$5-$D$5)/($E$5-$C$5),$C$5,$E$5)</f>
        <v/>
      </c>
      <c r="N2913" s="14">
        <f>IF($AB2913&lt;($D$6-$C$6)/($E$6-$C$6),$C$6+SQRT($AB2913*($E$6-$C$6)*($D$6-$C$6)),$E$6-SQRT((1-$AB2913)*($E$6-$C$6)*($E$6-$D$6)))</f>
        <v/>
      </c>
      <c r="O2913" s="14">
        <f>_xlfn.NORM.INV($AC2913,$C$7,$D$7)</f>
        <v/>
      </c>
      <c r="P2913" s="14">
        <f>$C$8+($D$8-$C$8)*$AD2913</f>
        <v/>
      </c>
      <c r="Q2913" s="14">
        <f>$C$9</f>
        <v/>
      </c>
      <c r="R2913" s="14">
        <f>_xlfn.LOGNORM.INV($AF2913,LN($C$10)-0.5*LN(1+($D$10/$C$10)^2),SQRT(LN(1+($D$10/$C$10)^2)))</f>
        <v/>
      </c>
      <c r="S2913" s="14">
        <f>SUM(M2913:R2913)</f>
        <v/>
      </c>
      <c r="AA2913">
        <f>RAND()</f>
        <v/>
      </c>
      <c r="AB2913">
        <f>RAND()</f>
        <v/>
      </c>
      <c r="AC2913">
        <f>RAND()</f>
        <v/>
      </c>
      <c r="AD2913">
        <f>RAND()</f>
        <v/>
      </c>
      <c r="AE2913">
        <f>RAND()</f>
        <v/>
      </c>
      <c r="AF2913">
        <f>RAND()</f>
        <v/>
      </c>
    </row>
    <row r="2914">
      <c r="M2914" s="14">
        <f>_xlfn.BETA.INV($AA2914,1+4*($D$5-$C$5)/($E$5-$C$5),1+4*($E$5-$D$5)/($E$5-$C$5),$C$5,$E$5)</f>
        <v/>
      </c>
      <c r="N2914" s="14">
        <f>IF($AB2914&lt;($D$6-$C$6)/($E$6-$C$6),$C$6+SQRT($AB2914*($E$6-$C$6)*($D$6-$C$6)),$E$6-SQRT((1-$AB2914)*($E$6-$C$6)*($E$6-$D$6)))</f>
        <v/>
      </c>
      <c r="O2914" s="14">
        <f>_xlfn.NORM.INV($AC2914,$C$7,$D$7)</f>
        <v/>
      </c>
      <c r="P2914" s="14">
        <f>$C$8+($D$8-$C$8)*$AD2914</f>
        <v/>
      </c>
      <c r="Q2914" s="14">
        <f>$C$9</f>
        <v/>
      </c>
      <c r="R2914" s="14">
        <f>_xlfn.LOGNORM.INV($AF2914,LN($C$10)-0.5*LN(1+($D$10/$C$10)^2),SQRT(LN(1+($D$10/$C$10)^2)))</f>
        <v/>
      </c>
      <c r="S2914" s="14">
        <f>SUM(M2914:R2914)</f>
        <v/>
      </c>
      <c r="AA2914">
        <f>RAND()</f>
        <v/>
      </c>
      <c r="AB2914">
        <f>RAND()</f>
        <v/>
      </c>
      <c r="AC2914">
        <f>RAND()</f>
        <v/>
      </c>
      <c r="AD2914">
        <f>RAND()</f>
        <v/>
      </c>
      <c r="AE2914">
        <f>RAND()</f>
        <v/>
      </c>
      <c r="AF2914">
        <f>RAND()</f>
        <v/>
      </c>
    </row>
    <row r="2915">
      <c r="M2915" s="14">
        <f>_xlfn.BETA.INV($AA2915,1+4*($D$5-$C$5)/($E$5-$C$5),1+4*($E$5-$D$5)/($E$5-$C$5),$C$5,$E$5)</f>
        <v/>
      </c>
      <c r="N2915" s="14">
        <f>IF($AB2915&lt;($D$6-$C$6)/($E$6-$C$6),$C$6+SQRT($AB2915*($E$6-$C$6)*($D$6-$C$6)),$E$6-SQRT((1-$AB2915)*($E$6-$C$6)*($E$6-$D$6)))</f>
        <v/>
      </c>
      <c r="O2915" s="14">
        <f>_xlfn.NORM.INV($AC2915,$C$7,$D$7)</f>
        <v/>
      </c>
      <c r="P2915" s="14">
        <f>$C$8+($D$8-$C$8)*$AD2915</f>
        <v/>
      </c>
      <c r="Q2915" s="14">
        <f>$C$9</f>
        <v/>
      </c>
      <c r="R2915" s="14">
        <f>_xlfn.LOGNORM.INV($AF2915,LN($C$10)-0.5*LN(1+($D$10/$C$10)^2),SQRT(LN(1+($D$10/$C$10)^2)))</f>
        <v/>
      </c>
      <c r="S2915" s="14">
        <f>SUM(M2915:R2915)</f>
        <v/>
      </c>
      <c r="AA2915">
        <f>RAND()</f>
        <v/>
      </c>
      <c r="AB2915">
        <f>RAND()</f>
        <v/>
      </c>
      <c r="AC2915">
        <f>RAND()</f>
        <v/>
      </c>
      <c r="AD2915">
        <f>RAND()</f>
        <v/>
      </c>
      <c r="AE2915">
        <f>RAND()</f>
        <v/>
      </c>
      <c r="AF2915">
        <f>RAND()</f>
        <v/>
      </c>
    </row>
    <row r="2916">
      <c r="M2916" s="14">
        <f>_xlfn.BETA.INV($AA2916,1+4*($D$5-$C$5)/($E$5-$C$5),1+4*($E$5-$D$5)/($E$5-$C$5),$C$5,$E$5)</f>
        <v/>
      </c>
      <c r="N2916" s="14">
        <f>IF($AB2916&lt;($D$6-$C$6)/($E$6-$C$6),$C$6+SQRT($AB2916*($E$6-$C$6)*($D$6-$C$6)),$E$6-SQRT((1-$AB2916)*($E$6-$C$6)*($E$6-$D$6)))</f>
        <v/>
      </c>
      <c r="O2916" s="14">
        <f>_xlfn.NORM.INV($AC2916,$C$7,$D$7)</f>
        <v/>
      </c>
      <c r="P2916" s="14">
        <f>$C$8+($D$8-$C$8)*$AD2916</f>
        <v/>
      </c>
      <c r="Q2916" s="14">
        <f>$C$9</f>
        <v/>
      </c>
      <c r="R2916" s="14">
        <f>_xlfn.LOGNORM.INV($AF2916,LN($C$10)-0.5*LN(1+($D$10/$C$10)^2),SQRT(LN(1+($D$10/$C$10)^2)))</f>
        <v/>
      </c>
      <c r="S2916" s="14">
        <f>SUM(M2916:R2916)</f>
        <v/>
      </c>
      <c r="AA2916">
        <f>RAND()</f>
        <v/>
      </c>
      <c r="AB2916">
        <f>RAND()</f>
        <v/>
      </c>
      <c r="AC2916">
        <f>RAND()</f>
        <v/>
      </c>
      <c r="AD2916">
        <f>RAND()</f>
        <v/>
      </c>
      <c r="AE2916">
        <f>RAND()</f>
        <v/>
      </c>
      <c r="AF2916">
        <f>RAND()</f>
        <v/>
      </c>
    </row>
    <row r="2917">
      <c r="M2917" s="14">
        <f>_xlfn.BETA.INV($AA2917,1+4*($D$5-$C$5)/($E$5-$C$5),1+4*($E$5-$D$5)/($E$5-$C$5),$C$5,$E$5)</f>
        <v/>
      </c>
      <c r="N2917" s="14">
        <f>IF($AB2917&lt;($D$6-$C$6)/($E$6-$C$6),$C$6+SQRT($AB2917*($E$6-$C$6)*($D$6-$C$6)),$E$6-SQRT((1-$AB2917)*($E$6-$C$6)*($E$6-$D$6)))</f>
        <v/>
      </c>
      <c r="O2917" s="14">
        <f>_xlfn.NORM.INV($AC2917,$C$7,$D$7)</f>
        <v/>
      </c>
      <c r="P2917" s="14">
        <f>$C$8+($D$8-$C$8)*$AD2917</f>
        <v/>
      </c>
      <c r="Q2917" s="14">
        <f>$C$9</f>
        <v/>
      </c>
      <c r="R2917" s="14">
        <f>_xlfn.LOGNORM.INV($AF2917,LN($C$10)-0.5*LN(1+($D$10/$C$10)^2),SQRT(LN(1+($D$10/$C$10)^2)))</f>
        <v/>
      </c>
      <c r="S2917" s="14">
        <f>SUM(M2917:R2917)</f>
        <v/>
      </c>
      <c r="AA2917">
        <f>RAND()</f>
        <v/>
      </c>
      <c r="AB2917">
        <f>RAND()</f>
        <v/>
      </c>
      <c r="AC2917">
        <f>RAND()</f>
        <v/>
      </c>
      <c r="AD2917">
        <f>RAND()</f>
        <v/>
      </c>
      <c r="AE2917">
        <f>RAND()</f>
        <v/>
      </c>
      <c r="AF2917">
        <f>RAND()</f>
        <v/>
      </c>
    </row>
    <row r="2918">
      <c r="M2918" s="14">
        <f>_xlfn.BETA.INV($AA2918,1+4*($D$5-$C$5)/($E$5-$C$5),1+4*($E$5-$D$5)/($E$5-$C$5),$C$5,$E$5)</f>
        <v/>
      </c>
      <c r="N2918" s="14">
        <f>IF($AB2918&lt;($D$6-$C$6)/($E$6-$C$6),$C$6+SQRT($AB2918*($E$6-$C$6)*($D$6-$C$6)),$E$6-SQRT((1-$AB2918)*($E$6-$C$6)*($E$6-$D$6)))</f>
        <v/>
      </c>
      <c r="O2918" s="14">
        <f>_xlfn.NORM.INV($AC2918,$C$7,$D$7)</f>
        <v/>
      </c>
      <c r="P2918" s="14">
        <f>$C$8+($D$8-$C$8)*$AD2918</f>
        <v/>
      </c>
      <c r="Q2918" s="14">
        <f>$C$9</f>
        <v/>
      </c>
      <c r="R2918" s="14">
        <f>_xlfn.LOGNORM.INV($AF2918,LN($C$10)-0.5*LN(1+($D$10/$C$10)^2),SQRT(LN(1+($D$10/$C$10)^2)))</f>
        <v/>
      </c>
      <c r="S2918" s="14">
        <f>SUM(M2918:R2918)</f>
        <v/>
      </c>
      <c r="AA2918">
        <f>RAND()</f>
        <v/>
      </c>
      <c r="AB2918">
        <f>RAND()</f>
        <v/>
      </c>
      <c r="AC2918">
        <f>RAND()</f>
        <v/>
      </c>
      <c r="AD2918">
        <f>RAND()</f>
        <v/>
      </c>
      <c r="AE2918">
        <f>RAND()</f>
        <v/>
      </c>
      <c r="AF2918">
        <f>RAND()</f>
        <v/>
      </c>
    </row>
    <row r="2919">
      <c r="M2919" s="14">
        <f>_xlfn.BETA.INV($AA2919,1+4*($D$5-$C$5)/($E$5-$C$5),1+4*($E$5-$D$5)/($E$5-$C$5),$C$5,$E$5)</f>
        <v/>
      </c>
      <c r="N2919" s="14">
        <f>IF($AB2919&lt;($D$6-$C$6)/($E$6-$C$6),$C$6+SQRT($AB2919*($E$6-$C$6)*($D$6-$C$6)),$E$6-SQRT((1-$AB2919)*($E$6-$C$6)*($E$6-$D$6)))</f>
        <v/>
      </c>
      <c r="O2919" s="14">
        <f>_xlfn.NORM.INV($AC2919,$C$7,$D$7)</f>
        <v/>
      </c>
      <c r="P2919" s="14">
        <f>$C$8+($D$8-$C$8)*$AD2919</f>
        <v/>
      </c>
      <c r="Q2919" s="14">
        <f>$C$9</f>
        <v/>
      </c>
      <c r="R2919" s="14">
        <f>_xlfn.LOGNORM.INV($AF2919,LN($C$10)-0.5*LN(1+($D$10/$C$10)^2),SQRT(LN(1+($D$10/$C$10)^2)))</f>
        <v/>
      </c>
      <c r="S2919" s="14">
        <f>SUM(M2919:R2919)</f>
        <v/>
      </c>
      <c r="AA2919">
        <f>RAND()</f>
        <v/>
      </c>
      <c r="AB2919">
        <f>RAND()</f>
        <v/>
      </c>
      <c r="AC2919">
        <f>RAND()</f>
        <v/>
      </c>
      <c r="AD2919">
        <f>RAND()</f>
        <v/>
      </c>
      <c r="AE2919">
        <f>RAND()</f>
        <v/>
      </c>
      <c r="AF2919">
        <f>RAND()</f>
        <v/>
      </c>
    </row>
    <row r="2920">
      <c r="M2920" s="14">
        <f>_xlfn.BETA.INV($AA2920,1+4*($D$5-$C$5)/($E$5-$C$5),1+4*($E$5-$D$5)/($E$5-$C$5),$C$5,$E$5)</f>
        <v/>
      </c>
      <c r="N2920" s="14">
        <f>IF($AB2920&lt;($D$6-$C$6)/($E$6-$C$6),$C$6+SQRT($AB2920*($E$6-$C$6)*($D$6-$C$6)),$E$6-SQRT((1-$AB2920)*($E$6-$C$6)*($E$6-$D$6)))</f>
        <v/>
      </c>
      <c r="O2920" s="14">
        <f>_xlfn.NORM.INV($AC2920,$C$7,$D$7)</f>
        <v/>
      </c>
      <c r="P2920" s="14">
        <f>$C$8+($D$8-$C$8)*$AD2920</f>
        <v/>
      </c>
      <c r="Q2920" s="14">
        <f>$C$9</f>
        <v/>
      </c>
      <c r="R2920" s="14">
        <f>_xlfn.LOGNORM.INV($AF2920,LN($C$10)-0.5*LN(1+($D$10/$C$10)^2),SQRT(LN(1+($D$10/$C$10)^2)))</f>
        <v/>
      </c>
      <c r="S2920" s="14">
        <f>SUM(M2920:R2920)</f>
        <v/>
      </c>
      <c r="AA2920">
        <f>RAND()</f>
        <v/>
      </c>
      <c r="AB2920">
        <f>RAND()</f>
        <v/>
      </c>
      <c r="AC2920">
        <f>RAND()</f>
        <v/>
      </c>
      <c r="AD2920">
        <f>RAND()</f>
        <v/>
      </c>
      <c r="AE2920">
        <f>RAND()</f>
        <v/>
      </c>
      <c r="AF2920">
        <f>RAND()</f>
        <v/>
      </c>
    </row>
    <row r="2921">
      <c r="M2921" s="14">
        <f>_xlfn.BETA.INV($AA2921,1+4*($D$5-$C$5)/($E$5-$C$5),1+4*($E$5-$D$5)/($E$5-$C$5),$C$5,$E$5)</f>
        <v/>
      </c>
      <c r="N2921" s="14">
        <f>IF($AB2921&lt;($D$6-$C$6)/($E$6-$C$6),$C$6+SQRT($AB2921*($E$6-$C$6)*($D$6-$C$6)),$E$6-SQRT((1-$AB2921)*($E$6-$C$6)*($E$6-$D$6)))</f>
        <v/>
      </c>
      <c r="O2921" s="14">
        <f>_xlfn.NORM.INV($AC2921,$C$7,$D$7)</f>
        <v/>
      </c>
      <c r="P2921" s="14">
        <f>$C$8+($D$8-$C$8)*$AD2921</f>
        <v/>
      </c>
      <c r="Q2921" s="14">
        <f>$C$9</f>
        <v/>
      </c>
      <c r="R2921" s="14">
        <f>_xlfn.LOGNORM.INV($AF2921,LN($C$10)-0.5*LN(1+($D$10/$C$10)^2),SQRT(LN(1+($D$10/$C$10)^2)))</f>
        <v/>
      </c>
      <c r="S2921" s="14">
        <f>SUM(M2921:R2921)</f>
        <v/>
      </c>
      <c r="AA2921">
        <f>RAND()</f>
        <v/>
      </c>
      <c r="AB2921">
        <f>RAND()</f>
        <v/>
      </c>
      <c r="AC2921">
        <f>RAND()</f>
        <v/>
      </c>
      <c r="AD2921">
        <f>RAND()</f>
        <v/>
      </c>
      <c r="AE2921">
        <f>RAND()</f>
        <v/>
      </c>
      <c r="AF2921">
        <f>RAND()</f>
        <v/>
      </c>
    </row>
    <row r="2922">
      <c r="M2922" s="14">
        <f>_xlfn.BETA.INV($AA2922,1+4*($D$5-$C$5)/($E$5-$C$5),1+4*($E$5-$D$5)/($E$5-$C$5),$C$5,$E$5)</f>
        <v/>
      </c>
      <c r="N2922" s="14">
        <f>IF($AB2922&lt;($D$6-$C$6)/($E$6-$C$6),$C$6+SQRT($AB2922*($E$6-$C$6)*($D$6-$C$6)),$E$6-SQRT((1-$AB2922)*($E$6-$C$6)*($E$6-$D$6)))</f>
        <v/>
      </c>
      <c r="O2922" s="14">
        <f>_xlfn.NORM.INV($AC2922,$C$7,$D$7)</f>
        <v/>
      </c>
      <c r="P2922" s="14">
        <f>$C$8+($D$8-$C$8)*$AD2922</f>
        <v/>
      </c>
      <c r="Q2922" s="14">
        <f>$C$9</f>
        <v/>
      </c>
      <c r="R2922" s="14">
        <f>_xlfn.LOGNORM.INV($AF2922,LN($C$10)-0.5*LN(1+($D$10/$C$10)^2),SQRT(LN(1+($D$10/$C$10)^2)))</f>
        <v/>
      </c>
      <c r="S2922" s="14">
        <f>SUM(M2922:R2922)</f>
        <v/>
      </c>
      <c r="AA2922">
        <f>RAND()</f>
        <v/>
      </c>
      <c r="AB2922">
        <f>RAND()</f>
        <v/>
      </c>
      <c r="AC2922">
        <f>RAND()</f>
        <v/>
      </c>
      <c r="AD2922">
        <f>RAND()</f>
        <v/>
      </c>
      <c r="AE2922">
        <f>RAND()</f>
        <v/>
      </c>
      <c r="AF2922">
        <f>RAND()</f>
        <v/>
      </c>
    </row>
    <row r="2923">
      <c r="M2923" s="14">
        <f>_xlfn.BETA.INV($AA2923,1+4*($D$5-$C$5)/($E$5-$C$5),1+4*($E$5-$D$5)/($E$5-$C$5),$C$5,$E$5)</f>
        <v/>
      </c>
      <c r="N2923" s="14">
        <f>IF($AB2923&lt;($D$6-$C$6)/($E$6-$C$6),$C$6+SQRT($AB2923*($E$6-$C$6)*($D$6-$C$6)),$E$6-SQRT((1-$AB2923)*($E$6-$C$6)*($E$6-$D$6)))</f>
        <v/>
      </c>
      <c r="O2923" s="14">
        <f>_xlfn.NORM.INV($AC2923,$C$7,$D$7)</f>
        <v/>
      </c>
      <c r="P2923" s="14">
        <f>$C$8+($D$8-$C$8)*$AD2923</f>
        <v/>
      </c>
      <c r="Q2923" s="14">
        <f>$C$9</f>
        <v/>
      </c>
      <c r="R2923" s="14">
        <f>_xlfn.LOGNORM.INV($AF2923,LN($C$10)-0.5*LN(1+($D$10/$C$10)^2),SQRT(LN(1+($D$10/$C$10)^2)))</f>
        <v/>
      </c>
      <c r="S2923" s="14">
        <f>SUM(M2923:R2923)</f>
        <v/>
      </c>
      <c r="AA2923">
        <f>RAND()</f>
        <v/>
      </c>
      <c r="AB2923">
        <f>RAND()</f>
        <v/>
      </c>
      <c r="AC2923">
        <f>RAND()</f>
        <v/>
      </c>
      <c r="AD2923">
        <f>RAND()</f>
        <v/>
      </c>
      <c r="AE2923">
        <f>RAND()</f>
        <v/>
      </c>
      <c r="AF2923">
        <f>RAND()</f>
        <v/>
      </c>
    </row>
    <row r="2924">
      <c r="M2924" s="14">
        <f>_xlfn.BETA.INV($AA2924,1+4*($D$5-$C$5)/($E$5-$C$5),1+4*($E$5-$D$5)/($E$5-$C$5),$C$5,$E$5)</f>
        <v/>
      </c>
      <c r="N2924" s="14">
        <f>IF($AB2924&lt;($D$6-$C$6)/($E$6-$C$6),$C$6+SQRT($AB2924*($E$6-$C$6)*($D$6-$C$6)),$E$6-SQRT((1-$AB2924)*($E$6-$C$6)*($E$6-$D$6)))</f>
        <v/>
      </c>
      <c r="O2924" s="14">
        <f>_xlfn.NORM.INV($AC2924,$C$7,$D$7)</f>
        <v/>
      </c>
      <c r="P2924" s="14">
        <f>$C$8+($D$8-$C$8)*$AD2924</f>
        <v/>
      </c>
      <c r="Q2924" s="14">
        <f>$C$9</f>
        <v/>
      </c>
      <c r="R2924" s="14">
        <f>_xlfn.LOGNORM.INV($AF2924,LN($C$10)-0.5*LN(1+($D$10/$C$10)^2),SQRT(LN(1+($D$10/$C$10)^2)))</f>
        <v/>
      </c>
      <c r="S2924" s="14">
        <f>SUM(M2924:R2924)</f>
        <v/>
      </c>
      <c r="AA2924">
        <f>RAND()</f>
        <v/>
      </c>
      <c r="AB2924">
        <f>RAND()</f>
        <v/>
      </c>
      <c r="AC2924">
        <f>RAND()</f>
        <v/>
      </c>
      <c r="AD2924">
        <f>RAND()</f>
        <v/>
      </c>
      <c r="AE2924">
        <f>RAND()</f>
        <v/>
      </c>
      <c r="AF2924">
        <f>RAND()</f>
        <v/>
      </c>
    </row>
    <row r="2925">
      <c r="M2925" s="14">
        <f>_xlfn.BETA.INV($AA2925,1+4*($D$5-$C$5)/($E$5-$C$5),1+4*($E$5-$D$5)/($E$5-$C$5),$C$5,$E$5)</f>
        <v/>
      </c>
      <c r="N2925" s="14">
        <f>IF($AB2925&lt;($D$6-$C$6)/($E$6-$C$6),$C$6+SQRT($AB2925*($E$6-$C$6)*($D$6-$C$6)),$E$6-SQRT((1-$AB2925)*($E$6-$C$6)*($E$6-$D$6)))</f>
        <v/>
      </c>
      <c r="O2925" s="14">
        <f>_xlfn.NORM.INV($AC2925,$C$7,$D$7)</f>
        <v/>
      </c>
      <c r="P2925" s="14">
        <f>$C$8+($D$8-$C$8)*$AD2925</f>
        <v/>
      </c>
      <c r="Q2925" s="14">
        <f>$C$9</f>
        <v/>
      </c>
      <c r="R2925" s="14">
        <f>_xlfn.LOGNORM.INV($AF2925,LN($C$10)-0.5*LN(1+($D$10/$C$10)^2),SQRT(LN(1+($D$10/$C$10)^2)))</f>
        <v/>
      </c>
      <c r="S2925" s="14">
        <f>SUM(M2925:R2925)</f>
        <v/>
      </c>
      <c r="AA2925">
        <f>RAND()</f>
        <v/>
      </c>
      <c r="AB2925">
        <f>RAND()</f>
        <v/>
      </c>
      <c r="AC2925">
        <f>RAND()</f>
        <v/>
      </c>
      <c r="AD2925">
        <f>RAND()</f>
        <v/>
      </c>
      <c r="AE2925">
        <f>RAND()</f>
        <v/>
      </c>
      <c r="AF2925">
        <f>RAND()</f>
        <v/>
      </c>
    </row>
    <row r="2926">
      <c r="M2926" s="14">
        <f>_xlfn.BETA.INV($AA2926,1+4*($D$5-$C$5)/($E$5-$C$5),1+4*($E$5-$D$5)/($E$5-$C$5),$C$5,$E$5)</f>
        <v/>
      </c>
      <c r="N2926" s="14">
        <f>IF($AB2926&lt;($D$6-$C$6)/($E$6-$C$6),$C$6+SQRT($AB2926*($E$6-$C$6)*($D$6-$C$6)),$E$6-SQRT((1-$AB2926)*($E$6-$C$6)*($E$6-$D$6)))</f>
        <v/>
      </c>
      <c r="O2926" s="14">
        <f>_xlfn.NORM.INV($AC2926,$C$7,$D$7)</f>
        <v/>
      </c>
      <c r="P2926" s="14">
        <f>$C$8+($D$8-$C$8)*$AD2926</f>
        <v/>
      </c>
      <c r="Q2926" s="14">
        <f>$C$9</f>
        <v/>
      </c>
      <c r="R2926" s="14">
        <f>_xlfn.LOGNORM.INV($AF2926,LN($C$10)-0.5*LN(1+($D$10/$C$10)^2),SQRT(LN(1+($D$10/$C$10)^2)))</f>
        <v/>
      </c>
      <c r="S2926" s="14">
        <f>SUM(M2926:R2926)</f>
        <v/>
      </c>
      <c r="AA2926">
        <f>RAND()</f>
        <v/>
      </c>
      <c r="AB2926">
        <f>RAND()</f>
        <v/>
      </c>
      <c r="AC2926">
        <f>RAND()</f>
        <v/>
      </c>
      <c r="AD2926">
        <f>RAND()</f>
        <v/>
      </c>
      <c r="AE2926">
        <f>RAND()</f>
        <v/>
      </c>
      <c r="AF2926">
        <f>RAND()</f>
        <v/>
      </c>
    </row>
    <row r="2927">
      <c r="M2927" s="14">
        <f>_xlfn.BETA.INV($AA2927,1+4*($D$5-$C$5)/($E$5-$C$5),1+4*($E$5-$D$5)/($E$5-$C$5),$C$5,$E$5)</f>
        <v/>
      </c>
      <c r="N2927" s="14">
        <f>IF($AB2927&lt;($D$6-$C$6)/($E$6-$C$6),$C$6+SQRT($AB2927*($E$6-$C$6)*($D$6-$C$6)),$E$6-SQRT((1-$AB2927)*($E$6-$C$6)*($E$6-$D$6)))</f>
        <v/>
      </c>
      <c r="O2927" s="14">
        <f>_xlfn.NORM.INV($AC2927,$C$7,$D$7)</f>
        <v/>
      </c>
      <c r="P2927" s="14">
        <f>$C$8+($D$8-$C$8)*$AD2927</f>
        <v/>
      </c>
      <c r="Q2927" s="14">
        <f>$C$9</f>
        <v/>
      </c>
      <c r="R2927" s="14">
        <f>_xlfn.LOGNORM.INV($AF2927,LN($C$10)-0.5*LN(1+($D$10/$C$10)^2),SQRT(LN(1+($D$10/$C$10)^2)))</f>
        <v/>
      </c>
      <c r="S2927" s="14">
        <f>SUM(M2927:R2927)</f>
        <v/>
      </c>
      <c r="AA2927">
        <f>RAND()</f>
        <v/>
      </c>
      <c r="AB2927">
        <f>RAND()</f>
        <v/>
      </c>
      <c r="AC2927">
        <f>RAND()</f>
        <v/>
      </c>
      <c r="AD2927">
        <f>RAND()</f>
        <v/>
      </c>
      <c r="AE2927">
        <f>RAND()</f>
        <v/>
      </c>
      <c r="AF2927">
        <f>RAND()</f>
        <v/>
      </c>
    </row>
    <row r="2928">
      <c r="M2928" s="14">
        <f>_xlfn.BETA.INV($AA2928,1+4*($D$5-$C$5)/($E$5-$C$5),1+4*($E$5-$D$5)/($E$5-$C$5),$C$5,$E$5)</f>
        <v/>
      </c>
      <c r="N2928" s="14">
        <f>IF($AB2928&lt;($D$6-$C$6)/($E$6-$C$6),$C$6+SQRT($AB2928*($E$6-$C$6)*($D$6-$C$6)),$E$6-SQRT((1-$AB2928)*($E$6-$C$6)*($E$6-$D$6)))</f>
        <v/>
      </c>
      <c r="O2928" s="14">
        <f>_xlfn.NORM.INV($AC2928,$C$7,$D$7)</f>
        <v/>
      </c>
      <c r="P2928" s="14">
        <f>$C$8+($D$8-$C$8)*$AD2928</f>
        <v/>
      </c>
      <c r="Q2928" s="14">
        <f>$C$9</f>
        <v/>
      </c>
      <c r="R2928" s="14">
        <f>_xlfn.LOGNORM.INV($AF2928,LN($C$10)-0.5*LN(1+($D$10/$C$10)^2),SQRT(LN(1+($D$10/$C$10)^2)))</f>
        <v/>
      </c>
      <c r="S2928" s="14">
        <f>SUM(M2928:R2928)</f>
        <v/>
      </c>
      <c r="AA2928">
        <f>RAND()</f>
        <v/>
      </c>
      <c r="AB2928">
        <f>RAND()</f>
        <v/>
      </c>
      <c r="AC2928">
        <f>RAND()</f>
        <v/>
      </c>
      <c r="AD2928">
        <f>RAND()</f>
        <v/>
      </c>
      <c r="AE2928">
        <f>RAND()</f>
        <v/>
      </c>
      <c r="AF2928">
        <f>RAND()</f>
        <v/>
      </c>
    </row>
    <row r="2929">
      <c r="M2929" s="14">
        <f>_xlfn.BETA.INV($AA2929,1+4*($D$5-$C$5)/($E$5-$C$5),1+4*($E$5-$D$5)/($E$5-$C$5),$C$5,$E$5)</f>
        <v/>
      </c>
      <c r="N2929" s="14">
        <f>IF($AB2929&lt;($D$6-$C$6)/($E$6-$C$6),$C$6+SQRT($AB2929*($E$6-$C$6)*($D$6-$C$6)),$E$6-SQRT((1-$AB2929)*($E$6-$C$6)*($E$6-$D$6)))</f>
        <v/>
      </c>
      <c r="O2929" s="14">
        <f>_xlfn.NORM.INV($AC2929,$C$7,$D$7)</f>
        <v/>
      </c>
      <c r="P2929" s="14">
        <f>$C$8+($D$8-$C$8)*$AD2929</f>
        <v/>
      </c>
      <c r="Q2929" s="14">
        <f>$C$9</f>
        <v/>
      </c>
      <c r="R2929" s="14">
        <f>_xlfn.LOGNORM.INV($AF2929,LN($C$10)-0.5*LN(1+($D$10/$C$10)^2),SQRT(LN(1+($D$10/$C$10)^2)))</f>
        <v/>
      </c>
      <c r="S2929" s="14">
        <f>SUM(M2929:R2929)</f>
        <v/>
      </c>
      <c r="AA2929">
        <f>RAND()</f>
        <v/>
      </c>
      <c r="AB2929">
        <f>RAND()</f>
        <v/>
      </c>
      <c r="AC2929">
        <f>RAND()</f>
        <v/>
      </c>
      <c r="AD2929">
        <f>RAND()</f>
        <v/>
      </c>
      <c r="AE2929">
        <f>RAND()</f>
        <v/>
      </c>
      <c r="AF2929">
        <f>RAND()</f>
        <v/>
      </c>
    </row>
    <row r="2930">
      <c r="M2930" s="14">
        <f>_xlfn.BETA.INV($AA2930,1+4*($D$5-$C$5)/($E$5-$C$5),1+4*($E$5-$D$5)/($E$5-$C$5),$C$5,$E$5)</f>
        <v/>
      </c>
      <c r="N2930" s="14">
        <f>IF($AB2930&lt;($D$6-$C$6)/($E$6-$C$6),$C$6+SQRT($AB2930*($E$6-$C$6)*($D$6-$C$6)),$E$6-SQRT((1-$AB2930)*($E$6-$C$6)*($E$6-$D$6)))</f>
        <v/>
      </c>
      <c r="O2930" s="14">
        <f>_xlfn.NORM.INV($AC2930,$C$7,$D$7)</f>
        <v/>
      </c>
      <c r="P2930" s="14">
        <f>$C$8+($D$8-$C$8)*$AD2930</f>
        <v/>
      </c>
      <c r="Q2930" s="14">
        <f>$C$9</f>
        <v/>
      </c>
      <c r="R2930" s="14">
        <f>_xlfn.LOGNORM.INV($AF2930,LN($C$10)-0.5*LN(1+($D$10/$C$10)^2),SQRT(LN(1+($D$10/$C$10)^2)))</f>
        <v/>
      </c>
      <c r="S2930" s="14">
        <f>SUM(M2930:R2930)</f>
        <v/>
      </c>
      <c r="AA2930">
        <f>RAND()</f>
        <v/>
      </c>
      <c r="AB2930">
        <f>RAND()</f>
        <v/>
      </c>
      <c r="AC2930">
        <f>RAND()</f>
        <v/>
      </c>
      <c r="AD2930">
        <f>RAND()</f>
        <v/>
      </c>
      <c r="AE2930">
        <f>RAND()</f>
        <v/>
      </c>
      <c r="AF2930">
        <f>RAND()</f>
        <v/>
      </c>
    </row>
    <row r="2931">
      <c r="M2931" s="14">
        <f>_xlfn.BETA.INV($AA2931,1+4*($D$5-$C$5)/($E$5-$C$5),1+4*($E$5-$D$5)/($E$5-$C$5),$C$5,$E$5)</f>
        <v/>
      </c>
      <c r="N2931" s="14">
        <f>IF($AB2931&lt;($D$6-$C$6)/($E$6-$C$6),$C$6+SQRT($AB2931*($E$6-$C$6)*($D$6-$C$6)),$E$6-SQRT((1-$AB2931)*($E$6-$C$6)*($E$6-$D$6)))</f>
        <v/>
      </c>
      <c r="O2931" s="14">
        <f>_xlfn.NORM.INV($AC2931,$C$7,$D$7)</f>
        <v/>
      </c>
      <c r="P2931" s="14">
        <f>$C$8+($D$8-$C$8)*$AD2931</f>
        <v/>
      </c>
      <c r="Q2931" s="14">
        <f>$C$9</f>
        <v/>
      </c>
      <c r="R2931" s="14">
        <f>_xlfn.LOGNORM.INV($AF2931,LN($C$10)-0.5*LN(1+($D$10/$C$10)^2),SQRT(LN(1+($D$10/$C$10)^2)))</f>
        <v/>
      </c>
      <c r="S2931" s="14">
        <f>SUM(M2931:R2931)</f>
        <v/>
      </c>
      <c r="AA2931">
        <f>RAND()</f>
        <v/>
      </c>
      <c r="AB2931">
        <f>RAND()</f>
        <v/>
      </c>
      <c r="AC2931">
        <f>RAND()</f>
        <v/>
      </c>
      <c r="AD2931">
        <f>RAND()</f>
        <v/>
      </c>
      <c r="AE2931">
        <f>RAND()</f>
        <v/>
      </c>
      <c r="AF2931">
        <f>RAND()</f>
        <v/>
      </c>
    </row>
    <row r="2932">
      <c r="M2932" s="14">
        <f>_xlfn.BETA.INV($AA2932,1+4*($D$5-$C$5)/($E$5-$C$5),1+4*($E$5-$D$5)/($E$5-$C$5),$C$5,$E$5)</f>
        <v/>
      </c>
      <c r="N2932" s="14">
        <f>IF($AB2932&lt;($D$6-$C$6)/($E$6-$C$6),$C$6+SQRT($AB2932*($E$6-$C$6)*($D$6-$C$6)),$E$6-SQRT((1-$AB2932)*($E$6-$C$6)*($E$6-$D$6)))</f>
        <v/>
      </c>
      <c r="O2932" s="14">
        <f>_xlfn.NORM.INV($AC2932,$C$7,$D$7)</f>
        <v/>
      </c>
      <c r="P2932" s="14">
        <f>$C$8+($D$8-$C$8)*$AD2932</f>
        <v/>
      </c>
      <c r="Q2932" s="14">
        <f>$C$9</f>
        <v/>
      </c>
      <c r="R2932" s="14">
        <f>_xlfn.LOGNORM.INV($AF2932,LN($C$10)-0.5*LN(1+($D$10/$C$10)^2),SQRT(LN(1+($D$10/$C$10)^2)))</f>
        <v/>
      </c>
      <c r="S2932" s="14">
        <f>SUM(M2932:R2932)</f>
        <v/>
      </c>
      <c r="AA2932">
        <f>RAND()</f>
        <v/>
      </c>
      <c r="AB2932">
        <f>RAND()</f>
        <v/>
      </c>
      <c r="AC2932">
        <f>RAND()</f>
        <v/>
      </c>
      <c r="AD2932">
        <f>RAND()</f>
        <v/>
      </c>
      <c r="AE2932">
        <f>RAND()</f>
        <v/>
      </c>
      <c r="AF2932">
        <f>RAND()</f>
        <v/>
      </c>
    </row>
    <row r="2933">
      <c r="M2933" s="14">
        <f>_xlfn.BETA.INV($AA2933,1+4*($D$5-$C$5)/($E$5-$C$5),1+4*($E$5-$D$5)/($E$5-$C$5),$C$5,$E$5)</f>
        <v/>
      </c>
      <c r="N2933" s="14">
        <f>IF($AB2933&lt;($D$6-$C$6)/($E$6-$C$6),$C$6+SQRT($AB2933*($E$6-$C$6)*($D$6-$C$6)),$E$6-SQRT((1-$AB2933)*($E$6-$C$6)*($E$6-$D$6)))</f>
        <v/>
      </c>
      <c r="O2933" s="14">
        <f>_xlfn.NORM.INV($AC2933,$C$7,$D$7)</f>
        <v/>
      </c>
      <c r="P2933" s="14">
        <f>$C$8+($D$8-$C$8)*$AD2933</f>
        <v/>
      </c>
      <c r="Q2933" s="14">
        <f>$C$9</f>
        <v/>
      </c>
      <c r="R2933" s="14">
        <f>_xlfn.LOGNORM.INV($AF2933,LN($C$10)-0.5*LN(1+($D$10/$C$10)^2),SQRT(LN(1+($D$10/$C$10)^2)))</f>
        <v/>
      </c>
      <c r="S2933" s="14">
        <f>SUM(M2933:R2933)</f>
        <v/>
      </c>
      <c r="AA2933">
        <f>RAND()</f>
        <v/>
      </c>
      <c r="AB2933">
        <f>RAND()</f>
        <v/>
      </c>
      <c r="AC2933">
        <f>RAND()</f>
        <v/>
      </c>
      <c r="AD2933">
        <f>RAND()</f>
        <v/>
      </c>
      <c r="AE2933">
        <f>RAND()</f>
        <v/>
      </c>
      <c r="AF2933">
        <f>RAND()</f>
        <v/>
      </c>
    </row>
    <row r="2934">
      <c r="M2934" s="14">
        <f>_xlfn.BETA.INV($AA2934,1+4*($D$5-$C$5)/($E$5-$C$5),1+4*($E$5-$D$5)/($E$5-$C$5),$C$5,$E$5)</f>
        <v/>
      </c>
      <c r="N2934" s="14">
        <f>IF($AB2934&lt;($D$6-$C$6)/($E$6-$C$6),$C$6+SQRT($AB2934*($E$6-$C$6)*($D$6-$C$6)),$E$6-SQRT((1-$AB2934)*($E$6-$C$6)*($E$6-$D$6)))</f>
        <v/>
      </c>
      <c r="O2934" s="14">
        <f>_xlfn.NORM.INV($AC2934,$C$7,$D$7)</f>
        <v/>
      </c>
      <c r="P2934" s="14">
        <f>$C$8+($D$8-$C$8)*$AD2934</f>
        <v/>
      </c>
      <c r="Q2934" s="14">
        <f>$C$9</f>
        <v/>
      </c>
      <c r="R2934" s="14">
        <f>_xlfn.LOGNORM.INV($AF2934,LN($C$10)-0.5*LN(1+($D$10/$C$10)^2),SQRT(LN(1+($D$10/$C$10)^2)))</f>
        <v/>
      </c>
      <c r="S2934" s="14">
        <f>SUM(M2934:R2934)</f>
        <v/>
      </c>
      <c r="AA2934">
        <f>RAND()</f>
        <v/>
      </c>
      <c r="AB2934">
        <f>RAND()</f>
        <v/>
      </c>
      <c r="AC2934">
        <f>RAND()</f>
        <v/>
      </c>
      <c r="AD2934">
        <f>RAND()</f>
        <v/>
      </c>
      <c r="AE2934">
        <f>RAND()</f>
        <v/>
      </c>
      <c r="AF2934">
        <f>RAND()</f>
        <v/>
      </c>
    </row>
    <row r="2935">
      <c r="M2935" s="14">
        <f>_xlfn.BETA.INV($AA2935,1+4*($D$5-$C$5)/($E$5-$C$5),1+4*($E$5-$D$5)/($E$5-$C$5),$C$5,$E$5)</f>
        <v/>
      </c>
      <c r="N2935" s="14">
        <f>IF($AB2935&lt;($D$6-$C$6)/($E$6-$C$6),$C$6+SQRT($AB2935*($E$6-$C$6)*($D$6-$C$6)),$E$6-SQRT((1-$AB2935)*($E$6-$C$6)*($E$6-$D$6)))</f>
        <v/>
      </c>
      <c r="O2935" s="14">
        <f>_xlfn.NORM.INV($AC2935,$C$7,$D$7)</f>
        <v/>
      </c>
      <c r="P2935" s="14">
        <f>$C$8+($D$8-$C$8)*$AD2935</f>
        <v/>
      </c>
      <c r="Q2935" s="14">
        <f>$C$9</f>
        <v/>
      </c>
      <c r="R2935" s="14">
        <f>_xlfn.LOGNORM.INV($AF2935,LN($C$10)-0.5*LN(1+($D$10/$C$10)^2),SQRT(LN(1+($D$10/$C$10)^2)))</f>
        <v/>
      </c>
      <c r="S2935" s="14">
        <f>SUM(M2935:R2935)</f>
        <v/>
      </c>
      <c r="AA2935">
        <f>RAND()</f>
        <v/>
      </c>
      <c r="AB2935">
        <f>RAND()</f>
        <v/>
      </c>
      <c r="AC2935">
        <f>RAND()</f>
        <v/>
      </c>
      <c r="AD2935">
        <f>RAND()</f>
        <v/>
      </c>
      <c r="AE2935">
        <f>RAND()</f>
        <v/>
      </c>
      <c r="AF2935">
        <f>RAND()</f>
        <v/>
      </c>
    </row>
    <row r="2936">
      <c r="M2936" s="14">
        <f>_xlfn.BETA.INV($AA2936,1+4*($D$5-$C$5)/($E$5-$C$5),1+4*($E$5-$D$5)/($E$5-$C$5),$C$5,$E$5)</f>
        <v/>
      </c>
      <c r="N2936" s="14">
        <f>IF($AB2936&lt;($D$6-$C$6)/($E$6-$C$6),$C$6+SQRT($AB2936*($E$6-$C$6)*($D$6-$C$6)),$E$6-SQRT((1-$AB2936)*($E$6-$C$6)*($E$6-$D$6)))</f>
        <v/>
      </c>
      <c r="O2936" s="14">
        <f>_xlfn.NORM.INV($AC2936,$C$7,$D$7)</f>
        <v/>
      </c>
      <c r="P2936" s="14">
        <f>$C$8+($D$8-$C$8)*$AD2936</f>
        <v/>
      </c>
      <c r="Q2936" s="14">
        <f>$C$9</f>
        <v/>
      </c>
      <c r="R2936" s="14">
        <f>_xlfn.LOGNORM.INV($AF2936,LN($C$10)-0.5*LN(1+($D$10/$C$10)^2),SQRT(LN(1+($D$10/$C$10)^2)))</f>
        <v/>
      </c>
      <c r="S2936" s="14">
        <f>SUM(M2936:R2936)</f>
        <v/>
      </c>
      <c r="AA2936">
        <f>RAND()</f>
        <v/>
      </c>
      <c r="AB2936">
        <f>RAND()</f>
        <v/>
      </c>
      <c r="AC2936">
        <f>RAND()</f>
        <v/>
      </c>
      <c r="AD2936">
        <f>RAND()</f>
        <v/>
      </c>
      <c r="AE2936">
        <f>RAND()</f>
        <v/>
      </c>
      <c r="AF2936">
        <f>RAND()</f>
        <v/>
      </c>
    </row>
    <row r="2937">
      <c r="M2937" s="14">
        <f>_xlfn.BETA.INV($AA2937,1+4*($D$5-$C$5)/($E$5-$C$5),1+4*($E$5-$D$5)/($E$5-$C$5),$C$5,$E$5)</f>
        <v/>
      </c>
      <c r="N2937" s="14">
        <f>IF($AB2937&lt;($D$6-$C$6)/($E$6-$C$6),$C$6+SQRT($AB2937*($E$6-$C$6)*($D$6-$C$6)),$E$6-SQRT((1-$AB2937)*($E$6-$C$6)*($E$6-$D$6)))</f>
        <v/>
      </c>
      <c r="O2937" s="14">
        <f>_xlfn.NORM.INV($AC2937,$C$7,$D$7)</f>
        <v/>
      </c>
      <c r="P2937" s="14">
        <f>$C$8+($D$8-$C$8)*$AD2937</f>
        <v/>
      </c>
      <c r="Q2937" s="14">
        <f>$C$9</f>
        <v/>
      </c>
      <c r="R2937" s="14">
        <f>_xlfn.LOGNORM.INV($AF2937,LN($C$10)-0.5*LN(1+($D$10/$C$10)^2),SQRT(LN(1+($D$10/$C$10)^2)))</f>
        <v/>
      </c>
      <c r="S2937" s="14">
        <f>SUM(M2937:R2937)</f>
        <v/>
      </c>
      <c r="AA2937">
        <f>RAND()</f>
        <v/>
      </c>
      <c r="AB2937">
        <f>RAND()</f>
        <v/>
      </c>
      <c r="AC2937">
        <f>RAND()</f>
        <v/>
      </c>
      <c r="AD2937">
        <f>RAND()</f>
        <v/>
      </c>
      <c r="AE2937">
        <f>RAND()</f>
        <v/>
      </c>
      <c r="AF2937">
        <f>RAND()</f>
        <v/>
      </c>
    </row>
    <row r="2938">
      <c r="M2938" s="14">
        <f>_xlfn.BETA.INV($AA2938,1+4*($D$5-$C$5)/($E$5-$C$5),1+4*($E$5-$D$5)/($E$5-$C$5),$C$5,$E$5)</f>
        <v/>
      </c>
      <c r="N2938" s="14">
        <f>IF($AB2938&lt;($D$6-$C$6)/($E$6-$C$6),$C$6+SQRT($AB2938*($E$6-$C$6)*($D$6-$C$6)),$E$6-SQRT((1-$AB2938)*($E$6-$C$6)*($E$6-$D$6)))</f>
        <v/>
      </c>
      <c r="O2938" s="14">
        <f>_xlfn.NORM.INV($AC2938,$C$7,$D$7)</f>
        <v/>
      </c>
      <c r="P2938" s="14">
        <f>$C$8+($D$8-$C$8)*$AD2938</f>
        <v/>
      </c>
      <c r="Q2938" s="14">
        <f>$C$9</f>
        <v/>
      </c>
      <c r="R2938" s="14">
        <f>_xlfn.LOGNORM.INV($AF2938,LN($C$10)-0.5*LN(1+($D$10/$C$10)^2),SQRT(LN(1+($D$10/$C$10)^2)))</f>
        <v/>
      </c>
      <c r="S2938" s="14">
        <f>SUM(M2938:R2938)</f>
        <v/>
      </c>
      <c r="AA2938">
        <f>RAND()</f>
        <v/>
      </c>
      <c r="AB2938">
        <f>RAND()</f>
        <v/>
      </c>
      <c r="AC2938">
        <f>RAND()</f>
        <v/>
      </c>
      <c r="AD2938">
        <f>RAND()</f>
        <v/>
      </c>
      <c r="AE2938">
        <f>RAND()</f>
        <v/>
      </c>
      <c r="AF2938">
        <f>RAND()</f>
        <v/>
      </c>
    </row>
    <row r="2939">
      <c r="M2939" s="14">
        <f>_xlfn.BETA.INV($AA2939,1+4*($D$5-$C$5)/($E$5-$C$5),1+4*($E$5-$D$5)/($E$5-$C$5),$C$5,$E$5)</f>
        <v/>
      </c>
      <c r="N2939" s="14">
        <f>IF($AB2939&lt;($D$6-$C$6)/($E$6-$C$6),$C$6+SQRT($AB2939*($E$6-$C$6)*($D$6-$C$6)),$E$6-SQRT((1-$AB2939)*($E$6-$C$6)*($E$6-$D$6)))</f>
        <v/>
      </c>
      <c r="O2939" s="14">
        <f>_xlfn.NORM.INV($AC2939,$C$7,$D$7)</f>
        <v/>
      </c>
      <c r="P2939" s="14">
        <f>$C$8+($D$8-$C$8)*$AD2939</f>
        <v/>
      </c>
      <c r="Q2939" s="14">
        <f>$C$9</f>
        <v/>
      </c>
      <c r="R2939" s="14">
        <f>_xlfn.LOGNORM.INV($AF2939,LN($C$10)-0.5*LN(1+($D$10/$C$10)^2),SQRT(LN(1+($D$10/$C$10)^2)))</f>
        <v/>
      </c>
      <c r="S2939" s="14">
        <f>SUM(M2939:R2939)</f>
        <v/>
      </c>
      <c r="AA2939">
        <f>RAND()</f>
        <v/>
      </c>
      <c r="AB2939">
        <f>RAND()</f>
        <v/>
      </c>
      <c r="AC2939">
        <f>RAND()</f>
        <v/>
      </c>
      <c r="AD2939">
        <f>RAND()</f>
        <v/>
      </c>
      <c r="AE2939">
        <f>RAND()</f>
        <v/>
      </c>
      <c r="AF2939">
        <f>RAND()</f>
        <v/>
      </c>
    </row>
    <row r="2940">
      <c r="M2940" s="14">
        <f>_xlfn.BETA.INV($AA2940,1+4*($D$5-$C$5)/($E$5-$C$5),1+4*($E$5-$D$5)/($E$5-$C$5),$C$5,$E$5)</f>
        <v/>
      </c>
      <c r="N2940" s="14">
        <f>IF($AB2940&lt;($D$6-$C$6)/($E$6-$C$6),$C$6+SQRT($AB2940*($E$6-$C$6)*($D$6-$C$6)),$E$6-SQRT((1-$AB2940)*($E$6-$C$6)*($E$6-$D$6)))</f>
        <v/>
      </c>
      <c r="O2940" s="14">
        <f>_xlfn.NORM.INV($AC2940,$C$7,$D$7)</f>
        <v/>
      </c>
      <c r="P2940" s="14">
        <f>$C$8+($D$8-$C$8)*$AD2940</f>
        <v/>
      </c>
      <c r="Q2940" s="14">
        <f>$C$9</f>
        <v/>
      </c>
      <c r="R2940" s="14">
        <f>_xlfn.LOGNORM.INV($AF2940,LN($C$10)-0.5*LN(1+($D$10/$C$10)^2),SQRT(LN(1+($D$10/$C$10)^2)))</f>
        <v/>
      </c>
      <c r="S2940" s="14">
        <f>SUM(M2940:R2940)</f>
        <v/>
      </c>
      <c r="AA2940">
        <f>RAND()</f>
        <v/>
      </c>
      <c r="AB2940">
        <f>RAND()</f>
        <v/>
      </c>
      <c r="AC2940">
        <f>RAND()</f>
        <v/>
      </c>
      <c r="AD2940">
        <f>RAND()</f>
        <v/>
      </c>
      <c r="AE2940">
        <f>RAND()</f>
        <v/>
      </c>
      <c r="AF2940">
        <f>RAND()</f>
        <v/>
      </c>
    </row>
    <row r="2941">
      <c r="M2941" s="14">
        <f>_xlfn.BETA.INV($AA2941,1+4*($D$5-$C$5)/($E$5-$C$5),1+4*($E$5-$D$5)/($E$5-$C$5),$C$5,$E$5)</f>
        <v/>
      </c>
      <c r="N2941" s="14">
        <f>IF($AB2941&lt;($D$6-$C$6)/($E$6-$C$6),$C$6+SQRT($AB2941*($E$6-$C$6)*($D$6-$C$6)),$E$6-SQRT((1-$AB2941)*($E$6-$C$6)*($E$6-$D$6)))</f>
        <v/>
      </c>
      <c r="O2941" s="14">
        <f>_xlfn.NORM.INV($AC2941,$C$7,$D$7)</f>
        <v/>
      </c>
      <c r="P2941" s="14">
        <f>$C$8+($D$8-$C$8)*$AD2941</f>
        <v/>
      </c>
      <c r="Q2941" s="14">
        <f>$C$9</f>
        <v/>
      </c>
      <c r="R2941" s="14">
        <f>_xlfn.LOGNORM.INV($AF2941,LN($C$10)-0.5*LN(1+($D$10/$C$10)^2),SQRT(LN(1+($D$10/$C$10)^2)))</f>
        <v/>
      </c>
      <c r="S2941" s="14">
        <f>SUM(M2941:R2941)</f>
        <v/>
      </c>
      <c r="AA2941">
        <f>RAND()</f>
        <v/>
      </c>
      <c r="AB2941">
        <f>RAND()</f>
        <v/>
      </c>
      <c r="AC2941">
        <f>RAND()</f>
        <v/>
      </c>
      <c r="AD2941">
        <f>RAND()</f>
        <v/>
      </c>
      <c r="AE2941">
        <f>RAND()</f>
        <v/>
      </c>
      <c r="AF2941">
        <f>RAND()</f>
        <v/>
      </c>
    </row>
    <row r="2942">
      <c r="M2942" s="14">
        <f>_xlfn.BETA.INV($AA2942,1+4*($D$5-$C$5)/($E$5-$C$5),1+4*($E$5-$D$5)/($E$5-$C$5),$C$5,$E$5)</f>
        <v/>
      </c>
      <c r="N2942" s="14">
        <f>IF($AB2942&lt;($D$6-$C$6)/($E$6-$C$6),$C$6+SQRT($AB2942*($E$6-$C$6)*($D$6-$C$6)),$E$6-SQRT((1-$AB2942)*($E$6-$C$6)*($E$6-$D$6)))</f>
        <v/>
      </c>
      <c r="O2942" s="14">
        <f>_xlfn.NORM.INV($AC2942,$C$7,$D$7)</f>
        <v/>
      </c>
      <c r="P2942" s="14">
        <f>$C$8+($D$8-$C$8)*$AD2942</f>
        <v/>
      </c>
      <c r="Q2942" s="14">
        <f>$C$9</f>
        <v/>
      </c>
      <c r="R2942" s="14">
        <f>_xlfn.LOGNORM.INV($AF2942,LN($C$10)-0.5*LN(1+($D$10/$C$10)^2),SQRT(LN(1+($D$10/$C$10)^2)))</f>
        <v/>
      </c>
      <c r="S2942" s="14">
        <f>SUM(M2942:R2942)</f>
        <v/>
      </c>
      <c r="AA2942">
        <f>RAND()</f>
        <v/>
      </c>
      <c r="AB2942">
        <f>RAND()</f>
        <v/>
      </c>
      <c r="AC2942">
        <f>RAND()</f>
        <v/>
      </c>
      <c r="AD2942">
        <f>RAND()</f>
        <v/>
      </c>
      <c r="AE2942">
        <f>RAND()</f>
        <v/>
      </c>
      <c r="AF2942">
        <f>RAND()</f>
        <v/>
      </c>
    </row>
    <row r="2943">
      <c r="M2943" s="14">
        <f>_xlfn.BETA.INV($AA2943,1+4*($D$5-$C$5)/($E$5-$C$5),1+4*($E$5-$D$5)/($E$5-$C$5),$C$5,$E$5)</f>
        <v/>
      </c>
      <c r="N2943" s="14">
        <f>IF($AB2943&lt;($D$6-$C$6)/($E$6-$C$6),$C$6+SQRT($AB2943*($E$6-$C$6)*($D$6-$C$6)),$E$6-SQRT((1-$AB2943)*($E$6-$C$6)*($E$6-$D$6)))</f>
        <v/>
      </c>
      <c r="O2943" s="14">
        <f>_xlfn.NORM.INV($AC2943,$C$7,$D$7)</f>
        <v/>
      </c>
      <c r="P2943" s="14">
        <f>$C$8+($D$8-$C$8)*$AD2943</f>
        <v/>
      </c>
      <c r="Q2943" s="14">
        <f>$C$9</f>
        <v/>
      </c>
      <c r="R2943" s="14">
        <f>_xlfn.LOGNORM.INV($AF2943,LN($C$10)-0.5*LN(1+($D$10/$C$10)^2),SQRT(LN(1+($D$10/$C$10)^2)))</f>
        <v/>
      </c>
      <c r="S2943" s="14">
        <f>SUM(M2943:R2943)</f>
        <v/>
      </c>
      <c r="AA2943">
        <f>RAND()</f>
        <v/>
      </c>
      <c r="AB2943">
        <f>RAND()</f>
        <v/>
      </c>
      <c r="AC2943">
        <f>RAND()</f>
        <v/>
      </c>
      <c r="AD2943">
        <f>RAND()</f>
        <v/>
      </c>
      <c r="AE2943">
        <f>RAND()</f>
        <v/>
      </c>
      <c r="AF2943">
        <f>RAND()</f>
        <v/>
      </c>
    </row>
    <row r="2944">
      <c r="M2944" s="14">
        <f>_xlfn.BETA.INV($AA2944,1+4*($D$5-$C$5)/($E$5-$C$5),1+4*($E$5-$D$5)/($E$5-$C$5),$C$5,$E$5)</f>
        <v/>
      </c>
      <c r="N2944" s="14">
        <f>IF($AB2944&lt;($D$6-$C$6)/($E$6-$C$6),$C$6+SQRT($AB2944*($E$6-$C$6)*($D$6-$C$6)),$E$6-SQRT((1-$AB2944)*($E$6-$C$6)*($E$6-$D$6)))</f>
        <v/>
      </c>
      <c r="O2944" s="14">
        <f>_xlfn.NORM.INV($AC2944,$C$7,$D$7)</f>
        <v/>
      </c>
      <c r="P2944" s="14">
        <f>$C$8+($D$8-$C$8)*$AD2944</f>
        <v/>
      </c>
      <c r="Q2944" s="14">
        <f>$C$9</f>
        <v/>
      </c>
      <c r="R2944" s="14">
        <f>_xlfn.LOGNORM.INV($AF2944,LN($C$10)-0.5*LN(1+($D$10/$C$10)^2),SQRT(LN(1+($D$10/$C$10)^2)))</f>
        <v/>
      </c>
      <c r="S2944" s="14">
        <f>SUM(M2944:R2944)</f>
        <v/>
      </c>
      <c r="AA2944">
        <f>RAND()</f>
        <v/>
      </c>
      <c r="AB2944">
        <f>RAND()</f>
        <v/>
      </c>
      <c r="AC2944">
        <f>RAND()</f>
        <v/>
      </c>
      <c r="AD2944">
        <f>RAND()</f>
        <v/>
      </c>
      <c r="AE2944">
        <f>RAND()</f>
        <v/>
      </c>
      <c r="AF2944">
        <f>RAND()</f>
        <v/>
      </c>
    </row>
    <row r="2945">
      <c r="M2945" s="14">
        <f>_xlfn.BETA.INV($AA2945,1+4*($D$5-$C$5)/($E$5-$C$5),1+4*($E$5-$D$5)/($E$5-$C$5),$C$5,$E$5)</f>
        <v/>
      </c>
      <c r="N2945" s="14">
        <f>IF($AB2945&lt;($D$6-$C$6)/($E$6-$C$6),$C$6+SQRT($AB2945*($E$6-$C$6)*($D$6-$C$6)),$E$6-SQRT((1-$AB2945)*($E$6-$C$6)*($E$6-$D$6)))</f>
        <v/>
      </c>
      <c r="O2945" s="14">
        <f>_xlfn.NORM.INV($AC2945,$C$7,$D$7)</f>
        <v/>
      </c>
      <c r="P2945" s="14">
        <f>$C$8+($D$8-$C$8)*$AD2945</f>
        <v/>
      </c>
      <c r="Q2945" s="14">
        <f>$C$9</f>
        <v/>
      </c>
      <c r="R2945" s="14">
        <f>_xlfn.LOGNORM.INV($AF2945,LN($C$10)-0.5*LN(1+($D$10/$C$10)^2),SQRT(LN(1+($D$10/$C$10)^2)))</f>
        <v/>
      </c>
      <c r="S2945" s="14">
        <f>SUM(M2945:R2945)</f>
        <v/>
      </c>
      <c r="AA2945">
        <f>RAND()</f>
        <v/>
      </c>
      <c r="AB2945">
        <f>RAND()</f>
        <v/>
      </c>
      <c r="AC2945">
        <f>RAND()</f>
        <v/>
      </c>
      <c r="AD2945">
        <f>RAND()</f>
        <v/>
      </c>
      <c r="AE2945">
        <f>RAND()</f>
        <v/>
      </c>
      <c r="AF2945">
        <f>RAND()</f>
        <v/>
      </c>
    </row>
    <row r="2946">
      <c r="M2946" s="14">
        <f>_xlfn.BETA.INV($AA2946,1+4*($D$5-$C$5)/($E$5-$C$5),1+4*($E$5-$D$5)/($E$5-$C$5),$C$5,$E$5)</f>
        <v/>
      </c>
      <c r="N2946" s="14">
        <f>IF($AB2946&lt;($D$6-$C$6)/($E$6-$C$6),$C$6+SQRT($AB2946*($E$6-$C$6)*($D$6-$C$6)),$E$6-SQRT((1-$AB2946)*($E$6-$C$6)*($E$6-$D$6)))</f>
        <v/>
      </c>
      <c r="O2946" s="14">
        <f>_xlfn.NORM.INV($AC2946,$C$7,$D$7)</f>
        <v/>
      </c>
      <c r="P2946" s="14">
        <f>$C$8+($D$8-$C$8)*$AD2946</f>
        <v/>
      </c>
      <c r="Q2946" s="14">
        <f>$C$9</f>
        <v/>
      </c>
      <c r="R2946" s="14">
        <f>_xlfn.LOGNORM.INV($AF2946,LN($C$10)-0.5*LN(1+($D$10/$C$10)^2),SQRT(LN(1+($D$10/$C$10)^2)))</f>
        <v/>
      </c>
      <c r="S2946" s="14">
        <f>SUM(M2946:R2946)</f>
        <v/>
      </c>
      <c r="AA2946">
        <f>RAND()</f>
        <v/>
      </c>
      <c r="AB2946">
        <f>RAND()</f>
        <v/>
      </c>
      <c r="AC2946">
        <f>RAND()</f>
        <v/>
      </c>
      <c r="AD2946">
        <f>RAND()</f>
        <v/>
      </c>
      <c r="AE2946">
        <f>RAND()</f>
        <v/>
      </c>
      <c r="AF2946">
        <f>RAND()</f>
        <v/>
      </c>
    </row>
    <row r="2947">
      <c r="M2947" s="14">
        <f>_xlfn.BETA.INV($AA2947,1+4*($D$5-$C$5)/($E$5-$C$5),1+4*($E$5-$D$5)/($E$5-$C$5),$C$5,$E$5)</f>
        <v/>
      </c>
      <c r="N2947" s="14">
        <f>IF($AB2947&lt;($D$6-$C$6)/($E$6-$C$6),$C$6+SQRT($AB2947*($E$6-$C$6)*($D$6-$C$6)),$E$6-SQRT((1-$AB2947)*($E$6-$C$6)*($E$6-$D$6)))</f>
        <v/>
      </c>
      <c r="O2947" s="14">
        <f>_xlfn.NORM.INV($AC2947,$C$7,$D$7)</f>
        <v/>
      </c>
      <c r="P2947" s="14">
        <f>$C$8+($D$8-$C$8)*$AD2947</f>
        <v/>
      </c>
      <c r="Q2947" s="14">
        <f>$C$9</f>
        <v/>
      </c>
      <c r="R2947" s="14">
        <f>_xlfn.LOGNORM.INV($AF2947,LN($C$10)-0.5*LN(1+($D$10/$C$10)^2),SQRT(LN(1+($D$10/$C$10)^2)))</f>
        <v/>
      </c>
      <c r="S2947" s="14">
        <f>SUM(M2947:R2947)</f>
        <v/>
      </c>
      <c r="AA2947">
        <f>RAND()</f>
        <v/>
      </c>
      <c r="AB2947">
        <f>RAND()</f>
        <v/>
      </c>
      <c r="AC2947">
        <f>RAND()</f>
        <v/>
      </c>
      <c r="AD2947">
        <f>RAND()</f>
        <v/>
      </c>
      <c r="AE2947">
        <f>RAND()</f>
        <v/>
      </c>
      <c r="AF2947">
        <f>RAND()</f>
        <v/>
      </c>
    </row>
    <row r="2948">
      <c r="M2948" s="14">
        <f>_xlfn.BETA.INV($AA2948,1+4*($D$5-$C$5)/($E$5-$C$5),1+4*($E$5-$D$5)/($E$5-$C$5),$C$5,$E$5)</f>
        <v/>
      </c>
      <c r="N2948" s="14">
        <f>IF($AB2948&lt;($D$6-$C$6)/($E$6-$C$6),$C$6+SQRT($AB2948*($E$6-$C$6)*($D$6-$C$6)),$E$6-SQRT((1-$AB2948)*($E$6-$C$6)*($E$6-$D$6)))</f>
        <v/>
      </c>
      <c r="O2948" s="14">
        <f>_xlfn.NORM.INV($AC2948,$C$7,$D$7)</f>
        <v/>
      </c>
      <c r="P2948" s="14">
        <f>$C$8+($D$8-$C$8)*$AD2948</f>
        <v/>
      </c>
      <c r="Q2948" s="14">
        <f>$C$9</f>
        <v/>
      </c>
      <c r="R2948" s="14">
        <f>_xlfn.LOGNORM.INV($AF2948,LN($C$10)-0.5*LN(1+($D$10/$C$10)^2),SQRT(LN(1+($D$10/$C$10)^2)))</f>
        <v/>
      </c>
      <c r="S2948" s="14">
        <f>SUM(M2948:R2948)</f>
        <v/>
      </c>
      <c r="AA2948">
        <f>RAND()</f>
        <v/>
      </c>
      <c r="AB2948">
        <f>RAND()</f>
        <v/>
      </c>
      <c r="AC2948">
        <f>RAND()</f>
        <v/>
      </c>
      <c r="AD2948">
        <f>RAND()</f>
        <v/>
      </c>
      <c r="AE2948">
        <f>RAND()</f>
        <v/>
      </c>
      <c r="AF2948">
        <f>RAND()</f>
        <v/>
      </c>
    </row>
    <row r="2949">
      <c r="M2949" s="14">
        <f>_xlfn.BETA.INV($AA2949,1+4*($D$5-$C$5)/($E$5-$C$5),1+4*($E$5-$D$5)/($E$5-$C$5),$C$5,$E$5)</f>
        <v/>
      </c>
      <c r="N2949" s="14">
        <f>IF($AB2949&lt;($D$6-$C$6)/($E$6-$C$6),$C$6+SQRT($AB2949*($E$6-$C$6)*($D$6-$C$6)),$E$6-SQRT((1-$AB2949)*($E$6-$C$6)*($E$6-$D$6)))</f>
        <v/>
      </c>
      <c r="O2949" s="14">
        <f>_xlfn.NORM.INV($AC2949,$C$7,$D$7)</f>
        <v/>
      </c>
      <c r="P2949" s="14">
        <f>$C$8+($D$8-$C$8)*$AD2949</f>
        <v/>
      </c>
      <c r="Q2949" s="14">
        <f>$C$9</f>
        <v/>
      </c>
      <c r="R2949" s="14">
        <f>_xlfn.LOGNORM.INV($AF2949,LN($C$10)-0.5*LN(1+($D$10/$C$10)^2),SQRT(LN(1+($D$10/$C$10)^2)))</f>
        <v/>
      </c>
      <c r="S2949" s="14">
        <f>SUM(M2949:R2949)</f>
        <v/>
      </c>
      <c r="AA2949">
        <f>RAND()</f>
        <v/>
      </c>
      <c r="AB2949">
        <f>RAND()</f>
        <v/>
      </c>
      <c r="AC2949">
        <f>RAND()</f>
        <v/>
      </c>
      <c r="AD2949">
        <f>RAND()</f>
        <v/>
      </c>
      <c r="AE2949">
        <f>RAND()</f>
        <v/>
      </c>
      <c r="AF2949">
        <f>RAND()</f>
        <v/>
      </c>
    </row>
    <row r="2950">
      <c r="M2950" s="14">
        <f>_xlfn.BETA.INV($AA2950,1+4*($D$5-$C$5)/($E$5-$C$5),1+4*($E$5-$D$5)/($E$5-$C$5),$C$5,$E$5)</f>
        <v/>
      </c>
      <c r="N2950" s="14">
        <f>IF($AB2950&lt;($D$6-$C$6)/($E$6-$C$6),$C$6+SQRT($AB2950*($E$6-$C$6)*($D$6-$C$6)),$E$6-SQRT((1-$AB2950)*($E$6-$C$6)*($E$6-$D$6)))</f>
        <v/>
      </c>
      <c r="O2950" s="14">
        <f>_xlfn.NORM.INV($AC2950,$C$7,$D$7)</f>
        <v/>
      </c>
      <c r="P2950" s="14">
        <f>$C$8+($D$8-$C$8)*$AD2950</f>
        <v/>
      </c>
      <c r="Q2950" s="14">
        <f>$C$9</f>
        <v/>
      </c>
      <c r="R2950" s="14">
        <f>_xlfn.LOGNORM.INV($AF2950,LN($C$10)-0.5*LN(1+($D$10/$C$10)^2),SQRT(LN(1+($D$10/$C$10)^2)))</f>
        <v/>
      </c>
      <c r="S2950" s="14">
        <f>SUM(M2950:R2950)</f>
        <v/>
      </c>
      <c r="AA2950">
        <f>RAND()</f>
        <v/>
      </c>
      <c r="AB2950">
        <f>RAND()</f>
        <v/>
      </c>
      <c r="AC2950">
        <f>RAND()</f>
        <v/>
      </c>
      <c r="AD2950">
        <f>RAND()</f>
        <v/>
      </c>
      <c r="AE2950">
        <f>RAND()</f>
        <v/>
      </c>
      <c r="AF2950">
        <f>RAND()</f>
        <v/>
      </c>
    </row>
    <row r="2951">
      <c r="M2951" s="14">
        <f>_xlfn.BETA.INV($AA2951,1+4*($D$5-$C$5)/($E$5-$C$5),1+4*($E$5-$D$5)/($E$5-$C$5),$C$5,$E$5)</f>
        <v/>
      </c>
      <c r="N2951" s="14">
        <f>IF($AB2951&lt;($D$6-$C$6)/($E$6-$C$6),$C$6+SQRT($AB2951*($E$6-$C$6)*($D$6-$C$6)),$E$6-SQRT((1-$AB2951)*($E$6-$C$6)*($E$6-$D$6)))</f>
        <v/>
      </c>
      <c r="O2951" s="14">
        <f>_xlfn.NORM.INV($AC2951,$C$7,$D$7)</f>
        <v/>
      </c>
      <c r="P2951" s="14">
        <f>$C$8+($D$8-$C$8)*$AD2951</f>
        <v/>
      </c>
      <c r="Q2951" s="14">
        <f>$C$9</f>
        <v/>
      </c>
      <c r="R2951" s="14">
        <f>_xlfn.LOGNORM.INV($AF2951,LN($C$10)-0.5*LN(1+($D$10/$C$10)^2),SQRT(LN(1+($D$10/$C$10)^2)))</f>
        <v/>
      </c>
      <c r="S2951" s="14">
        <f>SUM(M2951:R2951)</f>
        <v/>
      </c>
      <c r="AA2951">
        <f>RAND()</f>
        <v/>
      </c>
      <c r="AB2951">
        <f>RAND()</f>
        <v/>
      </c>
      <c r="AC2951">
        <f>RAND()</f>
        <v/>
      </c>
      <c r="AD2951">
        <f>RAND()</f>
        <v/>
      </c>
      <c r="AE2951">
        <f>RAND()</f>
        <v/>
      </c>
      <c r="AF2951">
        <f>RAND()</f>
        <v/>
      </c>
    </row>
    <row r="2952">
      <c r="M2952" s="14">
        <f>_xlfn.BETA.INV($AA2952,1+4*($D$5-$C$5)/($E$5-$C$5),1+4*($E$5-$D$5)/($E$5-$C$5),$C$5,$E$5)</f>
        <v/>
      </c>
      <c r="N2952" s="14">
        <f>IF($AB2952&lt;($D$6-$C$6)/($E$6-$C$6),$C$6+SQRT($AB2952*($E$6-$C$6)*($D$6-$C$6)),$E$6-SQRT((1-$AB2952)*($E$6-$C$6)*($E$6-$D$6)))</f>
        <v/>
      </c>
      <c r="O2952" s="14">
        <f>_xlfn.NORM.INV($AC2952,$C$7,$D$7)</f>
        <v/>
      </c>
      <c r="P2952" s="14">
        <f>$C$8+($D$8-$C$8)*$AD2952</f>
        <v/>
      </c>
      <c r="Q2952" s="14">
        <f>$C$9</f>
        <v/>
      </c>
      <c r="R2952" s="14">
        <f>_xlfn.LOGNORM.INV($AF2952,LN($C$10)-0.5*LN(1+($D$10/$C$10)^2),SQRT(LN(1+($D$10/$C$10)^2)))</f>
        <v/>
      </c>
      <c r="S2952" s="14">
        <f>SUM(M2952:R2952)</f>
        <v/>
      </c>
      <c r="AA2952">
        <f>RAND()</f>
        <v/>
      </c>
      <c r="AB2952">
        <f>RAND()</f>
        <v/>
      </c>
      <c r="AC2952">
        <f>RAND()</f>
        <v/>
      </c>
      <c r="AD2952">
        <f>RAND()</f>
        <v/>
      </c>
      <c r="AE2952">
        <f>RAND()</f>
        <v/>
      </c>
      <c r="AF2952">
        <f>RAND()</f>
        <v/>
      </c>
    </row>
    <row r="2953">
      <c r="M2953" s="14">
        <f>_xlfn.BETA.INV($AA2953,1+4*($D$5-$C$5)/($E$5-$C$5),1+4*($E$5-$D$5)/($E$5-$C$5),$C$5,$E$5)</f>
        <v/>
      </c>
      <c r="N2953" s="14">
        <f>IF($AB2953&lt;($D$6-$C$6)/($E$6-$C$6),$C$6+SQRT($AB2953*($E$6-$C$6)*($D$6-$C$6)),$E$6-SQRT((1-$AB2953)*($E$6-$C$6)*($E$6-$D$6)))</f>
        <v/>
      </c>
      <c r="O2953" s="14">
        <f>_xlfn.NORM.INV($AC2953,$C$7,$D$7)</f>
        <v/>
      </c>
      <c r="P2953" s="14">
        <f>$C$8+($D$8-$C$8)*$AD2953</f>
        <v/>
      </c>
      <c r="Q2953" s="14">
        <f>$C$9</f>
        <v/>
      </c>
      <c r="R2953" s="14">
        <f>_xlfn.LOGNORM.INV($AF2953,LN($C$10)-0.5*LN(1+($D$10/$C$10)^2),SQRT(LN(1+($D$10/$C$10)^2)))</f>
        <v/>
      </c>
      <c r="S2953" s="14">
        <f>SUM(M2953:R2953)</f>
        <v/>
      </c>
      <c r="AA2953">
        <f>RAND()</f>
        <v/>
      </c>
      <c r="AB2953">
        <f>RAND()</f>
        <v/>
      </c>
      <c r="AC2953">
        <f>RAND()</f>
        <v/>
      </c>
      <c r="AD2953">
        <f>RAND()</f>
        <v/>
      </c>
      <c r="AE2953">
        <f>RAND()</f>
        <v/>
      </c>
      <c r="AF2953">
        <f>RAND()</f>
        <v/>
      </c>
    </row>
    <row r="2954">
      <c r="M2954" s="14">
        <f>_xlfn.BETA.INV($AA2954,1+4*($D$5-$C$5)/($E$5-$C$5),1+4*($E$5-$D$5)/($E$5-$C$5),$C$5,$E$5)</f>
        <v/>
      </c>
      <c r="N2954" s="14">
        <f>IF($AB2954&lt;($D$6-$C$6)/($E$6-$C$6),$C$6+SQRT($AB2954*($E$6-$C$6)*($D$6-$C$6)),$E$6-SQRT((1-$AB2954)*($E$6-$C$6)*($E$6-$D$6)))</f>
        <v/>
      </c>
      <c r="O2954" s="14">
        <f>_xlfn.NORM.INV($AC2954,$C$7,$D$7)</f>
        <v/>
      </c>
      <c r="P2954" s="14">
        <f>$C$8+($D$8-$C$8)*$AD2954</f>
        <v/>
      </c>
      <c r="Q2954" s="14">
        <f>$C$9</f>
        <v/>
      </c>
      <c r="R2954" s="14">
        <f>_xlfn.LOGNORM.INV($AF2954,LN($C$10)-0.5*LN(1+($D$10/$C$10)^2),SQRT(LN(1+($D$10/$C$10)^2)))</f>
        <v/>
      </c>
      <c r="S2954" s="14">
        <f>SUM(M2954:R2954)</f>
        <v/>
      </c>
      <c r="AA2954">
        <f>RAND()</f>
        <v/>
      </c>
      <c r="AB2954">
        <f>RAND()</f>
        <v/>
      </c>
      <c r="AC2954">
        <f>RAND()</f>
        <v/>
      </c>
      <c r="AD2954">
        <f>RAND()</f>
        <v/>
      </c>
      <c r="AE2954">
        <f>RAND()</f>
        <v/>
      </c>
      <c r="AF2954">
        <f>RAND()</f>
        <v/>
      </c>
    </row>
    <row r="2955">
      <c r="M2955" s="14">
        <f>_xlfn.BETA.INV($AA2955,1+4*($D$5-$C$5)/($E$5-$C$5),1+4*($E$5-$D$5)/($E$5-$C$5),$C$5,$E$5)</f>
        <v/>
      </c>
      <c r="N2955" s="14">
        <f>IF($AB2955&lt;($D$6-$C$6)/($E$6-$C$6),$C$6+SQRT($AB2955*($E$6-$C$6)*($D$6-$C$6)),$E$6-SQRT((1-$AB2955)*($E$6-$C$6)*($E$6-$D$6)))</f>
        <v/>
      </c>
      <c r="O2955" s="14">
        <f>_xlfn.NORM.INV($AC2955,$C$7,$D$7)</f>
        <v/>
      </c>
      <c r="P2955" s="14">
        <f>$C$8+($D$8-$C$8)*$AD2955</f>
        <v/>
      </c>
      <c r="Q2955" s="14">
        <f>$C$9</f>
        <v/>
      </c>
      <c r="R2955" s="14">
        <f>_xlfn.LOGNORM.INV($AF2955,LN($C$10)-0.5*LN(1+($D$10/$C$10)^2),SQRT(LN(1+($D$10/$C$10)^2)))</f>
        <v/>
      </c>
      <c r="S2955" s="14">
        <f>SUM(M2955:R2955)</f>
        <v/>
      </c>
      <c r="AA2955">
        <f>RAND()</f>
        <v/>
      </c>
      <c r="AB2955">
        <f>RAND()</f>
        <v/>
      </c>
      <c r="AC2955">
        <f>RAND()</f>
        <v/>
      </c>
      <c r="AD2955">
        <f>RAND()</f>
        <v/>
      </c>
      <c r="AE2955">
        <f>RAND()</f>
        <v/>
      </c>
      <c r="AF2955">
        <f>RAND()</f>
        <v/>
      </c>
    </row>
    <row r="2956">
      <c r="M2956" s="14">
        <f>_xlfn.BETA.INV($AA2956,1+4*($D$5-$C$5)/($E$5-$C$5),1+4*($E$5-$D$5)/($E$5-$C$5),$C$5,$E$5)</f>
        <v/>
      </c>
      <c r="N2956" s="14">
        <f>IF($AB2956&lt;($D$6-$C$6)/($E$6-$C$6),$C$6+SQRT($AB2956*($E$6-$C$6)*($D$6-$C$6)),$E$6-SQRT((1-$AB2956)*($E$6-$C$6)*($E$6-$D$6)))</f>
        <v/>
      </c>
      <c r="O2956" s="14">
        <f>_xlfn.NORM.INV($AC2956,$C$7,$D$7)</f>
        <v/>
      </c>
      <c r="P2956" s="14">
        <f>$C$8+($D$8-$C$8)*$AD2956</f>
        <v/>
      </c>
      <c r="Q2956" s="14">
        <f>$C$9</f>
        <v/>
      </c>
      <c r="R2956" s="14">
        <f>_xlfn.LOGNORM.INV($AF2956,LN($C$10)-0.5*LN(1+($D$10/$C$10)^2),SQRT(LN(1+($D$10/$C$10)^2)))</f>
        <v/>
      </c>
      <c r="S2956" s="14">
        <f>SUM(M2956:R2956)</f>
        <v/>
      </c>
      <c r="AA2956">
        <f>RAND()</f>
        <v/>
      </c>
      <c r="AB2956">
        <f>RAND()</f>
        <v/>
      </c>
      <c r="AC2956">
        <f>RAND()</f>
        <v/>
      </c>
      <c r="AD2956">
        <f>RAND()</f>
        <v/>
      </c>
      <c r="AE2956">
        <f>RAND()</f>
        <v/>
      </c>
      <c r="AF2956">
        <f>RAND()</f>
        <v/>
      </c>
    </row>
    <row r="2957">
      <c r="M2957" s="14">
        <f>_xlfn.BETA.INV($AA2957,1+4*($D$5-$C$5)/($E$5-$C$5),1+4*($E$5-$D$5)/($E$5-$C$5),$C$5,$E$5)</f>
        <v/>
      </c>
      <c r="N2957" s="14">
        <f>IF($AB2957&lt;($D$6-$C$6)/($E$6-$C$6),$C$6+SQRT($AB2957*($E$6-$C$6)*($D$6-$C$6)),$E$6-SQRT((1-$AB2957)*($E$6-$C$6)*($E$6-$D$6)))</f>
        <v/>
      </c>
      <c r="O2957" s="14">
        <f>_xlfn.NORM.INV($AC2957,$C$7,$D$7)</f>
        <v/>
      </c>
      <c r="P2957" s="14">
        <f>$C$8+($D$8-$C$8)*$AD2957</f>
        <v/>
      </c>
      <c r="Q2957" s="14">
        <f>$C$9</f>
        <v/>
      </c>
      <c r="R2957" s="14">
        <f>_xlfn.LOGNORM.INV($AF2957,LN($C$10)-0.5*LN(1+($D$10/$C$10)^2),SQRT(LN(1+($D$10/$C$10)^2)))</f>
        <v/>
      </c>
      <c r="S2957" s="14">
        <f>SUM(M2957:R2957)</f>
        <v/>
      </c>
      <c r="AA2957">
        <f>RAND()</f>
        <v/>
      </c>
      <c r="AB2957">
        <f>RAND()</f>
        <v/>
      </c>
      <c r="AC2957">
        <f>RAND()</f>
        <v/>
      </c>
      <c r="AD2957">
        <f>RAND()</f>
        <v/>
      </c>
      <c r="AE2957">
        <f>RAND()</f>
        <v/>
      </c>
      <c r="AF2957">
        <f>RAND()</f>
        <v/>
      </c>
    </row>
    <row r="2958">
      <c r="M2958" s="14">
        <f>_xlfn.BETA.INV($AA2958,1+4*($D$5-$C$5)/($E$5-$C$5),1+4*($E$5-$D$5)/($E$5-$C$5),$C$5,$E$5)</f>
        <v/>
      </c>
      <c r="N2958" s="14">
        <f>IF($AB2958&lt;($D$6-$C$6)/($E$6-$C$6),$C$6+SQRT($AB2958*($E$6-$C$6)*($D$6-$C$6)),$E$6-SQRT((1-$AB2958)*($E$6-$C$6)*($E$6-$D$6)))</f>
        <v/>
      </c>
      <c r="O2958" s="14">
        <f>_xlfn.NORM.INV($AC2958,$C$7,$D$7)</f>
        <v/>
      </c>
      <c r="P2958" s="14">
        <f>$C$8+($D$8-$C$8)*$AD2958</f>
        <v/>
      </c>
      <c r="Q2958" s="14">
        <f>$C$9</f>
        <v/>
      </c>
      <c r="R2958" s="14">
        <f>_xlfn.LOGNORM.INV($AF2958,LN($C$10)-0.5*LN(1+($D$10/$C$10)^2),SQRT(LN(1+($D$10/$C$10)^2)))</f>
        <v/>
      </c>
      <c r="S2958" s="14">
        <f>SUM(M2958:R2958)</f>
        <v/>
      </c>
      <c r="AA2958">
        <f>RAND()</f>
        <v/>
      </c>
      <c r="AB2958">
        <f>RAND()</f>
        <v/>
      </c>
      <c r="AC2958">
        <f>RAND()</f>
        <v/>
      </c>
      <c r="AD2958">
        <f>RAND()</f>
        <v/>
      </c>
      <c r="AE2958">
        <f>RAND()</f>
        <v/>
      </c>
      <c r="AF2958">
        <f>RAND()</f>
        <v/>
      </c>
    </row>
    <row r="2959">
      <c r="M2959" s="14">
        <f>_xlfn.BETA.INV($AA2959,1+4*($D$5-$C$5)/($E$5-$C$5),1+4*($E$5-$D$5)/($E$5-$C$5),$C$5,$E$5)</f>
        <v/>
      </c>
      <c r="N2959" s="14">
        <f>IF($AB2959&lt;($D$6-$C$6)/($E$6-$C$6),$C$6+SQRT($AB2959*($E$6-$C$6)*($D$6-$C$6)),$E$6-SQRT((1-$AB2959)*($E$6-$C$6)*($E$6-$D$6)))</f>
        <v/>
      </c>
      <c r="O2959" s="14">
        <f>_xlfn.NORM.INV($AC2959,$C$7,$D$7)</f>
        <v/>
      </c>
      <c r="P2959" s="14">
        <f>$C$8+($D$8-$C$8)*$AD2959</f>
        <v/>
      </c>
      <c r="Q2959" s="14">
        <f>$C$9</f>
        <v/>
      </c>
      <c r="R2959" s="14">
        <f>_xlfn.LOGNORM.INV($AF2959,LN($C$10)-0.5*LN(1+($D$10/$C$10)^2),SQRT(LN(1+($D$10/$C$10)^2)))</f>
        <v/>
      </c>
      <c r="S2959" s="14">
        <f>SUM(M2959:R2959)</f>
        <v/>
      </c>
      <c r="AA2959">
        <f>RAND()</f>
        <v/>
      </c>
      <c r="AB2959">
        <f>RAND()</f>
        <v/>
      </c>
      <c r="AC2959">
        <f>RAND()</f>
        <v/>
      </c>
      <c r="AD2959">
        <f>RAND()</f>
        <v/>
      </c>
      <c r="AE2959">
        <f>RAND()</f>
        <v/>
      </c>
      <c r="AF2959">
        <f>RAND()</f>
        <v/>
      </c>
    </row>
    <row r="2960">
      <c r="M2960" s="14">
        <f>_xlfn.BETA.INV($AA2960,1+4*($D$5-$C$5)/($E$5-$C$5),1+4*($E$5-$D$5)/($E$5-$C$5),$C$5,$E$5)</f>
        <v/>
      </c>
      <c r="N2960" s="14">
        <f>IF($AB2960&lt;($D$6-$C$6)/($E$6-$C$6),$C$6+SQRT($AB2960*($E$6-$C$6)*($D$6-$C$6)),$E$6-SQRT((1-$AB2960)*($E$6-$C$6)*($E$6-$D$6)))</f>
        <v/>
      </c>
      <c r="O2960" s="14">
        <f>_xlfn.NORM.INV($AC2960,$C$7,$D$7)</f>
        <v/>
      </c>
      <c r="P2960" s="14">
        <f>$C$8+($D$8-$C$8)*$AD2960</f>
        <v/>
      </c>
      <c r="Q2960" s="14">
        <f>$C$9</f>
        <v/>
      </c>
      <c r="R2960" s="14">
        <f>_xlfn.LOGNORM.INV($AF2960,LN($C$10)-0.5*LN(1+($D$10/$C$10)^2),SQRT(LN(1+($D$10/$C$10)^2)))</f>
        <v/>
      </c>
      <c r="S2960" s="14">
        <f>SUM(M2960:R2960)</f>
        <v/>
      </c>
      <c r="AA2960">
        <f>RAND()</f>
        <v/>
      </c>
      <c r="AB2960">
        <f>RAND()</f>
        <v/>
      </c>
      <c r="AC2960">
        <f>RAND()</f>
        <v/>
      </c>
      <c r="AD2960">
        <f>RAND()</f>
        <v/>
      </c>
      <c r="AE2960">
        <f>RAND()</f>
        <v/>
      </c>
      <c r="AF2960">
        <f>RAND()</f>
        <v/>
      </c>
    </row>
    <row r="2961">
      <c r="M2961" s="14">
        <f>_xlfn.BETA.INV($AA2961,1+4*($D$5-$C$5)/($E$5-$C$5),1+4*($E$5-$D$5)/($E$5-$C$5),$C$5,$E$5)</f>
        <v/>
      </c>
      <c r="N2961" s="14">
        <f>IF($AB2961&lt;($D$6-$C$6)/($E$6-$C$6),$C$6+SQRT($AB2961*($E$6-$C$6)*($D$6-$C$6)),$E$6-SQRT((1-$AB2961)*($E$6-$C$6)*($E$6-$D$6)))</f>
        <v/>
      </c>
      <c r="O2961" s="14">
        <f>_xlfn.NORM.INV($AC2961,$C$7,$D$7)</f>
        <v/>
      </c>
      <c r="P2961" s="14">
        <f>$C$8+($D$8-$C$8)*$AD2961</f>
        <v/>
      </c>
      <c r="Q2961" s="14">
        <f>$C$9</f>
        <v/>
      </c>
      <c r="R2961" s="14">
        <f>_xlfn.LOGNORM.INV($AF2961,LN($C$10)-0.5*LN(1+($D$10/$C$10)^2),SQRT(LN(1+($D$10/$C$10)^2)))</f>
        <v/>
      </c>
      <c r="S2961" s="14">
        <f>SUM(M2961:R2961)</f>
        <v/>
      </c>
      <c r="AA2961">
        <f>RAND()</f>
        <v/>
      </c>
      <c r="AB2961">
        <f>RAND()</f>
        <v/>
      </c>
      <c r="AC2961">
        <f>RAND()</f>
        <v/>
      </c>
      <c r="AD2961">
        <f>RAND()</f>
        <v/>
      </c>
      <c r="AE2961">
        <f>RAND()</f>
        <v/>
      </c>
      <c r="AF2961">
        <f>RAND()</f>
        <v/>
      </c>
    </row>
    <row r="2962">
      <c r="M2962" s="14">
        <f>_xlfn.BETA.INV($AA2962,1+4*($D$5-$C$5)/($E$5-$C$5),1+4*($E$5-$D$5)/($E$5-$C$5),$C$5,$E$5)</f>
        <v/>
      </c>
      <c r="N2962" s="14">
        <f>IF($AB2962&lt;($D$6-$C$6)/($E$6-$C$6),$C$6+SQRT($AB2962*($E$6-$C$6)*($D$6-$C$6)),$E$6-SQRT((1-$AB2962)*($E$6-$C$6)*($E$6-$D$6)))</f>
        <v/>
      </c>
      <c r="O2962" s="14">
        <f>_xlfn.NORM.INV($AC2962,$C$7,$D$7)</f>
        <v/>
      </c>
      <c r="P2962" s="14">
        <f>$C$8+($D$8-$C$8)*$AD2962</f>
        <v/>
      </c>
      <c r="Q2962" s="14">
        <f>$C$9</f>
        <v/>
      </c>
      <c r="R2962" s="14">
        <f>_xlfn.LOGNORM.INV($AF2962,LN($C$10)-0.5*LN(1+($D$10/$C$10)^2),SQRT(LN(1+($D$10/$C$10)^2)))</f>
        <v/>
      </c>
      <c r="S2962" s="14">
        <f>SUM(M2962:R2962)</f>
        <v/>
      </c>
      <c r="AA2962">
        <f>RAND()</f>
        <v/>
      </c>
      <c r="AB2962">
        <f>RAND()</f>
        <v/>
      </c>
      <c r="AC2962">
        <f>RAND()</f>
        <v/>
      </c>
      <c r="AD2962">
        <f>RAND()</f>
        <v/>
      </c>
      <c r="AE2962">
        <f>RAND()</f>
        <v/>
      </c>
      <c r="AF2962">
        <f>RAND()</f>
        <v/>
      </c>
    </row>
    <row r="2963">
      <c r="M2963" s="14">
        <f>_xlfn.BETA.INV($AA2963,1+4*($D$5-$C$5)/($E$5-$C$5),1+4*($E$5-$D$5)/($E$5-$C$5),$C$5,$E$5)</f>
        <v/>
      </c>
      <c r="N2963" s="14">
        <f>IF($AB2963&lt;($D$6-$C$6)/($E$6-$C$6),$C$6+SQRT($AB2963*($E$6-$C$6)*($D$6-$C$6)),$E$6-SQRT((1-$AB2963)*($E$6-$C$6)*($E$6-$D$6)))</f>
        <v/>
      </c>
      <c r="O2963" s="14">
        <f>_xlfn.NORM.INV($AC2963,$C$7,$D$7)</f>
        <v/>
      </c>
      <c r="P2963" s="14">
        <f>$C$8+($D$8-$C$8)*$AD2963</f>
        <v/>
      </c>
      <c r="Q2963" s="14">
        <f>$C$9</f>
        <v/>
      </c>
      <c r="R2963" s="14">
        <f>_xlfn.LOGNORM.INV($AF2963,LN($C$10)-0.5*LN(1+($D$10/$C$10)^2),SQRT(LN(1+($D$10/$C$10)^2)))</f>
        <v/>
      </c>
      <c r="S2963" s="14">
        <f>SUM(M2963:R2963)</f>
        <v/>
      </c>
      <c r="AA2963">
        <f>RAND()</f>
        <v/>
      </c>
      <c r="AB2963">
        <f>RAND()</f>
        <v/>
      </c>
      <c r="AC2963">
        <f>RAND()</f>
        <v/>
      </c>
      <c r="AD2963">
        <f>RAND()</f>
        <v/>
      </c>
      <c r="AE2963">
        <f>RAND()</f>
        <v/>
      </c>
      <c r="AF2963">
        <f>RAND()</f>
        <v/>
      </c>
    </row>
    <row r="2964">
      <c r="M2964" s="14">
        <f>_xlfn.BETA.INV($AA2964,1+4*($D$5-$C$5)/($E$5-$C$5),1+4*($E$5-$D$5)/($E$5-$C$5),$C$5,$E$5)</f>
        <v/>
      </c>
      <c r="N2964" s="14">
        <f>IF($AB2964&lt;($D$6-$C$6)/($E$6-$C$6),$C$6+SQRT($AB2964*($E$6-$C$6)*($D$6-$C$6)),$E$6-SQRT((1-$AB2964)*($E$6-$C$6)*($E$6-$D$6)))</f>
        <v/>
      </c>
      <c r="O2964" s="14">
        <f>_xlfn.NORM.INV($AC2964,$C$7,$D$7)</f>
        <v/>
      </c>
      <c r="P2964" s="14">
        <f>$C$8+($D$8-$C$8)*$AD2964</f>
        <v/>
      </c>
      <c r="Q2964" s="14">
        <f>$C$9</f>
        <v/>
      </c>
      <c r="R2964" s="14">
        <f>_xlfn.LOGNORM.INV($AF2964,LN($C$10)-0.5*LN(1+($D$10/$C$10)^2),SQRT(LN(1+($D$10/$C$10)^2)))</f>
        <v/>
      </c>
      <c r="S2964" s="14">
        <f>SUM(M2964:R2964)</f>
        <v/>
      </c>
      <c r="AA2964">
        <f>RAND()</f>
        <v/>
      </c>
      <c r="AB2964">
        <f>RAND()</f>
        <v/>
      </c>
      <c r="AC2964">
        <f>RAND()</f>
        <v/>
      </c>
      <c r="AD2964">
        <f>RAND()</f>
        <v/>
      </c>
      <c r="AE2964">
        <f>RAND()</f>
        <v/>
      </c>
      <c r="AF2964">
        <f>RAND()</f>
        <v/>
      </c>
    </row>
    <row r="2965">
      <c r="M2965" s="14">
        <f>_xlfn.BETA.INV($AA2965,1+4*($D$5-$C$5)/($E$5-$C$5),1+4*($E$5-$D$5)/($E$5-$C$5),$C$5,$E$5)</f>
        <v/>
      </c>
      <c r="N2965" s="14">
        <f>IF($AB2965&lt;($D$6-$C$6)/($E$6-$C$6),$C$6+SQRT($AB2965*($E$6-$C$6)*($D$6-$C$6)),$E$6-SQRT((1-$AB2965)*($E$6-$C$6)*($E$6-$D$6)))</f>
        <v/>
      </c>
      <c r="O2965" s="14">
        <f>_xlfn.NORM.INV($AC2965,$C$7,$D$7)</f>
        <v/>
      </c>
      <c r="P2965" s="14">
        <f>$C$8+($D$8-$C$8)*$AD2965</f>
        <v/>
      </c>
      <c r="Q2965" s="14">
        <f>$C$9</f>
        <v/>
      </c>
      <c r="R2965" s="14">
        <f>_xlfn.LOGNORM.INV($AF2965,LN($C$10)-0.5*LN(1+($D$10/$C$10)^2),SQRT(LN(1+($D$10/$C$10)^2)))</f>
        <v/>
      </c>
      <c r="S2965" s="14">
        <f>SUM(M2965:R2965)</f>
        <v/>
      </c>
      <c r="AA2965">
        <f>RAND()</f>
        <v/>
      </c>
      <c r="AB2965">
        <f>RAND()</f>
        <v/>
      </c>
      <c r="AC2965">
        <f>RAND()</f>
        <v/>
      </c>
      <c r="AD2965">
        <f>RAND()</f>
        <v/>
      </c>
      <c r="AE2965">
        <f>RAND()</f>
        <v/>
      </c>
      <c r="AF2965">
        <f>RAND()</f>
        <v/>
      </c>
    </row>
    <row r="2966">
      <c r="M2966" s="14">
        <f>_xlfn.BETA.INV($AA2966,1+4*($D$5-$C$5)/($E$5-$C$5),1+4*($E$5-$D$5)/($E$5-$C$5),$C$5,$E$5)</f>
        <v/>
      </c>
      <c r="N2966" s="14">
        <f>IF($AB2966&lt;($D$6-$C$6)/($E$6-$C$6),$C$6+SQRT($AB2966*($E$6-$C$6)*($D$6-$C$6)),$E$6-SQRT((1-$AB2966)*($E$6-$C$6)*($E$6-$D$6)))</f>
        <v/>
      </c>
      <c r="O2966" s="14">
        <f>_xlfn.NORM.INV($AC2966,$C$7,$D$7)</f>
        <v/>
      </c>
      <c r="P2966" s="14">
        <f>$C$8+($D$8-$C$8)*$AD2966</f>
        <v/>
      </c>
      <c r="Q2966" s="14">
        <f>$C$9</f>
        <v/>
      </c>
      <c r="R2966" s="14">
        <f>_xlfn.LOGNORM.INV($AF2966,LN($C$10)-0.5*LN(1+($D$10/$C$10)^2),SQRT(LN(1+($D$10/$C$10)^2)))</f>
        <v/>
      </c>
      <c r="S2966" s="14">
        <f>SUM(M2966:R2966)</f>
        <v/>
      </c>
      <c r="AA2966">
        <f>RAND()</f>
        <v/>
      </c>
      <c r="AB2966">
        <f>RAND()</f>
        <v/>
      </c>
      <c r="AC2966">
        <f>RAND()</f>
        <v/>
      </c>
      <c r="AD2966">
        <f>RAND()</f>
        <v/>
      </c>
      <c r="AE2966">
        <f>RAND()</f>
        <v/>
      </c>
      <c r="AF2966">
        <f>RAND()</f>
        <v/>
      </c>
    </row>
    <row r="2967">
      <c r="M2967" s="14">
        <f>_xlfn.BETA.INV($AA2967,1+4*($D$5-$C$5)/($E$5-$C$5),1+4*($E$5-$D$5)/($E$5-$C$5),$C$5,$E$5)</f>
        <v/>
      </c>
      <c r="N2967" s="14">
        <f>IF($AB2967&lt;($D$6-$C$6)/($E$6-$C$6),$C$6+SQRT($AB2967*($E$6-$C$6)*($D$6-$C$6)),$E$6-SQRT((1-$AB2967)*($E$6-$C$6)*($E$6-$D$6)))</f>
        <v/>
      </c>
      <c r="O2967" s="14">
        <f>_xlfn.NORM.INV($AC2967,$C$7,$D$7)</f>
        <v/>
      </c>
      <c r="P2967" s="14">
        <f>$C$8+($D$8-$C$8)*$AD2967</f>
        <v/>
      </c>
      <c r="Q2967" s="14">
        <f>$C$9</f>
        <v/>
      </c>
      <c r="R2967" s="14">
        <f>_xlfn.LOGNORM.INV($AF2967,LN($C$10)-0.5*LN(1+($D$10/$C$10)^2),SQRT(LN(1+($D$10/$C$10)^2)))</f>
        <v/>
      </c>
      <c r="S2967" s="14">
        <f>SUM(M2967:R2967)</f>
        <v/>
      </c>
      <c r="AA2967">
        <f>RAND()</f>
        <v/>
      </c>
      <c r="AB2967">
        <f>RAND()</f>
        <v/>
      </c>
      <c r="AC2967">
        <f>RAND()</f>
        <v/>
      </c>
      <c r="AD2967">
        <f>RAND()</f>
        <v/>
      </c>
      <c r="AE2967">
        <f>RAND()</f>
        <v/>
      </c>
      <c r="AF2967">
        <f>RAND()</f>
        <v/>
      </c>
    </row>
    <row r="2968">
      <c r="M2968" s="14">
        <f>_xlfn.BETA.INV($AA2968,1+4*($D$5-$C$5)/($E$5-$C$5),1+4*($E$5-$D$5)/($E$5-$C$5),$C$5,$E$5)</f>
        <v/>
      </c>
      <c r="N2968" s="14">
        <f>IF($AB2968&lt;($D$6-$C$6)/($E$6-$C$6),$C$6+SQRT($AB2968*($E$6-$C$6)*($D$6-$C$6)),$E$6-SQRT((1-$AB2968)*($E$6-$C$6)*($E$6-$D$6)))</f>
        <v/>
      </c>
      <c r="O2968" s="14">
        <f>_xlfn.NORM.INV($AC2968,$C$7,$D$7)</f>
        <v/>
      </c>
      <c r="P2968" s="14">
        <f>$C$8+($D$8-$C$8)*$AD2968</f>
        <v/>
      </c>
      <c r="Q2968" s="14">
        <f>$C$9</f>
        <v/>
      </c>
      <c r="R2968" s="14">
        <f>_xlfn.LOGNORM.INV($AF2968,LN($C$10)-0.5*LN(1+($D$10/$C$10)^2),SQRT(LN(1+($D$10/$C$10)^2)))</f>
        <v/>
      </c>
      <c r="S2968" s="14">
        <f>SUM(M2968:R2968)</f>
        <v/>
      </c>
      <c r="AA2968">
        <f>RAND()</f>
        <v/>
      </c>
      <c r="AB2968">
        <f>RAND()</f>
        <v/>
      </c>
      <c r="AC2968">
        <f>RAND()</f>
        <v/>
      </c>
      <c r="AD2968">
        <f>RAND()</f>
        <v/>
      </c>
      <c r="AE2968">
        <f>RAND()</f>
        <v/>
      </c>
      <c r="AF2968">
        <f>RAND()</f>
        <v/>
      </c>
    </row>
    <row r="2969">
      <c r="M2969" s="14">
        <f>_xlfn.BETA.INV($AA2969,1+4*($D$5-$C$5)/($E$5-$C$5),1+4*($E$5-$D$5)/($E$5-$C$5),$C$5,$E$5)</f>
        <v/>
      </c>
      <c r="N2969" s="14">
        <f>IF($AB2969&lt;($D$6-$C$6)/($E$6-$C$6),$C$6+SQRT($AB2969*($E$6-$C$6)*($D$6-$C$6)),$E$6-SQRT((1-$AB2969)*($E$6-$C$6)*($E$6-$D$6)))</f>
        <v/>
      </c>
      <c r="O2969" s="14">
        <f>_xlfn.NORM.INV($AC2969,$C$7,$D$7)</f>
        <v/>
      </c>
      <c r="P2969" s="14">
        <f>$C$8+($D$8-$C$8)*$AD2969</f>
        <v/>
      </c>
      <c r="Q2969" s="14">
        <f>$C$9</f>
        <v/>
      </c>
      <c r="R2969" s="14">
        <f>_xlfn.LOGNORM.INV($AF2969,LN($C$10)-0.5*LN(1+($D$10/$C$10)^2),SQRT(LN(1+($D$10/$C$10)^2)))</f>
        <v/>
      </c>
      <c r="S2969" s="14">
        <f>SUM(M2969:R2969)</f>
        <v/>
      </c>
      <c r="AA2969">
        <f>RAND()</f>
        <v/>
      </c>
      <c r="AB2969">
        <f>RAND()</f>
        <v/>
      </c>
      <c r="AC2969">
        <f>RAND()</f>
        <v/>
      </c>
      <c r="AD2969">
        <f>RAND()</f>
        <v/>
      </c>
      <c r="AE2969">
        <f>RAND()</f>
        <v/>
      </c>
      <c r="AF2969">
        <f>RAND()</f>
        <v/>
      </c>
    </row>
    <row r="2970">
      <c r="M2970" s="14">
        <f>_xlfn.BETA.INV($AA2970,1+4*($D$5-$C$5)/($E$5-$C$5),1+4*($E$5-$D$5)/($E$5-$C$5),$C$5,$E$5)</f>
        <v/>
      </c>
      <c r="N2970" s="14">
        <f>IF($AB2970&lt;($D$6-$C$6)/($E$6-$C$6),$C$6+SQRT($AB2970*($E$6-$C$6)*($D$6-$C$6)),$E$6-SQRT((1-$AB2970)*($E$6-$C$6)*($E$6-$D$6)))</f>
        <v/>
      </c>
      <c r="O2970" s="14">
        <f>_xlfn.NORM.INV($AC2970,$C$7,$D$7)</f>
        <v/>
      </c>
      <c r="P2970" s="14">
        <f>$C$8+($D$8-$C$8)*$AD2970</f>
        <v/>
      </c>
      <c r="Q2970" s="14">
        <f>$C$9</f>
        <v/>
      </c>
      <c r="R2970" s="14">
        <f>_xlfn.LOGNORM.INV($AF2970,LN($C$10)-0.5*LN(1+($D$10/$C$10)^2),SQRT(LN(1+($D$10/$C$10)^2)))</f>
        <v/>
      </c>
      <c r="S2970" s="14">
        <f>SUM(M2970:R2970)</f>
        <v/>
      </c>
      <c r="AA2970">
        <f>RAND()</f>
        <v/>
      </c>
      <c r="AB2970">
        <f>RAND()</f>
        <v/>
      </c>
      <c r="AC2970">
        <f>RAND()</f>
        <v/>
      </c>
      <c r="AD2970">
        <f>RAND()</f>
        <v/>
      </c>
      <c r="AE2970">
        <f>RAND()</f>
        <v/>
      </c>
      <c r="AF2970">
        <f>RAND()</f>
        <v/>
      </c>
    </row>
    <row r="2971">
      <c r="M2971" s="14">
        <f>_xlfn.BETA.INV($AA2971,1+4*($D$5-$C$5)/($E$5-$C$5),1+4*($E$5-$D$5)/($E$5-$C$5),$C$5,$E$5)</f>
        <v/>
      </c>
      <c r="N2971" s="14">
        <f>IF($AB2971&lt;($D$6-$C$6)/($E$6-$C$6),$C$6+SQRT($AB2971*($E$6-$C$6)*($D$6-$C$6)),$E$6-SQRT((1-$AB2971)*($E$6-$C$6)*($E$6-$D$6)))</f>
        <v/>
      </c>
      <c r="O2971" s="14">
        <f>_xlfn.NORM.INV($AC2971,$C$7,$D$7)</f>
        <v/>
      </c>
      <c r="P2971" s="14">
        <f>$C$8+($D$8-$C$8)*$AD2971</f>
        <v/>
      </c>
      <c r="Q2971" s="14">
        <f>$C$9</f>
        <v/>
      </c>
      <c r="R2971" s="14">
        <f>_xlfn.LOGNORM.INV($AF2971,LN($C$10)-0.5*LN(1+($D$10/$C$10)^2),SQRT(LN(1+($D$10/$C$10)^2)))</f>
        <v/>
      </c>
      <c r="S2971" s="14">
        <f>SUM(M2971:R2971)</f>
        <v/>
      </c>
      <c r="AA2971">
        <f>RAND()</f>
        <v/>
      </c>
      <c r="AB2971">
        <f>RAND()</f>
        <v/>
      </c>
      <c r="AC2971">
        <f>RAND()</f>
        <v/>
      </c>
      <c r="AD2971">
        <f>RAND()</f>
        <v/>
      </c>
      <c r="AE2971">
        <f>RAND()</f>
        <v/>
      </c>
      <c r="AF2971">
        <f>RAND()</f>
        <v/>
      </c>
    </row>
    <row r="2972">
      <c r="M2972" s="14">
        <f>_xlfn.BETA.INV($AA2972,1+4*($D$5-$C$5)/($E$5-$C$5),1+4*($E$5-$D$5)/($E$5-$C$5),$C$5,$E$5)</f>
        <v/>
      </c>
      <c r="N2972" s="14">
        <f>IF($AB2972&lt;($D$6-$C$6)/($E$6-$C$6),$C$6+SQRT($AB2972*($E$6-$C$6)*($D$6-$C$6)),$E$6-SQRT((1-$AB2972)*($E$6-$C$6)*($E$6-$D$6)))</f>
        <v/>
      </c>
      <c r="O2972" s="14">
        <f>_xlfn.NORM.INV($AC2972,$C$7,$D$7)</f>
        <v/>
      </c>
      <c r="P2972" s="14">
        <f>$C$8+($D$8-$C$8)*$AD2972</f>
        <v/>
      </c>
      <c r="Q2972" s="14">
        <f>$C$9</f>
        <v/>
      </c>
      <c r="R2972" s="14">
        <f>_xlfn.LOGNORM.INV($AF2972,LN($C$10)-0.5*LN(1+($D$10/$C$10)^2),SQRT(LN(1+($D$10/$C$10)^2)))</f>
        <v/>
      </c>
      <c r="S2972" s="14">
        <f>SUM(M2972:R2972)</f>
        <v/>
      </c>
      <c r="AA2972">
        <f>RAND()</f>
        <v/>
      </c>
      <c r="AB2972">
        <f>RAND()</f>
        <v/>
      </c>
      <c r="AC2972">
        <f>RAND()</f>
        <v/>
      </c>
      <c r="AD2972">
        <f>RAND()</f>
        <v/>
      </c>
      <c r="AE2972">
        <f>RAND()</f>
        <v/>
      </c>
      <c r="AF2972">
        <f>RAND()</f>
        <v/>
      </c>
    </row>
    <row r="2973">
      <c r="M2973" s="14">
        <f>_xlfn.BETA.INV($AA2973,1+4*($D$5-$C$5)/($E$5-$C$5),1+4*($E$5-$D$5)/($E$5-$C$5),$C$5,$E$5)</f>
        <v/>
      </c>
      <c r="N2973" s="14">
        <f>IF($AB2973&lt;($D$6-$C$6)/($E$6-$C$6),$C$6+SQRT($AB2973*($E$6-$C$6)*($D$6-$C$6)),$E$6-SQRT((1-$AB2973)*($E$6-$C$6)*($E$6-$D$6)))</f>
        <v/>
      </c>
      <c r="O2973" s="14">
        <f>_xlfn.NORM.INV($AC2973,$C$7,$D$7)</f>
        <v/>
      </c>
      <c r="P2973" s="14">
        <f>$C$8+($D$8-$C$8)*$AD2973</f>
        <v/>
      </c>
      <c r="Q2973" s="14">
        <f>$C$9</f>
        <v/>
      </c>
      <c r="R2973" s="14">
        <f>_xlfn.LOGNORM.INV($AF2973,LN($C$10)-0.5*LN(1+($D$10/$C$10)^2),SQRT(LN(1+($D$10/$C$10)^2)))</f>
        <v/>
      </c>
      <c r="S2973" s="14">
        <f>SUM(M2973:R2973)</f>
        <v/>
      </c>
      <c r="AA2973">
        <f>RAND()</f>
        <v/>
      </c>
      <c r="AB2973">
        <f>RAND()</f>
        <v/>
      </c>
      <c r="AC2973">
        <f>RAND()</f>
        <v/>
      </c>
      <c r="AD2973">
        <f>RAND()</f>
        <v/>
      </c>
      <c r="AE2973">
        <f>RAND()</f>
        <v/>
      </c>
      <c r="AF2973">
        <f>RAND()</f>
        <v/>
      </c>
    </row>
    <row r="2974">
      <c r="M2974" s="14">
        <f>_xlfn.BETA.INV($AA2974,1+4*($D$5-$C$5)/($E$5-$C$5),1+4*($E$5-$D$5)/($E$5-$C$5),$C$5,$E$5)</f>
        <v/>
      </c>
      <c r="N2974" s="14">
        <f>IF($AB2974&lt;($D$6-$C$6)/($E$6-$C$6),$C$6+SQRT($AB2974*($E$6-$C$6)*($D$6-$C$6)),$E$6-SQRT((1-$AB2974)*($E$6-$C$6)*($E$6-$D$6)))</f>
        <v/>
      </c>
      <c r="O2974" s="14">
        <f>_xlfn.NORM.INV($AC2974,$C$7,$D$7)</f>
        <v/>
      </c>
      <c r="P2974" s="14">
        <f>$C$8+($D$8-$C$8)*$AD2974</f>
        <v/>
      </c>
      <c r="Q2974" s="14">
        <f>$C$9</f>
        <v/>
      </c>
      <c r="R2974" s="14">
        <f>_xlfn.LOGNORM.INV($AF2974,LN($C$10)-0.5*LN(1+($D$10/$C$10)^2),SQRT(LN(1+($D$10/$C$10)^2)))</f>
        <v/>
      </c>
      <c r="S2974" s="14">
        <f>SUM(M2974:R2974)</f>
        <v/>
      </c>
      <c r="AA2974">
        <f>RAND()</f>
        <v/>
      </c>
      <c r="AB2974">
        <f>RAND()</f>
        <v/>
      </c>
      <c r="AC2974">
        <f>RAND()</f>
        <v/>
      </c>
      <c r="AD2974">
        <f>RAND()</f>
        <v/>
      </c>
      <c r="AE2974">
        <f>RAND()</f>
        <v/>
      </c>
      <c r="AF2974">
        <f>RAND()</f>
        <v/>
      </c>
    </row>
    <row r="2975">
      <c r="M2975" s="14">
        <f>_xlfn.BETA.INV($AA2975,1+4*($D$5-$C$5)/($E$5-$C$5),1+4*($E$5-$D$5)/($E$5-$C$5),$C$5,$E$5)</f>
        <v/>
      </c>
      <c r="N2975" s="14">
        <f>IF($AB2975&lt;($D$6-$C$6)/($E$6-$C$6),$C$6+SQRT($AB2975*($E$6-$C$6)*($D$6-$C$6)),$E$6-SQRT((1-$AB2975)*($E$6-$C$6)*($E$6-$D$6)))</f>
        <v/>
      </c>
      <c r="O2975" s="14">
        <f>_xlfn.NORM.INV($AC2975,$C$7,$D$7)</f>
        <v/>
      </c>
      <c r="P2975" s="14">
        <f>$C$8+($D$8-$C$8)*$AD2975</f>
        <v/>
      </c>
      <c r="Q2975" s="14">
        <f>$C$9</f>
        <v/>
      </c>
      <c r="R2975" s="14">
        <f>_xlfn.LOGNORM.INV($AF2975,LN($C$10)-0.5*LN(1+($D$10/$C$10)^2),SQRT(LN(1+($D$10/$C$10)^2)))</f>
        <v/>
      </c>
      <c r="S2975" s="14">
        <f>SUM(M2975:R2975)</f>
        <v/>
      </c>
      <c r="AA2975">
        <f>RAND()</f>
        <v/>
      </c>
      <c r="AB2975">
        <f>RAND()</f>
        <v/>
      </c>
      <c r="AC2975">
        <f>RAND()</f>
        <v/>
      </c>
      <c r="AD2975">
        <f>RAND()</f>
        <v/>
      </c>
      <c r="AE2975">
        <f>RAND()</f>
        <v/>
      </c>
      <c r="AF2975">
        <f>RAND()</f>
        <v/>
      </c>
    </row>
    <row r="2976">
      <c r="M2976" s="14">
        <f>_xlfn.BETA.INV($AA2976,1+4*($D$5-$C$5)/($E$5-$C$5),1+4*($E$5-$D$5)/($E$5-$C$5),$C$5,$E$5)</f>
        <v/>
      </c>
      <c r="N2976" s="14">
        <f>IF($AB2976&lt;($D$6-$C$6)/($E$6-$C$6),$C$6+SQRT($AB2976*($E$6-$C$6)*($D$6-$C$6)),$E$6-SQRT((1-$AB2976)*($E$6-$C$6)*($E$6-$D$6)))</f>
        <v/>
      </c>
      <c r="O2976" s="14">
        <f>_xlfn.NORM.INV($AC2976,$C$7,$D$7)</f>
        <v/>
      </c>
      <c r="P2976" s="14">
        <f>$C$8+($D$8-$C$8)*$AD2976</f>
        <v/>
      </c>
      <c r="Q2976" s="14">
        <f>$C$9</f>
        <v/>
      </c>
      <c r="R2976" s="14">
        <f>_xlfn.LOGNORM.INV($AF2976,LN($C$10)-0.5*LN(1+($D$10/$C$10)^2),SQRT(LN(1+($D$10/$C$10)^2)))</f>
        <v/>
      </c>
      <c r="S2976" s="14">
        <f>SUM(M2976:R2976)</f>
        <v/>
      </c>
      <c r="AA2976">
        <f>RAND()</f>
        <v/>
      </c>
      <c r="AB2976">
        <f>RAND()</f>
        <v/>
      </c>
      <c r="AC2976">
        <f>RAND()</f>
        <v/>
      </c>
      <c r="AD2976">
        <f>RAND()</f>
        <v/>
      </c>
      <c r="AE2976">
        <f>RAND()</f>
        <v/>
      </c>
      <c r="AF2976">
        <f>RAND()</f>
        <v/>
      </c>
    </row>
    <row r="2977">
      <c r="M2977" s="14">
        <f>_xlfn.BETA.INV($AA2977,1+4*($D$5-$C$5)/($E$5-$C$5),1+4*($E$5-$D$5)/($E$5-$C$5),$C$5,$E$5)</f>
        <v/>
      </c>
      <c r="N2977" s="14">
        <f>IF($AB2977&lt;($D$6-$C$6)/($E$6-$C$6),$C$6+SQRT($AB2977*($E$6-$C$6)*($D$6-$C$6)),$E$6-SQRT((1-$AB2977)*($E$6-$C$6)*($E$6-$D$6)))</f>
        <v/>
      </c>
      <c r="O2977" s="14">
        <f>_xlfn.NORM.INV($AC2977,$C$7,$D$7)</f>
        <v/>
      </c>
      <c r="P2977" s="14">
        <f>$C$8+($D$8-$C$8)*$AD2977</f>
        <v/>
      </c>
      <c r="Q2977" s="14">
        <f>$C$9</f>
        <v/>
      </c>
      <c r="R2977" s="14">
        <f>_xlfn.LOGNORM.INV($AF2977,LN($C$10)-0.5*LN(1+($D$10/$C$10)^2),SQRT(LN(1+($D$10/$C$10)^2)))</f>
        <v/>
      </c>
      <c r="S2977" s="14">
        <f>SUM(M2977:R2977)</f>
        <v/>
      </c>
      <c r="AA2977">
        <f>RAND()</f>
        <v/>
      </c>
      <c r="AB2977">
        <f>RAND()</f>
        <v/>
      </c>
      <c r="AC2977">
        <f>RAND()</f>
        <v/>
      </c>
      <c r="AD2977">
        <f>RAND()</f>
        <v/>
      </c>
      <c r="AE2977">
        <f>RAND()</f>
        <v/>
      </c>
      <c r="AF2977">
        <f>RAND()</f>
        <v/>
      </c>
    </row>
    <row r="2978">
      <c r="M2978" s="14">
        <f>_xlfn.BETA.INV($AA2978,1+4*($D$5-$C$5)/($E$5-$C$5),1+4*($E$5-$D$5)/($E$5-$C$5),$C$5,$E$5)</f>
        <v/>
      </c>
      <c r="N2978" s="14">
        <f>IF($AB2978&lt;($D$6-$C$6)/($E$6-$C$6),$C$6+SQRT($AB2978*($E$6-$C$6)*($D$6-$C$6)),$E$6-SQRT((1-$AB2978)*($E$6-$C$6)*($E$6-$D$6)))</f>
        <v/>
      </c>
      <c r="O2978" s="14">
        <f>_xlfn.NORM.INV($AC2978,$C$7,$D$7)</f>
        <v/>
      </c>
      <c r="P2978" s="14">
        <f>$C$8+($D$8-$C$8)*$AD2978</f>
        <v/>
      </c>
      <c r="Q2978" s="14">
        <f>$C$9</f>
        <v/>
      </c>
      <c r="R2978" s="14">
        <f>_xlfn.LOGNORM.INV($AF2978,LN($C$10)-0.5*LN(1+($D$10/$C$10)^2),SQRT(LN(1+($D$10/$C$10)^2)))</f>
        <v/>
      </c>
      <c r="S2978" s="14">
        <f>SUM(M2978:R2978)</f>
        <v/>
      </c>
      <c r="AA2978">
        <f>RAND()</f>
        <v/>
      </c>
      <c r="AB2978">
        <f>RAND()</f>
        <v/>
      </c>
      <c r="AC2978">
        <f>RAND()</f>
        <v/>
      </c>
      <c r="AD2978">
        <f>RAND()</f>
        <v/>
      </c>
      <c r="AE2978">
        <f>RAND()</f>
        <v/>
      </c>
      <c r="AF2978">
        <f>RAND()</f>
        <v/>
      </c>
    </row>
    <row r="2979">
      <c r="M2979" s="14">
        <f>_xlfn.BETA.INV($AA2979,1+4*($D$5-$C$5)/($E$5-$C$5),1+4*($E$5-$D$5)/($E$5-$C$5),$C$5,$E$5)</f>
        <v/>
      </c>
      <c r="N2979" s="14">
        <f>IF($AB2979&lt;($D$6-$C$6)/($E$6-$C$6),$C$6+SQRT($AB2979*($E$6-$C$6)*($D$6-$C$6)),$E$6-SQRT((1-$AB2979)*($E$6-$C$6)*($E$6-$D$6)))</f>
        <v/>
      </c>
      <c r="O2979" s="14">
        <f>_xlfn.NORM.INV($AC2979,$C$7,$D$7)</f>
        <v/>
      </c>
      <c r="P2979" s="14">
        <f>$C$8+($D$8-$C$8)*$AD2979</f>
        <v/>
      </c>
      <c r="Q2979" s="14">
        <f>$C$9</f>
        <v/>
      </c>
      <c r="R2979" s="14">
        <f>_xlfn.LOGNORM.INV($AF2979,LN($C$10)-0.5*LN(1+($D$10/$C$10)^2),SQRT(LN(1+($D$10/$C$10)^2)))</f>
        <v/>
      </c>
      <c r="S2979" s="14">
        <f>SUM(M2979:R2979)</f>
        <v/>
      </c>
      <c r="AA2979">
        <f>RAND()</f>
        <v/>
      </c>
      <c r="AB2979">
        <f>RAND()</f>
        <v/>
      </c>
      <c r="AC2979">
        <f>RAND()</f>
        <v/>
      </c>
      <c r="AD2979">
        <f>RAND()</f>
        <v/>
      </c>
      <c r="AE2979">
        <f>RAND()</f>
        <v/>
      </c>
      <c r="AF2979">
        <f>RAND()</f>
        <v/>
      </c>
    </row>
    <row r="2980">
      <c r="M2980" s="14">
        <f>_xlfn.BETA.INV($AA2980,1+4*($D$5-$C$5)/($E$5-$C$5),1+4*($E$5-$D$5)/($E$5-$C$5),$C$5,$E$5)</f>
        <v/>
      </c>
      <c r="N2980" s="14">
        <f>IF($AB2980&lt;($D$6-$C$6)/($E$6-$C$6),$C$6+SQRT($AB2980*($E$6-$C$6)*($D$6-$C$6)),$E$6-SQRT((1-$AB2980)*($E$6-$C$6)*($E$6-$D$6)))</f>
        <v/>
      </c>
      <c r="O2980" s="14">
        <f>_xlfn.NORM.INV($AC2980,$C$7,$D$7)</f>
        <v/>
      </c>
      <c r="P2980" s="14">
        <f>$C$8+($D$8-$C$8)*$AD2980</f>
        <v/>
      </c>
      <c r="Q2980" s="14">
        <f>$C$9</f>
        <v/>
      </c>
      <c r="R2980" s="14">
        <f>_xlfn.LOGNORM.INV($AF2980,LN($C$10)-0.5*LN(1+($D$10/$C$10)^2),SQRT(LN(1+($D$10/$C$10)^2)))</f>
        <v/>
      </c>
      <c r="S2980" s="14">
        <f>SUM(M2980:R2980)</f>
        <v/>
      </c>
      <c r="AA2980">
        <f>RAND()</f>
        <v/>
      </c>
      <c r="AB2980">
        <f>RAND()</f>
        <v/>
      </c>
      <c r="AC2980">
        <f>RAND()</f>
        <v/>
      </c>
      <c r="AD2980">
        <f>RAND()</f>
        <v/>
      </c>
      <c r="AE2980">
        <f>RAND()</f>
        <v/>
      </c>
      <c r="AF2980">
        <f>RAND()</f>
        <v/>
      </c>
    </row>
    <row r="2981">
      <c r="M2981" s="14">
        <f>_xlfn.BETA.INV($AA2981,1+4*($D$5-$C$5)/($E$5-$C$5),1+4*($E$5-$D$5)/($E$5-$C$5),$C$5,$E$5)</f>
        <v/>
      </c>
      <c r="N2981" s="14">
        <f>IF($AB2981&lt;($D$6-$C$6)/($E$6-$C$6),$C$6+SQRT($AB2981*($E$6-$C$6)*($D$6-$C$6)),$E$6-SQRT((1-$AB2981)*($E$6-$C$6)*($E$6-$D$6)))</f>
        <v/>
      </c>
      <c r="O2981" s="14">
        <f>_xlfn.NORM.INV($AC2981,$C$7,$D$7)</f>
        <v/>
      </c>
      <c r="P2981" s="14">
        <f>$C$8+($D$8-$C$8)*$AD2981</f>
        <v/>
      </c>
      <c r="Q2981" s="14">
        <f>$C$9</f>
        <v/>
      </c>
      <c r="R2981" s="14">
        <f>_xlfn.LOGNORM.INV($AF2981,LN($C$10)-0.5*LN(1+($D$10/$C$10)^2),SQRT(LN(1+($D$10/$C$10)^2)))</f>
        <v/>
      </c>
      <c r="S2981" s="14">
        <f>SUM(M2981:R2981)</f>
        <v/>
      </c>
      <c r="AA2981">
        <f>RAND()</f>
        <v/>
      </c>
      <c r="AB2981">
        <f>RAND()</f>
        <v/>
      </c>
      <c r="AC2981">
        <f>RAND()</f>
        <v/>
      </c>
      <c r="AD2981">
        <f>RAND()</f>
        <v/>
      </c>
      <c r="AE2981">
        <f>RAND()</f>
        <v/>
      </c>
      <c r="AF2981">
        <f>RAND()</f>
        <v/>
      </c>
    </row>
    <row r="2982">
      <c r="M2982" s="14">
        <f>_xlfn.BETA.INV($AA2982,1+4*($D$5-$C$5)/($E$5-$C$5),1+4*($E$5-$D$5)/($E$5-$C$5),$C$5,$E$5)</f>
        <v/>
      </c>
      <c r="N2982" s="14">
        <f>IF($AB2982&lt;($D$6-$C$6)/($E$6-$C$6),$C$6+SQRT($AB2982*($E$6-$C$6)*($D$6-$C$6)),$E$6-SQRT((1-$AB2982)*($E$6-$C$6)*($E$6-$D$6)))</f>
        <v/>
      </c>
      <c r="O2982" s="14">
        <f>_xlfn.NORM.INV($AC2982,$C$7,$D$7)</f>
        <v/>
      </c>
      <c r="P2982" s="14">
        <f>$C$8+($D$8-$C$8)*$AD2982</f>
        <v/>
      </c>
      <c r="Q2982" s="14">
        <f>$C$9</f>
        <v/>
      </c>
      <c r="R2982" s="14">
        <f>_xlfn.LOGNORM.INV($AF2982,LN($C$10)-0.5*LN(1+($D$10/$C$10)^2),SQRT(LN(1+($D$10/$C$10)^2)))</f>
        <v/>
      </c>
      <c r="S2982" s="14">
        <f>SUM(M2982:R2982)</f>
        <v/>
      </c>
      <c r="AA2982">
        <f>RAND()</f>
        <v/>
      </c>
      <c r="AB2982">
        <f>RAND()</f>
        <v/>
      </c>
      <c r="AC2982">
        <f>RAND()</f>
        <v/>
      </c>
      <c r="AD2982">
        <f>RAND()</f>
        <v/>
      </c>
      <c r="AE2982">
        <f>RAND()</f>
        <v/>
      </c>
      <c r="AF2982">
        <f>RAND()</f>
        <v/>
      </c>
    </row>
    <row r="2983">
      <c r="M2983" s="14">
        <f>_xlfn.BETA.INV($AA2983,1+4*($D$5-$C$5)/($E$5-$C$5),1+4*($E$5-$D$5)/($E$5-$C$5),$C$5,$E$5)</f>
        <v/>
      </c>
      <c r="N2983" s="14">
        <f>IF($AB2983&lt;($D$6-$C$6)/($E$6-$C$6),$C$6+SQRT($AB2983*($E$6-$C$6)*($D$6-$C$6)),$E$6-SQRT((1-$AB2983)*($E$6-$C$6)*($E$6-$D$6)))</f>
        <v/>
      </c>
      <c r="O2983" s="14">
        <f>_xlfn.NORM.INV($AC2983,$C$7,$D$7)</f>
        <v/>
      </c>
      <c r="P2983" s="14">
        <f>$C$8+($D$8-$C$8)*$AD2983</f>
        <v/>
      </c>
      <c r="Q2983" s="14">
        <f>$C$9</f>
        <v/>
      </c>
      <c r="R2983" s="14">
        <f>_xlfn.LOGNORM.INV($AF2983,LN($C$10)-0.5*LN(1+($D$10/$C$10)^2),SQRT(LN(1+($D$10/$C$10)^2)))</f>
        <v/>
      </c>
      <c r="S2983" s="14">
        <f>SUM(M2983:R2983)</f>
        <v/>
      </c>
      <c r="AA2983">
        <f>RAND()</f>
        <v/>
      </c>
      <c r="AB2983">
        <f>RAND()</f>
        <v/>
      </c>
      <c r="AC2983">
        <f>RAND()</f>
        <v/>
      </c>
      <c r="AD2983">
        <f>RAND()</f>
        <v/>
      </c>
      <c r="AE2983">
        <f>RAND()</f>
        <v/>
      </c>
      <c r="AF2983">
        <f>RAND()</f>
        <v/>
      </c>
    </row>
    <row r="2984">
      <c r="M2984" s="14">
        <f>_xlfn.BETA.INV($AA2984,1+4*($D$5-$C$5)/($E$5-$C$5),1+4*($E$5-$D$5)/($E$5-$C$5),$C$5,$E$5)</f>
        <v/>
      </c>
      <c r="N2984" s="14">
        <f>IF($AB2984&lt;($D$6-$C$6)/($E$6-$C$6),$C$6+SQRT($AB2984*($E$6-$C$6)*($D$6-$C$6)),$E$6-SQRT((1-$AB2984)*($E$6-$C$6)*($E$6-$D$6)))</f>
        <v/>
      </c>
      <c r="O2984" s="14">
        <f>_xlfn.NORM.INV($AC2984,$C$7,$D$7)</f>
        <v/>
      </c>
      <c r="P2984" s="14">
        <f>$C$8+($D$8-$C$8)*$AD2984</f>
        <v/>
      </c>
      <c r="Q2984" s="14">
        <f>$C$9</f>
        <v/>
      </c>
      <c r="R2984" s="14">
        <f>_xlfn.LOGNORM.INV($AF2984,LN($C$10)-0.5*LN(1+($D$10/$C$10)^2),SQRT(LN(1+($D$10/$C$10)^2)))</f>
        <v/>
      </c>
      <c r="S2984" s="14">
        <f>SUM(M2984:R2984)</f>
        <v/>
      </c>
      <c r="AA2984">
        <f>RAND()</f>
        <v/>
      </c>
      <c r="AB2984">
        <f>RAND()</f>
        <v/>
      </c>
      <c r="AC2984">
        <f>RAND()</f>
        <v/>
      </c>
      <c r="AD2984">
        <f>RAND()</f>
        <v/>
      </c>
      <c r="AE2984">
        <f>RAND()</f>
        <v/>
      </c>
      <c r="AF2984">
        <f>RAND()</f>
        <v/>
      </c>
    </row>
    <row r="2985">
      <c r="M2985" s="14">
        <f>_xlfn.BETA.INV($AA2985,1+4*($D$5-$C$5)/($E$5-$C$5),1+4*($E$5-$D$5)/($E$5-$C$5),$C$5,$E$5)</f>
        <v/>
      </c>
      <c r="N2985" s="14">
        <f>IF($AB2985&lt;($D$6-$C$6)/($E$6-$C$6),$C$6+SQRT($AB2985*($E$6-$C$6)*($D$6-$C$6)),$E$6-SQRT((1-$AB2985)*($E$6-$C$6)*($E$6-$D$6)))</f>
        <v/>
      </c>
      <c r="O2985" s="14">
        <f>_xlfn.NORM.INV($AC2985,$C$7,$D$7)</f>
        <v/>
      </c>
      <c r="P2985" s="14">
        <f>$C$8+($D$8-$C$8)*$AD2985</f>
        <v/>
      </c>
      <c r="Q2985" s="14">
        <f>$C$9</f>
        <v/>
      </c>
      <c r="R2985" s="14">
        <f>_xlfn.LOGNORM.INV($AF2985,LN($C$10)-0.5*LN(1+($D$10/$C$10)^2),SQRT(LN(1+($D$10/$C$10)^2)))</f>
        <v/>
      </c>
      <c r="S2985" s="14">
        <f>SUM(M2985:R2985)</f>
        <v/>
      </c>
      <c r="AA2985">
        <f>RAND()</f>
        <v/>
      </c>
      <c r="AB2985">
        <f>RAND()</f>
        <v/>
      </c>
      <c r="AC2985">
        <f>RAND()</f>
        <v/>
      </c>
      <c r="AD2985">
        <f>RAND()</f>
        <v/>
      </c>
      <c r="AE2985">
        <f>RAND()</f>
        <v/>
      </c>
      <c r="AF2985">
        <f>RAND()</f>
        <v/>
      </c>
    </row>
    <row r="2986">
      <c r="M2986" s="14">
        <f>_xlfn.BETA.INV($AA2986,1+4*($D$5-$C$5)/($E$5-$C$5),1+4*($E$5-$D$5)/($E$5-$C$5),$C$5,$E$5)</f>
        <v/>
      </c>
      <c r="N2986" s="14">
        <f>IF($AB2986&lt;($D$6-$C$6)/($E$6-$C$6),$C$6+SQRT($AB2986*($E$6-$C$6)*($D$6-$C$6)),$E$6-SQRT((1-$AB2986)*($E$6-$C$6)*($E$6-$D$6)))</f>
        <v/>
      </c>
      <c r="O2986" s="14">
        <f>_xlfn.NORM.INV($AC2986,$C$7,$D$7)</f>
        <v/>
      </c>
      <c r="P2986" s="14">
        <f>$C$8+($D$8-$C$8)*$AD2986</f>
        <v/>
      </c>
      <c r="Q2986" s="14">
        <f>$C$9</f>
        <v/>
      </c>
      <c r="R2986" s="14">
        <f>_xlfn.LOGNORM.INV($AF2986,LN($C$10)-0.5*LN(1+($D$10/$C$10)^2),SQRT(LN(1+($D$10/$C$10)^2)))</f>
        <v/>
      </c>
      <c r="S2986" s="14">
        <f>SUM(M2986:R2986)</f>
        <v/>
      </c>
      <c r="AA2986">
        <f>RAND()</f>
        <v/>
      </c>
      <c r="AB2986">
        <f>RAND()</f>
        <v/>
      </c>
      <c r="AC2986">
        <f>RAND()</f>
        <v/>
      </c>
      <c r="AD2986">
        <f>RAND()</f>
        <v/>
      </c>
      <c r="AE2986">
        <f>RAND()</f>
        <v/>
      </c>
      <c r="AF2986">
        <f>RAND()</f>
        <v/>
      </c>
    </row>
    <row r="2987">
      <c r="M2987" s="14">
        <f>_xlfn.BETA.INV($AA2987,1+4*($D$5-$C$5)/($E$5-$C$5),1+4*($E$5-$D$5)/($E$5-$C$5),$C$5,$E$5)</f>
        <v/>
      </c>
      <c r="N2987" s="14">
        <f>IF($AB2987&lt;($D$6-$C$6)/($E$6-$C$6),$C$6+SQRT($AB2987*($E$6-$C$6)*($D$6-$C$6)),$E$6-SQRT((1-$AB2987)*($E$6-$C$6)*($E$6-$D$6)))</f>
        <v/>
      </c>
      <c r="O2987" s="14">
        <f>_xlfn.NORM.INV($AC2987,$C$7,$D$7)</f>
        <v/>
      </c>
      <c r="P2987" s="14">
        <f>$C$8+($D$8-$C$8)*$AD2987</f>
        <v/>
      </c>
      <c r="Q2987" s="14">
        <f>$C$9</f>
        <v/>
      </c>
      <c r="R2987" s="14">
        <f>_xlfn.LOGNORM.INV($AF2987,LN($C$10)-0.5*LN(1+($D$10/$C$10)^2),SQRT(LN(1+($D$10/$C$10)^2)))</f>
        <v/>
      </c>
      <c r="S2987" s="14">
        <f>SUM(M2987:R2987)</f>
        <v/>
      </c>
      <c r="AA2987">
        <f>RAND()</f>
        <v/>
      </c>
      <c r="AB2987">
        <f>RAND()</f>
        <v/>
      </c>
      <c r="AC2987">
        <f>RAND()</f>
        <v/>
      </c>
      <c r="AD2987">
        <f>RAND()</f>
        <v/>
      </c>
      <c r="AE2987">
        <f>RAND()</f>
        <v/>
      </c>
      <c r="AF2987">
        <f>RAND()</f>
        <v/>
      </c>
    </row>
    <row r="2988">
      <c r="M2988" s="14">
        <f>_xlfn.BETA.INV($AA2988,1+4*($D$5-$C$5)/($E$5-$C$5),1+4*($E$5-$D$5)/($E$5-$C$5),$C$5,$E$5)</f>
        <v/>
      </c>
      <c r="N2988" s="14">
        <f>IF($AB2988&lt;($D$6-$C$6)/($E$6-$C$6),$C$6+SQRT($AB2988*($E$6-$C$6)*($D$6-$C$6)),$E$6-SQRT((1-$AB2988)*($E$6-$C$6)*($E$6-$D$6)))</f>
        <v/>
      </c>
      <c r="O2988" s="14">
        <f>_xlfn.NORM.INV($AC2988,$C$7,$D$7)</f>
        <v/>
      </c>
      <c r="P2988" s="14">
        <f>$C$8+($D$8-$C$8)*$AD2988</f>
        <v/>
      </c>
      <c r="Q2988" s="14">
        <f>$C$9</f>
        <v/>
      </c>
      <c r="R2988" s="14">
        <f>_xlfn.LOGNORM.INV($AF2988,LN($C$10)-0.5*LN(1+($D$10/$C$10)^2),SQRT(LN(1+($D$10/$C$10)^2)))</f>
        <v/>
      </c>
      <c r="S2988" s="14">
        <f>SUM(M2988:R2988)</f>
        <v/>
      </c>
      <c r="AA2988">
        <f>RAND()</f>
        <v/>
      </c>
      <c r="AB2988">
        <f>RAND()</f>
        <v/>
      </c>
      <c r="AC2988">
        <f>RAND()</f>
        <v/>
      </c>
      <c r="AD2988">
        <f>RAND()</f>
        <v/>
      </c>
      <c r="AE2988">
        <f>RAND()</f>
        <v/>
      </c>
      <c r="AF2988">
        <f>RAND()</f>
        <v/>
      </c>
    </row>
    <row r="2989">
      <c r="M2989" s="14">
        <f>_xlfn.BETA.INV($AA2989,1+4*($D$5-$C$5)/($E$5-$C$5),1+4*($E$5-$D$5)/($E$5-$C$5),$C$5,$E$5)</f>
        <v/>
      </c>
      <c r="N2989" s="14">
        <f>IF($AB2989&lt;($D$6-$C$6)/($E$6-$C$6),$C$6+SQRT($AB2989*($E$6-$C$6)*($D$6-$C$6)),$E$6-SQRT((1-$AB2989)*($E$6-$C$6)*($E$6-$D$6)))</f>
        <v/>
      </c>
      <c r="O2989" s="14">
        <f>_xlfn.NORM.INV($AC2989,$C$7,$D$7)</f>
        <v/>
      </c>
      <c r="P2989" s="14">
        <f>$C$8+($D$8-$C$8)*$AD2989</f>
        <v/>
      </c>
      <c r="Q2989" s="14">
        <f>$C$9</f>
        <v/>
      </c>
      <c r="R2989" s="14">
        <f>_xlfn.LOGNORM.INV($AF2989,LN($C$10)-0.5*LN(1+($D$10/$C$10)^2),SQRT(LN(1+($D$10/$C$10)^2)))</f>
        <v/>
      </c>
      <c r="S2989" s="14">
        <f>SUM(M2989:R2989)</f>
        <v/>
      </c>
      <c r="AA2989">
        <f>RAND()</f>
        <v/>
      </c>
      <c r="AB2989">
        <f>RAND()</f>
        <v/>
      </c>
      <c r="AC2989">
        <f>RAND()</f>
        <v/>
      </c>
      <c r="AD2989">
        <f>RAND()</f>
        <v/>
      </c>
      <c r="AE2989">
        <f>RAND()</f>
        <v/>
      </c>
      <c r="AF2989">
        <f>RAND()</f>
        <v/>
      </c>
    </row>
    <row r="2990">
      <c r="M2990" s="14">
        <f>_xlfn.BETA.INV($AA2990,1+4*($D$5-$C$5)/($E$5-$C$5),1+4*($E$5-$D$5)/($E$5-$C$5),$C$5,$E$5)</f>
        <v/>
      </c>
      <c r="N2990" s="14">
        <f>IF($AB2990&lt;($D$6-$C$6)/($E$6-$C$6),$C$6+SQRT($AB2990*($E$6-$C$6)*($D$6-$C$6)),$E$6-SQRT((1-$AB2990)*($E$6-$C$6)*($E$6-$D$6)))</f>
        <v/>
      </c>
      <c r="O2990" s="14">
        <f>_xlfn.NORM.INV($AC2990,$C$7,$D$7)</f>
        <v/>
      </c>
      <c r="P2990" s="14">
        <f>$C$8+($D$8-$C$8)*$AD2990</f>
        <v/>
      </c>
      <c r="Q2990" s="14">
        <f>$C$9</f>
        <v/>
      </c>
      <c r="R2990" s="14">
        <f>_xlfn.LOGNORM.INV($AF2990,LN($C$10)-0.5*LN(1+($D$10/$C$10)^2),SQRT(LN(1+($D$10/$C$10)^2)))</f>
        <v/>
      </c>
      <c r="S2990" s="14">
        <f>SUM(M2990:R2990)</f>
        <v/>
      </c>
      <c r="AA2990">
        <f>RAND()</f>
        <v/>
      </c>
      <c r="AB2990">
        <f>RAND()</f>
        <v/>
      </c>
      <c r="AC2990">
        <f>RAND()</f>
        <v/>
      </c>
      <c r="AD2990">
        <f>RAND()</f>
        <v/>
      </c>
      <c r="AE2990">
        <f>RAND()</f>
        <v/>
      </c>
      <c r="AF2990">
        <f>RAND()</f>
        <v/>
      </c>
    </row>
    <row r="2991">
      <c r="M2991" s="14">
        <f>_xlfn.BETA.INV($AA2991,1+4*($D$5-$C$5)/($E$5-$C$5),1+4*($E$5-$D$5)/($E$5-$C$5),$C$5,$E$5)</f>
        <v/>
      </c>
      <c r="N2991" s="14">
        <f>IF($AB2991&lt;($D$6-$C$6)/($E$6-$C$6),$C$6+SQRT($AB2991*($E$6-$C$6)*($D$6-$C$6)),$E$6-SQRT((1-$AB2991)*($E$6-$C$6)*($E$6-$D$6)))</f>
        <v/>
      </c>
      <c r="O2991" s="14">
        <f>_xlfn.NORM.INV($AC2991,$C$7,$D$7)</f>
        <v/>
      </c>
      <c r="P2991" s="14">
        <f>$C$8+($D$8-$C$8)*$AD2991</f>
        <v/>
      </c>
      <c r="Q2991" s="14">
        <f>$C$9</f>
        <v/>
      </c>
      <c r="R2991" s="14">
        <f>_xlfn.LOGNORM.INV($AF2991,LN($C$10)-0.5*LN(1+($D$10/$C$10)^2),SQRT(LN(1+($D$10/$C$10)^2)))</f>
        <v/>
      </c>
      <c r="S2991" s="14">
        <f>SUM(M2991:R2991)</f>
        <v/>
      </c>
      <c r="AA2991">
        <f>RAND()</f>
        <v/>
      </c>
      <c r="AB2991">
        <f>RAND()</f>
        <v/>
      </c>
      <c r="AC2991">
        <f>RAND()</f>
        <v/>
      </c>
      <c r="AD2991">
        <f>RAND()</f>
        <v/>
      </c>
      <c r="AE2991">
        <f>RAND()</f>
        <v/>
      </c>
      <c r="AF2991">
        <f>RAND()</f>
        <v/>
      </c>
    </row>
    <row r="2992">
      <c r="M2992" s="14">
        <f>_xlfn.BETA.INV($AA2992,1+4*($D$5-$C$5)/($E$5-$C$5),1+4*($E$5-$D$5)/($E$5-$C$5),$C$5,$E$5)</f>
        <v/>
      </c>
      <c r="N2992" s="14">
        <f>IF($AB2992&lt;($D$6-$C$6)/($E$6-$C$6),$C$6+SQRT($AB2992*($E$6-$C$6)*($D$6-$C$6)),$E$6-SQRT((1-$AB2992)*($E$6-$C$6)*($E$6-$D$6)))</f>
        <v/>
      </c>
      <c r="O2992" s="14">
        <f>_xlfn.NORM.INV($AC2992,$C$7,$D$7)</f>
        <v/>
      </c>
      <c r="P2992" s="14">
        <f>$C$8+($D$8-$C$8)*$AD2992</f>
        <v/>
      </c>
      <c r="Q2992" s="14">
        <f>$C$9</f>
        <v/>
      </c>
      <c r="R2992" s="14">
        <f>_xlfn.LOGNORM.INV($AF2992,LN($C$10)-0.5*LN(1+($D$10/$C$10)^2),SQRT(LN(1+($D$10/$C$10)^2)))</f>
        <v/>
      </c>
      <c r="S2992" s="14">
        <f>SUM(M2992:R2992)</f>
        <v/>
      </c>
      <c r="AA2992">
        <f>RAND()</f>
        <v/>
      </c>
      <c r="AB2992">
        <f>RAND()</f>
        <v/>
      </c>
      <c r="AC2992">
        <f>RAND()</f>
        <v/>
      </c>
      <c r="AD2992">
        <f>RAND()</f>
        <v/>
      </c>
      <c r="AE2992">
        <f>RAND()</f>
        <v/>
      </c>
      <c r="AF2992">
        <f>RAND()</f>
        <v/>
      </c>
    </row>
    <row r="2993">
      <c r="M2993" s="14">
        <f>_xlfn.BETA.INV($AA2993,1+4*($D$5-$C$5)/($E$5-$C$5),1+4*($E$5-$D$5)/($E$5-$C$5),$C$5,$E$5)</f>
        <v/>
      </c>
      <c r="N2993" s="14">
        <f>IF($AB2993&lt;($D$6-$C$6)/($E$6-$C$6),$C$6+SQRT($AB2993*($E$6-$C$6)*($D$6-$C$6)),$E$6-SQRT((1-$AB2993)*($E$6-$C$6)*($E$6-$D$6)))</f>
        <v/>
      </c>
      <c r="O2993" s="14">
        <f>_xlfn.NORM.INV($AC2993,$C$7,$D$7)</f>
        <v/>
      </c>
      <c r="P2993" s="14">
        <f>$C$8+($D$8-$C$8)*$AD2993</f>
        <v/>
      </c>
      <c r="Q2993" s="14">
        <f>$C$9</f>
        <v/>
      </c>
      <c r="R2993" s="14">
        <f>_xlfn.LOGNORM.INV($AF2993,LN($C$10)-0.5*LN(1+($D$10/$C$10)^2),SQRT(LN(1+($D$10/$C$10)^2)))</f>
        <v/>
      </c>
      <c r="S2993" s="14">
        <f>SUM(M2993:R2993)</f>
        <v/>
      </c>
      <c r="AA2993">
        <f>RAND()</f>
        <v/>
      </c>
      <c r="AB2993">
        <f>RAND()</f>
        <v/>
      </c>
      <c r="AC2993">
        <f>RAND()</f>
        <v/>
      </c>
      <c r="AD2993">
        <f>RAND()</f>
        <v/>
      </c>
      <c r="AE2993">
        <f>RAND()</f>
        <v/>
      </c>
      <c r="AF2993">
        <f>RAND()</f>
        <v/>
      </c>
    </row>
    <row r="2994">
      <c r="M2994" s="14">
        <f>_xlfn.BETA.INV($AA2994,1+4*($D$5-$C$5)/($E$5-$C$5),1+4*($E$5-$D$5)/($E$5-$C$5),$C$5,$E$5)</f>
        <v/>
      </c>
      <c r="N2994" s="14">
        <f>IF($AB2994&lt;($D$6-$C$6)/($E$6-$C$6),$C$6+SQRT($AB2994*($E$6-$C$6)*($D$6-$C$6)),$E$6-SQRT((1-$AB2994)*($E$6-$C$6)*($E$6-$D$6)))</f>
        <v/>
      </c>
      <c r="O2994" s="14">
        <f>_xlfn.NORM.INV($AC2994,$C$7,$D$7)</f>
        <v/>
      </c>
      <c r="P2994" s="14">
        <f>$C$8+($D$8-$C$8)*$AD2994</f>
        <v/>
      </c>
      <c r="Q2994" s="14">
        <f>$C$9</f>
        <v/>
      </c>
      <c r="R2994" s="14">
        <f>_xlfn.LOGNORM.INV($AF2994,LN($C$10)-0.5*LN(1+($D$10/$C$10)^2),SQRT(LN(1+($D$10/$C$10)^2)))</f>
        <v/>
      </c>
      <c r="S2994" s="14">
        <f>SUM(M2994:R2994)</f>
        <v/>
      </c>
      <c r="AA2994">
        <f>RAND()</f>
        <v/>
      </c>
      <c r="AB2994">
        <f>RAND()</f>
        <v/>
      </c>
      <c r="AC2994">
        <f>RAND()</f>
        <v/>
      </c>
      <c r="AD2994">
        <f>RAND()</f>
        <v/>
      </c>
      <c r="AE2994">
        <f>RAND()</f>
        <v/>
      </c>
      <c r="AF2994">
        <f>RAND()</f>
        <v/>
      </c>
    </row>
    <row r="2995">
      <c r="M2995" s="14">
        <f>_xlfn.BETA.INV($AA2995,1+4*($D$5-$C$5)/($E$5-$C$5),1+4*($E$5-$D$5)/($E$5-$C$5),$C$5,$E$5)</f>
        <v/>
      </c>
      <c r="N2995" s="14">
        <f>IF($AB2995&lt;($D$6-$C$6)/($E$6-$C$6),$C$6+SQRT($AB2995*($E$6-$C$6)*($D$6-$C$6)),$E$6-SQRT((1-$AB2995)*($E$6-$C$6)*($E$6-$D$6)))</f>
        <v/>
      </c>
      <c r="O2995" s="14">
        <f>_xlfn.NORM.INV($AC2995,$C$7,$D$7)</f>
        <v/>
      </c>
      <c r="P2995" s="14">
        <f>$C$8+($D$8-$C$8)*$AD2995</f>
        <v/>
      </c>
      <c r="Q2995" s="14">
        <f>$C$9</f>
        <v/>
      </c>
      <c r="R2995" s="14">
        <f>_xlfn.LOGNORM.INV($AF2995,LN($C$10)-0.5*LN(1+($D$10/$C$10)^2),SQRT(LN(1+($D$10/$C$10)^2)))</f>
        <v/>
      </c>
      <c r="S2995" s="14">
        <f>SUM(M2995:R2995)</f>
        <v/>
      </c>
      <c r="AA2995">
        <f>RAND()</f>
        <v/>
      </c>
      <c r="AB2995">
        <f>RAND()</f>
        <v/>
      </c>
      <c r="AC2995">
        <f>RAND()</f>
        <v/>
      </c>
      <c r="AD2995">
        <f>RAND()</f>
        <v/>
      </c>
      <c r="AE2995">
        <f>RAND()</f>
        <v/>
      </c>
      <c r="AF2995">
        <f>RAND()</f>
        <v/>
      </c>
    </row>
    <row r="2996">
      <c r="M2996" s="14">
        <f>_xlfn.BETA.INV($AA2996,1+4*($D$5-$C$5)/($E$5-$C$5),1+4*($E$5-$D$5)/($E$5-$C$5),$C$5,$E$5)</f>
        <v/>
      </c>
      <c r="N2996" s="14">
        <f>IF($AB2996&lt;($D$6-$C$6)/($E$6-$C$6),$C$6+SQRT($AB2996*($E$6-$C$6)*($D$6-$C$6)),$E$6-SQRT((1-$AB2996)*($E$6-$C$6)*($E$6-$D$6)))</f>
        <v/>
      </c>
      <c r="O2996" s="14">
        <f>_xlfn.NORM.INV($AC2996,$C$7,$D$7)</f>
        <v/>
      </c>
      <c r="P2996" s="14">
        <f>$C$8+($D$8-$C$8)*$AD2996</f>
        <v/>
      </c>
      <c r="Q2996" s="14">
        <f>$C$9</f>
        <v/>
      </c>
      <c r="R2996" s="14">
        <f>_xlfn.LOGNORM.INV($AF2996,LN($C$10)-0.5*LN(1+($D$10/$C$10)^2),SQRT(LN(1+($D$10/$C$10)^2)))</f>
        <v/>
      </c>
      <c r="S2996" s="14">
        <f>SUM(M2996:R2996)</f>
        <v/>
      </c>
      <c r="AA2996">
        <f>RAND()</f>
        <v/>
      </c>
      <c r="AB2996">
        <f>RAND()</f>
        <v/>
      </c>
      <c r="AC2996">
        <f>RAND()</f>
        <v/>
      </c>
      <c r="AD2996">
        <f>RAND()</f>
        <v/>
      </c>
      <c r="AE2996">
        <f>RAND()</f>
        <v/>
      </c>
      <c r="AF2996">
        <f>RAND()</f>
        <v/>
      </c>
    </row>
    <row r="2997">
      <c r="M2997" s="14">
        <f>_xlfn.BETA.INV($AA2997,1+4*($D$5-$C$5)/($E$5-$C$5),1+4*($E$5-$D$5)/($E$5-$C$5),$C$5,$E$5)</f>
        <v/>
      </c>
      <c r="N2997" s="14">
        <f>IF($AB2997&lt;($D$6-$C$6)/($E$6-$C$6),$C$6+SQRT($AB2997*($E$6-$C$6)*($D$6-$C$6)),$E$6-SQRT((1-$AB2997)*($E$6-$C$6)*($E$6-$D$6)))</f>
        <v/>
      </c>
      <c r="O2997" s="14">
        <f>_xlfn.NORM.INV($AC2997,$C$7,$D$7)</f>
        <v/>
      </c>
      <c r="P2997" s="14">
        <f>$C$8+($D$8-$C$8)*$AD2997</f>
        <v/>
      </c>
      <c r="Q2997" s="14">
        <f>$C$9</f>
        <v/>
      </c>
      <c r="R2997" s="14">
        <f>_xlfn.LOGNORM.INV($AF2997,LN($C$10)-0.5*LN(1+($D$10/$C$10)^2),SQRT(LN(1+($D$10/$C$10)^2)))</f>
        <v/>
      </c>
      <c r="S2997" s="14">
        <f>SUM(M2997:R2997)</f>
        <v/>
      </c>
      <c r="AA2997">
        <f>RAND()</f>
        <v/>
      </c>
      <c r="AB2997">
        <f>RAND()</f>
        <v/>
      </c>
      <c r="AC2997">
        <f>RAND()</f>
        <v/>
      </c>
      <c r="AD2997">
        <f>RAND()</f>
        <v/>
      </c>
      <c r="AE2997">
        <f>RAND()</f>
        <v/>
      </c>
      <c r="AF2997">
        <f>RAND()</f>
        <v/>
      </c>
    </row>
    <row r="2998">
      <c r="M2998" s="14">
        <f>_xlfn.BETA.INV($AA2998,1+4*($D$5-$C$5)/($E$5-$C$5),1+4*($E$5-$D$5)/($E$5-$C$5),$C$5,$E$5)</f>
        <v/>
      </c>
      <c r="N2998" s="14">
        <f>IF($AB2998&lt;($D$6-$C$6)/($E$6-$C$6),$C$6+SQRT($AB2998*($E$6-$C$6)*($D$6-$C$6)),$E$6-SQRT((1-$AB2998)*($E$6-$C$6)*($E$6-$D$6)))</f>
        <v/>
      </c>
      <c r="O2998" s="14">
        <f>_xlfn.NORM.INV($AC2998,$C$7,$D$7)</f>
        <v/>
      </c>
      <c r="P2998" s="14">
        <f>$C$8+($D$8-$C$8)*$AD2998</f>
        <v/>
      </c>
      <c r="Q2998" s="14">
        <f>$C$9</f>
        <v/>
      </c>
      <c r="R2998" s="14">
        <f>_xlfn.LOGNORM.INV($AF2998,LN($C$10)-0.5*LN(1+($D$10/$C$10)^2),SQRT(LN(1+($D$10/$C$10)^2)))</f>
        <v/>
      </c>
      <c r="S2998" s="14">
        <f>SUM(M2998:R2998)</f>
        <v/>
      </c>
      <c r="AA2998">
        <f>RAND()</f>
        <v/>
      </c>
      <c r="AB2998">
        <f>RAND()</f>
        <v/>
      </c>
      <c r="AC2998">
        <f>RAND()</f>
        <v/>
      </c>
      <c r="AD2998">
        <f>RAND()</f>
        <v/>
      </c>
      <c r="AE2998">
        <f>RAND()</f>
        <v/>
      </c>
      <c r="AF2998">
        <f>RAND()</f>
        <v/>
      </c>
    </row>
    <row r="2999">
      <c r="M2999" s="14">
        <f>_xlfn.BETA.INV($AA2999,1+4*($D$5-$C$5)/($E$5-$C$5),1+4*($E$5-$D$5)/($E$5-$C$5),$C$5,$E$5)</f>
        <v/>
      </c>
      <c r="N2999" s="14">
        <f>IF($AB2999&lt;($D$6-$C$6)/($E$6-$C$6),$C$6+SQRT($AB2999*($E$6-$C$6)*($D$6-$C$6)),$E$6-SQRT((1-$AB2999)*($E$6-$C$6)*($E$6-$D$6)))</f>
        <v/>
      </c>
      <c r="O2999" s="14">
        <f>_xlfn.NORM.INV($AC2999,$C$7,$D$7)</f>
        <v/>
      </c>
      <c r="P2999" s="14">
        <f>$C$8+($D$8-$C$8)*$AD2999</f>
        <v/>
      </c>
      <c r="Q2999" s="14">
        <f>$C$9</f>
        <v/>
      </c>
      <c r="R2999" s="14">
        <f>_xlfn.LOGNORM.INV($AF2999,LN($C$10)-0.5*LN(1+($D$10/$C$10)^2),SQRT(LN(1+($D$10/$C$10)^2)))</f>
        <v/>
      </c>
      <c r="S2999" s="14">
        <f>SUM(M2999:R2999)</f>
        <v/>
      </c>
      <c r="AA2999">
        <f>RAND()</f>
        <v/>
      </c>
      <c r="AB2999">
        <f>RAND()</f>
        <v/>
      </c>
      <c r="AC2999">
        <f>RAND()</f>
        <v/>
      </c>
      <c r="AD2999">
        <f>RAND()</f>
        <v/>
      </c>
      <c r="AE2999">
        <f>RAND()</f>
        <v/>
      </c>
      <c r="AF2999">
        <f>RAND()</f>
        <v/>
      </c>
    </row>
    <row r="3000">
      <c r="M3000" s="14">
        <f>_xlfn.BETA.INV($AA3000,1+4*($D$5-$C$5)/($E$5-$C$5),1+4*($E$5-$D$5)/($E$5-$C$5),$C$5,$E$5)</f>
        <v/>
      </c>
      <c r="N3000" s="14">
        <f>IF($AB3000&lt;($D$6-$C$6)/($E$6-$C$6),$C$6+SQRT($AB3000*($E$6-$C$6)*($D$6-$C$6)),$E$6-SQRT((1-$AB3000)*($E$6-$C$6)*($E$6-$D$6)))</f>
        <v/>
      </c>
      <c r="O3000" s="14">
        <f>_xlfn.NORM.INV($AC3000,$C$7,$D$7)</f>
        <v/>
      </c>
      <c r="P3000" s="14">
        <f>$C$8+($D$8-$C$8)*$AD3000</f>
        <v/>
      </c>
      <c r="Q3000" s="14">
        <f>$C$9</f>
        <v/>
      </c>
      <c r="R3000" s="14">
        <f>_xlfn.LOGNORM.INV($AF3000,LN($C$10)-0.5*LN(1+($D$10/$C$10)^2),SQRT(LN(1+($D$10/$C$10)^2)))</f>
        <v/>
      </c>
      <c r="S3000" s="14">
        <f>SUM(M3000:R3000)</f>
        <v/>
      </c>
      <c r="AA3000">
        <f>RAND()</f>
        <v/>
      </c>
      <c r="AB3000">
        <f>RAND()</f>
        <v/>
      </c>
      <c r="AC3000">
        <f>RAND()</f>
        <v/>
      </c>
      <c r="AD3000">
        <f>RAND()</f>
        <v/>
      </c>
      <c r="AE3000">
        <f>RAND()</f>
        <v/>
      </c>
      <c r="AF3000">
        <f>RAND()</f>
        <v/>
      </c>
    </row>
    <row r="3001">
      <c r="M3001" s="14">
        <f>_xlfn.BETA.INV($AA3001,1+4*($D$5-$C$5)/($E$5-$C$5),1+4*($E$5-$D$5)/($E$5-$C$5),$C$5,$E$5)</f>
        <v/>
      </c>
      <c r="N3001" s="14">
        <f>IF($AB3001&lt;($D$6-$C$6)/($E$6-$C$6),$C$6+SQRT($AB3001*($E$6-$C$6)*($D$6-$C$6)),$E$6-SQRT((1-$AB3001)*($E$6-$C$6)*($E$6-$D$6)))</f>
        <v/>
      </c>
      <c r="O3001" s="14">
        <f>_xlfn.NORM.INV($AC3001,$C$7,$D$7)</f>
        <v/>
      </c>
      <c r="P3001" s="14">
        <f>$C$8+($D$8-$C$8)*$AD3001</f>
        <v/>
      </c>
      <c r="Q3001" s="14">
        <f>$C$9</f>
        <v/>
      </c>
      <c r="R3001" s="14">
        <f>_xlfn.LOGNORM.INV($AF3001,LN($C$10)-0.5*LN(1+($D$10/$C$10)^2),SQRT(LN(1+($D$10/$C$10)^2)))</f>
        <v/>
      </c>
      <c r="S3001" s="14">
        <f>SUM(M3001:R3001)</f>
        <v/>
      </c>
      <c r="AA3001">
        <f>RAND()</f>
        <v/>
      </c>
      <c r="AB3001">
        <f>RAND()</f>
        <v/>
      </c>
      <c r="AC3001">
        <f>RAND()</f>
        <v/>
      </c>
      <c r="AD3001">
        <f>RAND()</f>
        <v/>
      </c>
      <c r="AE3001">
        <f>RAND()</f>
        <v/>
      </c>
      <c r="AF3001">
        <f>RAND()</f>
        <v/>
      </c>
    </row>
    <row r="3002">
      <c r="M3002" s="14">
        <f>_xlfn.BETA.INV($AA3002,1+4*($D$5-$C$5)/($E$5-$C$5),1+4*($E$5-$D$5)/($E$5-$C$5),$C$5,$E$5)</f>
        <v/>
      </c>
      <c r="N3002" s="14">
        <f>IF($AB3002&lt;($D$6-$C$6)/($E$6-$C$6),$C$6+SQRT($AB3002*($E$6-$C$6)*($D$6-$C$6)),$E$6-SQRT((1-$AB3002)*($E$6-$C$6)*($E$6-$D$6)))</f>
        <v/>
      </c>
      <c r="O3002" s="14">
        <f>_xlfn.NORM.INV($AC3002,$C$7,$D$7)</f>
        <v/>
      </c>
      <c r="P3002" s="14">
        <f>$C$8+($D$8-$C$8)*$AD3002</f>
        <v/>
      </c>
      <c r="Q3002" s="14">
        <f>$C$9</f>
        <v/>
      </c>
      <c r="R3002" s="14">
        <f>_xlfn.LOGNORM.INV($AF3002,LN($C$10)-0.5*LN(1+($D$10/$C$10)^2),SQRT(LN(1+($D$10/$C$10)^2)))</f>
        <v/>
      </c>
      <c r="S3002" s="14">
        <f>SUM(M3002:R3002)</f>
        <v/>
      </c>
      <c r="AA3002">
        <f>RAND()</f>
        <v/>
      </c>
      <c r="AB3002">
        <f>RAND()</f>
        <v/>
      </c>
      <c r="AC3002">
        <f>RAND()</f>
        <v/>
      </c>
      <c r="AD3002">
        <f>RAND()</f>
        <v/>
      </c>
      <c r="AE3002">
        <f>RAND()</f>
        <v/>
      </c>
      <c r="AF3002">
        <f>RAND()</f>
        <v/>
      </c>
    </row>
    <row r="3003">
      <c r="M3003" s="14">
        <f>_xlfn.BETA.INV($AA3003,1+4*($D$5-$C$5)/($E$5-$C$5),1+4*($E$5-$D$5)/($E$5-$C$5),$C$5,$E$5)</f>
        <v/>
      </c>
      <c r="N3003" s="14">
        <f>IF($AB3003&lt;($D$6-$C$6)/($E$6-$C$6),$C$6+SQRT($AB3003*($E$6-$C$6)*($D$6-$C$6)),$E$6-SQRT((1-$AB3003)*($E$6-$C$6)*($E$6-$D$6)))</f>
        <v/>
      </c>
      <c r="O3003" s="14">
        <f>_xlfn.NORM.INV($AC3003,$C$7,$D$7)</f>
        <v/>
      </c>
      <c r="P3003" s="14">
        <f>$C$8+($D$8-$C$8)*$AD3003</f>
        <v/>
      </c>
      <c r="Q3003" s="14">
        <f>$C$9</f>
        <v/>
      </c>
      <c r="R3003" s="14">
        <f>_xlfn.LOGNORM.INV($AF3003,LN($C$10)-0.5*LN(1+($D$10/$C$10)^2),SQRT(LN(1+($D$10/$C$10)^2)))</f>
        <v/>
      </c>
      <c r="S3003" s="14">
        <f>SUM(M3003:R3003)</f>
        <v/>
      </c>
      <c r="AA3003">
        <f>RAND()</f>
        <v/>
      </c>
      <c r="AB3003">
        <f>RAND()</f>
        <v/>
      </c>
      <c r="AC3003">
        <f>RAND()</f>
        <v/>
      </c>
      <c r="AD3003">
        <f>RAND()</f>
        <v/>
      </c>
      <c r="AE3003">
        <f>RAND()</f>
        <v/>
      </c>
      <c r="AF3003">
        <f>RAND()</f>
        <v/>
      </c>
    </row>
    <row r="3004">
      <c r="M3004" s="14">
        <f>_xlfn.BETA.INV($AA3004,1+4*($D$5-$C$5)/($E$5-$C$5),1+4*($E$5-$D$5)/($E$5-$C$5),$C$5,$E$5)</f>
        <v/>
      </c>
      <c r="N3004" s="14">
        <f>IF($AB3004&lt;($D$6-$C$6)/($E$6-$C$6),$C$6+SQRT($AB3004*($E$6-$C$6)*($D$6-$C$6)),$E$6-SQRT((1-$AB3004)*($E$6-$C$6)*($E$6-$D$6)))</f>
        <v/>
      </c>
      <c r="O3004" s="14">
        <f>_xlfn.NORM.INV($AC3004,$C$7,$D$7)</f>
        <v/>
      </c>
      <c r="P3004" s="14">
        <f>$C$8+($D$8-$C$8)*$AD3004</f>
        <v/>
      </c>
      <c r="Q3004" s="14">
        <f>$C$9</f>
        <v/>
      </c>
      <c r="R3004" s="14">
        <f>_xlfn.LOGNORM.INV($AF3004,LN($C$10)-0.5*LN(1+($D$10/$C$10)^2),SQRT(LN(1+($D$10/$C$10)^2)))</f>
        <v/>
      </c>
      <c r="S3004" s="14">
        <f>SUM(M3004:R3004)</f>
        <v/>
      </c>
      <c r="AA3004">
        <f>RAND()</f>
        <v/>
      </c>
      <c r="AB3004">
        <f>RAND()</f>
        <v/>
      </c>
      <c r="AC3004">
        <f>RAND()</f>
        <v/>
      </c>
      <c r="AD3004">
        <f>RAND()</f>
        <v/>
      </c>
      <c r="AE3004">
        <f>RAND()</f>
        <v/>
      </c>
      <c r="AF3004">
        <f>RAND()</f>
        <v/>
      </c>
    </row>
    <row r="3005">
      <c r="M3005" s="14">
        <f>_xlfn.BETA.INV($AA3005,1+4*($D$5-$C$5)/($E$5-$C$5),1+4*($E$5-$D$5)/($E$5-$C$5),$C$5,$E$5)</f>
        <v/>
      </c>
      <c r="N3005" s="14">
        <f>IF($AB3005&lt;($D$6-$C$6)/($E$6-$C$6),$C$6+SQRT($AB3005*($E$6-$C$6)*($D$6-$C$6)),$E$6-SQRT((1-$AB3005)*($E$6-$C$6)*($E$6-$D$6)))</f>
        <v/>
      </c>
      <c r="O3005" s="14">
        <f>_xlfn.NORM.INV($AC3005,$C$7,$D$7)</f>
        <v/>
      </c>
      <c r="P3005" s="14">
        <f>$C$8+($D$8-$C$8)*$AD3005</f>
        <v/>
      </c>
      <c r="Q3005" s="14">
        <f>$C$9</f>
        <v/>
      </c>
      <c r="R3005" s="14">
        <f>_xlfn.LOGNORM.INV($AF3005,LN($C$10)-0.5*LN(1+($D$10/$C$10)^2),SQRT(LN(1+($D$10/$C$10)^2)))</f>
        <v/>
      </c>
      <c r="S3005" s="14">
        <f>SUM(M3005:R3005)</f>
        <v/>
      </c>
      <c r="AA3005">
        <f>RAND()</f>
        <v/>
      </c>
      <c r="AB3005">
        <f>RAND()</f>
        <v/>
      </c>
      <c r="AC3005">
        <f>RAND()</f>
        <v/>
      </c>
      <c r="AD3005">
        <f>RAND()</f>
        <v/>
      </c>
      <c r="AE3005">
        <f>RAND()</f>
        <v/>
      </c>
      <c r="AF3005">
        <f>RAND()</f>
        <v/>
      </c>
    </row>
    <row r="3006">
      <c r="M3006" s="14">
        <f>_xlfn.BETA.INV($AA3006,1+4*($D$5-$C$5)/($E$5-$C$5),1+4*($E$5-$D$5)/($E$5-$C$5),$C$5,$E$5)</f>
        <v/>
      </c>
      <c r="N3006" s="14">
        <f>IF($AB3006&lt;($D$6-$C$6)/($E$6-$C$6),$C$6+SQRT($AB3006*($E$6-$C$6)*($D$6-$C$6)),$E$6-SQRT((1-$AB3006)*($E$6-$C$6)*($E$6-$D$6)))</f>
        <v/>
      </c>
      <c r="O3006" s="14">
        <f>_xlfn.NORM.INV($AC3006,$C$7,$D$7)</f>
        <v/>
      </c>
      <c r="P3006" s="14">
        <f>$C$8+($D$8-$C$8)*$AD3006</f>
        <v/>
      </c>
      <c r="Q3006" s="14">
        <f>$C$9</f>
        <v/>
      </c>
      <c r="R3006" s="14">
        <f>_xlfn.LOGNORM.INV($AF3006,LN($C$10)-0.5*LN(1+($D$10/$C$10)^2),SQRT(LN(1+($D$10/$C$10)^2)))</f>
        <v/>
      </c>
      <c r="S3006" s="14">
        <f>SUM(M3006:R3006)</f>
        <v/>
      </c>
      <c r="AA3006">
        <f>RAND()</f>
        <v/>
      </c>
      <c r="AB3006">
        <f>RAND()</f>
        <v/>
      </c>
      <c r="AC3006">
        <f>RAND()</f>
        <v/>
      </c>
      <c r="AD3006">
        <f>RAND()</f>
        <v/>
      </c>
      <c r="AE3006">
        <f>RAND()</f>
        <v/>
      </c>
      <c r="AF3006">
        <f>RAND()</f>
        <v/>
      </c>
    </row>
    <row r="3007">
      <c r="M3007" s="14">
        <f>_xlfn.BETA.INV($AA3007,1+4*($D$5-$C$5)/($E$5-$C$5),1+4*($E$5-$D$5)/($E$5-$C$5),$C$5,$E$5)</f>
        <v/>
      </c>
      <c r="N3007" s="14">
        <f>IF($AB3007&lt;($D$6-$C$6)/($E$6-$C$6),$C$6+SQRT($AB3007*($E$6-$C$6)*($D$6-$C$6)),$E$6-SQRT((1-$AB3007)*($E$6-$C$6)*($E$6-$D$6)))</f>
        <v/>
      </c>
      <c r="O3007" s="14">
        <f>_xlfn.NORM.INV($AC3007,$C$7,$D$7)</f>
        <v/>
      </c>
      <c r="P3007" s="14">
        <f>$C$8+($D$8-$C$8)*$AD3007</f>
        <v/>
      </c>
      <c r="Q3007" s="14">
        <f>$C$9</f>
        <v/>
      </c>
      <c r="R3007" s="14">
        <f>_xlfn.LOGNORM.INV($AF3007,LN($C$10)-0.5*LN(1+($D$10/$C$10)^2),SQRT(LN(1+($D$10/$C$10)^2)))</f>
        <v/>
      </c>
      <c r="S3007" s="14">
        <f>SUM(M3007:R3007)</f>
        <v/>
      </c>
      <c r="AA3007">
        <f>RAND()</f>
        <v/>
      </c>
      <c r="AB3007">
        <f>RAND()</f>
        <v/>
      </c>
      <c r="AC3007">
        <f>RAND()</f>
        <v/>
      </c>
      <c r="AD3007">
        <f>RAND()</f>
        <v/>
      </c>
      <c r="AE3007">
        <f>RAND()</f>
        <v/>
      </c>
      <c r="AF3007">
        <f>RAND()</f>
        <v/>
      </c>
    </row>
    <row r="3008">
      <c r="M3008" s="14">
        <f>_xlfn.BETA.INV($AA3008,1+4*($D$5-$C$5)/($E$5-$C$5),1+4*($E$5-$D$5)/($E$5-$C$5),$C$5,$E$5)</f>
        <v/>
      </c>
      <c r="N3008" s="14">
        <f>IF($AB3008&lt;($D$6-$C$6)/($E$6-$C$6),$C$6+SQRT($AB3008*($E$6-$C$6)*($D$6-$C$6)),$E$6-SQRT((1-$AB3008)*($E$6-$C$6)*($E$6-$D$6)))</f>
        <v/>
      </c>
      <c r="O3008" s="14">
        <f>_xlfn.NORM.INV($AC3008,$C$7,$D$7)</f>
        <v/>
      </c>
      <c r="P3008" s="14">
        <f>$C$8+($D$8-$C$8)*$AD3008</f>
        <v/>
      </c>
      <c r="Q3008" s="14">
        <f>$C$9</f>
        <v/>
      </c>
      <c r="R3008" s="14">
        <f>_xlfn.LOGNORM.INV($AF3008,LN($C$10)-0.5*LN(1+($D$10/$C$10)^2),SQRT(LN(1+($D$10/$C$10)^2)))</f>
        <v/>
      </c>
      <c r="S3008" s="14">
        <f>SUM(M3008:R3008)</f>
        <v/>
      </c>
      <c r="AA3008">
        <f>RAND()</f>
        <v/>
      </c>
      <c r="AB3008">
        <f>RAND()</f>
        <v/>
      </c>
      <c r="AC3008">
        <f>RAND()</f>
        <v/>
      </c>
      <c r="AD3008">
        <f>RAND()</f>
        <v/>
      </c>
      <c r="AE3008">
        <f>RAND()</f>
        <v/>
      </c>
      <c r="AF3008">
        <f>RAND()</f>
        <v/>
      </c>
    </row>
    <row r="3009">
      <c r="M3009" s="14">
        <f>_xlfn.BETA.INV($AA3009,1+4*($D$5-$C$5)/($E$5-$C$5),1+4*($E$5-$D$5)/($E$5-$C$5),$C$5,$E$5)</f>
        <v/>
      </c>
      <c r="N3009" s="14">
        <f>IF($AB3009&lt;($D$6-$C$6)/($E$6-$C$6),$C$6+SQRT($AB3009*($E$6-$C$6)*($D$6-$C$6)),$E$6-SQRT((1-$AB3009)*($E$6-$C$6)*($E$6-$D$6)))</f>
        <v/>
      </c>
      <c r="O3009" s="14">
        <f>_xlfn.NORM.INV($AC3009,$C$7,$D$7)</f>
        <v/>
      </c>
      <c r="P3009" s="14">
        <f>$C$8+($D$8-$C$8)*$AD3009</f>
        <v/>
      </c>
      <c r="Q3009" s="14">
        <f>$C$9</f>
        <v/>
      </c>
      <c r="R3009" s="14">
        <f>_xlfn.LOGNORM.INV($AF3009,LN($C$10)-0.5*LN(1+($D$10/$C$10)^2),SQRT(LN(1+($D$10/$C$10)^2)))</f>
        <v/>
      </c>
      <c r="S3009" s="14">
        <f>SUM(M3009:R3009)</f>
        <v/>
      </c>
      <c r="AA3009">
        <f>RAND()</f>
        <v/>
      </c>
      <c r="AB3009">
        <f>RAND()</f>
        <v/>
      </c>
      <c r="AC3009">
        <f>RAND()</f>
        <v/>
      </c>
      <c r="AD3009">
        <f>RAND()</f>
        <v/>
      </c>
      <c r="AE3009">
        <f>RAND()</f>
        <v/>
      </c>
      <c r="AF3009">
        <f>RAND()</f>
        <v/>
      </c>
    </row>
    <row r="3010">
      <c r="M3010" s="14">
        <f>_xlfn.BETA.INV($AA3010,1+4*($D$5-$C$5)/($E$5-$C$5),1+4*($E$5-$D$5)/($E$5-$C$5),$C$5,$E$5)</f>
        <v/>
      </c>
      <c r="N3010" s="14">
        <f>IF($AB3010&lt;($D$6-$C$6)/($E$6-$C$6),$C$6+SQRT($AB3010*($E$6-$C$6)*($D$6-$C$6)),$E$6-SQRT((1-$AB3010)*($E$6-$C$6)*($E$6-$D$6)))</f>
        <v/>
      </c>
      <c r="O3010" s="14">
        <f>_xlfn.NORM.INV($AC3010,$C$7,$D$7)</f>
        <v/>
      </c>
      <c r="P3010" s="14">
        <f>$C$8+($D$8-$C$8)*$AD3010</f>
        <v/>
      </c>
      <c r="Q3010" s="14">
        <f>$C$9</f>
        <v/>
      </c>
      <c r="R3010" s="14">
        <f>_xlfn.LOGNORM.INV($AF3010,LN($C$10)-0.5*LN(1+($D$10/$C$10)^2),SQRT(LN(1+($D$10/$C$10)^2)))</f>
        <v/>
      </c>
      <c r="S3010" s="14">
        <f>SUM(M3010:R3010)</f>
        <v/>
      </c>
      <c r="AA3010">
        <f>RAND()</f>
        <v/>
      </c>
      <c r="AB3010">
        <f>RAND()</f>
        <v/>
      </c>
      <c r="AC3010">
        <f>RAND()</f>
        <v/>
      </c>
      <c r="AD3010">
        <f>RAND()</f>
        <v/>
      </c>
      <c r="AE3010">
        <f>RAND()</f>
        <v/>
      </c>
      <c r="AF3010">
        <f>RAND()</f>
        <v/>
      </c>
    </row>
    <row r="3011">
      <c r="M3011" s="14">
        <f>_xlfn.BETA.INV($AA3011,1+4*($D$5-$C$5)/($E$5-$C$5),1+4*($E$5-$D$5)/($E$5-$C$5),$C$5,$E$5)</f>
        <v/>
      </c>
      <c r="N3011" s="14">
        <f>IF($AB3011&lt;($D$6-$C$6)/($E$6-$C$6),$C$6+SQRT($AB3011*($E$6-$C$6)*($D$6-$C$6)),$E$6-SQRT((1-$AB3011)*($E$6-$C$6)*($E$6-$D$6)))</f>
        <v/>
      </c>
      <c r="O3011" s="14">
        <f>_xlfn.NORM.INV($AC3011,$C$7,$D$7)</f>
        <v/>
      </c>
      <c r="P3011" s="14">
        <f>$C$8+($D$8-$C$8)*$AD3011</f>
        <v/>
      </c>
      <c r="Q3011" s="14">
        <f>$C$9</f>
        <v/>
      </c>
      <c r="R3011" s="14">
        <f>_xlfn.LOGNORM.INV($AF3011,LN($C$10)-0.5*LN(1+($D$10/$C$10)^2),SQRT(LN(1+($D$10/$C$10)^2)))</f>
        <v/>
      </c>
      <c r="S3011" s="14">
        <f>SUM(M3011:R3011)</f>
        <v/>
      </c>
      <c r="AA3011">
        <f>RAND()</f>
        <v/>
      </c>
      <c r="AB3011">
        <f>RAND()</f>
        <v/>
      </c>
      <c r="AC3011">
        <f>RAND()</f>
        <v/>
      </c>
      <c r="AD3011">
        <f>RAND()</f>
        <v/>
      </c>
      <c r="AE3011">
        <f>RAND()</f>
        <v/>
      </c>
      <c r="AF3011">
        <f>RAND()</f>
        <v/>
      </c>
    </row>
    <row r="3012">
      <c r="M3012" s="14">
        <f>_xlfn.BETA.INV($AA3012,1+4*($D$5-$C$5)/($E$5-$C$5),1+4*($E$5-$D$5)/($E$5-$C$5),$C$5,$E$5)</f>
        <v/>
      </c>
      <c r="N3012" s="14">
        <f>IF($AB3012&lt;($D$6-$C$6)/($E$6-$C$6),$C$6+SQRT($AB3012*($E$6-$C$6)*($D$6-$C$6)),$E$6-SQRT((1-$AB3012)*($E$6-$C$6)*($E$6-$D$6)))</f>
        <v/>
      </c>
      <c r="O3012" s="14">
        <f>_xlfn.NORM.INV($AC3012,$C$7,$D$7)</f>
        <v/>
      </c>
      <c r="P3012" s="14">
        <f>$C$8+($D$8-$C$8)*$AD3012</f>
        <v/>
      </c>
      <c r="Q3012" s="14">
        <f>$C$9</f>
        <v/>
      </c>
      <c r="R3012" s="14">
        <f>_xlfn.LOGNORM.INV($AF3012,LN($C$10)-0.5*LN(1+($D$10/$C$10)^2),SQRT(LN(1+($D$10/$C$10)^2)))</f>
        <v/>
      </c>
      <c r="S3012" s="14">
        <f>SUM(M3012:R3012)</f>
        <v/>
      </c>
      <c r="AA3012">
        <f>RAND()</f>
        <v/>
      </c>
      <c r="AB3012">
        <f>RAND()</f>
        <v/>
      </c>
      <c r="AC3012">
        <f>RAND()</f>
        <v/>
      </c>
      <c r="AD3012">
        <f>RAND()</f>
        <v/>
      </c>
      <c r="AE3012">
        <f>RAND()</f>
        <v/>
      </c>
      <c r="AF3012">
        <f>RAND()</f>
        <v/>
      </c>
    </row>
    <row r="3013">
      <c r="M3013" s="14">
        <f>_xlfn.BETA.INV($AA3013,1+4*($D$5-$C$5)/($E$5-$C$5),1+4*($E$5-$D$5)/($E$5-$C$5),$C$5,$E$5)</f>
        <v/>
      </c>
      <c r="N3013" s="14">
        <f>IF($AB3013&lt;($D$6-$C$6)/($E$6-$C$6),$C$6+SQRT($AB3013*($E$6-$C$6)*($D$6-$C$6)),$E$6-SQRT((1-$AB3013)*($E$6-$C$6)*($E$6-$D$6)))</f>
        <v/>
      </c>
      <c r="O3013" s="14">
        <f>_xlfn.NORM.INV($AC3013,$C$7,$D$7)</f>
        <v/>
      </c>
      <c r="P3013" s="14">
        <f>$C$8+($D$8-$C$8)*$AD3013</f>
        <v/>
      </c>
      <c r="Q3013" s="14">
        <f>$C$9</f>
        <v/>
      </c>
      <c r="R3013" s="14">
        <f>_xlfn.LOGNORM.INV($AF3013,LN($C$10)-0.5*LN(1+($D$10/$C$10)^2),SQRT(LN(1+($D$10/$C$10)^2)))</f>
        <v/>
      </c>
      <c r="S3013" s="14">
        <f>SUM(M3013:R3013)</f>
        <v/>
      </c>
      <c r="AA3013">
        <f>RAND()</f>
        <v/>
      </c>
      <c r="AB3013">
        <f>RAND()</f>
        <v/>
      </c>
      <c r="AC3013">
        <f>RAND()</f>
        <v/>
      </c>
      <c r="AD3013">
        <f>RAND()</f>
        <v/>
      </c>
      <c r="AE3013">
        <f>RAND()</f>
        <v/>
      </c>
      <c r="AF3013">
        <f>RAND()</f>
        <v/>
      </c>
    </row>
    <row r="3014">
      <c r="M3014" s="14">
        <f>_xlfn.BETA.INV($AA3014,1+4*($D$5-$C$5)/($E$5-$C$5),1+4*($E$5-$D$5)/($E$5-$C$5),$C$5,$E$5)</f>
        <v/>
      </c>
      <c r="N3014" s="14">
        <f>IF($AB3014&lt;($D$6-$C$6)/($E$6-$C$6),$C$6+SQRT($AB3014*($E$6-$C$6)*($D$6-$C$6)),$E$6-SQRT((1-$AB3014)*($E$6-$C$6)*($E$6-$D$6)))</f>
        <v/>
      </c>
      <c r="O3014" s="14">
        <f>_xlfn.NORM.INV($AC3014,$C$7,$D$7)</f>
        <v/>
      </c>
      <c r="P3014" s="14">
        <f>$C$8+($D$8-$C$8)*$AD3014</f>
        <v/>
      </c>
      <c r="Q3014" s="14">
        <f>$C$9</f>
        <v/>
      </c>
      <c r="R3014" s="14">
        <f>_xlfn.LOGNORM.INV($AF3014,LN($C$10)-0.5*LN(1+($D$10/$C$10)^2),SQRT(LN(1+($D$10/$C$10)^2)))</f>
        <v/>
      </c>
      <c r="S3014" s="14">
        <f>SUM(M3014:R3014)</f>
        <v/>
      </c>
      <c r="AA3014">
        <f>RAND()</f>
        <v/>
      </c>
      <c r="AB3014">
        <f>RAND()</f>
        <v/>
      </c>
      <c r="AC3014">
        <f>RAND()</f>
        <v/>
      </c>
      <c r="AD3014">
        <f>RAND()</f>
        <v/>
      </c>
      <c r="AE3014">
        <f>RAND()</f>
        <v/>
      </c>
      <c r="AF3014">
        <f>RAND()</f>
        <v/>
      </c>
    </row>
    <row r="3015">
      <c r="M3015" s="14">
        <f>_xlfn.BETA.INV($AA3015,1+4*($D$5-$C$5)/($E$5-$C$5),1+4*($E$5-$D$5)/($E$5-$C$5),$C$5,$E$5)</f>
        <v/>
      </c>
      <c r="N3015" s="14">
        <f>IF($AB3015&lt;($D$6-$C$6)/($E$6-$C$6),$C$6+SQRT($AB3015*($E$6-$C$6)*($D$6-$C$6)),$E$6-SQRT((1-$AB3015)*($E$6-$C$6)*($E$6-$D$6)))</f>
        <v/>
      </c>
      <c r="O3015" s="14">
        <f>_xlfn.NORM.INV($AC3015,$C$7,$D$7)</f>
        <v/>
      </c>
      <c r="P3015" s="14">
        <f>$C$8+($D$8-$C$8)*$AD3015</f>
        <v/>
      </c>
      <c r="Q3015" s="14">
        <f>$C$9</f>
        <v/>
      </c>
      <c r="R3015" s="14">
        <f>_xlfn.LOGNORM.INV($AF3015,LN($C$10)-0.5*LN(1+($D$10/$C$10)^2),SQRT(LN(1+($D$10/$C$10)^2)))</f>
        <v/>
      </c>
      <c r="S3015" s="14">
        <f>SUM(M3015:R3015)</f>
        <v/>
      </c>
      <c r="AA3015">
        <f>RAND()</f>
        <v/>
      </c>
      <c r="AB3015">
        <f>RAND()</f>
        <v/>
      </c>
      <c r="AC3015">
        <f>RAND()</f>
        <v/>
      </c>
      <c r="AD3015">
        <f>RAND()</f>
        <v/>
      </c>
      <c r="AE3015">
        <f>RAND()</f>
        <v/>
      </c>
      <c r="AF3015">
        <f>RAND()</f>
        <v/>
      </c>
    </row>
    <row r="3016">
      <c r="M3016" s="14">
        <f>_xlfn.BETA.INV($AA3016,1+4*($D$5-$C$5)/($E$5-$C$5),1+4*($E$5-$D$5)/($E$5-$C$5),$C$5,$E$5)</f>
        <v/>
      </c>
      <c r="N3016" s="14">
        <f>IF($AB3016&lt;($D$6-$C$6)/($E$6-$C$6),$C$6+SQRT($AB3016*($E$6-$C$6)*($D$6-$C$6)),$E$6-SQRT((1-$AB3016)*($E$6-$C$6)*($E$6-$D$6)))</f>
        <v/>
      </c>
      <c r="O3016" s="14">
        <f>_xlfn.NORM.INV($AC3016,$C$7,$D$7)</f>
        <v/>
      </c>
      <c r="P3016" s="14">
        <f>$C$8+($D$8-$C$8)*$AD3016</f>
        <v/>
      </c>
      <c r="Q3016" s="14">
        <f>$C$9</f>
        <v/>
      </c>
      <c r="R3016" s="14">
        <f>_xlfn.LOGNORM.INV($AF3016,LN($C$10)-0.5*LN(1+($D$10/$C$10)^2),SQRT(LN(1+($D$10/$C$10)^2)))</f>
        <v/>
      </c>
      <c r="S3016" s="14">
        <f>SUM(M3016:R3016)</f>
        <v/>
      </c>
      <c r="AA3016">
        <f>RAND()</f>
        <v/>
      </c>
      <c r="AB3016">
        <f>RAND()</f>
        <v/>
      </c>
      <c r="AC3016">
        <f>RAND()</f>
        <v/>
      </c>
      <c r="AD3016">
        <f>RAND()</f>
        <v/>
      </c>
      <c r="AE3016">
        <f>RAND()</f>
        <v/>
      </c>
      <c r="AF3016">
        <f>RAND()</f>
        <v/>
      </c>
    </row>
    <row r="3017">
      <c r="M3017" s="14">
        <f>_xlfn.BETA.INV($AA3017,1+4*($D$5-$C$5)/($E$5-$C$5),1+4*($E$5-$D$5)/($E$5-$C$5),$C$5,$E$5)</f>
        <v/>
      </c>
      <c r="N3017" s="14">
        <f>IF($AB3017&lt;($D$6-$C$6)/($E$6-$C$6),$C$6+SQRT($AB3017*($E$6-$C$6)*($D$6-$C$6)),$E$6-SQRT((1-$AB3017)*($E$6-$C$6)*($E$6-$D$6)))</f>
        <v/>
      </c>
      <c r="O3017" s="14">
        <f>_xlfn.NORM.INV($AC3017,$C$7,$D$7)</f>
        <v/>
      </c>
      <c r="P3017" s="14">
        <f>$C$8+($D$8-$C$8)*$AD3017</f>
        <v/>
      </c>
      <c r="Q3017" s="14">
        <f>$C$9</f>
        <v/>
      </c>
      <c r="R3017" s="14">
        <f>_xlfn.LOGNORM.INV($AF3017,LN($C$10)-0.5*LN(1+($D$10/$C$10)^2),SQRT(LN(1+($D$10/$C$10)^2)))</f>
        <v/>
      </c>
      <c r="S3017" s="14">
        <f>SUM(M3017:R3017)</f>
        <v/>
      </c>
      <c r="AA3017">
        <f>RAND()</f>
        <v/>
      </c>
      <c r="AB3017">
        <f>RAND()</f>
        <v/>
      </c>
      <c r="AC3017">
        <f>RAND()</f>
        <v/>
      </c>
      <c r="AD3017">
        <f>RAND()</f>
        <v/>
      </c>
      <c r="AE3017">
        <f>RAND()</f>
        <v/>
      </c>
      <c r="AF3017">
        <f>RAND()</f>
        <v/>
      </c>
    </row>
    <row r="3018">
      <c r="M3018" s="14">
        <f>_xlfn.BETA.INV($AA3018,1+4*($D$5-$C$5)/($E$5-$C$5),1+4*($E$5-$D$5)/($E$5-$C$5),$C$5,$E$5)</f>
        <v/>
      </c>
      <c r="N3018" s="14">
        <f>IF($AB3018&lt;($D$6-$C$6)/($E$6-$C$6),$C$6+SQRT($AB3018*($E$6-$C$6)*($D$6-$C$6)),$E$6-SQRT((1-$AB3018)*($E$6-$C$6)*($E$6-$D$6)))</f>
        <v/>
      </c>
      <c r="O3018" s="14">
        <f>_xlfn.NORM.INV($AC3018,$C$7,$D$7)</f>
        <v/>
      </c>
      <c r="P3018" s="14">
        <f>$C$8+($D$8-$C$8)*$AD3018</f>
        <v/>
      </c>
      <c r="Q3018" s="14">
        <f>$C$9</f>
        <v/>
      </c>
      <c r="R3018" s="14">
        <f>_xlfn.LOGNORM.INV($AF3018,LN($C$10)-0.5*LN(1+($D$10/$C$10)^2),SQRT(LN(1+($D$10/$C$10)^2)))</f>
        <v/>
      </c>
      <c r="S3018" s="14">
        <f>SUM(M3018:R3018)</f>
        <v/>
      </c>
      <c r="AA3018">
        <f>RAND()</f>
        <v/>
      </c>
      <c r="AB3018">
        <f>RAND()</f>
        <v/>
      </c>
      <c r="AC3018">
        <f>RAND()</f>
        <v/>
      </c>
      <c r="AD3018">
        <f>RAND()</f>
        <v/>
      </c>
      <c r="AE3018">
        <f>RAND()</f>
        <v/>
      </c>
      <c r="AF3018">
        <f>RAND()</f>
        <v/>
      </c>
    </row>
    <row r="3019">
      <c r="M3019" s="14">
        <f>_xlfn.BETA.INV($AA3019,1+4*($D$5-$C$5)/($E$5-$C$5),1+4*($E$5-$D$5)/($E$5-$C$5),$C$5,$E$5)</f>
        <v/>
      </c>
      <c r="N3019" s="14">
        <f>IF($AB3019&lt;($D$6-$C$6)/($E$6-$C$6),$C$6+SQRT($AB3019*($E$6-$C$6)*($D$6-$C$6)),$E$6-SQRT((1-$AB3019)*($E$6-$C$6)*($E$6-$D$6)))</f>
        <v/>
      </c>
      <c r="O3019" s="14">
        <f>_xlfn.NORM.INV($AC3019,$C$7,$D$7)</f>
        <v/>
      </c>
      <c r="P3019" s="14">
        <f>$C$8+($D$8-$C$8)*$AD3019</f>
        <v/>
      </c>
      <c r="Q3019" s="14">
        <f>$C$9</f>
        <v/>
      </c>
      <c r="R3019" s="14">
        <f>_xlfn.LOGNORM.INV($AF3019,LN($C$10)-0.5*LN(1+($D$10/$C$10)^2),SQRT(LN(1+($D$10/$C$10)^2)))</f>
        <v/>
      </c>
      <c r="S3019" s="14">
        <f>SUM(M3019:R3019)</f>
        <v/>
      </c>
      <c r="AA3019">
        <f>RAND()</f>
        <v/>
      </c>
      <c r="AB3019">
        <f>RAND()</f>
        <v/>
      </c>
      <c r="AC3019">
        <f>RAND()</f>
        <v/>
      </c>
      <c r="AD3019">
        <f>RAND()</f>
        <v/>
      </c>
      <c r="AE3019">
        <f>RAND()</f>
        <v/>
      </c>
      <c r="AF3019">
        <f>RAND()</f>
        <v/>
      </c>
    </row>
    <row r="3020">
      <c r="M3020" s="14">
        <f>_xlfn.BETA.INV($AA3020,1+4*($D$5-$C$5)/($E$5-$C$5),1+4*($E$5-$D$5)/($E$5-$C$5),$C$5,$E$5)</f>
        <v/>
      </c>
      <c r="N3020" s="14">
        <f>IF($AB3020&lt;($D$6-$C$6)/($E$6-$C$6),$C$6+SQRT($AB3020*($E$6-$C$6)*($D$6-$C$6)),$E$6-SQRT((1-$AB3020)*($E$6-$C$6)*($E$6-$D$6)))</f>
        <v/>
      </c>
      <c r="O3020" s="14">
        <f>_xlfn.NORM.INV($AC3020,$C$7,$D$7)</f>
        <v/>
      </c>
      <c r="P3020" s="14">
        <f>$C$8+($D$8-$C$8)*$AD3020</f>
        <v/>
      </c>
      <c r="Q3020" s="14">
        <f>$C$9</f>
        <v/>
      </c>
      <c r="R3020" s="14">
        <f>_xlfn.LOGNORM.INV($AF3020,LN($C$10)-0.5*LN(1+($D$10/$C$10)^2),SQRT(LN(1+($D$10/$C$10)^2)))</f>
        <v/>
      </c>
      <c r="S3020" s="14">
        <f>SUM(M3020:R3020)</f>
        <v/>
      </c>
      <c r="AA3020">
        <f>RAND()</f>
        <v/>
      </c>
      <c r="AB3020">
        <f>RAND()</f>
        <v/>
      </c>
      <c r="AC3020">
        <f>RAND()</f>
        <v/>
      </c>
      <c r="AD3020">
        <f>RAND()</f>
        <v/>
      </c>
      <c r="AE3020">
        <f>RAND()</f>
        <v/>
      </c>
      <c r="AF3020">
        <f>RAND()</f>
        <v/>
      </c>
    </row>
    <row r="3021">
      <c r="M3021" s="14">
        <f>_xlfn.BETA.INV($AA3021,1+4*($D$5-$C$5)/($E$5-$C$5),1+4*($E$5-$D$5)/($E$5-$C$5),$C$5,$E$5)</f>
        <v/>
      </c>
      <c r="N3021" s="14">
        <f>IF($AB3021&lt;($D$6-$C$6)/($E$6-$C$6),$C$6+SQRT($AB3021*($E$6-$C$6)*($D$6-$C$6)),$E$6-SQRT((1-$AB3021)*($E$6-$C$6)*($E$6-$D$6)))</f>
        <v/>
      </c>
      <c r="O3021" s="14">
        <f>_xlfn.NORM.INV($AC3021,$C$7,$D$7)</f>
        <v/>
      </c>
      <c r="P3021" s="14">
        <f>$C$8+($D$8-$C$8)*$AD3021</f>
        <v/>
      </c>
      <c r="Q3021" s="14">
        <f>$C$9</f>
        <v/>
      </c>
      <c r="R3021" s="14">
        <f>_xlfn.LOGNORM.INV($AF3021,LN($C$10)-0.5*LN(1+($D$10/$C$10)^2),SQRT(LN(1+($D$10/$C$10)^2)))</f>
        <v/>
      </c>
      <c r="S3021" s="14">
        <f>SUM(M3021:R3021)</f>
        <v/>
      </c>
      <c r="AA3021">
        <f>RAND()</f>
        <v/>
      </c>
      <c r="AB3021">
        <f>RAND()</f>
        <v/>
      </c>
      <c r="AC3021">
        <f>RAND()</f>
        <v/>
      </c>
      <c r="AD3021">
        <f>RAND()</f>
        <v/>
      </c>
      <c r="AE3021">
        <f>RAND()</f>
        <v/>
      </c>
      <c r="AF3021">
        <f>RAND()</f>
        <v/>
      </c>
    </row>
    <row r="3022">
      <c r="M3022" s="14">
        <f>_xlfn.BETA.INV($AA3022,1+4*($D$5-$C$5)/($E$5-$C$5),1+4*($E$5-$D$5)/($E$5-$C$5),$C$5,$E$5)</f>
        <v/>
      </c>
      <c r="N3022" s="14">
        <f>IF($AB3022&lt;($D$6-$C$6)/($E$6-$C$6),$C$6+SQRT($AB3022*($E$6-$C$6)*($D$6-$C$6)),$E$6-SQRT((1-$AB3022)*($E$6-$C$6)*($E$6-$D$6)))</f>
        <v/>
      </c>
      <c r="O3022" s="14">
        <f>_xlfn.NORM.INV($AC3022,$C$7,$D$7)</f>
        <v/>
      </c>
      <c r="P3022" s="14">
        <f>$C$8+($D$8-$C$8)*$AD3022</f>
        <v/>
      </c>
      <c r="Q3022" s="14">
        <f>$C$9</f>
        <v/>
      </c>
      <c r="R3022" s="14">
        <f>_xlfn.LOGNORM.INV($AF3022,LN($C$10)-0.5*LN(1+($D$10/$C$10)^2),SQRT(LN(1+($D$10/$C$10)^2)))</f>
        <v/>
      </c>
      <c r="S3022" s="14">
        <f>SUM(M3022:R3022)</f>
        <v/>
      </c>
      <c r="AA3022">
        <f>RAND()</f>
        <v/>
      </c>
      <c r="AB3022">
        <f>RAND()</f>
        <v/>
      </c>
      <c r="AC3022">
        <f>RAND()</f>
        <v/>
      </c>
      <c r="AD3022">
        <f>RAND()</f>
        <v/>
      </c>
      <c r="AE3022">
        <f>RAND()</f>
        <v/>
      </c>
      <c r="AF3022">
        <f>RAND()</f>
        <v/>
      </c>
    </row>
    <row r="3023">
      <c r="M3023" s="14">
        <f>_xlfn.BETA.INV($AA3023,1+4*($D$5-$C$5)/($E$5-$C$5),1+4*($E$5-$D$5)/($E$5-$C$5),$C$5,$E$5)</f>
        <v/>
      </c>
      <c r="N3023" s="14">
        <f>IF($AB3023&lt;($D$6-$C$6)/($E$6-$C$6),$C$6+SQRT($AB3023*($E$6-$C$6)*($D$6-$C$6)),$E$6-SQRT((1-$AB3023)*($E$6-$C$6)*($E$6-$D$6)))</f>
        <v/>
      </c>
      <c r="O3023" s="14">
        <f>_xlfn.NORM.INV($AC3023,$C$7,$D$7)</f>
        <v/>
      </c>
      <c r="P3023" s="14">
        <f>$C$8+($D$8-$C$8)*$AD3023</f>
        <v/>
      </c>
      <c r="Q3023" s="14">
        <f>$C$9</f>
        <v/>
      </c>
      <c r="R3023" s="14">
        <f>_xlfn.LOGNORM.INV($AF3023,LN($C$10)-0.5*LN(1+($D$10/$C$10)^2),SQRT(LN(1+($D$10/$C$10)^2)))</f>
        <v/>
      </c>
      <c r="S3023" s="14">
        <f>SUM(M3023:R3023)</f>
        <v/>
      </c>
      <c r="AA3023">
        <f>RAND()</f>
        <v/>
      </c>
      <c r="AB3023">
        <f>RAND()</f>
        <v/>
      </c>
      <c r="AC3023">
        <f>RAND()</f>
        <v/>
      </c>
      <c r="AD3023">
        <f>RAND()</f>
        <v/>
      </c>
      <c r="AE3023">
        <f>RAND()</f>
        <v/>
      </c>
      <c r="AF3023">
        <f>RAND()</f>
        <v/>
      </c>
    </row>
    <row r="3024">
      <c r="M3024" s="14">
        <f>_xlfn.BETA.INV($AA3024,1+4*($D$5-$C$5)/($E$5-$C$5),1+4*($E$5-$D$5)/($E$5-$C$5),$C$5,$E$5)</f>
        <v/>
      </c>
      <c r="N3024" s="14">
        <f>IF($AB3024&lt;($D$6-$C$6)/($E$6-$C$6),$C$6+SQRT($AB3024*($E$6-$C$6)*($D$6-$C$6)),$E$6-SQRT((1-$AB3024)*($E$6-$C$6)*($E$6-$D$6)))</f>
        <v/>
      </c>
      <c r="O3024" s="14">
        <f>_xlfn.NORM.INV($AC3024,$C$7,$D$7)</f>
        <v/>
      </c>
      <c r="P3024" s="14">
        <f>$C$8+($D$8-$C$8)*$AD3024</f>
        <v/>
      </c>
      <c r="Q3024" s="14">
        <f>$C$9</f>
        <v/>
      </c>
      <c r="R3024" s="14">
        <f>_xlfn.LOGNORM.INV($AF3024,LN($C$10)-0.5*LN(1+($D$10/$C$10)^2),SQRT(LN(1+($D$10/$C$10)^2)))</f>
        <v/>
      </c>
      <c r="S3024" s="14">
        <f>SUM(M3024:R3024)</f>
        <v/>
      </c>
      <c r="AA3024">
        <f>RAND()</f>
        <v/>
      </c>
      <c r="AB3024">
        <f>RAND()</f>
        <v/>
      </c>
      <c r="AC3024">
        <f>RAND()</f>
        <v/>
      </c>
      <c r="AD3024">
        <f>RAND()</f>
        <v/>
      </c>
      <c r="AE3024">
        <f>RAND()</f>
        <v/>
      </c>
      <c r="AF3024">
        <f>RAND()</f>
        <v/>
      </c>
    </row>
    <row r="3025">
      <c r="M3025" s="14">
        <f>_xlfn.BETA.INV($AA3025,1+4*($D$5-$C$5)/($E$5-$C$5),1+4*($E$5-$D$5)/($E$5-$C$5),$C$5,$E$5)</f>
        <v/>
      </c>
      <c r="N3025" s="14">
        <f>IF($AB3025&lt;($D$6-$C$6)/($E$6-$C$6),$C$6+SQRT($AB3025*($E$6-$C$6)*($D$6-$C$6)),$E$6-SQRT((1-$AB3025)*($E$6-$C$6)*($E$6-$D$6)))</f>
        <v/>
      </c>
      <c r="O3025" s="14">
        <f>_xlfn.NORM.INV($AC3025,$C$7,$D$7)</f>
        <v/>
      </c>
      <c r="P3025" s="14">
        <f>$C$8+($D$8-$C$8)*$AD3025</f>
        <v/>
      </c>
      <c r="Q3025" s="14">
        <f>$C$9</f>
        <v/>
      </c>
      <c r="R3025" s="14">
        <f>_xlfn.LOGNORM.INV($AF3025,LN($C$10)-0.5*LN(1+($D$10/$C$10)^2),SQRT(LN(1+($D$10/$C$10)^2)))</f>
        <v/>
      </c>
      <c r="S3025" s="14">
        <f>SUM(M3025:R3025)</f>
        <v/>
      </c>
      <c r="AA3025">
        <f>RAND()</f>
        <v/>
      </c>
      <c r="AB3025">
        <f>RAND()</f>
        <v/>
      </c>
      <c r="AC3025">
        <f>RAND()</f>
        <v/>
      </c>
      <c r="AD3025">
        <f>RAND()</f>
        <v/>
      </c>
      <c r="AE3025">
        <f>RAND()</f>
        <v/>
      </c>
      <c r="AF3025">
        <f>RAND()</f>
        <v/>
      </c>
    </row>
    <row r="3026">
      <c r="M3026" s="14">
        <f>_xlfn.BETA.INV($AA3026,1+4*($D$5-$C$5)/($E$5-$C$5),1+4*($E$5-$D$5)/($E$5-$C$5),$C$5,$E$5)</f>
        <v/>
      </c>
      <c r="N3026" s="14">
        <f>IF($AB3026&lt;($D$6-$C$6)/($E$6-$C$6),$C$6+SQRT($AB3026*($E$6-$C$6)*($D$6-$C$6)),$E$6-SQRT((1-$AB3026)*($E$6-$C$6)*($E$6-$D$6)))</f>
        <v/>
      </c>
      <c r="O3026" s="14">
        <f>_xlfn.NORM.INV($AC3026,$C$7,$D$7)</f>
        <v/>
      </c>
      <c r="P3026" s="14">
        <f>$C$8+($D$8-$C$8)*$AD3026</f>
        <v/>
      </c>
      <c r="Q3026" s="14">
        <f>$C$9</f>
        <v/>
      </c>
      <c r="R3026" s="14">
        <f>_xlfn.LOGNORM.INV($AF3026,LN($C$10)-0.5*LN(1+($D$10/$C$10)^2),SQRT(LN(1+($D$10/$C$10)^2)))</f>
        <v/>
      </c>
      <c r="S3026" s="14">
        <f>SUM(M3026:R3026)</f>
        <v/>
      </c>
      <c r="AA3026">
        <f>RAND()</f>
        <v/>
      </c>
      <c r="AB3026">
        <f>RAND()</f>
        <v/>
      </c>
      <c r="AC3026">
        <f>RAND()</f>
        <v/>
      </c>
      <c r="AD3026">
        <f>RAND()</f>
        <v/>
      </c>
      <c r="AE3026">
        <f>RAND()</f>
        <v/>
      </c>
      <c r="AF3026">
        <f>RAND()</f>
        <v/>
      </c>
    </row>
    <row r="3027">
      <c r="M3027" s="14">
        <f>_xlfn.BETA.INV($AA3027,1+4*($D$5-$C$5)/($E$5-$C$5),1+4*($E$5-$D$5)/($E$5-$C$5),$C$5,$E$5)</f>
        <v/>
      </c>
      <c r="N3027" s="14">
        <f>IF($AB3027&lt;($D$6-$C$6)/($E$6-$C$6),$C$6+SQRT($AB3027*($E$6-$C$6)*($D$6-$C$6)),$E$6-SQRT((1-$AB3027)*($E$6-$C$6)*($E$6-$D$6)))</f>
        <v/>
      </c>
      <c r="O3027" s="14">
        <f>_xlfn.NORM.INV($AC3027,$C$7,$D$7)</f>
        <v/>
      </c>
      <c r="P3027" s="14">
        <f>$C$8+($D$8-$C$8)*$AD3027</f>
        <v/>
      </c>
      <c r="Q3027" s="14">
        <f>$C$9</f>
        <v/>
      </c>
      <c r="R3027" s="14">
        <f>_xlfn.LOGNORM.INV($AF3027,LN($C$10)-0.5*LN(1+($D$10/$C$10)^2),SQRT(LN(1+($D$10/$C$10)^2)))</f>
        <v/>
      </c>
      <c r="S3027" s="14">
        <f>SUM(M3027:R3027)</f>
        <v/>
      </c>
      <c r="AA3027">
        <f>RAND()</f>
        <v/>
      </c>
      <c r="AB3027">
        <f>RAND()</f>
        <v/>
      </c>
      <c r="AC3027">
        <f>RAND()</f>
        <v/>
      </c>
      <c r="AD3027">
        <f>RAND()</f>
        <v/>
      </c>
      <c r="AE3027">
        <f>RAND()</f>
        <v/>
      </c>
      <c r="AF3027">
        <f>RAND()</f>
        <v/>
      </c>
    </row>
    <row r="3028">
      <c r="M3028" s="14">
        <f>_xlfn.BETA.INV($AA3028,1+4*($D$5-$C$5)/($E$5-$C$5),1+4*($E$5-$D$5)/($E$5-$C$5),$C$5,$E$5)</f>
        <v/>
      </c>
      <c r="N3028" s="14">
        <f>IF($AB3028&lt;($D$6-$C$6)/($E$6-$C$6),$C$6+SQRT($AB3028*($E$6-$C$6)*($D$6-$C$6)),$E$6-SQRT((1-$AB3028)*($E$6-$C$6)*($E$6-$D$6)))</f>
        <v/>
      </c>
      <c r="O3028" s="14">
        <f>_xlfn.NORM.INV($AC3028,$C$7,$D$7)</f>
        <v/>
      </c>
      <c r="P3028" s="14">
        <f>$C$8+($D$8-$C$8)*$AD3028</f>
        <v/>
      </c>
      <c r="Q3028" s="14">
        <f>$C$9</f>
        <v/>
      </c>
      <c r="R3028" s="14">
        <f>_xlfn.LOGNORM.INV($AF3028,LN($C$10)-0.5*LN(1+($D$10/$C$10)^2),SQRT(LN(1+($D$10/$C$10)^2)))</f>
        <v/>
      </c>
      <c r="S3028" s="14">
        <f>SUM(M3028:R3028)</f>
        <v/>
      </c>
      <c r="AA3028">
        <f>RAND()</f>
        <v/>
      </c>
      <c r="AB3028">
        <f>RAND()</f>
        <v/>
      </c>
      <c r="AC3028">
        <f>RAND()</f>
        <v/>
      </c>
      <c r="AD3028">
        <f>RAND()</f>
        <v/>
      </c>
      <c r="AE3028">
        <f>RAND()</f>
        <v/>
      </c>
      <c r="AF3028">
        <f>RAND()</f>
        <v/>
      </c>
    </row>
    <row r="3029">
      <c r="M3029" s="14">
        <f>_xlfn.BETA.INV($AA3029,1+4*($D$5-$C$5)/($E$5-$C$5),1+4*($E$5-$D$5)/($E$5-$C$5),$C$5,$E$5)</f>
        <v/>
      </c>
      <c r="N3029" s="14">
        <f>IF($AB3029&lt;($D$6-$C$6)/($E$6-$C$6),$C$6+SQRT($AB3029*($E$6-$C$6)*($D$6-$C$6)),$E$6-SQRT((1-$AB3029)*($E$6-$C$6)*($E$6-$D$6)))</f>
        <v/>
      </c>
      <c r="O3029" s="14">
        <f>_xlfn.NORM.INV($AC3029,$C$7,$D$7)</f>
        <v/>
      </c>
      <c r="P3029" s="14">
        <f>$C$8+($D$8-$C$8)*$AD3029</f>
        <v/>
      </c>
      <c r="Q3029" s="14">
        <f>$C$9</f>
        <v/>
      </c>
      <c r="R3029" s="14">
        <f>_xlfn.LOGNORM.INV($AF3029,LN($C$10)-0.5*LN(1+($D$10/$C$10)^2),SQRT(LN(1+($D$10/$C$10)^2)))</f>
        <v/>
      </c>
      <c r="S3029" s="14">
        <f>SUM(M3029:R3029)</f>
        <v/>
      </c>
      <c r="AA3029">
        <f>RAND()</f>
        <v/>
      </c>
      <c r="AB3029">
        <f>RAND()</f>
        <v/>
      </c>
      <c r="AC3029">
        <f>RAND()</f>
        <v/>
      </c>
      <c r="AD3029">
        <f>RAND()</f>
        <v/>
      </c>
      <c r="AE3029">
        <f>RAND()</f>
        <v/>
      </c>
      <c r="AF3029">
        <f>RAND()</f>
        <v/>
      </c>
    </row>
    <row r="3030">
      <c r="M3030" s="14">
        <f>_xlfn.BETA.INV($AA3030,1+4*($D$5-$C$5)/($E$5-$C$5),1+4*($E$5-$D$5)/($E$5-$C$5),$C$5,$E$5)</f>
        <v/>
      </c>
      <c r="N3030" s="14">
        <f>IF($AB3030&lt;($D$6-$C$6)/($E$6-$C$6),$C$6+SQRT($AB3030*($E$6-$C$6)*($D$6-$C$6)),$E$6-SQRT((1-$AB3030)*($E$6-$C$6)*($E$6-$D$6)))</f>
        <v/>
      </c>
      <c r="O3030" s="14">
        <f>_xlfn.NORM.INV($AC3030,$C$7,$D$7)</f>
        <v/>
      </c>
      <c r="P3030" s="14">
        <f>$C$8+($D$8-$C$8)*$AD3030</f>
        <v/>
      </c>
      <c r="Q3030" s="14">
        <f>$C$9</f>
        <v/>
      </c>
      <c r="R3030" s="14">
        <f>_xlfn.LOGNORM.INV($AF3030,LN($C$10)-0.5*LN(1+($D$10/$C$10)^2),SQRT(LN(1+($D$10/$C$10)^2)))</f>
        <v/>
      </c>
      <c r="S3030" s="14">
        <f>SUM(M3030:R3030)</f>
        <v/>
      </c>
      <c r="AA3030">
        <f>RAND()</f>
        <v/>
      </c>
      <c r="AB3030">
        <f>RAND()</f>
        <v/>
      </c>
      <c r="AC3030">
        <f>RAND()</f>
        <v/>
      </c>
      <c r="AD3030">
        <f>RAND()</f>
        <v/>
      </c>
      <c r="AE3030">
        <f>RAND()</f>
        <v/>
      </c>
      <c r="AF3030">
        <f>RAND()</f>
        <v/>
      </c>
    </row>
    <row r="3031">
      <c r="M3031" s="14">
        <f>_xlfn.BETA.INV($AA3031,1+4*($D$5-$C$5)/($E$5-$C$5),1+4*($E$5-$D$5)/($E$5-$C$5),$C$5,$E$5)</f>
        <v/>
      </c>
      <c r="N3031" s="14">
        <f>IF($AB3031&lt;($D$6-$C$6)/($E$6-$C$6),$C$6+SQRT($AB3031*($E$6-$C$6)*($D$6-$C$6)),$E$6-SQRT((1-$AB3031)*($E$6-$C$6)*($E$6-$D$6)))</f>
        <v/>
      </c>
      <c r="O3031" s="14">
        <f>_xlfn.NORM.INV($AC3031,$C$7,$D$7)</f>
        <v/>
      </c>
      <c r="P3031" s="14">
        <f>$C$8+($D$8-$C$8)*$AD3031</f>
        <v/>
      </c>
      <c r="Q3031" s="14">
        <f>$C$9</f>
        <v/>
      </c>
      <c r="R3031" s="14">
        <f>_xlfn.LOGNORM.INV($AF3031,LN($C$10)-0.5*LN(1+($D$10/$C$10)^2),SQRT(LN(1+($D$10/$C$10)^2)))</f>
        <v/>
      </c>
      <c r="S3031" s="14">
        <f>SUM(M3031:R3031)</f>
        <v/>
      </c>
      <c r="AA3031">
        <f>RAND()</f>
        <v/>
      </c>
      <c r="AB3031">
        <f>RAND()</f>
        <v/>
      </c>
      <c r="AC3031">
        <f>RAND()</f>
        <v/>
      </c>
      <c r="AD3031">
        <f>RAND()</f>
        <v/>
      </c>
      <c r="AE3031">
        <f>RAND()</f>
        <v/>
      </c>
      <c r="AF3031">
        <f>RAND()</f>
        <v/>
      </c>
    </row>
    <row r="3032">
      <c r="M3032" s="14">
        <f>_xlfn.BETA.INV($AA3032,1+4*($D$5-$C$5)/($E$5-$C$5),1+4*($E$5-$D$5)/($E$5-$C$5),$C$5,$E$5)</f>
        <v/>
      </c>
      <c r="N3032" s="14">
        <f>IF($AB3032&lt;($D$6-$C$6)/($E$6-$C$6),$C$6+SQRT($AB3032*($E$6-$C$6)*($D$6-$C$6)),$E$6-SQRT((1-$AB3032)*($E$6-$C$6)*($E$6-$D$6)))</f>
        <v/>
      </c>
      <c r="O3032" s="14">
        <f>_xlfn.NORM.INV($AC3032,$C$7,$D$7)</f>
        <v/>
      </c>
      <c r="P3032" s="14">
        <f>$C$8+($D$8-$C$8)*$AD3032</f>
        <v/>
      </c>
      <c r="Q3032" s="14">
        <f>$C$9</f>
        <v/>
      </c>
      <c r="R3032" s="14">
        <f>_xlfn.LOGNORM.INV($AF3032,LN($C$10)-0.5*LN(1+($D$10/$C$10)^2),SQRT(LN(1+($D$10/$C$10)^2)))</f>
        <v/>
      </c>
      <c r="S3032" s="14">
        <f>SUM(M3032:R3032)</f>
        <v/>
      </c>
      <c r="AA3032">
        <f>RAND()</f>
        <v/>
      </c>
      <c r="AB3032">
        <f>RAND()</f>
        <v/>
      </c>
      <c r="AC3032">
        <f>RAND()</f>
        <v/>
      </c>
      <c r="AD3032">
        <f>RAND()</f>
        <v/>
      </c>
      <c r="AE3032">
        <f>RAND()</f>
        <v/>
      </c>
      <c r="AF3032">
        <f>RAND()</f>
        <v/>
      </c>
    </row>
    <row r="3033">
      <c r="M3033" s="14">
        <f>_xlfn.BETA.INV($AA3033,1+4*($D$5-$C$5)/($E$5-$C$5),1+4*($E$5-$D$5)/($E$5-$C$5),$C$5,$E$5)</f>
        <v/>
      </c>
      <c r="N3033" s="14">
        <f>IF($AB3033&lt;($D$6-$C$6)/($E$6-$C$6),$C$6+SQRT($AB3033*($E$6-$C$6)*($D$6-$C$6)),$E$6-SQRT((1-$AB3033)*($E$6-$C$6)*($E$6-$D$6)))</f>
        <v/>
      </c>
      <c r="O3033" s="14">
        <f>_xlfn.NORM.INV($AC3033,$C$7,$D$7)</f>
        <v/>
      </c>
      <c r="P3033" s="14">
        <f>$C$8+($D$8-$C$8)*$AD3033</f>
        <v/>
      </c>
      <c r="Q3033" s="14">
        <f>$C$9</f>
        <v/>
      </c>
      <c r="R3033" s="14">
        <f>_xlfn.LOGNORM.INV($AF3033,LN($C$10)-0.5*LN(1+($D$10/$C$10)^2),SQRT(LN(1+($D$10/$C$10)^2)))</f>
        <v/>
      </c>
      <c r="S3033" s="14">
        <f>SUM(M3033:R3033)</f>
        <v/>
      </c>
      <c r="AA3033">
        <f>RAND()</f>
        <v/>
      </c>
      <c r="AB3033">
        <f>RAND()</f>
        <v/>
      </c>
      <c r="AC3033">
        <f>RAND()</f>
        <v/>
      </c>
      <c r="AD3033">
        <f>RAND()</f>
        <v/>
      </c>
      <c r="AE3033">
        <f>RAND()</f>
        <v/>
      </c>
      <c r="AF3033">
        <f>RAND()</f>
        <v/>
      </c>
    </row>
    <row r="3034">
      <c r="M3034" s="14">
        <f>_xlfn.BETA.INV($AA3034,1+4*($D$5-$C$5)/($E$5-$C$5),1+4*($E$5-$D$5)/($E$5-$C$5),$C$5,$E$5)</f>
        <v/>
      </c>
      <c r="N3034" s="14">
        <f>IF($AB3034&lt;($D$6-$C$6)/($E$6-$C$6),$C$6+SQRT($AB3034*($E$6-$C$6)*($D$6-$C$6)),$E$6-SQRT((1-$AB3034)*($E$6-$C$6)*($E$6-$D$6)))</f>
        <v/>
      </c>
      <c r="O3034" s="14">
        <f>_xlfn.NORM.INV($AC3034,$C$7,$D$7)</f>
        <v/>
      </c>
      <c r="P3034" s="14">
        <f>$C$8+($D$8-$C$8)*$AD3034</f>
        <v/>
      </c>
      <c r="Q3034" s="14">
        <f>$C$9</f>
        <v/>
      </c>
      <c r="R3034" s="14">
        <f>_xlfn.LOGNORM.INV($AF3034,LN($C$10)-0.5*LN(1+($D$10/$C$10)^2),SQRT(LN(1+($D$10/$C$10)^2)))</f>
        <v/>
      </c>
      <c r="S3034" s="14">
        <f>SUM(M3034:R3034)</f>
        <v/>
      </c>
      <c r="AA3034">
        <f>RAND()</f>
        <v/>
      </c>
      <c r="AB3034">
        <f>RAND()</f>
        <v/>
      </c>
      <c r="AC3034">
        <f>RAND()</f>
        <v/>
      </c>
      <c r="AD3034">
        <f>RAND()</f>
        <v/>
      </c>
      <c r="AE3034">
        <f>RAND()</f>
        <v/>
      </c>
      <c r="AF3034">
        <f>RAND()</f>
        <v/>
      </c>
    </row>
    <row r="3035">
      <c r="M3035" s="14">
        <f>_xlfn.BETA.INV($AA3035,1+4*($D$5-$C$5)/($E$5-$C$5),1+4*($E$5-$D$5)/($E$5-$C$5),$C$5,$E$5)</f>
        <v/>
      </c>
      <c r="N3035" s="14">
        <f>IF($AB3035&lt;($D$6-$C$6)/($E$6-$C$6),$C$6+SQRT($AB3035*($E$6-$C$6)*($D$6-$C$6)),$E$6-SQRT((1-$AB3035)*($E$6-$C$6)*($E$6-$D$6)))</f>
        <v/>
      </c>
      <c r="O3035" s="14">
        <f>_xlfn.NORM.INV($AC3035,$C$7,$D$7)</f>
        <v/>
      </c>
      <c r="P3035" s="14">
        <f>$C$8+($D$8-$C$8)*$AD3035</f>
        <v/>
      </c>
      <c r="Q3035" s="14">
        <f>$C$9</f>
        <v/>
      </c>
      <c r="R3035" s="14">
        <f>_xlfn.LOGNORM.INV($AF3035,LN($C$10)-0.5*LN(1+($D$10/$C$10)^2),SQRT(LN(1+($D$10/$C$10)^2)))</f>
        <v/>
      </c>
      <c r="S3035" s="14">
        <f>SUM(M3035:R3035)</f>
        <v/>
      </c>
      <c r="AA3035">
        <f>RAND()</f>
        <v/>
      </c>
      <c r="AB3035">
        <f>RAND()</f>
        <v/>
      </c>
      <c r="AC3035">
        <f>RAND()</f>
        <v/>
      </c>
      <c r="AD3035">
        <f>RAND()</f>
        <v/>
      </c>
      <c r="AE3035">
        <f>RAND()</f>
        <v/>
      </c>
      <c r="AF3035">
        <f>RAND()</f>
        <v/>
      </c>
    </row>
    <row r="3036">
      <c r="M3036" s="14">
        <f>_xlfn.BETA.INV($AA3036,1+4*($D$5-$C$5)/($E$5-$C$5),1+4*($E$5-$D$5)/($E$5-$C$5),$C$5,$E$5)</f>
        <v/>
      </c>
      <c r="N3036" s="14">
        <f>IF($AB3036&lt;($D$6-$C$6)/($E$6-$C$6),$C$6+SQRT($AB3036*($E$6-$C$6)*($D$6-$C$6)),$E$6-SQRT((1-$AB3036)*($E$6-$C$6)*($E$6-$D$6)))</f>
        <v/>
      </c>
      <c r="O3036" s="14">
        <f>_xlfn.NORM.INV($AC3036,$C$7,$D$7)</f>
        <v/>
      </c>
      <c r="P3036" s="14">
        <f>$C$8+($D$8-$C$8)*$AD3036</f>
        <v/>
      </c>
      <c r="Q3036" s="14">
        <f>$C$9</f>
        <v/>
      </c>
      <c r="R3036" s="14">
        <f>_xlfn.LOGNORM.INV($AF3036,LN($C$10)-0.5*LN(1+($D$10/$C$10)^2),SQRT(LN(1+($D$10/$C$10)^2)))</f>
        <v/>
      </c>
      <c r="S3036" s="14">
        <f>SUM(M3036:R3036)</f>
        <v/>
      </c>
      <c r="AA3036">
        <f>RAND()</f>
        <v/>
      </c>
      <c r="AB3036">
        <f>RAND()</f>
        <v/>
      </c>
      <c r="AC3036">
        <f>RAND()</f>
        <v/>
      </c>
      <c r="AD3036">
        <f>RAND()</f>
        <v/>
      </c>
      <c r="AE3036">
        <f>RAND()</f>
        <v/>
      </c>
      <c r="AF3036">
        <f>RAND()</f>
        <v/>
      </c>
    </row>
    <row r="3037">
      <c r="M3037" s="14">
        <f>_xlfn.BETA.INV($AA3037,1+4*($D$5-$C$5)/($E$5-$C$5),1+4*($E$5-$D$5)/($E$5-$C$5),$C$5,$E$5)</f>
        <v/>
      </c>
      <c r="N3037" s="14">
        <f>IF($AB3037&lt;($D$6-$C$6)/($E$6-$C$6),$C$6+SQRT($AB3037*($E$6-$C$6)*($D$6-$C$6)),$E$6-SQRT((1-$AB3037)*($E$6-$C$6)*($E$6-$D$6)))</f>
        <v/>
      </c>
      <c r="O3037" s="14">
        <f>_xlfn.NORM.INV($AC3037,$C$7,$D$7)</f>
        <v/>
      </c>
      <c r="P3037" s="14">
        <f>$C$8+($D$8-$C$8)*$AD3037</f>
        <v/>
      </c>
      <c r="Q3037" s="14">
        <f>$C$9</f>
        <v/>
      </c>
      <c r="R3037" s="14">
        <f>_xlfn.LOGNORM.INV($AF3037,LN($C$10)-0.5*LN(1+($D$10/$C$10)^2),SQRT(LN(1+($D$10/$C$10)^2)))</f>
        <v/>
      </c>
      <c r="S3037" s="14">
        <f>SUM(M3037:R3037)</f>
        <v/>
      </c>
      <c r="AA3037">
        <f>RAND()</f>
        <v/>
      </c>
      <c r="AB3037">
        <f>RAND()</f>
        <v/>
      </c>
      <c r="AC3037">
        <f>RAND()</f>
        <v/>
      </c>
      <c r="AD3037">
        <f>RAND()</f>
        <v/>
      </c>
      <c r="AE3037">
        <f>RAND()</f>
        <v/>
      </c>
      <c r="AF3037">
        <f>RAND()</f>
        <v/>
      </c>
    </row>
    <row r="3038">
      <c r="M3038" s="14">
        <f>_xlfn.BETA.INV($AA3038,1+4*($D$5-$C$5)/($E$5-$C$5),1+4*($E$5-$D$5)/($E$5-$C$5),$C$5,$E$5)</f>
        <v/>
      </c>
      <c r="N3038" s="14">
        <f>IF($AB3038&lt;($D$6-$C$6)/($E$6-$C$6),$C$6+SQRT($AB3038*($E$6-$C$6)*($D$6-$C$6)),$E$6-SQRT((1-$AB3038)*($E$6-$C$6)*($E$6-$D$6)))</f>
        <v/>
      </c>
      <c r="O3038" s="14">
        <f>_xlfn.NORM.INV($AC3038,$C$7,$D$7)</f>
        <v/>
      </c>
      <c r="P3038" s="14">
        <f>$C$8+($D$8-$C$8)*$AD3038</f>
        <v/>
      </c>
      <c r="Q3038" s="14">
        <f>$C$9</f>
        <v/>
      </c>
      <c r="R3038" s="14">
        <f>_xlfn.LOGNORM.INV($AF3038,LN($C$10)-0.5*LN(1+($D$10/$C$10)^2),SQRT(LN(1+($D$10/$C$10)^2)))</f>
        <v/>
      </c>
      <c r="S3038" s="14">
        <f>SUM(M3038:R3038)</f>
        <v/>
      </c>
      <c r="AA3038">
        <f>RAND()</f>
        <v/>
      </c>
      <c r="AB3038">
        <f>RAND()</f>
        <v/>
      </c>
      <c r="AC3038">
        <f>RAND()</f>
        <v/>
      </c>
      <c r="AD3038">
        <f>RAND()</f>
        <v/>
      </c>
      <c r="AE3038">
        <f>RAND()</f>
        <v/>
      </c>
      <c r="AF3038">
        <f>RAND()</f>
        <v/>
      </c>
    </row>
    <row r="3039">
      <c r="M3039" s="14">
        <f>_xlfn.BETA.INV($AA3039,1+4*($D$5-$C$5)/($E$5-$C$5),1+4*($E$5-$D$5)/($E$5-$C$5),$C$5,$E$5)</f>
        <v/>
      </c>
      <c r="N3039" s="14">
        <f>IF($AB3039&lt;($D$6-$C$6)/($E$6-$C$6),$C$6+SQRT($AB3039*($E$6-$C$6)*($D$6-$C$6)),$E$6-SQRT((1-$AB3039)*($E$6-$C$6)*($E$6-$D$6)))</f>
        <v/>
      </c>
      <c r="O3039" s="14">
        <f>_xlfn.NORM.INV($AC3039,$C$7,$D$7)</f>
        <v/>
      </c>
      <c r="P3039" s="14">
        <f>$C$8+($D$8-$C$8)*$AD3039</f>
        <v/>
      </c>
      <c r="Q3039" s="14">
        <f>$C$9</f>
        <v/>
      </c>
      <c r="R3039" s="14">
        <f>_xlfn.LOGNORM.INV($AF3039,LN($C$10)-0.5*LN(1+($D$10/$C$10)^2),SQRT(LN(1+($D$10/$C$10)^2)))</f>
        <v/>
      </c>
      <c r="S3039" s="14">
        <f>SUM(M3039:R3039)</f>
        <v/>
      </c>
      <c r="AA3039">
        <f>RAND()</f>
        <v/>
      </c>
      <c r="AB3039">
        <f>RAND()</f>
        <v/>
      </c>
      <c r="AC3039">
        <f>RAND()</f>
        <v/>
      </c>
      <c r="AD3039">
        <f>RAND()</f>
        <v/>
      </c>
      <c r="AE3039">
        <f>RAND()</f>
        <v/>
      </c>
      <c r="AF3039">
        <f>RAND()</f>
        <v/>
      </c>
    </row>
    <row r="3040">
      <c r="M3040" s="14">
        <f>_xlfn.BETA.INV($AA3040,1+4*($D$5-$C$5)/($E$5-$C$5),1+4*($E$5-$D$5)/($E$5-$C$5),$C$5,$E$5)</f>
        <v/>
      </c>
      <c r="N3040" s="14">
        <f>IF($AB3040&lt;($D$6-$C$6)/($E$6-$C$6),$C$6+SQRT($AB3040*($E$6-$C$6)*($D$6-$C$6)),$E$6-SQRT((1-$AB3040)*($E$6-$C$6)*($E$6-$D$6)))</f>
        <v/>
      </c>
      <c r="O3040" s="14">
        <f>_xlfn.NORM.INV($AC3040,$C$7,$D$7)</f>
        <v/>
      </c>
      <c r="P3040" s="14">
        <f>$C$8+($D$8-$C$8)*$AD3040</f>
        <v/>
      </c>
      <c r="Q3040" s="14">
        <f>$C$9</f>
        <v/>
      </c>
      <c r="R3040" s="14">
        <f>_xlfn.LOGNORM.INV($AF3040,LN($C$10)-0.5*LN(1+($D$10/$C$10)^2),SQRT(LN(1+($D$10/$C$10)^2)))</f>
        <v/>
      </c>
      <c r="S3040" s="14">
        <f>SUM(M3040:R3040)</f>
        <v/>
      </c>
      <c r="AA3040">
        <f>RAND()</f>
        <v/>
      </c>
      <c r="AB3040">
        <f>RAND()</f>
        <v/>
      </c>
      <c r="AC3040">
        <f>RAND()</f>
        <v/>
      </c>
      <c r="AD3040">
        <f>RAND()</f>
        <v/>
      </c>
      <c r="AE3040">
        <f>RAND()</f>
        <v/>
      </c>
      <c r="AF3040">
        <f>RAND()</f>
        <v/>
      </c>
    </row>
    <row r="3041">
      <c r="M3041" s="14">
        <f>_xlfn.BETA.INV($AA3041,1+4*($D$5-$C$5)/($E$5-$C$5),1+4*($E$5-$D$5)/($E$5-$C$5),$C$5,$E$5)</f>
        <v/>
      </c>
      <c r="N3041" s="14">
        <f>IF($AB3041&lt;($D$6-$C$6)/($E$6-$C$6),$C$6+SQRT($AB3041*($E$6-$C$6)*($D$6-$C$6)),$E$6-SQRT((1-$AB3041)*($E$6-$C$6)*($E$6-$D$6)))</f>
        <v/>
      </c>
      <c r="O3041" s="14">
        <f>_xlfn.NORM.INV($AC3041,$C$7,$D$7)</f>
        <v/>
      </c>
      <c r="P3041" s="14">
        <f>$C$8+($D$8-$C$8)*$AD3041</f>
        <v/>
      </c>
      <c r="Q3041" s="14">
        <f>$C$9</f>
        <v/>
      </c>
      <c r="R3041" s="14">
        <f>_xlfn.LOGNORM.INV($AF3041,LN($C$10)-0.5*LN(1+($D$10/$C$10)^2),SQRT(LN(1+($D$10/$C$10)^2)))</f>
        <v/>
      </c>
      <c r="S3041" s="14">
        <f>SUM(M3041:R3041)</f>
        <v/>
      </c>
      <c r="AA3041">
        <f>RAND()</f>
        <v/>
      </c>
      <c r="AB3041">
        <f>RAND()</f>
        <v/>
      </c>
      <c r="AC3041">
        <f>RAND()</f>
        <v/>
      </c>
      <c r="AD3041">
        <f>RAND()</f>
        <v/>
      </c>
      <c r="AE3041">
        <f>RAND()</f>
        <v/>
      </c>
      <c r="AF3041">
        <f>RAND()</f>
        <v/>
      </c>
    </row>
    <row r="3042">
      <c r="M3042" s="14">
        <f>_xlfn.BETA.INV($AA3042,1+4*($D$5-$C$5)/($E$5-$C$5),1+4*($E$5-$D$5)/($E$5-$C$5),$C$5,$E$5)</f>
        <v/>
      </c>
      <c r="N3042" s="14">
        <f>IF($AB3042&lt;($D$6-$C$6)/($E$6-$C$6),$C$6+SQRT($AB3042*($E$6-$C$6)*($D$6-$C$6)),$E$6-SQRT((1-$AB3042)*($E$6-$C$6)*($E$6-$D$6)))</f>
        <v/>
      </c>
      <c r="O3042" s="14">
        <f>_xlfn.NORM.INV($AC3042,$C$7,$D$7)</f>
        <v/>
      </c>
      <c r="P3042" s="14">
        <f>$C$8+($D$8-$C$8)*$AD3042</f>
        <v/>
      </c>
      <c r="Q3042" s="14">
        <f>$C$9</f>
        <v/>
      </c>
      <c r="R3042" s="14">
        <f>_xlfn.LOGNORM.INV($AF3042,LN($C$10)-0.5*LN(1+($D$10/$C$10)^2),SQRT(LN(1+($D$10/$C$10)^2)))</f>
        <v/>
      </c>
      <c r="S3042" s="14">
        <f>SUM(M3042:R3042)</f>
        <v/>
      </c>
      <c r="AA3042">
        <f>RAND()</f>
        <v/>
      </c>
      <c r="AB3042">
        <f>RAND()</f>
        <v/>
      </c>
      <c r="AC3042">
        <f>RAND()</f>
        <v/>
      </c>
      <c r="AD3042">
        <f>RAND()</f>
        <v/>
      </c>
      <c r="AE3042">
        <f>RAND()</f>
        <v/>
      </c>
      <c r="AF3042">
        <f>RAND()</f>
        <v/>
      </c>
    </row>
    <row r="3043">
      <c r="M3043" s="14">
        <f>_xlfn.BETA.INV($AA3043,1+4*($D$5-$C$5)/($E$5-$C$5),1+4*($E$5-$D$5)/($E$5-$C$5),$C$5,$E$5)</f>
        <v/>
      </c>
      <c r="N3043" s="14">
        <f>IF($AB3043&lt;($D$6-$C$6)/($E$6-$C$6),$C$6+SQRT($AB3043*($E$6-$C$6)*($D$6-$C$6)),$E$6-SQRT((1-$AB3043)*($E$6-$C$6)*($E$6-$D$6)))</f>
        <v/>
      </c>
      <c r="O3043" s="14">
        <f>_xlfn.NORM.INV($AC3043,$C$7,$D$7)</f>
        <v/>
      </c>
      <c r="P3043" s="14">
        <f>$C$8+($D$8-$C$8)*$AD3043</f>
        <v/>
      </c>
      <c r="Q3043" s="14">
        <f>$C$9</f>
        <v/>
      </c>
      <c r="R3043" s="14">
        <f>_xlfn.LOGNORM.INV($AF3043,LN($C$10)-0.5*LN(1+($D$10/$C$10)^2),SQRT(LN(1+($D$10/$C$10)^2)))</f>
        <v/>
      </c>
      <c r="S3043" s="14">
        <f>SUM(M3043:R3043)</f>
        <v/>
      </c>
      <c r="AA3043">
        <f>RAND()</f>
        <v/>
      </c>
      <c r="AB3043">
        <f>RAND()</f>
        <v/>
      </c>
      <c r="AC3043">
        <f>RAND()</f>
        <v/>
      </c>
      <c r="AD3043">
        <f>RAND()</f>
        <v/>
      </c>
      <c r="AE3043">
        <f>RAND()</f>
        <v/>
      </c>
      <c r="AF3043">
        <f>RAND()</f>
        <v/>
      </c>
    </row>
    <row r="3044">
      <c r="M3044" s="14">
        <f>_xlfn.BETA.INV($AA3044,1+4*($D$5-$C$5)/($E$5-$C$5),1+4*($E$5-$D$5)/($E$5-$C$5),$C$5,$E$5)</f>
        <v/>
      </c>
      <c r="N3044" s="14">
        <f>IF($AB3044&lt;($D$6-$C$6)/($E$6-$C$6),$C$6+SQRT($AB3044*($E$6-$C$6)*($D$6-$C$6)),$E$6-SQRT((1-$AB3044)*($E$6-$C$6)*($E$6-$D$6)))</f>
        <v/>
      </c>
      <c r="O3044" s="14">
        <f>_xlfn.NORM.INV($AC3044,$C$7,$D$7)</f>
        <v/>
      </c>
      <c r="P3044" s="14">
        <f>$C$8+($D$8-$C$8)*$AD3044</f>
        <v/>
      </c>
      <c r="Q3044" s="14">
        <f>$C$9</f>
        <v/>
      </c>
      <c r="R3044" s="14">
        <f>_xlfn.LOGNORM.INV($AF3044,LN($C$10)-0.5*LN(1+($D$10/$C$10)^2),SQRT(LN(1+($D$10/$C$10)^2)))</f>
        <v/>
      </c>
      <c r="S3044" s="14">
        <f>SUM(M3044:R3044)</f>
        <v/>
      </c>
      <c r="AA3044">
        <f>RAND()</f>
        <v/>
      </c>
      <c r="AB3044">
        <f>RAND()</f>
        <v/>
      </c>
      <c r="AC3044">
        <f>RAND()</f>
        <v/>
      </c>
      <c r="AD3044">
        <f>RAND()</f>
        <v/>
      </c>
      <c r="AE3044">
        <f>RAND()</f>
        <v/>
      </c>
      <c r="AF3044">
        <f>RAND()</f>
        <v/>
      </c>
    </row>
    <row r="3045">
      <c r="M3045" s="14">
        <f>_xlfn.BETA.INV($AA3045,1+4*($D$5-$C$5)/($E$5-$C$5),1+4*($E$5-$D$5)/($E$5-$C$5),$C$5,$E$5)</f>
        <v/>
      </c>
      <c r="N3045" s="14">
        <f>IF($AB3045&lt;($D$6-$C$6)/($E$6-$C$6),$C$6+SQRT($AB3045*($E$6-$C$6)*($D$6-$C$6)),$E$6-SQRT((1-$AB3045)*($E$6-$C$6)*($E$6-$D$6)))</f>
        <v/>
      </c>
      <c r="O3045" s="14">
        <f>_xlfn.NORM.INV($AC3045,$C$7,$D$7)</f>
        <v/>
      </c>
      <c r="P3045" s="14">
        <f>$C$8+($D$8-$C$8)*$AD3045</f>
        <v/>
      </c>
      <c r="Q3045" s="14">
        <f>$C$9</f>
        <v/>
      </c>
      <c r="R3045" s="14">
        <f>_xlfn.LOGNORM.INV($AF3045,LN($C$10)-0.5*LN(1+($D$10/$C$10)^2),SQRT(LN(1+($D$10/$C$10)^2)))</f>
        <v/>
      </c>
      <c r="S3045" s="14">
        <f>SUM(M3045:R3045)</f>
        <v/>
      </c>
      <c r="AA3045">
        <f>RAND()</f>
        <v/>
      </c>
      <c r="AB3045">
        <f>RAND()</f>
        <v/>
      </c>
      <c r="AC3045">
        <f>RAND()</f>
        <v/>
      </c>
      <c r="AD3045">
        <f>RAND()</f>
        <v/>
      </c>
      <c r="AE3045">
        <f>RAND()</f>
        <v/>
      </c>
      <c r="AF3045">
        <f>RAND()</f>
        <v/>
      </c>
    </row>
    <row r="3046">
      <c r="M3046" s="14">
        <f>_xlfn.BETA.INV($AA3046,1+4*($D$5-$C$5)/($E$5-$C$5),1+4*($E$5-$D$5)/($E$5-$C$5),$C$5,$E$5)</f>
        <v/>
      </c>
      <c r="N3046" s="14">
        <f>IF($AB3046&lt;($D$6-$C$6)/($E$6-$C$6),$C$6+SQRT($AB3046*($E$6-$C$6)*($D$6-$C$6)),$E$6-SQRT((1-$AB3046)*($E$6-$C$6)*($E$6-$D$6)))</f>
        <v/>
      </c>
      <c r="O3046" s="14">
        <f>_xlfn.NORM.INV($AC3046,$C$7,$D$7)</f>
        <v/>
      </c>
      <c r="P3046" s="14">
        <f>$C$8+($D$8-$C$8)*$AD3046</f>
        <v/>
      </c>
      <c r="Q3046" s="14">
        <f>$C$9</f>
        <v/>
      </c>
      <c r="R3046" s="14">
        <f>_xlfn.LOGNORM.INV($AF3046,LN($C$10)-0.5*LN(1+($D$10/$C$10)^2),SQRT(LN(1+($D$10/$C$10)^2)))</f>
        <v/>
      </c>
      <c r="S3046" s="14">
        <f>SUM(M3046:R3046)</f>
        <v/>
      </c>
      <c r="AA3046">
        <f>RAND()</f>
        <v/>
      </c>
      <c r="AB3046">
        <f>RAND()</f>
        <v/>
      </c>
      <c r="AC3046">
        <f>RAND()</f>
        <v/>
      </c>
      <c r="AD3046">
        <f>RAND()</f>
        <v/>
      </c>
      <c r="AE3046">
        <f>RAND()</f>
        <v/>
      </c>
      <c r="AF3046">
        <f>RAND()</f>
        <v/>
      </c>
    </row>
    <row r="3047">
      <c r="M3047" s="14">
        <f>_xlfn.BETA.INV($AA3047,1+4*($D$5-$C$5)/($E$5-$C$5),1+4*($E$5-$D$5)/($E$5-$C$5),$C$5,$E$5)</f>
        <v/>
      </c>
      <c r="N3047" s="14">
        <f>IF($AB3047&lt;($D$6-$C$6)/($E$6-$C$6),$C$6+SQRT($AB3047*($E$6-$C$6)*($D$6-$C$6)),$E$6-SQRT((1-$AB3047)*($E$6-$C$6)*($E$6-$D$6)))</f>
        <v/>
      </c>
      <c r="O3047" s="14">
        <f>_xlfn.NORM.INV($AC3047,$C$7,$D$7)</f>
        <v/>
      </c>
      <c r="P3047" s="14">
        <f>$C$8+($D$8-$C$8)*$AD3047</f>
        <v/>
      </c>
      <c r="Q3047" s="14">
        <f>$C$9</f>
        <v/>
      </c>
      <c r="R3047" s="14">
        <f>_xlfn.LOGNORM.INV($AF3047,LN($C$10)-0.5*LN(1+($D$10/$C$10)^2),SQRT(LN(1+($D$10/$C$10)^2)))</f>
        <v/>
      </c>
      <c r="S3047" s="14">
        <f>SUM(M3047:R3047)</f>
        <v/>
      </c>
      <c r="AA3047">
        <f>RAND()</f>
        <v/>
      </c>
      <c r="AB3047">
        <f>RAND()</f>
        <v/>
      </c>
      <c r="AC3047">
        <f>RAND()</f>
        <v/>
      </c>
      <c r="AD3047">
        <f>RAND()</f>
        <v/>
      </c>
      <c r="AE3047">
        <f>RAND()</f>
        <v/>
      </c>
      <c r="AF3047">
        <f>RAND()</f>
        <v/>
      </c>
    </row>
    <row r="3048">
      <c r="M3048" s="14">
        <f>_xlfn.BETA.INV($AA3048,1+4*($D$5-$C$5)/($E$5-$C$5),1+4*($E$5-$D$5)/($E$5-$C$5),$C$5,$E$5)</f>
        <v/>
      </c>
      <c r="N3048" s="14">
        <f>IF($AB3048&lt;($D$6-$C$6)/($E$6-$C$6),$C$6+SQRT($AB3048*($E$6-$C$6)*($D$6-$C$6)),$E$6-SQRT((1-$AB3048)*($E$6-$C$6)*($E$6-$D$6)))</f>
        <v/>
      </c>
      <c r="O3048" s="14">
        <f>_xlfn.NORM.INV($AC3048,$C$7,$D$7)</f>
        <v/>
      </c>
      <c r="P3048" s="14">
        <f>$C$8+($D$8-$C$8)*$AD3048</f>
        <v/>
      </c>
      <c r="Q3048" s="14">
        <f>$C$9</f>
        <v/>
      </c>
      <c r="R3048" s="14">
        <f>_xlfn.LOGNORM.INV($AF3048,LN($C$10)-0.5*LN(1+($D$10/$C$10)^2),SQRT(LN(1+($D$10/$C$10)^2)))</f>
        <v/>
      </c>
      <c r="S3048" s="14">
        <f>SUM(M3048:R3048)</f>
        <v/>
      </c>
      <c r="AA3048">
        <f>RAND()</f>
        <v/>
      </c>
      <c r="AB3048">
        <f>RAND()</f>
        <v/>
      </c>
      <c r="AC3048">
        <f>RAND()</f>
        <v/>
      </c>
      <c r="AD3048">
        <f>RAND()</f>
        <v/>
      </c>
      <c r="AE3048">
        <f>RAND()</f>
        <v/>
      </c>
      <c r="AF3048">
        <f>RAND()</f>
        <v/>
      </c>
    </row>
    <row r="3049">
      <c r="M3049" s="14">
        <f>_xlfn.BETA.INV($AA3049,1+4*($D$5-$C$5)/($E$5-$C$5),1+4*($E$5-$D$5)/($E$5-$C$5),$C$5,$E$5)</f>
        <v/>
      </c>
      <c r="N3049" s="14">
        <f>IF($AB3049&lt;($D$6-$C$6)/($E$6-$C$6),$C$6+SQRT($AB3049*($E$6-$C$6)*($D$6-$C$6)),$E$6-SQRT((1-$AB3049)*($E$6-$C$6)*($E$6-$D$6)))</f>
        <v/>
      </c>
      <c r="O3049" s="14">
        <f>_xlfn.NORM.INV($AC3049,$C$7,$D$7)</f>
        <v/>
      </c>
      <c r="P3049" s="14">
        <f>$C$8+($D$8-$C$8)*$AD3049</f>
        <v/>
      </c>
      <c r="Q3049" s="14">
        <f>$C$9</f>
        <v/>
      </c>
      <c r="R3049" s="14">
        <f>_xlfn.LOGNORM.INV($AF3049,LN($C$10)-0.5*LN(1+($D$10/$C$10)^2),SQRT(LN(1+($D$10/$C$10)^2)))</f>
        <v/>
      </c>
      <c r="S3049" s="14">
        <f>SUM(M3049:R3049)</f>
        <v/>
      </c>
      <c r="AA3049">
        <f>RAND()</f>
        <v/>
      </c>
      <c r="AB3049">
        <f>RAND()</f>
        <v/>
      </c>
      <c r="AC3049">
        <f>RAND()</f>
        <v/>
      </c>
      <c r="AD3049">
        <f>RAND()</f>
        <v/>
      </c>
      <c r="AE3049">
        <f>RAND()</f>
        <v/>
      </c>
      <c r="AF3049">
        <f>RAND()</f>
        <v/>
      </c>
    </row>
    <row r="3050">
      <c r="M3050" s="14">
        <f>_xlfn.BETA.INV($AA3050,1+4*($D$5-$C$5)/($E$5-$C$5),1+4*($E$5-$D$5)/($E$5-$C$5),$C$5,$E$5)</f>
        <v/>
      </c>
      <c r="N3050" s="14">
        <f>IF($AB3050&lt;($D$6-$C$6)/($E$6-$C$6),$C$6+SQRT($AB3050*($E$6-$C$6)*($D$6-$C$6)),$E$6-SQRT((1-$AB3050)*($E$6-$C$6)*($E$6-$D$6)))</f>
        <v/>
      </c>
      <c r="O3050" s="14">
        <f>_xlfn.NORM.INV($AC3050,$C$7,$D$7)</f>
        <v/>
      </c>
      <c r="P3050" s="14">
        <f>$C$8+($D$8-$C$8)*$AD3050</f>
        <v/>
      </c>
      <c r="Q3050" s="14">
        <f>$C$9</f>
        <v/>
      </c>
      <c r="R3050" s="14">
        <f>_xlfn.LOGNORM.INV($AF3050,LN($C$10)-0.5*LN(1+($D$10/$C$10)^2),SQRT(LN(1+($D$10/$C$10)^2)))</f>
        <v/>
      </c>
      <c r="S3050" s="14">
        <f>SUM(M3050:R3050)</f>
        <v/>
      </c>
      <c r="AA3050">
        <f>RAND()</f>
        <v/>
      </c>
      <c r="AB3050">
        <f>RAND()</f>
        <v/>
      </c>
      <c r="AC3050">
        <f>RAND()</f>
        <v/>
      </c>
      <c r="AD3050">
        <f>RAND()</f>
        <v/>
      </c>
      <c r="AE3050">
        <f>RAND()</f>
        <v/>
      </c>
      <c r="AF3050">
        <f>RAND()</f>
        <v/>
      </c>
    </row>
    <row r="3051">
      <c r="M3051" s="14">
        <f>_xlfn.BETA.INV($AA3051,1+4*($D$5-$C$5)/($E$5-$C$5),1+4*($E$5-$D$5)/($E$5-$C$5),$C$5,$E$5)</f>
        <v/>
      </c>
      <c r="N3051" s="14">
        <f>IF($AB3051&lt;($D$6-$C$6)/($E$6-$C$6),$C$6+SQRT($AB3051*($E$6-$C$6)*($D$6-$C$6)),$E$6-SQRT((1-$AB3051)*($E$6-$C$6)*($E$6-$D$6)))</f>
        <v/>
      </c>
      <c r="O3051" s="14">
        <f>_xlfn.NORM.INV($AC3051,$C$7,$D$7)</f>
        <v/>
      </c>
      <c r="P3051" s="14">
        <f>$C$8+($D$8-$C$8)*$AD3051</f>
        <v/>
      </c>
      <c r="Q3051" s="14">
        <f>$C$9</f>
        <v/>
      </c>
      <c r="R3051" s="14">
        <f>_xlfn.LOGNORM.INV($AF3051,LN($C$10)-0.5*LN(1+($D$10/$C$10)^2),SQRT(LN(1+($D$10/$C$10)^2)))</f>
        <v/>
      </c>
      <c r="S3051" s="14">
        <f>SUM(M3051:R3051)</f>
        <v/>
      </c>
      <c r="AA3051">
        <f>RAND()</f>
        <v/>
      </c>
      <c r="AB3051">
        <f>RAND()</f>
        <v/>
      </c>
      <c r="AC3051">
        <f>RAND()</f>
        <v/>
      </c>
      <c r="AD3051">
        <f>RAND()</f>
        <v/>
      </c>
      <c r="AE3051">
        <f>RAND()</f>
        <v/>
      </c>
      <c r="AF3051">
        <f>RAND()</f>
        <v/>
      </c>
    </row>
    <row r="3052">
      <c r="M3052" s="14">
        <f>_xlfn.BETA.INV($AA3052,1+4*($D$5-$C$5)/($E$5-$C$5),1+4*($E$5-$D$5)/($E$5-$C$5),$C$5,$E$5)</f>
        <v/>
      </c>
      <c r="N3052" s="14">
        <f>IF($AB3052&lt;($D$6-$C$6)/($E$6-$C$6),$C$6+SQRT($AB3052*($E$6-$C$6)*($D$6-$C$6)),$E$6-SQRT((1-$AB3052)*($E$6-$C$6)*($E$6-$D$6)))</f>
        <v/>
      </c>
      <c r="O3052" s="14">
        <f>_xlfn.NORM.INV($AC3052,$C$7,$D$7)</f>
        <v/>
      </c>
      <c r="P3052" s="14">
        <f>$C$8+($D$8-$C$8)*$AD3052</f>
        <v/>
      </c>
      <c r="Q3052" s="14">
        <f>$C$9</f>
        <v/>
      </c>
      <c r="R3052" s="14">
        <f>_xlfn.LOGNORM.INV($AF3052,LN($C$10)-0.5*LN(1+($D$10/$C$10)^2),SQRT(LN(1+($D$10/$C$10)^2)))</f>
        <v/>
      </c>
      <c r="S3052" s="14">
        <f>SUM(M3052:R3052)</f>
        <v/>
      </c>
      <c r="AA3052">
        <f>RAND()</f>
        <v/>
      </c>
      <c r="AB3052">
        <f>RAND()</f>
        <v/>
      </c>
      <c r="AC3052">
        <f>RAND()</f>
        <v/>
      </c>
      <c r="AD3052">
        <f>RAND()</f>
        <v/>
      </c>
      <c r="AE3052">
        <f>RAND()</f>
        <v/>
      </c>
      <c r="AF3052">
        <f>RAND()</f>
        <v/>
      </c>
    </row>
    <row r="3053">
      <c r="M3053" s="14">
        <f>_xlfn.BETA.INV($AA3053,1+4*($D$5-$C$5)/($E$5-$C$5),1+4*($E$5-$D$5)/($E$5-$C$5),$C$5,$E$5)</f>
        <v/>
      </c>
      <c r="N3053" s="14">
        <f>IF($AB3053&lt;($D$6-$C$6)/($E$6-$C$6),$C$6+SQRT($AB3053*($E$6-$C$6)*($D$6-$C$6)),$E$6-SQRT((1-$AB3053)*($E$6-$C$6)*($E$6-$D$6)))</f>
        <v/>
      </c>
      <c r="O3053" s="14">
        <f>_xlfn.NORM.INV($AC3053,$C$7,$D$7)</f>
        <v/>
      </c>
      <c r="P3053" s="14">
        <f>$C$8+($D$8-$C$8)*$AD3053</f>
        <v/>
      </c>
      <c r="Q3053" s="14">
        <f>$C$9</f>
        <v/>
      </c>
      <c r="R3053" s="14">
        <f>_xlfn.LOGNORM.INV($AF3053,LN($C$10)-0.5*LN(1+($D$10/$C$10)^2),SQRT(LN(1+($D$10/$C$10)^2)))</f>
        <v/>
      </c>
      <c r="S3053" s="14">
        <f>SUM(M3053:R3053)</f>
        <v/>
      </c>
      <c r="AA3053">
        <f>RAND()</f>
        <v/>
      </c>
      <c r="AB3053">
        <f>RAND()</f>
        <v/>
      </c>
      <c r="AC3053">
        <f>RAND()</f>
        <v/>
      </c>
      <c r="AD3053">
        <f>RAND()</f>
        <v/>
      </c>
      <c r="AE3053">
        <f>RAND()</f>
        <v/>
      </c>
      <c r="AF3053">
        <f>RAND()</f>
        <v/>
      </c>
    </row>
    <row r="3054">
      <c r="M3054" s="14">
        <f>_xlfn.BETA.INV($AA3054,1+4*($D$5-$C$5)/($E$5-$C$5),1+4*($E$5-$D$5)/($E$5-$C$5),$C$5,$E$5)</f>
        <v/>
      </c>
      <c r="N3054" s="14">
        <f>IF($AB3054&lt;($D$6-$C$6)/($E$6-$C$6),$C$6+SQRT($AB3054*($E$6-$C$6)*($D$6-$C$6)),$E$6-SQRT((1-$AB3054)*($E$6-$C$6)*($E$6-$D$6)))</f>
        <v/>
      </c>
      <c r="O3054" s="14">
        <f>_xlfn.NORM.INV($AC3054,$C$7,$D$7)</f>
        <v/>
      </c>
      <c r="P3054" s="14">
        <f>$C$8+($D$8-$C$8)*$AD3054</f>
        <v/>
      </c>
      <c r="Q3054" s="14">
        <f>$C$9</f>
        <v/>
      </c>
      <c r="R3054" s="14">
        <f>_xlfn.LOGNORM.INV($AF3054,LN($C$10)-0.5*LN(1+($D$10/$C$10)^2),SQRT(LN(1+($D$10/$C$10)^2)))</f>
        <v/>
      </c>
      <c r="S3054" s="14">
        <f>SUM(M3054:R3054)</f>
        <v/>
      </c>
      <c r="AA3054">
        <f>RAND()</f>
        <v/>
      </c>
      <c r="AB3054">
        <f>RAND()</f>
        <v/>
      </c>
      <c r="AC3054">
        <f>RAND()</f>
        <v/>
      </c>
      <c r="AD3054">
        <f>RAND()</f>
        <v/>
      </c>
      <c r="AE3054">
        <f>RAND()</f>
        <v/>
      </c>
      <c r="AF3054">
        <f>RAND()</f>
        <v/>
      </c>
    </row>
    <row r="3055">
      <c r="M3055" s="14">
        <f>_xlfn.BETA.INV($AA3055,1+4*($D$5-$C$5)/($E$5-$C$5),1+4*($E$5-$D$5)/($E$5-$C$5),$C$5,$E$5)</f>
        <v/>
      </c>
      <c r="N3055" s="14">
        <f>IF($AB3055&lt;($D$6-$C$6)/($E$6-$C$6),$C$6+SQRT($AB3055*($E$6-$C$6)*($D$6-$C$6)),$E$6-SQRT((1-$AB3055)*($E$6-$C$6)*($E$6-$D$6)))</f>
        <v/>
      </c>
      <c r="O3055" s="14">
        <f>_xlfn.NORM.INV($AC3055,$C$7,$D$7)</f>
        <v/>
      </c>
      <c r="P3055" s="14">
        <f>$C$8+($D$8-$C$8)*$AD3055</f>
        <v/>
      </c>
      <c r="Q3055" s="14">
        <f>$C$9</f>
        <v/>
      </c>
      <c r="R3055" s="14">
        <f>_xlfn.LOGNORM.INV($AF3055,LN($C$10)-0.5*LN(1+($D$10/$C$10)^2),SQRT(LN(1+($D$10/$C$10)^2)))</f>
        <v/>
      </c>
      <c r="S3055" s="14">
        <f>SUM(M3055:R3055)</f>
        <v/>
      </c>
      <c r="AA3055">
        <f>RAND()</f>
        <v/>
      </c>
      <c r="AB3055">
        <f>RAND()</f>
        <v/>
      </c>
      <c r="AC3055">
        <f>RAND()</f>
        <v/>
      </c>
      <c r="AD3055">
        <f>RAND()</f>
        <v/>
      </c>
      <c r="AE3055">
        <f>RAND()</f>
        <v/>
      </c>
      <c r="AF3055">
        <f>RAND()</f>
        <v/>
      </c>
    </row>
    <row r="3056">
      <c r="M3056" s="14">
        <f>_xlfn.BETA.INV($AA3056,1+4*($D$5-$C$5)/($E$5-$C$5),1+4*($E$5-$D$5)/($E$5-$C$5),$C$5,$E$5)</f>
        <v/>
      </c>
      <c r="N3056" s="14">
        <f>IF($AB3056&lt;($D$6-$C$6)/($E$6-$C$6),$C$6+SQRT($AB3056*($E$6-$C$6)*($D$6-$C$6)),$E$6-SQRT((1-$AB3056)*($E$6-$C$6)*($E$6-$D$6)))</f>
        <v/>
      </c>
      <c r="O3056" s="14">
        <f>_xlfn.NORM.INV($AC3056,$C$7,$D$7)</f>
        <v/>
      </c>
      <c r="P3056" s="14">
        <f>$C$8+($D$8-$C$8)*$AD3056</f>
        <v/>
      </c>
      <c r="Q3056" s="14">
        <f>$C$9</f>
        <v/>
      </c>
      <c r="R3056" s="14">
        <f>_xlfn.LOGNORM.INV($AF3056,LN($C$10)-0.5*LN(1+($D$10/$C$10)^2),SQRT(LN(1+($D$10/$C$10)^2)))</f>
        <v/>
      </c>
      <c r="S3056" s="14">
        <f>SUM(M3056:R3056)</f>
        <v/>
      </c>
      <c r="AA3056">
        <f>RAND()</f>
        <v/>
      </c>
      <c r="AB3056">
        <f>RAND()</f>
        <v/>
      </c>
      <c r="AC3056">
        <f>RAND()</f>
        <v/>
      </c>
      <c r="AD3056">
        <f>RAND()</f>
        <v/>
      </c>
      <c r="AE3056">
        <f>RAND()</f>
        <v/>
      </c>
      <c r="AF3056">
        <f>RAND()</f>
        <v/>
      </c>
    </row>
    <row r="3057">
      <c r="M3057" s="14">
        <f>_xlfn.BETA.INV($AA3057,1+4*($D$5-$C$5)/($E$5-$C$5),1+4*($E$5-$D$5)/($E$5-$C$5),$C$5,$E$5)</f>
        <v/>
      </c>
      <c r="N3057" s="14">
        <f>IF($AB3057&lt;($D$6-$C$6)/($E$6-$C$6),$C$6+SQRT($AB3057*($E$6-$C$6)*($D$6-$C$6)),$E$6-SQRT((1-$AB3057)*($E$6-$C$6)*($E$6-$D$6)))</f>
        <v/>
      </c>
      <c r="O3057" s="14">
        <f>_xlfn.NORM.INV($AC3057,$C$7,$D$7)</f>
        <v/>
      </c>
      <c r="P3057" s="14">
        <f>$C$8+($D$8-$C$8)*$AD3057</f>
        <v/>
      </c>
      <c r="Q3057" s="14">
        <f>$C$9</f>
        <v/>
      </c>
      <c r="R3057" s="14">
        <f>_xlfn.LOGNORM.INV($AF3057,LN($C$10)-0.5*LN(1+($D$10/$C$10)^2),SQRT(LN(1+($D$10/$C$10)^2)))</f>
        <v/>
      </c>
      <c r="S3057" s="14">
        <f>SUM(M3057:R3057)</f>
        <v/>
      </c>
      <c r="AA3057">
        <f>RAND()</f>
        <v/>
      </c>
      <c r="AB3057">
        <f>RAND()</f>
        <v/>
      </c>
      <c r="AC3057">
        <f>RAND()</f>
        <v/>
      </c>
      <c r="AD3057">
        <f>RAND()</f>
        <v/>
      </c>
      <c r="AE3057">
        <f>RAND()</f>
        <v/>
      </c>
      <c r="AF3057">
        <f>RAND()</f>
        <v/>
      </c>
    </row>
    <row r="3058">
      <c r="M3058" s="14">
        <f>_xlfn.BETA.INV($AA3058,1+4*($D$5-$C$5)/($E$5-$C$5),1+4*($E$5-$D$5)/($E$5-$C$5),$C$5,$E$5)</f>
        <v/>
      </c>
      <c r="N3058" s="14">
        <f>IF($AB3058&lt;($D$6-$C$6)/($E$6-$C$6),$C$6+SQRT($AB3058*($E$6-$C$6)*($D$6-$C$6)),$E$6-SQRT((1-$AB3058)*($E$6-$C$6)*($E$6-$D$6)))</f>
        <v/>
      </c>
      <c r="O3058" s="14">
        <f>_xlfn.NORM.INV($AC3058,$C$7,$D$7)</f>
        <v/>
      </c>
      <c r="P3058" s="14">
        <f>$C$8+($D$8-$C$8)*$AD3058</f>
        <v/>
      </c>
      <c r="Q3058" s="14">
        <f>$C$9</f>
        <v/>
      </c>
      <c r="R3058" s="14">
        <f>_xlfn.LOGNORM.INV($AF3058,LN($C$10)-0.5*LN(1+($D$10/$C$10)^2),SQRT(LN(1+($D$10/$C$10)^2)))</f>
        <v/>
      </c>
      <c r="S3058" s="14">
        <f>SUM(M3058:R3058)</f>
        <v/>
      </c>
      <c r="AA3058">
        <f>RAND()</f>
        <v/>
      </c>
      <c r="AB3058">
        <f>RAND()</f>
        <v/>
      </c>
      <c r="AC3058">
        <f>RAND()</f>
        <v/>
      </c>
      <c r="AD3058">
        <f>RAND()</f>
        <v/>
      </c>
      <c r="AE3058">
        <f>RAND()</f>
        <v/>
      </c>
      <c r="AF3058">
        <f>RAND()</f>
        <v/>
      </c>
    </row>
    <row r="3059">
      <c r="M3059" s="14">
        <f>_xlfn.BETA.INV($AA3059,1+4*($D$5-$C$5)/($E$5-$C$5),1+4*($E$5-$D$5)/($E$5-$C$5),$C$5,$E$5)</f>
        <v/>
      </c>
      <c r="N3059" s="14">
        <f>IF($AB3059&lt;($D$6-$C$6)/($E$6-$C$6),$C$6+SQRT($AB3059*($E$6-$C$6)*($D$6-$C$6)),$E$6-SQRT((1-$AB3059)*($E$6-$C$6)*($E$6-$D$6)))</f>
        <v/>
      </c>
      <c r="O3059" s="14">
        <f>_xlfn.NORM.INV($AC3059,$C$7,$D$7)</f>
        <v/>
      </c>
      <c r="P3059" s="14">
        <f>$C$8+($D$8-$C$8)*$AD3059</f>
        <v/>
      </c>
      <c r="Q3059" s="14">
        <f>$C$9</f>
        <v/>
      </c>
      <c r="R3059" s="14">
        <f>_xlfn.LOGNORM.INV($AF3059,LN($C$10)-0.5*LN(1+($D$10/$C$10)^2),SQRT(LN(1+($D$10/$C$10)^2)))</f>
        <v/>
      </c>
      <c r="S3059" s="14">
        <f>SUM(M3059:R3059)</f>
        <v/>
      </c>
      <c r="AA3059">
        <f>RAND()</f>
        <v/>
      </c>
      <c r="AB3059">
        <f>RAND()</f>
        <v/>
      </c>
      <c r="AC3059">
        <f>RAND()</f>
        <v/>
      </c>
      <c r="AD3059">
        <f>RAND()</f>
        <v/>
      </c>
      <c r="AE3059">
        <f>RAND()</f>
        <v/>
      </c>
      <c r="AF3059">
        <f>RAND()</f>
        <v/>
      </c>
    </row>
    <row r="3060">
      <c r="M3060" s="14">
        <f>_xlfn.BETA.INV($AA3060,1+4*($D$5-$C$5)/($E$5-$C$5),1+4*($E$5-$D$5)/($E$5-$C$5),$C$5,$E$5)</f>
        <v/>
      </c>
      <c r="N3060" s="14">
        <f>IF($AB3060&lt;($D$6-$C$6)/($E$6-$C$6),$C$6+SQRT($AB3060*($E$6-$C$6)*($D$6-$C$6)),$E$6-SQRT((1-$AB3060)*($E$6-$C$6)*($E$6-$D$6)))</f>
        <v/>
      </c>
      <c r="O3060" s="14">
        <f>_xlfn.NORM.INV($AC3060,$C$7,$D$7)</f>
        <v/>
      </c>
      <c r="P3060" s="14">
        <f>$C$8+($D$8-$C$8)*$AD3060</f>
        <v/>
      </c>
      <c r="Q3060" s="14">
        <f>$C$9</f>
        <v/>
      </c>
      <c r="R3060" s="14">
        <f>_xlfn.LOGNORM.INV($AF3060,LN($C$10)-0.5*LN(1+($D$10/$C$10)^2),SQRT(LN(1+($D$10/$C$10)^2)))</f>
        <v/>
      </c>
      <c r="S3060" s="14">
        <f>SUM(M3060:R3060)</f>
        <v/>
      </c>
      <c r="AA3060">
        <f>RAND()</f>
        <v/>
      </c>
      <c r="AB3060">
        <f>RAND()</f>
        <v/>
      </c>
      <c r="AC3060">
        <f>RAND()</f>
        <v/>
      </c>
      <c r="AD3060">
        <f>RAND()</f>
        <v/>
      </c>
      <c r="AE3060">
        <f>RAND()</f>
        <v/>
      </c>
      <c r="AF3060">
        <f>RAND()</f>
        <v/>
      </c>
    </row>
    <row r="3061">
      <c r="M3061" s="14">
        <f>_xlfn.BETA.INV($AA3061,1+4*($D$5-$C$5)/($E$5-$C$5),1+4*($E$5-$D$5)/($E$5-$C$5),$C$5,$E$5)</f>
        <v/>
      </c>
      <c r="N3061" s="14">
        <f>IF($AB3061&lt;($D$6-$C$6)/($E$6-$C$6),$C$6+SQRT($AB3061*($E$6-$C$6)*($D$6-$C$6)),$E$6-SQRT((1-$AB3061)*($E$6-$C$6)*($E$6-$D$6)))</f>
        <v/>
      </c>
      <c r="O3061" s="14">
        <f>_xlfn.NORM.INV($AC3061,$C$7,$D$7)</f>
        <v/>
      </c>
      <c r="P3061" s="14">
        <f>$C$8+($D$8-$C$8)*$AD3061</f>
        <v/>
      </c>
      <c r="Q3061" s="14">
        <f>$C$9</f>
        <v/>
      </c>
      <c r="R3061" s="14">
        <f>_xlfn.LOGNORM.INV($AF3061,LN($C$10)-0.5*LN(1+($D$10/$C$10)^2),SQRT(LN(1+($D$10/$C$10)^2)))</f>
        <v/>
      </c>
      <c r="S3061" s="14">
        <f>SUM(M3061:R3061)</f>
        <v/>
      </c>
      <c r="AA3061">
        <f>RAND()</f>
        <v/>
      </c>
      <c r="AB3061">
        <f>RAND()</f>
        <v/>
      </c>
      <c r="AC3061">
        <f>RAND()</f>
        <v/>
      </c>
      <c r="AD3061">
        <f>RAND()</f>
        <v/>
      </c>
      <c r="AE3061">
        <f>RAND()</f>
        <v/>
      </c>
      <c r="AF3061">
        <f>RAND()</f>
        <v/>
      </c>
    </row>
    <row r="3062">
      <c r="M3062" s="14">
        <f>_xlfn.BETA.INV($AA3062,1+4*($D$5-$C$5)/($E$5-$C$5),1+4*($E$5-$D$5)/($E$5-$C$5),$C$5,$E$5)</f>
        <v/>
      </c>
      <c r="N3062" s="14">
        <f>IF($AB3062&lt;($D$6-$C$6)/($E$6-$C$6),$C$6+SQRT($AB3062*($E$6-$C$6)*($D$6-$C$6)),$E$6-SQRT((1-$AB3062)*($E$6-$C$6)*($E$6-$D$6)))</f>
        <v/>
      </c>
      <c r="O3062" s="14">
        <f>_xlfn.NORM.INV($AC3062,$C$7,$D$7)</f>
        <v/>
      </c>
      <c r="P3062" s="14">
        <f>$C$8+($D$8-$C$8)*$AD3062</f>
        <v/>
      </c>
      <c r="Q3062" s="14">
        <f>$C$9</f>
        <v/>
      </c>
      <c r="R3062" s="14">
        <f>_xlfn.LOGNORM.INV($AF3062,LN($C$10)-0.5*LN(1+($D$10/$C$10)^2),SQRT(LN(1+($D$10/$C$10)^2)))</f>
        <v/>
      </c>
      <c r="S3062" s="14">
        <f>SUM(M3062:R3062)</f>
        <v/>
      </c>
      <c r="AA3062">
        <f>RAND()</f>
        <v/>
      </c>
      <c r="AB3062">
        <f>RAND()</f>
        <v/>
      </c>
      <c r="AC3062">
        <f>RAND()</f>
        <v/>
      </c>
      <c r="AD3062">
        <f>RAND()</f>
        <v/>
      </c>
      <c r="AE3062">
        <f>RAND()</f>
        <v/>
      </c>
      <c r="AF3062">
        <f>RAND()</f>
        <v/>
      </c>
    </row>
    <row r="3063">
      <c r="M3063" s="14">
        <f>_xlfn.BETA.INV($AA3063,1+4*($D$5-$C$5)/($E$5-$C$5),1+4*($E$5-$D$5)/($E$5-$C$5),$C$5,$E$5)</f>
        <v/>
      </c>
      <c r="N3063" s="14">
        <f>IF($AB3063&lt;($D$6-$C$6)/($E$6-$C$6),$C$6+SQRT($AB3063*($E$6-$C$6)*($D$6-$C$6)),$E$6-SQRT((1-$AB3063)*($E$6-$C$6)*($E$6-$D$6)))</f>
        <v/>
      </c>
      <c r="O3063" s="14">
        <f>_xlfn.NORM.INV($AC3063,$C$7,$D$7)</f>
        <v/>
      </c>
      <c r="P3063" s="14">
        <f>$C$8+($D$8-$C$8)*$AD3063</f>
        <v/>
      </c>
      <c r="Q3063" s="14">
        <f>$C$9</f>
        <v/>
      </c>
      <c r="R3063" s="14">
        <f>_xlfn.LOGNORM.INV($AF3063,LN($C$10)-0.5*LN(1+($D$10/$C$10)^2),SQRT(LN(1+($D$10/$C$10)^2)))</f>
        <v/>
      </c>
      <c r="S3063" s="14">
        <f>SUM(M3063:R3063)</f>
        <v/>
      </c>
      <c r="AA3063">
        <f>RAND()</f>
        <v/>
      </c>
      <c r="AB3063">
        <f>RAND()</f>
        <v/>
      </c>
      <c r="AC3063">
        <f>RAND()</f>
        <v/>
      </c>
      <c r="AD3063">
        <f>RAND()</f>
        <v/>
      </c>
      <c r="AE3063">
        <f>RAND()</f>
        <v/>
      </c>
      <c r="AF3063">
        <f>RAND()</f>
        <v/>
      </c>
    </row>
    <row r="3064">
      <c r="M3064" s="14">
        <f>_xlfn.BETA.INV($AA3064,1+4*($D$5-$C$5)/($E$5-$C$5),1+4*($E$5-$D$5)/($E$5-$C$5),$C$5,$E$5)</f>
        <v/>
      </c>
      <c r="N3064" s="14">
        <f>IF($AB3064&lt;($D$6-$C$6)/($E$6-$C$6),$C$6+SQRT($AB3064*($E$6-$C$6)*($D$6-$C$6)),$E$6-SQRT((1-$AB3064)*($E$6-$C$6)*($E$6-$D$6)))</f>
        <v/>
      </c>
      <c r="O3064" s="14">
        <f>_xlfn.NORM.INV($AC3064,$C$7,$D$7)</f>
        <v/>
      </c>
      <c r="P3064" s="14">
        <f>$C$8+($D$8-$C$8)*$AD3064</f>
        <v/>
      </c>
      <c r="Q3064" s="14">
        <f>$C$9</f>
        <v/>
      </c>
      <c r="R3064" s="14">
        <f>_xlfn.LOGNORM.INV($AF3064,LN($C$10)-0.5*LN(1+($D$10/$C$10)^2),SQRT(LN(1+($D$10/$C$10)^2)))</f>
        <v/>
      </c>
      <c r="S3064" s="14">
        <f>SUM(M3064:R3064)</f>
        <v/>
      </c>
      <c r="AA3064">
        <f>RAND()</f>
        <v/>
      </c>
      <c r="AB3064">
        <f>RAND()</f>
        <v/>
      </c>
      <c r="AC3064">
        <f>RAND()</f>
        <v/>
      </c>
      <c r="AD3064">
        <f>RAND()</f>
        <v/>
      </c>
      <c r="AE3064">
        <f>RAND()</f>
        <v/>
      </c>
      <c r="AF3064">
        <f>RAND()</f>
        <v/>
      </c>
    </row>
    <row r="3065">
      <c r="M3065" s="14">
        <f>_xlfn.BETA.INV($AA3065,1+4*($D$5-$C$5)/($E$5-$C$5),1+4*($E$5-$D$5)/($E$5-$C$5),$C$5,$E$5)</f>
        <v/>
      </c>
      <c r="N3065" s="14">
        <f>IF($AB3065&lt;($D$6-$C$6)/($E$6-$C$6),$C$6+SQRT($AB3065*($E$6-$C$6)*($D$6-$C$6)),$E$6-SQRT((1-$AB3065)*($E$6-$C$6)*($E$6-$D$6)))</f>
        <v/>
      </c>
      <c r="O3065" s="14">
        <f>_xlfn.NORM.INV($AC3065,$C$7,$D$7)</f>
        <v/>
      </c>
      <c r="P3065" s="14">
        <f>$C$8+($D$8-$C$8)*$AD3065</f>
        <v/>
      </c>
      <c r="Q3065" s="14">
        <f>$C$9</f>
        <v/>
      </c>
      <c r="R3065" s="14">
        <f>_xlfn.LOGNORM.INV($AF3065,LN($C$10)-0.5*LN(1+($D$10/$C$10)^2),SQRT(LN(1+($D$10/$C$10)^2)))</f>
        <v/>
      </c>
      <c r="S3065" s="14">
        <f>SUM(M3065:R3065)</f>
        <v/>
      </c>
      <c r="AA3065">
        <f>RAND()</f>
        <v/>
      </c>
      <c r="AB3065">
        <f>RAND()</f>
        <v/>
      </c>
      <c r="AC3065">
        <f>RAND()</f>
        <v/>
      </c>
      <c r="AD3065">
        <f>RAND()</f>
        <v/>
      </c>
      <c r="AE3065">
        <f>RAND()</f>
        <v/>
      </c>
      <c r="AF3065">
        <f>RAND()</f>
        <v/>
      </c>
    </row>
    <row r="3066">
      <c r="M3066" s="14">
        <f>_xlfn.BETA.INV($AA3066,1+4*($D$5-$C$5)/($E$5-$C$5),1+4*($E$5-$D$5)/($E$5-$C$5),$C$5,$E$5)</f>
        <v/>
      </c>
      <c r="N3066" s="14">
        <f>IF($AB3066&lt;($D$6-$C$6)/($E$6-$C$6),$C$6+SQRT($AB3066*($E$6-$C$6)*($D$6-$C$6)),$E$6-SQRT((1-$AB3066)*($E$6-$C$6)*($E$6-$D$6)))</f>
        <v/>
      </c>
      <c r="O3066" s="14">
        <f>_xlfn.NORM.INV($AC3066,$C$7,$D$7)</f>
        <v/>
      </c>
      <c r="P3066" s="14">
        <f>$C$8+($D$8-$C$8)*$AD3066</f>
        <v/>
      </c>
      <c r="Q3066" s="14">
        <f>$C$9</f>
        <v/>
      </c>
      <c r="R3066" s="14">
        <f>_xlfn.LOGNORM.INV($AF3066,LN($C$10)-0.5*LN(1+($D$10/$C$10)^2),SQRT(LN(1+($D$10/$C$10)^2)))</f>
        <v/>
      </c>
      <c r="S3066" s="14">
        <f>SUM(M3066:R3066)</f>
        <v/>
      </c>
      <c r="AA3066">
        <f>RAND()</f>
        <v/>
      </c>
      <c r="AB3066">
        <f>RAND()</f>
        <v/>
      </c>
      <c r="AC3066">
        <f>RAND()</f>
        <v/>
      </c>
      <c r="AD3066">
        <f>RAND()</f>
        <v/>
      </c>
      <c r="AE3066">
        <f>RAND()</f>
        <v/>
      </c>
      <c r="AF3066">
        <f>RAND()</f>
        <v/>
      </c>
    </row>
    <row r="3067">
      <c r="M3067" s="14">
        <f>_xlfn.BETA.INV($AA3067,1+4*($D$5-$C$5)/($E$5-$C$5),1+4*($E$5-$D$5)/($E$5-$C$5),$C$5,$E$5)</f>
        <v/>
      </c>
      <c r="N3067" s="14">
        <f>IF($AB3067&lt;($D$6-$C$6)/($E$6-$C$6),$C$6+SQRT($AB3067*($E$6-$C$6)*($D$6-$C$6)),$E$6-SQRT((1-$AB3067)*($E$6-$C$6)*($E$6-$D$6)))</f>
        <v/>
      </c>
      <c r="O3067" s="14">
        <f>_xlfn.NORM.INV($AC3067,$C$7,$D$7)</f>
        <v/>
      </c>
      <c r="P3067" s="14">
        <f>$C$8+($D$8-$C$8)*$AD3067</f>
        <v/>
      </c>
      <c r="Q3067" s="14">
        <f>$C$9</f>
        <v/>
      </c>
      <c r="R3067" s="14">
        <f>_xlfn.LOGNORM.INV($AF3067,LN($C$10)-0.5*LN(1+($D$10/$C$10)^2),SQRT(LN(1+($D$10/$C$10)^2)))</f>
        <v/>
      </c>
      <c r="S3067" s="14">
        <f>SUM(M3067:R3067)</f>
        <v/>
      </c>
      <c r="AA3067">
        <f>RAND()</f>
        <v/>
      </c>
      <c r="AB3067">
        <f>RAND()</f>
        <v/>
      </c>
      <c r="AC3067">
        <f>RAND()</f>
        <v/>
      </c>
      <c r="AD3067">
        <f>RAND()</f>
        <v/>
      </c>
      <c r="AE3067">
        <f>RAND()</f>
        <v/>
      </c>
      <c r="AF3067">
        <f>RAND()</f>
        <v/>
      </c>
    </row>
    <row r="3068">
      <c r="M3068" s="14">
        <f>_xlfn.BETA.INV($AA3068,1+4*($D$5-$C$5)/($E$5-$C$5),1+4*($E$5-$D$5)/($E$5-$C$5),$C$5,$E$5)</f>
        <v/>
      </c>
      <c r="N3068" s="14">
        <f>IF($AB3068&lt;($D$6-$C$6)/($E$6-$C$6),$C$6+SQRT($AB3068*($E$6-$C$6)*($D$6-$C$6)),$E$6-SQRT((1-$AB3068)*($E$6-$C$6)*($E$6-$D$6)))</f>
        <v/>
      </c>
      <c r="O3068" s="14">
        <f>_xlfn.NORM.INV($AC3068,$C$7,$D$7)</f>
        <v/>
      </c>
      <c r="P3068" s="14">
        <f>$C$8+($D$8-$C$8)*$AD3068</f>
        <v/>
      </c>
      <c r="Q3068" s="14">
        <f>$C$9</f>
        <v/>
      </c>
      <c r="R3068" s="14">
        <f>_xlfn.LOGNORM.INV($AF3068,LN($C$10)-0.5*LN(1+($D$10/$C$10)^2),SQRT(LN(1+($D$10/$C$10)^2)))</f>
        <v/>
      </c>
      <c r="S3068" s="14">
        <f>SUM(M3068:R3068)</f>
        <v/>
      </c>
      <c r="AA3068">
        <f>RAND()</f>
        <v/>
      </c>
      <c r="AB3068">
        <f>RAND()</f>
        <v/>
      </c>
      <c r="AC3068">
        <f>RAND()</f>
        <v/>
      </c>
      <c r="AD3068">
        <f>RAND()</f>
        <v/>
      </c>
      <c r="AE3068">
        <f>RAND()</f>
        <v/>
      </c>
      <c r="AF3068">
        <f>RAND()</f>
        <v/>
      </c>
    </row>
    <row r="3069">
      <c r="M3069" s="14">
        <f>_xlfn.BETA.INV($AA3069,1+4*($D$5-$C$5)/($E$5-$C$5),1+4*($E$5-$D$5)/($E$5-$C$5),$C$5,$E$5)</f>
        <v/>
      </c>
      <c r="N3069" s="14">
        <f>IF($AB3069&lt;($D$6-$C$6)/($E$6-$C$6),$C$6+SQRT($AB3069*($E$6-$C$6)*($D$6-$C$6)),$E$6-SQRT((1-$AB3069)*($E$6-$C$6)*($E$6-$D$6)))</f>
        <v/>
      </c>
      <c r="O3069" s="14">
        <f>_xlfn.NORM.INV($AC3069,$C$7,$D$7)</f>
        <v/>
      </c>
      <c r="P3069" s="14">
        <f>$C$8+($D$8-$C$8)*$AD3069</f>
        <v/>
      </c>
      <c r="Q3069" s="14">
        <f>$C$9</f>
        <v/>
      </c>
      <c r="R3069" s="14">
        <f>_xlfn.LOGNORM.INV($AF3069,LN($C$10)-0.5*LN(1+($D$10/$C$10)^2),SQRT(LN(1+($D$10/$C$10)^2)))</f>
        <v/>
      </c>
      <c r="S3069" s="14">
        <f>SUM(M3069:R3069)</f>
        <v/>
      </c>
      <c r="AA3069">
        <f>RAND()</f>
        <v/>
      </c>
      <c r="AB3069">
        <f>RAND()</f>
        <v/>
      </c>
      <c r="AC3069">
        <f>RAND()</f>
        <v/>
      </c>
      <c r="AD3069">
        <f>RAND()</f>
        <v/>
      </c>
      <c r="AE3069">
        <f>RAND()</f>
        <v/>
      </c>
      <c r="AF3069">
        <f>RAND()</f>
        <v/>
      </c>
    </row>
    <row r="3070">
      <c r="M3070" s="14">
        <f>_xlfn.BETA.INV($AA3070,1+4*($D$5-$C$5)/($E$5-$C$5),1+4*($E$5-$D$5)/($E$5-$C$5),$C$5,$E$5)</f>
        <v/>
      </c>
      <c r="N3070" s="14">
        <f>IF($AB3070&lt;($D$6-$C$6)/($E$6-$C$6),$C$6+SQRT($AB3070*($E$6-$C$6)*($D$6-$C$6)),$E$6-SQRT((1-$AB3070)*($E$6-$C$6)*($E$6-$D$6)))</f>
        <v/>
      </c>
      <c r="O3070" s="14">
        <f>_xlfn.NORM.INV($AC3070,$C$7,$D$7)</f>
        <v/>
      </c>
      <c r="P3070" s="14">
        <f>$C$8+($D$8-$C$8)*$AD3070</f>
        <v/>
      </c>
      <c r="Q3070" s="14">
        <f>$C$9</f>
        <v/>
      </c>
      <c r="R3070" s="14">
        <f>_xlfn.LOGNORM.INV($AF3070,LN($C$10)-0.5*LN(1+($D$10/$C$10)^2),SQRT(LN(1+($D$10/$C$10)^2)))</f>
        <v/>
      </c>
      <c r="S3070" s="14">
        <f>SUM(M3070:R3070)</f>
        <v/>
      </c>
      <c r="AA3070">
        <f>RAND()</f>
        <v/>
      </c>
      <c r="AB3070">
        <f>RAND()</f>
        <v/>
      </c>
      <c r="AC3070">
        <f>RAND()</f>
        <v/>
      </c>
      <c r="AD3070">
        <f>RAND()</f>
        <v/>
      </c>
      <c r="AE3070">
        <f>RAND()</f>
        <v/>
      </c>
      <c r="AF3070">
        <f>RAND()</f>
        <v/>
      </c>
    </row>
    <row r="3071">
      <c r="M3071" s="14">
        <f>_xlfn.BETA.INV($AA3071,1+4*($D$5-$C$5)/($E$5-$C$5),1+4*($E$5-$D$5)/($E$5-$C$5),$C$5,$E$5)</f>
        <v/>
      </c>
      <c r="N3071" s="14">
        <f>IF($AB3071&lt;($D$6-$C$6)/($E$6-$C$6),$C$6+SQRT($AB3071*($E$6-$C$6)*($D$6-$C$6)),$E$6-SQRT((1-$AB3071)*($E$6-$C$6)*($E$6-$D$6)))</f>
        <v/>
      </c>
      <c r="O3071" s="14">
        <f>_xlfn.NORM.INV($AC3071,$C$7,$D$7)</f>
        <v/>
      </c>
      <c r="P3071" s="14">
        <f>$C$8+($D$8-$C$8)*$AD3071</f>
        <v/>
      </c>
      <c r="Q3071" s="14">
        <f>$C$9</f>
        <v/>
      </c>
      <c r="R3071" s="14">
        <f>_xlfn.LOGNORM.INV($AF3071,LN($C$10)-0.5*LN(1+($D$10/$C$10)^2),SQRT(LN(1+($D$10/$C$10)^2)))</f>
        <v/>
      </c>
      <c r="S3071" s="14">
        <f>SUM(M3071:R3071)</f>
        <v/>
      </c>
      <c r="AA3071">
        <f>RAND()</f>
        <v/>
      </c>
      <c r="AB3071">
        <f>RAND()</f>
        <v/>
      </c>
      <c r="AC3071">
        <f>RAND()</f>
        <v/>
      </c>
      <c r="AD3071">
        <f>RAND()</f>
        <v/>
      </c>
      <c r="AE3071">
        <f>RAND()</f>
        <v/>
      </c>
      <c r="AF3071">
        <f>RAND()</f>
        <v/>
      </c>
    </row>
    <row r="3072">
      <c r="M3072" s="14">
        <f>_xlfn.BETA.INV($AA3072,1+4*($D$5-$C$5)/($E$5-$C$5),1+4*($E$5-$D$5)/($E$5-$C$5),$C$5,$E$5)</f>
        <v/>
      </c>
      <c r="N3072" s="14">
        <f>IF($AB3072&lt;($D$6-$C$6)/($E$6-$C$6),$C$6+SQRT($AB3072*($E$6-$C$6)*($D$6-$C$6)),$E$6-SQRT((1-$AB3072)*($E$6-$C$6)*($E$6-$D$6)))</f>
        <v/>
      </c>
      <c r="O3072" s="14">
        <f>_xlfn.NORM.INV($AC3072,$C$7,$D$7)</f>
        <v/>
      </c>
      <c r="P3072" s="14">
        <f>$C$8+($D$8-$C$8)*$AD3072</f>
        <v/>
      </c>
      <c r="Q3072" s="14">
        <f>$C$9</f>
        <v/>
      </c>
      <c r="R3072" s="14">
        <f>_xlfn.LOGNORM.INV($AF3072,LN($C$10)-0.5*LN(1+($D$10/$C$10)^2),SQRT(LN(1+($D$10/$C$10)^2)))</f>
        <v/>
      </c>
      <c r="S3072" s="14">
        <f>SUM(M3072:R3072)</f>
        <v/>
      </c>
      <c r="AA3072">
        <f>RAND()</f>
        <v/>
      </c>
      <c r="AB3072">
        <f>RAND()</f>
        <v/>
      </c>
      <c r="AC3072">
        <f>RAND()</f>
        <v/>
      </c>
      <c r="AD3072">
        <f>RAND()</f>
        <v/>
      </c>
      <c r="AE3072">
        <f>RAND()</f>
        <v/>
      </c>
      <c r="AF3072">
        <f>RAND()</f>
        <v/>
      </c>
    </row>
    <row r="3073">
      <c r="M3073" s="14">
        <f>_xlfn.BETA.INV($AA3073,1+4*($D$5-$C$5)/($E$5-$C$5),1+4*($E$5-$D$5)/($E$5-$C$5),$C$5,$E$5)</f>
        <v/>
      </c>
      <c r="N3073" s="14">
        <f>IF($AB3073&lt;($D$6-$C$6)/($E$6-$C$6),$C$6+SQRT($AB3073*($E$6-$C$6)*($D$6-$C$6)),$E$6-SQRT((1-$AB3073)*($E$6-$C$6)*($E$6-$D$6)))</f>
        <v/>
      </c>
      <c r="O3073" s="14">
        <f>_xlfn.NORM.INV($AC3073,$C$7,$D$7)</f>
        <v/>
      </c>
      <c r="P3073" s="14">
        <f>$C$8+($D$8-$C$8)*$AD3073</f>
        <v/>
      </c>
      <c r="Q3073" s="14">
        <f>$C$9</f>
        <v/>
      </c>
      <c r="R3073" s="14">
        <f>_xlfn.LOGNORM.INV($AF3073,LN($C$10)-0.5*LN(1+($D$10/$C$10)^2),SQRT(LN(1+($D$10/$C$10)^2)))</f>
        <v/>
      </c>
      <c r="S3073" s="14">
        <f>SUM(M3073:R3073)</f>
        <v/>
      </c>
      <c r="AA3073">
        <f>RAND()</f>
        <v/>
      </c>
      <c r="AB3073">
        <f>RAND()</f>
        <v/>
      </c>
      <c r="AC3073">
        <f>RAND()</f>
        <v/>
      </c>
      <c r="AD3073">
        <f>RAND()</f>
        <v/>
      </c>
      <c r="AE3073">
        <f>RAND()</f>
        <v/>
      </c>
      <c r="AF3073">
        <f>RAND()</f>
        <v/>
      </c>
    </row>
    <row r="3074">
      <c r="M3074" s="14">
        <f>_xlfn.BETA.INV($AA3074,1+4*($D$5-$C$5)/($E$5-$C$5),1+4*($E$5-$D$5)/($E$5-$C$5),$C$5,$E$5)</f>
        <v/>
      </c>
      <c r="N3074" s="14">
        <f>IF($AB3074&lt;($D$6-$C$6)/($E$6-$C$6),$C$6+SQRT($AB3074*($E$6-$C$6)*($D$6-$C$6)),$E$6-SQRT((1-$AB3074)*($E$6-$C$6)*($E$6-$D$6)))</f>
        <v/>
      </c>
      <c r="O3074" s="14">
        <f>_xlfn.NORM.INV($AC3074,$C$7,$D$7)</f>
        <v/>
      </c>
      <c r="P3074" s="14">
        <f>$C$8+($D$8-$C$8)*$AD3074</f>
        <v/>
      </c>
      <c r="Q3074" s="14">
        <f>$C$9</f>
        <v/>
      </c>
      <c r="R3074" s="14">
        <f>_xlfn.LOGNORM.INV($AF3074,LN($C$10)-0.5*LN(1+($D$10/$C$10)^2),SQRT(LN(1+($D$10/$C$10)^2)))</f>
        <v/>
      </c>
      <c r="S3074" s="14">
        <f>SUM(M3074:R3074)</f>
        <v/>
      </c>
      <c r="AA3074">
        <f>RAND()</f>
        <v/>
      </c>
      <c r="AB3074">
        <f>RAND()</f>
        <v/>
      </c>
      <c r="AC3074">
        <f>RAND()</f>
        <v/>
      </c>
      <c r="AD3074">
        <f>RAND()</f>
        <v/>
      </c>
      <c r="AE3074">
        <f>RAND()</f>
        <v/>
      </c>
      <c r="AF3074">
        <f>RAND()</f>
        <v/>
      </c>
    </row>
    <row r="3075">
      <c r="M3075" s="14">
        <f>_xlfn.BETA.INV($AA3075,1+4*($D$5-$C$5)/($E$5-$C$5),1+4*($E$5-$D$5)/($E$5-$C$5),$C$5,$E$5)</f>
        <v/>
      </c>
      <c r="N3075" s="14">
        <f>IF($AB3075&lt;($D$6-$C$6)/($E$6-$C$6),$C$6+SQRT($AB3075*($E$6-$C$6)*($D$6-$C$6)),$E$6-SQRT((1-$AB3075)*($E$6-$C$6)*($E$6-$D$6)))</f>
        <v/>
      </c>
      <c r="O3075" s="14">
        <f>_xlfn.NORM.INV($AC3075,$C$7,$D$7)</f>
        <v/>
      </c>
      <c r="P3075" s="14">
        <f>$C$8+($D$8-$C$8)*$AD3075</f>
        <v/>
      </c>
      <c r="Q3075" s="14">
        <f>$C$9</f>
        <v/>
      </c>
      <c r="R3075" s="14">
        <f>_xlfn.LOGNORM.INV($AF3075,LN($C$10)-0.5*LN(1+($D$10/$C$10)^2),SQRT(LN(1+($D$10/$C$10)^2)))</f>
        <v/>
      </c>
      <c r="S3075" s="14">
        <f>SUM(M3075:R3075)</f>
        <v/>
      </c>
      <c r="AA3075">
        <f>RAND()</f>
        <v/>
      </c>
      <c r="AB3075">
        <f>RAND()</f>
        <v/>
      </c>
      <c r="AC3075">
        <f>RAND()</f>
        <v/>
      </c>
      <c r="AD3075">
        <f>RAND()</f>
        <v/>
      </c>
      <c r="AE3075">
        <f>RAND()</f>
        <v/>
      </c>
      <c r="AF3075">
        <f>RAND()</f>
        <v/>
      </c>
    </row>
    <row r="3076">
      <c r="M3076" s="14">
        <f>_xlfn.BETA.INV($AA3076,1+4*($D$5-$C$5)/($E$5-$C$5),1+4*($E$5-$D$5)/($E$5-$C$5),$C$5,$E$5)</f>
        <v/>
      </c>
      <c r="N3076" s="14">
        <f>IF($AB3076&lt;($D$6-$C$6)/($E$6-$C$6),$C$6+SQRT($AB3076*($E$6-$C$6)*($D$6-$C$6)),$E$6-SQRT((1-$AB3076)*($E$6-$C$6)*($E$6-$D$6)))</f>
        <v/>
      </c>
      <c r="O3076" s="14">
        <f>_xlfn.NORM.INV($AC3076,$C$7,$D$7)</f>
        <v/>
      </c>
      <c r="P3076" s="14">
        <f>$C$8+($D$8-$C$8)*$AD3076</f>
        <v/>
      </c>
      <c r="Q3076" s="14">
        <f>$C$9</f>
        <v/>
      </c>
      <c r="R3076" s="14">
        <f>_xlfn.LOGNORM.INV($AF3076,LN($C$10)-0.5*LN(1+($D$10/$C$10)^2),SQRT(LN(1+($D$10/$C$10)^2)))</f>
        <v/>
      </c>
      <c r="S3076" s="14">
        <f>SUM(M3076:R3076)</f>
        <v/>
      </c>
      <c r="AA3076">
        <f>RAND()</f>
        <v/>
      </c>
      <c r="AB3076">
        <f>RAND()</f>
        <v/>
      </c>
      <c r="AC3076">
        <f>RAND()</f>
        <v/>
      </c>
      <c r="AD3076">
        <f>RAND()</f>
        <v/>
      </c>
      <c r="AE3076">
        <f>RAND()</f>
        <v/>
      </c>
      <c r="AF3076">
        <f>RAND()</f>
        <v/>
      </c>
    </row>
    <row r="3077">
      <c r="M3077" s="14">
        <f>_xlfn.BETA.INV($AA3077,1+4*($D$5-$C$5)/($E$5-$C$5),1+4*($E$5-$D$5)/($E$5-$C$5),$C$5,$E$5)</f>
        <v/>
      </c>
      <c r="N3077" s="14">
        <f>IF($AB3077&lt;($D$6-$C$6)/($E$6-$C$6),$C$6+SQRT($AB3077*($E$6-$C$6)*($D$6-$C$6)),$E$6-SQRT((1-$AB3077)*($E$6-$C$6)*($E$6-$D$6)))</f>
        <v/>
      </c>
      <c r="O3077" s="14">
        <f>_xlfn.NORM.INV($AC3077,$C$7,$D$7)</f>
        <v/>
      </c>
      <c r="P3077" s="14">
        <f>$C$8+($D$8-$C$8)*$AD3077</f>
        <v/>
      </c>
      <c r="Q3077" s="14">
        <f>$C$9</f>
        <v/>
      </c>
      <c r="R3077" s="14">
        <f>_xlfn.LOGNORM.INV($AF3077,LN($C$10)-0.5*LN(1+($D$10/$C$10)^2),SQRT(LN(1+($D$10/$C$10)^2)))</f>
        <v/>
      </c>
      <c r="S3077" s="14">
        <f>SUM(M3077:R3077)</f>
        <v/>
      </c>
      <c r="AA3077">
        <f>RAND()</f>
        <v/>
      </c>
      <c r="AB3077">
        <f>RAND()</f>
        <v/>
      </c>
      <c r="AC3077">
        <f>RAND()</f>
        <v/>
      </c>
      <c r="AD3077">
        <f>RAND()</f>
        <v/>
      </c>
      <c r="AE3077">
        <f>RAND()</f>
        <v/>
      </c>
      <c r="AF3077">
        <f>RAND()</f>
        <v/>
      </c>
    </row>
    <row r="3078">
      <c r="M3078" s="14">
        <f>_xlfn.BETA.INV($AA3078,1+4*($D$5-$C$5)/($E$5-$C$5),1+4*($E$5-$D$5)/($E$5-$C$5),$C$5,$E$5)</f>
        <v/>
      </c>
      <c r="N3078" s="14">
        <f>IF($AB3078&lt;($D$6-$C$6)/($E$6-$C$6),$C$6+SQRT($AB3078*($E$6-$C$6)*($D$6-$C$6)),$E$6-SQRT((1-$AB3078)*($E$6-$C$6)*($E$6-$D$6)))</f>
        <v/>
      </c>
      <c r="O3078" s="14">
        <f>_xlfn.NORM.INV($AC3078,$C$7,$D$7)</f>
        <v/>
      </c>
      <c r="P3078" s="14">
        <f>$C$8+($D$8-$C$8)*$AD3078</f>
        <v/>
      </c>
      <c r="Q3078" s="14">
        <f>$C$9</f>
        <v/>
      </c>
      <c r="R3078" s="14">
        <f>_xlfn.LOGNORM.INV($AF3078,LN($C$10)-0.5*LN(1+($D$10/$C$10)^2),SQRT(LN(1+($D$10/$C$10)^2)))</f>
        <v/>
      </c>
      <c r="S3078" s="14">
        <f>SUM(M3078:R3078)</f>
        <v/>
      </c>
      <c r="AA3078">
        <f>RAND()</f>
        <v/>
      </c>
      <c r="AB3078">
        <f>RAND()</f>
        <v/>
      </c>
      <c r="AC3078">
        <f>RAND()</f>
        <v/>
      </c>
      <c r="AD3078">
        <f>RAND()</f>
        <v/>
      </c>
      <c r="AE3078">
        <f>RAND()</f>
        <v/>
      </c>
      <c r="AF3078">
        <f>RAND()</f>
        <v/>
      </c>
    </row>
    <row r="3079">
      <c r="M3079" s="14">
        <f>_xlfn.BETA.INV($AA3079,1+4*($D$5-$C$5)/($E$5-$C$5),1+4*($E$5-$D$5)/($E$5-$C$5),$C$5,$E$5)</f>
        <v/>
      </c>
      <c r="N3079" s="14">
        <f>IF($AB3079&lt;($D$6-$C$6)/($E$6-$C$6),$C$6+SQRT($AB3079*($E$6-$C$6)*($D$6-$C$6)),$E$6-SQRT((1-$AB3079)*($E$6-$C$6)*($E$6-$D$6)))</f>
        <v/>
      </c>
      <c r="O3079" s="14">
        <f>_xlfn.NORM.INV($AC3079,$C$7,$D$7)</f>
        <v/>
      </c>
      <c r="P3079" s="14">
        <f>$C$8+($D$8-$C$8)*$AD3079</f>
        <v/>
      </c>
      <c r="Q3079" s="14">
        <f>$C$9</f>
        <v/>
      </c>
      <c r="R3079" s="14">
        <f>_xlfn.LOGNORM.INV($AF3079,LN($C$10)-0.5*LN(1+($D$10/$C$10)^2),SQRT(LN(1+($D$10/$C$10)^2)))</f>
        <v/>
      </c>
      <c r="S3079" s="14">
        <f>SUM(M3079:R3079)</f>
        <v/>
      </c>
      <c r="AA3079">
        <f>RAND()</f>
        <v/>
      </c>
      <c r="AB3079">
        <f>RAND()</f>
        <v/>
      </c>
      <c r="AC3079">
        <f>RAND()</f>
        <v/>
      </c>
      <c r="AD3079">
        <f>RAND()</f>
        <v/>
      </c>
      <c r="AE3079">
        <f>RAND()</f>
        <v/>
      </c>
      <c r="AF3079">
        <f>RAND()</f>
        <v/>
      </c>
    </row>
    <row r="3080">
      <c r="M3080" s="14">
        <f>_xlfn.BETA.INV($AA3080,1+4*($D$5-$C$5)/($E$5-$C$5),1+4*($E$5-$D$5)/($E$5-$C$5),$C$5,$E$5)</f>
        <v/>
      </c>
      <c r="N3080" s="14">
        <f>IF($AB3080&lt;($D$6-$C$6)/($E$6-$C$6),$C$6+SQRT($AB3080*($E$6-$C$6)*($D$6-$C$6)),$E$6-SQRT((1-$AB3080)*($E$6-$C$6)*($E$6-$D$6)))</f>
        <v/>
      </c>
      <c r="O3080" s="14">
        <f>_xlfn.NORM.INV($AC3080,$C$7,$D$7)</f>
        <v/>
      </c>
      <c r="P3080" s="14">
        <f>$C$8+($D$8-$C$8)*$AD3080</f>
        <v/>
      </c>
      <c r="Q3080" s="14">
        <f>$C$9</f>
        <v/>
      </c>
      <c r="R3080" s="14">
        <f>_xlfn.LOGNORM.INV($AF3080,LN($C$10)-0.5*LN(1+($D$10/$C$10)^2),SQRT(LN(1+($D$10/$C$10)^2)))</f>
        <v/>
      </c>
      <c r="S3080" s="14">
        <f>SUM(M3080:R3080)</f>
        <v/>
      </c>
      <c r="AA3080">
        <f>RAND()</f>
        <v/>
      </c>
      <c r="AB3080">
        <f>RAND()</f>
        <v/>
      </c>
      <c r="AC3080">
        <f>RAND()</f>
        <v/>
      </c>
      <c r="AD3080">
        <f>RAND()</f>
        <v/>
      </c>
      <c r="AE3080">
        <f>RAND()</f>
        <v/>
      </c>
      <c r="AF3080">
        <f>RAND()</f>
        <v/>
      </c>
    </row>
    <row r="3081">
      <c r="M3081" s="14">
        <f>_xlfn.BETA.INV($AA3081,1+4*($D$5-$C$5)/($E$5-$C$5),1+4*($E$5-$D$5)/($E$5-$C$5),$C$5,$E$5)</f>
        <v/>
      </c>
      <c r="N3081" s="14">
        <f>IF($AB3081&lt;($D$6-$C$6)/($E$6-$C$6),$C$6+SQRT($AB3081*($E$6-$C$6)*($D$6-$C$6)),$E$6-SQRT((1-$AB3081)*($E$6-$C$6)*($E$6-$D$6)))</f>
        <v/>
      </c>
      <c r="O3081" s="14">
        <f>_xlfn.NORM.INV($AC3081,$C$7,$D$7)</f>
        <v/>
      </c>
      <c r="P3081" s="14">
        <f>$C$8+($D$8-$C$8)*$AD3081</f>
        <v/>
      </c>
      <c r="Q3081" s="14">
        <f>$C$9</f>
        <v/>
      </c>
      <c r="R3081" s="14">
        <f>_xlfn.LOGNORM.INV($AF3081,LN($C$10)-0.5*LN(1+($D$10/$C$10)^2),SQRT(LN(1+($D$10/$C$10)^2)))</f>
        <v/>
      </c>
      <c r="S3081" s="14">
        <f>SUM(M3081:R3081)</f>
        <v/>
      </c>
      <c r="AA3081">
        <f>RAND()</f>
        <v/>
      </c>
      <c r="AB3081">
        <f>RAND()</f>
        <v/>
      </c>
      <c r="AC3081">
        <f>RAND()</f>
        <v/>
      </c>
      <c r="AD3081">
        <f>RAND()</f>
        <v/>
      </c>
      <c r="AE3081">
        <f>RAND()</f>
        <v/>
      </c>
      <c r="AF3081">
        <f>RAND()</f>
        <v/>
      </c>
    </row>
    <row r="3082">
      <c r="M3082" s="14">
        <f>_xlfn.BETA.INV($AA3082,1+4*($D$5-$C$5)/($E$5-$C$5),1+4*($E$5-$D$5)/($E$5-$C$5),$C$5,$E$5)</f>
        <v/>
      </c>
      <c r="N3082" s="14">
        <f>IF($AB3082&lt;($D$6-$C$6)/($E$6-$C$6),$C$6+SQRT($AB3082*($E$6-$C$6)*($D$6-$C$6)),$E$6-SQRT((1-$AB3082)*($E$6-$C$6)*($E$6-$D$6)))</f>
        <v/>
      </c>
      <c r="O3082" s="14">
        <f>_xlfn.NORM.INV($AC3082,$C$7,$D$7)</f>
        <v/>
      </c>
      <c r="P3082" s="14">
        <f>$C$8+($D$8-$C$8)*$AD3082</f>
        <v/>
      </c>
      <c r="Q3082" s="14">
        <f>$C$9</f>
        <v/>
      </c>
      <c r="R3082" s="14">
        <f>_xlfn.LOGNORM.INV($AF3082,LN($C$10)-0.5*LN(1+($D$10/$C$10)^2),SQRT(LN(1+($D$10/$C$10)^2)))</f>
        <v/>
      </c>
      <c r="S3082" s="14">
        <f>SUM(M3082:R3082)</f>
        <v/>
      </c>
      <c r="AA3082">
        <f>RAND()</f>
        <v/>
      </c>
      <c r="AB3082">
        <f>RAND()</f>
        <v/>
      </c>
      <c r="AC3082">
        <f>RAND()</f>
        <v/>
      </c>
      <c r="AD3082">
        <f>RAND()</f>
        <v/>
      </c>
      <c r="AE3082">
        <f>RAND()</f>
        <v/>
      </c>
      <c r="AF3082">
        <f>RAND()</f>
        <v/>
      </c>
    </row>
    <row r="3083">
      <c r="M3083" s="14">
        <f>_xlfn.BETA.INV($AA3083,1+4*($D$5-$C$5)/($E$5-$C$5),1+4*($E$5-$D$5)/($E$5-$C$5),$C$5,$E$5)</f>
        <v/>
      </c>
      <c r="N3083" s="14">
        <f>IF($AB3083&lt;($D$6-$C$6)/($E$6-$C$6),$C$6+SQRT($AB3083*($E$6-$C$6)*($D$6-$C$6)),$E$6-SQRT((1-$AB3083)*($E$6-$C$6)*($E$6-$D$6)))</f>
        <v/>
      </c>
      <c r="O3083" s="14">
        <f>_xlfn.NORM.INV($AC3083,$C$7,$D$7)</f>
        <v/>
      </c>
      <c r="P3083" s="14">
        <f>$C$8+($D$8-$C$8)*$AD3083</f>
        <v/>
      </c>
      <c r="Q3083" s="14">
        <f>$C$9</f>
        <v/>
      </c>
      <c r="R3083" s="14">
        <f>_xlfn.LOGNORM.INV($AF3083,LN($C$10)-0.5*LN(1+($D$10/$C$10)^2),SQRT(LN(1+($D$10/$C$10)^2)))</f>
        <v/>
      </c>
      <c r="S3083" s="14">
        <f>SUM(M3083:R3083)</f>
        <v/>
      </c>
      <c r="AA3083">
        <f>RAND()</f>
        <v/>
      </c>
      <c r="AB3083">
        <f>RAND()</f>
        <v/>
      </c>
      <c r="AC3083">
        <f>RAND()</f>
        <v/>
      </c>
      <c r="AD3083">
        <f>RAND()</f>
        <v/>
      </c>
      <c r="AE3083">
        <f>RAND()</f>
        <v/>
      </c>
      <c r="AF3083">
        <f>RAND()</f>
        <v/>
      </c>
    </row>
    <row r="3084">
      <c r="M3084" s="14">
        <f>_xlfn.BETA.INV($AA3084,1+4*($D$5-$C$5)/($E$5-$C$5),1+4*($E$5-$D$5)/($E$5-$C$5),$C$5,$E$5)</f>
        <v/>
      </c>
      <c r="N3084" s="14">
        <f>IF($AB3084&lt;($D$6-$C$6)/($E$6-$C$6),$C$6+SQRT($AB3084*($E$6-$C$6)*($D$6-$C$6)),$E$6-SQRT((1-$AB3084)*($E$6-$C$6)*($E$6-$D$6)))</f>
        <v/>
      </c>
      <c r="O3084" s="14">
        <f>_xlfn.NORM.INV($AC3084,$C$7,$D$7)</f>
        <v/>
      </c>
      <c r="P3084" s="14">
        <f>$C$8+($D$8-$C$8)*$AD3084</f>
        <v/>
      </c>
      <c r="Q3084" s="14">
        <f>$C$9</f>
        <v/>
      </c>
      <c r="R3084" s="14">
        <f>_xlfn.LOGNORM.INV($AF3084,LN($C$10)-0.5*LN(1+($D$10/$C$10)^2),SQRT(LN(1+($D$10/$C$10)^2)))</f>
        <v/>
      </c>
      <c r="S3084" s="14">
        <f>SUM(M3084:R3084)</f>
        <v/>
      </c>
      <c r="AA3084">
        <f>RAND()</f>
        <v/>
      </c>
      <c r="AB3084">
        <f>RAND()</f>
        <v/>
      </c>
      <c r="AC3084">
        <f>RAND()</f>
        <v/>
      </c>
      <c r="AD3084">
        <f>RAND()</f>
        <v/>
      </c>
      <c r="AE3084">
        <f>RAND()</f>
        <v/>
      </c>
      <c r="AF3084">
        <f>RAND()</f>
        <v/>
      </c>
    </row>
    <row r="3085">
      <c r="M3085" s="14">
        <f>_xlfn.BETA.INV($AA3085,1+4*($D$5-$C$5)/($E$5-$C$5),1+4*($E$5-$D$5)/($E$5-$C$5),$C$5,$E$5)</f>
        <v/>
      </c>
      <c r="N3085" s="14">
        <f>IF($AB3085&lt;($D$6-$C$6)/($E$6-$C$6),$C$6+SQRT($AB3085*($E$6-$C$6)*($D$6-$C$6)),$E$6-SQRT((1-$AB3085)*($E$6-$C$6)*($E$6-$D$6)))</f>
        <v/>
      </c>
      <c r="O3085" s="14">
        <f>_xlfn.NORM.INV($AC3085,$C$7,$D$7)</f>
        <v/>
      </c>
      <c r="P3085" s="14">
        <f>$C$8+($D$8-$C$8)*$AD3085</f>
        <v/>
      </c>
      <c r="Q3085" s="14">
        <f>$C$9</f>
        <v/>
      </c>
      <c r="R3085" s="14">
        <f>_xlfn.LOGNORM.INV($AF3085,LN($C$10)-0.5*LN(1+($D$10/$C$10)^2),SQRT(LN(1+($D$10/$C$10)^2)))</f>
        <v/>
      </c>
      <c r="S3085" s="14">
        <f>SUM(M3085:R3085)</f>
        <v/>
      </c>
      <c r="AA3085">
        <f>RAND()</f>
        <v/>
      </c>
      <c r="AB3085">
        <f>RAND()</f>
        <v/>
      </c>
      <c r="AC3085">
        <f>RAND()</f>
        <v/>
      </c>
      <c r="AD3085">
        <f>RAND()</f>
        <v/>
      </c>
      <c r="AE3085">
        <f>RAND()</f>
        <v/>
      </c>
      <c r="AF3085">
        <f>RAND()</f>
        <v/>
      </c>
    </row>
    <row r="3086">
      <c r="M3086" s="14">
        <f>_xlfn.BETA.INV($AA3086,1+4*($D$5-$C$5)/($E$5-$C$5),1+4*($E$5-$D$5)/($E$5-$C$5),$C$5,$E$5)</f>
        <v/>
      </c>
      <c r="N3086" s="14">
        <f>IF($AB3086&lt;($D$6-$C$6)/($E$6-$C$6),$C$6+SQRT($AB3086*($E$6-$C$6)*($D$6-$C$6)),$E$6-SQRT((1-$AB3086)*($E$6-$C$6)*($E$6-$D$6)))</f>
        <v/>
      </c>
      <c r="O3086" s="14">
        <f>_xlfn.NORM.INV($AC3086,$C$7,$D$7)</f>
        <v/>
      </c>
      <c r="P3086" s="14">
        <f>$C$8+($D$8-$C$8)*$AD3086</f>
        <v/>
      </c>
      <c r="Q3086" s="14">
        <f>$C$9</f>
        <v/>
      </c>
      <c r="R3086" s="14">
        <f>_xlfn.LOGNORM.INV($AF3086,LN($C$10)-0.5*LN(1+($D$10/$C$10)^2),SQRT(LN(1+($D$10/$C$10)^2)))</f>
        <v/>
      </c>
      <c r="S3086" s="14">
        <f>SUM(M3086:R3086)</f>
        <v/>
      </c>
      <c r="AA3086">
        <f>RAND()</f>
        <v/>
      </c>
      <c r="AB3086">
        <f>RAND()</f>
        <v/>
      </c>
      <c r="AC3086">
        <f>RAND()</f>
        <v/>
      </c>
      <c r="AD3086">
        <f>RAND()</f>
        <v/>
      </c>
      <c r="AE3086">
        <f>RAND()</f>
        <v/>
      </c>
      <c r="AF3086">
        <f>RAND()</f>
        <v/>
      </c>
    </row>
    <row r="3087">
      <c r="M3087" s="14">
        <f>_xlfn.BETA.INV($AA3087,1+4*($D$5-$C$5)/($E$5-$C$5),1+4*($E$5-$D$5)/($E$5-$C$5),$C$5,$E$5)</f>
        <v/>
      </c>
      <c r="N3087" s="14">
        <f>IF($AB3087&lt;($D$6-$C$6)/($E$6-$C$6),$C$6+SQRT($AB3087*($E$6-$C$6)*($D$6-$C$6)),$E$6-SQRT((1-$AB3087)*($E$6-$C$6)*($E$6-$D$6)))</f>
        <v/>
      </c>
      <c r="O3087" s="14">
        <f>_xlfn.NORM.INV($AC3087,$C$7,$D$7)</f>
        <v/>
      </c>
      <c r="P3087" s="14">
        <f>$C$8+($D$8-$C$8)*$AD3087</f>
        <v/>
      </c>
      <c r="Q3087" s="14">
        <f>$C$9</f>
        <v/>
      </c>
      <c r="R3087" s="14">
        <f>_xlfn.LOGNORM.INV($AF3087,LN($C$10)-0.5*LN(1+($D$10/$C$10)^2),SQRT(LN(1+($D$10/$C$10)^2)))</f>
        <v/>
      </c>
      <c r="S3087" s="14">
        <f>SUM(M3087:R3087)</f>
        <v/>
      </c>
      <c r="AA3087">
        <f>RAND()</f>
        <v/>
      </c>
      <c r="AB3087">
        <f>RAND()</f>
        <v/>
      </c>
      <c r="AC3087">
        <f>RAND()</f>
        <v/>
      </c>
      <c r="AD3087">
        <f>RAND()</f>
        <v/>
      </c>
      <c r="AE3087">
        <f>RAND()</f>
        <v/>
      </c>
      <c r="AF3087">
        <f>RAND()</f>
        <v/>
      </c>
    </row>
    <row r="3088">
      <c r="M3088" s="14">
        <f>_xlfn.BETA.INV($AA3088,1+4*($D$5-$C$5)/($E$5-$C$5),1+4*($E$5-$D$5)/($E$5-$C$5),$C$5,$E$5)</f>
        <v/>
      </c>
      <c r="N3088" s="14">
        <f>IF($AB3088&lt;($D$6-$C$6)/($E$6-$C$6),$C$6+SQRT($AB3088*($E$6-$C$6)*($D$6-$C$6)),$E$6-SQRT((1-$AB3088)*($E$6-$C$6)*($E$6-$D$6)))</f>
        <v/>
      </c>
      <c r="O3088" s="14">
        <f>_xlfn.NORM.INV($AC3088,$C$7,$D$7)</f>
        <v/>
      </c>
      <c r="P3088" s="14">
        <f>$C$8+($D$8-$C$8)*$AD3088</f>
        <v/>
      </c>
      <c r="Q3088" s="14">
        <f>$C$9</f>
        <v/>
      </c>
      <c r="R3088" s="14">
        <f>_xlfn.LOGNORM.INV($AF3088,LN($C$10)-0.5*LN(1+($D$10/$C$10)^2),SQRT(LN(1+($D$10/$C$10)^2)))</f>
        <v/>
      </c>
      <c r="S3088" s="14">
        <f>SUM(M3088:R3088)</f>
        <v/>
      </c>
      <c r="AA3088">
        <f>RAND()</f>
        <v/>
      </c>
      <c r="AB3088">
        <f>RAND()</f>
        <v/>
      </c>
      <c r="AC3088">
        <f>RAND()</f>
        <v/>
      </c>
      <c r="AD3088">
        <f>RAND()</f>
        <v/>
      </c>
      <c r="AE3088">
        <f>RAND()</f>
        <v/>
      </c>
      <c r="AF3088">
        <f>RAND()</f>
        <v/>
      </c>
    </row>
    <row r="3089">
      <c r="M3089" s="14">
        <f>_xlfn.BETA.INV($AA3089,1+4*($D$5-$C$5)/($E$5-$C$5),1+4*($E$5-$D$5)/($E$5-$C$5),$C$5,$E$5)</f>
        <v/>
      </c>
      <c r="N3089" s="14">
        <f>IF($AB3089&lt;($D$6-$C$6)/($E$6-$C$6),$C$6+SQRT($AB3089*($E$6-$C$6)*($D$6-$C$6)),$E$6-SQRT((1-$AB3089)*($E$6-$C$6)*($E$6-$D$6)))</f>
        <v/>
      </c>
      <c r="O3089" s="14">
        <f>_xlfn.NORM.INV($AC3089,$C$7,$D$7)</f>
        <v/>
      </c>
      <c r="P3089" s="14">
        <f>$C$8+($D$8-$C$8)*$AD3089</f>
        <v/>
      </c>
      <c r="Q3089" s="14">
        <f>$C$9</f>
        <v/>
      </c>
      <c r="R3089" s="14">
        <f>_xlfn.LOGNORM.INV($AF3089,LN($C$10)-0.5*LN(1+($D$10/$C$10)^2),SQRT(LN(1+($D$10/$C$10)^2)))</f>
        <v/>
      </c>
      <c r="S3089" s="14">
        <f>SUM(M3089:R3089)</f>
        <v/>
      </c>
      <c r="AA3089">
        <f>RAND()</f>
        <v/>
      </c>
      <c r="AB3089">
        <f>RAND()</f>
        <v/>
      </c>
      <c r="AC3089">
        <f>RAND()</f>
        <v/>
      </c>
      <c r="AD3089">
        <f>RAND()</f>
        <v/>
      </c>
      <c r="AE3089">
        <f>RAND()</f>
        <v/>
      </c>
      <c r="AF3089">
        <f>RAND()</f>
        <v/>
      </c>
    </row>
    <row r="3090">
      <c r="M3090" s="14">
        <f>_xlfn.BETA.INV($AA3090,1+4*($D$5-$C$5)/($E$5-$C$5),1+4*($E$5-$D$5)/($E$5-$C$5),$C$5,$E$5)</f>
        <v/>
      </c>
      <c r="N3090" s="14">
        <f>IF($AB3090&lt;($D$6-$C$6)/($E$6-$C$6),$C$6+SQRT($AB3090*($E$6-$C$6)*($D$6-$C$6)),$E$6-SQRT((1-$AB3090)*($E$6-$C$6)*($E$6-$D$6)))</f>
        <v/>
      </c>
      <c r="O3090" s="14">
        <f>_xlfn.NORM.INV($AC3090,$C$7,$D$7)</f>
        <v/>
      </c>
      <c r="P3090" s="14">
        <f>$C$8+($D$8-$C$8)*$AD3090</f>
        <v/>
      </c>
      <c r="Q3090" s="14">
        <f>$C$9</f>
        <v/>
      </c>
      <c r="R3090" s="14">
        <f>_xlfn.LOGNORM.INV($AF3090,LN($C$10)-0.5*LN(1+($D$10/$C$10)^2),SQRT(LN(1+($D$10/$C$10)^2)))</f>
        <v/>
      </c>
      <c r="S3090" s="14">
        <f>SUM(M3090:R3090)</f>
        <v/>
      </c>
      <c r="AA3090">
        <f>RAND()</f>
        <v/>
      </c>
      <c r="AB3090">
        <f>RAND()</f>
        <v/>
      </c>
      <c r="AC3090">
        <f>RAND()</f>
        <v/>
      </c>
      <c r="AD3090">
        <f>RAND()</f>
        <v/>
      </c>
      <c r="AE3090">
        <f>RAND()</f>
        <v/>
      </c>
      <c r="AF3090">
        <f>RAND()</f>
        <v/>
      </c>
    </row>
    <row r="3091">
      <c r="M3091" s="14">
        <f>_xlfn.BETA.INV($AA3091,1+4*($D$5-$C$5)/($E$5-$C$5),1+4*($E$5-$D$5)/($E$5-$C$5),$C$5,$E$5)</f>
        <v/>
      </c>
      <c r="N3091" s="14">
        <f>IF($AB3091&lt;($D$6-$C$6)/($E$6-$C$6),$C$6+SQRT($AB3091*($E$6-$C$6)*($D$6-$C$6)),$E$6-SQRT((1-$AB3091)*($E$6-$C$6)*($E$6-$D$6)))</f>
        <v/>
      </c>
      <c r="O3091" s="14">
        <f>_xlfn.NORM.INV($AC3091,$C$7,$D$7)</f>
        <v/>
      </c>
      <c r="P3091" s="14">
        <f>$C$8+($D$8-$C$8)*$AD3091</f>
        <v/>
      </c>
      <c r="Q3091" s="14">
        <f>$C$9</f>
        <v/>
      </c>
      <c r="R3091" s="14">
        <f>_xlfn.LOGNORM.INV($AF3091,LN($C$10)-0.5*LN(1+($D$10/$C$10)^2),SQRT(LN(1+($D$10/$C$10)^2)))</f>
        <v/>
      </c>
      <c r="S3091" s="14">
        <f>SUM(M3091:R3091)</f>
        <v/>
      </c>
      <c r="AA3091">
        <f>RAND()</f>
        <v/>
      </c>
      <c r="AB3091">
        <f>RAND()</f>
        <v/>
      </c>
      <c r="AC3091">
        <f>RAND()</f>
        <v/>
      </c>
      <c r="AD3091">
        <f>RAND()</f>
        <v/>
      </c>
      <c r="AE3091">
        <f>RAND()</f>
        <v/>
      </c>
      <c r="AF3091">
        <f>RAND()</f>
        <v/>
      </c>
    </row>
    <row r="3092">
      <c r="M3092" s="14">
        <f>_xlfn.BETA.INV($AA3092,1+4*($D$5-$C$5)/($E$5-$C$5),1+4*($E$5-$D$5)/($E$5-$C$5),$C$5,$E$5)</f>
        <v/>
      </c>
      <c r="N3092" s="14">
        <f>IF($AB3092&lt;($D$6-$C$6)/($E$6-$C$6),$C$6+SQRT($AB3092*($E$6-$C$6)*($D$6-$C$6)),$E$6-SQRT((1-$AB3092)*($E$6-$C$6)*($E$6-$D$6)))</f>
        <v/>
      </c>
      <c r="O3092" s="14">
        <f>_xlfn.NORM.INV($AC3092,$C$7,$D$7)</f>
        <v/>
      </c>
      <c r="P3092" s="14">
        <f>$C$8+($D$8-$C$8)*$AD3092</f>
        <v/>
      </c>
      <c r="Q3092" s="14">
        <f>$C$9</f>
        <v/>
      </c>
      <c r="R3092" s="14">
        <f>_xlfn.LOGNORM.INV($AF3092,LN($C$10)-0.5*LN(1+($D$10/$C$10)^2),SQRT(LN(1+($D$10/$C$10)^2)))</f>
        <v/>
      </c>
      <c r="S3092" s="14">
        <f>SUM(M3092:R3092)</f>
        <v/>
      </c>
      <c r="AA3092">
        <f>RAND()</f>
        <v/>
      </c>
      <c r="AB3092">
        <f>RAND()</f>
        <v/>
      </c>
      <c r="AC3092">
        <f>RAND()</f>
        <v/>
      </c>
      <c r="AD3092">
        <f>RAND()</f>
        <v/>
      </c>
      <c r="AE3092">
        <f>RAND()</f>
        <v/>
      </c>
      <c r="AF3092">
        <f>RAND()</f>
        <v/>
      </c>
    </row>
    <row r="3093">
      <c r="M3093" s="14">
        <f>_xlfn.BETA.INV($AA3093,1+4*($D$5-$C$5)/($E$5-$C$5),1+4*($E$5-$D$5)/($E$5-$C$5),$C$5,$E$5)</f>
        <v/>
      </c>
      <c r="N3093" s="14">
        <f>IF($AB3093&lt;($D$6-$C$6)/($E$6-$C$6),$C$6+SQRT($AB3093*($E$6-$C$6)*($D$6-$C$6)),$E$6-SQRT((1-$AB3093)*($E$6-$C$6)*($E$6-$D$6)))</f>
        <v/>
      </c>
      <c r="O3093" s="14">
        <f>_xlfn.NORM.INV($AC3093,$C$7,$D$7)</f>
        <v/>
      </c>
      <c r="P3093" s="14">
        <f>$C$8+($D$8-$C$8)*$AD3093</f>
        <v/>
      </c>
      <c r="Q3093" s="14">
        <f>$C$9</f>
        <v/>
      </c>
      <c r="R3093" s="14">
        <f>_xlfn.LOGNORM.INV($AF3093,LN($C$10)-0.5*LN(1+($D$10/$C$10)^2),SQRT(LN(1+($D$10/$C$10)^2)))</f>
        <v/>
      </c>
      <c r="S3093" s="14">
        <f>SUM(M3093:R3093)</f>
        <v/>
      </c>
      <c r="AA3093">
        <f>RAND()</f>
        <v/>
      </c>
      <c r="AB3093">
        <f>RAND()</f>
        <v/>
      </c>
      <c r="AC3093">
        <f>RAND()</f>
        <v/>
      </c>
      <c r="AD3093">
        <f>RAND()</f>
        <v/>
      </c>
      <c r="AE3093">
        <f>RAND()</f>
        <v/>
      </c>
      <c r="AF3093">
        <f>RAND()</f>
        <v/>
      </c>
    </row>
    <row r="3094">
      <c r="M3094" s="14">
        <f>_xlfn.BETA.INV($AA3094,1+4*($D$5-$C$5)/($E$5-$C$5),1+4*($E$5-$D$5)/($E$5-$C$5),$C$5,$E$5)</f>
        <v/>
      </c>
      <c r="N3094" s="14">
        <f>IF($AB3094&lt;($D$6-$C$6)/($E$6-$C$6),$C$6+SQRT($AB3094*($E$6-$C$6)*($D$6-$C$6)),$E$6-SQRT((1-$AB3094)*($E$6-$C$6)*($E$6-$D$6)))</f>
        <v/>
      </c>
      <c r="O3094" s="14">
        <f>_xlfn.NORM.INV($AC3094,$C$7,$D$7)</f>
        <v/>
      </c>
      <c r="P3094" s="14">
        <f>$C$8+($D$8-$C$8)*$AD3094</f>
        <v/>
      </c>
      <c r="Q3094" s="14">
        <f>$C$9</f>
        <v/>
      </c>
      <c r="R3094" s="14">
        <f>_xlfn.LOGNORM.INV($AF3094,LN($C$10)-0.5*LN(1+($D$10/$C$10)^2),SQRT(LN(1+($D$10/$C$10)^2)))</f>
        <v/>
      </c>
      <c r="S3094" s="14">
        <f>SUM(M3094:R3094)</f>
        <v/>
      </c>
      <c r="AA3094">
        <f>RAND()</f>
        <v/>
      </c>
      <c r="AB3094">
        <f>RAND()</f>
        <v/>
      </c>
      <c r="AC3094">
        <f>RAND()</f>
        <v/>
      </c>
      <c r="AD3094">
        <f>RAND()</f>
        <v/>
      </c>
      <c r="AE3094">
        <f>RAND()</f>
        <v/>
      </c>
      <c r="AF3094">
        <f>RAND()</f>
        <v/>
      </c>
    </row>
    <row r="3095">
      <c r="M3095" s="14">
        <f>_xlfn.BETA.INV($AA3095,1+4*($D$5-$C$5)/($E$5-$C$5),1+4*($E$5-$D$5)/($E$5-$C$5),$C$5,$E$5)</f>
        <v/>
      </c>
      <c r="N3095" s="14">
        <f>IF($AB3095&lt;($D$6-$C$6)/($E$6-$C$6),$C$6+SQRT($AB3095*($E$6-$C$6)*($D$6-$C$6)),$E$6-SQRT((1-$AB3095)*($E$6-$C$6)*($E$6-$D$6)))</f>
        <v/>
      </c>
      <c r="O3095" s="14">
        <f>_xlfn.NORM.INV($AC3095,$C$7,$D$7)</f>
        <v/>
      </c>
      <c r="P3095" s="14">
        <f>$C$8+($D$8-$C$8)*$AD3095</f>
        <v/>
      </c>
      <c r="Q3095" s="14">
        <f>$C$9</f>
        <v/>
      </c>
      <c r="R3095" s="14">
        <f>_xlfn.LOGNORM.INV($AF3095,LN($C$10)-0.5*LN(1+($D$10/$C$10)^2),SQRT(LN(1+($D$10/$C$10)^2)))</f>
        <v/>
      </c>
      <c r="S3095" s="14">
        <f>SUM(M3095:R3095)</f>
        <v/>
      </c>
      <c r="AA3095">
        <f>RAND()</f>
        <v/>
      </c>
      <c r="AB3095">
        <f>RAND()</f>
        <v/>
      </c>
      <c r="AC3095">
        <f>RAND()</f>
        <v/>
      </c>
      <c r="AD3095">
        <f>RAND()</f>
        <v/>
      </c>
      <c r="AE3095">
        <f>RAND()</f>
        <v/>
      </c>
      <c r="AF3095">
        <f>RAND()</f>
        <v/>
      </c>
    </row>
    <row r="3096">
      <c r="M3096" s="14">
        <f>_xlfn.BETA.INV($AA3096,1+4*($D$5-$C$5)/($E$5-$C$5),1+4*($E$5-$D$5)/($E$5-$C$5),$C$5,$E$5)</f>
        <v/>
      </c>
      <c r="N3096" s="14">
        <f>IF($AB3096&lt;($D$6-$C$6)/($E$6-$C$6),$C$6+SQRT($AB3096*($E$6-$C$6)*($D$6-$C$6)),$E$6-SQRT((1-$AB3096)*($E$6-$C$6)*($E$6-$D$6)))</f>
        <v/>
      </c>
      <c r="O3096" s="14">
        <f>_xlfn.NORM.INV($AC3096,$C$7,$D$7)</f>
        <v/>
      </c>
      <c r="P3096" s="14">
        <f>$C$8+($D$8-$C$8)*$AD3096</f>
        <v/>
      </c>
      <c r="Q3096" s="14">
        <f>$C$9</f>
        <v/>
      </c>
      <c r="R3096" s="14">
        <f>_xlfn.LOGNORM.INV($AF3096,LN($C$10)-0.5*LN(1+($D$10/$C$10)^2),SQRT(LN(1+($D$10/$C$10)^2)))</f>
        <v/>
      </c>
      <c r="S3096" s="14">
        <f>SUM(M3096:R3096)</f>
        <v/>
      </c>
      <c r="AA3096">
        <f>RAND()</f>
        <v/>
      </c>
      <c r="AB3096">
        <f>RAND()</f>
        <v/>
      </c>
      <c r="AC3096">
        <f>RAND()</f>
        <v/>
      </c>
      <c r="AD3096">
        <f>RAND()</f>
        <v/>
      </c>
      <c r="AE3096">
        <f>RAND()</f>
        <v/>
      </c>
      <c r="AF3096">
        <f>RAND()</f>
        <v/>
      </c>
    </row>
    <row r="3097">
      <c r="M3097" s="14">
        <f>_xlfn.BETA.INV($AA3097,1+4*($D$5-$C$5)/($E$5-$C$5),1+4*($E$5-$D$5)/($E$5-$C$5),$C$5,$E$5)</f>
        <v/>
      </c>
      <c r="N3097" s="14">
        <f>IF($AB3097&lt;($D$6-$C$6)/($E$6-$C$6),$C$6+SQRT($AB3097*($E$6-$C$6)*($D$6-$C$6)),$E$6-SQRT((1-$AB3097)*($E$6-$C$6)*($E$6-$D$6)))</f>
        <v/>
      </c>
      <c r="O3097" s="14">
        <f>_xlfn.NORM.INV($AC3097,$C$7,$D$7)</f>
        <v/>
      </c>
      <c r="P3097" s="14">
        <f>$C$8+($D$8-$C$8)*$AD3097</f>
        <v/>
      </c>
      <c r="Q3097" s="14">
        <f>$C$9</f>
        <v/>
      </c>
      <c r="R3097" s="14">
        <f>_xlfn.LOGNORM.INV($AF3097,LN($C$10)-0.5*LN(1+($D$10/$C$10)^2),SQRT(LN(1+($D$10/$C$10)^2)))</f>
        <v/>
      </c>
      <c r="S3097" s="14">
        <f>SUM(M3097:R3097)</f>
        <v/>
      </c>
      <c r="AA3097">
        <f>RAND()</f>
        <v/>
      </c>
      <c r="AB3097">
        <f>RAND()</f>
        <v/>
      </c>
      <c r="AC3097">
        <f>RAND()</f>
        <v/>
      </c>
      <c r="AD3097">
        <f>RAND()</f>
        <v/>
      </c>
      <c r="AE3097">
        <f>RAND()</f>
        <v/>
      </c>
      <c r="AF3097">
        <f>RAND()</f>
        <v/>
      </c>
    </row>
    <row r="3098">
      <c r="M3098" s="14">
        <f>_xlfn.BETA.INV($AA3098,1+4*($D$5-$C$5)/($E$5-$C$5),1+4*($E$5-$D$5)/($E$5-$C$5),$C$5,$E$5)</f>
        <v/>
      </c>
      <c r="N3098" s="14">
        <f>IF($AB3098&lt;($D$6-$C$6)/($E$6-$C$6),$C$6+SQRT($AB3098*($E$6-$C$6)*($D$6-$C$6)),$E$6-SQRT((1-$AB3098)*($E$6-$C$6)*($E$6-$D$6)))</f>
        <v/>
      </c>
      <c r="O3098" s="14">
        <f>_xlfn.NORM.INV($AC3098,$C$7,$D$7)</f>
        <v/>
      </c>
      <c r="P3098" s="14">
        <f>$C$8+($D$8-$C$8)*$AD3098</f>
        <v/>
      </c>
      <c r="Q3098" s="14">
        <f>$C$9</f>
        <v/>
      </c>
      <c r="R3098" s="14">
        <f>_xlfn.LOGNORM.INV($AF3098,LN($C$10)-0.5*LN(1+($D$10/$C$10)^2),SQRT(LN(1+($D$10/$C$10)^2)))</f>
        <v/>
      </c>
      <c r="S3098" s="14">
        <f>SUM(M3098:R3098)</f>
        <v/>
      </c>
      <c r="AA3098">
        <f>RAND()</f>
        <v/>
      </c>
      <c r="AB3098">
        <f>RAND()</f>
        <v/>
      </c>
      <c r="AC3098">
        <f>RAND()</f>
        <v/>
      </c>
      <c r="AD3098">
        <f>RAND()</f>
        <v/>
      </c>
      <c r="AE3098">
        <f>RAND()</f>
        <v/>
      </c>
      <c r="AF3098">
        <f>RAND()</f>
        <v/>
      </c>
    </row>
    <row r="3099">
      <c r="M3099" s="14">
        <f>_xlfn.BETA.INV($AA3099,1+4*($D$5-$C$5)/($E$5-$C$5),1+4*($E$5-$D$5)/($E$5-$C$5),$C$5,$E$5)</f>
        <v/>
      </c>
      <c r="N3099" s="14">
        <f>IF($AB3099&lt;($D$6-$C$6)/($E$6-$C$6),$C$6+SQRT($AB3099*($E$6-$C$6)*($D$6-$C$6)),$E$6-SQRT((1-$AB3099)*($E$6-$C$6)*($E$6-$D$6)))</f>
        <v/>
      </c>
      <c r="O3099" s="14">
        <f>_xlfn.NORM.INV($AC3099,$C$7,$D$7)</f>
        <v/>
      </c>
      <c r="P3099" s="14">
        <f>$C$8+($D$8-$C$8)*$AD3099</f>
        <v/>
      </c>
      <c r="Q3099" s="14">
        <f>$C$9</f>
        <v/>
      </c>
      <c r="R3099" s="14">
        <f>_xlfn.LOGNORM.INV($AF3099,LN($C$10)-0.5*LN(1+($D$10/$C$10)^2),SQRT(LN(1+($D$10/$C$10)^2)))</f>
        <v/>
      </c>
      <c r="S3099" s="14">
        <f>SUM(M3099:R3099)</f>
        <v/>
      </c>
      <c r="AA3099">
        <f>RAND()</f>
        <v/>
      </c>
      <c r="AB3099">
        <f>RAND()</f>
        <v/>
      </c>
      <c r="AC3099">
        <f>RAND()</f>
        <v/>
      </c>
      <c r="AD3099">
        <f>RAND()</f>
        <v/>
      </c>
      <c r="AE3099">
        <f>RAND()</f>
        <v/>
      </c>
      <c r="AF3099">
        <f>RAND()</f>
        <v/>
      </c>
    </row>
    <row r="3100">
      <c r="M3100" s="14">
        <f>_xlfn.BETA.INV($AA3100,1+4*($D$5-$C$5)/($E$5-$C$5),1+4*($E$5-$D$5)/($E$5-$C$5),$C$5,$E$5)</f>
        <v/>
      </c>
      <c r="N3100" s="14">
        <f>IF($AB3100&lt;($D$6-$C$6)/($E$6-$C$6),$C$6+SQRT($AB3100*($E$6-$C$6)*($D$6-$C$6)),$E$6-SQRT((1-$AB3100)*($E$6-$C$6)*($E$6-$D$6)))</f>
        <v/>
      </c>
      <c r="O3100" s="14">
        <f>_xlfn.NORM.INV($AC3100,$C$7,$D$7)</f>
        <v/>
      </c>
      <c r="P3100" s="14">
        <f>$C$8+($D$8-$C$8)*$AD3100</f>
        <v/>
      </c>
      <c r="Q3100" s="14">
        <f>$C$9</f>
        <v/>
      </c>
      <c r="R3100" s="14">
        <f>_xlfn.LOGNORM.INV($AF3100,LN($C$10)-0.5*LN(1+($D$10/$C$10)^2),SQRT(LN(1+($D$10/$C$10)^2)))</f>
        <v/>
      </c>
      <c r="S3100" s="14">
        <f>SUM(M3100:R3100)</f>
        <v/>
      </c>
      <c r="AA3100">
        <f>RAND()</f>
        <v/>
      </c>
      <c r="AB3100">
        <f>RAND()</f>
        <v/>
      </c>
      <c r="AC3100">
        <f>RAND()</f>
        <v/>
      </c>
      <c r="AD3100">
        <f>RAND()</f>
        <v/>
      </c>
      <c r="AE3100">
        <f>RAND()</f>
        <v/>
      </c>
      <c r="AF3100">
        <f>RAND()</f>
        <v/>
      </c>
    </row>
    <row r="3101">
      <c r="M3101" s="14">
        <f>_xlfn.BETA.INV($AA3101,1+4*($D$5-$C$5)/($E$5-$C$5),1+4*($E$5-$D$5)/($E$5-$C$5),$C$5,$E$5)</f>
        <v/>
      </c>
      <c r="N3101" s="14">
        <f>IF($AB3101&lt;($D$6-$C$6)/($E$6-$C$6),$C$6+SQRT($AB3101*($E$6-$C$6)*($D$6-$C$6)),$E$6-SQRT((1-$AB3101)*($E$6-$C$6)*($E$6-$D$6)))</f>
        <v/>
      </c>
      <c r="O3101" s="14">
        <f>_xlfn.NORM.INV($AC3101,$C$7,$D$7)</f>
        <v/>
      </c>
      <c r="P3101" s="14">
        <f>$C$8+($D$8-$C$8)*$AD3101</f>
        <v/>
      </c>
      <c r="Q3101" s="14">
        <f>$C$9</f>
        <v/>
      </c>
      <c r="R3101" s="14">
        <f>_xlfn.LOGNORM.INV($AF3101,LN($C$10)-0.5*LN(1+($D$10/$C$10)^2),SQRT(LN(1+($D$10/$C$10)^2)))</f>
        <v/>
      </c>
      <c r="S3101" s="14">
        <f>SUM(M3101:R3101)</f>
        <v/>
      </c>
      <c r="AA3101">
        <f>RAND()</f>
        <v/>
      </c>
      <c r="AB3101">
        <f>RAND()</f>
        <v/>
      </c>
      <c r="AC3101">
        <f>RAND()</f>
        <v/>
      </c>
      <c r="AD3101">
        <f>RAND()</f>
        <v/>
      </c>
      <c r="AE3101">
        <f>RAND()</f>
        <v/>
      </c>
      <c r="AF3101">
        <f>RAND()</f>
        <v/>
      </c>
    </row>
    <row r="3102">
      <c r="M3102" s="14">
        <f>_xlfn.BETA.INV($AA3102,1+4*($D$5-$C$5)/($E$5-$C$5),1+4*($E$5-$D$5)/($E$5-$C$5),$C$5,$E$5)</f>
        <v/>
      </c>
      <c r="N3102" s="14">
        <f>IF($AB3102&lt;($D$6-$C$6)/($E$6-$C$6),$C$6+SQRT($AB3102*($E$6-$C$6)*($D$6-$C$6)),$E$6-SQRT((1-$AB3102)*($E$6-$C$6)*($E$6-$D$6)))</f>
        <v/>
      </c>
      <c r="O3102" s="14">
        <f>_xlfn.NORM.INV($AC3102,$C$7,$D$7)</f>
        <v/>
      </c>
      <c r="P3102" s="14">
        <f>$C$8+($D$8-$C$8)*$AD3102</f>
        <v/>
      </c>
      <c r="Q3102" s="14">
        <f>$C$9</f>
        <v/>
      </c>
      <c r="R3102" s="14">
        <f>_xlfn.LOGNORM.INV($AF3102,LN($C$10)-0.5*LN(1+($D$10/$C$10)^2),SQRT(LN(1+($D$10/$C$10)^2)))</f>
        <v/>
      </c>
      <c r="S3102" s="14">
        <f>SUM(M3102:R3102)</f>
        <v/>
      </c>
      <c r="AA3102">
        <f>RAND()</f>
        <v/>
      </c>
      <c r="AB3102">
        <f>RAND()</f>
        <v/>
      </c>
      <c r="AC3102">
        <f>RAND()</f>
        <v/>
      </c>
      <c r="AD3102">
        <f>RAND()</f>
        <v/>
      </c>
      <c r="AE3102">
        <f>RAND()</f>
        <v/>
      </c>
      <c r="AF3102">
        <f>RAND()</f>
        <v/>
      </c>
    </row>
    <row r="3103">
      <c r="M3103" s="14">
        <f>_xlfn.BETA.INV($AA3103,1+4*($D$5-$C$5)/($E$5-$C$5),1+4*($E$5-$D$5)/($E$5-$C$5),$C$5,$E$5)</f>
        <v/>
      </c>
      <c r="N3103" s="14">
        <f>IF($AB3103&lt;($D$6-$C$6)/($E$6-$C$6),$C$6+SQRT($AB3103*($E$6-$C$6)*($D$6-$C$6)),$E$6-SQRT((1-$AB3103)*($E$6-$C$6)*($E$6-$D$6)))</f>
        <v/>
      </c>
      <c r="O3103" s="14">
        <f>_xlfn.NORM.INV($AC3103,$C$7,$D$7)</f>
        <v/>
      </c>
      <c r="P3103" s="14">
        <f>$C$8+($D$8-$C$8)*$AD3103</f>
        <v/>
      </c>
      <c r="Q3103" s="14">
        <f>$C$9</f>
        <v/>
      </c>
      <c r="R3103" s="14">
        <f>_xlfn.LOGNORM.INV($AF3103,LN($C$10)-0.5*LN(1+($D$10/$C$10)^2),SQRT(LN(1+($D$10/$C$10)^2)))</f>
        <v/>
      </c>
      <c r="S3103" s="14">
        <f>SUM(M3103:R3103)</f>
        <v/>
      </c>
      <c r="AA3103">
        <f>RAND()</f>
        <v/>
      </c>
      <c r="AB3103">
        <f>RAND()</f>
        <v/>
      </c>
      <c r="AC3103">
        <f>RAND()</f>
        <v/>
      </c>
      <c r="AD3103">
        <f>RAND()</f>
        <v/>
      </c>
      <c r="AE3103">
        <f>RAND()</f>
        <v/>
      </c>
      <c r="AF3103">
        <f>RAND()</f>
        <v/>
      </c>
    </row>
    <row r="3104">
      <c r="M3104" s="14">
        <f>_xlfn.BETA.INV($AA3104,1+4*($D$5-$C$5)/($E$5-$C$5),1+4*($E$5-$D$5)/($E$5-$C$5),$C$5,$E$5)</f>
        <v/>
      </c>
      <c r="N3104" s="14">
        <f>IF($AB3104&lt;($D$6-$C$6)/($E$6-$C$6),$C$6+SQRT($AB3104*($E$6-$C$6)*($D$6-$C$6)),$E$6-SQRT((1-$AB3104)*($E$6-$C$6)*($E$6-$D$6)))</f>
        <v/>
      </c>
      <c r="O3104" s="14">
        <f>_xlfn.NORM.INV($AC3104,$C$7,$D$7)</f>
        <v/>
      </c>
      <c r="P3104" s="14">
        <f>$C$8+($D$8-$C$8)*$AD3104</f>
        <v/>
      </c>
      <c r="Q3104" s="14">
        <f>$C$9</f>
        <v/>
      </c>
      <c r="R3104" s="14">
        <f>_xlfn.LOGNORM.INV($AF3104,LN($C$10)-0.5*LN(1+($D$10/$C$10)^2),SQRT(LN(1+($D$10/$C$10)^2)))</f>
        <v/>
      </c>
      <c r="S3104" s="14">
        <f>SUM(M3104:R3104)</f>
        <v/>
      </c>
      <c r="AA3104">
        <f>RAND()</f>
        <v/>
      </c>
      <c r="AB3104">
        <f>RAND()</f>
        <v/>
      </c>
      <c r="AC3104">
        <f>RAND()</f>
        <v/>
      </c>
      <c r="AD3104">
        <f>RAND()</f>
        <v/>
      </c>
      <c r="AE3104">
        <f>RAND()</f>
        <v/>
      </c>
      <c r="AF3104">
        <f>RAND()</f>
        <v/>
      </c>
    </row>
    <row r="3105">
      <c r="M3105" s="14">
        <f>_xlfn.BETA.INV($AA3105,1+4*($D$5-$C$5)/($E$5-$C$5),1+4*($E$5-$D$5)/($E$5-$C$5),$C$5,$E$5)</f>
        <v/>
      </c>
      <c r="N3105" s="14">
        <f>IF($AB3105&lt;($D$6-$C$6)/($E$6-$C$6),$C$6+SQRT($AB3105*($E$6-$C$6)*($D$6-$C$6)),$E$6-SQRT((1-$AB3105)*($E$6-$C$6)*($E$6-$D$6)))</f>
        <v/>
      </c>
      <c r="O3105" s="14">
        <f>_xlfn.NORM.INV($AC3105,$C$7,$D$7)</f>
        <v/>
      </c>
      <c r="P3105" s="14">
        <f>$C$8+($D$8-$C$8)*$AD3105</f>
        <v/>
      </c>
      <c r="Q3105" s="14">
        <f>$C$9</f>
        <v/>
      </c>
      <c r="R3105" s="14">
        <f>_xlfn.LOGNORM.INV($AF3105,LN($C$10)-0.5*LN(1+($D$10/$C$10)^2),SQRT(LN(1+($D$10/$C$10)^2)))</f>
        <v/>
      </c>
      <c r="S3105" s="14">
        <f>SUM(M3105:R3105)</f>
        <v/>
      </c>
      <c r="AA3105">
        <f>RAND()</f>
        <v/>
      </c>
      <c r="AB3105">
        <f>RAND()</f>
        <v/>
      </c>
      <c r="AC3105">
        <f>RAND()</f>
        <v/>
      </c>
      <c r="AD3105">
        <f>RAND()</f>
        <v/>
      </c>
      <c r="AE3105">
        <f>RAND()</f>
        <v/>
      </c>
      <c r="AF3105">
        <f>RAND()</f>
        <v/>
      </c>
    </row>
    <row r="3106">
      <c r="M3106" s="14">
        <f>_xlfn.BETA.INV($AA3106,1+4*($D$5-$C$5)/($E$5-$C$5),1+4*($E$5-$D$5)/($E$5-$C$5),$C$5,$E$5)</f>
        <v/>
      </c>
      <c r="N3106" s="14">
        <f>IF($AB3106&lt;($D$6-$C$6)/($E$6-$C$6),$C$6+SQRT($AB3106*($E$6-$C$6)*($D$6-$C$6)),$E$6-SQRT((1-$AB3106)*($E$6-$C$6)*($E$6-$D$6)))</f>
        <v/>
      </c>
      <c r="O3106" s="14">
        <f>_xlfn.NORM.INV($AC3106,$C$7,$D$7)</f>
        <v/>
      </c>
      <c r="P3106" s="14">
        <f>$C$8+($D$8-$C$8)*$AD3106</f>
        <v/>
      </c>
      <c r="Q3106" s="14">
        <f>$C$9</f>
        <v/>
      </c>
      <c r="R3106" s="14">
        <f>_xlfn.LOGNORM.INV($AF3106,LN($C$10)-0.5*LN(1+($D$10/$C$10)^2),SQRT(LN(1+($D$10/$C$10)^2)))</f>
        <v/>
      </c>
      <c r="S3106" s="14">
        <f>SUM(M3106:R3106)</f>
        <v/>
      </c>
      <c r="AA3106">
        <f>RAND()</f>
        <v/>
      </c>
      <c r="AB3106">
        <f>RAND()</f>
        <v/>
      </c>
      <c r="AC3106">
        <f>RAND()</f>
        <v/>
      </c>
      <c r="AD3106">
        <f>RAND()</f>
        <v/>
      </c>
      <c r="AE3106">
        <f>RAND()</f>
        <v/>
      </c>
      <c r="AF3106">
        <f>RAND()</f>
        <v/>
      </c>
    </row>
    <row r="3107">
      <c r="M3107" s="14">
        <f>_xlfn.BETA.INV($AA3107,1+4*($D$5-$C$5)/($E$5-$C$5),1+4*($E$5-$D$5)/($E$5-$C$5),$C$5,$E$5)</f>
        <v/>
      </c>
      <c r="N3107" s="14">
        <f>IF($AB3107&lt;($D$6-$C$6)/($E$6-$C$6),$C$6+SQRT($AB3107*($E$6-$C$6)*($D$6-$C$6)),$E$6-SQRT((1-$AB3107)*($E$6-$C$6)*($E$6-$D$6)))</f>
        <v/>
      </c>
      <c r="O3107" s="14">
        <f>_xlfn.NORM.INV($AC3107,$C$7,$D$7)</f>
        <v/>
      </c>
      <c r="P3107" s="14">
        <f>$C$8+($D$8-$C$8)*$AD3107</f>
        <v/>
      </c>
      <c r="Q3107" s="14">
        <f>$C$9</f>
        <v/>
      </c>
      <c r="R3107" s="14">
        <f>_xlfn.LOGNORM.INV($AF3107,LN($C$10)-0.5*LN(1+($D$10/$C$10)^2),SQRT(LN(1+($D$10/$C$10)^2)))</f>
        <v/>
      </c>
      <c r="S3107" s="14">
        <f>SUM(M3107:R3107)</f>
        <v/>
      </c>
      <c r="AA3107">
        <f>RAND()</f>
        <v/>
      </c>
      <c r="AB3107">
        <f>RAND()</f>
        <v/>
      </c>
      <c r="AC3107">
        <f>RAND()</f>
        <v/>
      </c>
      <c r="AD3107">
        <f>RAND()</f>
        <v/>
      </c>
      <c r="AE3107">
        <f>RAND()</f>
        <v/>
      </c>
      <c r="AF3107">
        <f>RAND()</f>
        <v/>
      </c>
    </row>
    <row r="3108">
      <c r="M3108" s="14">
        <f>_xlfn.BETA.INV($AA3108,1+4*($D$5-$C$5)/($E$5-$C$5),1+4*($E$5-$D$5)/($E$5-$C$5),$C$5,$E$5)</f>
        <v/>
      </c>
      <c r="N3108" s="14">
        <f>IF($AB3108&lt;($D$6-$C$6)/($E$6-$C$6),$C$6+SQRT($AB3108*($E$6-$C$6)*($D$6-$C$6)),$E$6-SQRT((1-$AB3108)*($E$6-$C$6)*($E$6-$D$6)))</f>
        <v/>
      </c>
      <c r="O3108" s="14">
        <f>_xlfn.NORM.INV($AC3108,$C$7,$D$7)</f>
        <v/>
      </c>
      <c r="P3108" s="14">
        <f>$C$8+($D$8-$C$8)*$AD3108</f>
        <v/>
      </c>
      <c r="Q3108" s="14">
        <f>$C$9</f>
        <v/>
      </c>
      <c r="R3108" s="14">
        <f>_xlfn.LOGNORM.INV($AF3108,LN($C$10)-0.5*LN(1+($D$10/$C$10)^2),SQRT(LN(1+($D$10/$C$10)^2)))</f>
        <v/>
      </c>
      <c r="S3108" s="14">
        <f>SUM(M3108:R3108)</f>
        <v/>
      </c>
      <c r="AA3108">
        <f>RAND()</f>
        <v/>
      </c>
      <c r="AB3108">
        <f>RAND()</f>
        <v/>
      </c>
      <c r="AC3108">
        <f>RAND()</f>
        <v/>
      </c>
      <c r="AD3108">
        <f>RAND()</f>
        <v/>
      </c>
      <c r="AE3108">
        <f>RAND()</f>
        <v/>
      </c>
      <c r="AF3108">
        <f>RAND()</f>
        <v/>
      </c>
    </row>
    <row r="3109">
      <c r="M3109" s="14">
        <f>_xlfn.BETA.INV($AA3109,1+4*($D$5-$C$5)/($E$5-$C$5),1+4*($E$5-$D$5)/($E$5-$C$5),$C$5,$E$5)</f>
        <v/>
      </c>
      <c r="N3109" s="14">
        <f>IF($AB3109&lt;($D$6-$C$6)/($E$6-$C$6),$C$6+SQRT($AB3109*($E$6-$C$6)*($D$6-$C$6)),$E$6-SQRT((1-$AB3109)*($E$6-$C$6)*($E$6-$D$6)))</f>
        <v/>
      </c>
      <c r="O3109" s="14">
        <f>_xlfn.NORM.INV($AC3109,$C$7,$D$7)</f>
        <v/>
      </c>
      <c r="P3109" s="14">
        <f>$C$8+($D$8-$C$8)*$AD3109</f>
        <v/>
      </c>
      <c r="Q3109" s="14">
        <f>$C$9</f>
        <v/>
      </c>
      <c r="R3109" s="14">
        <f>_xlfn.LOGNORM.INV($AF3109,LN($C$10)-0.5*LN(1+($D$10/$C$10)^2),SQRT(LN(1+($D$10/$C$10)^2)))</f>
        <v/>
      </c>
      <c r="S3109" s="14">
        <f>SUM(M3109:R3109)</f>
        <v/>
      </c>
      <c r="AA3109">
        <f>RAND()</f>
        <v/>
      </c>
      <c r="AB3109">
        <f>RAND()</f>
        <v/>
      </c>
      <c r="AC3109">
        <f>RAND()</f>
        <v/>
      </c>
      <c r="AD3109">
        <f>RAND()</f>
        <v/>
      </c>
      <c r="AE3109">
        <f>RAND()</f>
        <v/>
      </c>
      <c r="AF3109">
        <f>RAND()</f>
        <v/>
      </c>
    </row>
    <row r="3110">
      <c r="M3110" s="14">
        <f>_xlfn.BETA.INV($AA3110,1+4*($D$5-$C$5)/($E$5-$C$5),1+4*($E$5-$D$5)/($E$5-$C$5),$C$5,$E$5)</f>
        <v/>
      </c>
      <c r="N3110" s="14">
        <f>IF($AB3110&lt;($D$6-$C$6)/($E$6-$C$6),$C$6+SQRT($AB3110*($E$6-$C$6)*($D$6-$C$6)),$E$6-SQRT((1-$AB3110)*($E$6-$C$6)*($E$6-$D$6)))</f>
        <v/>
      </c>
      <c r="O3110" s="14">
        <f>_xlfn.NORM.INV($AC3110,$C$7,$D$7)</f>
        <v/>
      </c>
      <c r="P3110" s="14">
        <f>$C$8+($D$8-$C$8)*$AD3110</f>
        <v/>
      </c>
      <c r="Q3110" s="14">
        <f>$C$9</f>
        <v/>
      </c>
      <c r="R3110" s="14">
        <f>_xlfn.LOGNORM.INV($AF3110,LN($C$10)-0.5*LN(1+($D$10/$C$10)^2),SQRT(LN(1+($D$10/$C$10)^2)))</f>
        <v/>
      </c>
      <c r="S3110" s="14">
        <f>SUM(M3110:R3110)</f>
        <v/>
      </c>
      <c r="AA3110">
        <f>RAND()</f>
        <v/>
      </c>
      <c r="AB3110">
        <f>RAND()</f>
        <v/>
      </c>
      <c r="AC3110">
        <f>RAND()</f>
        <v/>
      </c>
      <c r="AD3110">
        <f>RAND()</f>
        <v/>
      </c>
      <c r="AE3110">
        <f>RAND()</f>
        <v/>
      </c>
      <c r="AF3110">
        <f>RAND()</f>
        <v/>
      </c>
    </row>
    <row r="3111">
      <c r="M3111" s="14">
        <f>_xlfn.BETA.INV($AA3111,1+4*($D$5-$C$5)/($E$5-$C$5),1+4*($E$5-$D$5)/($E$5-$C$5),$C$5,$E$5)</f>
        <v/>
      </c>
      <c r="N3111" s="14">
        <f>IF($AB3111&lt;($D$6-$C$6)/($E$6-$C$6),$C$6+SQRT($AB3111*($E$6-$C$6)*($D$6-$C$6)),$E$6-SQRT((1-$AB3111)*($E$6-$C$6)*($E$6-$D$6)))</f>
        <v/>
      </c>
      <c r="O3111" s="14">
        <f>_xlfn.NORM.INV($AC3111,$C$7,$D$7)</f>
        <v/>
      </c>
      <c r="P3111" s="14">
        <f>$C$8+($D$8-$C$8)*$AD3111</f>
        <v/>
      </c>
      <c r="Q3111" s="14">
        <f>$C$9</f>
        <v/>
      </c>
      <c r="R3111" s="14">
        <f>_xlfn.LOGNORM.INV($AF3111,LN($C$10)-0.5*LN(1+($D$10/$C$10)^2),SQRT(LN(1+($D$10/$C$10)^2)))</f>
        <v/>
      </c>
      <c r="S3111" s="14">
        <f>SUM(M3111:R3111)</f>
        <v/>
      </c>
      <c r="AA3111">
        <f>RAND()</f>
        <v/>
      </c>
      <c r="AB3111">
        <f>RAND()</f>
        <v/>
      </c>
      <c r="AC3111">
        <f>RAND()</f>
        <v/>
      </c>
      <c r="AD3111">
        <f>RAND()</f>
        <v/>
      </c>
      <c r="AE3111">
        <f>RAND()</f>
        <v/>
      </c>
      <c r="AF3111">
        <f>RAND()</f>
        <v/>
      </c>
    </row>
    <row r="3112">
      <c r="M3112" s="14">
        <f>_xlfn.BETA.INV($AA3112,1+4*($D$5-$C$5)/($E$5-$C$5),1+4*($E$5-$D$5)/($E$5-$C$5),$C$5,$E$5)</f>
        <v/>
      </c>
      <c r="N3112" s="14">
        <f>IF($AB3112&lt;($D$6-$C$6)/($E$6-$C$6),$C$6+SQRT($AB3112*($E$6-$C$6)*($D$6-$C$6)),$E$6-SQRT((1-$AB3112)*($E$6-$C$6)*($E$6-$D$6)))</f>
        <v/>
      </c>
      <c r="O3112" s="14">
        <f>_xlfn.NORM.INV($AC3112,$C$7,$D$7)</f>
        <v/>
      </c>
      <c r="P3112" s="14">
        <f>$C$8+($D$8-$C$8)*$AD3112</f>
        <v/>
      </c>
      <c r="Q3112" s="14">
        <f>$C$9</f>
        <v/>
      </c>
      <c r="R3112" s="14">
        <f>_xlfn.LOGNORM.INV($AF3112,LN($C$10)-0.5*LN(1+($D$10/$C$10)^2),SQRT(LN(1+($D$10/$C$10)^2)))</f>
        <v/>
      </c>
      <c r="S3112" s="14">
        <f>SUM(M3112:R3112)</f>
        <v/>
      </c>
      <c r="AA3112">
        <f>RAND()</f>
        <v/>
      </c>
      <c r="AB3112">
        <f>RAND()</f>
        <v/>
      </c>
      <c r="AC3112">
        <f>RAND()</f>
        <v/>
      </c>
      <c r="AD3112">
        <f>RAND()</f>
        <v/>
      </c>
      <c r="AE3112">
        <f>RAND()</f>
        <v/>
      </c>
      <c r="AF3112">
        <f>RAND()</f>
        <v/>
      </c>
    </row>
    <row r="3113">
      <c r="M3113" s="14">
        <f>_xlfn.BETA.INV($AA3113,1+4*($D$5-$C$5)/($E$5-$C$5),1+4*($E$5-$D$5)/($E$5-$C$5),$C$5,$E$5)</f>
        <v/>
      </c>
      <c r="N3113" s="14">
        <f>IF($AB3113&lt;($D$6-$C$6)/($E$6-$C$6),$C$6+SQRT($AB3113*($E$6-$C$6)*($D$6-$C$6)),$E$6-SQRT((1-$AB3113)*($E$6-$C$6)*($E$6-$D$6)))</f>
        <v/>
      </c>
      <c r="O3113" s="14">
        <f>_xlfn.NORM.INV($AC3113,$C$7,$D$7)</f>
        <v/>
      </c>
      <c r="P3113" s="14">
        <f>$C$8+($D$8-$C$8)*$AD3113</f>
        <v/>
      </c>
      <c r="Q3113" s="14">
        <f>$C$9</f>
        <v/>
      </c>
      <c r="R3113" s="14">
        <f>_xlfn.LOGNORM.INV($AF3113,LN($C$10)-0.5*LN(1+($D$10/$C$10)^2),SQRT(LN(1+($D$10/$C$10)^2)))</f>
        <v/>
      </c>
      <c r="S3113" s="14">
        <f>SUM(M3113:R3113)</f>
        <v/>
      </c>
      <c r="AA3113">
        <f>RAND()</f>
        <v/>
      </c>
      <c r="AB3113">
        <f>RAND()</f>
        <v/>
      </c>
      <c r="AC3113">
        <f>RAND()</f>
        <v/>
      </c>
      <c r="AD3113">
        <f>RAND()</f>
        <v/>
      </c>
      <c r="AE3113">
        <f>RAND()</f>
        <v/>
      </c>
      <c r="AF3113">
        <f>RAND()</f>
        <v/>
      </c>
    </row>
    <row r="3114">
      <c r="M3114" s="14">
        <f>_xlfn.BETA.INV($AA3114,1+4*($D$5-$C$5)/($E$5-$C$5),1+4*($E$5-$D$5)/($E$5-$C$5),$C$5,$E$5)</f>
        <v/>
      </c>
      <c r="N3114" s="14">
        <f>IF($AB3114&lt;($D$6-$C$6)/($E$6-$C$6),$C$6+SQRT($AB3114*($E$6-$C$6)*($D$6-$C$6)),$E$6-SQRT((1-$AB3114)*($E$6-$C$6)*($E$6-$D$6)))</f>
        <v/>
      </c>
      <c r="O3114" s="14">
        <f>_xlfn.NORM.INV($AC3114,$C$7,$D$7)</f>
        <v/>
      </c>
      <c r="P3114" s="14">
        <f>$C$8+($D$8-$C$8)*$AD3114</f>
        <v/>
      </c>
      <c r="Q3114" s="14">
        <f>$C$9</f>
        <v/>
      </c>
      <c r="R3114" s="14">
        <f>_xlfn.LOGNORM.INV($AF3114,LN($C$10)-0.5*LN(1+($D$10/$C$10)^2),SQRT(LN(1+($D$10/$C$10)^2)))</f>
        <v/>
      </c>
      <c r="S3114" s="14">
        <f>SUM(M3114:R3114)</f>
        <v/>
      </c>
      <c r="AA3114">
        <f>RAND()</f>
        <v/>
      </c>
      <c r="AB3114">
        <f>RAND()</f>
        <v/>
      </c>
      <c r="AC3114">
        <f>RAND()</f>
        <v/>
      </c>
      <c r="AD3114">
        <f>RAND()</f>
        <v/>
      </c>
      <c r="AE3114">
        <f>RAND()</f>
        <v/>
      </c>
      <c r="AF3114">
        <f>RAND()</f>
        <v/>
      </c>
    </row>
    <row r="3115">
      <c r="M3115" s="14">
        <f>_xlfn.BETA.INV($AA3115,1+4*($D$5-$C$5)/($E$5-$C$5),1+4*($E$5-$D$5)/($E$5-$C$5),$C$5,$E$5)</f>
        <v/>
      </c>
      <c r="N3115" s="14">
        <f>IF($AB3115&lt;($D$6-$C$6)/($E$6-$C$6),$C$6+SQRT($AB3115*($E$6-$C$6)*($D$6-$C$6)),$E$6-SQRT((1-$AB3115)*($E$6-$C$6)*($E$6-$D$6)))</f>
        <v/>
      </c>
      <c r="O3115" s="14">
        <f>_xlfn.NORM.INV($AC3115,$C$7,$D$7)</f>
        <v/>
      </c>
      <c r="P3115" s="14">
        <f>$C$8+($D$8-$C$8)*$AD3115</f>
        <v/>
      </c>
      <c r="Q3115" s="14">
        <f>$C$9</f>
        <v/>
      </c>
      <c r="R3115" s="14">
        <f>_xlfn.LOGNORM.INV($AF3115,LN($C$10)-0.5*LN(1+($D$10/$C$10)^2),SQRT(LN(1+($D$10/$C$10)^2)))</f>
        <v/>
      </c>
      <c r="S3115" s="14">
        <f>SUM(M3115:R3115)</f>
        <v/>
      </c>
      <c r="AA3115">
        <f>RAND()</f>
        <v/>
      </c>
      <c r="AB3115">
        <f>RAND()</f>
        <v/>
      </c>
      <c r="AC3115">
        <f>RAND()</f>
        <v/>
      </c>
      <c r="AD3115">
        <f>RAND()</f>
        <v/>
      </c>
      <c r="AE3115">
        <f>RAND()</f>
        <v/>
      </c>
      <c r="AF3115">
        <f>RAND()</f>
        <v/>
      </c>
    </row>
    <row r="3116">
      <c r="M3116" s="14">
        <f>_xlfn.BETA.INV($AA3116,1+4*($D$5-$C$5)/($E$5-$C$5),1+4*($E$5-$D$5)/($E$5-$C$5),$C$5,$E$5)</f>
        <v/>
      </c>
      <c r="N3116" s="14">
        <f>IF($AB3116&lt;($D$6-$C$6)/($E$6-$C$6),$C$6+SQRT($AB3116*($E$6-$C$6)*($D$6-$C$6)),$E$6-SQRT((1-$AB3116)*($E$6-$C$6)*($E$6-$D$6)))</f>
        <v/>
      </c>
      <c r="O3116" s="14">
        <f>_xlfn.NORM.INV($AC3116,$C$7,$D$7)</f>
        <v/>
      </c>
      <c r="P3116" s="14">
        <f>$C$8+($D$8-$C$8)*$AD3116</f>
        <v/>
      </c>
      <c r="Q3116" s="14">
        <f>$C$9</f>
        <v/>
      </c>
      <c r="R3116" s="14">
        <f>_xlfn.LOGNORM.INV($AF3116,LN($C$10)-0.5*LN(1+($D$10/$C$10)^2),SQRT(LN(1+($D$10/$C$10)^2)))</f>
        <v/>
      </c>
      <c r="S3116" s="14">
        <f>SUM(M3116:R3116)</f>
        <v/>
      </c>
      <c r="AA3116">
        <f>RAND()</f>
        <v/>
      </c>
      <c r="AB3116">
        <f>RAND()</f>
        <v/>
      </c>
      <c r="AC3116">
        <f>RAND()</f>
        <v/>
      </c>
      <c r="AD3116">
        <f>RAND()</f>
        <v/>
      </c>
      <c r="AE3116">
        <f>RAND()</f>
        <v/>
      </c>
      <c r="AF3116">
        <f>RAND()</f>
        <v/>
      </c>
    </row>
    <row r="3117">
      <c r="M3117" s="14">
        <f>_xlfn.BETA.INV($AA3117,1+4*($D$5-$C$5)/($E$5-$C$5),1+4*($E$5-$D$5)/($E$5-$C$5),$C$5,$E$5)</f>
        <v/>
      </c>
      <c r="N3117" s="14">
        <f>IF($AB3117&lt;($D$6-$C$6)/($E$6-$C$6),$C$6+SQRT($AB3117*($E$6-$C$6)*($D$6-$C$6)),$E$6-SQRT((1-$AB3117)*($E$6-$C$6)*($E$6-$D$6)))</f>
        <v/>
      </c>
      <c r="O3117" s="14">
        <f>_xlfn.NORM.INV($AC3117,$C$7,$D$7)</f>
        <v/>
      </c>
      <c r="P3117" s="14">
        <f>$C$8+($D$8-$C$8)*$AD3117</f>
        <v/>
      </c>
      <c r="Q3117" s="14">
        <f>$C$9</f>
        <v/>
      </c>
      <c r="R3117" s="14">
        <f>_xlfn.LOGNORM.INV($AF3117,LN($C$10)-0.5*LN(1+($D$10/$C$10)^2),SQRT(LN(1+($D$10/$C$10)^2)))</f>
        <v/>
      </c>
      <c r="S3117" s="14">
        <f>SUM(M3117:R3117)</f>
        <v/>
      </c>
      <c r="AA3117">
        <f>RAND()</f>
        <v/>
      </c>
      <c r="AB3117">
        <f>RAND()</f>
        <v/>
      </c>
      <c r="AC3117">
        <f>RAND()</f>
        <v/>
      </c>
      <c r="AD3117">
        <f>RAND()</f>
        <v/>
      </c>
      <c r="AE3117">
        <f>RAND()</f>
        <v/>
      </c>
      <c r="AF3117">
        <f>RAND()</f>
        <v/>
      </c>
    </row>
    <row r="3118">
      <c r="M3118" s="14">
        <f>_xlfn.BETA.INV($AA3118,1+4*($D$5-$C$5)/($E$5-$C$5),1+4*($E$5-$D$5)/($E$5-$C$5),$C$5,$E$5)</f>
        <v/>
      </c>
      <c r="N3118" s="14">
        <f>IF($AB3118&lt;($D$6-$C$6)/($E$6-$C$6),$C$6+SQRT($AB3118*($E$6-$C$6)*($D$6-$C$6)),$E$6-SQRT((1-$AB3118)*($E$6-$C$6)*($E$6-$D$6)))</f>
        <v/>
      </c>
      <c r="O3118" s="14">
        <f>_xlfn.NORM.INV($AC3118,$C$7,$D$7)</f>
        <v/>
      </c>
      <c r="P3118" s="14">
        <f>$C$8+($D$8-$C$8)*$AD3118</f>
        <v/>
      </c>
      <c r="Q3118" s="14">
        <f>$C$9</f>
        <v/>
      </c>
      <c r="R3118" s="14">
        <f>_xlfn.LOGNORM.INV($AF3118,LN($C$10)-0.5*LN(1+($D$10/$C$10)^2),SQRT(LN(1+($D$10/$C$10)^2)))</f>
        <v/>
      </c>
      <c r="S3118" s="14">
        <f>SUM(M3118:R3118)</f>
        <v/>
      </c>
      <c r="AA3118">
        <f>RAND()</f>
        <v/>
      </c>
      <c r="AB3118">
        <f>RAND()</f>
        <v/>
      </c>
      <c r="AC3118">
        <f>RAND()</f>
        <v/>
      </c>
      <c r="AD3118">
        <f>RAND()</f>
        <v/>
      </c>
      <c r="AE3118">
        <f>RAND()</f>
        <v/>
      </c>
      <c r="AF3118">
        <f>RAND()</f>
        <v/>
      </c>
    </row>
    <row r="3119">
      <c r="M3119" s="14">
        <f>_xlfn.BETA.INV($AA3119,1+4*($D$5-$C$5)/($E$5-$C$5),1+4*($E$5-$D$5)/($E$5-$C$5),$C$5,$E$5)</f>
        <v/>
      </c>
      <c r="N3119" s="14">
        <f>IF($AB3119&lt;($D$6-$C$6)/($E$6-$C$6),$C$6+SQRT($AB3119*($E$6-$C$6)*($D$6-$C$6)),$E$6-SQRT((1-$AB3119)*($E$6-$C$6)*($E$6-$D$6)))</f>
        <v/>
      </c>
      <c r="O3119" s="14">
        <f>_xlfn.NORM.INV($AC3119,$C$7,$D$7)</f>
        <v/>
      </c>
      <c r="P3119" s="14">
        <f>$C$8+($D$8-$C$8)*$AD3119</f>
        <v/>
      </c>
      <c r="Q3119" s="14">
        <f>$C$9</f>
        <v/>
      </c>
      <c r="R3119" s="14">
        <f>_xlfn.LOGNORM.INV($AF3119,LN($C$10)-0.5*LN(1+($D$10/$C$10)^2),SQRT(LN(1+($D$10/$C$10)^2)))</f>
        <v/>
      </c>
      <c r="S3119" s="14">
        <f>SUM(M3119:R3119)</f>
        <v/>
      </c>
      <c r="AA3119">
        <f>RAND()</f>
        <v/>
      </c>
      <c r="AB3119">
        <f>RAND()</f>
        <v/>
      </c>
      <c r="AC3119">
        <f>RAND()</f>
        <v/>
      </c>
      <c r="AD3119">
        <f>RAND()</f>
        <v/>
      </c>
      <c r="AE3119">
        <f>RAND()</f>
        <v/>
      </c>
      <c r="AF3119">
        <f>RAND()</f>
        <v/>
      </c>
    </row>
    <row r="3120">
      <c r="M3120" s="14">
        <f>_xlfn.BETA.INV($AA3120,1+4*($D$5-$C$5)/($E$5-$C$5),1+4*($E$5-$D$5)/($E$5-$C$5),$C$5,$E$5)</f>
        <v/>
      </c>
      <c r="N3120" s="14">
        <f>IF($AB3120&lt;($D$6-$C$6)/($E$6-$C$6),$C$6+SQRT($AB3120*($E$6-$C$6)*($D$6-$C$6)),$E$6-SQRT((1-$AB3120)*($E$6-$C$6)*($E$6-$D$6)))</f>
        <v/>
      </c>
      <c r="O3120" s="14">
        <f>_xlfn.NORM.INV($AC3120,$C$7,$D$7)</f>
        <v/>
      </c>
      <c r="P3120" s="14">
        <f>$C$8+($D$8-$C$8)*$AD3120</f>
        <v/>
      </c>
      <c r="Q3120" s="14">
        <f>$C$9</f>
        <v/>
      </c>
      <c r="R3120" s="14">
        <f>_xlfn.LOGNORM.INV($AF3120,LN($C$10)-0.5*LN(1+($D$10/$C$10)^2),SQRT(LN(1+($D$10/$C$10)^2)))</f>
        <v/>
      </c>
      <c r="S3120" s="14">
        <f>SUM(M3120:R3120)</f>
        <v/>
      </c>
      <c r="AA3120">
        <f>RAND()</f>
        <v/>
      </c>
      <c r="AB3120">
        <f>RAND()</f>
        <v/>
      </c>
      <c r="AC3120">
        <f>RAND()</f>
        <v/>
      </c>
      <c r="AD3120">
        <f>RAND()</f>
        <v/>
      </c>
      <c r="AE3120">
        <f>RAND()</f>
        <v/>
      </c>
      <c r="AF3120">
        <f>RAND()</f>
        <v/>
      </c>
    </row>
    <row r="3121">
      <c r="M3121" s="14">
        <f>_xlfn.BETA.INV($AA3121,1+4*($D$5-$C$5)/($E$5-$C$5),1+4*($E$5-$D$5)/($E$5-$C$5),$C$5,$E$5)</f>
        <v/>
      </c>
      <c r="N3121" s="14">
        <f>IF($AB3121&lt;($D$6-$C$6)/($E$6-$C$6),$C$6+SQRT($AB3121*($E$6-$C$6)*($D$6-$C$6)),$E$6-SQRT((1-$AB3121)*($E$6-$C$6)*($E$6-$D$6)))</f>
        <v/>
      </c>
      <c r="O3121" s="14">
        <f>_xlfn.NORM.INV($AC3121,$C$7,$D$7)</f>
        <v/>
      </c>
      <c r="P3121" s="14">
        <f>$C$8+($D$8-$C$8)*$AD3121</f>
        <v/>
      </c>
      <c r="Q3121" s="14">
        <f>$C$9</f>
        <v/>
      </c>
      <c r="R3121" s="14">
        <f>_xlfn.LOGNORM.INV($AF3121,LN($C$10)-0.5*LN(1+($D$10/$C$10)^2),SQRT(LN(1+($D$10/$C$10)^2)))</f>
        <v/>
      </c>
      <c r="S3121" s="14">
        <f>SUM(M3121:R3121)</f>
        <v/>
      </c>
      <c r="AA3121">
        <f>RAND()</f>
        <v/>
      </c>
      <c r="AB3121">
        <f>RAND()</f>
        <v/>
      </c>
      <c r="AC3121">
        <f>RAND()</f>
        <v/>
      </c>
      <c r="AD3121">
        <f>RAND()</f>
        <v/>
      </c>
      <c r="AE3121">
        <f>RAND()</f>
        <v/>
      </c>
      <c r="AF3121">
        <f>RAND()</f>
        <v/>
      </c>
    </row>
    <row r="3122">
      <c r="M3122" s="14">
        <f>_xlfn.BETA.INV($AA3122,1+4*($D$5-$C$5)/($E$5-$C$5),1+4*($E$5-$D$5)/($E$5-$C$5),$C$5,$E$5)</f>
        <v/>
      </c>
      <c r="N3122" s="14">
        <f>IF($AB3122&lt;($D$6-$C$6)/($E$6-$C$6),$C$6+SQRT($AB3122*($E$6-$C$6)*($D$6-$C$6)),$E$6-SQRT((1-$AB3122)*($E$6-$C$6)*($E$6-$D$6)))</f>
        <v/>
      </c>
      <c r="O3122" s="14">
        <f>_xlfn.NORM.INV($AC3122,$C$7,$D$7)</f>
        <v/>
      </c>
      <c r="P3122" s="14">
        <f>$C$8+($D$8-$C$8)*$AD3122</f>
        <v/>
      </c>
      <c r="Q3122" s="14">
        <f>$C$9</f>
        <v/>
      </c>
      <c r="R3122" s="14">
        <f>_xlfn.LOGNORM.INV($AF3122,LN($C$10)-0.5*LN(1+($D$10/$C$10)^2),SQRT(LN(1+($D$10/$C$10)^2)))</f>
        <v/>
      </c>
      <c r="S3122" s="14">
        <f>SUM(M3122:R3122)</f>
        <v/>
      </c>
      <c r="AA3122">
        <f>RAND()</f>
        <v/>
      </c>
      <c r="AB3122">
        <f>RAND()</f>
        <v/>
      </c>
      <c r="AC3122">
        <f>RAND()</f>
        <v/>
      </c>
      <c r="AD3122">
        <f>RAND()</f>
        <v/>
      </c>
      <c r="AE3122">
        <f>RAND()</f>
        <v/>
      </c>
      <c r="AF3122">
        <f>RAND()</f>
        <v/>
      </c>
    </row>
    <row r="3123">
      <c r="M3123" s="14">
        <f>_xlfn.BETA.INV($AA3123,1+4*($D$5-$C$5)/($E$5-$C$5),1+4*($E$5-$D$5)/($E$5-$C$5),$C$5,$E$5)</f>
        <v/>
      </c>
      <c r="N3123" s="14">
        <f>IF($AB3123&lt;($D$6-$C$6)/($E$6-$C$6),$C$6+SQRT($AB3123*($E$6-$C$6)*($D$6-$C$6)),$E$6-SQRT((1-$AB3123)*($E$6-$C$6)*($E$6-$D$6)))</f>
        <v/>
      </c>
      <c r="O3123" s="14">
        <f>_xlfn.NORM.INV($AC3123,$C$7,$D$7)</f>
        <v/>
      </c>
      <c r="P3123" s="14">
        <f>$C$8+($D$8-$C$8)*$AD3123</f>
        <v/>
      </c>
      <c r="Q3123" s="14">
        <f>$C$9</f>
        <v/>
      </c>
      <c r="R3123" s="14">
        <f>_xlfn.LOGNORM.INV($AF3123,LN($C$10)-0.5*LN(1+($D$10/$C$10)^2),SQRT(LN(1+($D$10/$C$10)^2)))</f>
        <v/>
      </c>
      <c r="S3123" s="14">
        <f>SUM(M3123:R3123)</f>
        <v/>
      </c>
      <c r="AA3123">
        <f>RAND()</f>
        <v/>
      </c>
      <c r="AB3123">
        <f>RAND()</f>
        <v/>
      </c>
      <c r="AC3123">
        <f>RAND()</f>
        <v/>
      </c>
      <c r="AD3123">
        <f>RAND()</f>
        <v/>
      </c>
      <c r="AE3123">
        <f>RAND()</f>
        <v/>
      </c>
      <c r="AF3123">
        <f>RAND()</f>
        <v/>
      </c>
    </row>
    <row r="3124">
      <c r="M3124" s="14">
        <f>_xlfn.BETA.INV($AA3124,1+4*($D$5-$C$5)/($E$5-$C$5),1+4*($E$5-$D$5)/($E$5-$C$5),$C$5,$E$5)</f>
        <v/>
      </c>
      <c r="N3124" s="14">
        <f>IF($AB3124&lt;($D$6-$C$6)/($E$6-$C$6),$C$6+SQRT($AB3124*($E$6-$C$6)*($D$6-$C$6)),$E$6-SQRT((1-$AB3124)*($E$6-$C$6)*($E$6-$D$6)))</f>
        <v/>
      </c>
      <c r="O3124" s="14">
        <f>_xlfn.NORM.INV($AC3124,$C$7,$D$7)</f>
        <v/>
      </c>
      <c r="P3124" s="14">
        <f>$C$8+($D$8-$C$8)*$AD3124</f>
        <v/>
      </c>
      <c r="Q3124" s="14">
        <f>$C$9</f>
        <v/>
      </c>
      <c r="R3124" s="14">
        <f>_xlfn.LOGNORM.INV($AF3124,LN($C$10)-0.5*LN(1+($D$10/$C$10)^2),SQRT(LN(1+($D$10/$C$10)^2)))</f>
        <v/>
      </c>
      <c r="S3124" s="14">
        <f>SUM(M3124:R3124)</f>
        <v/>
      </c>
      <c r="AA3124">
        <f>RAND()</f>
        <v/>
      </c>
      <c r="AB3124">
        <f>RAND()</f>
        <v/>
      </c>
      <c r="AC3124">
        <f>RAND()</f>
        <v/>
      </c>
      <c r="AD3124">
        <f>RAND()</f>
        <v/>
      </c>
      <c r="AE3124">
        <f>RAND()</f>
        <v/>
      </c>
      <c r="AF3124">
        <f>RAND()</f>
        <v/>
      </c>
    </row>
    <row r="3125">
      <c r="M3125" s="14">
        <f>_xlfn.BETA.INV($AA3125,1+4*($D$5-$C$5)/($E$5-$C$5),1+4*($E$5-$D$5)/($E$5-$C$5),$C$5,$E$5)</f>
        <v/>
      </c>
      <c r="N3125" s="14">
        <f>IF($AB3125&lt;($D$6-$C$6)/($E$6-$C$6),$C$6+SQRT($AB3125*($E$6-$C$6)*($D$6-$C$6)),$E$6-SQRT((1-$AB3125)*($E$6-$C$6)*($E$6-$D$6)))</f>
        <v/>
      </c>
      <c r="O3125" s="14">
        <f>_xlfn.NORM.INV($AC3125,$C$7,$D$7)</f>
        <v/>
      </c>
      <c r="P3125" s="14">
        <f>$C$8+($D$8-$C$8)*$AD3125</f>
        <v/>
      </c>
      <c r="Q3125" s="14">
        <f>$C$9</f>
        <v/>
      </c>
      <c r="R3125" s="14">
        <f>_xlfn.LOGNORM.INV($AF3125,LN($C$10)-0.5*LN(1+($D$10/$C$10)^2),SQRT(LN(1+($D$10/$C$10)^2)))</f>
        <v/>
      </c>
      <c r="S3125" s="14">
        <f>SUM(M3125:R3125)</f>
        <v/>
      </c>
      <c r="AA3125">
        <f>RAND()</f>
        <v/>
      </c>
      <c r="AB3125">
        <f>RAND()</f>
        <v/>
      </c>
      <c r="AC3125">
        <f>RAND()</f>
        <v/>
      </c>
      <c r="AD3125">
        <f>RAND()</f>
        <v/>
      </c>
      <c r="AE3125">
        <f>RAND()</f>
        <v/>
      </c>
      <c r="AF3125">
        <f>RAND()</f>
        <v/>
      </c>
    </row>
    <row r="3126">
      <c r="M3126" s="14">
        <f>_xlfn.BETA.INV($AA3126,1+4*($D$5-$C$5)/($E$5-$C$5),1+4*($E$5-$D$5)/($E$5-$C$5),$C$5,$E$5)</f>
        <v/>
      </c>
      <c r="N3126" s="14">
        <f>IF($AB3126&lt;($D$6-$C$6)/($E$6-$C$6),$C$6+SQRT($AB3126*($E$6-$C$6)*($D$6-$C$6)),$E$6-SQRT((1-$AB3126)*($E$6-$C$6)*($E$6-$D$6)))</f>
        <v/>
      </c>
      <c r="O3126" s="14">
        <f>_xlfn.NORM.INV($AC3126,$C$7,$D$7)</f>
        <v/>
      </c>
      <c r="P3126" s="14">
        <f>$C$8+($D$8-$C$8)*$AD3126</f>
        <v/>
      </c>
      <c r="Q3126" s="14">
        <f>$C$9</f>
        <v/>
      </c>
      <c r="R3126" s="14">
        <f>_xlfn.LOGNORM.INV($AF3126,LN($C$10)-0.5*LN(1+($D$10/$C$10)^2),SQRT(LN(1+($D$10/$C$10)^2)))</f>
        <v/>
      </c>
      <c r="S3126" s="14">
        <f>SUM(M3126:R3126)</f>
        <v/>
      </c>
      <c r="AA3126">
        <f>RAND()</f>
        <v/>
      </c>
      <c r="AB3126">
        <f>RAND()</f>
        <v/>
      </c>
      <c r="AC3126">
        <f>RAND()</f>
        <v/>
      </c>
      <c r="AD3126">
        <f>RAND()</f>
        <v/>
      </c>
      <c r="AE3126">
        <f>RAND()</f>
        <v/>
      </c>
      <c r="AF3126">
        <f>RAND()</f>
        <v/>
      </c>
    </row>
    <row r="3127">
      <c r="M3127" s="14">
        <f>_xlfn.BETA.INV($AA3127,1+4*($D$5-$C$5)/($E$5-$C$5),1+4*($E$5-$D$5)/($E$5-$C$5),$C$5,$E$5)</f>
        <v/>
      </c>
      <c r="N3127" s="14">
        <f>IF($AB3127&lt;($D$6-$C$6)/($E$6-$C$6),$C$6+SQRT($AB3127*($E$6-$C$6)*($D$6-$C$6)),$E$6-SQRT((1-$AB3127)*($E$6-$C$6)*($E$6-$D$6)))</f>
        <v/>
      </c>
      <c r="O3127" s="14">
        <f>_xlfn.NORM.INV($AC3127,$C$7,$D$7)</f>
        <v/>
      </c>
      <c r="P3127" s="14">
        <f>$C$8+($D$8-$C$8)*$AD3127</f>
        <v/>
      </c>
      <c r="Q3127" s="14">
        <f>$C$9</f>
        <v/>
      </c>
      <c r="R3127" s="14">
        <f>_xlfn.LOGNORM.INV($AF3127,LN($C$10)-0.5*LN(1+($D$10/$C$10)^2),SQRT(LN(1+($D$10/$C$10)^2)))</f>
        <v/>
      </c>
      <c r="S3127" s="14">
        <f>SUM(M3127:R3127)</f>
        <v/>
      </c>
      <c r="AA3127">
        <f>RAND()</f>
        <v/>
      </c>
      <c r="AB3127">
        <f>RAND()</f>
        <v/>
      </c>
      <c r="AC3127">
        <f>RAND()</f>
        <v/>
      </c>
      <c r="AD3127">
        <f>RAND()</f>
        <v/>
      </c>
      <c r="AE3127">
        <f>RAND()</f>
        <v/>
      </c>
      <c r="AF3127">
        <f>RAND()</f>
        <v/>
      </c>
    </row>
    <row r="3128">
      <c r="M3128" s="14">
        <f>_xlfn.BETA.INV($AA3128,1+4*($D$5-$C$5)/($E$5-$C$5),1+4*($E$5-$D$5)/($E$5-$C$5),$C$5,$E$5)</f>
        <v/>
      </c>
      <c r="N3128" s="14">
        <f>IF($AB3128&lt;($D$6-$C$6)/($E$6-$C$6),$C$6+SQRT($AB3128*($E$6-$C$6)*($D$6-$C$6)),$E$6-SQRT((1-$AB3128)*($E$6-$C$6)*($E$6-$D$6)))</f>
        <v/>
      </c>
      <c r="O3128" s="14">
        <f>_xlfn.NORM.INV($AC3128,$C$7,$D$7)</f>
        <v/>
      </c>
      <c r="P3128" s="14">
        <f>$C$8+($D$8-$C$8)*$AD3128</f>
        <v/>
      </c>
      <c r="Q3128" s="14">
        <f>$C$9</f>
        <v/>
      </c>
      <c r="R3128" s="14">
        <f>_xlfn.LOGNORM.INV($AF3128,LN($C$10)-0.5*LN(1+($D$10/$C$10)^2),SQRT(LN(1+($D$10/$C$10)^2)))</f>
        <v/>
      </c>
      <c r="S3128" s="14">
        <f>SUM(M3128:R3128)</f>
        <v/>
      </c>
      <c r="AA3128">
        <f>RAND()</f>
        <v/>
      </c>
      <c r="AB3128">
        <f>RAND()</f>
        <v/>
      </c>
      <c r="AC3128">
        <f>RAND()</f>
        <v/>
      </c>
      <c r="AD3128">
        <f>RAND()</f>
        <v/>
      </c>
      <c r="AE3128">
        <f>RAND()</f>
        <v/>
      </c>
      <c r="AF3128">
        <f>RAND()</f>
        <v/>
      </c>
    </row>
    <row r="3129">
      <c r="M3129" s="14">
        <f>_xlfn.BETA.INV($AA3129,1+4*($D$5-$C$5)/($E$5-$C$5),1+4*($E$5-$D$5)/($E$5-$C$5),$C$5,$E$5)</f>
        <v/>
      </c>
      <c r="N3129" s="14">
        <f>IF($AB3129&lt;($D$6-$C$6)/($E$6-$C$6),$C$6+SQRT($AB3129*($E$6-$C$6)*($D$6-$C$6)),$E$6-SQRT((1-$AB3129)*($E$6-$C$6)*($E$6-$D$6)))</f>
        <v/>
      </c>
      <c r="O3129" s="14">
        <f>_xlfn.NORM.INV($AC3129,$C$7,$D$7)</f>
        <v/>
      </c>
      <c r="P3129" s="14">
        <f>$C$8+($D$8-$C$8)*$AD3129</f>
        <v/>
      </c>
      <c r="Q3129" s="14">
        <f>$C$9</f>
        <v/>
      </c>
      <c r="R3129" s="14">
        <f>_xlfn.LOGNORM.INV($AF3129,LN($C$10)-0.5*LN(1+($D$10/$C$10)^2),SQRT(LN(1+($D$10/$C$10)^2)))</f>
        <v/>
      </c>
      <c r="S3129" s="14">
        <f>SUM(M3129:R3129)</f>
        <v/>
      </c>
      <c r="AA3129">
        <f>RAND()</f>
        <v/>
      </c>
      <c r="AB3129">
        <f>RAND()</f>
        <v/>
      </c>
      <c r="AC3129">
        <f>RAND()</f>
        <v/>
      </c>
      <c r="AD3129">
        <f>RAND()</f>
        <v/>
      </c>
      <c r="AE3129">
        <f>RAND()</f>
        <v/>
      </c>
      <c r="AF3129">
        <f>RAND()</f>
        <v/>
      </c>
    </row>
    <row r="3130">
      <c r="M3130" s="14">
        <f>_xlfn.BETA.INV($AA3130,1+4*($D$5-$C$5)/($E$5-$C$5),1+4*($E$5-$D$5)/($E$5-$C$5),$C$5,$E$5)</f>
        <v/>
      </c>
      <c r="N3130" s="14">
        <f>IF($AB3130&lt;($D$6-$C$6)/($E$6-$C$6),$C$6+SQRT($AB3130*($E$6-$C$6)*($D$6-$C$6)),$E$6-SQRT((1-$AB3130)*($E$6-$C$6)*($E$6-$D$6)))</f>
        <v/>
      </c>
      <c r="O3130" s="14">
        <f>_xlfn.NORM.INV($AC3130,$C$7,$D$7)</f>
        <v/>
      </c>
      <c r="P3130" s="14">
        <f>$C$8+($D$8-$C$8)*$AD3130</f>
        <v/>
      </c>
      <c r="Q3130" s="14">
        <f>$C$9</f>
        <v/>
      </c>
      <c r="R3130" s="14">
        <f>_xlfn.LOGNORM.INV($AF3130,LN($C$10)-0.5*LN(1+($D$10/$C$10)^2),SQRT(LN(1+($D$10/$C$10)^2)))</f>
        <v/>
      </c>
      <c r="S3130" s="14">
        <f>SUM(M3130:R3130)</f>
        <v/>
      </c>
      <c r="AA3130">
        <f>RAND()</f>
        <v/>
      </c>
      <c r="AB3130">
        <f>RAND()</f>
        <v/>
      </c>
      <c r="AC3130">
        <f>RAND()</f>
        <v/>
      </c>
      <c r="AD3130">
        <f>RAND()</f>
        <v/>
      </c>
      <c r="AE3130">
        <f>RAND()</f>
        <v/>
      </c>
      <c r="AF3130">
        <f>RAND()</f>
        <v/>
      </c>
    </row>
    <row r="3131">
      <c r="M3131" s="14">
        <f>_xlfn.BETA.INV($AA3131,1+4*($D$5-$C$5)/($E$5-$C$5),1+4*($E$5-$D$5)/($E$5-$C$5),$C$5,$E$5)</f>
        <v/>
      </c>
      <c r="N3131" s="14">
        <f>IF($AB3131&lt;($D$6-$C$6)/($E$6-$C$6),$C$6+SQRT($AB3131*($E$6-$C$6)*($D$6-$C$6)),$E$6-SQRT((1-$AB3131)*($E$6-$C$6)*($E$6-$D$6)))</f>
        <v/>
      </c>
      <c r="O3131" s="14">
        <f>_xlfn.NORM.INV($AC3131,$C$7,$D$7)</f>
        <v/>
      </c>
      <c r="P3131" s="14">
        <f>$C$8+($D$8-$C$8)*$AD3131</f>
        <v/>
      </c>
      <c r="Q3131" s="14">
        <f>$C$9</f>
        <v/>
      </c>
      <c r="R3131" s="14">
        <f>_xlfn.LOGNORM.INV($AF3131,LN($C$10)-0.5*LN(1+($D$10/$C$10)^2),SQRT(LN(1+($D$10/$C$10)^2)))</f>
        <v/>
      </c>
      <c r="S3131" s="14">
        <f>SUM(M3131:R3131)</f>
        <v/>
      </c>
      <c r="AA3131">
        <f>RAND()</f>
        <v/>
      </c>
      <c r="AB3131">
        <f>RAND()</f>
        <v/>
      </c>
      <c r="AC3131">
        <f>RAND()</f>
        <v/>
      </c>
      <c r="AD3131">
        <f>RAND()</f>
        <v/>
      </c>
      <c r="AE3131">
        <f>RAND()</f>
        <v/>
      </c>
      <c r="AF3131">
        <f>RAND()</f>
        <v/>
      </c>
    </row>
    <row r="3132">
      <c r="M3132" s="14">
        <f>_xlfn.BETA.INV($AA3132,1+4*($D$5-$C$5)/($E$5-$C$5),1+4*($E$5-$D$5)/($E$5-$C$5),$C$5,$E$5)</f>
        <v/>
      </c>
      <c r="N3132" s="14">
        <f>IF($AB3132&lt;($D$6-$C$6)/($E$6-$C$6),$C$6+SQRT($AB3132*($E$6-$C$6)*($D$6-$C$6)),$E$6-SQRT((1-$AB3132)*($E$6-$C$6)*($E$6-$D$6)))</f>
        <v/>
      </c>
      <c r="O3132" s="14">
        <f>_xlfn.NORM.INV($AC3132,$C$7,$D$7)</f>
        <v/>
      </c>
      <c r="P3132" s="14">
        <f>$C$8+($D$8-$C$8)*$AD3132</f>
        <v/>
      </c>
      <c r="Q3132" s="14">
        <f>$C$9</f>
        <v/>
      </c>
      <c r="R3132" s="14">
        <f>_xlfn.LOGNORM.INV($AF3132,LN($C$10)-0.5*LN(1+($D$10/$C$10)^2),SQRT(LN(1+($D$10/$C$10)^2)))</f>
        <v/>
      </c>
      <c r="S3132" s="14">
        <f>SUM(M3132:R3132)</f>
        <v/>
      </c>
      <c r="AA3132">
        <f>RAND()</f>
        <v/>
      </c>
      <c r="AB3132">
        <f>RAND()</f>
        <v/>
      </c>
      <c r="AC3132">
        <f>RAND()</f>
        <v/>
      </c>
      <c r="AD3132">
        <f>RAND()</f>
        <v/>
      </c>
      <c r="AE3132">
        <f>RAND()</f>
        <v/>
      </c>
      <c r="AF3132">
        <f>RAND()</f>
        <v/>
      </c>
    </row>
    <row r="3133">
      <c r="M3133" s="14">
        <f>_xlfn.BETA.INV($AA3133,1+4*($D$5-$C$5)/($E$5-$C$5),1+4*($E$5-$D$5)/($E$5-$C$5),$C$5,$E$5)</f>
        <v/>
      </c>
      <c r="N3133" s="14">
        <f>IF($AB3133&lt;($D$6-$C$6)/($E$6-$C$6),$C$6+SQRT($AB3133*($E$6-$C$6)*($D$6-$C$6)),$E$6-SQRT((1-$AB3133)*($E$6-$C$6)*($E$6-$D$6)))</f>
        <v/>
      </c>
      <c r="O3133" s="14">
        <f>_xlfn.NORM.INV($AC3133,$C$7,$D$7)</f>
        <v/>
      </c>
      <c r="P3133" s="14">
        <f>$C$8+($D$8-$C$8)*$AD3133</f>
        <v/>
      </c>
      <c r="Q3133" s="14">
        <f>$C$9</f>
        <v/>
      </c>
      <c r="R3133" s="14">
        <f>_xlfn.LOGNORM.INV($AF3133,LN($C$10)-0.5*LN(1+($D$10/$C$10)^2),SQRT(LN(1+($D$10/$C$10)^2)))</f>
        <v/>
      </c>
      <c r="S3133" s="14">
        <f>SUM(M3133:R3133)</f>
        <v/>
      </c>
      <c r="AA3133">
        <f>RAND()</f>
        <v/>
      </c>
      <c r="AB3133">
        <f>RAND()</f>
        <v/>
      </c>
      <c r="AC3133">
        <f>RAND()</f>
        <v/>
      </c>
      <c r="AD3133">
        <f>RAND()</f>
        <v/>
      </c>
      <c r="AE3133">
        <f>RAND()</f>
        <v/>
      </c>
      <c r="AF3133">
        <f>RAND()</f>
        <v/>
      </c>
    </row>
    <row r="3134">
      <c r="M3134" s="14">
        <f>_xlfn.BETA.INV($AA3134,1+4*($D$5-$C$5)/($E$5-$C$5),1+4*($E$5-$D$5)/($E$5-$C$5),$C$5,$E$5)</f>
        <v/>
      </c>
      <c r="N3134" s="14">
        <f>IF($AB3134&lt;($D$6-$C$6)/($E$6-$C$6),$C$6+SQRT($AB3134*($E$6-$C$6)*($D$6-$C$6)),$E$6-SQRT((1-$AB3134)*($E$6-$C$6)*($E$6-$D$6)))</f>
        <v/>
      </c>
      <c r="O3134" s="14">
        <f>_xlfn.NORM.INV($AC3134,$C$7,$D$7)</f>
        <v/>
      </c>
      <c r="P3134" s="14">
        <f>$C$8+($D$8-$C$8)*$AD3134</f>
        <v/>
      </c>
      <c r="Q3134" s="14">
        <f>$C$9</f>
        <v/>
      </c>
      <c r="R3134" s="14">
        <f>_xlfn.LOGNORM.INV($AF3134,LN($C$10)-0.5*LN(1+($D$10/$C$10)^2),SQRT(LN(1+($D$10/$C$10)^2)))</f>
        <v/>
      </c>
      <c r="S3134" s="14">
        <f>SUM(M3134:R3134)</f>
        <v/>
      </c>
      <c r="AA3134">
        <f>RAND()</f>
        <v/>
      </c>
      <c r="AB3134">
        <f>RAND()</f>
        <v/>
      </c>
      <c r="AC3134">
        <f>RAND()</f>
        <v/>
      </c>
      <c r="AD3134">
        <f>RAND()</f>
        <v/>
      </c>
      <c r="AE3134">
        <f>RAND()</f>
        <v/>
      </c>
      <c r="AF3134">
        <f>RAND()</f>
        <v/>
      </c>
    </row>
    <row r="3135">
      <c r="M3135" s="14">
        <f>_xlfn.BETA.INV($AA3135,1+4*($D$5-$C$5)/($E$5-$C$5),1+4*($E$5-$D$5)/($E$5-$C$5),$C$5,$E$5)</f>
        <v/>
      </c>
      <c r="N3135" s="14">
        <f>IF($AB3135&lt;($D$6-$C$6)/($E$6-$C$6),$C$6+SQRT($AB3135*($E$6-$C$6)*($D$6-$C$6)),$E$6-SQRT((1-$AB3135)*($E$6-$C$6)*($E$6-$D$6)))</f>
        <v/>
      </c>
      <c r="O3135" s="14">
        <f>_xlfn.NORM.INV($AC3135,$C$7,$D$7)</f>
        <v/>
      </c>
      <c r="P3135" s="14">
        <f>$C$8+($D$8-$C$8)*$AD3135</f>
        <v/>
      </c>
      <c r="Q3135" s="14">
        <f>$C$9</f>
        <v/>
      </c>
      <c r="R3135" s="14">
        <f>_xlfn.LOGNORM.INV($AF3135,LN($C$10)-0.5*LN(1+($D$10/$C$10)^2),SQRT(LN(1+($D$10/$C$10)^2)))</f>
        <v/>
      </c>
      <c r="S3135" s="14">
        <f>SUM(M3135:R3135)</f>
        <v/>
      </c>
      <c r="AA3135">
        <f>RAND()</f>
        <v/>
      </c>
      <c r="AB3135">
        <f>RAND()</f>
        <v/>
      </c>
      <c r="AC3135">
        <f>RAND()</f>
        <v/>
      </c>
      <c r="AD3135">
        <f>RAND()</f>
        <v/>
      </c>
      <c r="AE3135">
        <f>RAND()</f>
        <v/>
      </c>
      <c r="AF3135">
        <f>RAND()</f>
        <v/>
      </c>
    </row>
    <row r="3136">
      <c r="M3136" s="14">
        <f>_xlfn.BETA.INV($AA3136,1+4*($D$5-$C$5)/($E$5-$C$5),1+4*($E$5-$D$5)/($E$5-$C$5),$C$5,$E$5)</f>
        <v/>
      </c>
      <c r="N3136" s="14">
        <f>IF($AB3136&lt;($D$6-$C$6)/($E$6-$C$6),$C$6+SQRT($AB3136*($E$6-$C$6)*($D$6-$C$6)),$E$6-SQRT((1-$AB3136)*($E$6-$C$6)*($E$6-$D$6)))</f>
        <v/>
      </c>
      <c r="O3136" s="14">
        <f>_xlfn.NORM.INV($AC3136,$C$7,$D$7)</f>
        <v/>
      </c>
      <c r="P3136" s="14">
        <f>$C$8+($D$8-$C$8)*$AD3136</f>
        <v/>
      </c>
      <c r="Q3136" s="14">
        <f>$C$9</f>
        <v/>
      </c>
      <c r="R3136" s="14">
        <f>_xlfn.LOGNORM.INV($AF3136,LN($C$10)-0.5*LN(1+($D$10/$C$10)^2),SQRT(LN(1+($D$10/$C$10)^2)))</f>
        <v/>
      </c>
      <c r="S3136" s="14">
        <f>SUM(M3136:R3136)</f>
        <v/>
      </c>
      <c r="AA3136">
        <f>RAND()</f>
        <v/>
      </c>
      <c r="AB3136">
        <f>RAND()</f>
        <v/>
      </c>
      <c r="AC3136">
        <f>RAND()</f>
        <v/>
      </c>
      <c r="AD3136">
        <f>RAND()</f>
        <v/>
      </c>
      <c r="AE3136">
        <f>RAND()</f>
        <v/>
      </c>
      <c r="AF3136">
        <f>RAND()</f>
        <v/>
      </c>
    </row>
    <row r="3137">
      <c r="M3137" s="14">
        <f>_xlfn.BETA.INV($AA3137,1+4*($D$5-$C$5)/($E$5-$C$5),1+4*($E$5-$D$5)/($E$5-$C$5),$C$5,$E$5)</f>
        <v/>
      </c>
      <c r="N3137" s="14">
        <f>IF($AB3137&lt;($D$6-$C$6)/($E$6-$C$6),$C$6+SQRT($AB3137*($E$6-$C$6)*($D$6-$C$6)),$E$6-SQRT((1-$AB3137)*($E$6-$C$6)*($E$6-$D$6)))</f>
        <v/>
      </c>
      <c r="O3137" s="14">
        <f>_xlfn.NORM.INV($AC3137,$C$7,$D$7)</f>
        <v/>
      </c>
      <c r="P3137" s="14">
        <f>$C$8+($D$8-$C$8)*$AD3137</f>
        <v/>
      </c>
      <c r="Q3137" s="14">
        <f>$C$9</f>
        <v/>
      </c>
      <c r="R3137" s="14">
        <f>_xlfn.LOGNORM.INV($AF3137,LN($C$10)-0.5*LN(1+($D$10/$C$10)^2),SQRT(LN(1+($D$10/$C$10)^2)))</f>
        <v/>
      </c>
      <c r="S3137" s="14">
        <f>SUM(M3137:R3137)</f>
        <v/>
      </c>
      <c r="AA3137">
        <f>RAND()</f>
        <v/>
      </c>
      <c r="AB3137">
        <f>RAND()</f>
        <v/>
      </c>
      <c r="AC3137">
        <f>RAND()</f>
        <v/>
      </c>
      <c r="AD3137">
        <f>RAND()</f>
        <v/>
      </c>
      <c r="AE3137">
        <f>RAND()</f>
        <v/>
      </c>
      <c r="AF3137">
        <f>RAND()</f>
        <v/>
      </c>
    </row>
    <row r="3138">
      <c r="M3138" s="14">
        <f>_xlfn.BETA.INV($AA3138,1+4*($D$5-$C$5)/($E$5-$C$5),1+4*($E$5-$D$5)/($E$5-$C$5),$C$5,$E$5)</f>
        <v/>
      </c>
      <c r="N3138" s="14">
        <f>IF($AB3138&lt;($D$6-$C$6)/($E$6-$C$6),$C$6+SQRT($AB3138*($E$6-$C$6)*($D$6-$C$6)),$E$6-SQRT((1-$AB3138)*($E$6-$C$6)*($E$6-$D$6)))</f>
        <v/>
      </c>
      <c r="O3138" s="14">
        <f>_xlfn.NORM.INV($AC3138,$C$7,$D$7)</f>
        <v/>
      </c>
      <c r="P3138" s="14">
        <f>$C$8+($D$8-$C$8)*$AD3138</f>
        <v/>
      </c>
      <c r="Q3138" s="14">
        <f>$C$9</f>
        <v/>
      </c>
      <c r="R3138" s="14">
        <f>_xlfn.LOGNORM.INV($AF3138,LN($C$10)-0.5*LN(1+($D$10/$C$10)^2),SQRT(LN(1+($D$10/$C$10)^2)))</f>
        <v/>
      </c>
      <c r="S3138" s="14">
        <f>SUM(M3138:R3138)</f>
        <v/>
      </c>
      <c r="AA3138">
        <f>RAND()</f>
        <v/>
      </c>
      <c r="AB3138">
        <f>RAND()</f>
        <v/>
      </c>
      <c r="AC3138">
        <f>RAND()</f>
        <v/>
      </c>
      <c r="AD3138">
        <f>RAND()</f>
        <v/>
      </c>
      <c r="AE3138">
        <f>RAND()</f>
        <v/>
      </c>
      <c r="AF3138">
        <f>RAND()</f>
        <v/>
      </c>
    </row>
    <row r="3139">
      <c r="M3139" s="14">
        <f>_xlfn.BETA.INV($AA3139,1+4*($D$5-$C$5)/($E$5-$C$5),1+4*($E$5-$D$5)/($E$5-$C$5),$C$5,$E$5)</f>
        <v/>
      </c>
      <c r="N3139" s="14">
        <f>IF($AB3139&lt;($D$6-$C$6)/($E$6-$C$6),$C$6+SQRT($AB3139*($E$6-$C$6)*($D$6-$C$6)),$E$6-SQRT((1-$AB3139)*($E$6-$C$6)*($E$6-$D$6)))</f>
        <v/>
      </c>
      <c r="O3139" s="14">
        <f>_xlfn.NORM.INV($AC3139,$C$7,$D$7)</f>
        <v/>
      </c>
      <c r="P3139" s="14">
        <f>$C$8+($D$8-$C$8)*$AD3139</f>
        <v/>
      </c>
      <c r="Q3139" s="14">
        <f>$C$9</f>
        <v/>
      </c>
      <c r="R3139" s="14">
        <f>_xlfn.LOGNORM.INV($AF3139,LN($C$10)-0.5*LN(1+($D$10/$C$10)^2),SQRT(LN(1+($D$10/$C$10)^2)))</f>
        <v/>
      </c>
      <c r="S3139" s="14">
        <f>SUM(M3139:R3139)</f>
        <v/>
      </c>
      <c r="AA3139">
        <f>RAND()</f>
        <v/>
      </c>
      <c r="AB3139">
        <f>RAND()</f>
        <v/>
      </c>
      <c r="AC3139">
        <f>RAND()</f>
        <v/>
      </c>
      <c r="AD3139">
        <f>RAND()</f>
        <v/>
      </c>
      <c r="AE3139">
        <f>RAND()</f>
        <v/>
      </c>
      <c r="AF3139">
        <f>RAND()</f>
        <v/>
      </c>
    </row>
    <row r="3140">
      <c r="M3140" s="14">
        <f>_xlfn.BETA.INV($AA3140,1+4*($D$5-$C$5)/($E$5-$C$5),1+4*($E$5-$D$5)/($E$5-$C$5),$C$5,$E$5)</f>
        <v/>
      </c>
      <c r="N3140" s="14">
        <f>IF($AB3140&lt;($D$6-$C$6)/($E$6-$C$6),$C$6+SQRT($AB3140*($E$6-$C$6)*($D$6-$C$6)),$E$6-SQRT((1-$AB3140)*($E$6-$C$6)*($E$6-$D$6)))</f>
        <v/>
      </c>
      <c r="O3140" s="14">
        <f>_xlfn.NORM.INV($AC3140,$C$7,$D$7)</f>
        <v/>
      </c>
      <c r="P3140" s="14">
        <f>$C$8+($D$8-$C$8)*$AD3140</f>
        <v/>
      </c>
      <c r="Q3140" s="14">
        <f>$C$9</f>
        <v/>
      </c>
      <c r="R3140" s="14">
        <f>_xlfn.LOGNORM.INV($AF3140,LN($C$10)-0.5*LN(1+($D$10/$C$10)^2),SQRT(LN(1+($D$10/$C$10)^2)))</f>
        <v/>
      </c>
      <c r="S3140" s="14">
        <f>SUM(M3140:R3140)</f>
        <v/>
      </c>
      <c r="AA3140">
        <f>RAND()</f>
        <v/>
      </c>
      <c r="AB3140">
        <f>RAND()</f>
        <v/>
      </c>
      <c r="AC3140">
        <f>RAND()</f>
        <v/>
      </c>
      <c r="AD3140">
        <f>RAND()</f>
        <v/>
      </c>
      <c r="AE3140">
        <f>RAND()</f>
        <v/>
      </c>
      <c r="AF3140">
        <f>RAND()</f>
        <v/>
      </c>
    </row>
    <row r="3141">
      <c r="M3141" s="14">
        <f>_xlfn.BETA.INV($AA3141,1+4*($D$5-$C$5)/($E$5-$C$5),1+4*($E$5-$D$5)/($E$5-$C$5),$C$5,$E$5)</f>
        <v/>
      </c>
      <c r="N3141" s="14">
        <f>IF($AB3141&lt;($D$6-$C$6)/($E$6-$C$6),$C$6+SQRT($AB3141*($E$6-$C$6)*($D$6-$C$6)),$E$6-SQRT((1-$AB3141)*($E$6-$C$6)*($E$6-$D$6)))</f>
        <v/>
      </c>
      <c r="O3141" s="14">
        <f>_xlfn.NORM.INV($AC3141,$C$7,$D$7)</f>
        <v/>
      </c>
      <c r="P3141" s="14">
        <f>$C$8+($D$8-$C$8)*$AD3141</f>
        <v/>
      </c>
      <c r="Q3141" s="14">
        <f>$C$9</f>
        <v/>
      </c>
      <c r="R3141" s="14">
        <f>_xlfn.LOGNORM.INV($AF3141,LN($C$10)-0.5*LN(1+($D$10/$C$10)^2),SQRT(LN(1+($D$10/$C$10)^2)))</f>
        <v/>
      </c>
      <c r="S3141" s="14">
        <f>SUM(M3141:R3141)</f>
        <v/>
      </c>
      <c r="AA3141">
        <f>RAND()</f>
        <v/>
      </c>
      <c r="AB3141">
        <f>RAND()</f>
        <v/>
      </c>
      <c r="AC3141">
        <f>RAND()</f>
        <v/>
      </c>
      <c r="AD3141">
        <f>RAND()</f>
        <v/>
      </c>
      <c r="AE3141">
        <f>RAND()</f>
        <v/>
      </c>
      <c r="AF3141">
        <f>RAND()</f>
        <v/>
      </c>
    </row>
    <row r="3142">
      <c r="M3142" s="14">
        <f>_xlfn.BETA.INV($AA3142,1+4*($D$5-$C$5)/($E$5-$C$5),1+4*($E$5-$D$5)/($E$5-$C$5),$C$5,$E$5)</f>
        <v/>
      </c>
      <c r="N3142" s="14">
        <f>IF($AB3142&lt;($D$6-$C$6)/($E$6-$C$6),$C$6+SQRT($AB3142*($E$6-$C$6)*($D$6-$C$6)),$E$6-SQRT((1-$AB3142)*($E$6-$C$6)*($E$6-$D$6)))</f>
        <v/>
      </c>
      <c r="O3142" s="14">
        <f>_xlfn.NORM.INV($AC3142,$C$7,$D$7)</f>
        <v/>
      </c>
      <c r="P3142" s="14">
        <f>$C$8+($D$8-$C$8)*$AD3142</f>
        <v/>
      </c>
      <c r="Q3142" s="14">
        <f>$C$9</f>
        <v/>
      </c>
      <c r="R3142" s="14">
        <f>_xlfn.LOGNORM.INV($AF3142,LN($C$10)-0.5*LN(1+($D$10/$C$10)^2),SQRT(LN(1+($D$10/$C$10)^2)))</f>
        <v/>
      </c>
      <c r="S3142" s="14">
        <f>SUM(M3142:R3142)</f>
        <v/>
      </c>
      <c r="AA3142">
        <f>RAND()</f>
        <v/>
      </c>
      <c r="AB3142">
        <f>RAND()</f>
        <v/>
      </c>
      <c r="AC3142">
        <f>RAND()</f>
        <v/>
      </c>
      <c r="AD3142">
        <f>RAND()</f>
        <v/>
      </c>
      <c r="AE3142">
        <f>RAND()</f>
        <v/>
      </c>
      <c r="AF3142">
        <f>RAND()</f>
        <v/>
      </c>
    </row>
    <row r="3143">
      <c r="M3143" s="14">
        <f>_xlfn.BETA.INV($AA3143,1+4*($D$5-$C$5)/($E$5-$C$5),1+4*($E$5-$D$5)/($E$5-$C$5),$C$5,$E$5)</f>
        <v/>
      </c>
      <c r="N3143" s="14">
        <f>IF($AB3143&lt;($D$6-$C$6)/($E$6-$C$6),$C$6+SQRT($AB3143*($E$6-$C$6)*($D$6-$C$6)),$E$6-SQRT((1-$AB3143)*($E$6-$C$6)*($E$6-$D$6)))</f>
        <v/>
      </c>
      <c r="O3143" s="14">
        <f>_xlfn.NORM.INV($AC3143,$C$7,$D$7)</f>
        <v/>
      </c>
      <c r="P3143" s="14">
        <f>$C$8+($D$8-$C$8)*$AD3143</f>
        <v/>
      </c>
      <c r="Q3143" s="14">
        <f>$C$9</f>
        <v/>
      </c>
      <c r="R3143" s="14">
        <f>_xlfn.LOGNORM.INV($AF3143,LN($C$10)-0.5*LN(1+($D$10/$C$10)^2),SQRT(LN(1+($D$10/$C$10)^2)))</f>
        <v/>
      </c>
      <c r="S3143" s="14">
        <f>SUM(M3143:R3143)</f>
        <v/>
      </c>
      <c r="AA3143">
        <f>RAND()</f>
        <v/>
      </c>
      <c r="AB3143">
        <f>RAND()</f>
        <v/>
      </c>
      <c r="AC3143">
        <f>RAND()</f>
        <v/>
      </c>
      <c r="AD3143">
        <f>RAND()</f>
        <v/>
      </c>
      <c r="AE3143">
        <f>RAND()</f>
        <v/>
      </c>
      <c r="AF3143">
        <f>RAND()</f>
        <v/>
      </c>
    </row>
    <row r="3144">
      <c r="M3144" s="14">
        <f>_xlfn.BETA.INV($AA3144,1+4*($D$5-$C$5)/($E$5-$C$5),1+4*($E$5-$D$5)/($E$5-$C$5),$C$5,$E$5)</f>
        <v/>
      </c>
      <c r="N3144" s="14">
        <f>IF($AB3144&lt;($D$6-$C$6)/($E$6-$C$6),$C$6+SQRT($AB3144*($E$6-$C$6)*($D$6-$C$6)),$E$6-SQRT((1-$AB3144)*($E$6-$C$6)*($E$6-$D$6)))</f>
        <v/>
      </c>
      <c r="O3144" s="14">
        <f>_xlfn.NORM.INV($AC3144,$C$7,$D$7)</f>
        <v/>
      </c>
      <c r="P3144" s="14">
        <f>$C$8+($D$8-$C$8)*$AD3144</f>
        <v/>
      </c>
      <c r="Q3144" s="14">
        <f>$C$9</f>
        <v/>
      </c>
      <c r="R3144" s="14">
        <f>_xlfn.LOGNORM.INV($AF3144,LN($C$10)-0.5*LN(1+($D$10/$C$10)^2),SQRT(LN(1+($D$10/$C$10)^2)))</f>
        <v/>
      </c>
      <c r="S3144" s="14">
        <f>SUM(M3144:R3144)</f>
        <v/>
      </c>
      <c r="AA3144">
        <f>RAND()</f>
        <v/>
      </c>
      <c r="AB3144">
        <f>RAND()</f>
        <v/>
      </c>
      <c r="AC3144">
        <f>RAND()</f>
        <v/>
      </c>
      <c r="AD3144">
        <f>RAND()</f>
        <v/>
      </c>
      <c r="AE3144">
        <f>RAND()</f>
        <v/>
      </c>
      <c r="AF3144">
        <f>RAND()</f>
        <v/>
      </c>
    </row>
    <row r="3145">
      <c r="M3145" s="14">
        <f>_xlfn.BETA.INV($AA3145,1+4*($D$5-$C$5)/($E$5-$C$5),1+4*($E$5-$D$5)/($E$5-$C$5),$C$5,$E$5)</f>
        <v/>
      </c>
      <c r="N3145" s="14">
        <f>IF($AB3145&lt;($D$6-$C$6)/($E$6-$C$6),$C$6+SQRT($AB3145*($E$6-$C$6)*($D$6-$C$6)),$E$6-SQRT((1-$AB3145)*($E$6-$C$6)*($E$6-$D$6)))</f>
        <v/>
      </c>
      <c r="O3145" s="14">
        <f>_xlfn.NORM.INV($AC3145,$C$7,$D$7)</f>
        <v/>
      </c>
      <c r="P3145" s="14">
        <f>$C$8+($D$8-$C$8)*$AD3145</f>
        <v/>
      </c>
      <c r="Q3145" s="14">
        <f>$C$9</f>
        <v/>
      </c>
      <c r="R3145" s="14">
        <f>_xlfn.LOGNORM.INV($AF3145,LN($C$10)-0.5*LN(1+($D$10/$C$10)^2),SQRT(LN(1+($D$10/$C$10)^2)))</f>
        <v/>
      </c>
      <c r="S3145" s="14">
        <f>SUM(M3145:R3145)</f>
        <v/>
      </c>
      <c r="AA3145">
        <f>RAND()</f>
        <v/>
      </c>
      <c r="AB3145">
        <f>RAND()</f>
        <v/>
      </c>
      <c r="AC3145">
        <f>RAND()</f>
        <v/>
      </c>
      <c r="AD3145">
        <f>RAND()</f>
        <v/>
      </c>
      <c r="AE3145">
        <f>RAND()</f>
        <v/>
      </c>
      <c r="AF3145">
        <f>RAND()</f>
        <v/>
      </c>
    </row>
    <row r="3146">
      <c r="M3146" s="14">
        <f>_xlfn.BETA.INV($AA3146,1+4*($D$5-$C$5)/($E$5-$C$5),1+4*($E$5-$D$5)/($E$5-$C$5),$C$5,$E$5)</f>
        <v/>
      </c>
      <c r="N3146" s="14">
        <f>IF($AB3146&lt;($D$6-$C$6)/($E$6-$C$6),$C$6+SQRT($AB3146*($E$6-$C$6)*($D$6-$C$6)),$E$6-SQRT((1-$AB3146)*($E$6-$C$6)*($E$6-$D$6)))</f>
        <v/>
      </c>
      <c r="O3146" s="14">
        <f>_xlfn.NORM.INV($AC3146,$C$7,$D$7)</f>
        <v/>
      </c>
      <c r="P3146" s="14">
        <f>$C$8+($D$8-$C$8)*$AD3146</f>
        <v/>
      </c>
      <c r="Q3146" s="14">
        <f>$C$9</f>
        <v/>
      </c>
      <c r="R3146" s="14">
        <f>_xlfn.LOGNORM.INV($AF3146,LN($C$10)-0.5*LN(1+($D$10/$C$10)^2),SQRT(LN(1+($D$10/$C$10)^2)))</f>
        <v/>
      </c>
      <c r="S3146" s="14">
        <f>SUM(M3146:R3146)</f>
        <v/>
      </c>
      <c r="AA3146">
        <f>RAND()</f>
        <v/>
      </c>
      <c r="AB3146">
        <f>RAND()</f>
        <v/>
      </c>
      <c r="AC3146">
        <f>RAND()</f>
        <v/>
      </c>
      <c r="AD3146">
        <f>RAND()</f>
        <v/>
      </c>
      <c r="AE3146">
        <f>RAND()</f>
        <v/>
      </c>
      <c r="AF3146">
        <f>RAND()</f>
        <v/>
      </c>
    </row>
    <row r="3147">
      <c r="M3147" s="14">
        <f>_xlfn.BETA.INV($AA3147,1+4*($D$5-$C$5)/($E$5-$C$5),1+4*($E$5-$D$5)/($E$5-$C$5),$C$5,$E$5)</f>
        <v/>
      </c>
      <c r="N3147" s="14">
        <f>IF($AB3147&lt;($D$6-$C$6)/($E$6-$C$6),$C$6+SQRT($AB3147*($E$6-$C$6)*($D$6-$C$6)),$E$6-SQRT((1-$AB3147)*($E$6-$C$6)*($E$6-$D$6)))</f>
        <v/>
      </c>
      <c r="O3147" s="14">
        <f>_xlfn.NORM.INV($AC3147,$C$7,$D$7)</f>
        <v/>
      </c>
      <c r="P3147" s="14">
        <f>$C$8+($D$8-$C$8)*$AD3147</f>
        <v/>
      </c>
      <c r="Q3147" s="14">
        <f>$C$9</f>
        <v/>
      </c>
      <c r="R3147" s="14">
        <f>_xlfn.LOGNORM.INV($AF3147,LN($C$10)-0.5*LN(1+($D$10/$C$10)^2),SQRT(LN(1+($D$10/$C$10)^2)))</f>
        <v/>
      </c>
      <c r="S3147" s="14">
        <f>SUM(M3147:R3147)</f>
        <v/>
      </c>
      <c r="AA3147">
        <f>RAND()</f>
        <v/>
      </c>
      <c r="AB3147">
        <f>RAND()</f>
        <v/>
      </c>
      <c r="AC3147">
        <f>RAND()</f>
        <v/>
      </c>
      <c r="AD3147">
        <f>RAND()</f>
        <v/>
      </c>
      <c r="AE3147">
        <f>RAND()</f>
        <v/>
      </c>
      <c r="AF3147">
        <f>RAND()</f>
        <v/>
      </c>
    </row>
    <row r="3148">
      <c r="M3148" s="14">
        <f>_xlfn.BETA.INV($AA3148,1+4*($D$5-$C$5)/($E$5-$C$5),1+4*($E$5-$D$5)/($E$5-$C$5),$C$5,$E$5)</f>
        <v/>
      </c>
      <c r="N3148" s="14">
        <f>IF($AB3148&lt;($D$6-$C$6)/($E$6-$C$6),$C$6+SQRT($AB3148*($E$6-$C$6)*($D$6-$C$6)),$E$6-SQRT((1-$AB3148)*($E$6-$C$6)*($E$6-$D$6)))</f>
        <v/>
      </c>
      <c r="O3148" s="14">
        <f>_xlfn.NORM.INV($AC3148,$C$7,$D$7)</f>
        <v/>
      </c>
      <c r="P3148" s="14">
        <f>$C$8+($D$8-$C$8)*$AD3148</f>
        <v/>
      </c>
      <c r="Q3148" s="14">
        <f>$C$9</f>
        <v/>
      </c>
      <c r="R3148" s="14">
        <f>_xlfn.LOGNORM.INV($AF3148,LN($C$10)-0.5*LN(1+($D$10/$C$10)^2),SQRT(LN(1+($D$10/$C$10)^2)))</f>
        <v/>
      </c>
      <c r="S3148" s="14">
        <f>SUM(M3148:R3148)</f>
        <v/>
      </c>
      <c r="AA3148">
        <f>RAND()</f>
        <v/>
      </c>
      <c r="AB3148">
        <f>RAND()</f>
        <v/>
      </c>
      <c r="AC3148">
        <f>RAND()</f>
        <v/>
      </c>
      <c r="AD3148">
        <f>RAND()</f>
        <v/>
      </c>
      <c r="AE3148">
        <f>RAND()</f>
        <v/>
      </c>
      <c r="AF3148">
        <f>RAND()</f>
        <v/>
      </c>
    </row>
    <row r="3149">
      <c r="M3149" s="14">
        <f>_xlfn.BETA.INV($AA3149,1+4*($D$5-$C$5)/($E$5-$C$5),1+4*($E$5-$D$5)/($E$5-$C$5),$C$5,$E$5)</f>
        <v/>
      </c>
      <c r="N3149" s="14">
        <f>IF($AB3149&lt;($D$6-$C$6)/($E$6-$C$6),$C$6+SQRT($AB3149*($E$6-$C$6)*($D$6-$C$6)),$E$6-SQRT((1-$AB3149)*($E$6-$C$6)*($E$6-$D$6)))</f>
        <v/>
      </c>
      <c r="O3149" s="14">
        <f>_xlfn.NORM.INV($AC3149,$C$7,$D$7)</f>
        <v/>
      </c>
      <c r="P3149" s="14">
        <f>$C$8+($D$8-$C$8)*$AD3149</f>
        <v/>
      </c>
      <c r="Q3149" s="14">
        <f>$C$9</f>
        <v/>
      </c>
      <c r="R3149" s="14">
        <f>_xlfn.LOGNORM.INV($AF3149,LN($C$10)-0.5*LN(1+($D$10/$C$10)^2),SQRT(LN(1+($D$10/$C$10)^2)))</f>
        <v/>
      </c>
      <c r="S3149" s="14">
        <f>SUM(M3149:R3149)</f>
        <v/>
      </c>
      <c r="AA3149">
        <f>RAND()</f>
        <v/>
      </c>
      <c r="AB3149">
        <f>RAND()</f>
        <v/>
      </c>
      <c r="AC3149">
        <f>RAND()</f>
        <v/>
      </c>
      <c r="AD3149">
        <f>RAND()</f>
        <v/>
      </c>
      <c r="AE3149">
        <f>RAND()</f>
        <v/>
      </c>
      <c r="AF3149">
        <f>RAND()</f>
        <v/>
      </c>
    </row>
    <row r="3150">
      <c r="M3150" s="14">
        <f>_xlfn.BETA.INV($AA3150,1+4*($D$5-$C$5)/($E$5-$C$5),1+4*($E$5-$D$5)/($E$5-$C$5),$C$5,$E$5)</f>
        <v/>
      </c>
      <c r="N3150" s="14">
        <f>IF($AB3150&lt;($D$6-$C$6)/($E$6-$C$6),$C$6+SQRT($AB3150*($E$6-$C$6)*($D$6-$C$6)),$E$6-SQRT((1-$AB3150)*($E$6-$C$6)*($E$6-$D$6)))</f>
        <v/>
      </c>
      <c r="O3150" s="14">
        <f>_xlfn.NORM.INV($AC3150,$C$7,$D$7)</f>
        <v/>
      </c>
      <c r="P3150" s="14">
        <f>$C$8+($D$8-$C$8)*$AD3150</f>
        <v/>
      </c>
      <c r="Q3150" s="14">
        <f>$C$9</f>
        <v/>
      </c>
      <c r="R3150" s="14">
        <f>_xlfn.LOGNORM.INV($AF3150,LN($C$10)-0.5*LN(1+($D$10/$C$10)^2),SQRT(LN(1+($D$10/$C$10)^2)))</f>
        <v/>
      </c>
      <c r="S3150" s="14">
        <f>SUM(M3150:R3150)</f>
        <v/>
      </c>
      <c r="AA3150">
        <f>RAND()</f>
        <v/>
      </c>
      <c r="AB3150">
        <f>RAND()</f>
        <v/>
      </c>
      <c r="AC3150">
        <f>RAND()</f>
        <v/>
      </c>
      <c r="AD3150">
        <f>RAND()</f>
        <v/>
      </c>
      <c r="AE3150">
        <f>RAND()</f>
        <v/>
      </c>
      <c r="AF3150">
        <f>RAND()</f>
        <v/>
      </c>
    </row>
    <row r="3151">
      <c r="M3151" s="14">
        <f>_xlfn.BETA.INV($AA3151,1+4*($D$5-$C$5)/($E$5-$C$5),1+4*($E$5-$D$5)/($E$5-$C$5),$C$5,$E$5)</f>
        <v/>
      </c>
      <c r="N3151" s="14">
        <f>IF($AB3151&lt;($D$6-$C$6)/($E$6-$C$6),$C$6+SQRT($AB3151*($E$6-$C$6)*($D$6-$C$6)),$E$6-SQRT((1-$AB3151)*($E$6-$C$6)*($E$6-$D$6)))</f>
        <v/>
      </c>
      <c r="O3151" s="14">
        <f>_xlfn.NORM.INV($AC3151,$C$7,$D$7)</f>
        <v/>
      </c>
      <c r="P3151" s="14">
        <f>$C$8+($D$8-$C$8)*$AD3151</f>
        <v/>
      </c>
      <c r="Q3151" s="14">
        <f>$C$9</f>
        <v/>
      </c>
      <c r="R3151" s="14">
        <f>_xlfn.LOGNORM.INV($AF3151,LN($C$10)-0.5*LN(1+($D$10/$C$10)^2),SQRT(LN(1+($D$10/$C$10)^2)))</f>
        <v/>
      </c>
      <c r="S3151" s="14">
        <f>SUM(M3151:R3151)</f>
        <v/>
      </c>
      <c r="AA3151">
        <f>RAND()</f>
        <v/>
      </c>
      <c r="AB3151">
        <f>RAND()</f>
        <v/>
      </c>
      <c r="AC3151">
        <f>RAND()</f>
        <v/>
      </c>
      <c r="AD3151">
        <f>RAND()</f>
        <v/>
      </c>
      <c r="AE3151">
        <f>RAND()</f>
        <v/>
      </c>
      <c r="AF3151">
        <f>RAND()</f>
        <v/>
      </c>
    </row>
    <row r="3152">
      <c r="M3152" s="14">
        <f>_xlfn.BETA.INV($AA3152,1+4*($D$5-$C$5)/($E$5-$C$5),1+4*($E$5-$D$5)/($E$5-$C$5),$C$5,$E$5)</f>
        <v/>
      </c>
      <c r="N3152" s="14">
        <f>IF($AB3152&lt;($D$6-$C$6)/($E$6-$C$6),$C$6+SQRT($AB3152*($E$6-$C$6)*($D$6-$C$6)),$E$6-SQRT((1-$AB3152)*($E$6-$C$6)*($E$6-$D$6)))</f>
        <v/>
      </c>
      <c r="O3152" s="14">
        <f>_xlfn.NORM.INV($AC3152,$C$7,$D$7)</f>
        <v/>
      </c>
      <c r="P3152" s="14">
        <f>$C$8+($D$8-$C$8)*$AD3152</f>
        <v/>
      </c>
      <c r="Q3152" s="14">
        <f>$C$9</f>
        <v/>
      </c>
      <c r="R3152" s="14">
        <f>_xlfn.LOGNORM.INV($AF3152,LN($C$10)-0.5*LN(1+($D$10/$C$10)^2),SQRT(LN(1+($D$10/$C$10)^2)))</f>
        <v/>
      </c>
      <c r="S3152" s="14">
        <f>SUM(M3152:R3152)</f>
        <v/>
      </c>
      <c r="AA3152">
        <f>RAND()</f>
        <v/>
      </c>
      <c r="AB3152">
        <f>RAND()</f>
        <v/>
      </c>
      <c r="AC3152">
        <f>RAND()</f>
        <v/>
      </c>
      <c r="AD3152">
        <f>RAND()</f>
        <v/>
      </c>
      <c r="AE3152">
        <f>RAND()</f>
        <v/>
      </c>
      <c r="AF3152">
        <f>RAND()</f>
        <v/>
      </c>
    </row>
    <row r="3153">
      <c r="M3153" s="14">
        <f>_xlfn.BETA.INV($AA3153,1+4*($D$5-$C$5)/($E$5-$C$5),1+4*($E$5-$D$5)/($E$5-$C$5),$C$5,$E$5)</f>
        <v/>
      </c>
      <c r="N3153" s="14">
        <f>IF($AB3153&lt;($D$6-$C$6)/($E$6-$C$6),$C$6+SQRT($AB3153*($E$6-$C$6)*($D$6-$C$6)),$E$6-SQRT((1-$AB3153)*($E$6-$C$6)*($E$6-$D$6)))</f>
        <v/>
      </c>
      <c r="O3153" s="14">
        <f>_xlfn.NORM.INV($AC3153,$C$7,$D$7)</f>
        <v/>
      </c>
      <c r="P3153" s="14">
        <f>$C$8+($D$8-$C$8)*$AD3153</f>
        <v/>
      </c>
      <c r="Q3153" s="14">
        <f>$C$9</f>
        <v/>
      </c>
      <c r="R3153" s="14">
        <f>_xlfn.LOGNORM.INV($AF3153,LN($C$10)-0.5*LN(1+($D$10/$C$10)^2),SQRT(LN(1+($D$10/$C$10)^2)))</f>
        <v/>
      </c>
      <c r="S3153" s="14">
        <f>SUM(M3153:R3153)</f>
        <v/>
      </c>
      <c r="AA3153">
        <f>RAND()</f>
        <v/>
      </c>
      <c r="AB3153">
        <f>RAND()</f>
        <v/>
      </c>
      <c r="AC3153">
        <f>RAND()</f>
        <v/>
      </c>
      <c r="AD3153">
        <f>RAND()</f>
        <v/>
      </c>
      <c r="AE3153">
        <f>RAND()</f>
        <v/>
      </c>
      <c r="AF3153">
        <f>RAND()</f>
        <v/>
      </c>
    </row>
    <row r="3154">
      <c r="M3154" s="14">
        <f>_xlfn.BETA.INV($AA3154,1+4*($D$5-$C$5)/($E$5-$C$5),1+4*($E$5-$D$5)/($E$5-$C$5),$C$5,$E$5)</f>
        <v/>
      </c>
      <c r="N3154" s="14">
        <f>IF($AB3154&lt;($D$6-$C$6)/($E$6-$C$6),$C$6+SQRT($AB3154*($E$6-$C$6)*($D$6-$C$6)),$E$6-SQRT((1-$AB3154)*($E$6-$C$6)*($E$6-$D$6)))</f>
        <v/>
      </c>
      <c r="O3154" s="14">
        <f>_xlfn.NORM.INV($AC3154,$C$7,$D$7)</f>
        <v/>
      </c>
      <c r="P3154" s="14">
        <f>$C$8+($D$8-$C$8)*$AD3154</f>
        <v/>
      </c>
      <c r="Q3154" s="14">
        <f>$C$9</f>
        <v/>
      </c>
      <c r="R3154" s="14">
        <f>_xlfn.LOGNORM.INV($AF3154,LN($C$10)-0.5*LN(1+($D$10/$C$10)^2),SQRT(LN(1+($D$10/$C$10)^2)))</f>
        <v/>
      </c>
      <c r="S3154" s="14">
        <f>SUM(M3154:R3154)</f>
        <v/>
      </c>
      <c r="AA3154">
        <f>RAND()</f>
        <v/>
      </c>
      <c r="AB3154">
        <f>RAND()</f>
        <v/>
      </c>
      <c r="AC3154">
        <f>RAND()</f>
        <v/>
      </c>
      <c r="AD3154">
        <f>RAND()</f>
        <v/>
      </c>
      <c r="AE3154">
        <f>RAND()</f>
        <v/>
      </c>
      <c r="AF3154">
        <f>RAND()</f>
        <v/>
      </c>
    </row>
    <row r="3155">
      <c r="M3155" s="14">
        <f>_xlfn.BETA.INV($AA3155,1+4*($D$5-$C$5)/($E$5-$C$5),1+4*($E$5-$D$5)/($E$5-$C$5),$C$5,$E$5)</f>
        <v/>
      </c>
      <c r="N3155" s="14">
        <f>IF($AB3155&lt;($D$6-$C$6)/($E$6-$C$6),$C$6+SQRT($AB3155*($E$6-$C$6)*($D$6-$C$6)),$E$6-SQRT((1-$AB3155)*($E$6-$C$6)*($E$6-$D$6)))</f>
        <v/>
      </c>
      <c r="O3155" s="14">
        <f>_xlfn.NORM.INV($AC3155,$C$7,$D$7)</f>
        <v/>
      </c>
      <c r="P3155" s="14">
        <f>$C$8+($D$8-$C$8)*$AD3155</f>
        <v/>
      </c>
      <c r="Q3155" s="14">
        <f>$C$9</f>
        <v/>
      </c>
      <c r="R3155" s="14">
        <f>_xlfn.LOGNORM.INV($AF3155,LN($C$10)-0.5*LN(1+($D$10/$C$10)^2),SQRT(LN(1+($D$10/$C$10)^2)))</f>
        <v/>
      </c>
      <c r="S3155" s="14">
        <f>SUM(M3155:R3155)</f>
        <v/>
      </c>
      <c r="AA3155">
        <f>RAND()</f>
        <v/>
      </c>
      <c r="AB3155">
        <f>RAND()</f>
        <v/>
      </c>
      <c r="AC3155">
        <f>RAND()</f>
        <v/>
      </c>
      <c r="AD3155">
        <f>RAND()</f>
        <v/>
      </c>
      <c r="AE3155">
        <f>RAND()</f>
        <v/>
      </c>
      <c r="AF3155">
        <f>RAND()</f>
        <v/>
      </c>
    </row>
    <row r="3156">
      <c r="M3156" s="14">
        <f>_xlfn.BETA.INV($AA3156,1+4*($D$5-$C$5)/($E$5-$C$5),1+4*($E$5-$D$5)/($E$5-$C$5),$C$5,$E$5)</f>
        <v/>
      </c>
      <c r="N3156" s="14">
        <f>IF($AB3156&lt;($D$6-$C$6)/($E$6-$C$6),$C$6+SQRT($AB3156*($E$6-$C$6)*($D$6-$C$6)),$E$6-SQRT((1-$AB3156)*($E$6-$C$6)*($E$6-$D$6)))</f>
        <v/>
      </c>
      <c r="O3156" s="14">
        <f>_xlfn.NORM.INV($AC3156,$C$7,$D$7)</f>
        <v/>
      </c>
      <c r="P3156" s="14">
        <f>$C$8+($D$8-$C$8)*$AD3156</f>
        <v/>
      </c>
      <c r="Q3156" s="14">
        <f>$C$9</f>
        <v/>
      </c>
      <c r="R3156" s="14">
        <f>_xlfn.LOGNORM.INV($AF3156,LN($C$10)-0.5*LN(1+($D$10/$C$10)^2),SQRT(LN(1+($D$10/$C$10)^2)))</f>
        <v/>
      </c>
      <c r="S3156" s="14">
        <f>SUM(M3156:R3156)</f>
        <v/>
      </c>
      <c r="AA3156">
        <f>RAND()</f>
        <v/>
      </c>
      <c r="AB3156">
        <f>RAND()</f>
        <v/>
      </c>
      <c r="AC3156">
        <f>RAND()</f>
        <v/>
      </c>
      <c r="AD3156">
        <f>RAND()</f>
        <v/>
      </c>
      <c r="AE3156">
        <f>RAND()</f>
        <v/>
      </c>
      <c r="AF3156">
        <f>RAND()</f>
        <v/>
      </c>
    </row>
    <row r="3157">
      <c r="M3157" s="14">
        <f>_xlfn.BETA.INV($AA3157,1+4*($D$5-$C$5)/($E$5-$C$5),1+4*($E$5-$D$5)/($E$5-$C$5),$C$5,$E$5)</f>
        <v/>
      </c>
      <c r="N3157" s="14">
        <f>IF($AB3157&lt;($D$6-$C$6)/($E$6-$C$6),$C$6+SQRT($AB3157*($E$6-$C$6)*($D$6-$C$6)),$E$6-SQRT((1-$AB3157)*($E$6-$C$6)*($E$6-$D$6)))</f>
        <v/>
      </c>
      <c r="O3157" s="14">
        <f>_xlfn.NORM.INV($AC3157,$C$7,$D$7)</f>
        <v/>
      </c>
      <c r="P3157" s="14">
        <f>$C$8+($D$8-$C$8)*$AD3157</f>
        <v/>
      </c>
      <c r="Q3157" s="14">
        <f>$C$9</f>
        <v/>
      </c>
      <c r="R3157" s="14">
        <f>_xlfn.LOGNORM.INV($AF3157,LN($C$10)-0.5*LN(1+($D$10/$C$10)^2),SQRT(LN(1+($D$10/$C$10)^2)))</f>
        <v/>
      </c>
      <c r="S3157" s="14">
        <f>SUM(M3157:R3157)</f>
        <v/>
      </c>
      <c r="AA3157">
        <f>RAND()</f>
        <v/>
      </c>
      <c r="AB3157">
        <f>RAND()</f>
        <v/>
      </c>
      <c r="AC3157">
        <f>RAND()</f>
        <v/>
      </c>
      <c r="AD3157">
        <f>RAND()</f>
        <v/>
      </c>
      <c r="AE3157">
        <f>RAND()</f>
        <v/>
      </c>
      <c r="AF3157">
        <f>RAND()</f>
        <v/>
      </c>
    </row>
    <row r="3158">
      <c r="M3158" s="14">
        <f>_xlfn.BETA.INV($AA3158,1+4*($D$5-$C$5)/($E$5-$C$5),1+4*($E$5-$D$5)/($E$5-$C$5),$C$5,$E$5)</f>
        <v/>
      </c>
      <c r="N3158" s="14">
        <f>IF($AB3158&lt;($D$6-$C$6)/($E$6-$C$6),$C$6+SQRT($AB3158*($E$6-$C$6)*($D$6-$C$6)),$E$6-SQRT((1-$AB3158)*($E$6-$C$6)*($E$6-$D$6)))</f>
        <v/>
      </c>
      <c r="O3158" s="14">
        <f>_xlfn.NORM.INV($AC3158,$C$7,$D$7)</f>
        <v/>
      </c>
      <c r="P3158" s="14">
        <f>$C$8+($D$8-$C$8)*$AD3158</f>
        <v/>
      </c>
      <c r="Q3158" s="14">
        <f>$C$9</f>
        <v/>
      </c>
      <c r="R3158" s="14">
        <f>_xlfn.LOGNORM.INV($AF3158,LN($C$10)-0.5*LN(1+($D$10/$C$10)^2),SQRT(LN(1+($D$10/$C$10)^2)))</f>
        <v/>
      </c>
      <c r="S3158" s="14">
        <f>SUM(M3158:R3158)</f>
        <v/>
      </c>
      <c r="AA3158">
        <f>RAND()</f>
        <v/>
      </c>
      <c r="AB3158">
        <f>RAND()</f>
        <v/>
      </c>
      <c r="AC3158">
        <f>RAND()</f>
        <v/>
      </c>
      <c r="AD3158">
        <f>RAND()</f>
        <v/>
      </c>
      <c r="AE3158">
        <f>RAND()</f>
        <v/>
      </c>
      <c r="AF3158">
        <f>RAND()</f>
        <v/>
      </c>
    </row>
    <row r="3159">
      <c r="M3159" s="14">
        <f>_xlfn.BETA.INV($AA3159,1+4*($D$5-$C$5)/($E$5-$C$5),1+4*($E$5-$D$5)/($E$5-$C$5),$C$5,$E$5)</f>
        <v/>
      </c>
      <c r="N3159" s="14">
        <f>IF($AB3159&lt;($D$6-$C$6)/($E$6-$C$6),$C$6+SQRT($AB3159*($E$6-$C$6)*($D$6-$C$6)),$E$6-SQRT((1-$AB3159)*($E$6-$C$6)*($E$6-$D$6)))</f>
        <v/>
      </c>
      <c r="O3159" s="14">
        <f>_xlfn.NORM.INV($AC3159,$C$7,$D$7)</f>
        <v/>
      </c>
      <c r="P3159" s="14">
        <f>$C$8+($D$8-$C$8)*$AD3159</f>
        <v/>
      </c>
      <c r="Q3159" s="14">
        <f>$C$9</f>
        <v/>
      </c>
      <c r="R3159" s="14">
        <f>_xlfn.LOGNORM.INV($AF3159,LN($C$10)-0.5*LN(1+($D$10/$C$10)^2),SQRT(LN(1+($D$10/$C$10)^2)))</f>
        <v/>
      </c>
      <c r="S3159" s="14">
        <f>SUM(M3159:R3159)</f>
        <v/>
      </c>
      <c r="AA3159">
        <f>RAND()</f>
        <v/>
      </c>
      <c r="AB3159">
        <f>RAND()</f>
        <v/>
      </c>
      <c r="AC3159">
        <f>RAND()</f>
        <v/>
      </c>
      <c r="AD3159">
        <f>RAND()</f>
        <v/>
      </c>
      <c r="AE3159">
        <f>RAND()</f>
        <v/>
      </c>
      <c r="AF3159">
        <f>RAND()</f>
        <v/>
      </c>
    </row>
    <row r="3160">
      <c r="M3160" s="14">
        <f>_xlfn.BETA.INV($AA3160,1+4*($D$5-$C$5)/($E$5-$C$5),1+4*($E$5-$D$5)/($E$5-$C$5),$C$5,$E$5)</f>
        <v/>
      </c>
      <c r="N3160" s="14">
        <f>IF($AB3160&lt;($D$6-$C$6)/($E$6-$C$6),$C$6+SQRT($AB3160*($E$6-$C$6)*($D$6-$C$6)),$E$6-SQRT((1-$AB3160)*($E$6-$C$6)*($E$6-$D$6)))</f>
        <v/>
      </c>
      <c r="O3160" s="14">
        <f>_xlfn.NORM.INV($AC3160,$C$7,$D$7)</f>
        <v/>
      </c>
      <c r="P3160" s="14">
        <f>$C$8+($D$8-$C$8)*$AD3160</f>
        <v/>
      </c>
      <c r="Q3160" s="14">
        <f>$C$9</f>
        <v/>
      </c>
      <c r="R3160" s="14">
        <f>_xlfn.LOGNORM.INV($AF3160,LN($C$10)-0.5*LN(1+($D$10/$C$10)^2),SQRT(LN(1+($D$10/$C$10)^2)))</f>
        <v/>
      </c>
      <c r="S3160" s="14">
        <f>SUM(M3160:R3160)</f>
        <v/>
      </c>
      <c r="AA3160">
        <f>RAND()</f>
        <v/>
      </c>
      <c r="AB3160">
        <f>RAND()</f>
        <v/>
      </c>
      <c r="AC3160">
        <f>RAND()</f>
        <v/>
      </c>
      <c r="AD3160">
        <f>RAND()</f>
        <v/>
      </c>
      <c r="AE3160">
        <f>RAND()</f>
        <v/>
      </c>
      <c r="AF3160">
        <f>RAND()</f>
        <v/>
      </c>
    </row>
    <row r="3161">
      <c r="M3161" s="14">
        <f>_xlfn.BETA.INV($AA3161,1+4*($D$5-$C$5)/($E$5-$C$5),1+4*($E$5-$D$5)/($E$5-$C$5),$C$5,$E$5)</f>
        <v/>
      </c>
      <c r="N3161" s="14">
        <f>IF($AB3161&lt;($D$6-$C$6)/($E$6-$C$6),$C$6+SQRT($AB3161*($E$6-$C$6)*($D$6-$C$6)),$E$6-SQRT((1-$AB3161)*($E$6-$C$6)*($E$6-$D$6)))</f>
        <v/>
      </c>
      <c r="O3161" s="14">
        <f>_xlfn.NORM.INV($AC3161,$C$7,$D$7)</f>
        <v/>
      </c>
      <c r="P3161" s="14">
        <f>$C$8+($D$8-$C$8)*$AD3161</f>
        <v/>
      </c>
      <c r="Q3161" s="14">
        <f>$C$9</f>
        <v/>
      </c>
      <c r="R3161" s="14">
        <f>_xlfn.LOGNORM.INV($AF3161,LN($C$10)-0.5*LN(1+($D$10/$C$10)^2),SQRT(LN(1+($D$10/$C$10)^2)))</f>
        <v/>
      </c>
      <c r="S3161" s="14">
        <f>SUM(M3161:R3161)</f>
        <v/>
      </c>
      <c r="AA3161">
        <f>RAND()</f>
        <v/>
      </c>
      <c r="AB3161">
        <f>RAND()</f>
        <v/>
      </c>
      <c r="AC3161">
        <f>RAND()</f>
        <v/>
      </c>
      <c r="AD3161">
        <f>RAND()</f>
        <v/>
      </c>
      <c r="AE3161">
        <f>RAND()</f>
        <v/>
      </c>
      <c r="AF3161">
        <f>RAND()</f>
        <v/>
      </c>
    </row>
    <row r="3162">
      <c r="M3162" s="14">
        <f>_xlfn.BETA.INV($AA3162,1+4*($D$5-$C$5)/($E$5-$C$5),1+4*($E$5-$D$5)/($E$5-$C$5),$C$5,$E$5)</f>
        <v/>
      </c>
      <c r="N3162" s="14">
        <f>IF($AB3162&lt;($D$6-$C$6)/($E$6-$C$6),$C$6+SQRT($AB3162*($E$6-$C$6)*($D$6-$C$6)),$E$6-SQRT((1-$AB3162)*($E$6-$C$6)*($E$6-$D$6)))</f>
        <v/>
      </c>
      <c r="O3162" s="14">
        <f>_xlfn.NORM.INV($AC3162,$C$7,$D$7)</f>
        <v/>
      </c>
      <c r="P3162" s="14">
        <f>$C$8+($D$8-$C$8)*$AD3162</f>
        <v/>
      </c>
      <c r="Q3162" s="14">
        <f>$C$9</f>
        <v/>
      </c>
      <c r="R3162" s="14">
        <f>_xlfn.LOGNORM.INV($AF3162,LN($C$10)-0.5*LN(1+($D$10/$C$10)^2),SQRT(LN(1+($D$10/$C$10)^2)))</f>
        <v/>
      </c>
      <c r="S3162" s="14">
        <f>SUM(M3162:R3162)</f>
        <v/>
      </c>
      <c r="AA3162">
        <f>RAND()</f>
        <v/>
      </c>
      <c r="AB3162">
        <f>RAND()</f>
        <v/>
      </c>
      <c r="AC3162">
        <f>RAND()</f>
        <v/>
      </c>
      <c r="AD3162">
        <f>RAND()</f>
        <v/>
      </c>
      <c r="AE3162">
        <f>RAND()</f>
        <v/>
      </c>
      <c r="AF3162">
        <f>RAND()</f>
        <v/>
      </c>
    </row>
    <row r="3163">
      <c r="M3163" s="14">
        <f>_xlfn.BETA.INV($AA3163,1+4*($D$5-$C$5)/($E$5-$C$5),1+4*($E$5-$D$5)/($E$5-$C$5),$C$5,$E$5)</f>
        <v/>
      </c>
      <c r="N3163" s="14">
        <f>IF($AB3163&lt;($D$6-$C$6)/($E$6-$C$6),$C$6+SQRT($AB3163*($E$6-$C$6)*($D$6-$C$6)),$E$6-SQRT((1-$AB3163)*($E$6-$C$6)*($E$6-$D$6)))</f>
        <v/>
      </c>
      <c r="O3163" s="14">
        <f>_xlfn.NORM.INV($AC3163,$C$7,$D$7)</f>
        <v/>
      </c>
      <c r="P3163" s="14">
        <f>$C$8+($D$8-$C$8)*$AD3163</f>
        <v/>
      </c>
      <c r="Q3163" s="14">
        <f>$C$9</f>
        <v/>
      </c>
      <c r="R3163" s="14">
        <f>_xlfn.LOGNORM.INV($AF3163,LN($C$10)-0.5*LN(1+($D$10/$C$10)^2),SQRT(LN(1+($D$10/$C$10)^2)))</f>
        <v/>
      </c>
      <c r="S3163" s="14">
        <f>SUM(M3163:R3163)</f>
        <v/>
      </c>
      <c r="AA3163">
        <f>RAND()</f>
        <v/>
      </c>
      <c r="AB3163">
        <f>RAND()</f>
        <v/>
      </c>
      <c r="AC3163">
        <f>RAND()</f>
        <v/>
      </c>
      <c r="AD3163">
        <f>RAND()</f>
        <v/>
      </c>
      <c r="AE3163">
        <f>RAND()</f>
        <v/>
      </c>
      <c r="AF3163">
        <f>RAND()</f>
        <v/>
      </c>
    </row>
    <row r="3164">
      <c r="M3164" s="14">
        <f>_xlfn.BETA.INV($AA3164,1+4*($D$5-$C$5)/($E$5-$C$5),1+4*($E$5-$D$5)/($E$5-$C$5),$C$5,$E$5)</f>
        <v/>
      </c>
      <c r="N3164" s="14">
        <f>IF($AB3164&lt;($D$6-$C$6)/($E$6-$C$6),$C$6+SQRT($AB3164*($E$6-$C$6)*($D$6-$C$6)),$E$6-SQRT((1-$AB3164)*($E$6-$C$6)*($E$6-$D$6)))</f>
        <v/>
      </c>
      <c r="O3164" s="14">
        <f>_xlfn.NORM.INV($AC3164,$C$7,$D$7)</f>
        <v/>
      </c>
      <c r="P3164" s="14">
        <f>$C$8+($D$8-$C$8)*$AD3164</f>
        <v/>
      </c>
      <c r="Q3164" s="14">
        <f>$C$9</f>
        <v/>
      </c>
      <c r="R3164" s="14">
        <f>_xlfn.LOGNORM.INV($AF3164,LN($C$10)-0.5*LN(1+($D$10/$C$10)^2),SQRT(LN(1+($D$10/$C$10)^2)))</f>
        <v/>
      </c>
      <c r="S3164" s="14">
        <f>SUM(M3164:R3164)</f>
        <v/>
      </c>
      <c r="AA3164">
        <f>RAND()</f>
        <v/>
      </c>
      <c r="AB3164">
        <f>RAND()</f>
        <v/>
      </c>
      <c r="AC3164">
        <f>RAND()</f>
        <v/>
      </c>
      <c r="AD3164">
        <f>RAND()</f>
        <v/>
      </c>
      <c r="AE3164">
        <f>RAND()</f>
        <v/>
      </c>
      <c r="AF3164">
        <f>RAND()</f>
        <v/>
      </c>
    </row>
    <row r="3165">
      <c r="M3165" s="14">
        <f>_xlfn.BETA.INV($AA3165,1+4*($D$5-$C$5)/($E$5-$C$5),1+4*($E$5-$D$5)/($E$5-$C$5),$C$5,$E$5)</f>
        <v/>
      </c>
      <c r="N3165" s="14">
        <f>IF($AB3165&lt;($D$6-$C$6)/($E$6-$C$6),$C$6+SQRT($AB3165*($E$6-$C$6)*($D$6-$C$6)),$E$6-SQRT((1-$AB3165)*($E$6-$C$6)*($E$6-$D$6)))</f>
        <v/>
      </c>
      <c r="O3165" s="14">
        <f>_xlfn.NORM.INV($AC3165,$C$7,$D$7)</f>
        <v/>
      </c>
      <c r="P3165" s="14">
        <f>$C$8+($D$8-$C$8)*$AD3165</f>
        <v/>
      </c>
      <c r="Q3165" s="14">
        <f>$C$9</f>
        <v/>
      </c>
      <c r="R3165" s="14">
        <f>_xlfn.LOGNORM.INV($AF3165,LN($C$10)-0.5*LN(1+($D$10/$C$10)^2),SQRT(LN(1+($D$10/$C$10)^2)))</f>
        <v/>
      </c>
      <c r="S3165" s="14">
        <f>SUM(M3165:R3165)</f>
        <v/>
      </c>
      <c r="AA3165">
        <f>RAND()</f>
        <v/>
      </c>
      <c r="AB3165">
        <f>RAND()</f>
        <v/>
      </c>
      <c r="AC3165">
        <f>RAND()</f>
        <v/>
      </c>
      <c r="AD3165">
        <f>RAND()</f>
        <v/>
      </c>
      <c r="AE3165">
        <f>RAND()</f>
        <v/>
      </c>
      <c r="AF3165">
        <f>RAND()</f>
        <v/>
      </c>
    </row>
    <row r="3166">
      <c r="M3166" s="14">
        <f>_xlfn.BETA.INV($AA3166,1+4*($D$5-$C$5)/($E$5-$C$5),1+4*($E$5-$D$5)/($E$5-$C$5),$C$5,$E$5)</f>
        <v/>
      </c>
      <c r="N3166" s="14">
        <f>IF($AB3166&lt;($D$6-$C$6)/($E$6-$C$6),$C$6+SQRT($AB3166*($E$6-$C$6)*($D$6-$C$6)),$E$6-SQRT((1-$AB3166)*($E$6-$C$6)*($E$6-$D$6)))</f>
        <v/>
      </c>
      <c r="O3166" s="14">
        <f>_xlfn.NORM.INV($AC3166,$C$7,$D$7)</f>
        <v/>
      </c>
      <c r="P3166" s="14">
        <f>$C$8+($D$8-$C$8)*$AD3166</f>
        <v/>
      </c>
      <c r="Q3166" s="14">
        <f>$C$9</f>
        <v/>
      </c>
      <c r="R3166" s="14">
        <f>_xlfn.LOGNORM.INV($AF3166,LN($C$10)-0.5*LN(1+($D$10/$C$10)^2),SQRT(LN(1+($D$10/$C$10)^2)))</f>
        <v/>
      </c>
      <c r="S3166" s="14">
        <f>SUM(M3166:R3166)</f>
        <v/>
      </c>
      <c r="AA3166">
        <f>RAND()</f>
        <v/>
      </c>
      <c r="AB3166">
        <f>RAND()</f>
        <v/>
      </c>
      <c r="AC3166">
        <f>RAND()</f>
        <v/>
      </c>
      <c r="AD3166">
        <f>RAND()</f>
        <v/>
      </c>
      <c r="AE3166">
        <f>RAND()</f>
        <v/>
      </c>
      <c r="AF3166">
        <f>RAND()</f>
        <v/>
      </c>
    </row>
    <row r="3167">
      <c r="M3167" s="14">
        <f>_xlfn.BETA.INV($AA3167,1+4*($D$5-$C$5)/($E$5-$C$5),1+4*($E$5-$D$5)/($E$5-$C$5),$C$5,$E$5)</f>
        <v/>
      </c>
      <c r="N3167" s="14">
        <f>IF($AB3167&lt;($D$6-$C$6)/($E$6-$C$6),$C$6+SQRT($AB3167*($E$6-$C$6)*($D$6-$C$6)),$E$6-SQRT((1-$AB3167)*($E$6-$C$6)*($E$6-$D$6)))</f>
        <v/>
      </c>
      <c r="O3167" s="14">
        <f>_xlfn.NORM.INV($AC3167,$C$7,$D$7)</f>
        <v/>
      </c>
      <c r="P3167" s="14">
        <f>$C$8+($D$8-$C$8)*$AD3167</f>
        <v/>
      </c>
      <c r="Q3167" s="14">
        <f>$C$9</f>
        <v/>
      </c>
      <c r="R3167" s="14">
        <f>_xlfn.LOGNORM.INV($AF3167,LN($C$10)-0.5*LN(1+($D$10/$C$10)^2),SQRT(LN(1+($D$10/$C$10)^2)))</f>
        <v/>
      </c>
      <c r="S3167" s="14">
        <f>SUM(M3167:R3167)</f>
        <v/>
      </c>
      <c r="AA3167">
        <f>RAND()</f>
        <v/>
      </c>
      <c r="AB3167">
        <f>RAND()</f>
        <v/>
      </c>
      <c r="AC3167">
        <f>RAND()</f>
        <v/>
      </c>
      <c r="AD3167">
        <f>RAND()</f>
        <v/>
      </c>
      <c r="AE3167">
        <f>RAND()</f>
        <v/>
      </c>
      <c r="AF3167">
        <f>RAND()</f>
        <v/>
      </c>
    </row>
    <row r="3168">
      <c r="M3168" s="14">
        <f>_xlfn.BETA.INV($AA3168,1+4*($D$5-$C$5)/($E$5-$C$5),1+4*($E$5-$D$5)/($E$5-$C$5),$C$5,$E$5)</f>
        <v/>
      </c>
      <c r="N3168" s="14">
        <f>IF($AB3168&lt;($D$6-$C$6)/($E$6-$C$6),$C$6+SQRT($AB3168*($E$6-$C$6)*($D$6-$C$6)),$E$6-SQRT((1-$AB3168)*($E$6-$C$6)*($E$6-$D$6)))</f>
        <v/>
      </c>
      <c r="O3168" s="14">
        <f>_xlfn.NORM.INV($AC3168,$C$7,$D$7)</f>
        <v/>
      </c>
      <c r="P3168" s="14">
        <f>$C$8+($D$8-$C$8)*$AD3168</f>
        <v/>
      </c>
      <c r="Q3168" s="14">
        <f>$C$9</f>
        <v/>
      </c>
      <c r="R3168" s="14">
        <f>_xlfn.LOGNORM.INV($AF3168,LN($C$10)-0.5*LN(1+($D$10/$C$10)^2),SQRT(LN(1+($D$10/$C$10)^2)))</f>
        <v/>
      </c>
      <c r="S3168" s="14">
        <f>SUM(M3168:R3168)</f>
        <v/>
      </c>
      <c r="AA3168">
        <f>RAND()</f>
        <v/>
      </c>
      <c r="AB3168">
        <f>RAND()</f>
        <v/>
      </c>
      <c r="AC3168">
        <f>RAND()</f>
        <v/>
      </c>
      <c r="AD3168">
        <f>RAND()</f>
        <v/>
      </c>
      <c r="AE3168">
        <f>RAND()</f>
        <v/>
      </c>
      <c r="AF3168">
        <f>RAND()</f>
        <v/>
      </c>
    </row>
    <row r="3169">
      <c r="M3169" s="14">
        <f>_xlfn.BETA.INV($AA3169,1+4*($D$5-$C$5)/($E$5-$C$5),1+4*($E$5-$D$5)/($E$5-$C$5),$C$5,$E$5)</f>
        <v/>
      </c>
      <c r="N3169" s="14">
        <f>IF($AB3169&lt;($D$6-$C$6)/($E$6-$C$6),$C$6+SQRT($AB3169*($E$6-$C$6)*($D$6-$C$6)),$E$6-SQRT((1-$AB3169)*($E$6-$C$6)*($E$6-$D$6)))</f>
        <v/>
      </c>
      <c r="O3169" s="14">
        <f>_xlfn.NORM.INV($AC3169,$C$7,$D$7)</f>
        <v/>
      </c>
      <c r="P3169" s="14">
        <f>$C$8+($D$8-$C$8)*$AD3169</f>
        <v/>
      </c>
      <c r="Q3169" s="14">
        <f>$C$9</f>
        <v/>
      </c>
      <c r="R3169" s="14">
        <f>_xlfn.LOGNORM.INV($AF3169,LN($C$10)-0.5*LN(1+($D$10/$C$10)^2),SQRT(LN(1+($D$10/$C$10)^2)))</f>
        <v/>
      </c>
      <c r="S3169" s="14">
        <f>SUM(M3169:R3169)</f>
        <v/>
      </c>
      <c r="AA3169">
        <f>RAND()</f>
        <v/>
      </c>
      <c r="AB3169">
        <f>RAND()</f>
        <v/>
      </c>
      <c r="AC3169">
        <f>RAND()</f>
        <v/>
      </c>
      <c r="AD3169">
        <f>RAND()</f>
        <v/>
      </c>
      <c r="AE3169">
        <f>RAND()</f>
        <v/>
      </c>
      <c r="AF3169">
        <f>RAND()</f>
        <v/>
      </c>
    </row>
    <row r="3170">
      <c r="M3170" s="14">
        <f>_xlfn.BETA.INV($AA3170,1+4*($D$5-$C$5)/($E$5-$C$5),1+4*($E$5-$D$5)/($E$5-$C$5),$C$5,$E$5)</f>
        <v/>
      </c>
      <c r="N3170" s="14">
        <f>IF($AB3170&lt;($D$6-$C$6)/($E$6-$C$6),$C$6+SQRT($AB3170*($E$6-$C$6)*($D$6-$C$6)),$E$6-SQRT((1-$AB3170)*($E$6-$C$6)*($E$6-$D$6)))</f>
        <v/>
      </c>
      <c r="O3170" s="14">
        <f>_xlfn.NORM.INV($AC3170,$C$7,$D$7)</f>
        <v/>
      </c>
      <c r="P3170" s="14">
        <f>$C$8+($D$8-$C$8)*$AD3170</f>
        <v/>
      </c>
      <c r="Q3170" s="14">
        <f>$C$9</f>
        <v/>
      </c>
      <c r="R3170" s="14">
        <f>_xlfn.LOGNORM.INV($AF3170,LN($C$10)-0.5*LN(1+($D$10/$C$10)^2),SQRT(LN(1+($D$10/$C$10)^2)))</f>
        <v/>
      </c>
      <c r="S3170" s="14">
        <f>SUM(M3170:R3170)</f>
        <v/>
      </c>
      <c r="AA3170">
        <f>RAND()</f>
        <v/>
      </c>
      <c r="AB3170">
        <f>RAND()</f>
        <v/>
      </c>
      <c r="AC3170">
        <f>RAND()</f>
        <v/>
      </c>
      <c r="AD3170">
        <f>RAND()</f>
        <v/>
      </c>
      <c r="AE3170">
        <f>RAND()</f>
        <v/>
      </c>
      <c r="AF3170">
        <f>RAND()</f>
        <v/>
      </c>
    </row>
    <row r="3171">
      <c r="M3171" s="14">
        <f>_xlfn.BETA.INV($AA3171,1+4*($D$5-$C$5)/($E$5-$C$5),1+4*($E$5-$D$5)/($E$5-$C$5),$C$5,$E$5)</f>
        <v/>
      </c>
      <c r="N3171" s="14">
        <f>IF($AB3171&lt;($D$6-$C$6)/($E$6-$C$6),$C$6+SQRT($AB3171*($E$6-$C$6)*($D$6-$C$6)),$E$6-SQRT((1-$AB3171)*($E$6-$C$6)*($E$6-$D$6)))</f>
        <v/>
      </c>
      <c r="O3171" s="14">
        <f>_xlfn.NORM.INV($AC3171,$C$7,$D$7)</f>
        <v/>
      </c>
      <c r="P3171" s="14">
        <f>$C$8+($D$8-$C$8)*$AD3171</f>
        <v/>
      </c>
      <c r="Q3171" s="14">
        <f>$C$9</f>
        <v/>
      </c>
      <c r="R3171" s="14">
        <f>_xlfn.LOGNORM.INV($AF3171,LN($C$10)-0.5*LN(1+($D$10/$C$10)^2),SQRT(LN(1+($D$10/$C$10)^2)))</f>
        <v/>
      </c>
      <c r="S3171" s="14">
        <f>SUM(M3171:R3171)</f>
        <v/>
      </c>
      <c r="AA3171">
        <f>RAND()</f>
        <v/>
      </c>
      <c r="AB3171">
        <f>RAND()</f>
        <v/>
      </c>
      <c r="AC3171">
        <f>RAND()</f>
        <v/>
      </c>
      <c r="AD3171">
        <f>RAND()</f>
        <v/>
      </c>
      <c r="AE3171">
        <f>RAND()</f>
        <v/>
      </c>
      <c r="AF3171">
        <f>RAND()</f>
        <v/>
      </c>
    </row>
    <row r="3172">
      <c r="M3172" s="14">
        <f>_xlfn.BETA.INV($AA3172,1+4*($D$5-$C$5)/($E$5-$C$5),1+4*($E$5-$D$5)/($E$5-$C$5),$C$5,$E$5)</f>
        <v/>
      </c>
      <c r="N3172" s="14">
        <f>IF($AB3172&lt;($D$6-$C$6)/($E$6-$C$6),$C$6+SQRT($AB3172*($E$6-$C$6)*($D$6-$C$6)),$E$6-SQRT((1-$AB3172)*($E$6-$C$6)*($E$6-$D$6)))</f>
        <v/>
      </c>
      <c r="O3172" s="14">
        <f>_xlfn.NORM.INV($AC3172,$C$7,$D$7)</f>
        <v/>
      </c>
      <c r="P3172" s="14">
        <f>$C$8+($D$8-$C$8)*$AD3172</f>
        <v/>
      </c>
      <c r="Q3172" s="14">
        <f>$C$9</f>
        <v/>
      </c>
      <c r="R3172" s="14">
        <f>_xlfn.LOGNORM.INV($AF3172,LN($C$10)-0.5*LN(1+($D$10/$C$10)^2),SQRT(LN(1+($D$10/$C$10)^2)))</f>
        <v/>
      </c>
      <c r="S3172" s="14">
        <f>SUM(M3172:R3172)</f>
        <v/>
      </c>
      <c r="AA3172">
        <f>RAND()</f>
        <v/>
      </c>
      <c r="AB3172">
        <f>RAND()</f>
        <v/>
      </c>
      <c r="AC3172">
        <f>RAND()</f>
        <v/>
      </c>
      <c r="AD3172">
        <f>RAND()</f>
        <v/>
      </c>
      <c r="AE3172">
        <f>RAND()</f>
        <v/>
      </c>
      <c r="AF3172">
        <f>RAND()</f>
        <v/>
      </c>
    </row>
    <row r="3173">
      <c r="M3173" s="14">
        <f>_xlfn.BETA.INV($AA3173,1+4*($D$5-$C$5)/($E$5-$C$5),1+4*($E$5-$D$5)/($E$5-$C$5),$C$5,$E$5)</f>
        <v/>
      </c>
      <c r="N3173" s="14">
        <f>IF($AB3173&lt;($D$6-$C$6)/($E$6-$C$6),$C$6+SQRT($AB3173*($E$6-$C$6)*($D$6-$C$6)),$E$6-SQRT((1-$AB3173)*($E$6-$C$6)*($E$6-$D$6)))</f>
        <v/>
      </c>
      <c r="O3173" s="14">
        <f>_xlfn.NORM.INV($AC3173,$C$7,$D$7)</f>
        <v/>
      </c>
      <c r="P3173" s="14">
        <f>$C$8+($D$8-$C$8)*$AD3173</f>
        <v/>
      </c>
      <c r="Q3173" s="14">
        <f>$C$9</f>
        <v/>
      </c>
      <c r="R3173" s="14">
        <f>_xlfn.LOGNORM.INV($AF3173,LN($C$10)-0.5*LN(1+($D$10/$C$10)^2),SQRT(LN(1+($D$10/$C$10)^2)))</f>
        <v/>
      </c>
      <c r="S3173" s="14">
        <f>SUM(M3173:R3173)</f>
        <v/>
      </c>
      <c r="AA3173">
        <f>RAND()</f>
        <v/>
      </c>
      <c r="AB3173">
        <f>RAND()</f>
        <v/>
      </c>
      <c r="AC3173">
        <f>RAND()</f>
        <v/>
      </c>
      <c r="AD3173">
        <f>RAND()</f>
        <v/>
      </c>
      <c r="AE3173">
        <f>RAND()</f>
        <v/>
      </c>
      <c r="AF3173">
        <f>RAND()</f>
        <v/>
      </c>
    </row>
    <row r="3174">
      <c r="M3174" s="14">
        <f>_xlfn.BETA.INV($AA3174,1+4*($D$5-$C$5)/($E$5-$C$5),1+4*($E$5-$D$5)/($E$5-$C$5),$C$5,$E$5)</f>
        <v/>
      </c>
      <c r="N3174" s="14">
        <f>IF($AB3174&lt;($D$6-$C$6)/($E$6-$C$6),$C$6+SQRT($AB3174*($E$6-$C$6)*($D$6-$C$6)),$E$6-SQRT((1-$AB3174)*($E$6-$C$6)*($E$6-$D$6)))</f>
        <v/>
      </c>
      <c r="O3174" s="14">
        <f>_xlfn.NORM.INV($AC3174,$C$7,$D$7)</f>
        <v/>
      </c>
      <c r="P3174" s="14">
        <f>$C$8+($D$8-$C$8)*$AD3174</f>
        <v/>
      </c>
      <c r="Q3174" s="14">
        <f>$C$9</f>
        <v/>
      </c>
      <c r="R3174" s="14">
        <f>_xlfn.LOGNORM.INV($AF3174,LN($C$10)-0.5*LN(1+($D$10/$C$10)^2),SQRT(LN(1+($D$10/$C$10)^2)))</f>
        <v/>
      </c>
      <c r="S3174" s="14">
        <f>SUM(M3174:R3174)</f>
        <v/>
      </c>
      <c r="AA3174">
        <f>RAND()</f>
        <v/>
      </c>
      <c r="AB3174">
        <f>RAND()</f>
        <v/>
      </c>
      <c r="AC3174">
        <f>RAND()</f>
        <v/>
      </c>
      <c r="AD3174">
        <f>RAND()</f>
        <v/>
      </c>
      <c r="AE3174">
        <f>RAND()</f>
        <v/>
      </c>
      <c r="AF3174">
        <f>RAND()</f>
        <v/>
      </c>
    </row>
    <row r="3175">
      <c r="M3175" s="14">
        <f>_xlfn.BETA.INV($AA3175,1+4*($D$5-$C$5)/($E$5-$C$5),1+4*($E$5-$D$5)/($E$5-$C$5),$C$5,$E$5)</f>
        <v/>
      </c>
      <c r="N3175" s="14">
        <f>IF($AB3175&lt;($D$6-$C$6)/($E$6-$C$6),$C$6+SQRT($AB3175*($E$6-$C$6)*($D$6-$C$6)),$E$6-SQRT((1-$AB3175)*($E$6-$C$6)*($E$6-$D$6)))</f>
        <v/>
      </c>
      <c r="O3175" s="14">
        <f>_xlfn.NORM.INV($AC3175,$C$7,$D$7)</f>
        <v/>
      </c>
      <c r="P3175" s="14">
        <f>$C$8+($D$8-$C$8)*$AD3175</f>
        <v/>
      </c>
      <c r="Q3175" s="14">
        <f>$C$9</f>
        <v/>
      </c>
      <c r="R3175" s="14">
        <f>_xlfn.LOGNORM.INV($AF3175,LN($C$10)-0.5*LN(1+($D$10/$C$10)^2),SQRT(LN(1+($D$10/$C$10)^2)))</f>
        <v/>
      </c>
      <c r="S3175" s="14">
        <f>SUM(M3175:R3175)</f>
        <v/>
      </c>
      <c r="AA3175">
        <f>RAND()</f>
        <v/>
      </c>
      <c r="AB3175">
        <f>RAND()</f>
        <v/>
      </c>
      <c r="AC3175">
        <f>RAND()</f>
        <v/>
      </c>
      <c r="AD3175">
        <f>RAND()</f>
        <v/>
      </c>
      <c r="AE3175">
        <f>RAND()</f>
        <v/>
      </c>
      <c r="AF3175">
        <f>RAND()</f>
        <v/>
      </c>
    </row>
    <row r="3176">
      <c r="M3176" s="14">
        <f>_xlfn.BETA.INV($AA3176,1+4*($D$5-$C$5)/($E$5-$C$5),1+4*($E$5-$D$5)/($E$5-$C$5),$C$5,$E$5)</f>
        <v/>
      </c>
      <c r="N3176" s="14">
        <f>IF($AB3176&lt;($D$6-$C$6)/($E$6-$C$6),$C$6+SQRT($AB3176*($E$6-$C$6)*($D$6-$C$6)),$E$6-SQRT((1-$AB3176)*($E$6-$C$6)*($E$6-$D$6)))</f>
        <v/>
      </c>
      <c r="O3176" s="14">
        <f>_xlfn.NORM.INV($AC3176,$C$7,$D$7)</f>
        <v/>
      </c>
      <c r="P3176" s="14">
        <f>$C$8+($D$8-$C$8)*$AD3176</f>
        <v/>
      </c>
      <c r="Q3176" s="14">
        <f>$C$9</f>
        <v/>
      </c>
      <c r="R3176" s="14">
        <f>_xlfn.LOGNORM.INV($AF3176,LN($C$10)-0.5*LN(1+($D$10/$C$10)^2),SQRT(LN(1+($D$10/$C$10)^2)))</f>
        <v/>
      </c>
      <c r="S3176" s="14">
        <f>SUM(M3176:R3176)</f>
        <v/>
      </c>
      <c r="AA3176">
        <f>RAND()</f>
        <v/>
      </c>
      <c r="AB3176">
        <f>RAND()</f>
        <v/>
      </c>
      <c r="AC3176">
        <f>RAND()</f>
        <v/>
      </c>
      <c r="AD3176">
        <f>RAND()</f>
        <v/>
      </c>
      <c r="AE3176">
        <f>RAND()</f>
        <v/>
      </c>
      <c r="AF3176">
        <f>RAND()</f>
        <v/>
      </c>
    </row>
    <row r="3177">
      <c r="M3177" s="14">
        <f>_xlfn.BETA.INV($AA3177,1+4*($D$5-$C$5)/($E$5-$C$5),1+4*($E$5-$D$5)/($E$5-$C$5),$C$5,$E$5)</f>
        <v/>
      </c>
      <c r="N3177" s="14">
        <f>IF($AB3177&lt;($D$6-$C$6)/($E$6-$C$6),$C$6+SQRT($AB3177*($E$6-$C$6)*($D$6-$C$6)),$E$6-SQRT((1-$AB3177)*($E$6-$C$6)*($E$6-$D$6)))</f>
        <v/>
      </c>
      <c r="O3177" s="14">
        <f>_xlfn.NORM.INV($AC3177,$C$7,$D$7)</f>
        <v/>
      </c>
      <c r="P3177" s="14">
        <f>$C$8+($D$8-$C$8)*$AD3177</f>
        <v/>
      </c>
      <c r="Q3177" s="14">
        <f>$C$9</f>
        <v/>
      </c>
      <c r="R3177" s="14">
        <f>_xlfn.LOGNORM.INV($AF3177,LN($C$10)-0.5*LN(1+($D$10/$C$10)^2),SQRT(LN(1+($D$10/$C$10)^2)))</f>
        <v/>
      </c>
      <c r="S3177" s="14">
        <f>SUM(M3177:R3177)</f>
        <v/>
      </c>
      <c r="AA3177">
        <f>RAND()</f>
        <v/>
      </c>
      <c r="AB3177">
        <f>RAND()</f>
        <v/>
      </c>
      <c r="AC3177">
        <f>RAND()</f>
        <v/>
      </c>
      <c r="AD3177">
        <f>RAND()</f>
        <v/>
      </c>
      <c r="AE3177">
        <f>RAND()</f>
        <v/>
      </c>
      <c r="AF3177">
        <f>RAND()</f>
        <v/>
      </c>
    </row>
    <row r="3178">
      <c r="M3178" s="14">
        <f>_xlfn.BETA.INV($AA3178,1+4*($D$5-$C$5)/($E$5-$C$5),1+4*($E$5-$D$5)/($E$5-$C$5),$C$5,$E$5)</f>
        <v/>
      </c>
      <c r="N3178" s="14">
        <f>IF($AB3178&lt;($D$6-$C$6)/($E$6-$C$6),$C$6+SQRT($AB3178*($E$6-$C$6)*($D$6-$C$6)),$E$6-SQRT((1-$AB3178)*($E$6-$C$6)*($E$6-$D$6)))</f>
        <v/>
      </c>
      <c r="O3178" s="14">
        <f>_xlfn.NORM.INV($AC3178,$C$7,$D$7)</f>
        <v/>
      </c>
      <c r="P3178" s="14">
        <f>$C$8+($D$8-$C$8)*$AD3178</f>
        <v/>
      </c>
      <c r="Q3178" s="14">
        <f>$C$9</f>
        <v/>
      </c>
      <c r="R3178" s="14">
        <f>_xlfn.LOGNORM.INV($AF3178,LN($C$10)-0.5*LN(1+($D$10/$C$10)^2),SQRT(LN(1+($D$10/$C$10)^2)))</f>
        <v/>
      </c>
      <c r="S3178" s="14">
        <f>SUM(M3178:R3178)</f>
        <v/>
      </c>
      <c r="AA3178">
        <f>RAND()</f>
        <v/>
      </c>
      <c r="AB3178">
        <f>RAND()</f>
        <v/>
      </c>
      <c r="AC3178">
        <f>RAND()</f>
        <v/>
      </c>
      <c r="AD3178">
        <f>RAND()</f>
        <v/>
      </c>
      <c r="AE3178">
        <f>RAND()</f>
        <v/>
      </c>
      <c r="AF3178">
        <f>RAND()</f>
        <v/>
      </c>
    </row>
    <row r="3179">
      <c r="M3179" s="14">
        <f>_xlfn.BETA.INV($AA3179,1+4*($D$5-$C$5)/($E$5-$C$5),1+4*($E$5-$D$5)/($E$5-$C$5),$C$5,$E$5)</f>
        <v/>
      </c>
      <c r="N3179" s="14">
        <f>IF($AB3179&lt;($D$6-$C$6)/($E$6-$C$6),$C$6+SQRT($AB3179*($E$6-$C$6)*($D$6-$C$6)),$E$6-SQRT((1-$AB3179)*($E$6-$C$6)*($E$6-$D$6)))</f>
        <v/>
      </c>
      <c r="O3179" s="14">
        <f>_xlfn.NORM.INV($AC3179,$C$7,$D$7)</f>
        <v/>
      </c>
      <c r="P3179" s="14">
        <f>$C$8+($D$8-$C$8)*$AD3179</f>
        <v/>
      </c>
      <c r="Q3179" s="14">
        <f>$C$9</f>
        <v/>
      </c>
      <c r="R3179" s="14">
        <f>_xlfn.LOGNORM.INV($AF3179,LN($C$10)-0.5*LN(1+($D$10/$C$10)^2),SQRT(LN(1+($D$10/$C$10)^2)))</f>
        <v/>
      </c>
      <c r="S3179" s="14">
        <f>SUM(M3179:R3179)</f>
        <v/>
      </c>
      <c r="AA3179">
        <f>RAND()</f>
        <v/>
      </c>
      <c r="AB3179">
        <f>RAND()</f>
        <v/>
      </c>
      <c r="AC3179">
        <f>RAND()</f>
        <v/>
      </c>
      <c r="AD3179">
        <f>RAND()</f>
        <v/>
      </c>
      <c r="AE3179">
        <f>RAND()</f>
        <v/>
      </c>
      <c r="AF3179">
        <f>RAND()</f>
        <v/>
      </c>
    </row>
    <row r="3180">
      <c r="M3180" s="14">
        <f>_xlfn.BETA.INV($AA3180,1+4*($D$5-$C$5)/($E$5-$C$5),1+4*($E$5-$D$5)/($E$5-$C$5),$C$5,$E$5)</f>
        <v/>
      </c>
      <c r="N3180" s="14">
        <f>IF($AB3180&lt;($D$6-$C$6)/($E$6-$C$6),$C$6+SQRT($AB3180*($E$6-$C$6)*($D$6-$C$6)),$E$6-SQRT((1-$AB3180)*($E$6-$C$6)*($E$6-$D$6)))</f>
        <v/>
      </c>
      <c r="O3180" s="14">
        <f>_xlfn.NORM.INV($AC3180,$C$7,$D$7)</f>
        <v/>
      </c>
      <c r="P3180" s="14">
        <f>$C$8+($D$8-$C$8)*$AD3180</f>
        <v/>
      </c>
      <c r="Q3180" s="14">
        <f>$C$9</f>
        <v/>
      </c>
      <c r="R3180" s="14">
        <f>_xlfn.LOGNORM.INV($AF3180,LN($C$10)-0.5*LN(1+($D$10/$C$10)^2),SQRT(LN(1+($D$10/$C$10)^2)))</f>
        <v/>
      </c>
      <c r="S3180" s="14">
        <f>SUM(M3180:R3180)</f>
        <v/>
      </c>
      <c r="AA3180">
        <f>RAND()</f>
        <v/>
      </c>
      <c r="AB3180">
        <f>RAND()</f>
        <v/>
      </c>
      <c r="AC3180">
        <f>RAND()</f>
        <v/>
      </c>
      <c r="AD3180">
        <f>RAND()</f>
        <v/>
      </c>
      <c r="AE3180">
        <f>RAND()</f>
        <v/>
      </c>
      <c r="AF3180">
        <f>RAND()</f>
        <v/>
      </c>
    </row>
    <row r="3181">
      <c r="M3181" s="14">
        <f>_xlfn.BETA.INV($AA3181,1+4*($D$5-$C$5)/($E$5-$C$5),1+4*($E$5-$D$5)/($E$5-$C$5),$C$5,$E$5)</f>
        <v/>
      </c>
      <c r="N3181" s="14">
        <f>IF($AB3181&lt;($D$6-$C$6)/($E$6-$C$6),$C$6+SQRT($AB3181*($E$6-$C$6)*($D$6-$C$6)),$E$6-SQRT((1-$AB3181)*($E$6-$C$6)*($E$6-$D$6)))</f>
        <v/>
      </c>
      <c r="O3181" s="14">
        <f>_xlfn.NORM.INV($AC3181,$C$7,$D$7)</f>
        <v/>
      </c>
      <c r="P3181" s="14">
        <f>$C$8+($D$8-$C$8)*$AD3181</f>
        <v/>
      </c>
      <c r="Q3181" s="14">
        <f>$C$9</f>
        <v/>
      </c>
      <c r="R3181" s="14">
        <f>_xlfn.LOGNORM.INV($AF3181,LN($C$10)-0.5*LN(1+($D$10/$C$10)^2),SQRT(LN(1+($D$10/$C$10)^2)))</f>
        <v/>
      </c>
      <c r="S3181" s="14">
        <f>SUM(M3181:R3181)</f>
        <v/>
      </c>
      <c r="AA3181">
        <f>RAND()</f>
        <v/>
      </c>
      <c r="AB3181">
        <f>RAND()</f>
        <v/>
      </c>
      <c r="AC3181">
        <f>RAND()</f>
        <v/>
      </c>
      <c r="AD3181">
        <f>RAND()</f>
        <v/>
      </c>
      <c r="AE3181">
        <f>RAND()</f>
        <v/>
      </c>
      <c r="AF3181">
        <f>RAND()</f>
        <v/>
      </c>
    </row>
    <row r="3182">
      <c r="M3182" s="14">
        <f>_xlfn.BETA.INV($AA3182,1+4*($D$5-$C$5)/($E$5-$C$5),1+4*($E$5-$D$5)/($E$5-$C$5),$C$5,$E$5)</f>
        <v/>
      </c>
      <c r="N3182" s="14">
        <f>IF($AB3182&lt;($D$6-$C$6)/($E$6-$C$6),$C$6+SQRT($AB3182*($E$6-$C$6)*($D$6-$C$6)),$E$6-SQRT((1-$AB3182)*($E$6-$C$6)*($E$6-$D$6)))</f>
        <v/>
      </c>
      <c r="O3182" s="14">
        <f>_xlfn.NORM.INV($AC3182,$C$7,$D$7)</f>
        <v/>
      </c>
      <c r="P3182" s="14">
        <f>$C$8+($D$8-$C$8)*$AD3182</f>
        <v/>
      </c>
      <c r="Q3182" s="14">
        <f>$C$9</f>
        <v/>
      </c>
      <c r="R3182" s="14">
        <f>_xlfn.LOGNORM.INV($AF3182,LN($C$10)-0.5*LN(1+($D$10/$C$10)^2),SQRT(LN(1+($D$10/$C$10)^2)))</f>
        <v/>
      </c>
      <c r="S3182" s="14">
        <f>SUM(M3182:R3182)</f>
        <v/>
      </c>
      <c r="AA3182">
        <f>RAND()</f>
        <v/>
      </c>
      <c r="AB3182">
        <f>RAND()</f>
        <v/>
      </c>
      <c r="AC3182">
        <f>RAND()</f>
        <v/>
      </c>
      <c r="AD3182">
        <f>RAND()</f>
        <v/>
      </c>
      <c r="AE3182">
        <f>RAND()</f>
        <v/>
      </c>
      <c r="AF3182">
        <f>RAND()</f>
        <v/>
      </c>
    </row>
    <row r="3183">
      <c r="M3183" s="14">
        <f>_xlfn.BETA.INV($AA3183,1+4*($D$5-$C$5)/($E$5-$C$5),1+4*($E$5-$D$5)/($E$5-$C$5),$C$5,$E$5)</f>
        <v/>
      </c>
      <c r="N3183" s="14">
        <f>IF($AB3183&lt;($D$6-$C$6)/($E$6-$C$6),$C$6+SQRT($AB3183*($E$6-$C$6)*($D$6-$C$6)),$E$6-SQRT((1-$AB3183)*($E$6-$C$6)*($E$6-$D$6)))</f>
        <v/>
      </c>
      <c r="O3183" s="14">
        <f>_xlfn.NORM.INV($AC3183,$C$7,$D$7)</f>
        <v/>
      </c>
      <c r="P3183" s="14">
        <f>$C$8+($D$8-$C$8)*$AD3183</f>
        <v/>
      </c>
      <c r="Q3183" s="14">
        <f>$C$9</f>
        <v/>
      </c>
      <c r="R3183" s="14">
        <f>_xlfn.LOGNORM.INV($AF3183,LN($C$10)-0.5*LN(1+($D$10/$C$10)^2),SQRT(LN(1+($D$10/$C$10)^2)))</f>
        <v/>
      </c>
      <c r="S3183" s="14">
        <f>SUM(M3183:R3183)</f>
        <v/>
      </c>
      <c r="AA3183">
        <f>RAND()</f>
        <v/>
      </c>
      <c r="AB3183">
        <f>RAND()</f>
        <v/>
      </c>
      <c r="AC3183">
        <f>RAND()</f>
        <v/>
      </c>
      <c r="AD3183">
        <f>RAND()</f>
        <v/>
      </c>
      <c r="AE3183">
        <f>RAND()</f>
        <v/>
      </c>
      <c r="AF3183">
        <f>RAND()</f>
        <v/>
      </c>
    </row>
    <row r="3184">
      <c r="M3184" s="14">
        <f>_xlfn.BETA.INV($AA3184,1+4*($D$5-$C$5)/($E$5-$C$5),1+4*($E$5-$D$5)/($E$5-$C$5),$C$5,$E$5)</f>
        <v/>
      </c>
      <c r="N3184" s="14">
        <f>IF($AB3184&lt;($D$6-$C$6)/($E$6-$C$6),$C$6+SQRT($AB3184*($E$6-$C$6)*($D$6-$C$6)),$E$6-SQRT((1-$AB3184)*($E$6-$C$6)*($E$6-$D$6)))</f>
        <v/>
      </c>
      <c r="O3184" s="14">
        <f>_xlfn.NORM.INV($AC3184,$C$7,$D$7)</f>
        <v/>
      </c>
      <c r="P3184" s="14">
        <f>$C$8+($D$8-$C$8)*$AD3184</f>
        <v/>
      </c>
      <c r="Q3184" s="14">
        <f>$C$9</f>
        <v/>
      </c>
      <c r="R3184" s="14">
        <f>_xlfn.LOGNORM.INV($AF3184,LN($C$10)-0.5*LN(1+($D$10/$C$10)^2),SQRT(LN(1+($D$10/$C$10)^2)))</f>
        <v/>
      </c>
      <c r="S3184" s="14">
        <f>SUM(M3184:R3184)</f>
        <v/>
      </c>
      <c r="AA3184">
        <f>RAND()</f>
        <v/>
      </c>
      <c r="AB3184">
        <f>RAND()</f>
        <v/>
      </c>
      <c r="AC3184">
        <f>RAND()</f>
        <v/>
      </c>
      <c r="AD3184">
        <f>RAND()</f>
        <v/>
      </c>
      <c r="AE3184">
        <f>RAND()</f>
        <v/>
      </c>
      <c r="AF3184">
        <f>RAND()</f>
        <v/>
      </c>
    </row>
    <row r="3185">
      <c r="M3185" s="14">
        <f>_xlfn.BETA.INV($AA3185,1+4*($D$5-$C$5)/($E$5-$C$5),1+4*($E$5-$D$5)/($E$5-$C$5),$C$5,$E$5)</f>
        <v/>
      </c>
      <c r="N3185" s="14">
        <f>IF($AB3185&lt;($D$6-$C$6)/($E$6-$C$6),$C$6+SQRT($AB3185*($E$6-$C$6)*($D$6-$C$6)),$E$6-SQRT((1-$AB3185)*($E$6-$C$6)*($E$6-$D$6)))</f>
        <v/>
      </c>
      <c r="O3185" s="14">
        <f>_xlfn.NORM.INV($AC3185,$C$7,$D$7)</f>
        <v/>
      </c>
      <c r="P3185" s="14">
        <f>$C$8+($D$8-$C$8)*$AD3185</f>
        <v/>
      </c>
      <c r="Q3185" s="14">
        <f>$C$9</f>
        <v/>
      </c>
      <c r="R3185" s="14">
        <f>_xlfn.LOGNORM.INV($AF3185,LN($C$10)-0.5*LN(1+($D$10/$C$10)^2),SQRT(LN(1+($D$10/$C$10)^2)))</f>
        <v/>
      </c>
      <c r="S3185" s="14">
        <f>SUM(M3185:R3185)</f>
        <v/>
      </c>
      <c r="AA3185">
        <f>RAND()</f>
        <v/>
      </c>
      <c r="AB3185">
        <f>RAND()</f>
        <v/>
      </c>
      <c r="AC3185">
        <f>RAND()</f>
        <v/>
      </c>
      <c r="AD3185">
        <f>RAND()</f>
        <v/>
      </c>
      <c r="AE3185">
        <f>RAND()</f>
        <v/>
      </c>
      <c r="AF3185">
        <f>RAND()</f>
        <v/>
      </c>
    </row>
    <row r="3186">
      <c r="M3186" s="14">
        <f>_xlfn.BETA.INV($AA3186,1+4*($D$5-$C$5)/($E$5-$C$5),1+4*($E$5-$D$5)/($E$5-$C$5),$C$5,$E$5)</f>
        <v/>
      </c>
      <c r="N3186" s="14">
        <f>IF($AB3186&lt;($D$6-$C$6)/($E$6-$C$6),$C$6+SQRT($AB3186*($E$6-$C$6)*($D$6-$C$6)),$E$6-SQRT((1-$AB3186)*($E$6-$C$6)*($E$6-$D$6)))</f>
        <v/>
      </c>
      <c r="O3186" s="14">
        <f>_xlfn.NORM.INV($AC3186,$C$7,$D$7)</f>
        <v/>
      </c>
      <c r="P3186" s="14">
        <f>$C$8+($D$8-$C$8)*$AD3186</f>
        <v/>
      </c>
      <c r="Q3186" s="14">
        <f>$C$9</f>
        <v/>
      </c>
      <c r="R3186" s="14">
        <f>_xlfn.LOGNORM.INV($AF3186,LN($C$10)-0.5*LN(1+($D$10/$C$10)^2),SQRT(LN(1+($D$10/$C$10)^2)))</f>
        <v/>
      </c>
      <c r="S3186" s="14">
        <f>SUM(M3186:R3186)</f>
        <v/>
      </c>
      <c r="AA3186">
        <f>RAND()</f>
        <v/>
      </c>
      <c r="AB3186">
        <f>RAND()</f>
        <v/>
      </c>
      <c r="AC3186">
        <f>RAND()</f>
        <v/>
      </c>
      <c r="AD3186">
        <f>RAND()</f>
        <v/>
      </c>
      <c r="AE3186">
        <f>RAND()</f>
        <v/>
      </c>
      <c r="AF3186">
        <f>RAND()</f>
        <v/>
      </c>
    </row>
    <row r="3187">
      <c r="M3187" s="14">
        <f>_xlfn.BETA.INV($AA3187,1+4*($D$5-$C$5)/($E$5-$C$5),1+4*($E$5-$D$5)/($E$5-$C$5),$C$5,$E$5)</f>
        <v/>
      </c>
      <c r="N3187" s="14">
        <f>IF($AB3187&lt;($D$6-$C$6)/($E$6-$C$6),$C$6+SQRT($AB3187*($E$6-$C$6)*($D$6-$C$6)),$E$6-SQRT((1-$AB3187)*($E$6-$C$6)*($E$6-$D$6)))</f>
        <v/>
      </c>
      <c r="O3187" s="14">
        <f>_xlfn.NORM.INV($AC3187,$C$7,$D$7)</f>
        <v/>
      </c>
      <c r="P3187" s="14">
        <f>$C$8+($D$8-$C$8)*$AD3187</f>
        <v/>
      </c>
      <c r="Q3187" s="14">
        <f>$C$9</f>
        <v/>
      </c>
      <c r="R3187" s="14">
        <f>_xlfn.LOGNORM.INV($AF3187,LN($C$10)-0.5*LN(1+($D$10/$C$10)^2),SQRT(LN(1+($D$10/$C$10)^2)))</f>
        <v/>
      </c>
      <c r="S3187" s="14">
        <f>SUM(M3187:R3187)</f>
        <v/>
      </c>
      <c r="AA3187">
        <f>RAND()</f>
        <v/>
      </c>
      <c r="AB3187">
        <f>RAND()</f>
        <v/>
      </c>
      <c r="AC3187">
        <f>RAND()</f>
        <v/>
      </c>
      <c r="AD3187">
        <f>RAND()</f>
        <v/>
      </c>
      <c r="AE3187">
        <f>RAND()</f>
        <v/>
      </c>
      <c r="AF3187">
        <f>RAND()</f>
        <v/>
      </c>
    </row>
    <row r="3188">
      <c r="M3188" s="14">
        <f>_xlfn.BETA.INV($AA3188,1+4*($D$5-$C$5)/($E$5-$C$5),1+4*($E$5-$D$5)/($E$5-$C$5),$C$5,$E$5)</f>
        <v/>
      </c>
      <c r="N3188" s="14">
        <f>IF($AB3188&lt;($D$6-$C$6)/($E$6-$C$6),$C$6+SQRT($AB3188*($E$6-$C$6)*($D$6-$C$6)),$E$6-SQRT((1-$AB3188)*($E$6-$C$6)*($E$6-$D$6)))</f>
        <v/>
      </c>
      <c r="O3188" s="14">
        <f>_xlfn.NORM.INV($AC3188,$C$7,$D$7)</f>
        <v/>
      </c>
      <c r="P3188" s="14">
        <f>$C$8+($D$8-$C$8)*$AD3188</f>
        <v/>
      </c>
      <c r="Q3188" s="14">
        <f>$C$9</f>
        <v/>
      </c>
      <c r="R3188" s="14">
        <f>_xlfn.LOGNORM.INV($AF3188,LN($C$10)-0.5*LN(1+($D$10/$C$10)^2),SQRT(LN(1+($D$10/$C$10)^2)))</f>
        <v/>
      </c>
      <c r="S3188" s="14">
        <f>SUM(M3188:R3188)</f>
        <v/>
      </c>
      <c r="AA3188">
        <f>RAND()</f>
        <v/>
      </c>
      <c r="AB3188">
        <f>RAND()</f>
        <v/>
      </c>
      <c r="AC3188">
        <f>RAND()</f>
        <v/>
      </c>
      <c r="AD3188">
        <f>RAND()</f>
        <v/>
      </c>
      <c r="AE3188">
        <f>RAND()</f>
        <v/>
      </c>
      <c r="AF3188">
        <f>RAND()</f>
        <v/>
      </c>
    </row>
    <row r="3189">
      <c r="M3189" s="14">
        <f>_xlfn.BETA.INV($AA3189,1+4*($D$5-$C$5)/($E$5-$C$5),1+4*($E$5-$D$5)/($E$5-$C$5),$C$5,$E$5)</f>
        <v/>
      </c>
      <c r="N3189" s="14">
        <f>IF($AB3189&lt;($D$6-$C$6)/($E$6-$C$6),$C$6+SQRT($AB3189*($E$6-$C$6)*($D$6-$C$6)),$E$6-SQRT((1-$AB3189)*($E$6-$C$6)*($E$6-$D$6)))</f>
        <v/>
      </c>
      <c r="O3189" s="14">
        <f>_xlfn.NORM.INV($AC3189,$C$7,$D$7)</f>
        <v/>
      </c>
      <c r="P3189" s="14">
        <f>$C$8+($D$8-$C$8)*$AD3189</f>
        <v/>
      </c>
      <c r="Q3189" s="14">
        <f>$C$9</f>
        <v/>
      </c>
      <c r="R3189" s="14">
        <f>_xlfn.LOGNORM.INV($AF3189,LN($C$10)-0.5*LN(1+($D$10/$C$10)^2),SQRT(LN(1+($D$10/$C$10)^2)))</f>
        <v/>
      </c>
      <c r="S3189" s="14">
        <f>SUM(M3189:R3189)</f>
        <v/>
      </c>
      <c r="AA3189">
        <f>RAND()</f>
        <v/>
      </c>
      <c r="AB3189">
        <f>RAND()</f>
        <v/>
      </c>
      <c r="AC3189">
        <f>RAND()</f>
        <v/>
      </c>
      <c r="AD3189">
        <f>RAND()</f>
        <v/>
      </c>
      <c r="AE3189">
        <f>RAND()</f>
        <v/>
      </c>
      <c r="AF3189">
        <f>RAND()</f>
        <v/>
      </c>
    </row>
    <row r="3190">
      <c r="M3190" s="14">
        <f>_xlfn.BETA.INV($AA3190,1+4*($D$5-$C$5)/($E$5-$C$5),1+4*($E$5-$D$5)/($E$5-$C$5),$C$5,$E$5)</f>
        <v/>
      </c>
      <c r="N3190" s="14">
        <f>IF($AB3190&lt;($D$6-$C$6)/($E$6-$C$6),$C$6+SQRT($AB3190*($E$6-$C$6)*($D$6-$C$6)),$E$6-SQRT((1-$AB3190)*($E$6-$C$6)*($E$6-$D$6)))</f>
        <v/>
      </c>
      <c r="O3190" s="14">
        <f>_xlfn.NORM.INV($AC3190,$C$7,$D$7)</f>
        <v/>
      </c>
      <c r="P3190" s="14">
        <f>$C$8+($D$8-$C$8)*$AD3190</f>
        <v/>
      </c>
      <c r="Q3190" s="14">
        <f>$C$9</f>
        <v/>
      </c>
      <c r="R3190" s="14">
        <f>_xlfn.LOGNORM.INV($AF3190,LN($C$10)-0.5*LN(1+($D$10/$C$10)^2),SQRT(LN(1+($D$10/$C$10)^2)))</f>
        <v/>
      </c>
      <c r="S3190" s="14">
        <f>SUM(M3190:R3190)</f>
        <v/>
      </c>
      <c r="AA3190">
        <f>RAND()</f>
        <v/>
      </c>
      <c r="AB3190">
        <f>RAND()</f>
        <v/>
      </c>
      <c r="AC3190">
        <f>RAND()</f>
        <v/>
      </c>
      <c r="AD3190">
        <f>RAND()</f>
        <v/>
      </c>
      <c r="AE3190">
        <f>RAND()</f>
        <v/>
      </c>
      <c r="AF3190">
        <f>RAND()</f>
        <v/>
      </c>
    </row>
    <row r="3191">
      <c r="M3191" s="14">
        <f>_xlfn.BETA.INV($AA3191,1+4*($D$5-$C$5)/($E$5-$C$5),1+4*($E$5-$D$5)/($E$5-$C$5),$C$5,$E$5)</f>
        <v/>
      </c>
      <c r="N3191" s="14">
        <f>IF($AB3191&lt;($D$6-$C$6)/($E$6-$C$6),$C$6+SQRT($AB3191*($E$6-$C$6)*($D$6-$C$6)),$E$6-SQRT((1-$AB3191)*($E$6-$C$6)*($E$6-$D$6)))</f>
        <v/>
      </c>
      <c r="O3191" s="14">
        <f>_xlfn.NORM.INV($AC3191,$C$7,$D$7)</f>
        <v/>
      </c>
      <c r="P3191" s="14">
        <f>$C$8+($D$8-$C$8)*$AD3191</f>
        <v/>
      </c>
      <c r="Q3191" s="14">
        <f>$C$9</f>
        <v/>
      </c>
      <c r="R3191" s="14">
        <f>_xlfn.LOGNORM.INV($AF3191,LN($C$10)-0.5*LN(1+($D$10/$C$10)^2),SQRT(LN(1+($D$10/$C$10)^2)))</f>
        <v/>
      </c>
      <c r="S3191" s="14">
        <f>SUM(M3191:R3191)</f>
        <v/>
      </c>
      <c r="AA3191">
        <f>RAND()</f>
        <v/>
      </c>
      <c r="AB3191">
        <f>RAND()</f>
        <v/>
      </c>
      <c r="AC3191">
        <f>RAND()</f>
        <v/>
      </c>
      <c r="AD3191">
        <f>RAND()</f>
        <v/>
      </c>
      <c r="AE3191">
        <f>RAND()</f>
        <v/>
      </c>
      <c r="AF3191">
        <f>RAND()</f>
        <v/>
      </c>
    </row>
    <row r="3192">
      <c r="M3192" s="14">
        <f>_xlfn.BETA.INV($AA3192,1+4*($D$5-$C$5)/($E$5-$C$5),1+4*($E$5-$D$5)/($E$5-$C$5),$C$5,$E$5)</f>
        <v/>
      </c>
      <c r="N3192" s="14">
        <f>IF($AB3192&lt;($D$6-$C$6)/($E$6-$C$6),$C$6+SQRT($AB3192*($E$6-$C$6)*($D$6-$C$6)),$E$6-SQRT((1-$AB3192)*($E$6-$C$6)*($E$6-$D$6)))</f>
        <v/>
      </c>
      <c r="O3192" s="14">
        <f>_xlfn.NORM.INV($AC3192,$C$7,$D$7)</f>
        <v/>
      </c>
      <c r="P3192" s="14">
        <f>$C$8+($D$8-$C$8)*$AD3192</f>
        <v/>
      </c>
      <c r="Q3192" s="14">
        <f>$C$9</f>
        <v/>
      </c>
      <c r="R3192" s="14">
        <f>_xlfn.LOGNORM.INV($AF3192,LN($C$10)-0.5*LN(1+($D$10/$C$10)^2),SQRT(LN(1+($D$10/$C$10)^2)))</f>
        <v/>
      </c>
      <c r="S3192" s="14">
        <f>SUM(M3192:R3192)</f>
        <v/>
      </c>
      <c r="AA3192">
        <f>RAND()</f>
        <v/>
      </c>
      <c r="AB3192">
        <f>RAND()</f>
        <v/>
      </c>
      <c r="AC3192">
        <f>RAND()</f>
        <v/>
      </c>
      <c r="AD3192">
        <f>RAND()</f>
        <v/>
      </c>
      <c r="AE3192">
        <f>RAND()</f>
        <v/>
      </c>
      <c r="AF3192">
        <f>RAND()</f>
        <v/>
      </c>
    </row>
    <row r="3193">
      <c r="M3193" s="14">
        <f>_xlfn.BETA.INV($AA3193,1+4*($D$5-$C$5)/($E$5-$C$5),1+4*($E$5-$D$5)/($E$5-$C$5),$C$5,$E$5)</f>
        <v/>
      </c>
      <c r="N3193" s="14">
        <f>IF($AB3193&lt;($D$6-$C$6)/($E$6-$C$6),$C$6+SQRT($AB3193*($E$6-$C$6)*($D$6-$C$6)),$E$6-SQRT((1-$AB3193)*($E$6-$C$6)*($E$6-$D$6)))</f>
        <v/>
      </c>
      <c r="O3193" s="14">
        <f>_xlfn.NORM.INV($AC3193,$C$7,$D$7)</f>
        <v/>
      </c>
      <c r="P3193" s="14">
        <f>$C$8+($D$8-$C$8)*$AD3193</f>
        <v/>
      </c>
      <c r="Q3193" s="14">
        <f>$C$9</f>
        <v/>
      </c>
      <c r="R3193" s="14">
        <f>_xlfn.LOGNORM.INV($AF3193,LN($C$10)-0.5*LN(1+($D$10/$C$10)^2),SQRT(LN(1+($D$10/$C$10)^2)))</f>
        <v/>
      </c>
      <c r="S3193" s="14">
        <f>SUM(M3193:R3193)</f>
        <v/>
      </c>
      <c r="AA3193">
        <f>RAND()</f>
        <v/>
      </c>
      <c r="AB3193">
        <f>RAND()</f>
        <v/>
      </c>
      <c r="AC3193">
        <f>RAND()</f>
        <v/>
      </c>
      <c r="AD3193">
        <f>RAND()</f>
        <v/>
      </c>
      <c r="AE3193">
        <f>RAND()</f>
        <v/>
      </c>
      <c r="AF3193">
        <f>RAND()</f>
        <v/>
      </c>
    </row>
    <row r="3194">
      <c r="M3194" s="14">
        <f>_xlfn.BETA.INV($AA3194,1+4*($D$5-$C$5)/($E$5-$C$5),1+4*($E$5-$D$5)/($E$5-$C$5),$C$5,$E$5)</f>
        <v/>
      </c>
      <c r="N3194" s="14">
        <f>IF($AB3194&lt;($D$6-$C$6)/($E$6-$C$6),$C$6+SQRT($AB3194*($E$6-$C$6)*($D$6-$C$6)),$E$6-SQRT((1-$AB3194)*($E$6-$C$6)*($E$6-$D$6)))</f>
        <v/>
      </c>
      <c r="O3194" s="14">
        <f>_xlfn.NORM.INV($AC3194,$C$7,$D$7)</f>
        <v/>
      </c>
      <c r="P3194" s="14">
        <f>$C$8+($D$8-$C$8)*$AD3194</f>
        <v/>
      </c>
      <c r="Q3194" s="14">
        <f>$C$9</f>
        <v/>
      </c>
      <c r="R3194" s="14">
        <f>_xlfn.LOGNORM.INV($AF3194,LN($C$10)-0.5*LN(1+($D$10/$C$10)^2),SQRT(LN(1+($D$10/$C$10)^2)))</f>
        <v/>
      </c>
      <c r="S3194" s="14">
        <f>SUM(M3194:R3194)</f>
        <v/>
      </c>
      <c r="AA3194">
        <f>RAND()</f>
        <v/>
      </c>
      <c r="AB3194">
        <f>RAND()</f>
        <v/>
      </c>
      <c r="AC3194">
        <f>RAND()</f>
        <v/>
      </c>
      <c r="AD3194">
        <f>RAND()</f>
        <v/>
      </c>
      <c r="AE3194">
        <f>RAND()</f>
        <v/>
      </c>
      <c r="AF3194">
        <f>RAND()</f>
        <v/>
      </c>
    </row>
    <row r="3195">
      <c r="M3195" s="14">
        <f>_xlfn.BETA.INV($AA3195,1+4*($D$5-$C$5)/($E$5-$C$5),1+4*($E$5-$D$5)/($E$5-$C$5),$C$5,$E$5)</f>
        <v/>
      </c>
      <c r="N3195" s="14">
        <f>IF($AB3195&lt;($D$6-$C$6)/($E$6-$C$6),$C$6+SQRT($AB3195*($E$6-$C$6)*($D$6-$C$6)),$E$6-SQRT((1-$AB3195)*($E$6-$C$6)*($E$6-$D$6)))</f>
        <v/>
      </c>
      <c r="O3195" s="14">
        <f>_xlfn.NORM.INV($AC3195,$C$7,$D$7)</f>
        <v/>
      </c>
      <c r="P3195" s="14">
        <f>$C$8+($D$8-$C$8)*$AD3195</f>
        <v/>
      </c>
      <c r="Q3195" s="14">
        <f>$C$9</f>
        <v/>
      </c>
      <c r="R3195" s="14">
        <f>_xlfn.LOGNORM.INV($AF3195,LN($C$10)-0.5*LN(1+($D$10/$C$10)^2),SQRT(LN(1+($D$10/$C$10)^2)))</f>
        <v/>
      </c>
      <c r="S3195" s="14">
        <f>SUM(M3195:R3195)</f>
        <v/>
      </c>
      <c r="AA3195">
        <f>RAND()</f>
        <v/>
      </c>
      <c r="AB3195">
        <f>RAND()</f>
        <v/>
      </c>
      <c r="AC3195">
        <f>RAND()</f>
        <v/>
      </c>
      <c r="AD3195">
        <f>RAND()</f>
        <v/>
      </c>
      <c r="AE3195">
        <f>RAND()</f>
        <v/>
      </c>
      <c r="AF3195">
        <f>RAND()</f>
        <v/>
      </c>
    </row>
    <row r="3196">
      <c r="M3196" s="14">
        <f>_xlfn.BETA.INV($AA3196,1+4*($D$5-$C$5)/($E$5-$C$5),1+4*($E$5-$D$5)/($E$5-$C$5),$C$5,$E$5)</f>
        <v/>
      </c>
      <c r="N3196" s="14">
        <f>IF($AB3196&lt;($D$6-$C$6)/($E$6-$C$6),$C$6+SQRT($AB3196*($E$6-$C$6)*($D$6-$C$6)),$E$6-SQRT((1-$AB3196)*($E$6-$C$6)*($E$6-$D$6)))</f>
        <v/>
      </c>
      <c r="O3196" s="14">
        <f>_xlfn.NORM.INV($AC3196,$C$7,$D$7)</f>
        <v/>
      </c>
      <c r="P3196" s="14">
        <f>$C$8+($D$8-$C$8)*$AD3196</f>
        <v/>
      </c>
      <c r="Q3196" s="14">
        <f>$C$9</f>
        <v/>
      </c>
      <c r="R3196" s="14">
        <f>_xlfn.LOGNORM.INV($AF3196,LN($C$10)-0.5*LN(1+($D$10/$C$10)^2),SQRT(LN(1+($D$10/$C$10)^2)))</f>
        <v/>
      </c>
      <c r="S3196" s="14">
        <f>SUM(M3196:R3196)</f>
        <v/>
      </c>
      <c r="AA3196">
        <f>RAND()</f>
        <v/>
      </c>
      <c r="AB3196">
        <f>RAND()</f>
        <v/>
      </c>
      <c r="AC3196">
        <f>RAND()</f>
        <v/>
      </c>
      <c r="AD3196">
        <f>RAND()</f>
        <v/>
      </c>
      <c r="AE3196">
        <f>RAND()</f>
        <v/>
      </c>
      <c r="AF3196">
        <f>RAND()</f>
        <v/>
      </c>
    </row>
    <row r="3197">
      <c r="M3197" s="14">
        <f>_xlfn.BETA.INV($AA3197,1+4*($D$5-$C$5)/($E$5-$C$5),1+4*($E$5-$D$5)/($E$5-$C$5),$C$5,$E$5)</f>
        <v/>
      </c>
      <c r="N3197" s="14">
        <f>IF($AB3197&lt;($D$6-$C$6)/($E$6-$C$6),$C$6+SQRT($AB3197*($E$6-$C$6)*($D$6-$C$6)),$E$6-SQRT((1-$AB3197)*($E$6-$C$6)*($E$6-$D$6)))</f>
        <v/>
      </c>
      <c r="O3197" s="14">
        <f>_xlfn.NORM.INV($AC3197,$C$7,$D$7)</f>
        <v/>
      </c>
      <c r="P3197" s="14">
        <f>$C$8+($D$8-$C$8)*$AD3197</f>
        <v/>
      </c>
      <c r="Q3197" s="14">
        <f>$C$9</f>
        <v/>
      </c>
      <c r="R3197" s="14">
        <f>_xlfn.LOGNORM.INV($AF3197,LN($C$10)-0.5*LN(1+($D$10/$C$10)^2),SQRT(LN(1+($D$10/$C$10)^2)))</f>
        <v/>
      </c>
      <c r="S3197" s="14">
        <f>SUM(M3197:R3197)</f>
        <v/>
      </c>
      <c r="AA3197">
        <f>RAND()</f>
        <v/>
      </c>
      <c r="AB3197">
        <f>RAND()</f>
        <v/>
      </c>
      <c r="AC3197">
        <f>RAND()</f>
        <v/>
      </c>
      <c r="AD3197">
        <f>RAND()</f>
        <v/>
      </c>
      <c r="AE3197">
        <f>RAND()</f>
        <v/>
      </c>
      <c r="AF3197">
        <f>RAND()</f>
        <v/>
      </c>
    </row>
    <row r="3198">
      <c r="M3198" s="14">
        <f>_xlfn.BETA.INV($AA3198,1+4*($D$5-$C$5)/($E$5-$C$5),1+4*($E$5-$D$5)/($E$5-$C$5),$C$5,$E$5)</f>
        <v/>
      </c>
      <c r="N3198" s="14">
        <f>IF($AB3198&lt;($D$6-$C$6)/($E$6-$C$6),$C$6+SQRT($AB3198*($E$6-$C$6)*($D$6-$C$6)),$E$6-SQRT((1-$AB3198)*($E$6-$C$6)*($E$6-$D$6)))</f>
        <v/>
      </c>
      <c r="O3198" s="14">
        <f>_xlfn.NORM.INV($AC3198,$C$7,$D$7)</f>
        <v/>
      </c>
      <c r="P3198" s="14">
        <f>$C$8+($D$8-$C$8)*$AD3198</f>
        <v/>
      </c>
      <c r="Q3198" s="14">
        <f>$C$9</f>
        <v/>
      </c>
      <c r="R3198" s="14">
        <f>_xlfn.LOGNORM.INV($AF3198,LN($C$10)-0.5*LN(1+($D$10/$C$10)^2),SQRT(LN(1+($D$10/$C$10)^2)))</f>
        <v/>
      </c>
      <c r="S3198" s="14">
        <f>SUM(M3198:R3198)</f>
        <v/>
      </c>
      <c r="AA3198">
        <f>RAND()</f>
        <v/>
      </c>
      <c r="AB3198">
        <f>RAND()</f>
        <v/>
      </c>
      <c r="AC3198">
        <f>RAND()</f>
        <v/>
      </c>
      <c r="AD3198">
        <f>RAND()</f>
        <v/>
      </c>
      <c r="AE3198">
        <f>RAND()</f>
        <v/>
      </c>
      <c r="AF3198">
        <f>RAND()</f>
        <v/>
      </c>
    </row>
    <row r="3199">
      <c r="M3199" s="14">
        <f>_xlfn.BETA.INV($AA3199,1+4*($D$5-$C$5)/($E$5-$C$5),1+4*($E$5-$D$5)/($E$5-$C$5),$C$5,$E$5)</f>
        <v/>
      </c>
      <c r="N3199" s="14">
        <f>IF($AB3199&lt;($D$6-$C$6)/($E$6-$C$6),$C$6+SQRT($AB3199*($E$6-$C$6)*($D$6-$C$6)),$E$6-SQRT((1-$AB3199)*($E$6-$C$6)*($E$6-$D$6)))</f>
        <v/>
      </c>
      <c r="O3199" s="14">
        <f>_xlfn.NORM.INV($AC3199,$C$7,$D$7)</f>
        <v/>
      </c>
      <c r="P3199" s="14">
        <f>$C$8+($D$8-$C$8)*$AD3199</f>
        <v/>
      </c>
      <c r="Q3199" s="14">
        <f>$C$9</f>
        <v/>
      </c>
      <c r="R3199" s="14">
        <f>_xlfn.LOGNORM.INV($AF3199,LN($C$10)-0.5*LN(1+($D$10/$C$10)^2),SQRT(LN(1+($D$10/$C$10)^2)))</f>
        <v/>
      </c>
      <c r="S3199" s="14">
        <f>SUM(M3199:R3199)</f>
        <v/>
      </c>
      <c r="AA3199">
        <f>RAND()</f>
        <v/>
      </c>
      <c r="AB3199">
        <f>RAND()</f>
        <v/>
      </c>
      <c r="AC3199">
        <f>RAND()</f>
        <v/>
      </c>
      <c r="AD3199">
        <f>RAND()</f>
        <v/>
      </c>
      <c r="AE3199">
        <f>RAND()</f>
        <v/>
      </c>
      <c r="AF3199">
        <f>RAND()</f>
        <v/>
      </c>
    </row>
    <row r="3200">
      <c r="M3200" s="14">
        <f>_xlfn.BETA.INV($AA3200,1+4*($D$5-$C$5)/($E$5-$C$5),1+4*($E$5-$D$5)/($E$5-$C$5),$C$5,$E$5)</f>
        <v/>
      </c>
      <c r="N3200" s="14">
        <f>IF($AB3200&lt;($D$6-$C$6)/($E$6-$C$6),$C$6+SQRT($AB3200*($E$6-$C$6)*($D$6-$C$6)),$E$6-SQRT((1-$AB3200)*($E$6-$C$6)*($E$6-$D$6)))</f>
        <v/>
      </c>
      <c r="O3200" s="14">
        <f>_xlfn.NORM.INV($AC3200,$C$7,$D$7)</f>
        <v/>
      </c>
      <c r="P3200" s="14">
        <f>$C$8+($D$8-$C$8)*$AD3200</f>
        <v/>
      </c>
      <c r="Q3200" s="14">
        <f>$C$9</f>
        <v/>
      </c>
      <c r="R3200" s="14">
        <f>_xlfn.LOGNORM.INV($AF3200,LN($C$10)-0.5*LN(1+($D$10/$C$10)^2),SQRT(LN(1+($D$10/$C$10)^2)))</f>
        <v/>
      </c>
      <c r="S3200" s="14">
        <f>SUM(M3200:R3200)</f>
        <v/>
      </c>
      <c r="AA3200">
        <f>RAND()</f>
        <v/>
      </c>
      <c r="AB3200">
        <f>RAND()</f>
        <v/>
      </c>
      <c r="AC3200">
        <f>RAND()</f>
        <v/>
      </c>
      <c r="AD3200">
        <f>RAND()</f>
        <v/>
      </c>
      <c r="AE3200">
        <f>RAND()</f>
        <v/>
      </c>
      <c r="AF3200">
        <f>RAND()</f>
        <v/>
      </c>
    </row>
    <row r="3201">
      <c r="M3201" s="14">
        <f>_xlfn.BETA.INV($AA3201,1+4*($D$5-$C$5)/($E$5-$C$5),1+4*($E$5-$D$5)/($E$5-$C$5),$C$5,$E$5)</f>
        <v/>
      </c>
      <c r="N3201" s="14">
        <f>IF($AB3201&lt;($D$6-$C$6)/($E$6-$C$6),$C$6+SQRT($AB3201*($E$6-$C$6)*($D$6-$C$6)),$E$6-SQRT((1-$AB3201)*($E$6-$C$6)*($E$6-$D$6)))</f>
        <v/>
      </c>
      <c r="O3201" s="14">
        <f>_xlfn.NORM.INV($AC3201,$C$7,$D$7)</f>
        <v/>
      </c>
      <c r="P3201" s="14">
        <f>$C$8+($D$8-$C$8)*$AD3201</f>
        <v/>
      </c>
      <c r="Q3201" s="14">
        <f>$C$9</f>
        <v/>
      </c>
      <c r="R3201" s="14">
        <f>_xlfn.LOGNORM.INV($AF3201,LN($C$10)-0.5*LN(1+($D$10/$C$10)^2),SQRT(LN(1+($D$10/$C$10)^2)))</f>
        <v/>
      </c>
      <c r="S3201" s="14">
        <f>SUM(M3201:R3201)</f>
        <v/>
      </c>
      <c r="AA3201">
        <f>RAND()</f>
        <v/>
      </c>
      <c r="AB3201">
        <f>RAND()</f>
        <v/>
      </c>
      <c r="AC3201">
        <f>RAND()</f>
        <v/>
      </c>
      <c r="AD3201">
        <f>RAND()</f>
        <v/>
      </c>
      <c r="AE3201">
        <f>RAND()</f>
        <v/>
      </c>
      <c r="AF3201">
        <f>RAND()</f>
        <v/>
      </c>
    </row>
    <row r="3202">
      <c r="M3202" s="14">
        <f>_xlfn.BETA.INV($AA3202,1+4*($D$5-$C$5)/($E$5-$C$5),1+4*($E$5-$D$5)/($E$5-$C$5),$C$5,$E$5)</f>
        <v/>
      </c>
      <c r="N3202" s="14">
        <f>IF($AB3202&lt;($D$6-$C$6)/($E$6-$C$6),$C$6+SQRT($AB3202*($E$6-$C$6)*($D$6-$C$6)),$E$6-SQRT((1-$AB3202)*($E$6-$C$6)*($E$6-$D$6)))</f>
        <v/>
      </c>
      <c r="O3202" s="14">
        <f>_xlfn.NORM.INV($AC3202,$C$7,$D$7)</f>
        <v/>
      </c>
      <c r="P3202" s="14">
        <f>$C$8+($D$8-$C$8)*$AD3202</f>
        <v/>
      </c>
      <c r="Q3202" s="14">
        <f>$C$9</f>
        <v/>
      </c>
      <c r="R3202" s="14">
        <f>_xlfn.LOGNORM.INV($AF3202,LN($C$10)-0.5*LN(1+($D$10/$C$10)^2),SQRT(LN(1+($D$10/$C$10)^2)))</f>
        <v/>
      </c>
      <c r="S3202" s="14">
        <f>SUM(M3202:R3202)</f>
        <v/>
      </c>
      <c r="AA3202">
        <f>RAND()</f>
        <v/>
      </c>
      <c r="AB3202">
        <f>RAND()</f>
        <v/>
      </c>
      <c r="AC3202">
        <f>RAND()</f>
        <v/>
      </c>
      <c r="AD3202">
        <f>RAND()</f>
        <v/>
      </c>
      <c r="AE3202">
        <f>RAND()</f>
        <v/>
      </c>
      <c r="AF3202">
        <f>RAND()</f>
        <v/>
      </c>
    </row>
    <row r="3203">
      <c r="M3203" s="14">
        <f>_xlfn.BETA.INV($AA3203,1+4*($D$5-$C$5)/($E$5-$C$5),1+4*($E$5-$D$5)/($E$5-$C$5),$C$5,$E$5)</f>
        <v/>
      </c>
      <c r="N3203" s="14">
        <f>IF($AB3203&lt;($D$6-$C$6)/($E$6-$C$6),$C$6+SQRT($AB3203*($E$6-$C$6)*($D$6-$C$6)),$E$6-SQRT((1-$AB3203)*($E$6-$C$6)*($E$6-$D$6)))</f>
        <v/>
      </c>
      <c r="O3203" s="14">
        <f>_xlfn.NORM.INV($AC3203,$C$7,$D$7)</f>
        <v/>
      </c>
      <c r="P3203" s="14">
        <f>$C$8+($D$8-$C$8)*$AD3203</f>
        <v/>
      </c>
      <c r="Q3203" s="14">
        <f>$C$9</f>
        <v/>
      </c>
      <c r="R3203" s="14">
        <f>_xlfn.LOGNORM.INV($AF3203,LN($C$10)-0.5*LN(1+($D$10/$C$10)^2),SQRT(LN(1+($D$10/$C$10)^2)))</f>
        <v/>
      </c>
      <c r="S3203" s="14">
        <f>SUM(M3203:R3203)</f>
        <v/>
      </c>
      <c r="AA3203">
        <f>RAND()</f>
        <v/>
      </c>
      <c r="AB3203">
        <f>RAND()</f>
        <v/>
      </c>
      <c r="AC3203">
        <f>RAND()</f>
        <v/>
      </c>
      <c r="AD3203">
        <f>RAND()</f>
        <v/>
      </c>
      <c r="AE3203">
        <f>RAND()</f>
        <v/>
      </c>
      <c r="AF3203">
        <f>RAND()</f>
        <v/>
      </c>
    </row>
    <row r="3204">
      <c r="M3204" s="14">
        <f>_xlfn.BETA.INV($AA3204,1+4*($D$5-$C$5)/($E$5-$C$5),1+4*($E$5-$D$5)/($E$5-$C$5),$C$5,$E$5)</f>
        <v/>
      </c>
      <c r="N3204" s="14">
        <f>IF($AB3204&lt;($D$6-$C$6)/($E$6-$C$6),$C$6+SQRT($AB3204*($E$6-$C$6)*($D$6-$C$6)),$E$6-SQRT((1-$AB3204)*($E$6-$C$6)*($E$6-$D$6)))</f>
        <v/>
      </c>
      <c r="O3204" s="14">
        <f>_xlfn.NORM.INV($AC3204,$C$7,$D$7)</f>
        <v/>
      </c>
      <c r="P3204" s="14">
        <f>$C$8+($D$8-$C$8)*$AD3204</f>
        <v/>
      </c>
      <c r="Q3204" s="14">
        <f>$C$9</f>
        <v/>
      </c>
      <c r="R3204" s="14">
        <f>_xlfn.LOGNORM.INV($AF3204,LN($C$10)-0.5*LN(1+($D$10/$C$10)^2),SQRT(LN(1+($D$10/$C$10)^2)))</f>
        <v/>
      </c>
      <c r="S3204" s="14">
        <f>SUM(M3204:R3204)</f>
        <v/>
      </c>
      <c r="AA3204">
        <f>RAND()</f>
        <v/>
      </c>
      <c r="AB3204">
        <f>RAND()</f>
        <v/>
      </c>
      <c r="AC3204">
        <f>RAND()</f>
        <v/>
      </c>
      <c r="AD3204">
        <f>RAND()</f>
        <v/>
      </c>
      <c r="AE3204">
        <f>RAND()</f>
        <v/>
      </c>
      <c r="AF3204">
        <f>RAND()</f>
        <v/>
      </c>
    </row>
    <row r="3205">
      <c r="M3205" s="14">
        <f>_xlfn.BETA.INV($AA3205,1+4*($D$5-$C$5)/($E$5-$C$5),1+4*($E$5-$D$5)/($E$5-$C$5),$C$5,$E$5)</f>
        <v/>
      </c>
      <c r="N3205" s="14">
        <f>IF($AB3205&lt;($D$6-$C$6)/($E$6-$C$6),$C$6+SQRT($AB3205*($E$6-$C$6)*($D$6-$C$6)),$E$6-SQRT((1-$AB3205)*($E$6-$C$6)*($E$6-$D$6)))</f>
        <v/>
      </c>
      <c r="O3205" s="14">
        <f>_xlfn.NORM.INV($AC3205,$C$7,$D$7)</f>
        <v/>
      </c>
      <c r="P3205" s="14">
        <f>$C$8+($D$8-$C$8)*$AD3205</f>
        <v/>
      </c>
      <c r="Q3205" s="14">
        <f>$C$9</f>
        <v/>
      </c>
      <c r="R3205" s="14">
        <f>_xlfn.LOGNORM.INV($AF3205,LN($C$10)-0.5*LN(1+($D$10/$C$10)^2),SQRT(LN(1+($D$10/$C$10)^2)))</f>
        <v/>
      </c>
      <c r="S3205" s="14">
        <f>SUM(M3205:R3205)</f>
        <v/>
      </c>
      <c r="AA3205">
        <f>RAND()</f>
        <v/>
      </c>
      <c r="AB3205">
        <f>RAND()</f>
        <v/>
      </c>
      <c r="AC3205">
        <f>RAND()</f>
        <v/>
      </c>
      <c r="AD3205">
        <f>RAND()</f>
        <v/>
      </c>
      <c r="AE3205">
        <f>RAND()</f>
        <v/>
      </c>
      <c r="AF3205">
        <f>RAND()</f>
        <v/>
      </c>
    </row>
    <row r="3206">
      <c r="M3206" s="14">
        <f>_xlfn.BETA.INV($AA3206,1+4*($D$5-$C$5)/($E$5-$C$5),1+4*($E$5-$D$5)/($E$5-$C$5),$C$5,$E$5)</f>
        <v/>
      </c>
      <c r="N3206" s="14">
        <f>IF($AB3206&lt;($D$6-$C$6)/($E$6-$C$6),$C$6+SQRT($AB3206*($E$6-$C$6)*($D$6-$C$6)),$E$6-SQRT((1-$AB3206)*($E$6-$C$6)*($E$6-$D$6)))</f>
        <v/>
      </c>
      <c r="O3206" s="14">
        <f>_xlfn.NORM.INV($AC3206,$C$7,$D$7)</f>
        <v/>
      </c>
      <c r="P3206" s="14">
        <f>$C$8+($D$8-$C$8)*$AD3206</f>
        <v/>
      </c>
      <c r="Q3206" s="14">
        <f>$C$9</f>
        <v/>
      </c>
      <c r="R3206" s="14">
        <f>_xlfn.LOGNORM.INV($AF3206,LN($C$10)-0.5*LN(1+($D$10/$C$10)^2),SQRT(LN(1+($D$10/$C$10)^2)))</f>
        <v/>
      </c>
      <c r="S3206" s="14">
        <f>SUM(M3206:R3206)</f>
        <v/>
      </c>
      <c r="AA3206">
        <f>RAND()</f>
        <v/>
      </c>
      <c r="AB3206">
        <f>RAND()</f>
        <v/>
      </c>
      <c r="AC3206">
        <f>RAND()</f>
        <v/>
      </c>
      <c r="AD3206">
        <f>RAND()</f>
        <v/>
      </c>
      <c r="AE3206">
        <f>RAND()</f>
        <v/>
      </c>
      <c r="AF3206">
        <f>RAND()</f>
        <v/>
      </c>
    </row>
    <row r="3207">
      <c r="M3207" s="14">
        <f>_xlfn.BETA.INV($AA3207,1+4*($D$5-$C$5)/($E$5-$C$5),1+4*($E$5-$D$5)/($E$5-$C$5),$C$5,$E$5)</f>
        <v/>
      </c>
      <c r="N3207" s="14">
        <f>IF($AB3207&lt;($D$6-$C$6)/($E$6-$C$6),$C$6+SQRT($AB3207*($E$6-$C$6)*($D$6-$C$6)),$E$6-SQRT((1-$AB3207)*($E$6-$C$6)*($E$6-$D$6)))</f>
        <v/>
      </c>
      <c r="O3207" s="14">
        <f>_xlfn.NORM.INV($AC3207,$C$7,$D$7)</f>
        <v/>
      </c>
      <c r="P3207" s="14">
        <f>$C$8+($D$8-$C$8)*$AD3207</f>
        <v/>
      </c>
      <c r="Q3207" s="14">
        <f>$C$9</f>
        <v/>
      </c>
      <c r="R3207" s="14">
        <f>_xlfn.LOGNORM.INV($AF3207,LN($C$10)-0.5*LN(1+($D$10/$C$10)^2),SQRT(LN(1+($D$10/$C$10)^2)))</f>
        <v/>
      </c>
      <c r="S3207" s="14">
        <f>SUM(M3207:R3207)</f>
        <v/>
      </c>
      <c r="AA3207">
        <f>RAND()</f>
        <v/>
      </c>
      <c r="AB3207">
        <f>RAND()</f>
        <v/>
      </c>
      <c r="AC3207">
        <f>RAND()</f>
        <v/>
      </c>
      <c r="AD3207">
        <f>RAND()</f>
        <v/>
      </c>
      <c r="AE3207">
        <f>RAND()</f>
        <v/>
      </c>
      <c r="AF3207">
        <f>RAND()</f>
        <v/>
      </c>
    </row>
    <row r="3208">
      <c r="M3208" s="14">
        <f>_xlfn.BETA.INV($AA3208,1+4*($D$5-$C$5)/($E$5-$C$5),1+4*($E$5-$D$5)/($E$5-$C$5),$C$5,$E$5)</f>
        <v/>
      </c>
      <c r="N3208" s="14">
        <f>IF($AB3208&lt;($D$6-$C$6)/($E$6-$C$6),$C$6+SQRT($AB3208*($E$6-$C$6)*($D$6-$C$6)),$E$6-SQRT((1-$AB3208)*($E$6-$C$6)*($E$6-$D$6)))</f>
        <v/>
      </c>
      <c r="O3208" s="14">
        <f>_xlfn.NORM.INV($AC3208,$C$7,$D$7)</f>
        <v/>
      </c>
      <c r="P3208" s="14">
        <f>$C$8+($D$8-$C$8)*$AD3208</f>
        <v/>
      </c>
      <c r="Q3208" s="14">
        <f>$C$9</f>
        <v/>
      </c>
      <c r="R3208" s="14">
        <f>_xlfn.LOGNORM.INV($AF3208,LN($C$10)-0.5*LN(1+($D$10/$C$10)^2),SQRT(LN(1+($D$10/$C$10)^2)))</f>
        <v/>
      </c>
      <c r="S3208" s="14">
        <f>SUM(M3208:R3208)</f>
        <v/>
      </c>
      <c r="AA3208">
        <f>RAND()</f>
        <v/>
      </c>
      <c r="AB3208">
        <f>RAND()</f>
        <v/>
      </c>
      <c r="AC3208">
        <f>RAND()</f>
        <v/>
      </c>
      <c r="AD3208">
        <f>RAND()</f>
        <v/>
      </c>
      <c r="AE3208">
        <f>RAND()</f>
        <v/>
      </c>
      <c r="AF3208">
        <f>RAND()</f>
        <v/>
      </c>
    </row>
    <row r="3209">
      <c r="M3209" s="14">
        <f>_xlfn.BETA.INV($AA3209,1+4*($D$5-$C$5)/($E$5-$C$5),1+4*($E$5-$D$5)/($E$5-$C$5),$C$5,$E$5)</f>
        <v/>
      </c>
      <c r="N3209" s="14">
        <f>IF($AB3209&lt;($D$6-$C$6)/($E$6-$C$6),$C$6+SQRT($AB3209*($E$6-$C$6)*($D$6-$C$6)),$E$6-SQRT((1-$AB3209)*($E$6-$C$6)*($E$6-$D$6)))</f>
        <v/>
      </c>
      <c r="O3209" s="14">
        <f>_xlfn.NORM.INV($AC3209,$C$7,$D$7)</f>
        <v/>
      </c>
      <c r="P3209" s="14">
        <f>$C$8+($D$8-$C$8)*$AD3209</f>
        <v/>
      </c>
      <c r="Q3209" s="14">
        <f>$C$9</f>
        <v/>
      </c>
      <c r="R3209" s="14">
        <f>_xlfn.LOGNORM.INV($AF3209,LN($C$10)-0.5*LN(1+($D$10/$C$10)^2),SQRT(LN(1+($D$10/$C$10)^2)))</f>
        <v/>
      </c>
      <c r="S3209" s="14">
        <f>SUM(M3209:R3209)</f>
        <v/>
      </c>
      <c r="AA3209">
        <f>RAND()</f>
        <v/>
      </c>
      <c r="AB3209">
        <f>RAND()</f>
        <v/>
      </c>
      <c r="AC3209">
        <f>RAND()</f>
        <v/>
      </c>
      <c r="AD3209">
        <f>RAND()</f>
        <v/>
      </c>
      <c r="AE3209">
        <f>RAND()</f>
        <v/>
      </c>
      <c r="AF3209">
        <f>RAND()</f>
        <v/>
      </c>
    </row>
    <row r="3210">
      <c r="M3210" s="14">
        <f>_xlfn.BETA.INV($AA3210,1+4*($D$5-$C$5)/($E$5-$C$5),1+4*($E$5-$D$5)/($E$5-$C$5),$C$5,$E$5)</f>
        <v/>
      </c>
      <c r="N3210" s="14">
        <f>IF($AB3210&lt;($D$6-$C$6)/($E$6-$C$6),$C$6+SQRT($AB3210*($E$6-$C$6)*($D$6-$C$6)),$E$6-SQRT((1-$AB3210)*($E$6-$C$6)*($E$6-$D$6)))</f>
        <v/>
      </c>
      <c r="O3210" s="14">
        <f>_xlfn.NORM.INV($AC3210,$C$7,$D$7)</f>
        <v/>
      </c>
      <c r="P3210" s="14">
        <f>$C$8+($D$8-$C$8)*$AD3210</f>
        <v/>
      </c>
      <c r="Q3210" s="14">
        <f>$C$9</f>
        <v/>
      </c>
      <c r="R3210" s="14">
        <f>_xlfn.LOGNORM.INV($AF3210,LN($C$10)-0.5*LN(1+($D$10/$C$10)^2),SQRT(LN(1+($D$10/$C$10)^2)))</f>
        <v/>
      </c>
      <c r="S3210" s="14">
        <f>SUM(M3210:R3210)</f>
        <v/>
      </c>
      <c r="AA3210">
        <f>RAND()</f>
        <v/>
      </c>
      <c r="AB3210">
        <f>RAND()</f>
        <v/>
      </c>
      <c r="AC3210">
        <f>RAND()</f>
        <v/>
      </c>
      <c r="AD3210">
        <f>RAND()</f>
        <v/>
      </c>
      <c r="AE3210">
        <f>RAND()</f>
        <v/>
      </c>
      <c r="AF3210">
        <f>RAND()</f>
        <v/>
      </c>
    </row>
    <row r="3211">
      <c r="M3211" s="14">
        <f>_xlfn.BETA.INV($AA3211,1+4*($D$5-$C$5)/($E$5-$C$5),1+4*($E$5-$D$5)/($E$5-$C$5),$C$5,$E$5)</f>
        <v/>
      </c>
      <c r="N3211" s="14">
        <f>IF($AB3211&lt;($D$6-$C$6)/($E$6-$C$6),$C$6+SQRT($AB3211*($E$6-$C$6)*($D$6-$C$6)),$E$6-SQRT((1-$AB3211)*($E$6-$C$6)*($E$6-$D$6)))</f>
        <v/>
      </c>
      <c r="O3211" s="14">
        <f>_xlfn.NORM.INV($AC3211,$C$7,$D$7)</f>
        <v/>
      </c>
      <c r="P3211" s="14">
        <f>$C$8+($D$8-$C$8)*$AD3211</f>
        <v/>
      </c>
      <c r="Q3211" s="14">
        <f>$C$9</f>
        <v/>
      </c>
      <c r="R3211" s="14">
        <f>_xlfn.LOGNORM.INV($AF3211,LN($C$10)-0.5*LN(1+($D$10/$C$10)^2),SQRT(LN(1+($D$10/$C$10)^2)))</f>
        <v/>
      </c>
      <c r="S3211" s="14">
        <f>SUM(M3211:R3211)</f>
        <v/>
      </c>
      <c r="AA3211">
        <f>RAND()</f>
        <v/>
      </c>
      <c r="AB3211">
        <f>RAND()</f>
        <v/>
      </c>
      <c r="AC3211">
        <f>RAND()</f>
        <v/>
      </c>
      <c r="AD3211">
        <f>RAND()</f>
        <v/>
      </c>
      <c r="AE3211">
        <f>RAND()</f>
        <v/>
      </c>
      <c r="AF3211">
        <f>RAND()</f>
        <v/>
      </c>
    </row>
    <row r="3212">
      <c r="M3212" s="14">
        <f>_xlfn.BETA.INV($AA3212,1+4*($D$5-$C$5)/($E$5-$C$5),1+4*($E$5-$D$5)/($E$5-$C$5),$C$5,$E$5)</f>
        <v/>
      </c>
      <c r="N3212" s="14">
        <f>IF($AB3212&lt;($D$6-$C$6)/($E$6-$C$6),$C$6+SQRT($AB3212*($E$6-$C$6)*($D$6-$C$6)),$E$6-SQRT((1-$AB3212)*($E$6-$C$6)*($E$6-$D$6)))</f>
        <v/>
      </c>
      <c r="O3212" s="14">
        <f>_xlfn.NORM.INV($AC3212,$C$7,$D$7)</f>
        <v/>
      </c>
      <c r="P3212" s="14">
        <f>$C$8+($D$8-$C$8)*$AD3212</f>
        <v/>
      </c>
      <c r="Q3212" s="14">
        <f>$C$9</f>
        <v/>
      </c>
      <c r="R3212" s="14">
        <f>_xlfn.LOGNORM.INV($AF3212,LN($C$10)-0.5*LN(1+($D$10/$C$10)^2),SQRT(LN(1+($D$10/$C$10)^2)))</f>
        <v/>
      </c>
      <c r="S3212" s="14">
        <f>SUM(M3212:R3212)</f>
        <v/>
      </c>
      <c r="AA3212">
        <f>RAND()</f>
        <v/>
      </c>
      <c r="AB3212">
        <f>RAND()</f>
        <v/>
      </c>
      <c r="AC3212">
        <f>RAND()</f>
        <v/>
      </c>
      <c r="AD3212">
        <f>RAND()</f>
        <v/>
      </c>
      <c r="AE3212">
        <f>RAND()</f>
        <v/>
      </c>
      <c r="AF3212">
        <f>RAND()</f>
        <v/>
      </c>
    </row>
    <row r="3213">
      <c r="M3213" s="14">
        <f>_xlfn.BETA.INV($AA3213,1+4*($D$5-$C$5)/($E$5-$C$5),1+4*($E$5-$D$5)/($E$5-$C$5),$C$5,$E$5)</f>
        <v/>
      </c>
      <c r="N3213" s="14">
        <f>IF($AB3213&lt;($D$6-$C$6)/($E$6-$C$6),$C$6+SQRT($AB3213*($E$6-$C$6)*($D$6-$C$6)),$E$6-SQRT((1-$AB3213)*($E$6-$C$6)*($E$6-$D$6)))</f>
        <v/>
      </c>
      <c r="O3213" s="14">
        <f>_xlfn.NORM.INV($AC3213,$C$7,$D$7)</f>
        <v/>
      </c>
      <c r="P3213" s="14">
        <f>$C$8+($D$8-$C$8)*$AD3213</f>
        <v/>
      </c>
      <c r="Q3213" s="14">
        <f>$C$9</f>
        <v/>
      </c>
      <c r="R3213" s="14">
        <f>_xlfn.LOGNORM.INV($AF3213,LN($C$10)-0.5*LN(1+($D$10/$C$10)^2),SQRT(LN(1+($D$10/$C$10)^2)))</f>
        <v/>
      </c>
      <c r="S3213" s="14">
        <f>SUM(M3213:R3213)</f>
        <v/>
      </c>
      <c r="AA3213">
        <f>RAND()</f>
        <v/>
      </c>
      <c r="AB3213">
        <f>RAND()</f>
        <v/>
      </c>
      <c r="AC3213">
        <f>RAND()</f>
        <v/>
      </c>
      <c r="AD3213">
        <f>RAND()</f>
        <v/>
      </c>
      <c r="AE3213">
        <f>RAND()</f>
        <v/>
      </c>
      <c r="AF3213">
        <f>RAND()</f>
        <v/>
      </c>
    </row>
    <row r="3214">
      <c r="M3214" s="14">
        <f>_xlfn.BETA.INV($AA3214,1+4*($D$5-$C$5)/($E$5-$C$5),1+4*($E$5-$D$5)/($E$5-$C$5),$C$5,$E$5)</f>
        <v/>
      </c>
      <c r="N3214" s="14">
        <f>IF($AB3214&lt;($D$6-$C$6)/($E$6-$C$6),$C$6+SQRT($AB3214*($E$6-$C$6)*($D$6-$C$6)),$E$6-SQRT((1-$AB3214)*($E$6-$C$6)*($E$6-$D$6)))</f>
        <v/>
      </c>
      <c r="O3214" s="14">
        <f>_xlfn.NORM.INV($AC3214,$C$7,$D$7)</f>
        <v/>
      </c>
      <c r="P3214" s="14">
        <f>$C$8+($D$8-$C$8)*$AD3214</f>
        <v/>
      </c>
      <c r="Q3214" s="14">
        <f>$C$9</f>
        <v/>
      </c>
      <c r="R3214" s="14">
        <f>_xlfn.LOGNORM.INV($AF3214,LN($C$10)-0.5*LN(1+($D$10/$C$10)^2),SQRT(LN(1+($D$10/$C$10)^2)))</f>
        <v/>
      </c>
      <c r="S3214" s="14">
        <f>SUM(M3214:R3214)</f>
        <v/>
      </c>
      <c r="AA3214">
        <f>RAND()</f>
        <v/>
      </c>
      <c r="AB3214">
        <f>RAND()</f>
        <v/>
      </c>
      <c r="AC3214">
        <f>RAND()</f>
        <v/>
      </c>
      <c r="AD3214">
        <f>RAND()</f>
        <v/>
      </c>
      <c r="AE3214">
        <f>RAND()</f>
        <v/>
      </c>
      <c r="AF3214">
        <f>RAND()</f>
        <v/>
      </c>
    </row>
    <row r="3215">
      <c r="M3215" s="14">
        <f>_xlfn.BETA.INV($AA3215,1+4*($D$5-$C$5)/($E$5-$C$5),1+4*($E$5-$D$5)/($E$5-$C$5),$C$5,$E$5)</f>
        <v/>
      </c>
      <c r="N3215" s="14">
        <f>IF($AB3215&lt;($D$6-$C$6)/($E$6-$C$6),$C$6+SQRT($AB3215*($E$6-$C$6)*($D$6-$C$6)),$E$6-SQRT((1-$AB3215)*($E$6-$C$6)*($E$6-$D$6)))</f>
        <v/>
      </c>
      <c r="O3215" s="14">
        <f>_xlfn.NORM.INV($AC3215,$C$7,$D$7)</f>
        <v/>
      </c>
      <c r="P3215" s="14">
        <f>$C$8+($D$8-$C$8)*$AD3215</f>
        <v/>
      </c>
      <c r="Q3215" s="14">
        <f>$C$9</f>
        <v/>
      </c>
      <c r="R3215" s="14">
        <f>_xlfn.LOGNORM.INV($AF3215,LN($C$10)-0.5*LN(1+($D$10/$C$10)^2),SQRT(LN(1+($D$10/$C$10)^2)))</f>
        <v/>
      </c>
      <c r="S3215" s="14">
        <f>SUM(M3215:R3215)</f>
        <v/>
      </c>
      <c r="AA3215">
        <f>RAND()</f>
        <v/>
      </c>
      <c r="AB3215">
        <f>RAND()</f>
        <v/>
      </c>
      <c r="AC3215">
        <f>RAND()</f>
        <v/>
      </c>
      <c r="AD3215">
        <f>RAND()</f>
        <v/>
      </c>
      <c r="AE3215">
        <f>RAND()</f>
        <v/>
      </c>
      <c r="AF3215">
        <f>RAND()</f>
        <v/>
      </c>
    </row>
    <row r="3216">
      <c r="M3216" s="14">
        <f>_xlfn.BETA.INV($AA3216,1+4*($D$5-$C$5)/($E$5-$C$5),1+4*($E$5-$D$5)/($E$5-$C$5),$C$5,$E$5)</f>
        <v/>
      </c>
      <c r="N3216" s="14">
        <f>IF($AB3216&lt;($D$6-$C$6)/($E$6-$C$6),$C$6+SQRT($AB3216*($E$6-$C$6)*($D$6-$C$6)),$E$6-SQRT((1-$AB3216)*($E$6-$C$6)*($E$6-$D$6)))</f>
        <v/>
      </c>
      <c r="O3216" s="14">
        <f>_xlfn.NORM.INV($AC3216,$C$7,$D$7)</f>
        <v/>
      </c>
      <c r="P3216" s="14">
        <f>$C$8+($D$8-$C$8)*$AD3216</f>
        <v/>
      </c>
      <c r="Q3216" s="14">
        <f>$C$9</f>
        <v/>
      </c>
      <c r="R3216" s="14">
        <f>_xlfn.LOGNORM.INV($AF3216,LN($C$10)-0.5*LN(1+($D$10/$C$10)^2),SQRT(LN(1+($D$10/$C$10)^2)))</f>
        <v/>
      </c>
      <c r="S3216" s="14">
        <f>SUM(M3216:R3216)</f>
        <v/>
      </c>
      <c r="AA3216">
        <f>RAND()</f>
        <v/>
      </c>
      <c r="AB3216">
        <f>RAND()</f>
        <v/>
      </c>
      <c r="AC3216">
        <f>RAND()</f>
        <v/>
      </c>
      <c r="AD3216">
        <f>RAND()</f>
        <v/>
      </c>
      <c r="AE3216">
        <f>RAND()</f>
        <v/>
      </c>
      <c r="AF3216">
        <f>RAND()</f>
        <v/>
      </c>
    </row>
    <row r="3217">
      <c r="M3217" s="14">
        <f>_xlfn.BETA.INV($AA3217,1+4*($D$5-$C$5)/($E$5-$C$5),1+4*($E$5-$D$5)/($E$5-$C$5),$C$5,$E$5)</f>
        <v/>
      </c>
      <c r="N3217" s="14">
        <f>IF($AB3217&lt;($D$6-$C$6)/($E$6-$C$6),$C$6+SQRT($AB3217*($E$6-$C$6)*($D$6-$C$6)),$E$6-SQRT((1-$AB3217)*($E$6-$C$6)*($E$6-$D$6)))</f>
        <v/>
      </c>
      <c r="O3217" s="14">
        <f>_xlfn.NORM.INV($AC3217,$C$7,$D$7)</f>
        <v/>
      </c>
      <c r="P3217" s="14">
        <f>$C$8+($D$8-$C$8)*$AD3217</f>
        <v/>
      </c>
      <c r="Q3217" s="14">
        <f>$C$9</f>
        <v/>
      </c>
      <c r="R3217" s="14">
        <f>_xlfn.LOGNORM.INV($AF3217,LN($C$10)-0.5*LN(1+($D$10/$C$10)^2),SQRT(LN(1+($D$10/$C$10)^2)))</f>
        <v/>
      </c>
      <c r="S3217" s="14">
        <f>SUM(M3217:R3217)</f>
        <v/>
      </c>
      <c r="AA3217">
        <f>RAND()</f>
        <v/>
      </c>
      <c r="AB3217">
        <f>RAND()</f>
        <v/>
      </c>
      <c r="AC3217">
        <f>RAND()</f>
        <v/>
      </c>
      <c r="AD3217">
        <f>RAND()</f>
        <v/>
      </c>
      <c r="AE3217">
        <f>RAND()</f>
        <v/>
      </c>
      <c r="AF3217">
        <f>RAND()</f>
        <v/>
      </c>
    </row>
    <row r="3218">
      <c r="M3218" s="14">
        <f>_xlfn.BETA.INV($AA3218,1+4*($D$5-$C$5)/($E$5-$C$5),1+4*($E$5-$D$5)/($E$5-$C$5),$C$5,$E$5)</f>
        <v/>
      </c>
      <c r="N3218" s="14">
        <f>IF($AB3218&lt;($D$6-$C$6)/($E$6-$C$6),$C$6+SQRT($AB3218*($E$6-$C$6)*($D$6-$C$6)),$E$6-SQRT((1-$AB3218)*($E$6-$C$6)*($E$6-$D$6)))</f>
        <v/>
      </c>
      <c r="O3218" s="14">
        <f>_xlfn.NORM.INV($AC3218,$C$7,$D$7)</f>
        <v/>
      </c>
      <c r="P3218" s="14">
        <f>$C$8+($D$8-$C$8)*$AD3218</f>
        <v/>
      </c>
      <c r="Q3218" s="14">
        <f>$C$9</f>
        <v/>
      </c>
      <c r="R3218" s="14">
        <f>_xlfn.LOGNORM.INV($AF3218,LN($C$10)-0.5*LN(1+($D$10/$C$10)^2),SQRT(LN(1+($D$10/$C$10)^2)))</f>
        <v/>
      </c>
      <c r="S3218" s="14">
        <f>SUM(M3218:R3218)</f>
        <v/>
      </c>
      <c r="AA3218">
        <f>RAND()</f>
        <v/>
      </c>
      <c r="AB3218">
        <f>RAND()</f>
        <v/>
      </c>
      <c r="AC3218">
        <f>RAND()</f>
        <v/>
      </c>
      <c r="AD3218">
        <f>RAND()</f>
        <v/>
      </c>
      <c r="AE3218">
        <f>RAND()</f>
        <v/>
      </c>
      <c r="AF3218">
        <f>RAND()</f>
        <v/>
      </c>
    </row>
    <row r="3219">
      <c r="M3219" s="14">
        <f>_xlfn.BETA.INV($AA3219,1+4*($D$5-$C$5)/($E$5-$C$5),1+4*($E$5-$D$5)/($E$5-$C$5),$C$5,$E$5)</f>
        <v/>
      </c>
      <c r="N3219" s="14">
        <f>IF($AB3219&lt;($D$6-$C$6)/($E$6-$C$6),$C$6+SQRT($AB3219*($E$6-$C$6)*($D$6-$C$6)),$E$6-SQRT((1-$AB3219)*($E$6-$C$6)*($E$6-$D$6)))</f>
        <v/>
      </c>
      <c r="O3219" s="14">
        <f>_xlfn.NORM.INV($AC3219,$C$7,$D$7)</f>
        <v/>
      </c>
      <c r="P3219" s="14">
        <f>$C$8+($D$8-$C$8)*$AD3219</f>
        <v/>
      </c>
      <c r="Q3219" s="14">
        <f>$C$9</f>
        <v/>
      </c>
      <c r="R3219" s="14">
        <f>_xlfn.LOGNORM.INV($AF3219,LN($C$10)-0.5*LN(1+($D$10/$C$10)^2),SQRT(LN(1+($D$10/$C$10)^2)))</f>
        <v/>
      </c>
      <c r="S3219" s="14">
        <f>SUM(M3219:R3219)</f>
        <v/>
      </c>
      <c r="AA3219">
        <f>RAND()</f>
        <v/>
      </c>
      <c r="AB3219">
        <f>RAND()</f>
        <v/>
      </c>
      <c r="AC3219">
        <f>RAND()</f>
        <v/>
      </c>
      <c r="AD3219">
        <f>RAND()</f>
        <v/>
      </c>
      <c r="AE3219">
        <f>RAND()</f>
        <v/>
      </c>
      <c r="AF3219">
        <f>RAND()</f>
        <v/>
      </c>
    </row>
    <row r="3220">
      <c r="M3220" s="14">
        <f>_xlfn.BETA.INV($AA3220,1+4*($D$5-$C$5)/($E$5-$C$5),1+4*($E$5-$D$5)/($E$5-$C$5),$C$5,$E$5)</f>
        <v/>
      </c>
      <c r="N3220" s="14">
        <f>IF($AB3220&lt;($D$6-$C$6)/($E$6-$C$6),$C$6+SQRT($AB3220*($E$6-$C$6)*($D$6-$C$6)),$E$6-SQRT((1-$AB3220)*($E$6-$C$6)*($E$6-$D$6)))</f>
        <v/>
      </c>
      <c r="O3220" s="14">
        <f>_xlfn.NORM.INV($AC3220,$C$7,$D$7)</f>
        <v/>
      </c>
      <c r="P3220" s="14">
        <f>$C$8+($D$8-$C$8)*$AD3220</f>
        <v/>
      </c>
      <c r="Q3220" s="14">
        <f>$C$9</f>
        <v/>
      </c>
      <c r="R3220" s="14">
        <f>_xlfn.LOGNORM.INV($AF3220,LN($C$10)-0.5*LN(1+($D$10/$C$10)^2),SQRT(LN(1+($D$10/$C$10)^2)))</f>
        <v/>
      </c>
      <c r="S3220" s="14">
        <f>SUM(M3220:R3220)</f>
        <v/>
      </c>
      <c r="AA3220">
        <f>RAND()</f>
        <v/>
      </c>
      <c r="AB3220">
        <f>RAND()</f>
        <v/>
      </c>
      <c r="AC3220">
        <f>RAND()</f>
        <v/>
      </c>
      <c r="AD3220">
        <f>RAND()</f>
        <v/>
      </c>
      <c r="AE3220">
        <f>RAND()</f>
        <v/>
      </c>
      <c r="AF3220">
        <f>RAND()</f>
        <v/>
      </c>
    </row>
    <row r="3221">
      <c r="M3221" s="14">
        <f>_xlfn.BETA.INV($AA3221,1+4*($D$5-$C$5)/($E$5-$C$5),1+4*($E$5-$D$5)/($E$5-$C$5),$C$5,$E$5)</f>
        <v/>
      </c>
      <c r="N3221" s="14">
        <f>IF($AB3221&lt;($D$6-$C$6)/($E$6-$C$6),$C$6+SQRT($AB3221*($E$6-$C$6)*($D$6-$C$6)),$E$6-SQRT((1-$AB3221)*($E$6-$C$6)*($E$6-$D$6)))</f>
        <v/>
      </c>
      <c r="O3221" s="14">
        <f>_xlfn.NORM.INV($AC3221,$C$7,$D$7)</f>
        <v/>
      </c>
      <c r="P3221" s="14">
        <f>$C$8+($D$8-$C$8)*$AD3221</f>
        <v/>
      </c>
      <c r="Q3221" s="14">
        <f>$C$9</f>
        <v/>
      </c>
      <c r="R3221" s="14">
        <f>_xlfn.LOGNORM.INV($AF3221,LN($C$10)-0.5*LN(1+($D$10/$C$10)^2),SQRT(LN(1+($D$10/$C$10)^2)))</f>
        <v/>
      </c>
      <c r="S3221" s="14">
        <f>SUM(M3221:R3221)</f>
        <v/>
      </c>
      <c r="AA3221">
        <f>RAND()</f>
        <v/>
      </c>
      <c r="AB3221">
        <f>RAND()</f>
        <v/>
      </c>
      <c r="AC3221">
        <f>RAND()</f>
        <v/>
      </c>
      <c r="AD3221">
        <f>RAND()</f>
        <v/>
      </c>
      <c r="AE3221">
        <f>RAND()</f>
        <v/>
      </c>
      <c r="AF3221">
        <f>RAND()</f>
        <v/>
      </c>
    </row>
    <row r="3222">
      <c r="M3222" s="14">
        <f>_xlfn.BETA.INV($AA3222,1+4*($D$5-$C$5)/($E$5-$C$5),1+4*($E$5-$D$5)/($E$5-$C$5),$C$5,$E$5)</f>
        <v/>
      </c>
      <c r="N3222" s="14">
        <f>IF($AB3222&lt;($D$6-$C$6)/($E$6-$C$6),$C$6+SQRT($AB3222*($E$6-$C$6)*($D$6-$C$6)),$E$6-SQRT((1-$AB3222)*($E$6-$C$6)*($E$6-$D$6)))</f>
        <v/>
      </c>
      <c r="O3222" s="14">
        <f>_xlfn.NORM.INV($AC3222,$C$7,$D$7)</f>
        <v/>
      </c>
      <c r="P3222" s="14">
        <f>$C$8+($D$8-$C$8)*$AD3222</f>
        <v/>
      </c>
      <c r="Q3222" s="14">
        <f>$C$9</f>
        <v/>
      </c>
      <c r="R3222" s="14">
        <f>_xlfn.LOGNORM.INV($AF3222,LN($C$10)-0.5*LN(1+($D$10/$C$10)^2),SQRT(LN(1+($D$10/$C$10)^2)))</f>
        <v/>
      </c>
      <c r="S3222" s="14">
        <f>SUM(M3222:R3222)</f>
        <v/>
      </c>
      <c r="AA3222">
        <f>RAND()</f>
        <v/>
      </c>
      <c r="AB3222">
        <f>RAND()</f>
        <v/>
      </c>
      <c r="AC3222">
        <f>RAND()</f>
        <v/>
      </c>
      <c r="AD3222">
        <f>RAND()</f>
        <v/>
      </c>
      <c r="AE3222">
        <f>RAND()</f>
        <v/>
      </c>
      <c r="AF3222">
        <f>RAND()</f>
        <v/>
      </c>
    </row>
    <row r="3223">
      <c r="M3223" s="14">
        <f>_xlfn.BETA.INV($AA3223,1+4*($D$5-$C$5)/($E$5-$C$5),1+4*($E$5-$D$5)/($E$5-$C$5),$C$5,$E$5)</f>
        <v/>
      </c>
      <c r="N3223" s="14">
        <f>IF($AB3223&lt;($D$6-$C$6)/($E$6-$C$6),$C$6+SQRT($AB3223*($E$6-$C$6)*($D$6-$C$6)),$E$6-SQRT((1-$AB3223)*($E$6-$C$6)*($E$6-$D$6)))</f>
        <v/>
      </c>
      <c r="O3223" s="14">
        <f>_xlfn.NORM.INV($AC3223,$C$7,$D$7)</f>
        <v/>
      </c>
      <c r="P3223" s="14">
        <f>$C$8+($D$8-$C$8)*$AD3223</f>
        <v/>
      </c>
      <c r="Q3223" s="14">
        <f>$C$9</f>
        <v/>
      </c>
      <c r="R3223" s="14">
        <f>_xlfn.LOGNORM.INV($AF3223,LN($C$10)-0.5*LN(1+($D$10/$C$10)^2),SQRT(LN(1+($D$10/$C$10)^2)))</f>
        <v/>
      </c>
      <c r="S3223" s="14">
        <f>SUM(M3223:R3223)</f>
        <v/>
      </c>
      <c r="AA3223">
        <f>RAND()</f>
        <v/>
      </c>
      <c r="AB3223">
        <f>RAND()</f>
        <v/>
      </c>
      <c r="AC3223">
        <f>RAND()</f>
        <v/>
      </c>
      <c r="AD3223">
        <f>RAND()</f>
        <v/>
      </c>
      <c r="AE3223">
        <f>RAND()</f>
        <v/>
      </c>
      <c r="AF3223">
        <f>RAND()</f>
        <v/>
      </c>
    </row>
    <row r="3224">
      <c r="M3224" s="14">
        <f>_xlfn.BETA.INV($AA3224,1+4*($D$5-$C$5)/($E$5-$C$5),1+4*($E$5-$D$5)/($E$5-$C$5),$C$5,$E$5)</f>
        <v/>
      </c>
      <c r="N3224" s="14">
        <f>IF($AB3224&lt;($D$6-$C$6)/($E$6-$C$6),$C$6+SQRT($AB3224*($E$6-$C$6)*($D$6-$C$6)),$E$6-SQRT((1-$AB3224)*($E$6-$C$6)*($E$6-$D$6)))</f>
        <v/>
      </c>
      <c r="O3224" s="14">
        <f>_xlfn.NORM.INV($AC3224,$C$7,$D$7)</f>
        <v/>
      </c>
      <c r="P3224" s="14">
        <f>$C$8+($D$8-$C$8)*$AD3224</f>
        <v/>
      </c>
      <c r="Q3224" s="14">
        <f>$C$9</f>
        <v/>
      </c>
      <c r="R3224" s="14">
        <f>_xlfn.LOGNORM.INV($AF3224,LN($C$10)-0.5*LN(1+($D$10/$C$10)^2),SQRT(LN(1+($D$10/$C$10)^2)))</f>
        <v/>
      </c>
      <c r="S3224" s="14">
        <f>SUM(M3224:R3224)</f>
        <v/>
      </c>
      <c r="AA3224">
        <f>RAND()</f>
        <v/>
      </c>
      <c r="AB3224">
        <f>RAND()</f>
        <v/>
      </c>
      <c r="AC3224">
        <f>RAND()</f>
        <v/>
      </c>
      <c r="AD3224">
        <f>RAND()</f>
        <v/>
      </c>
      <c r="AE3224">
        <f>RAND()</f>
        <v/>
      </c>
      <c r="AF3224">
        <f>RAND()</f>
        <v/>
      </c>
    </row>
    <row r="3225">
      <c r="M3225" s="14">
        <f>_xlfn.BETA.INV($AA3225,1+4*($D$5-$C$5)/($E$5-$C$5),1+4*($E$5-$D$5)/($E$5-$C$5),$C$5,$E$5)</f>
        <v/>
      </c>
      <c r="N3225" s="14">
        <f>IF($AB3225&lt;($D$6-$C$6)/($E$6-$C$6),$C$6+SQRT($AB3225*($E$6-$C$6)*($D$6-$C$6)),$E$6-SQRT((1-$AB3225)*($E$6-$C$6)*($E$6-$D$6)))</f>
        <v/>
      </c>
      <c r="O3225" s="14">
        <f>_xlfn.NORM.INV($AC3225,$C$7,$D$7)</f>
        <v/>
      </c>
      <c r="P3225" s="14">
        <f>$C$8+($D$8-$C$8)*$AD3225</f>
        <v/>
      </c>
      <c r="Q3225" s="14">
        <f>$C$9</f>
        <v/>
      </c>
      <c r="R3225" s="14">
        <f>_xlfn.LOGNORM.INV($AF3225,LN($C$10)-0.5*LN(1+($D$10/$C$10)^2),SQRT(LN(1+($D$10/$C$10)^2)))</f>
        <v/>
      </c>
      <c r="S3225" s="14">
        <f>SUM(M3225:R3225)</f>
        <v/>
      </c>
      <c r="AA3225">
        <f>RAND()</f>
        <v/>
      </c>
      <c r="AB3225">
        <f>RAND()</f>
        <v/>
      </c>
      <c r="AC3225">
        <f>RAND()</f>
        <v/>
      </c>
      <c r="AD3225">
        <f>RAND()</f>
        <v/>
      </c>
      <c r="AE3225">
        <f>RAND()</f>
        <v/>
      </c>
      <c r="AF3225">
        <f>RAND()</f>
        <v/>
      </c>
    </row>
    <row r="3226">
      <c r="M3226" s="14">
        <f>_xlfn.BETA.INV($AA3226,1+4*($D$5-$C$5)/($E$5-$C$5),1+4*($E$5-$D$5)/($E$5-$C$5),$C$5,$E$5)</f>
        <v/>
      </c>
      <c r="N3226" s="14">
        <f>IF($AB3226&lt;($D$6-$C$6)/($E$6-$C$6),$C$6+SQRT($AB3226*($E$6-$C$6)*($D$6-$C$6)),$E$6-SQRT((1-$AB3226)*($E$6-$C$6)*($E$6-$D$6)))</f>
        <v/>
      </c>
      <c r="O3226" s="14">
        <f>_xlfn.NORM.INV($AC3226,$C$7,$D$7)</f>
        <v/>
      </c>
      <c r="P3226" s="14">
        <f>$C$8+($D$8-$C$8)*$AD3226</f>
        <v/>
      </c>
      <c r="Q3226" s="14">
        <f>$C$9</f>
        <v/>
      </c>
      <c r="R3226" s="14">
        <f>_xlfn.LOGNORM.INV($AF3226,LN($C$10)-0.5*LN(1+($D$10/$C$10)^2),SQRT(LN(1+($D$10/$C$10)^2)))</f>
        <v/>
      </c>
      <c r="S3226" s="14">
        <f>SUM(M3226:R3226)</f>
        <v/>
      </c>
      <c r="AA3226">
        <f>RAND()</f>
        <v/>
      </c>
      <c r="AB3226">
        <f>RAND()</f>
        <v/>
      </c>
      <c r="AC3226">
        <f>RAND()</f>
        <v/>
      </c>
      <c r="AD3226">
        <f>RAND()</f>
        <v/>
      </c>
      <c r="AE3226">
        <f>RAND()</f>
        <v/>
      </c>
      <c r="AF3226">
        <f>RAND()</f>
        <v/>
      </c>
    </row>
    <row r="3227">
      <c r="M3227" s="14">
        <f>_xlfn.BETA.INV($AA3227,1+4*($D$5-$C$5)/($E$5-$C$5),1+4*($E$5-$D$5)/($E$5-$C$5),$C$5,$E$5)</f>
        <v/>
      </c>
      <c r="N3227" s="14">
        <f>IF($AB3227&lt;($D$6-$C$6)/($E$6-$C$6),$C$6+SQRT($AB3227*($E$6-$C$6)*($D$6-$C$6)),$E$6-SQRT((1-$AB3227)*($E$6-$C$6)*($E$6-$D$6)))</f>
        <v/>
      </c>
      <c r="O3227" s="14">
        <f>_xlfn.NORM.INV($AC3227,$C$7,$D$7)</f>
        <v/>
      </c>
      <c r="P3227" s="14">
        <f>$C$8+($D$8-$C$8)*$AD3227</f>
        <v/>
      </c>
      <c r="Q3227" s="14">
        <f>$C$9</f>
        <v/>
      </c>
      <c r="R3227" s="14">
        <f>_xlfn.LOGNORM.INV($AF3227,LN($C$10)-0.5*LN(1+($D$10/$C$10)^2),SQRT(LN(1+($D$10/$C$10)^2)))</f>
        <v/>
      </c>
      <c r="S3227" s="14">
        <f>SUM(M3227:R3227)</f>
        <v/>
      </c>
      <c r="AA3227">
        <f>RAND()</f>
        <v/>
      </c>
      <c r="AB3227">
        <f>RAND()</f>
        <v/>
      </c>
      <c r="AC3227">
        <f>RAND()</f>
        <v/>
      </c>
      <c r="AD3227">
        <f>RAND()</f>
        <v/>
      </c>
      <c r="AE3227">
        <f>RAND()</f>
        <v/>
      </c>
      <c r="AF3227">
        <f>RAND()</f>
        <v/>
      </c>
    </row>
    <row r="3228">
      <c r="M3228" s="14">
        <f>_xlfn.BETA.INV($AA3228,1+4*($D$5-$C$5)/($E$5-$C$5),1+4*($E$5-$D$5)/($E$5-$C$5),$C$5,$E$5)</f>
        <v/>
      </c>
      <c r="N3228" s="14">
        <f>IF($AB3228&lt;($D$6-$C$6)/($E$6-$C$6),$C$6+SQRT($AB3228*($E$6-$C$6)*($D$6-$C$6)),$E$6-SQRT((1-$AB3228)*($E$6-$C$6)*($E$6-$D$6)))</f>
        <v/>
      </c>
      <c r="O3228" s="14">
        <f>_xlfn.NORM.INV($AC3228,$C$7,$D$7)</f>
        <v/>
      </c>
      <c r="P3228" s="14">
        <f>$C$8+($D$8-$C$8)*$AD3228</f>
        <v/>
      </c>
      <c r="Q3228" s="14">
        <f>$C$9</f>
        <v/>
      </c>
      <c r="R3228" s="14">
        <f>_xlfn.LOGNORM.INV($AF3228,LN($C$10)-0.5*LN(1+($D$10/$C$10)^2),SQRT(LN(1+($D$10/$C$10)^2)))</f>
        <v/>
      </c>
      <c r="S3228" s="14">
        <f>SUM(M3228:R3228)</f>
        <v/>
      </c>
      <c r="AA3228">
        <f>RAND()</f>
        <v/>
      </c>
      <c r="AB3228">
        <f>RAND()</f>
        <v/>
      </c>
      <c r="AC3228">
        <f>RAND()</f>
        <v/>
      </c>
      <c r="AD3228">
        <f>RAND()</f>
        <v/>
      </c>
      <c r="AE3228">
        <f>RAND()</f>
        <v/>
      </c>
      <c r="AF3228">
        <f>RAND()</f>
        <v/>
      </c>
    </row>
    <row r="3229">
      <c r="M3229" s="14">
        <f>_xlfn.BETA.INV($AA3229,1+4*($D$5-$C$5)/($E$5-$C$5),1+4*($E$5-$D$5)/($E$5-$C$5),$C$5,$E$5)</f>
        <v/>
      </c>
      <c r="N3229" s="14">
        <f>IF($AB3229&lt;($D$6-$C$6)/($E$6-$C$6),$C$6+SQRT($AB3229*($E$6-$C$6)*($D$6-$C$6)),$E$6-SQRT((1-$AB3229)*($E$6-$C$6)*($E$6-$D$6)))</f>
        <v/>
      </c>
      <c r="O3229" s="14">
        <f>_xlfn.NORM.INV($AC3229,$C$7,$D$7)</f>
        <v/>
      </c>
      <c r="P3229" s="14">
        <f>$C$8+($D$8-$C$8)*$AD3229</f>
        <v/>
      </c>
      <c r="Q3229" s="14">
        <f>$C$9</f>
        <v/>
      </c>
      <c r="R3229" s="14">
        <f>_xlfn.LOGNORM.INV($AF3229,LN($C$10)-0.5*LN(1+($D$10/$C$10)^2),SQRT(LN(1+($D$10/$C$10)^2)))</f>
        <v/>
      </c>
      <c r="S3229" s="14">
        <f>SUM(M3229:R3229)</f>
        <v/>
      </c>
      <c r="AA3229">
        <f>RAND()</f>
        <v/>
      </c>
      <c r="AB3229">
        <f>RAND()</f>
        <v/>
      </c>
      <c r="AC3229">
        <f>RAND()</f>
        <v/>
      </c>
      <c r="AD3229">
        <f>RAND()</f>
        <v/>
      </c>
      <c r="AE3229">
        <f>RAND()</f>
        <v/>
      </c>
      <c r="AF3229">
        <f>RAND()</f>
        <v/>
      </c>
    </row>
    <row r="3230">
      <c r="M3230" s="14">
        <f>_xlfn.BETA.INV($AA3230,1+4*($D$5-$C$5)/($E$5-$C$5),1+4*($E$5-$D$5)/($E$5-$C$5),$C$5,$E$5)</f>
        <v/>
      </c>
      <c r="N3230" s="14">
        <f>IF($AB3230&lt;($D$6-$C$6)/($E$6-$C$6),$C$6+SQRT($AB3230*($E$6-$C$6)*($D$6-$C$6)),$E$6-SQRT((1-$AB3230)*($E$6-$C$6)*($E$6-$D$6)))</f>
        <v/>
      </c>
      <c r="O3230" s="14">
        <f>_xlfn.NORM.INV($AC3230,$C$7,$D$7)</f>
        <v/>
      </c>
      <c r="P3230" s="14">
        <f>$C$8+($D$8-$C$8)*$AD3230</f>
        <v/>
      </c>
      <c r="Q3230" s="14">
        <f>$C$9</f>
        <v/>
      </c>
      <c r="R3230" s="14">
        <f>_xlfn.LOGNORM.INV($AF3230,LN($C$10)-0.5*LN(1+($D$10/$C$10)^2),SQRT(LN(1+($D$10/$C$10)^2)))</f>
        <v/>
      </c>
      <c r="S3230" s="14">
        <f>SUM(M3230:R3230)</f>
        <v/>
      </c>
      <c r="AA3230">
        <f>RAND()</f>
        <v/>
      </c>
      <c r="AB3230">
        <f>RAND()</f>
        <v/>
      </c>
      <c r="AC3230">
        <f>RAND()</f>
        <v/>
      </c>
      <c r="AD3230">
        <f>RAND()</f>
        <v/>
      </c>
      <c r="AE3230">
        <f>RAND()</f>
        <v/>
      </c>
      <c r="AF3230">
        <f>RAND()</f>
        <v/>
      </c>
    </row>
    <row r="3231">
      <c r="M3231" s="14">
        <f>_xlfn.BETA.INV($AA3231,1+4*($D$5-$C$5)/($E$5-$C$5),1+4*($E$5-$D$5)/($E$5-$C$5),$C$5,$E$5)</f>
        <v/>
      </c>
      <c r="N3231" s="14">
        <f>IF($AB3231&lt;($D$6-$C$6)/($E$6-$C$6),$C$6+SQRT($AB3231*($E$6-$C$6)*($D$6-$C$6)),$E$6-SQRT((1-$AB3231)*($E$6-$C$6)*($E$6-$D$6)))</f>
        <v/>
      </c>
      <c r="O3231" s="14">
        <f>_xlfn.NORM.INV($AC3231,$C$7,$D$7)</f>
        <v/>
      </c>
      <c r="P3231" s="14">
        <f>$C$8+($D$8-$C$8)*$AD3231</f>
        <v/>
      </c>
      <c r="Q3231" s="14">
        <f>$C$9</f>
        <v/>
      </c>
      <c r="R3231" s="14">
        <f>_xlfn.LOGNORM.INV($AF3231,LN($C$10)-0.5*LN(1+($D$10/$C$10)^2),SQRT(LN(1+($D$10/$C$10)^2)))</f>
        <v/>
      </c>
      <c r="S3231" s="14">
        <f>SUM(M3231:R3231)</f>
        <v/>
      </c>
      <c r="AA3231">
        <f>RAND()</f>
        <v/>
      </c>
      <c r="AB3231">
        <f>RAND()</f>
        <v/>
      </c>
      <c r="AC3231">
        <f>RAND()</f>
        <v/>
      </c>
      <c r="AD3231">
        <f>RAND()</f>
        <v/>
      </c>
      <c r="AE3231">
        <f>RAND()</f>
        <v/>
      </c>
      <c r="AF3231">
        <f>RAND()</f>
        <v/>
      </c>
    </row>
    <row r="3232">
      <c r="M3232" s="14">
        <f>_xlfn.BETA.INV($AA3232,1+4*($D$5-$C$5)/($E$5-$C$5),1+4*($E$5-$D$5)/($E$5-$C$5),$C$5,$E$5)</f>
        <v/>
      </c>
      <c r="N3232" s="14">
        <f>IF($AB3232&lt;($D$6-$C$6)/($E$6-$C$6),$C$6+SQRT($AB3232*($E$6-$C$6)*($D$6-$C$6)),$E$6-SQRT((1-$AB3232)*($E$6-$C$6)*($E$6-$D$6)))</f>
        <v/>
      </c>
      <c r="O3232" s="14">
        <f>_xlfn.NORM.INV($AC3232,$C$7,$D$7)</f>
        <v/>
      </c>
      <c r="P3232" s="14">
        <f>$C$8+($D$8-$C$8)*$AD3232</f>
        <v/>
      </c>
      <c r="Q3232" s="14">
        <f>$C$9</f>
        <v/>
      </c>
      <c r="R3232" s="14">
        <f>_xlfn.LOGNORM.INV($AF3232,LN($C$10)-0.5*LN(1+($D$10/$C$10)^2),SQRT(LN(1+($D$10/$C$10)^2)))</f>
        <v/>
      </c>
      <c r="S3232" s="14">
        <f>SUM(M3232:R3232)</f>
        <v/>
      </c>
      <c r="AA3232">
        <f>RAND()</f>
        <v/>
      </c>
      <c r="AB3232">
        <f>RAND()</f>
        <v/>
      </c>
      <c r="AC3232">
        <f>RAND()</f>
        <v/>
      </c>
      <c r="AD3232">
        <f>RAND()</f>
        <v/>
      </c>
      <c r="AE3232">
        <f>RAND()</f>
        <v/>
      </c>
      <c r="AF3232">
        <f>RAND()</f>
        <v/>
      </c>
    </row>
    <row r="3233">
      <c r="M3233" s="14">
        <f>_xlfn.BETA.INV($AA3233,1+4*($D$5-$C$5)/($E$5-$C$5),1+4*($E$5-$D$5)/($E$5-$C$5),$C$5,$E$5)</f>
        <v/>
      </c>
      <c r="N3233" s="14">
        <f>IF($AB3233&lt;($D$6-$C$6)/($E$6-$C$6),$C$6+SQRT($AB3233*($E$6-$C$6)*($D$6-$C$6)),$E$6-SQRT((1-$AB3233)*($E$6-$C$6)*($E$6-$D$6)))</f>
        <v/>
      </c>
      <c r="O3233" s="14">
        <f>_xlfn.NORM.INV($AC3233,$C$7,$D$7)</f>
        <v/>
      </c>
      <c r="P3233" s="14">
        <f>$C$8+($D$8-$C$8)*$AD3233</f>
        <v/>
      </c>
      <c r="Q3233" s="14">
        <f>$C$9</f>
        <v/>
      </c>
      <c r="R3233" s="14">
        <f>_xlfn.LOGNORM.INV($AF3233,LN($C$10)-0.5*LN(1+($D$10/$C$10)^2),SQRT(LN(1+($D$10/$C$10)^2)))</f>
        <v/>
      </c>
      <c r="S3233" s="14">
        <f>SUM(M3233:R3233)</f>
        <v/>
      </c>
      <c r="AA3233">
        <f>RAND()</f>
        <v/>
      </c>
      <c r="AB3233">
        <f>RAND()</f>
        <v/>
      </c>
      <c r="AC3233">
        <f>RAND()</f>
        <v/>
      </c>
      <c r="AD3233">
        <f>RAND()</f>
        <v/>
      </c>
      <c r="AE3233">
        <f>RAND()</f>
        <v/>
      </c>
      <c r="AF3233">
        <f>RAND()</f>
        <v/>
      </c>
    </row>
    <row r="3234">
      <c r="M3234" s="14">
        <f>_xlfn.BETA.INV($AA3234,1+4*($D$5-$C$5)/($E$5-$C$5),1+4*($E$5-$D$5)/($E$5-$C$5),$C$5,$E$5)</f>
        <v/>
      </c>
      <c r="N3234" s="14">
        <f>IF($AB3234&lt;($D$6-$C$6)/($E$6-$C$6),$C$6+SQRT($AB3234*($E$6-$C$6)*($D$6-$C$6)),$E$6-SQRT((1-$AB3234)*($E$6-$C$6)*($E$6-$D$6)))</f>
        <v/>
      </c>
      <c r="O3234" s="14">
        <f>_xlfn.NORM.INV($AC3234,$C$7,$D$7)</f>
        <v/>
      </c>
      <c r="P3234" s="14">
        <f>$C$8+($D$8-$C$8)*$AD3234</f>
        <v/>
      </c>
      <c r="Q3234" s="14">
        <f>$C$9</f>
        <v/>
      </c>
      <c r="R3234" s="14">
        <f>_xlfn.LOGNORM.INV($AF3234,LN($C$10)-0.5*LN(1+($D$10/$C$10)^2),SQRT(LN(1+($D$10/$C$10)^2)))</f>
        <v/>
      </c>
      <c r="S3234" s="14">
        <f>SUM(M3234:R3234)</f>
        <v/>
      </c>
      <c r="AA3234">
        <f>RAND()</f>
        <v/>
      </c>
      <c r="AB3234">
        <f>RAND()</f>
        <v/>
      </c>
      <c r="AC3234">
        <f>RAND()</f>
        <v/>
      </c>
      <c r="AD3234">
        <f>RAND()</f>
        <v/>
      </c>
      <c r="AE3234">
        <f>RAND()</f>
        <v/>
      </c>
      <c r="AF3234">
        <f>RAND()</f>
        <v/>
      </c>
    </row>
    <row r="3235">
      <c r="M3235" s="14">
        <f>_xlfn.BETA.INV($AA3235,1+4*($D$5-$C$5)/($E$5-$C$5),1+4*($E$5-$D$5)/($E$5-$C$5),$C$5,$E$5)</f>
        <v/>
      </c>
      <c r="N3235" s="14">
        <f>IF($AB3235&lt;($D$6-$C$6)/($E$6-$C$6),$C$6+SQRT($AB3235*($E$6-$C$6)*($D$6-$C$6)),$E$6-SQRT((1-$AB3235)*($E$6-$C$6)*($E$6-$D$6)))</f>
        <v/>
      </c>
      <c r="O3235" s="14">
        <f>_xlfn.NORM.INV($AC3235,$C$7,$D$7)</f>
        <v/>
      </c>
      <c r="P3235" s="14">
        <f>$C$8+($D$8-$C$8)*$AD3235</f>
        <v/>
      </c>
      <c r="Q3235" s="14">
        <f>$C$9</f>
        <v/>
      </c>
      <c r="R3235" s="14">
        <f>_xlfn.LOGNORM.INV($AF3235,LN($C$10)-0.5*LN(1+($D$10/$C$10)^2),SQRT(LN(1+($D$10/$C$10)^2)))</f>
        <v/>
      </c>
      <c r="S3235" s="14">
        <f>SUM(M3235:R3235)</f>
        <v/>
      </c>
      <c r="AA3235">
        <f>RAND()</f>
        <v/>
      </c>
      <c r="AB3235">
        <f>RAND()</f>
        <v/>
      </c>
      <c r="AC3235">
        <f>RAND()</f>
        <v/>
      </c>
      <c r="AD3235">
        <f>RAND()</f>
        <v/>
      </c>
      <c r="AE3235">
        <f>RAND()</f>
        <v/>
      </c>
      <c r="AF3235">
        <f>RAND()</f>
        <v/>
      </c>
    </row>
    <row r="3236">
      <c r="M3236" s="14">
        <f>_xlfn.BETA.INV($AA3236,1+4*($D$5-$C$5)/($E$5-$C$5),1+4*($E$5-$D$5)/($E$5-$C$5),$C$5,$E$5)</f>
        <v/>
      </c>
      <c r="N3236" s="14">
        <f>IF($AB3236&lt;($D$6-$C$6)/($E$6-$C$6),$C$6+SQRT($AB3236*($E$6-$C$6)*($D$6-$C$6)),$E$6-SQRT((1-$AB3236)*($E$6-$C$6)*($E$6-$D$6)))</f>
        <v/>
      </c>
      <c r="O3236" s="14">
        <f>_xlfn.NORM.INV($AC3236,$C$7,$D$7)</f>
        <v/>
      </c>
      <c r="P3236" s="14">
        <f>$C$8+($D$8-$C$8)*$AD3236</f>
        <v/>
      </c>
      <c r="Q3236" s="14">
        <f>$C$9</f>
        <v/>
      </c>
      <c r="R3236" s="14">
        <f>_xlfn.LOGNORM.INV($AF3236,LN($C$10)-0.5*LN(1+($D$10/$C$10)^2),SQRT(LN(1+($D$10/$C$10)^2)))</f>
        <v/>
      </c>
      <c r="S3236" s="14">
        <f>SUM(M3236:R3236)</f>
        <v/>
      </c>
      <c r="AA3236">
        <f>RAND()</f>
        <v/>
      </c>
      <c r="AB3236">
        <f>RAND()</f>
        <v/>
      </c>
      <c r="AC3236">
        <f>RAND()</f>
        <v/>
      </c>
      <c r="AD3236">
        <f>RAND()</f>
        <v/>
      </c>
      <c r="AE3236">
        <f>RAND()</f>
        <v/>
      </c>
      <c r="AF3236">
        <f>RAND()</f>
        <v/>
      </c>
    </row>
    <row r="3237">
      <c r="M3237" s="14">
        <f>_xlfn.BETA.INV($AA3237,1+4*($D$5-$C$5)/($E$5-$C$5),1+4*($E$5-$D$5)/($E$5-$C$5),$C$5,$E$5)</f>
        <v/>
      </c>
      <c r="N3237" s="14">
        <f>IF($AB3237&lt;($D$6-$C$6)/($E$6-$C$6),$C$6+SQRT($AB3237*($E$6-$C$6)*($D$6-$C$6)),$E$6-SQRT((1-$AB3237)*($E$6-$C$6)*($E$6-$D$6)))</f>
        <v/>
      </c>
      <c r="O3237" s="14">
        <f>_xlfn.NORM.INV($AC3237,$C$7,$D$7)</f>
        <v/>
      </c>
      <c r="P3237" s="14">
        <f>$C$8+($D$8-$C$8)*$AD3237</f>
        <v/>
      </c>
      <c r="Q3237" s="14">
        <f>$C$9</f>
        <v/>
      </c>
      <c r="R3237" s="14">
        <f>_xlfn.LOGNORM.INV($AF3237,LN($C$10)-0.5*LN(1+($D$10/$C$10)^2),SQRT(LN(1+($D$10/$C$10)^2)))</f>
        <v/>
      </c>
      <c r="S3237" s="14">
        <f>SUM(M3237:R3237)</f>
        <v/>
      </c>
      <c r="AA3237">
        <f>RAND()</f>
        <v/>
      </c>
      <c r="AB3237">
        <f>RAND()</f>
        <v/>
      </c>
      <c r="AC3237">
        <f>RAND()</f>
        <v/>
      </c>
      <c r="AD3237">
        <f>RAND()</f>
        <v/>
      </c>
      <c r="AE3237">
        <f>RAND()</f>
        <v/>
      </c>
      <c r="AF3237">
        <f>RAND()</f>
        <v/>
      </c>
    </row>
    <row r="3238">
      <c r="M3238" s="14">
        <f>_xlfn.BETA.INV($AA3238,1+4*($D$5-$C$5)/($E$5-$C$5),1+4*($E$5-$D$5)/($E$5-$C$5),$C$5,$E$5)</f>
        <v/>
      </c>
      <c r="N3238" s="14">
        <f>IF($AB3238&lt;($D$6-$C$6)/($E$6-$C$6),$C$6+SQRT($AB3238*($E$6-$C$6)*($D$6-$C$6)),$E$6-SQRT((1-$AB3238)*($E$6-$C$6)*($E$6-$D$6)))</f>
        <v/>
      </c>
      <c r="O3238" s="14">
        <f>_xlfn.NORM.INV($AC3238,$C$7,$D$7)</f>
        <v/>
      </c>
      <c r="P3238" s="14">
        <f>$C$8+($D$8-$C$8)*$AD3238</f>
        <v/>
      </c>
      <c r="Q3238" s="14">
        <f>$C$9</f>
        <v/>
      </c>
      <c r="R3238" s="14">
        <f>_xlfn.LOGNORM.INV($AF3238,LN($C$10)-0.5*LN(1+($D$10/$C$10)^2),SQRT(LN(1+($D$10/$C$10)^2)))</f>
        <v/>
      </c>
      <c r="S3238" s="14">
        <f>SUM(M3238:R3238)</f>
        <v/>
      </c>
      <c r="AA3238">
        <f>RAND()</f>
        <v/>
      </c>
      <c r="AB3238">
        <f>RAND()</f>
        <v/>
      </c>
      <c r="AC3238">
        <f>RAND()</f>
        <v/>
      </c>
      <c r="AD3238">
        <f>RAND()</f>
        <v/>
      </c>
      <c r="AE3238">
        <f>RAND()</f>
        <v/>
      </c>
      <c r="AF3238">
        <f>RAND()</f>
        <v/>
      </c>
    </row>
    <row r="3239">
      <c r="M3239" s="14">
        <f>_xlfn.BETA.INV($AA3239,1+4*($D$5-$C$5)/($E$5-$C$5),1+4*($E$5-$D$5)/($E$5-$C$5),$C$5,$E$5)</f>
        <v/>
      </c>
      <c r="N3239" s="14">
        <f>IF($AB3239&lt;($D$6-$C$6)/($E$6-$C$6),$C$6+SQRT($AB3239*($E$6-$C$6)*($D$6-$C$6)),$E$6-SQRT((1-$AB3239)*($E$6-$C$6)*($E$6-$D$6)))</f>
        <v/>
      </c>
      <c r="O3239" s="14">
        <f>_xlfn.NORM.INV($AC3239,$C$7,$D$7)</f>
        <v/>
      </c>
      <c r="P3239" s="14">
        <f>$C$8+($D$8-$C$8)*$AD3239</f>
        <v/>
      </c>
      <c r="Q3239" s="14">
        <f>$C$9</f>
        <v/>
      </c>
      <c r="R3239" s="14">
        <f>_xlfn.LOGNORM.INV($AF3239,LN($C$10)-0.5*LN(1+($D$10/$C$10)^2),SQRT(LN(1+($D$10/$C$10)^2)))</f>
        <v/>
      </c>
      <c r="S3239" s="14">
        <f>SUM(M3239:R3239)</f>
        <v/>
      </c>
      <c r="AA3239">
        <f>RAND()</f>
        <v/>
      </c>
      <c r="AB3239">
        <f>RAND()</f>
        <v/>
      </c>
      <c r="AC3239">
        <f>RAND()</f>
        <v/>
      </c>
      <c r="AD3239">
        <f>RAND()</f>
        <v/>
      </c>
      <c r="AE3239">
        <f>RAND()</f>
        <v/>
      </c>
      <c r="AF3239">
        <f>RAND()</f>
        <v/>
      </c>
    </row>
    <row r="3240">
      <c r="M3240" s="14">
        <f>_xlfn.BETA.INV($AA3240,1+4*($D$5-$C$5)/($E$5-$C$5),1+4*($E$5-$D$5)/($E$5-$C$5),$C$5,$E$5)</f>
        <v/>
      </c>
      <c r="N3240" s="14">
        <f>IF($AB3240&lt;($D$6-$C$6)/($E$6-$C$6),$C$6+SQRT($AB3240*($E$6-$C$6)*($D$6-$C$6)),$E$6-SQRT((1-$AB3240)*($E$6-$C$6)*($E$6-$D$6)))</f>
        <v/>
      </c>
      <c r="O3240" s="14">
        <f>_xlfn.NORM.INV($AC3240,$C$7,$D$7)</f>
        <v/>
      </c>
      <c r="P3240" s="14">
        <f>$C$8+($D$8-$C$8)*$AD3240</f>
        <v/>
      </c>
      <c r="Q3240" s="14">
        <f>$C$9</f>
        <v/>
      </c>
      <c r="R3240" s="14">
        <f>_xlfn.LOGNORM.INV($AF3240,LN($C$10)-0.5*LN(1+($D$10/$C$10)^2),SQRT(LN(1+($D$10/$C$10)^2)))</f>
        <v/>
      </c>
      <c r="S3240" s="14">
        <f>SUM(M3240:R3240)</f>
        <v/>
      </c>
      <c r="AA3240">
        <f>RAND()</f>
        <v/>
      </c>
      <c r="AB3240">
        <f>RAND()</f>
        <v/>
      </c>
      <c r="AC3240">
        <f>RAND()</f>
        <v/>
      </c>
      <c r="AD3240">
        <f>RAND()</f>
        <v/>
      </c>
      <c r="AE3240">
        <f>RAND()</f>
        <v/>
      </c>
      <c r="AF3240">
        <f>RAND()</f>
        <v/>
      </c>
    </row>
    <row r="3241">
      <c r="M3241" s="14">
        <f>_xlfn.BETA.INV($AA3241,1+4*($D$5-$C$5)/($E$5-$C$5),1+4*($E$5-$D$5)/($E$5-$C$5),$C$5,$E$5)</f>
        <v/>
      </c>
      <c r="N3241" s="14">
        <f>IF($AB3241&lt;($D$6-$C$6)/($E$6-$C$6),$C$6+SQRT($AB3241*($E$6-$C$6)*($D$6-$C$6)),$E$6-SQRT((1-$AB3241)*($E$6-$C$6)*($E$6-$D$6)))</f>
        <v/>
      </c>
      <c r="O3241" s="14">
        <f>_xlfn.NORM.INV($AC3241,$C$7,$D$7)</f>
        <v/>
      </c>
      <c r="P3241" s="14">
        <f>$C$8+($D$8-$C$8)*$AD3241</f>
        <v/>
      </c>
      <c r="Q3241" s="14">
        <f>$C$9</f>
        <v/>
      </c>
      <c r="R3241" s="14">
        <f>_xlfn.LOGNORM.INV($AF3241,LN($C$10)-0.5*LN(1+($D$10/$C$10)^2),SQRT(LN(1+($D$10/$C$10)^2)))</f>
        <v/>
      </c>
      <c r="S3241" s="14">
        <f>SUM(M3241:R3241)</f>
        <v/>
      </c>
      <c r="AA3241">
        <f>RAND()</f>
        <v/>
      </c>
      <c r="AB3241">
        <f>RAND()</f>
        <v/>
      </c>
      <c r="AC3241">
        <f>RAND()</f>
        <v/>
      </c>
      <c r="AD3241">
        <f>RAND()</f>
        <v/>
      </c>
      <c r="AE3241">
        <f>RAND()</f>
        <v/>
      </c>
      <c r="AF3241">
        <f>RAND()</f>
        <v/>
      </c>
    </row>
    <row r="3242">
      <c r="M3242" s="14">
        <f>_xlfn.BETA.INV($AA3242,1+4*($D$5-$C$5)/($E$5-$C$5),1+4*($E$5-$D$5)/($E$5-$C$5),$C$5,$E$5)</f>
        <v/>
      </c>
      <c r="N3242" s="14">
        <f>IF($AB3242&lt;($D$6-$C$6)/($E$6-$C$6),$C$6+SQRT($AB3242*($E$6-$C$6)*($D$6-$C$6)),$E$6-SQRT((1-$AB3242)*($E$6-$C$6)*($E$6-$D$6)))</f>
        <v/>
      </c>
      <c r="O3242" s="14">
        <f>_xlfn.NORM.INV($AC3242,$C$7,$D$7)</f>
        <v/>
      </c>
      <c r="P3242" s="14">
        <f>$C$8+($D$8-$C$8)*$AD3242</f>
        <v/>
      </c>
      <c r="Q3242" s="14">
        <f>$C$9</f>
        <v/>
      </c>
      <c r="R3242" s="14">
        <f>_xlfn.LOGNORM.INV($AF3242,LN($C$10)-0.5*LN(1+($D$10/$C$10)^2),SQRT(LN(1+($D$10/$C$10)^2)))</f>
        <v/>
      </c>
      <c r="S3242" s="14">
        <f>SUM(M3242:R3242)</f>
        <v/>
      </c>
      <c r="AA3242">
        <f>RAND()</f>
        <v/>
      </c>
      <c r="AB3242">
        <f>RAND()</f>
        <v/>
      </c>
      <c r="AC3242">
        <f>RAND()</f>
        <v/>
      </c>
      <c r="AD3242">
        <f>RAND()</f>
        <v/>
      </c>
      <c r="AE3242">
        <f>RAND()</f>
        <v/>
      </c>
      <c r="AF3242">
        <f>RAND()</f>
        <v/>
      </c>
    </row>
    <row r="3243">
      <c r="M3243" s="14">
        <f>_xlfn.BETA.INV($AA3243,1+4*($D$5-$C$5)/($E$5-$C$5),1+4*($E$5-$D$5)/($E$5-$C$5),$C$5,$E$5)</f>
        <v/>
      </c>
      <c r="N3243" s="14">
        <f>IF($AB3243&lt;($D$6-$C$6)/($E$6-$C$6),$C$6+SQRT($AB3243*($E$6-$C$6)*($D$6-$C$6)),$E$6-SQRT((1-$AB3243)*($E$6-$C$6)*($E$6-$D$6)))</f>
        <v/>
      </c>
      <c r="O3243" s="14">
        <f>_xlfn.NORM.INV($AC3243,$C$7,$D$7)</f>
        <v/>
      </c>
      <c r="P3243" s="14">
        <f>$C$8+($D$8-$C$8)*$AD3243</f>
        <v/>
      </c>
      <c r="Q3243" s="14">
        <f>$C$9</f>
        <v/>
      </c>
      <c r="R3243" s="14">
        <f>_xlfn.LOGNORM.INV($AF3243,LN($C$10)-0.5*LN(1+($D$10/$C$10)^2),SQRT(LN(1+($D$10/$C$10)^2)))</f>
        <v/>
      </c>
      <c r="S3243" s="14">
        <f>SUM(M3243:R3243)</f>
        <v/>
      </c>
      <c r="AA3243">
        <f>RAND()</f>
        <v/>
      </c>
      <c r="AB3243">
        <f>RAND()</f>
        <v/>
      </c>
      <c r="AC3243">
        <f>RAND()</f>
        <v/>
      </c>
      <c r="AD3243">
        <f>RAND()</f>
        <v/>
      </c>
      <c r="AE3243">
        <f>RAND()</f>
        <v/>
      </c>
      <c r="AF3243">
        <f>RAND()</f>
        <v/>
      </c>
    </row>
    <row r="3244">
      <c r="M3244" s="14">
        <f>_xlfn.BETA.INV($AA3244,1+4*($D$5-$C$5)/($E$5-$C$5),1+4*($E$5-$D$5)/($E$5-$C$5),$C$5,$E$5)</f>
        <v/>
      </c>
      <c r="N3244" s="14">
        <f>IF($AB3244&lt;($D$6-$C$6)/($E$6-$C$6),$C$6+SQRT($AB3244*($E$6-$C$6)*($D$6-$C$6)),$E$6-SQRT((1-$AB3244)*($E$6-$C$6)*($E$6-$D$6)))</f>
        <v/>
      </c>
      <c r="O3244" s="14">
        <f>_xlfn.NORM.INV($AC3244,$C$7,$D$7)</f>
        <v/>
      </c>
      <c r="P3244" s="14">
        <f>$C$8+($D$8-$C$8)*$AD3244</f>
        <v/>
      </c>
      <c r="Q3244" s="14">
        <f>$C$9</f>
        <v/>
      </c>
      <c r="R3244" s="14">
        <f>_xlfn.LOGNORM.INV($AF3244,LN($C$10)-0.5*LN(1+($D$10/$C$10)^2),SQRT(LN(1+($D$10/$C$10)^2)))</f>
        <v/>
      </c>
      <c r="S3244" s="14">
        <f>SUM(M3244:R3244)</f>
        <v/>
      </c>
      <c r="AA3244">
        <f>RAND()</f>
        <v/>
      </c>
      <c r="AB3244">
        <f>RAND()</f>
        <v/>
      </c>
      <c r="AC3244">
        <f>RAND()</f>
        <v/>
      </c>
      <c r="AD3244">
        <f>RAND()</f>
        <v/>
      </c>
      <c r="AE3244">
        <f>RAND()</f>
        <v/>
      </c>
      <c r="AF3244">
        <f>RAND()</f>
        <v/>
      </c>
    </row>
    <row r="3245">
      <c r="M3245" s="14">
        <f>_xlfn.BETA.INV($AA3245,1+4*($D$5-$C$5)/($E$5-$C$5),1+4*($E$5-$D$5)/($E$5-$C$5),$C$5,$E$5)</f>
        <v/>
      </c>
      <c r="N3245" s="14">
        <f>IF($AB3245&lt;($D$6-$C$6)/($E$6-$C$6),$C$6+SQRT($AB3245*($E$6-$C$6)*($D$6-$C$6)),$E$6-SQRT((1-$AB3245)*($E$6-$C$6)*($E$6-$D$6)))</f>
        <v/>
      </c>
      <c r="O3245" s="14">
        <f>_xlfn.NORM.INV($AC3245,$C$7,$D$7)</f>
        <v/>
      </c>
      <c r="P3245" s="14">
        <f>$C$8+($D$8-$C$8)*$AD3245</f>
        <v/>
      </c>
      <c r="Q3245" s="14">
        <f>$C$9</f>
        <v/>
      </c>
      <c r="R3245" s="14">
        <f>_xlfn.LOGNORM.INV($AF3245,LN($C$10)-0.5*LN(1+($D$10/$C$10)^2),SQRT(LN(1+($D$10/$C$10)^2)))</f>
        <v/>
      </c>
      <c r="S3245" s="14">
        <f>SUM(M3245:R3245)</f>
        <v/>
      </c>
      <c r="AA3245">
        <f>RAND()</f>
        <v/>
      </c>
      <c r="AB3245">
        <f>RAND()</f>
        <v/>
      </c>
      <c r="AC3245">
        <f>RAND()</f>
        <v/>
      </c>
      <c r="AD3245">
        <f>RAND()</f>
        <v/>
      </c>
      <c r="AE3245">
        <f>RAND()</f>
        <v/>
      </c>
      <c r="AF3245">
        <f>RAND()</f>
        <v/>
      </c>
    </row>
    <row r="3246">
      <c r="M3246" s="14">
        <f>_xlfn.BETA.INV($AA3246,1+4*($D$5-$C$5)/($E$5-$C$5),1+4*($E$5-$D$5)/($E$5-$C$5),$C$5,$E$5)</f>
        <v/>
      </c>
      <c r="N3246" s="14">
        <f>IF($AB3246&lt;($D$6-$C$6)/($E$6-$C$6),$C$6+SQRT($AB3246*($E$6-$C$6)*($D$6-$C$6)),$E$6-SQRT((1-$AB3246)*($E$6-$C$6)*($E$6-$D$6)))</f>
        <v/>
      </c>
      <c r="O3246" s="14">
        <f>_xlfn.NORM.INV($AC3246,$C$7,$D$7)</f>
        <v/>
      </c>
      <c r="P3246" s="14">
        <f>$C$8+($D$8-$C$8)*$AD3246</f>
        <v/>
      </c>
      <c r="Q3246" s="14">
        <f>$C$9</f>
        <v/>
      </c>
      <c r="R3246" s="14">
        <f>_xlfn.LOGNORM.INV($AF3246,LN($C$10)-0.5*LN(1+($D$10/$C$10)^2),SQRT(LN(1+($D$10/$C$10)^2)))</f>
        <v/>
      </c>
      <c r="S3246" s="14">
        <f>SUM(M3246:R3246)</f>
        <v/>
      </c>
      <c r="AA3246">
        <f>RAND()</f>
        <v/>
      </c>
      <c r="AB3246">
        <f>RAND()</f>
        <v/>
      </c>
      <c r="AC3246">
        <f>RAND()</f>
        <v/>
      </c>
      <c r="AD3246">
        <f>RAND()</f>
        <v/>
      </c>
      <c r="AE3246">
        <f>RAND()</f>
        <v/>
      </c>
      <c r="AF3246">
        <f>RAND()</f>
        <v/>
      </c>
    </row>
    <row r="3247">
      <c r="M3247" s="14">
        <f>_xlfn.BETA.INV($AA3247,1+4*($D$5-$C$5)/($E$5-$C$5),1+4*($E$5-$D$5)/($E$5-$C$5),$C$5,$E$5)</f>
        <v/>
      </c>
      <c r="N3247" s="14">
        <f>IF($AB3247&lt;($D$6-$C$6)/($E$6-$C$6),$C$6+SQRT($AB3247*($E$6-$C$6)*($D$6-$C$6)),$E$6-SQRT((1-$AB3247)*($E$6-$C$6)*($E$6-$D$6)))</f>
        <v/>
      </c>
      <c r="O3247" s="14">
        <f>_xlfn.NORM.INV($AC3247,$C$7,$D$7)</f>
        <v/>
      </c>
      <c r="P3247" s="14">
        <f>$C$8+($D$8-$C$8)*$AD3247</f>
        <v/>
      </c>
      <c r="Q3247" s="14">
        <f>$C$9</f>
        <v/>
      </c>
      <c r="R3247" s="14">
        <f>_xlfn.LOGNORM.INV($AF3247,LN($C$10)-0.5*LN(1+($D$10/$C$10)^2),SQRT(LN(1+($D$10/$C$10)^2)))</f>
        <v/>
      </c>
      <c r="S3247" s="14">
        <f>SUM(M3247:R3247)</f>
        <v/>
      </c>
      <c r="AA3247">
        <f>RAND()</f>
        <v/>
      </c>
      <c r="AB3247">
        <f>RAND()</f>
        <v/>
      </c>
      <c r="AC3247">
        <f>RAND()</f>
        <v/>
      </c>
      <c r="AD3247">
        <f>RAND()</f>
        <v/>
      </c>
      <c r="AE3247">
        <f>RAND()</f>
        <v/>
      </c>
      <c r="AF3247">
        <f>RAND()</f>
        <v/>
      </c>
    </row>
    <row r="3248">
      <c r="M3248" s="14">
        <f>_xlfn.BETA.INV($AA3248,1+4*($D$5-$C$5)/($E$5-$C$5),1+4*($E$5-$D$5)/($E$5-$C$5),$C$5,$E$5)</f>
        <v/>
      </c>
      <c r="N3248" s="14">
        <f>IF($AB3248&lt;($D$6-$C$6)/($E$6-$C$6),$C$6+SQRT($AB3248*($E$6-$C$6)*($D$6-$C$6)),$E$6-SQRT((1-$AB3248)*($E$6-$C$6)*($E$6-$D$6)))</f>
        <v/>
      </c>
      <c r="O3248" s="14">
        <f>_xlfn.NORM.INV($AC3248,$C$7,$D$7)</f>
        <v/>
      </c>
      <c r="P3248" s="14">
        <f>$C$8+($D$8-$C$8)*$AD3248</f>
        <v/>
      </c>
      <c r="Q3248" s="14">
        <f>$C$9</f>
        <v/>
      </c>
      <c r="R3248" s="14">
        <f>_xlfn.LOGNORM.INV($AF3248,LN($C$10)-0.5*LN(1+($D$10/$C$10)^2),SQRT(LN(1+($D$10/$C$10)^2)))</f>
        <v/>
      </c>
      <c r="S3248" s="14">
        <f>SUM(M3248:R3248)</f>
        <v/>
      </c>
      <c r="AA3248">
        <f>RAND()</f>
        <v/>
      </c>
      <c r="AB3248">
        <f>RAND()</f>
        <v/>
      </c>
      <c r="AC3248">
        <f>RAND()</f>
        <v/>
      </c>
      <c r="AD3248">
        <f>RAND()</f>
        <v/>
      </c>
      <c r="AE3248">
        <f>RAND()</f>
        <v/>
      </c>
      <c r="AF3248">
        <f>RAND()</f>
        <v/>
      </c>
    </row>
    <row r="3249">
      <c r="M3249" s="14">
        <f>_xlfn.BETA.INV($AA3249,1+4*($D$5-$C$5)/($E$5-$C$5),1+4*($E$5-$D$5)/($E$5-$C$5),$C$5,$E$5)</f>
        <v/>
      </c>
      <c r="N3249" s="14">
        <f>IF($AB3249&lt;($D$6-$C$6)/($E$6-$C$6),$C$6+SQRT($AB3249*($E$6-$C$6)*($D$6-$C$6)),$E$6-SQRT((1-$AB3249)*($E$6-$C$6)*($E$6-$D$6)))</f>
        <v/>
      </c>
      <c r="O3249" s="14">
        <f>_xlfn.NORM.INV($AC3249,$C$7,$D$7)</f>
        <v/>
      </c>
      <c r="P3249" s="14">
        <f>$C$8+($D$8-$C$8)*$AD3249</f>
        <v/>
      </c>
      <c r="Q3249" s="14">
        <f>$C$9</f>
        <v/>
      </c>
      <c r="R3249" s="14">
        <f>_xlfn.LOGNORM.INV($AF3249,LN($C$10)-0.5*LN(1+($D$10/$C$10)^2),SQRT(LN(1+($D$10/$C$10)^2)))</f>
        <v/>
      </c>
      <c r="S3249" s="14">
        <f>SUM(M3249:R3249)</f>
        <v/>
      </c>
      <c r="AA3249">
        <f>RAND()</f>
        <v/>
      </c>
      <c r="AB3249">
        <f>RAND()</f>
        <v/>
      </c>
      <c r="AC3249">
        <f>RAND()</f>
        <v/>
      </c>
      <c r="AD3249">
        <f>RAND()</f>
        <v/>
      </c>
      <c r="AE3249">
        <f>RAND()</f>
        <v/>
      </c>
      <c r="AF3249">
        <f>RAND()</f>
        <v/>
      </c>
    </row>
    <row r="3250">
      <c r="M3250" s="14">
        <f>_xlfn.BETA.INV($AA3250,1+4*($D$5-$C$5)/($E$5-$C$5),1+4*($E$5-$D$5)/($E$5-$C$5),$C$5,$E$5)</f>
        <v/>
      </c>
      <c r="N3250" s="14">
        <f>IF($AB3250&lt;($D$6-$C$6)/($E$6-$C$6),$C$6+SQRT($AB3250*($E$6-$C$6)*($D$6-$C$6)),$E$6-SQRT((1-$AB3250)*($E$6-$C$6)*($E$6-$D$6)))</f>
        <v/>
      </c>
      <c r="O3250" s="14">
        <f>_xlfn.NORM.INV($AC3250,$C$7,$D$7)</f>
        <v/>
      </c>
      <c r="P3250" s="14">
        <f>$C$8+($D$8-$C$8)*$AD3250</f>
        <v/>
      </c>
      <c r="Q3250" s="14">
        <f>$C$9</f>
        <v/>
      </c>
      <c r="R3250" s="14">
        <f>_xlfn.LOGNORM.INV($AF3250,LN($C$10)-0.5*LN(1+($D$10/$C$10)^2),SQRT(LN(1+($D$10/$C$10)^2)))</f>
        <v/>
      </c>
      <c r="S3250" s="14">
        <f>SUM(M3250:R3250)</f>
        <v/>
      </c>
      <c r="AA3250">
        <f>RAND()</f>
        <v/>
      </c>
      <c r="AB3250">
        <f>RAND()</f>
        <v/>
      </c>
      <c r="AC3250">
        <f>RAND()</f>
        <v/>
      </c>
      <c r="AD3250">
        <f>RAND()</f>
        <v/>
      </c>
      <c r="AE3250">
        <f>RAND()</f>
        <v/>
      </c>
      <c r="AF3250">
        <f>RAND()</f>
        <v/>
      </c>
    </row>
    <row r="3251">
      <c r="M3251" s="14">
        <f>_xlfn.BETA.INV($AA3251,1+4*($D$5-$C$5)/($E$5-$C$5),1+4*($E$5-$D$5)/($E$5-$C$5),$C$5,$E$5)</f>
        <v/>
      </c>
      <c r="N3251" s="14">
        <f>IF($AB3251&lt;($D$6-$C$6)/($E$6-$C$6),$C$6+SQRT($AB3251*($E$6-$C$6)*($D$6-$C$6)),$E$6-SQRT((1-$AB3251)*($E$6-$C$6)*($E$6-$D$6)))</f>
        <v/>
      </c>
      <c r="O3251" s="14">
        <f>_xlfn.NORM.INV($AC3251,$C$7,$D$7)</f>
        <v/>
      </c>
      <c r="P3251" s="14">
        <f>$C$8+($D$8-$C$8)*$AD3251</f>
        <v/>
      </c>
      <c r="Q3251" s="14">
        <f>$C$9</f>
        <v/>
      </c>
      <c r="R3251" s="14">
        <f>_xlfn.LOGNORM.INV($AF3251,LN($C$10)-0.5*LN(1+($D$10/$C$10)^2),SQRT(LN(1+($D$10/$C$10)^2)))</f>
        <v/>
      </c>
      <c r="S3251" s="14">
        <f>SUM(M3251:R3251)</f>
        <v/>
      </c>
      <c r="AA3251">
        <f>RAND()</f>
        <v/>
      </c>
      <c r="AB3251">
        <f>RAND()</f>
        <v/>
      </c>
      <c r="AC3251">
        <f>RAND()</f>
        <v/>
      </c>
      <c r="AD3251">
        <f>RAND()</f>
        <v/>
      </c>
      <c r="AE3251">
        <f>RAND()</f>
        <v/>
      </c>
      <c r="AF3251">
        <f>RAND()</f>
        <v/>
      </c>
    </row>
    <row r="3252">
      <c r="M3252" s="14">
        <f>_xlfn.BETA.INV($AA3252,1+4*($D$5-$C$5)/($E$5-$C$5),1+4*($E$5-$D$5)/($E$5-$C$5),$C$5,$E$5)</f>
        <v/>
      </c>
      <c r="N3252" s="14">
        <f>IF($AB3252&lt;($D$6-$C$6)/($E$6-$C$6),$C$6+SQRT($AB3252*($E$6-$C$6)*($D$6-$C$6)),$E$6-SQRT((1-$AB3252)*($E$6-$C$6)*($E$6-$D$6)))</f>
        <v/>
      </c>
      <c r="O3252" s="14">
        <f>_xlfn.NORM.INV($AC3252,$C$7,$D$7)</f>
        <v/>
      </c>
      <c r="P3252" s="14">
        <f>$C$8+($D$8-$C$8)*$AD3252</f>
        <v/>
      </c>
      <c r="Q3252" s="14">
        <f>$C$9</f>
        <v/>
      </c>
      <c r="R3252" s="14">
        <f>_xlfn.LOGNORM.INV($AF3252,LN($C$10)-0.5*LN(1+($D$10/$C$10)^2),SQRT(LN(1+($D$10/$C$10)^2)))</f>
        <v/>
      </c>
      <c r="S3252" s="14">
        <f>SUM(M3252:R3252)</f>
        <v/>
      </c>
      <c r="AA3252">
        <f>RAND()</f>
        <v/>
      </c>
      <c r="AB3252">
        <f>RAND()</f>
        <v/>
      </c>
      <c r="AC3252">
        <f>RAND()</f>
        <v/>
      </c>
      <c r="AD3252">
        <f>RAND()</f>
        <v/>
      </c>
      <c r="AE3252">
        <f>RAND()</f>
        <v/>
      </c>
      <c r="AF3252">
        <f>RAND()</f>
        <v/>
      </c>
    </row>
    <row r="3253">
      <c r="M3253" s="14">
        <f>_xlfn.BETA.INV($AA3253,1+4*($D$5-$C$5)/($E$5-$C$5),1+4*($E$5-$D$5)/($E$5-$C$5),$C$5,$E$5)</f>
        <v/>
      </c>
      <c r="N3253" s="14">
        <f>IF($AB3253&lt;($D$6-$C$6)/($E$6-$C$6),$C$6+SQRT($AB3253*($E$6-$C$6)*($D$6-$C$6)),$E$6-SQRT((1-$AB3253)*($E$6-$C$6)*($E$6-$D$6)))</f>
        <v/>
      </c>
      <c r="O3253" s="14">
        <f>_xlfn.NORM.INV($AC3253,$C$7,$D$7)</f>
        <v/>
      </c>
      <c r="P3253" s="14">
        <f>$C$8+($D$8-$C$8)*$AD3253</f>
        <v/>
      </c>
      <c r="Q3253" s="14">
        <f>$C$9</f>
        <v/>
      </c>
      <c r="R3253" s="14">
        <f>_xlfn.LOGNORM.INV($AF3253,LN($C$10)-0.5*LN(1+($D$10/$C$10)^2),SQRT(LN(1+($D$10/$C$10)^2)))</f>
        <v/>
      </c>
      <c r="S3253" s="14">
        <f>SUM(M3253:R3253)</f>
        <v/>
      </c>
      <c r="AA3253">
        <f>RAND()</f>
        <v/>
      </c>
      <c r="AB3253">
        <f>RAND()</f>
        <v/>
      </c>
      <c r="AC3253">
        <f>RAND()</f>
        <v/>
      </c>
      <c r="AD3253">
        <f>RAND()</f>
        <v/>
      </c>
      <c r="AE3253">
        <f>RAND()</f>
        <v/>
      </c>
      <c r="AF3253">
        <f>RAND()</f>
        <v/>
      </c>
    </row>
    <row r="3254">
      <c r="M3254" s="14">
        <f>_xlfn.BETA.INV($AA3254,1+4*($D$5-$C$5)/($E$5-$C$5),1+4*($E$5-$D$5)/($E$5-$C$5),$C$5,$E$5)</f>
        <v/>
      </c>
      <c r="N3254" s="14">
        <f>IF($AB3254&lt;($D$6-$C$6)/($E$6-$C$6),$C$6+SQRT($AB3254*($E$6-$C$6)*($D$6-$C$6)),$E$6-SQRT((1-$AB3254)*($E$6-$C$6)*($E$6-$D$6)))</f>
        <v/>
      </c>
      <c r="O3254" s="14">
        <f>_xlfn.NORM.INV($AC3254,$C$7,$D$7)</f>
        <v/>
      </c>
      <c r="P3254" s="14">
        <f>$C$8+($D$8-$C$8)*$AD3254</f>
        <v/>
      </c>
      <c r="Q3254" s="14">
        <f>$C$9</f>
        <v/>
      </c>
      <c r="R3254" s="14">
        <f>_xlfn.LOGNORM.INV($AF3254,LN($C$10)-0.5*LN(1+($D$10/$C$10)^2),SQRT(LN(1+($D$10/$C$10)^2)))</f>
        <v/>
      </c>
      <c r="S3254" s="14">
        <f>SUM(M3254:R3254)</f>
        <v/>
      </c>
      <c r="AA3254">
        <f>RAND()</f>
        <v/>
      </c>
      <c r="AB3254">
        <f>RAND()</f>
        <v/>
      </c>
      <c r="AC3254">
        <f>RAND()</f>
        <v/>
      </c>
      <c r="AD3254">
        <f>RAND()</f>
        <v/>
      </c>
      <c r="AE3254">
        <f>RAND()</f>
        <v/>
      </c>
      <c r="AF3254">
        <f>RAND()</f>
        <v/>
      </c>
    </row>
    <row r="3255">
      <c r="M3255" s="14">
        <f>_xlfn.BETA.INV($AA3255,1+4*($D$5-$C$5)/($E$5-$C$5),1+4*($E$5-$D$5)/($E$5-$C$5),$C$5,$E$5)</f>
        <v/>
      </c>
      <c r="N3255" s="14">
        <f>IF($AB3255&lt;($D$6-$C$6)/($E$6-$C$6),$C$6+SQRT($AB3255*($E$6-$C$6)*($D$6-$C$6)),$E$6-SQRT((1-$AB3255)*($E$6-$C$6)*($E$6-$D$6)))</f>
        <v/>
      </c>
      <c r="O3255" s="14">
        <f>_xlfn.NORM.INV($AC3255,$C$7,$D$7)</f>
        <v/>
      </c>
      <c r="P3255" s="14">
        <f>$C$8+($D$8-$C$8)*$AD3255</f>
        <v/>
      </c>
      <c r="Q3255" s="14">
        <f>$C$9</f>
        <v/>
      </c>
      <c r="R3255" s="14">
        <f>_xlfn.LOGNORM.INV($AF3255,LN($C$10)-0.5*LN(1+($D$10/$C$10)^2),SQRT(LN(1+($D$10/$C$10)^2)))</f>
        <v/>
      </c>
      <c r="S3255" s="14">
        <f>SUM(M3255:R3255)</f>
        <v/>
      </c>
      <c r="AA3255">
        <f>RAND()</f>
        <v/>
      </c>
      <c r="AB3255">
        <f>RAND()</f>
        <v/>
      </c>
      <c r="AC3255">
        <f>RAND()</f>
        <v/>
      </c>
      <c r="AD3255">
        <f>RAND()</f>
        <v/>
      </c>
      <c r="AE3255">
        <f>RAND()</f>
        <v/>
      </c>
      <c r="AF3255">
        <f>RAND()</f>
        <v/>
      </c>
    </row>
    <row r="3256">
      <c r="M3256" s="14">
        <f>_xlfn.BETA.INV($AA3256,1+4*($D$5-$C$5)/($E$5-$C$5),1+4*($E$5-$D$5)/($E$5-$C$5),$C$5,$E$5)</f>
        <v/>
      </c>
      <c r="N3256" s="14">
        <f>IF($AB3256&lt;($D$6-$C$6)/($E$6-$C$6),$C$6+SQRT($AB3256*($E$6-$C$6)*($D$6-$C$6)),$E$6-SQRT((1-$AB3256)*($E$6-$C$6)*($E$6-$D$6)))</f>
        <v/>
      </c>
      <c r="O3256" s="14">
        <f>_xlfn.NORM.INV($AC3256,$C$7,$D$7)</f>
        <v/>
      </c>
      <c r="P3256" s="14">
        <f>$C$8+($D$8-$C$8)*$AD3256</f>
        <v/>
      </c>
      <c r="Q3256" s="14">
        <f>$C$9</f>
        <v/>
      </c>
      <c r="R3256" s="14">
        <f>_xlfn.LOGNORM.INV($AF3256,LN($C$10)-0.5*LN(1+($D$10/$C$10)^2),SQRT(LN(1+($D$10/$C$10)^2)))</f>
        <v/>
      </c>
      <c r="S3256" s="14">
        <f>SUM(M3256:R3256)</f>
        <v/>
      </c>
      <c r="AA3256">
        <f>RAND()</f>
        <v/>
      </c>
      <c r="AB3256">
        <f>RAND()</f>
        <v/>
      </c>
      <c r="AC3256">
        <f>RAND()</f>
        <v/>
      </c>
      <c r="AD3256">
        <f>RAND()</f>
        <v/>
      </c>
      <c r="AE3256">
        <f>RAND()</f>
        <v/>
      </c>
      <c r="AF3256">
        <f>RAND()</f>
        <v/>
      </c>
    </row>
    <row r="3257">
      <c r="M3257" s="14">
        <f>_xlfn.BETA.INV($AA3257,1+4*($D$5-$C$5)/($E$5-$C$5),1+4*($E$5-$D$5)/($E$5-$C$5),$C$5,$E$5)</f>
        <v/>
      </c>
      <c r="N3257" s="14">
        <f>IF($AB3257&lt;($D$6-$C$6)/($E$6-$C$6),$C$6+SQRT($AB3257*($E$6-$C$6)*($D$6-$C$6)),$E$6-SQRT((1-$AB3257)*($E$6-$C$6)*($E$6-$D$6)))</f>
        <v/>
      </c>
      <c r="O3257" s="14">
        <f>_xlfn.NORM.INV($AC3257,$C$7,$D$7)</f>
        <v/>
      </c>
      <c r="P3257" s="14">
        <f>$C$8+($D$8-$C$8)*$AD3257</f>
        <v/>
      </c>
      <c r="Q3257" s="14">
        <f>$C$9</f>
        <v/>
      </c>
      <c r="R3257" s="14">
        <f>_xlfn.LOGNORM.INV($AF3257,LN($C$10)-0.5*LN(1+($D$10/$C$10)^2),SQRT(LN(1+($D$10/$C$10)^2)))</f>
        <v/>
      </c>
      <c r="S3257" s="14">
        <f>SUM(M3257:R3257)</f>
        <v/>
      </c>
      <c r="AA3257">
        <f>RAND()</f>
        <v/>
      </c>
      <c r="AB3257">
        <f>RAND()</f>
        <v/>
      </c>
      <c r="AC3257">
        <f>RAND()</f>
        <v/>
      </c>
      <c r="AD3257">
        <f>RAND()</f>
        <v/>
      </c>
      <c r="AE3257">
        <f>RAND()</f>
        <v/>
      </c>
      <c r="AF3257">
        <f>RAND()</f>
        <v/>
      </c>
    </row>
    <row r="3258">
      <c r="M3258" s="14">
        <f>_xlfn.BETA.INV($AA3258,1+4*($D$5-$C$5)/($E$5-$C$5),1+4*($E$5-$D$5)/($E$5-$C$5),$C$5,$E$5)</f>
        <v/>
      </c>
      <c r="N3258" s="14">
        <f>IF($AB3258&lt;($D$6-$C$6)/($E$6-$C$6),$C$6+SQRT($AB3258*($E$6-$C$6)*($D$6-$C$6)),$E$6-SQRT((1-$AB3258)*($E$6-$C$6)*($E$6-$D$6)))</f>
        <v/>
      </c>
      <c r="O3258" s="14">
        <f>_xlfn.NORM.INV($AC3258,$C$7,$D$7)</f>
        <v/>
      </c>
      <c r="P3258" s="14">
        <f>$C$8+($D$8-$C$8)*$AD3258</f>
        <v/>
      </c>
      <c r="Q3258" s="14">
        <f>$C$9</f>
        <v/>
      </c>
      <c r="R3258" s="14">
        <f>_xlfn.LOGNORM.INV($AF3258,LN($C$10)-0.5*LN(1+($D$10/$C$10)^2),SQRT(LN(1+($D$10/$C$10)^2)))</f>
        <v/>
      </c>
      <c r="S3258" s="14">
        <f>SUM(M3258:R3258)</f>
        <v/>
      </c>
      <c r="AA3258">
        <f>RAND()</f>
        <v/>
      </c>
      <c r="AB3258">
        <f>RAND()</f>
        <v/>
      </c>
      <c r="AC3258">
        <f>RAND()</f>
        <v/>
      </c>
      <c r="AD3258">
        <f>RAND()</f>
        <v/>
      </c>
      <c r="AE3258">
        <f>RAND()</f>
        <v/>
      </c>
      <c r="AF3258">
        <f>RAND()</f>
        <v/>
      </c>
    </row>
    <row r="3259">
      <c r="M3259" s="14">
        <f>_xlfn.BETA.INV($AA3259,1+4*($D$5-$C$5)/($E$5-$C$5),1+4*($E$5-$D$5)/($E$5-$C$5),$C$5,$E$5)</f>
        <v/>
      </c>
      <c r="N3259" s="14">
        <f>IF($AB3259&lt;($D$6-$C$6)/($E$6-$C$6),$C$6+SQRT($AB3259*($E$6-$C$6)*($D$6-$C$6)),$E$6-SQRT((1-$AB3259)*($E$6-$C$6)*($E$6-$D$6)))</f>
        <v/>
      </c>
      <c r="O3259" s="14">
        <f>_xlfn.NORM.INV($AC3259,$C$7,$D$7)</f>
        <v/>
      </c>
      <c r="P3259" s="14">
        <f>$C$8+($D$8-$C$8)*$AD3259</f>
        <v/>
      </c>
      <c r="Q3259" s="14">
        <f>$C$9</f>
        <v/>
      </c>
      <c r="R3259" s="14">
        <f>_xlfn.LOGNORM.INV($AF3259,LN($C$10)-0.5*LN(1+($D$10/$C$10)^2),SQRT(LN(1+($D$10/$C$10)^2)))</f>
        <v/>
      </c>
      <c r="S3259" s="14">
        <f>SUM(M3259:R3259)</f>
        <v/>
      </c>
      <c r="AA3259">
        <f>RAND()</f>
        <v/>
      </c>
      <c r="AB3259">
        <f>RAND()</f>
        <v/>
      </c>
      <c r="AC3259">
        <f>RAND()</f>
        <v/>
      </c>
      <c r="AD3259">
        <f>RAND()</f>
        <v/>
      </c>
      <c r="AE3259">
        <f>RAND()</f>
        <v/>
      </c>
      <c r="AF3259">
        <f>RAND()</f>
        <v/>
      </c>
    </row>
    <row r="3260">
      <c r="M3260" s="14">
        <f>_xlfn.BETA.INV($AA3260,1+4*($D$5-$C$5)/($E$5-$C$5),1+4*($E$5-$D$5)/($E$5-$C$5),$C$5,$E$5)</f>
        <v/>
      </c>
      <c r="N3260" s="14">
        <f>IF($AB3260&lt;($D$6-$C$6)/($E$6-$C$6),$C$6+SQRT($AB3260*($E$6-$C$6)*($D$6-$C$6)),$E$6-SQRT((1-$AB3260)*($E$6-$C$6)*($E$6-$D$6)))</f>
        <v/>
      </c>
      <c r="O3260" s="14">
        <f>_xlfn.NORM.INV($AC3260,$C$7,$D$7)</f>
        <v/>
      </c>
      <c r="P3260" s="14">
        <f>$C$8+($D$8-$C$8)*$AD3260</f>
        <v/>
      </c>
      <c r="Q3260" s="14">
        <f>$C$9</f>
        <v/>
      </c>
      <c r="R3260" s="14">
        <f>_xlfn.LOGNORM.INV($AF3260,LN($C$10)-0.5*LN(1+($D$10/$C$10)^2),SQRT(LN(1+($D$10/$C$10)^2)))</f>
        <v/>
      </c>
      <c r="S3260" s="14">
        <f>SUM(M3260:R3260)</f>
        <v/>
      </c>
      <c r="AA3260">
        <f>RAND()</f>
        <v/>
      </c>
      <c r="AB3260">
        <f>RAND()</f>
        <v/>
      </c>
      <c r="AC3260">
        <f>RAND()</f>
        <v/>
      </c>
      <c r="AD3260">
        <f>RAND()</f>
        <v/>
      </c>
      <c r="AE3260">
        <f>RAND()</f>
        <v/>
      </c>
      <c r="AF3260">
        <f>RAND()</f>
        <v/>
      </c>
    </row>
    <row r="3261">
      <c r="M3261" s="14">
        <f>_xlfn.BETA.INV($AA3261,1+4*($D$5-$C$5)/($E$5-$C$5),1+4*($E$5-$D$5)/($E$5-$C$5),$C$5,$E$5)</f>
        <v/>
      </c>
      <c r="N3261" s="14">
        <f>IF($AB3261&lt;($D$6-$C$6)/($E$6-$C$6),$C$6+SQRT($AB3261*($E$6-$C$6)*($D$6-$C$6)),$E$6-SQRT((1-$AB3261)*($E$6-$C$6)*($E$6-$D$6)))</f>
        <v/>
      </c>
      <c r="O3261" s="14">
        <f>_xlfn.NORM.INV($AC3261,$C$7,$D$7)</f>
        <v/>
      </c>
      <c r="P3261" s="14">
        <f>$C$8+($D$8-$C$8)*$AD3261</f>
        <v/>
      </c>
      <c r="Q3261" s="14">
        <f>$C$9</f>
        <v/>
      </c>
      <c r="R3261" s="14">
        <f>_xlfn.LOGNORM.INV($AF3261,LN($C$10)-0.5*LN(1+($D$10/$C$10)^2),SQRT(LN(1+($D$10/$C$10)^2)))</f>
        <v/>
      </c>
      <c r="S3261" s="14">
        <f>SUM(M3261:R3261)</f>
        <v/>
      </c>
      <c r="AA3261">
        <f>RAND()</f>
        <v/>
      </c>
      <c r="AB3261">
        <f>RAND()</f>
        <v/>
      </c>
      <c r="AC3261">
        <f>RAND()</f>
        <v/>
      </c>
      <c r="AD3261">
        <f>RAND()</f>
        <v/>
      </c>
      <c r="AE3261">
        <f>RAND()</f>
        <v/>
      </c>
      <c r="AF3261">
        <f>RAND()</f>
        <v/>
      </c>
    </row>
    <row r="3262">
      <c r="M3262" s="14">
        <f>_xlfn.BETA.INV($AA3262,1+4*($D$5-$C$5)/($E$5-$C$5),1+4*($E$5-$D$5)/($E$5-$C$5),$C$5,$E$5)</f>
        <v/>
      </c>
      <c r="N3262" s="14">
        <f>IF($AB3262&lt;($D$6-$C$6)/($E$6-$C$6),$C$6+SQRT($AB3262*($E$6-$C$6)*($D$6-$C$6)),$E$6-SQRT((1-$AB3262)*($E$6-$C$6)*($E$6-$D$6)))</f>
        <v/>
      </c>
      <c r="O3262" s="14">
        <f>_xlfn.NORM.INV($AC3262,$C$7,$D$7)</f>
        <v/>
      </c>
      <c r="P3262" s="14">
        <f>$C$8+($D$8-$C$8)*$AD3262</f>
        <v/>
      </c>
      <c r="Q3262" s="14">
        <f>$C$9</f>
        <v/>
      </c>
      <c r="R3262" s="14">
        <f>_xlfn.LOGNORM.INV($AF3262,LN($C$10)-0.5*LN(1+($D$10/$C$10)^2),SQRT(LN(1+($D$10/$C$10)^2)))</f>
        <v/>
      </c>
      <c r="S3262" s="14">
        <f>SUM(M3262:R3262)</f>
        <v/>
      </c>
      <c r="AA3262">
        <f>RAND()</f>
        <v/>
      </c>
      <c r="AB3262">
        <f>RAND()</f>
        <v/>
      </c>
      <c r="AC3262">
        <f>RAND()</f>
        <v/>
      </c>
      <c r="AD3262">
        <f>RAND()</f>
        <v/>
      </c>
      <c r="AE3262">
        <f>RAND()</f>
        <v/>
      </c>
      <c r="AF3262">
        <f>RAND()</f>
        <v/>
      </c>
    </row>
    <row r="3263">
      <c r="M3263" s="14">
        <f>_xlfn.BETA.INV($AA3263,1+4*($D$5-$C$5)/($E$5-$C$5),1+4*($E$5-$D$5)/($E$5-$C$5),$C$5,$E$5)</f>
        <v/>
      </c>
      <c r="N3263" s="14">
        <f>IF($AB3263&lt;($D$6-$C$6)/($E$6-$C$6),$C$6+SQRT($AB3263*($E$6-$C$6)*($D$6-$C$6)),$E$6-SQRT((1-$AB3263)*($E$6-$C$6)*($E$6-$D$6)))</f>
        <v/>
      </c>
      <c r="O3263" s="14">
        <f>_xlfn.NORM.INV($AC3263,$C$7,$D$7)</f>
        <v/>
      </c>
      <c r="P3263" s="14">
        <f>$C$8+($D$8-$C$8)*$AD3263</f>
        <v/>
      </c>
      <c r="Q3263" s="14">
        <f>$C$9</f>
        <v/>
      </c>
      <c r="R3263" s="14">
        <f>_xlfn.LOGNORM.INV($AF3263,LN($C$10)-0.5*LN(1+($D$10/$C$10)^2),SQRT(LN(1+($D$10/$C$10)^2)))</f>
        <v/>
      </c>
      <c r="S3263" s="14">
        <f>SUM(M3263:R3263)</f>
        <v/>
      </c>
      <c r="AA3263">
        <f>RAND()</f>
        <v/>
      </c>
      <c r="AB3263">
        <f>RAND()</f>
        <v/>
      </c>
      <c r="AC3263">
        <f>RAND()</f>
        <v/>
      </c>
      <c r="AD3263">
        <f>RAND()</f>
        <v/>
      </c>
      <c r="AE3263">
        <f>RAND()</f>
        <v/>
      </c>
      <c r="AF3263">
        <f>RAND()</f>
        <v/>
      </c>
    </row>
    <row r="3264">
      <c r="M3264" s="14">
        <f>_xlfn.BETA.INV($AA3264,1+4*($D$5-$C$5)/($E$5-$C$5),1+4*($E$5-$D$5)/($E$5-$C$5),$C$5,$E$5)</f>
        <v/>
      </c>
      <c r="N3264" s="14">
        <f>IF($AB3264&lt;($D$6-$C$6)/($E$6-$C$6),$C$6+SQRT($AB3264*($E$6-$C$6)*($D$6-$C$6)),$E$6-SQRT((1-$AB3264)*($E$6-$C$6)*($E$6-$D$6)))</f>
        <v/>
      </c>
      <c r="O3264" s="14">
        <f>_xlfn.NORM.INV($AC3264,$C$7,$D$7)</f>
        <v/>
      </c>
      <c r="P3264" s="14">
        <f>$C$8+($D$8-$C$8)*$AD3264</f>
        <v/>
      </c>
      <c r="Q3264" s="14">
        <f>$C$9</f>
        <v/>
      </c>
      <c r="R3264" s="14">
        <f>_xlfn.LOGNORM.INV($AF3264,LN($C$10)-0.5*LN(1+($D$10/$C$10)^2),SQRT(LN(1+($D$10/$C$10)^2)))</f>
        <v/>
      </c>
      <c r="S3264" s="14">
        <f>SUM(M3264:R3264)</f>
        <v/>
      </c>
      <c r="AA3264">
        <f>RAND()</f>
        <v/>
      </c>
      <c r="AB3264">
        <f>RAND()</f>
        <v/>
      </c>
      <c r="AC3264">
        <f>RAND()</f>
        <v/>
      </c>
      <c r="AD3264">
        <f>RAND()</f>
        <v/>
      </c>
      <c r="AE3264">
        <f>RAND()</f>
        <v/>
      </c>
      <c r="AF3264">
        <f>RAND()</f>
        <v/>
      </c>
    </row>
    <row r="3265">
      <c r="M3265" s="14">
        <f>_xlfn.BETA.INV($AA3265,1+4*($D$5-$C$5)/($E$5-$C$5),1+4*($E$5-$D$5)/($E$5-$C$5),$C$5,$E$5)</f>
        <v/>
      </c>
      <c r="N3265" s="14">
        <f>IF($AB3265&lt;($D$6-$C$6)/($E$6-$C$6),$C$6+SQRT($AB3265*($E$6-$C$6)*($D$6-$C$6)),$E$6-SQRT((1-$AB3265)*($E$6-$C$6)*($E$6-$D$6)))</f>
        <v/>
      </c>
      <c r="O3265" s="14">
        <f>_xlfn.NORM.INV($AC3265,$C$7,$D$7)</f>
        <v/>
      </c>
      <c r="P3265" s="14">
        <f>$C$8+($D$8-$C$8)*$AD3265</f>
        <v/>
      </c>
      <c r="Q3265" s="14">
        <f>$C$9</f>
        <v/>
      </c>
      <c r="R3265" s="14">
        <f>_xlfn.LOGNORM.INV($AF3265,LN($C$10)-0.5*LN(1+($D$10/$C$10)^2),SQRT(LN(1+($D$10/$C$10)^2)))</f>
        <v/>
      </c>
      <c r="S3265" s="14">
        <f>SUM(M3265:R3265)</f>
        <v/>
      </c>
      <c r="AA3265">
        <f>RAND()</f>
        <v/>
      </c>
      <c r="AB3265">
        <f>RAND()</f>
        <v/>
      </c>
      <c r="AC3265">
        <f>RAND()</f>
        <v/>
      </c>
      <c r="AD3265">
        <f>RAND()</f>
        <v/>
      </c>
      <c r="AE3265">
        <f>RAND()</f>
        <v/>
      </c>
      <c r="AF3265">
        <f>RAND()</f>
        <v/>
      </c>
    </row>
    <row r="3266">
      <c r="M3266" s="14">
        <f>_xlfn.BETA.INV($AA3266,1+4*($D$5-$C$5)/($E$5-$C$5),1+4*($E$5-$D$5)/($E$5-$C$5),$C$5,$E$5)</f>
        <v/>
      </c>
      <c r="N3266" s="14">
        <f>IF($AB3266&lt;($D$6-$C$6)/($E$6-$C$6),$C$6+SQRT($AB3266*($E$6-$C$6)*($D$6-$C$6)),$E$6-SQRT((1-$AB3266)*($E$6-$C$6)*($E$6-$D$6)))</f>
        <v/>
      </c>
      <c r="O3266" s="14">
        <f>_xlfn.NORM.INV($AC3266,$C$7,$D$7)</f>
        <v/>
      </c>
      <c r="P3266" s="14">
        <f>$C$8+($D$8-$C$8)*$AD3266</f>
        <v/>
      </c>
      <c r="Q3266" s="14">
        <f>$C$9</f>
        <v/>
      </c>
      <c r="R3266" s="14">
        <f>_xlfn.LOGNORM.INV($AF3266,LN($C$10)-0.5*LN(1+($D$10/$C$10)^2),SQRT(LN(1+($D$10/$C$10)^2)))</f>
        <v/>
      </c>
      <c r="S3266" s="14">
        <f>SUM(M3266:R3266)</f>
        <v/>
      </c>
      <c r="AA3266">
        <f>RAND()</f>
        <v/>
      </c>
      <c r="AB3266">
        <f>RAND()</f>
        <v/>
      </c>
      <c r="AC3266">
        <f>RAND()</f>
        <v/>
      </c>
      <c r="AD3266">
        <f>RAND()</f>
        <v/>
      </c>
      <c r="AE3266">
        <f>RAND()</f>
        <v/>
      </c>
      <c r="AF3266">
        <f>RAND()</f>
        <v/>
      </c>
    </row>
    <row r="3267">
      <c r="M3267" s="14">
        <f>_xlfn.BETA.INV($AA3267,1+4*($D$5-$C$5)/($E$5-$C$5),1+4*($E$5-$D$5)/($E$5-$C$5),$C$5,$E$5)</f>
        <v/>
      </c>
      <c r="N3267" s="14">
        <f>IF($AB3267&lt;($D$6-$C$6)/($E$6-$C$6),$C$6+SQRT($AB3267*($E$6-$C$6)*($D$6-$C$6)),$E$6-SQRT((1-$AB3267)*($E$6-$C$6)*($E$6-$D$6)))</f>
        <v/>
      </c>
      <c r="O3267" s="14">
        <f>_xlfn.NORM.INV($AC3267,$C$7,$D$7)</f>
        <v/>
      </c>
      <c r="P3267" s="14">
        <f>$C$8+($D$8-$C$8)*$AD3267</f>
        <v/>
      </c>
      <c r="Q3267" s="14">
        <f>$C$9</f>
        <v/>
      </c>
      <c r="R3267" s="14">
        <f>_xlfn.LOGNORM.INV($AF3267,LN($C$10)-0.5*LN(1+($D$10/$C$10)^2),SQRT(LN(1+($D$10/$C$10)^2)))</f>
        <v/>
      </c>
      <c r="S3267" s="14">
        <f>SUM(M3267:R3267)</f>
        <v/>
      </c>
      <c r="AA3267">
        <f>RAND()</f>
        <v/>
      </c>
      <c r="AB3267">
        <f>RAND()</f>
        <v/>
      </c>
      <c r="AC3267">
        <f>RAND()</f>
        <v/>
      </c>
      <c r="AD3267">
        <f>RAND()</f>
        <v/>
      </c>
      <c r="AE3267">
        <f>RAND()</f>
        <v/>
      </c>
      <c r="AF3267">
        <f>RAND()</f>
        <v/>
      </c>
    </row>
    <row r="3268">
      <c r="M3268" s="14">
        <f>_xlfn.BETA.INV($AA3268,1+4*($D$5-$C$5)/($E$5-$C$5),1+4*($E$5-$D$5)/($E$5-$C$5),$C$5,$E$5)</f>
        <v/>
      </c>
      <c r="N3268" s="14">
        <f>IF($AB3268&lt;($D$6-$C$6)/($E$6-$C$6),$C$6+SQRT($AB3268*($E$6-$C$6)*($D$6-$C$6)),$E$6-SQRT((1-$AB3268)*($E$6-$C$6)*($E$6-$D$6)))</f>
        <v/>
      </c>
      <c r="O3268" s="14">
        <f>_xlfn.NORM.INV($AC3268,$C$7,$D$7)</f>
        <v/>
      </c>
      <c r="P3268" s="14">
        <f>$C$8+($D$8-$C$8)*$AD3268</f>
        <v/>
      </c>
      <c r="Q3268" s="14">
        <f>$C$9</f>
        <v/>
      </c>
      <c r="R3268" s="14">
        <f>_xlfn.LOGNORM.INV($AF3268,LN($C$10)-0.5*LN(1+($D$10/$C$10)^2),SQRT(LN(1+($D$10/$C$10)^2)))</f>
        <v/>
      </c>
      <c r="S3268" s="14">
        <f>SUM(M3268:R3268)</f>
        <v/>
      </c>
      <c r="AA3268">
        <f>RAND()</f>
        <v/>
      </c>
      <c r="AB3268">
        <f>RAND()</f>
        <v/>
      </c>
      <c r="AC3268">
        <f>RAND()</f>
        <v/>
      </c>
      <c r="AD3268">
        <f>RAND()</f>
        <v/>
      </c>
      <c r="AE3268">
        <f>RAND()</f>
        <v/>
      </c>
      <c r="AF3268">
        <f>RAND()</f>
        <v/>
      </c>
    </row>
    <row r="3269">
      <c r="M3269" s="14">
        <f>_xlfn.BETA.INV($AA3269,1+4*($D$5-$C$5)/($E$5-$C$5),1+4*($E$5-$D$5)/($E$5-$C$5),$C$5,$E$5)</f>
        <v/>
      </c>
      <c r="N3269" s="14">
        <f>IF($AB3269&lt;($D$6-$C$6)/($E$6-$C$6),$C$6+SQRT($AB3269*($E$6-$C$6)*($D$6-$C$6)),$E$6-SQRT((1-$AB3269)*($E$6-$C$6)*($E$6-$D$6)))</f>
        <v/>
      </c>
      <c r="O3269" s="14">
        <f>_xlfn.NORM.INV($AC3269,$C$7,$D$7)</f>
        <v/>
      </c>
      <c r="P3269" s="14">
        <f>$C$8+($D$8-$C$8)*$AD3269</f>
        <v/>
      </c>
      <c r="Q3269" s="14">
        <f>$C$9</f>
        <v/>
      </c>
      <c r="R3269" s="14">
        <f>_xlfn.LOGNORM.INV($AF3269,LN($C$10)-0.5*LN(1+($D$10/$C$10)^2),SQRT(LN(1+($D$10/$C$10)^2)))</f>
        <v/>
      </c>
      <c r="S3269" s="14">
        <f>SUM(M3269:R3269)</f>
        <v/>
      </c>
      <c r="AA3269">
        <f>RAND()</f>
        <v/>
      </c>
      <c r="AB3269">
        <f>RAND()</f>
        <v/>
      </c>
      <c r="AC3269">
        <f>RAND()</f>
        <v/>
      </c>
      <c r="AD3269">
        <f>RAND()</f>
        <v/>
      </c>
      <c r="AE3269">
        <f>RAND()</f>
        <v/>
      </c>
      <c r="AF3269">
        <f>RAND()</f>
        <v/>
      </c>
    </row>
    <row r="3270">
      <c r="M3270" s="14">
        <f>_xlfn.BETA.INV($AA3270,1+4*($D$5-$C$5)/($E$5-$C$5),1+4*($E$5-$D$5)/($E$5-$C$5),$C$5,$E$5)</f>
        <v/>
      </c>
      <c r="N3270" s="14">
        <f>IF($AB3270&lt;($D$6-$C$6)/($E$6-$C$6),$C$6+SQRT($AB3270*($E$6-$C$6)*($D$6-$C$6)),$E$6-SQRT((1-$AB3270)*($E$6-$C$6)*($E$6-$D$6)))</f>
        <v/>
      </c>
      <c r="O3270" s="14">
        <f>_xlfn.NORM.INV($AC3270,$C$7,$D$7)</f>
        <v/>
      </c>
      <c r="P3270" s="14">
        <f>$C$8+($D$8-$C$8)*$AD3270</f>
        <v/>
      </c>
      <c r="Q3270" s="14">
        <f>$C$9</f>
        <v/>
      </c>
      <c r="R3270" s="14">
        <f>_xlfn.LOGNORM.INV($AF3270,LN($C$10)-0.5*LN(1+($D$10/$C$10)^2),SQRT(LN(1+($D$10/$C$10)^2)))</f>
        <v/>
      </c>
      <c r="S3270" s="14">
        <f>SUM(M3270:R3270)</f>
        <v/>
      </c>
      <c r="AA3270">
        <f>RAND()</f>
        <v/>
      </c>
      <c r="AB3270">
        <f>RAND()</f>
        <v/>
      </c>
      <c r="AC3270">
        <f>RAND()</f>
        <v/>
      </c>
      <c r="AD3270">
        <f>RAND()</f>
        <v/>
      </c>
      <c r="AE3270">
        <f>RAND()</f>
        <v/>
      </c>
      <c r="AF3270">
        <f>RAND()</f>
        <v/>
      </c>
    </row>
    <row r="3271">
      <c r="M3271" s="14">
        <f>_xlfn.BETA.INV($AA3271,1+4*($D$5-$C$5)/($E$5-$C$5),1+4*($E$5-$D$5)/($E$5-$C$5),$C$5,$E$5)</f>
        <v/>
      </c>
      <c r="N3271" s="14">
        <f>IF($AB3271&lt;($D$6-$C$6)/($E$6-$C$6),$C$6+SQRT($AB3271*($E$6-$C$6)*($D$6-$C$6)),$E$6-SQRT((1-$AB3271)*($E$6-$C$6)*($E$6-$D$6)))</f>
        <v/>
      </c>
      <c r="O3271" s="14">
        <f>_xlfn.NORM.INV($AC3271,$C$7,$D$7)</f>
        <v/>
      </c>
      <c r="P3271" s="14">
        <f>$C$8+($D$8-$C$8)*$AD3271</f>
        <v/>
      </c>
      <c r="Q3271" s="14">
        <f>$C$9</f>
        <v/>
      </c>
      <c r="R3271" s="14">
        <f>_xlfn.LOGNORM.INV($AF3271,LN($C$10)-0.5*LN(1+($D$10/$C$10)^2),SQRT(LN(1+($D$10/$C$10)^2)))</f>
        <v/>
      </c>
      <c r="S3271" s="14">
        <f>SUM(M3271:R3271)</f>
        <v/>
      </c>
      <c r="AA3271">
        <f>RAND()</f>
        <v/>
      </c>
      <c r="AB3271">
        <f>RAND()</f>
        <v/>
      </c>
      <c r="AC3271">
        <f>RAND()</f>
        <v/>
      </c>
      <c r="AD3271">
        <f>RAND()</f>
        <v/>
      </c>
      <c r="AE3271">
        <f>RAND()</f>
        <v/>
      </c>
      <c r="AF3271">
        <f>RAND()</f>
        <v/>
      </c>
    </row>
    <row r="3272">
      <c r="M3272" s="14">
        <f>_xlfn.BETA.INV($AA3272,1+4*($D$5-$C$5)/($E$5-$C$5),1+4*($E$5-$D$5)/($E$5-$C$5),$C$5,$E$5)</f>
        <v/>
      </c>
      <c r="N3272" s="14">
        <f>IF($AB3272&lt;($D$6-$C$6)/($E$6-$C$6),$C$6+SQRT($AB3272*($E$6-$C$6)*($D$6-$C$6)),$E$6-SQRT((1-$AB3272)*($E$6-$C$6)*($E$6-$D$6)))</f>
        <v/>
      </c>
      <c r="O3272" s="14">
        <f>_xlfn.NORM.INV($AC3272,$C$7,$D$7)</f>
        <v/>
      </c>
      <c r="P3272" s="14">
        <f>$C$8+($D$8-$C$8)*$AD3272</f>
        <v/>
      </c>
      <c r="Q3272" s="14">
        <f>$C$9</f>
        <v/>
      </c>
      <c r="R3272" s="14">
        <f>_xlfn.LOGNORM.INV($AF3272,LN($C$10)-0.5*LN(1+($D$10/$C$10)^2),SQRT(LN(1+($D$10/$C$10)^2)))</f>
        <v/>
      </c>
      <c r="S3272" s="14">
        <f>SUM(M3272:R3272)</f>
        <v/>
      </c>
      <c r="AA3272">
        <f>RAND()</f>
        <v/>
      </c>
      <c r="AB3272">
        <f>RAND()</f>
        <v/>
      </c>
      <c r="AC3272">
        <f>RAND()</f>
        <v/>
      </c>
      <c r="AD3272">
        <f>RAND()</f>
        <v/>
      </c>
      <c r="AE3272">
        <f>RAND()</f>
        <v/>
      </c>
      <c r="AF3272">
        <f>RAND()</f>
        <v/>
      </c>
    </row>
    <row r="3273">
      <c r="M3273" s="14">
        <f>_xlfn.BETA.INV($AA3273,1+4*($D$5-$C$5)/($E$5-$C$5),1+4*($E$5-$D$5)/($E$5-$C$5),$C$5,$E$5)</f>
        <v/>
      </c>
      <c r="N3273" s="14">
        <f>IF($AB3273&lt;($D$6-$C$6)/($E$6-$C$6),$C$6+SQRT($AB3273*($E$6-$C$6)*($D$6-$C$6)),$E$6-SQRT((1-$AB3273)*($E$6-$C$6)*($E$6-$D$6)))</f>
        <v/>
      </c>
      <c r="O3273" s="14">
        <f>_xlfn.NORM.INV($AC3273,$C$7,$D$7)</f>
        <v/>
      </c>
      <c r="P3273" s="14">
        <f>$C$8+($D$8-$C$8)*$AD3273</f>
        <v/>
      </c>
      <c r="Q3273" s="14">
        <f>$C$9</f>
        <v/>
      </c>
      <c r="R3273" s="14">
        <f>_xlfn.LOGNORM.INV($AF3273,LN($C$10)-0.5*LN(1+($D$10/$C$10)^2),SQRT(LN(1+($D$10/$C$10)^2)))</f>
        <v/>
      </c>
      <c r="S3273" s="14">
        <f>SUM(M3273:R3273)</f>
        <v/>
      </c>
      <c r="AA3273">
        <f>RAND()</f>
        <v/>
      </c>
      <c r="AB3273">
        <f>RAND()</f>
        <v/>
      </c>
      <c r="AC3273">
        <f>RAND()</f>
        <v/>
      </c>
      <c r="AD3273">
        <f>RAND()</f>
        <v/>
      </c>
      <c r="AE3273">
        <f>RAND()</f>
        <v/>
      </c>
      <c r="AF3273">
        <f>RAND()</f>
        <v/>
      </c>
    </row>
    <row r="3274">
      <c r="M3274" s="14">
        <f>_xlfn.BETA.INV($AA3274,1+4*($D$5-$C$5)/($E$5-$C$5),1+4*($E$5-$D$5)/($E$5-$C$5),$C$5,$E$5)</f>
        <v/>
      </c>
      <c r="N3274" s="14">
        <f>IF($AB3274&lt;($D$6-$C$6)/($E$6-$C$6),$C$6+SQRT($AB3274*($E$6-$C$6)*($D$6-$C$6)),$E$6-SQRT((1-$AB3274)*($E$6-$C$6)*($E$6-$D$6)))</f>
        <v/>
      </c>
      <c r="O3274" s="14">
        <f>_xlfn.NORM.INV($AC3274,$C$7,$D$7)</f>
        <v/>
      </c>
      <c r="P3274" s="14">
        <f>$C$8+($D$8-$C$8)*$AD3274</f>
        <v/>
      </c>
      <c r="Q3274" s="14">
        <f>$C$9</f>
        <v/>
      </c>
      <c r="R3274" s="14">
        <f>_xlfn.LOGNORM.INV($AF3274,LN($C$10)-0.5*LN(1+($D$10/$C$10)^2),SQRT(LN(1+($D$10/$C$10)^2)))</f>
        <v/>
      </c>
      <c r="S3274" s="14">
        <f>SUM(M3274:R3274)</f>
        <v/>
      </c>
      <c r="AA3274">
        <f>RAND()</f>
        <v/>
      </c>
      <c r="AB3274">
        <f>RAND()</f>
        <v/>
      </c>
      <c r="AC3274">
        <f>RAND()</f>
        <v/>
      </c>
      <c r="AD3274">
        <f>RAND()</f>
        <v/>
      </c>
      <c r="AE3274">
        <f>RAND()</f>
        <v/>
      </c>
      <c r="AF3274">
        <f>RAND()</f>
        <v/>
      </c>
    </row>
    <row r="3275">
      <c r="M3275" s="14">
        <f>_xlfn.BETA.INV($AA3275,1+4*($D$5-$C$5)/($E$5-$C$5),1+4*($E$5-$D$5)/($E$5-$C$5),$C$5,$E$5)</f>
        <v/>
      </c>
      <c r="N3275" s="14">
        <f>IF($AB3275&lt;($D$6-$C$6)/($E$6-$C$6),$C$6+SQRT($AB3275*($E$6-$C$6)*($D$6-$C$6)),$E$6-SQRT((1-$AB3275)*($E$6-$C$6)*($E$6-$D$6)))</f>
        <v/>
      </c>
      <c r="O3275" s="14">
        <f>_xlfn.NORM.INV($AC3275,$C$7,$D$7)</f>
        <v/>
      </c>
      <c r="P3275" s="14">
        <f>$C$8+($D$8-$C$8)*$AD3275</f>
        <v/>
      </c>
      <c r="Q3275" s="14">
        <f>$C$9</f>
        <v/>
      </c>
      <c r="R3275" s="14">
        <f>_xlfn.LOGNORM.INV($AF3275,LN($C$10)-0.5*LN(1+($D$10/$C$10)^2),SQRT(LN(1+($D$10/$C$10)^2)))</f>
        <v/>
      </c>
      <c r="S3275" s="14">
        <f>SUM(M3275:R3275)</f>
        <v/>
      </c>
      <c r="AA3275">
        <f>RAND()</f>
        <v/>
      </c>
      <c r="AB3275">
        <f>RAND()</f>
        <v/>
      </c>
      <c r="AC3275">
        <f>RAND()</f>
        <v/>
      </c>
      <c r="AD3275">
        <f>RAND()</f>
        <v/>
      </c>
      <c r="AE3275">
        <f>RAND()</f>
        <v/>
      </c>
      <c r="AF3275">
        <f>RAND()</f>
        <v/>
      </c>
    </row>
    <row r="3276">
      <c r="M3276" s="14">
        <f>_xlfn.BETA.INV($AA3276,1+4*($D$5-$C$5)/($E$5-$C$5),1+4*($E$5-$D$5)/($E$5-$C$5),$C$5,$E$5)</f>
        <v/>
      </c>
      <c r="N3276" s="14">
        <f>IF($AB3276&lt;($D$6-$C$6)/($E$6-$C$6),$C$6+SQRT($AB3276*($E$6-$C$6)*($D$6-$C$6)),$E$6-SQRT((1-$AB3276)*($E$6-$C$6)*($E$6-$D$6)))</f>
        <v/>
      </c>
      <c r="O3276" s="14">
        <f>_xlfn.NORM.INV($AC3276,$C$7,$D$7)</f>
        <v/>
      </c>
      <c r="P3276" s="14">
        <f>$C$8+($D$8-$C$8)*$AD3276</f>
        <v/>
      </c>
      <c r="Q3276" s="14">
        <f>$C$9</f>
        <v/>
      </c>
      <c r="R3276" s="14">
        <f>_xlfn.LOGNORM.INV($AF3276,LN($C$10)-0.5*LN(1+($D$10/$C$10)^2),SQRT(LN(1+($D$10/$C$10)^2)))</f>
        <v/>
      </c>
      <c r="S3276" s="14">
        <f>SUM(M3276:R3276)</f>
        <v/>
      </c>
      <c r="AA3276">
        <f>RAND()</f>
        <v/>
      </c>
      <c r="AB3276">
        <f>RAND()</f>
        <v/>
      </c>
      <c r="AC3276">
        <f>RAND()</f>
        <v/>
      </c>
      <c r="AD3276">
        <f>RAND()</f>
        <v/>
      </c>
      <c r="AE3276">
        <f>RAND()</f>
        <v/>
      </c>
      <c r="AF3276">
        <f>RAND()</f>
        <v/>
      </c>
    </row>
    <row r="3277">
      <c r="M3277" s="14">
        <f>_xlfn.BETA.INV($AA3277,1+4*($D$5-$C$5)/($E$5-$C$5),1+4*($E$5-$D$5)/($E$5-$C$5),$C$5,$E$5)</f>
        <v/>
      </c>
      <c r="N3277" s="14">
        <f>IF($AB3277&lt;($D$6-$C$6)/($E$6-$C$6),$C$6+SQRT($AB3277*($E$6-$C$6)*($D$6-$C$6)),$E$6-SQRT((1-$AB3277)*($E$6-$C$6)*($E$6-$D$6)))</f>
        <v/>
      </c>
      <c r="O3277" s="14">
        <f>_xlfn.NORM.INV($AC3277,$C$7,$D$7)</f>
        <v/>
      </c>
      <c r="P3277" s="14">
        <f>$C$8+($D$8-$C$8)*$AD3277</f>
        <v/>
      </c>
      <c r="Q3277" s="14">
        <f>$C$9</f>
        <v/>
      </c>
      <c r="R3277" s="14">
        <f>_xlfn.LOGNORM.INV($AF3277,LN($C$10)-0.5*LN(1+($D$10/$C$10)^2),SQRT(LN(1+($D$10/$C$10)^2)))</f>
        <v/>
      </c>
      <c r="S3277" s="14">
        <f>SUM(M3277:R3277)</f>
        <v/>
      </c>
      <c r="AA3277">
        <f>RAND()</f>
        <v/>
      </c>
      <c r="AB3277">
        <f>RAND()</f>
        <v/>
      </c>
      <c r="AC3277">
        <f>RAND()</f>
        <v/>
      </c>
      <c r="AD3277">
        <f>RAND()</f>
        <v/>
      </c>
      <c r="AE3277">
        <f>RAND()</f>
        <v/>
      </c>
      <c r="AF3277">
        <f>RAND()</f>
        <v/>
      </c>
    </row>
    <row r="3278">
      <c r="M3278" s="14">
        <f>_xlfn.BETA.INV($AA3278,1+4*($D$5-$C$5)/($E$5-$C$5),1+4*($E$5-$D$5)/($E$5-$C$5),$C$5,$E$5)</f>
        <v/>
      </c>
      <c r="N3278" s="14">
        <f>IF($AB3278&lt;($D$6-$C$6)/($E$6-$C$6),$C$6+SQRT($AB3278*($E$6-$C$6)*($D$6-$C$6)),$E$6-SQRT((1-$AB3278)*($E$6-$C$6)*($E$6-$D$6)))</f>
        <v/>
      </c>
      <c r="O3278" s="14">
        <f>_xlfn.NORM.INV($AC3278,$C$7,$D$7)</f>
        <v/>
      </c>
      <c r="P3278" s="14">
        <f>$C$8+($D$8-$C$8)*$AD3278</f>
        <v/>
      </c>
      <c r="Q3278" s="14">
        <f>$C$9</f>
        <v/>
      </c>
      <c r="R3278" s="14">
        <f>_xlfn.LOGNORM.INV($AF3278,LN($C$10)-0.5*LN(1+($D$10/$C$10)^2),SQRT(LN(1+($D$10/$C$10)^2)))</f>
        <v/>
      </c>
      <c r="S3278" s="14">
        <f>SUM(M3278:R3278)</f>
        <v/>
      </c>
      <c r="AA3278">
        <f>RAND()</f>
        <v/>
      </c>
      <c r="AB3278">
        <f>RAND()</f>
        <v/>
      </c>
      <c r="AC3278">
        <f>RAND()</f>
        <v/>
      </c>
      <c r="AD3278">
        <f>RAND()</f>
        <v/>
      </c>
      <c r="AE3278">
        <f>RAND()</f>
        <v/>
      </c>
      <c r="AF3278">
        <f>RAND()</f>
        <v/>
      </c>
    </row>
    <row r="3279">
      <c r="M3279" s="14">
        <f>_xlfn.BETA.INV($AA3279,1+4*($D$5-$C$5)/($E$5-$C$5),1+4*($E$5-$D$5)/($E$5-$C$5),$C$5,$E$5)</f>
        <v/>
      </c>
      <c r="N3279" s="14">
        <f>IF($AB3279&lt;($D$6-$C$6)/($E$6-$C$6),$C$6+SQRT($AB3279*($E$6-$C$6)*($D$6-$C$6)),$E$6-SQRT((1-$AB3279)*($E$6-$C$6)*($E$6-$D$6)))</f>
        <v/>
      </c>
      <c r="O3279" s="14">
        <f>_xlfn.NORM.INV($AC3279,$C$7,$D$7)</f>
        <v/>
      </c>
      <c r="P3279" s="14">
        <f>$C$8+($D$8-$C$8)*$AD3279</f>
        <v/>
      </c>
      <c r="Q3279" s="14">
        <f>$C$9</f>
        <v/>
      </c>
      <c r="R3279" s="14">
        <f>_xlfn.LOGNORM.INV($AF3279,LN($C$10)-0.5*LN(1+($D$10/$C$10)^2),SQRT(LN(1+($D$10/$C$10)^2)))</f>
        <v/>
      </c>
      <c r="S3279" s="14">
        <f>SUM(M3279:R3279)</f>
        <v/>
      </c>
      <c r="AA3279">
        <f>RAND()</f>
        <v/>
      </c>
      <c r="AB3279">
        <f>RAND()</f>
        <v/>
      </c>
      <c r="AC3279">
        <f>RAND()</f>
        <v/>
      </c>
      <c r="AD3279">
        <f>RAND()</f>
        <v/>
      </c>
      <c r="AE3279">
        <f>RAND()</f>
        <v/>
      </c>
      <c r="AF3279">
        <f>RAND()</f>
        <v/>
      </c>
    </row>
    <row r="3280">
      <c r="M3280" s="14">
        <f>_xlfn.BETA.INV($AA3280,1+4*($D$5-$C$5)/($E$5-$C$5),1+4*($E$5-$D$5)/($E$5-$C$5),$C$5,$E$5)</f>
        <v/>
      </c>
      <c r="N3280" s="14">
        <f>IF($AB3280&lt;($D$6-$C$6)/($E$6-$C$6),$C$6+SQRT($AB3280*($E$6-$C$6)*($D$6-$C$6)),$E$6-SQRT((1-$AB3280)*($E$6-$C$6)*($E$6-$D$6)))</f>
        <v/>
      </c>
      <c r="O3280" s="14">
        <f>_xlfn.NORM.INV($AC3280,$C$7,$D$7)</f>
        <v/>
      </c>
      <c r="P3280" s="14">
        <f>$C$8+($D$8-$C$8)*$AD3280</f>
        <v/>
      </c>
      <c r="Q3280" s="14">
        <f>$C$9</f>
        <v/>
      </c>
      <c r="R3280" s="14">
        <f>_xlfn.LOGNORM.INV($AF3280,LN($C$10)-0.5*LN(1+($D$10/$C$10)^2),SQRT(LN(1+($D$10/$C$10)^2)))</f>
        <v/>
      </c>
      <c r="S3280" s="14">
        <f>SUM(M3280:R3280)</f>
        <v/>
      </c>
      <c r="AA3280">
        <f>RAND()</f>
        <v/>
      </c>
      <c r="AB3280">
        <f>RAND()</f>
        <v/>
      </c>
      <c r="AC3280">
        <f>RAND()</f>
        <v/>
      </c>
      <c r="AD3280">
        <f>RAND()</f>
        <v/>
      </c>
      <c r="AE3280">
        <f>RAND()</f>
        <v/>
      </c>
      <c r="AF3280">
        <f>RAND()</f>
        <v/>
      </c>
    </row>
    <row r="3281">
      <c r="M3281" s="14">
        <f>_xlfn.BETA.INV($AA3281,1+4*($D$5-$C$5)/($E$5-$C$5),1+4*($E$5-$D$5)/($E$5-$C$5),$C$5,$E$5)</f>
        <v/>
      </c>
      <c r="N3281" s="14">
        <f>IF($AB3281&lt;($D$6-$C$6)/($E$6-$C$6),$C$6+SQRT($AB3281*($E$6-$C$6)*($D$6-$C$6)),$E$6-SQRT((1-$AB3281)*($E$6-$C$6)*($E$6-$D$6)))</f>
        <v/>
      </c>
      <c r="O3281" s="14">
        <f>_xlfn.NORM.INV($AC3281,$C$7,$D$7)</f>
        <v/>
      </c>
      <c r="P3281" s="14">
        <f>$C$8+($D$8-$C$8)*$AD3281</f>
        <v/>
      </c>
      <c r="Q3281" s="14">
        <f>$C$9</f>
        <v/>
      </c>
      <c r="R3281" s="14">
        <f>_xlfn.LOGNORM.INV($AF3281,LN($C$10)-0.5*LN(1+($D$10/$C$10)^2),SQRT(LN(1+($D$10/$C$10)^2)))</f>
        <v/>
      </c>
      <c r="S3281" s="14">
        <f>SUM(M3281:R3281)</f>
        <v/>
      </c>
      <c r="AA3281">
        <f>RAND()</f>
        <v/>
      </c>
      <c r="AB3281">
        <f>RAND()</f>
        <v/>
      </c>
      <c r="AC3281">
        <f>RAND()</f>
        <v/>
      </c>
      <c r="AD3281">
        <f>RAND()</f>
        <v/>
      </c>
      <c r="AE3281">
        <f>RAND()</f>
        <v/>
      </c>
      <c r="AF3281">
        <f>RAND()</f>
        <v/>
      </c>
    </row>
    <row r="3282">
      <c r="M3282" s="14">
        <f>_xlfn.BETA.INV($AA3282,1+4*($D$5-$C$5)/($E$5-$C$5),1+4*($E$5-$D$5)/($E$5-$C$5),$C$5,$E$5)</f>
        <v/>
      </c>
      <c r="N3282" s="14">
        <f>IF($AB3282&lt;($D$6-$C$6)/($E$6-$C$6),$C$6+SQRT($AB3282*($E$6-$C$6)*($D$6-$C$6)),$E$6-SQRT((1-$AB3282)*($E$6-$C$6)*($E$6-$D$6)))</f>
        <v/>
      </c>
      <c r="O3282" s="14">
        <f>_xlfn.NORM.INV($AC3282,$C$7,$D$7)</f>
        <v/>
      </c>
      <c r="P3282" s="14">
        <f>$C$8+($D$8-$C$8)*$AD3282</f>
        <v/>
      </c>
      <c r="Q3282" s="14">
        <f>$C$9</f>
        <v/>
      </c>
      <c r="R3282" s="14">
        <f>_xlfn.LOGNORM.INV($AF3282,LN($C$10)-0.5*LN(1+($D$10/$C$10)^2),SQRT(LN(1+($D$10/$C$10)^2)))</f>
        <v/>
      </c>
      <c r="S3282" s="14">
        <f>SUM(M3282:R3282)</f>
        <v/>
      </c>
      <c r="AA3282">
        <f>RAND()</f>
        <v/>
      </c>
      <c r="AB3282">
        <f>RAND()</f>
        <v/>
      </c>
      <c r="AC3282">
        <f>RAND()</f>
        <v/>
      </c>
      <c r="AD3282">
        <f>RAND()</f>
        <v/>
      </c>
      <c r="AE3282">
        <f>RAND()</f>
        <v/>
      </c>
      <c r="AF3282">
        <f>RAND()</f>
        <v/>
      </c>
    </row>
    <row r="3283">
      <c r="M3283" s="14">
        <f>_xlfn.BETA.INV($AA3283,1+4*($D$5-$C$5)/($E$5-$C$5),1+4*($E$5-$D$5)/($E$5-$C$5),$C$5,$E$5)</f>
        <v/>
      </c>
      <c r="N3283" s="14">
        <f>IF($AB3283&lt;($D$6-$C$6)/($E$6-$C$6),$C$6+SQRT($AB3283*($E$6-$C$6)*($D$6-$C$6)),$E$6-SQRT((1-$AB3283)*($E$6-$C$6)*($E$6-$D$6)))</f>
        <v/>
      </c>
      <c r="O3283" s="14">
        <f>_xlfn.NORM.INV($AC3283,$C$7,$D$7)</f>
        <v/>
      </c>
      <c r="P3283" s="14">
        <f>$C$8+($D$8-$C$8)*$AD3283</f>
        <v/>
      </c>
      <c r="Q3283" s="14">
        <f>$C$9</f>
        <v/>
      </c>
      <c r="R3283" s="14">
        <f>_xlfn.LOGNORM.INV($AF3283,LN($C$10)-0.5*LN(1+($D$10/$C$10)^2),SQRT(LN(1+($D$10/$C$10)^2)))</f>
        <v/>
      </c>
      <c r="S3283" s="14">
        <f>SUM(M3283:R3283)</f>
        <v/>
      </c>
      <c r="AA3283">
        <f>RAND()</f>
        <v/>
      </c>
      <c r="AB3283">
        <f>RAND()</f>
        <v/>
      </c>
      <c r="AC3283">
        <f>RAND()</f>
        <v/>
      </c>
      <c r="AD3283">
        <f>RAND()</f>
        <v/>
      </c>
      <c r="AE3283">
        <f>RAND()</f>
        <v/>
      </c>
      <c r="AF3283">
        <f>RAND()</f>
        <v/>
      </c>
    </row>
    <row r="3284">
      <c r="M3284" s="14">
        <f>_xlfn.BETA.INV($AA3284,1+4*($D$5-$C$5)/($E$5-$C$5),1+4*($E$5-$D$5)/($E$5-$C$5),$C$5,$E$5)</f>
        <v/>
      </c>
      <c r="N3284" s="14">
        <f>IF($AB3284&lt;($D$6-$C$6)/($E$6-$C$6),$C$6+SQRT($AB3284*($E$6-$C$6)*($D$6-$C$6)),$E$6-SQRT((1-$AB3284)*($E$6-$C$6)*($E$6-$D$6)))</f>
        <v/>
      </c>
      <c r="O3284" s="14">
        <f>_xlfn.NORM.INV($AC3284,$C$7,$D$7)</f>
        <v/>
      </c>
      <c r="P3284" s="14">
        <f>$C$8+($D$8-$C$8)*$AD3284</f>
        <v/>
      </c>
      <c r="Q3284" s="14">
        <f>$C$9</f>
        <v/>
      </c>
      <c r="R3284" s="14">
        <f>_xlfn.LOGNORM.INV($AF3284,LN($C$10)-0.5*LN(1+($D$10/$C$10)^2),SQRT(LN(1+($D$10/$C$10)^2)))</f>
        <v/>
      </c>
      <c r="S3284" s="14">
        <f>SUM(M3284:R3284)</f>
        <v/>
      </c>
      <c r="AA3284">
        <f>RAND()</f>
        <v/>
      </c>
      <c r="AB3284">
        <f>RAND()</f>
        <v/>
      </c>
      <c r="AC3284">
        <f>RAND()</f>
        <v/>
      </c>
      <c r="AD3284">
        <f>RAND()</f>
        <v/>
      </c>
      <c r="AE3284">
        <f>RAND()</f>
        <v/>
      </c>
      <c r="AF3284">
        <f>RAND()</f>
        <v/>
      </c>
    </row>
    <row r="3285">
      <c r="M3285" s="14">
        <f>_xlfn.BETA.INV($AA3285,1+4*($D$5-$C$5)/($E$5-$C$5),1+4*($E$5-$D$5)/($E$5-$C$5),$C$5,$E$5)</f>
        <v/>
      </c>
      <c r="N3285" s="14">
        <f>IF($AB3285&lt;($D$6-$C$6)/($E$6-$C$6),$C$6+SQRT($AB3285*($E$6-$C$6)*($D$6-$C$6)),$E$6-SQRT((1-$AB3285)*($E$6-$C$6)*($E$6-$D$6)))</f>
        <v/>
      </c>
      <c r="O3285" s="14">
        <f>_xlfn.NORM.INV($AC3285,$C$7,$D$7)</f>
        <v/>
      </c>
      <c r="P3285" s="14">
        <f>$C$8+($D$8-$C$8)*$AD3285</f>
        <v/>
      </c>
      <c r="Q3285" s="14">
        <f>$C$9</f>
        <v/>
      </c>
      <c r="R3285" s="14">
        <f>_xlfn.LOGNORM.INV($AF3285,LN($C$10)-0.5*LN(1+($D$10/$C$10)^2),SQRT(LN(1+($D$10/$C$10)^2)))</f>
        <v/>
      </c>
      <c r="S3285" s="14">
        <f>SUM(M3285:R3285)</f>
        <v/>
      </c>
      <c r="AA3285">
        <f>RAND()</f>
        <v/>
      </c>
      <c r="AB3285">
        <f>RAND()</f>
        <v/>
      </c>
      <c r="AC3285">
        <f>RAND()</f>
        <v/>
      </c>
      <c r="AD3285">
        <f>RAND()</f>
        <v/>
      </c>
      <c r="AE3285">
        <f>RAND()</f>
        <v/>
      </c>
      <c r="AF3285">
        <f>RAND()</f>
        <v/>
      </c>
    </row>
    <row r="3286">
      <c r="M3286" s="14">
        <f>_xlfn.BETA.INV($AA3286,1+4*($D$5-$C$5)/($E$5-$C$5),1+4*($E$5-$D$5)/($E$5-$C$5),$C$5,$E$5)</f>
        <v/>
      </c>
      <c r="N3286" s="14">
        <f>IF($AB3286&lt;($D$6-$C$6)/($E$6-$C$6),$C$6+SQRT($AB3286*($E$6-$C$6)*($D$6-$C$6)),$E$6-SQRT((1-$AB3286)*($E$6-$C$6)*($E$6-$D$6)))</f>
        <v/>
      </c>
      <c r="O3286" s="14">
        <f>_xlfn.NORM.INV($AC3286,$C$7,$D$7)</f>
        <v/>
      </c>
      <c r="P3286" s="14">
        <f>$C$8+($D$8-$C$8)*$AD3286</f>
        <v/>
      </c>
      <c r="Q3286" s="14">
        <f>$C$9</f>
        <v/>
      </c>
      <c r="R3286" s="14">
        <f>_xlfn.LOGNORM.INV($AF3286,LN($C$10)-0.5*LN(1+($D$10/$C$10)^2),SQRT(LN(1+($D$10/$C$10)^2)))</f>
        <v/>
      </c>
      <c r="S3286" s="14">
        <f>SUM(M3286:R3286)</f>
        <v/>
      </c>
      <c r="AA3286">
        <f>RAND()</f>
        <v/>
      </c>
      <c r="AB3286">
        <f>RAND()</f>
        <v/>
      </c>
      <c r="AC3286">
        <f>RAND()</f>
        <v/>
      </c>
      <c r="AD3286">
        <f>RAND()</f>
        <v/>
      </c>
      <c r="AE3286">
        <f>RAND()</f>
        <v/>
      </c>
      <c r="AF3286">
        <f>RAND()</f>
        <v/>
      </c>
    </row>
    <row r="3287">
      <c r="M3287" s="14">
        <f>_xlfn.BETA.INV($AA3287,1+4*($D$5-$C$5)/($E$5-$C$5),1+4*($E$5-$D$5)/($E$5-$C$5),$C$5,$E$5)</f>
        <v/>
      </c>
      <c r="N3287" s="14">
        <f>IF($AB3287&lt;($D$6-$C$6)/($E$6-$C$6),$C$6+SQRT($AB3287*($E$6-$C$6)*($D$6-$C$6)),$E$6-SQRT((1-$AB3287)*($E$6-$C$6)*($E$6-$D$6)))</f>
        <v/>
      </c>
      <c r="O3287" s="14">
        <f>_xlfn.NORM.INV($AC3287,$C$7,$D$7)</f>
        <v/>
      </c>
      <c r="P3287" s="14">
        <f>$C$8+($D$8-$C$8)*$AD3287</f>
        <v/>
      </c>
      <c r="Q3287" s="14">
        <f>$C$9</f>
        <v/>
      </c>
      <c r="R3287" s="14">
        <f>_xlfn.LOGNORM.INV($AF3287,LN($C$10)-0.5*LN(1+($D$10/$C$10)^2),SQRT(LN(1+($D$10/$C$10)^2)))</f>
        <v/>
      </c>
      <c r="S3287" s="14">
        <f>SUM(M3287:R3287)</f>
        <v/>
      </c>
      <c r="AA3287">
        <f>RAND()</f>
        <v/>
      </c>
      <c r="AB3287">
        <f>RAND()</f>
        <v/>
      </c>
      <c r="AC3287">
        <f>RAND()</f>
        <v/>
      </c>
      <c r="AD3287">
        <f>RAND()</f>
        <v/>
      </c>
      <c r="AE3287">
        <f>RAND()</f>
        <v/>
      </c>
      <c r="AF3287">
        <f>RAND()</f>
        <v/>
      </c>
    </row>
    <row r="3288">
      <c r="M3288" s="14">
        <f>_xlfn.BETA.INV($AA3288,1+4*($D$5-$C$5)/($E$5-$C$5),1+4*($E$5-$D$5)/($E$5-$C$5),$C$5,$E$5)</f>
        <v/>
      </c>
      <c r="N3288" s="14">
        <f>IF($AB3288&lt;($D$6-$C$6)/($E$6-$C$6),$C$6+SQRT($AB3288*($E$6-$C$6)*($D$6-$C$6)),$E$6-SQRT((1-$AB3288)*($E$6-$C$6)*($E$6-$D$6)))</f>
        <v/>
      </c>
      <c r="O3288" s="14">
        <f>_xlfn.NORM.INV($AC3288,$C$7,$D$7)</f>
        <v/>
      </c>
      <c r="P3288" s="14">
        <f>$C$8+($D$8-$C$8)*$AD3288</f>
        <v/>
      </c>
      <c r="Q3288" s="14">
        <f>$C$9</f>
        <v/>
      </c>
      <c r="R3288" s="14">
        <f>_xlfn.LOGNORM.INV($AF3288,LN($C$10)-0.5*LN(1+($D$10/$C$10)^2),SQRT(LN(1+($D$10/$C$10)^2)))</f>
        <v/>
      </c>
      <c r="S3288" s="14">
        <f>SUM(M3288:R3288)</f>
        <v/>
      </c>
      <c r="AA3288">
        <f>RAND()</f>
        <v/>
      </c>
      <c r="AB3288">
        <f>RAND()</f>
        <v/>
      </c>
      <c r="AC3288">
        <f>RAND()</f>
        <v/>
      </c>
      <c r="AD3288">
        <f>RAND()</f>
        <v/>
      </c>
      <c r="AE3288">
        <f>RAND()</f>
        <v/>
      </c>
      <c r="AF3288">
        <f>RAND()</f>
        <v/>
      </c>
    </row>
    <row r="3289">
      <c r="M3289" s="14">
        <f>_xlfn.BETA.INV($AA3289,1+4*($D$5-$C$5)/($E$5-$C$5),1+4*($E$5-$D$5)/($E$5-$C$5),$C$5,$E$5)</f>
        <v/>
      </c>
      <c r="N3289" s="14">
        <f>IF($AB3289&lt;($D$6-$C$6)/($E$6-$C$6),$C$6+SQRT($AB3289*($E$6-$C$6)*($D$6-$C$6)),$E$6-SQRT((1-$AB3289)*($E$6-$C$6)*($E$6-$D$6)))</f>
        <v/>
      </c>
      <c r="O3289" s="14">
        <f>_xlfn.NORM.INV($AC3289,$C$7,$D$7)</f>
        <v/>
      </c>
      <c r="P3289" s="14">
        <f>$C$8+($D$8-$C$8)*$AD3289</f>
        <v/>
      </c>
      <c r="Q3289" s="14">
        <f>$C$9</f>
        <v/>
      </c>
      <c r="R3289" s="14">
        <f>_xlfn.LOGNORM.INV($AF3289,LN($C$10)-0.5*LN(1+($D$10/$C$10)^2),SQRT(LN(1+($D$10/$C$10)^2)))</f>
        <v/>
      </c>
      <c r="S3289" s="14">
        <f>SUM(M3289:R3289)</f>
        <v/>
      </c>
      <c r="AA3289">
        <f>RAND()</f>
        <v/>
      </c>
      <c r="AB3289">
        <f>RAND()</f>
        <v/>
      </c>
      <c r="AC3289">
        <f>RAND()</f>
        <v/>
      </c>
      <c r="AD3289">
        <f>RAND()</f>
        <v/>
      </c>
      <c r="AE3289">
        <f>RAND()</f>
        <v/>
      </c>
      <c r="AF3289">
        <f>RAND()</f>
        <v/>
      </c>
    </row>
    <row r="3290">
      <c r="M3290" s="14">
        <f>_xlfn.BETA.INV($AA3290,1+4*($D$5-$C$5)/($E$5-$C$5),1+4*($E$5-$D$5)/($E$5-$C$5),$C$5,$E$5)</f>
        <v/>
      </c>
      <c r="N3290" s="14">
        <f>IF($AB3290&lt;($D$6-$C$6)/($E$6-$C$6),$C$6+SQRT($AB3290*($E$6-$C$6)*($D$6-$C$6)),$E$6-SQRT((1-$AB3290)*($E$6-$C$6)*($E$6-$D$6)))</f>
        <v/>
      </c>
      <c r="O3290" s="14">
        <f>_xlfn.NORM.INV($AC3290,$C$7,$D$7)</f>
        <v/>
      </c>
      <c r="P3290" s="14">
        <f>$C$8+($D$8-$C$8)*$AD3290</f>
        <v/>
      </c>
      <c r="Q3290" s="14">
        <f>$C$9</f>
        <v/>
      </c>
      <c r="R3290" s="14">
        <f>_xlfn.LOGNORM.INV($AF3290,LN($C$10)-0.5*LN(1+($D$10/$C$10)^2),SQRT(LN(1+($D$10/$C$10)^2)))</f>
        <v/>
      </c>
      <c r="S3290" s="14">
        <f>SUM(M3290:R3290)</f>
        <v/>
      </c>
      <c r="AA3290">
        <f>RAND()</f>
        <v/>
      </c>
      <c r="AB3290">
        <f>RAND()</f>
        <v/>
      </c>
      <c r="AC3290">
        <f>RAND()</f>
        <v/>
      </c>
      <c r="AD3290">
        <f>RAND()</f>
        <v/>
      </c>
      <c r="AE3290">
        <f>RAND()</f>
        <v/>
      </c>
      <c r="AF3290">
        <f>RAND()</f>
        <v/>
      </c>
    </row>
    <row r="3291">
      <c r="M3291" s="14">
        <f>_xlfn.BETA.INV($AA3291,1+4*($D$5-$C$5)/($E$5-$C$5),1+4*($E$5-$D$5)/($E$5-$C$5),$C$5,$E$5)</f>
        <v/>
      </c>
      <c r="N3291" s="14">
        <f>IF($AB3291&lt;($D$6-$C$6)/($E$6-$C$6),$C$6+SQRT($AB3291*($E$6-$C$6)*($D$6-$C$6)),$E$6-SQRT((1-$AB3291)*($E$6-$C$6)*($E$6-$D$6)))</f>
        <v/>
      </c>
      <c r="O3291" s="14">
        <f>_xlfn.NORM.INV($AC3291,$C$7,$D$7)</f>
        <v/>
      </c>
      <c r="P3291" s="14">
        <f>$C$8+($D$8-$C$8)*$AD3291</f>
        <v/>
      </c>
      <c r="Q3291" s="14">
        <f>$C$9</f>
        <v/>
      </c>
      <c r="R3291" s="14">
        <f>_xlfn.LOGNORM.INV($AF3291,LN($C$10)-0.5*LN(1+($D$10/$C$10)^2),SQRT(LN(1+($D$10/$C$10)^2)))</f>
        <v/>
      </c>
      <c r="S3291" s="14">
        <f>SUM(M3291:R3291)</f>
        <v/>
      </c>
      <c r="AA3291">
        <f>RAND()</f>
        <v/>
      </c>
      <c r="AB3291">
        <f>RAND()</f>
        <v/>
      </c>
      <c r="AC3291">
        <f>RAND()</f>
        <v/>
      </c>
      <c r="AD3291">
        <f>RAND()</f>
        <v/>
      </c>
      <c r="AE3291">
        <f>RAND()</f>
        <v/>
      </c>
      <c r="AF3291">
        <f>RAND()</f>
        <v/>
      </c>
    </row>
    <row r="3292">
      <c r="M3292" s="14">
        <f>_xlfn.BETA.INV($AA3292,1+4*($D$5-$C$5)/($E$5-$C$5),1+4*($E$5-$D$5)/($E$5-$C$5),$C$5,$E$5)</f>
        <v/>
      </c>
      <c r="N3292" s="14">
        <f>IF($AB3292&lt;($D$6-$C$6)/($E$6-$C$6),$C$6+SQRT($AB3292*($E$6-$C$6)*($D$6-$C$6)),$E$6-SQRT((1-$AB3292)*($E$6-$C$6)*($E$6-$D$6)))</f>
        <v/>
      </c>
      <c r="O3292" s="14">
        <f>_xlfn.NORM.INV($AC3292,$C$7,$D$7)</f>
        <v/>
      </c>
      <c r="P3292" s="14">
        <f>$C$8+($D$8-$C$8)*$AD3292</f>
        <v/>
      </c>
      <c r="Q3292" s="14">
        <f>$C$9</f>
        <v/>
      </c>
      <c r="R3292" s="14">
        <f>_xlfn.LOGNORM.INV($AF3292,LN($C$10)-0.5*LN(1+($D$10/$C$10)^2),SQRT(LN(1+($D$10/$C$10)^2)))</f>
        <v/>
      </c>
      <c r="S3292" s="14">
        <f>SUM(M3292:R3292)</f>
        <v/>
      </c>
      <c r="AA3292">
        <f>RAND()</f>
        <v/>
      </c>
      <c r="AB3292">
        <f>RAND()</f>
        <v/>
      </c>
      <c r="AC3292">
        <f>RAND()</f>
        <v/>
      </c>
      <c r="AD3292">
        <f>RAND()</f>
        <v/>
      </c>
      <c r="AE3292">
        <f>RAND()</f>
        <v/>
      </c>
      <c r="AF3292">
        <f>RAND()</f>
        <v/>
      </c>
    </row>
    <row r="3293">
      <c r="M3293" s="14">
        <f>_xlfn.BETA.INV($AA3293,1+4*($D$5-$C$5)/($E$5-$C$5),1+4*($E$5-$D$5)/($E$5-$C$5),$C$5,$E$5)</f>
        <v/>
      </c>
      <c r="N3293" s="14">
        <f>IF($AB3293&lt;($D$6-$C$6)/($E$6-$C$6),$C$6+SQRT($AB3293*($E$6-$C$6)*($D$6-$C$6)),$E$6-SQRT((1-$AB3293)*($E$6-$C$6)*($E$6-$D$6)))</f>
        <v/>
      </c>
      <c r="O3293" s="14">
        <f>_xlfn.NORM.INV($AC3293,$C$7,$D$7)</f>
        <v/>
      </c>
      <c r="P3293" s="14">
        <f>$C$8+($D$8-$C$8)*$AD3293</f>
        <v/>
      </c>
      <c r="Q3293" s="14">
        <f>$C$9</f>
        <v/>
      </c>
      <c r="R3293" s="14">
        <f>_xlfn.LOGNORM.INV($AF3293,LN($C$10)-0.5*LN(1+($D$10/$C$10)^2),SQRT(LN(1+($D$10/$C$10)^2)))</f>
        <v/>
      </c>
      <c r="S3293" s="14">
        <f>SUM(M3293:R3293)</f>
        <v/>
      </c>
      <c r="AA3293">
        <f>RAND()</f>
        <v/>
      </c>
      <c r="AB3293">
        <f>RAND()</f>
        <v/>
      </c>
      <c r="AC3293">
        <f>RAND()</f>
        <v/>
      </c>
      <c r="AD3293">
        <f>RAND()</f>
        <v/>
      </c>
      <c r="AE3293">
        <f>RAND()</f>
        <v/>
      </c>
      <c r="AF3293">
        <f>RAND()</f>
        <v/>
      </c>
    </row>
    <row r="3294">
      <c r="M3294" s="14">
        <f>_xlfn.BETA.INV($AA3294,1+4*($D$5-$C$5)/($E$5-$C$5),1+4*($E$5-$D$5)/($E$5-$C$5),$C$5,$E$5)</f>
        <v/>
      </c>
      <c r="N3294" s="14">
        <f>IF($AB3294&lt;($D$6-$C$6)/($E$6-$C$6),$C$6+SQRT($AB3294*($E$6-$C$6)*($D$6-$C$6)),$E$6-SQRT((1-$AB3294)*($E$6-$C$6)*($E$6-$D$6)))</f>
        <v/>
      </c>
      <c r="O3294" s="14">
        <f>_xlfn.NORM.INV($AC3294,$C$7,$D$7)</f>
        <v/>
      </c>
      <c r="P3294" s="14">
        <f>$C$8+($D$8-$C$8)*$AD3294</f>
        <v/>
      </c>
      <c r="Q3294" s="14">
        <f>$C$9</f>
        <v/>
      </c>
      <c r="R3294" s="14">
        <f>_xlfn.LOGNORM.INV($AF3294,LN($C$10)-0.5*LN(1+($D$10/$C$10)^2),SQRT(LN(1+($D$10/$C$10)^2)))</f>
        <v/>
      </c>
      <c r="S3294" s="14">
        <f>SUM(M3294:R3294)</f>
        <v/>
      </c>
      <c r="AA3294">
        <f>RAND()</f>
        <v/>
      </c>
      <c r="AB3294">
        <f>RAND()</f>
        <v/>
      </c>
      <c r="AC3294">
        <f>RAND()</f>
        <v/>
      </c>
      <c r="AD3294">
        <f>RAND()</f>
        <v/>
      </c>
      <c r="AE3294">
        <f>RAND()</f>
        <v/>
      </c>
      <c r="AF3294">
        <f>RAND()</f>
        <v/>
      </c>
    </row>
    <row r="3295">
      <c r="M3295" s="14">
        <f>_xlfn.BETA.INV($AA3295,1+4*($D$5-$C$5)/($E$5-$C$5),1+4*($E$5-$D$5)/($E$5-$C$5),$C$5,$E$5)</f>
        <v/>
      </c>
      <c r="N3295" s="14">
        <f>IF($AB3295&lt;($D$6-$C$6)/($E$6-$C$6),$C$6+SQRT($AB3295*($E$6-$C$6)*($D$6-$C$6)),$E$6-SQRT((1-$AB3295)*($E$6-$C$6)*($E$6-$D$6)))</f>
        <v/>
      </c>
      <c r="O3295" s="14">
        <f>_xlfn.NORM.INV($AC3295,$C$7,$D$7)</f>
        <v/>
      </c>
      <c r="P3295" s="14">
        <f>$C$8+($D$8-$C$8)*$AD3295</f>
        <v/>
      </c>
      <c r="Q3295" s="14">
        <f>$C$9</f>
        <v/>
      </c>
      <c r="R3295" s="14">
        <f>_xlfn.LOGNORM.INV($AF3295,LN($C$10)-0.5*LN(1+($D$10/$C$10)^2),SQRT(LN(1+($D$10/$C$10)^2)))</f>
        <v/>
      </c>
      <c r="S3295" s="14">
        <f>SUM(M3295:R3295)</f>
        <v/>
      </c>
      <c r="AA3295">
        <f>RAND()</f>
        <v/>
      </c>
      <c r="AB3295">
        <f>RAND()</f>
        <v/>
      </c>
      <c r="AC3295">
        <f>RAND()</f>
        <v/>
      </c>
      <c r="AD3295">
        <f>RAND()</f>
        <v/>
      </c>
      <c r="AE3295">
        <f>RAND()</f>
        <v/>
      </c>
      <c r="AF3295">
        <f>RAND()</f>
        <v/>
      </c>
    </row>
    <row r="3296">
      <c r="M3296" s="14">
        <f>_xlfn.BETA.INV($AA3296,1+4*($D$5-$C$5)/($E$5-$C$5),1+4*($E$5-$D$5)/($E$5-$C$5),$C$5,$E$5)</f>
        <v/>
      </c>
      <c r="N3296" s="14">
        <f>IF($AB3296&lt;($D$6-$C$6)/($E$6-$C$6),$C$6+SQRT($AB3296*($E$6-$C$6)*($D$6-$C$6)),$E$6-SQRT((1-$AB3296)*($E$6-$C$6)*($E$6-$D$6)))</f>
        <v/>
      </c>
      <c r="O3296" s="14">
        <f>_xlfn.NORM.INV($AC3296,$C$7,$D$7)</f>
        <v/>
      </c>
      <c r="P3296" s="14">
        <f>$C$8+($D$8-$C$8)*$AD3296</f>
        <v/>
      </c>
      <c r="Q3296" s="14">
        <f>$C$9</f>
        <v/>
      </c>
      <c r="R3296" s="14">
        <f>_xlfn.LOGNORM.INV($AF3296,LN($C$10)-0.5*LN(1+($D$10/$C$10)^2),SQRT(LN(1+($D$10/$C$10)^2)))</f>
        <v/>
      </c>
      <c r="S3296" s="14">
        <f>SUM(M3296:R3296)</f>
        <v/>
      </c>
      <c r="AA3296">
        <f>RAND()</f>
        <v/>
      </c>
      <c r="AB3296">
        <f>RAND()</f>
        <v/>
      </c>
      <c r="AC3296">
        <f>RAND()</f>
        <v/>
      </c>
      <c r="AD3296">
        <f>RAND()</f>
        <v/>
      </c>
      <c r="AE3296">
        <f>RAND()</f>
        <v/>
      </c>
      <c r="AF3296">
        <f>RAND()</f>
        <v/>
      </c>
    </row>
    <row r="3297">
      <c r="M3297" s="14">
        <f>_xlfn.BETA.INV($AA3297,1+4*($D$5-$C$5)/($E$5-$C$5),1+4*($E$5-$D$5)/($E$5-$C$5),$C$5,$E$5)</f>
        <v/>
      </c>
      <c r="N3297" s="14">
        <f>IF($AB3297&lt;($D$6-$C$6)/($E$6-$C$6),$C$6+SQRT($AB3297*($E$6-$C$6)*($D$6-$C$6)),$E$6-SQRT((1-$AB3297)*($E$6-$C$6)*($E$6-$D$6)))</f>
        <v/>
      </c>
      <c r="O3297" s="14">
        <f>_xlfn.NORM.INV($AC3297,$C$7,$D$7)</f>
        <v/>
      </c>
      <c r="P3297" s="14">
        <f>$C$8+($D$8-$C$8)*$AD3297</f>
        <v/>
      </c>
      <c r="Q3297" s="14">
        <f>$C$9</f>
        <v/>
      </c>
      <c r="R3297" s="14">
        <f>_xlfn.LOGNORM.INV($AF3297,LN($C$10)-0.5*LN(1+($D$10/$C$10)^2),SQRT(LN(1+($D$10/$C$10)^2)))</f>
        <v/>
      </c>
      <c r="S3297" s="14">
        <f>SUM(M3297:R3297)</f>
        <v/>
      </c>
      <c r="AA3297">
        <f>RAND()</f>
        <v/>
      </c>
      <c r="AB3297">
        <f>RAND()</f>
        <v/>
      </c>
      <c r="AC3297">
        <f>RAND()</f>
        <v/>
      </c>
      <c r="AD3297">
        <f>RAND()</f>
        <v/>
      </c>
      <c r="AE3297">
        <f>RAND()</f>
        <v/>
      </c>
      <c r="AF3297">
        <f>RAND()</f>
        <v/>
      </c>
    </row>
    <row r="3298">
      <c r="M3298" s="14">
        <f>_xlfn.BETA.INV($AA3298,1+4*($D$5-$C$5)/($E$5-$C$5),1+4*($E$5-$D$5)/($E$5-$C$5),$C$5,$E$5)</f>
        <v/>
      </c>
      <c r="N3298" s="14">
        <f>IF($AB3298&lt;($D$6-$C$6)/($E$6-$C$6),$C$6+SQRT($AB3298*($E$6-$C$6)*($D$6-$C$6)),$E$6-SQRT((1-$AB3298)*($E$6-$C$6)*($E$6-$D$6)))</f>
        <v/>
      </c>
      <c r="O3298" s="14">
        <f>_xlfn.NORM.INV($AC3298,$C$7,$D$7)</f>
        <v/>
      </c>
      <c r="P3298" s="14">
        <f>$C$8+($D$8-$C$8)*$AD3298</f>
        <v/>
      </c>
      <c r="Q3298" s="14">
        <f>$C$9</f>
        <v/>
      </c>
      <c r="R3298" s="14">
        <f>_xlfn.LOGNORM.INV($AF3298,LN($C$10)-0.5*LN(1+($D$10/$C$10)^2),SQRT(LN(1+($D$10/$C$10)^2)))</f>
        <v/>
      </c>
      <c r="S3298" s="14">
        <f>SUM(M3298:R3298)</f>
        <v/>
      </c>
      <c r="AA3298">
        <f>RAND()</f>
        <v/>
      </c>
      <c r="AB3298">
        <f>RAND()</f>
        <v/>
      </c>
      <c r="AC3298">
        <f>RAND()</f>
        <v/>
      </c>
      <c r="AD3298">
        <f>RAND()</f>
        <v/>
      </c>
      <c r="AE3298">
        <f>RAND()</f>
        <v/>
      </c>
      <c r="AF3298">
        <f>RAND()</f>
        <v/>
      </c>
    </row>
    <row r="3299">
      <c r="M3299" s="14">
        <f>_xlfn.BETA.INV($AA3299,1+4*($D$5-$C$5)/($E$5-$C$5),1+4*($E$5-$D$5)/($E$5-$C$5),$C$5,$E$5)</f>
        <v/>
      </c>
      <c r="N3299" s="14">
        <f>IF($AB3299&lt;($D$6-$C$6)/($E$6-$C$6),$C$6+SQRT($AB3299*($E$6-$C$6)*($D$6-$C$6)),$E$6-SQRT((1-$AB3299)*($E$6-$C$6)*($E$6-$D$6)))</f>
        <v/>
      </c>
      <c r="O3299" s="14">
        <f>_xlfn.NORM.INV($AC3299,$C$7,$D$7)</f>
        <v/>
      </c>
      <c r="P3299" s="14">
        <f>$C$8+($D$8-$C$8)*$AD3299</f>
        <v/>
      </c>
      <c r="Q3299" s="14">
        <f>$C$9</f>
        <v/>
      </c>
      <c r="R3299" s="14">
        <f>_xlfn.LOGNORM.INV($AF3299,LN($C$10)-0.5*LN(1+($D$10/$C$10)^2),SQRT(LN(1+($D$10/$C$10)^2)))</f>
        <v/>
      </c>
      <c r="S3299" s="14">
        <f>SUM(M3299:R3299)</f>
        <v/>
      </c>
      <c r="AA3299">
        <f>RAND()</f>
        <v/>
      </c>
      <c r="AB3299">
        <f>RAND()</f>
        <v/>
      </c>
      <c r="AC3299">
        <f>RAND()</f>
        <v/>
      </c>
      <c r="AD3299">
        <f>RAND()</f>
        <v/>
      </c>
      <c r="AE3299">
        <f>RAND()</f>
        <v/>
      </c>
      <c r="AF3299">
        <f>RAND()</f>
        <v/>
      </c>
    </row>
    <row r="3300">
      <c r="M3300" s="14">
        <f>_xlfn.BETA.INV($AA3300,1+4*($D$5-$C$5)/($E$5-$C$5),1+4*($E$5-$D$5)/($E$5-$C$5),$C$5,$E$5)</f>
        <v/>
      </c>
      <c r="N3300" s="14">
        <f>IF($AB3300&lt;($D$6-$C$6)/($E$6-$C$6),$C$6+SQRT($AB3300*($E$6-$C$6)*($D$6-$C$6)),$E$6-SQRT((1-$AB3300)*($E$6-$C$6)*($E$6-$D$6)))</f>
        <v/>
      </c>
      <c r="O3300" s="14">
        <f>_xlfn.NORM.INV($AC3300,$C$7,$D$7)</f>
        <v/>
      </c>
      <c r="P3300" s="14">
        <f>$C$8+($D$8-$C$8)*$AD3300</f>
        <v/>
      </c>
      <c r="Q3300" s="14">
        <f>$C$9</f>
        <v/>
      </c>
      <c r="R3300" s="14">
        <f>_xlfn.LOGNORM.INV($AF3300,LN($C$10)-0.5*LN(1+($D$10/$C$10)^2),SQRT(LN(1+($D$10/$C$10)^2)))</f>
        <v/>
      </c>
      <c r="S3300" s="14">
        <f>SUM(M3300:R3300)</f>
        <v/>
      </c>
      <c r="AA3300">
        <f>RAND()</f>
        <v/>
      </c>
      <c r="AB3300">
        <f>RAND()</f>
        <v/>
      </c>
      <c r="AC3300">
        <f>RAND()</f>
        <v/>
      </c>
      <c r="AD3300">
        <f>RAND()</f>
        <v/>
      </c>
      <c r="AE3300">
        <f>RAND()</f>
        <v/>
      </c>
      <c r="AF3300">
        <f>RAND()</f>
        <v/>
      </c>
    </row>
    <row r="3301">
      <c r="M3301" s="14">
        <f>_xlfn.BETA.INV($AA3301,1+4*($D$5-$C$5)/($E$5-$C$5),1+4*($E$5-$D$5)/($E$5-$C$5),$C$5,$E$5)</f>
        <v/>
      </c>
      <c r="N3301" s="14">
        <f>IF($AB3301&lt;($D$6-$C$6)/($E$6-$C$6),$C$6+SQRT($AB3301*($E$6-$C$6)*($D$6-$C$6)),$E$6-SQRT((1-$AB3301)*($E$6-$C$6)*($E$6-$D$6)))</f>
        <v/>
      </c>
      <c r="O3301" s="14">
        <f>_xlfn.NORM.INV($AC3301,$C$7,$D$7)</f>
        <v/>
      </c>
      <c r="P3301" s="14">
        <f>$C$8+($D$8-$C$8)*$AD3301</f>
        <v/>
      </c>
      <c r="Q3301" s="14">
        <f>$C$9</f>
        <v/>
      </c>
      <c r="R3301" s="14">
        <f>_xlfn.LOGNORM.INV($AF3301,LN($C$10)-0.5*LN(1+($D$10/$C$10)^2),SQRT(LN(1+($D$10/$C$10)^2)))</f>
        <v/>
      </c>
      <c r="S3301" s="14">
        <f>SUM(M3301:R3301)</f>
        <v/>
      </c>
      <c r="AA3301">
        <f>RAND()</f>
        <v/>
      </c>
      <c r="AB3301">
        <f>RAND()</f>
        <v/>
      </c>
      <c r="AC3301">
        <f>RAND()</f>
        <v/>
      </c>
      <c r="AD3301">
        <f>RAND()</f>
        <v/>
      </c>
      <c r="AE3301">
        <f>RAND()</f>
        <v/>
      </c>
      <c r="AF3301">
        <f>RAND()</f>
        <v/>
      </c>
    </row>
    <row r="3302">
      <c r="M3302" s="14">
        <f>_xlfn.BETA.INV($AA3302,1+4*($D$5-$C$5)/($E$5-$C$5),1+4*($E$5-$D$5)/($E$5-$C$5),$C$5,$E$5)</f>
        <v/>
      </c>
      <c r="N3302" s="14">
        <f>IF($AB3302&lt;($D$6-$C$6)/($E$6-$C$6),$C$6+SQRT($AB3302*($E$6-$C$6)*($D$6-$C$6)),$E$6-SQRT((1-$AB3302)*($E$6-$C$6)*($E$6-$D$6)))</f>
        <v/>
      </c>
      <c r="O3302" s="14">
        <f>_xlfn.NORM.INV($AC3302,$C$7,$D$7)</f>
        <v/>
      </c>
      <c r="P3302" s="14">
        <f>$C$8+($D$8-$C$8)*$AD3302</f>
        <v/>
      </c>
      <c r="Q3302" s="14">
        <f>$C$9</f>
        <v/>
      </c>
      <c r="R3302" s="14">
        <f>_xlfn.LOGNORM.INV($AF3302,LN($C$10)-0.5*LN(1+($D$10/$C$10)^2),SQRT(LN(1+($D$10/$C$10)^2)))</f>
        <v/>
      </c>
      <c r="S3302" s="14">
        <f>SUM(M3302:R3302)</f>
        <v/>
      </c>
      <c r="AA3302">
        <f>RAND()</f>
        <v/>
      </c>
      <c r="AB3302">
        <f>RAND()</f>
        <v/>
      </c>
      <c r="AC3302">
        <f>RAND()</f>
        <v/>
      </c>
      <c r="AD3302">
        <f>RAND()</f>
        <v/>
      </c>
      <c r="AE3302">
        <f>RAND()</f>
        <v/>
      </c>
      <c r="AF3302">
        <f>RAND()</f>
        <v/>
      </c>
    </row>
    <row r="3303">
      <c r="M3303" s="14">
        <f>_xlfn.BETA.INV($AA3303,1+4*($D$5-$C$5)/($E$5-$C$5),1+4*($E$5-$D$5)/($E$5-$C$5),$C$5,$E$5)</f>
        <v/>
      </c>
      <c r="N3303" s="14">
        <f>IF($AB3303&lt;($D$6-$C$6)/($E$6-$C$6),$C$6+SQRT($AB3303*($E$6-$C$6)*($D$6-$C$6)),$E$6-SQRT((1-$AB3303)*($E$6-$C$6)*($E$6-$D$6)))</f>
        <v/>
      </c>
      <c r="O3303" s="14">
        <f>_xlfn.NORM.INV($AC3303,$C$7,$D$7)</f>
        <v/>
      </c>
      <c r="P3303" s="14">
        <f>$C$8+($D$8-$C$8)*$AD3303</f>
        <v/>
      </c>
      <c r="Q3303" s="14">
        <f>$C$9</f>
        <v/>
      </c>
      <c r="R3303" s="14">
        <f>_xlfn.LOGNORM.INV($AF3303,LN($C$10)-0.5*LN(1+($D$10/$C$10)^2),SQRT(LN(1+($D$10/$C$10)^2)))</f>
        <v/>
      </c>
      <c r="S3303" s="14">
        <f>SUM(M3303:R3303)</f>
        <v/>
      </c>
      <c r="AA3303">
        <f>RAND()</f>
        <v/>
      </c>
      <c r="AB3303">
        <f>RAND()</f>
        <v/>
      </c>
      <c r="AC3303">
        <f>RAND()</f>
        <v/>
      </c>
      <c r="AD3303">
        <f>RAND()</f>
        <v/>
      </c>
      <c r="AE3303">
        <f>RAND()</f>
        <v/>
      </c>
      <c r="AF3303">
        <f>RAND()</f>
        <v/>
      </c>
    </row>
    <row r="3304">
      <c r="M3304" s="14">
        <f>_xlfn.BETA.INV($AA3304,1+4*($D$5-$C$5)/($E$5-$C$5),1+4*($E$5-$D$5)/($E$5-$C$5),$C$5,$E$5)</f>
        <v/>
      </c>
      <c r="N3304" s="14">
        <f>IF($AB3304&lt;($D$6-$C$6)/($E$6-$C$6),$C$6+SQRT($AB3304*($E$6-$C$6)*($D$6-$C$6)),$E$6-SQRT((1-$AB3304)*($E$6-$C$6)*($E$6-$D$6)))</f>
        <v/>
      </c>
      <c r="O3304" s="14">
        <f>_xlfn.NORM.INV($AC3304,$C$7,$D$7)</f>
        <v/>
      </c>
      <c r="P3304" s="14">
        <f>$C$8+($D$8-$C$8)*$AD3304</f>
        <v/>
      </c>
      <c r="Q3304" s="14">
        <f>$C$9</f>
        <v/>
      </c>
      <c r="R3304" s="14">
        <f>_xlfn.LOGNORM.INV($AF3304,LN($C$10)-0.5*LN(1+($D$10/$C$10)^2),SQRT(LN(1+($D$10/$C$10)^2)))</f>
        <v/>
      </c>
      <c r="S3304" s="14">
        <f>SUM(M3304:R3304)</f>
        <v/>
      </c>
      <c r="AA3304">
        <f>RAND()</f>
        <v/>
      </c>
      <c r="AB3304">
        <f>RAND()</f>
        <v/>
      </c>
      <c r="AC3304">
        <f>RAND()</f>
        <v/>
      </c>
      <c r="AD3304">
        <f>RAND()</f>
        <v/>
      </c>
      <c r="AE3304">
        <f>RAND()</f>
        <v/>
      </c>
      <c r="AF3304">
        <f>RAND()</f>
        <v/>
      </c>
    </row>
    <row r="3305">
      <c r="M3305" s="14">
        <f>_xlfn.BETA.INV($AA3305,1+4*($D$5-$C$5)/($E$5-$C$5),1+4*($E$5-$D$5)/($E$5-$C$5),$C$5,$E$5)</f>
        <v/>
      </c>
      <c r="N3305" s="14">
        <f>IF($AB3305&lt;($D$6-$C$6)/($E$6-$C$6),$C$6+SQRT($AB3305*($E$6-$C$6)*($D$6-$C$6)),$E$6-SQRT((1-$AB3305)*($E$6-$C$6)*($E$6-$D$6)))</f>
        <v/>
      </c>
      <c r="O3305" s="14">
        <f>_xlfn.NORM.INV($AC3305,$C$7,$D$7)</f>
        <v/>
      </c>
      <c r="P3305" s="14">
        <f>$C$8+($D$8-$C$8)*$AD3305</f>
        <v/>
      </c>
      <c r="Q3305" s="14">
        <f>$C$9</f>
        <v/>
      </c>
      <c r="R3305" s="14">
        <f>_xlfn.LOGNORM.INV($AF3305,LN($C$10)-0.5*LN(1+($D$10/$C$10)^2),SQRT(LN(1+($D$10/$C$10)^2)))</f>
        <v/>
      </c>
      <c r="S3305" s="14">
        <f>SUM(M3305:R3305)</f>
        <v/>
      </c>
      <c r="AA3305">
        <f>RAND()</f>
        <v/>
      </c>
      <c r="AB3305">
        <f>RAND()</f>
        <v/>
      </c>
      <c r="AC3305">
        <f>RAND()</f>
        <v/>
      </c>
      <c r="AD3305">
        <f>RAND()</f>
        <v/>
      </c>
      <c r="AE3305">
        <f>RAND()</f>
        <v/>
      </c>
      <c r="AF3305">
        <f>RAND()</f>
        <v/>
      </c>
    </row>
    <row r="3306">
      <c r="M3306" s="14">
        <f>_xlfn.BETA.INV($AA3306,1+4*($D$5-$C$5)/($E$5-$C$5),1+4*($E$5-$D$5)/($E$5-$C$5),$C$5,$E$5)</f>
        <v/>
      </c>
      <c r="N3306" s="14">
        <f>IF($AB3306&lt;($D$6-$C$6)/($E$6-$C$6),$C$6+SQRT($AB3306*($E$6-$C$6)*($D$6-$C$6)),$E$6-SQRT((1-$AB3306)*($E$6-$C$6)*($E$6-$D$6)))</f>
        <v/>
      </c>
      <c r="O3306" s="14">
        <f>_xlfn.NORM.INV($AC3306,$C$7,$D$7)</f>
        <v/>
      </c>
      <c r="P3306" s="14">
        <f>$C$8+($D$8-$C$8)*$AD3306</f>
        <v/>
      </c>
      <c r="Q3306" s="14">
        <f>$C$9</f>
        <v/>
      </c>
      <c r="R3306" s="14">
        <f>_xlfn.LOGNORM.INV($AF3306,LN($C$10)-0.5*LN(1+($D$10/$C$10)^2),SQRT(LN(1+($D$10/$C$10)^2)))</f>
        <v/>
      </c>
      <c r="S3306" s="14">
        <f>SUM(M3306:R3306)</f>
        <v/>
      </c>
      <c r="AA3306">
        <f>RAND()</f>
        <v/>
      </c>
      <c r="AB3306">
        <f>RAND()</f>
        <v/>
      </c>
      <c r="AC3306">
        <f>RAND()</f>
        <v/>
      </c>
      <c r="AD3306">
        <f>RAND()</f>
        <v/>
      </c>
      <c r="AE3306">
        <f>RAND()</f>
        <v/>
      </c>
      <c r="AF3306">
        <f>RAND()</f>
        <v/>
      </c>
    </row>
    <row r="3307">
      <c r="M3307" s="14">
        <f>_xlfn.BETA.INV($AA3307,1+4*($D$5-$C$5)/($E$5-$C$5),1+4*($E$5-$D$5)/($E$5-$C$5),$C$5,$E$5)</f>
        <v/>
      </c>
      <c r="N3307" s="14">
        <f>IF($AB3307&lt;($D$6-$C$6)/($E$6-$C$6),$C$6+SQRT($AB3307*($E$6-$C$6)*($D$6-$C$6)),$E$6-SQRT((1-$AB3307)*($E$6-$C$6)*($E$6-$D$6)))</f>
        <v/>
      </c>
      <c r="O3307" s="14">
        <f>_xlfn.NORM.INV($AC3307,$C$7,$D$7)</f>
        <v/>
      </c>
      <c r="P3307" s="14">
        <f>$C$8+($D$8-$C$8)*$AD3307</f>
        <v/>
      </c>
      <c r="Q3307" s="14">
        <f>$C$9</f>
        <v/>
      </c>
      <c r="R3307" s="14">
        <f>_xlfn.LOGNORM.INV($AF3307,LN($C$10)-0.5*LN(1+($D$10/$C$10)^2),SQRT(LN(1+($D$10/$C$10)^2)))</f>
        <v/>
      </c>
      <c r="S3307" s="14">
        <f>SUM(M3307:R3307)</f>
        <v/>
      </c>
      <c r="AA3307">
        <f>RAND()</f>
        <v/>
      </c>
      <c r="AB3307">
        <f>RAND()</f>
        <v/>
      </c>
      <c r="AC3307">
        <f>RAND()</f>
        <v/>
      </c>
      <c r="AD3307">
        <f>RAND()</f>
        <v/>
      </c>
      <c r="AE3307">
        <f>RAND()</f>
        <v/>
      </c>
      <c r="AF3307">
        <f>RAND()</f>
        <v/>
      </c>
    </row>
    <row r="3308">
      <c r="M3308" s="14">
        <f>_xlfn.BETA.INV($AA3308,1+4*($D$5-$C$5)/($E$5-$C$5),1+4*($E$5-$D$5)/($E$5-$C$5),$C$5,$E$5)</f>
        <v/>
      </c>
      <c r="N3308" s="14">
        <f>IF($AB3308&lt;($D$6-$C$6)/($E$6-$C$6),$C$6+SQRT($AB3308*($E$6-$C$6)*($D$6-$C$6)),$E$6-SQRT((1-$AB3308)*($E$6-$C$6)*($E$6-$D$6)))</f>
        <v/>
      </c>
      <c r="O3308" s="14">
        <f>_xlfn.NORM.INV($AC3308,$C$7,$D$7)</f>
        <v/>
      </c>
      <c r="P3308" s="14">
        <f>$C$8+($D$8-$C$8)*$AD3308</f>
        <v/>
      </c>
      <c r="Q3308" s="14">
        <f>$C$9</f>
        <v/>
      </c>
      <c r="R3308" s="14">
        <f>_xlfn.LOGNORM.INV($AF3308,LN($C$10)-0.5*LN(1+($D$10/$C$10)^2),SQRT(LN(1+($D$10/$C$10)^2)))</f>
        <v/>
      </c>
      <c r="S3308" s="14">
        <f>SUM(M3308:R3308)</f>
        <v/>
      </c>
      <c r="AA3308">
        <f>RAND()</f>
        <v/>
      </c>
      <c r="AB3308">
        <f>RAND()</f>
        <v/>
      </c>
      <c r="AC3308">
        <f>RAND()</f>
        <v/>
      </c>
      <c r="AD3308">
        <f>RAND()</f>
        <v/>
      </c>
      <c r="AE3308">
        <f>RAND()</f>
        <v/>
      </c>
      <c r="AF3308">
        <f>RAND()</f>
        <v/>
      </c>
    </row>
    <row r="3309">
      <c r="M3309" s="14">
        <f>_xlfn.BETA.INV($AA3309,1+4*($D$5-$C$5)/($E$5-$C$5),1+4*($E$5-$D$5)/($E$5-$C$5),$C$5,$E$5)</f>
        <v/>
      </c>
      <c r="N3309" s="14">
        <f>IF($AB3309&lt;($D$6-$C$6)/($E$6-$C$6),$C$6+SQRT($AB3309*($E$6-$C$6)*($D$6-$C$6)),$E$6-SQRT((1-$AB3309)*($E$6-$C$6)*($E$6-$D$6)))</f>
        <v/>
      </c>
      <c r="O3309" s="14">
        <f>_xlfn.NORM.INV($AC3309,$C$7,$D$7)</f>
        <v/>
      </c>
      <c r="P3309" s="14">
        <f>$C$8+($D$8-$C$8)*$AD3309</f>
        <v/>
      </c>
      <c r="Q3309" s="14">
        <f>$C$9</f>
        <v/>
      </c>
      <c r="R3309" s="14">
        <f>_xlfn.LOGNORM.INV($AF3309,LN($C$10)-0.5*LN(1+($D$10/$C$10)^2),SQRT(LN(1+($D$10/$C$10)^2)))</f>
        <v/>
      </c>
      <c r="S3309" s="14">
        <f>SUM(M3309:R3309)</f>
        <v/>
      </c>
      <c r="AA3309">
        <f>RAND()</f>
        <v/>
      </c>
      <c r="AB3309">
        <f>RAND()</f>
        <v/>
      </c>
      <c r="AC3309">
        <f>RAND()</f>
        <v/>
      </c>
      <c r="AD3309">
        <f>RAND()</f>
        <v/>
      </c>
      <c r="AE3309">
        <f>RAND()</f>
        <v/>
      </c>
      <c r="AF3309">
        <f>RAND()</f>
        <v/>
      </c>
    </row>
    <row r="3310">
      <c r="M3310" s="14">
        <f>_xlfn.BETA.INV($AA3310,1+4*($D$5-$C$5)/($E$5-$C$5),1+4*($E$5-$D$5)/($E$5-$C$5),$C$5,$E$5)</f>
        <v/>
      </c>
      <c r="N3310" s="14">
        <f>IF($AB3310&lt;($D$6-$C$6)/($E$6-$C$6),$C$6+SQRT($AB3310*($E$6-$C$6)*($D$6-$C$6)),$E$6-SQRT((1-$AB3310)*($E$6-$C$6)*($E$6-$D$6)))</f>
        <v/>
      </c>
      <c r="O3310" s="14">
        <f>_xlfn.NORM.INV($AC3310,$C$7,$D$7)</f>
        <v/>
      </c>
      <c r="P3310" s="14">
        <f>$C$8+($D$8-$C$8)*$AD3310</f>
        <v/>
      </c>
      <c r="Q3310" s="14">
        <f>$C$9</f>
        <v/>
      </c>
      <c r="R3310" s="14">
        <f>_xlfn.LOGNORM.INV($AF3310,LN($C$10)-0.5*LN(1+($D$10/$C$10)^2),SQRT(LN(1+($D$10/$C$10)^2)))</f>
        <v/>
      </c>
      <c r="S3310" s="14">
        <f>SUM(M3310:R3310)</f>
        <v/>
      </c>
      <c r="AA3310">
        <f>RAND()</f>
        <v/>
      </c>
      <c r="AB3310">
        <f>RAND()</f>
        <v/>
      </c>
      <c r="AC3310">
        <f>RAND()</f>
        <v/>
      </c>
      <c r="AD3310">
        <f>RAND()</f>
        <v/>
      </c>
      <c r="AE3310">
        <f>RAND()</f>
        <v/>
      </c>
      <c r="AF3310">
        <f>RAND()</f>
        <v/>
      </c>
    </row>
    <row r="3311">
      <c r="M3311" s="14">
        <f>_xlfn.BETA.INV($AA3311,1+4*($D$5-$C$5)/($E$5-$C$5),1+4*($E$5-$D$5)/($E$5-$C$5),$C$5,$E$5)</f>
        <v/>
      </c>
      <c r="N3311" s="14">
        <f>IF($AB3311&lt;($D$6-$C$6)/($E$6-$C$6),$C$6+SQRT($AB3311*($E$6-$C$6)*($D$6-$C$6)),$E$6-SQRT((1-$AB3311)*($E$6-$C$6)*($E$6-$D$6)))</f>
        <v/>
      </c>
      <c r="O3311" s="14">
        <f>_xlfn.NORM.INV($AC3311,$C$7,$D$7)</f>
        <v/>
      </c>
      <c r="P3311" s="14">
        <f>$C$8+($D$8-$C$8)*$AD3311</f>
        <v/>
      </c>
      <c r="Q3311" s="14">
        <f>$C$9</f>
        <v/>
      </c>
      <c r="R3311" s="14">
        <f>_xlfn.LOGNORM.INV($AF3311,LN($C$10)-0.5*LN(1+($D$10/$C$10)^2),SQRT(LN(1+($D$10/$C$10)^2)))</f>
        <v/>
      </c>
      <c r="S3311" s="14">
        <f>SUM(M3311:R3311)</f>
        <v/>
      </c>
      <c r="AA3311">
        <f>RAND()</f>
        <v/>
      </c>
      <c r="AB3311">
        <f>RAND()</f>
        <v/>
      </c>
      <c r="AC3311">
        <f>RAND()</f>
        <v/>
      </c>
      <c r="AD3311">
        <f>RAND()</f>
        <v/>
      </c>
      <c r="AE3311">
        <f>RAND()</f>
        <v/>
      </c>
      <c r="AF3311">
        <f>RAND()</f>
        <v/>
      </c>
    </row>
    <row r="3312">
      <c r="M3312" s="14">
        <f>_xlfn.BETA.INV($AA3312,1+4*($D$5-$C$5)/($E$5-$C$5),1+4*($E$5-$D$5)/($E$5-$C$5),$C$5,$E$5)</f>
        <v/>
      </c>
      <c r="N3312" s="14">
        <f>IF($AB3312&lt;($D$6-$C$6)/($E$6-$C$6),$C$6+SQRT($AB3312*($E$6-$C$6)*($D$6-$C$6)),$E$6-SQRT((1-$AB3312)*($E$6-$C$6)*($E$6-$D$6)))</f>
        <v/>
      </c>
      <c r="O3312" s="14">
        <f>_xlfn.NORM.INV($AC3312,$C$7,$D$7)</f>
        <v/>
      </c>
      <c r="P3312" s="14">
        <f>$C$8+($D$8-$C$8)*$AD3312</f>
        <v/>
      </c>
      <c r="Q3312" s="14">
        <f>$C$9</f>
        <v/>
      </c>
      <c r="R3312" s="14">
        <f>_xlfn.LOGNORM.INV($AF3312,LN($C$10)-0.5*LN(1+($D$10/$C$10)^2),SQRT(LN(1+($D$10/$C$10)^2)))</f>
        <v/>
      </c>
      <c r="S3312" s="14">
        <f>SUM(M3312:R3312)</f>
        <v/>
      </c>
      <c r="AA3312">
        <f>RAND()</f>
        <v/>
      </c>
      <c r="AB3312">
        <f>RAND()</f>
        <v/>
      </c>
      <c r="AC3312">
        <f>RAND()</f>
        <v/>
      </c>
      <c r="AD3312">
        <f>RAND()</f>
        <v/>
      </c>
      <c r="AE3312">
        <f>RAND()</f>
        <v/>
      </c>
      <c r="AF3312">
        <f>RAND()</f>
        <v/>
      </c>
    </row>
    <row r="3313">
      <c r="M3313" s="14">
        <f>_xlfn.BETA.INV($AA3313,1+4*($D$5-$C$5)/($E$5-$C$5),1+4*($E$5-$D$5)/($E$5-$C$5),$C$5,$E$5)</f>
        <v/>
      </c>
      <c r="N3313" s="14">
        <f>IF($AB3313&lt;($D$6-$C$6)/($E$6-$C$6),$C$6+SQRT($AB3313*($E$6-$C$6)*($D$6-$C$6)),$E$6-SQRT((1-$AB3313)*($E$6-$C$6)*($E$6-$D$6)))</f>
        <v/>
      </c>
      <c r="O3313" s="14">
        <f>_xlfn.NORM.INV($AC3313,$C$7,$D$7)</f>
        <v/>
      </c>
      <c r="P3313" s="14">
        <f>$C$8+($D$8-$C$8)*$AD3313</f>
        <v/>
      </c>
      <c r="Q3313" s="14">
        <f>$C$9</f>
        <v/>
      </c>
      <c r="R3313" s="14">
        <f>_xlfn.LOGNORM.INV($AF3313,LN($C$10)-0.5*LN(1+($D$10/$C$10)^2),SQRT(LN(1+($D$10/$C$10)^2)))</f>
        <v/>
      </c>
      <c r="S3313" s="14">
        <f>SUM(M3313:R3313)</f>
        <v/>
      </c>
      <c r="AA3313">
        <f>RAND()</f>
        <v/>
      </c>
      <c r="AB3313">
        <f>RAND()</f>
        <v/>
      </c>
      <c r="AC3313">
        <f>RAND()</f>
        <v/>
      </c>
      <c r="AD3313">
        <f>RAND()</f>
        <v/>
      </c>
      <c r="AE3313">
        <f>RAND()</f>
        <v/>
      </c>
      <c r="AF3313">
        <f>RAND()</f>
        <v/>
      </c>
    </row>
    <row r="3314">
      <c r="M3314" s="14">
        <f>_xlfn.BETA.INV($AA3314,1+4*($D$5-$C$5)/($E$5-$C$5),1+4*($E$5-$D$5)/($E$5-$C$5),$C$5,$E$5)</f>
        <v/>
      </c>
      <c r="N3314" s="14">
        <f>IF($AB3314&lt;($D$6-$C$6)/($E$6-$C$6),$C$6+SQRT($AB3314*($E$6-$C$6)*($D$6-$C$6)),$E$6-SQRT((1-$AB3314)*($E$6-$C$6)*($E$6-$D$6)))</f>
        <v/>
      </c>
      <c r="O3314" s="14">
        <f>_xlfn.NORM.INV($AC3314,$C$7,$D$7)</f>
        <v/>
      </c>
      <c r="P3314" s="14">
        <f>$C$8+($D$8-$C$8)*$AD3314</f>
        <v/>
      </c>
      <c r="Q3314" s="14">
        <f>$C$9</f>
        <v/>
      </c>
      <c r="R3314" s="14">
        <f>_xlfn.LOGNORM.INV($AF3314,LN($C$10)-0.5*LN(1+($D$10/$C$10)^2),SQRT(LN(1+($D$10/$C$10)^2)))</f>
        <v/>
      </c>
      <c r="S3314" s="14">
        <f>SUM(M3314:R3314)</f>
        <v/>
      </c>
      <c r="AA3314">
        <f>RAND()</f>
        <v/>
      </c>
      <c r="AB3314">
        <f>RAND()</f>
        <v/>
      </c>
      <c r="AC3314">
        <f>RAND()</f>
        <v/>
      </c>
      <c r="AD3314">
        <f>RAND()</f>
        <v/>
      </c>
      <c r="AE3314">
        <f>RAND()</f>
        <v/>
      </c>
      <c r="AF3314">
        <f>RAND()</f>
        <v/>
      </c>
    </row>
    <row r="3315">
      <c r="M3315" s="14">
        <f>_xlfn.BETA.INV($AA3315,1+4*($D$5-$C$5)/($E$5-$C$5),1+4*($E$5-$D$5)/($E$5-$C$5),$C$5,$E$5)</f>
        <v/>
      </c>
      <c r="N3315" s="14">
        <f>IF($AB3315&lt;($D$6-$C$6)/($E$6-$C$6),$C$6+SQRT($AB3315*($E$6-$C$6)*($D$6-$C$6)),$E$6-SQRT((1-$AB3315)*($E$6-$C$6)*($E$6-$D$6)))</f>
        <v/>
      </c>
      <c r="O3315" s="14">
        <f>_xlfn.NORM.INV($AC3315,$C$7,$D$7)</f>
        <v/>
      </c>
      <c r="P3315" s="14">
        <f>$C$8+($D$8-$C$8)*$AD3315</f>
        <v/>
      </c>
      <c r="Q3315" s="14">
        <f>$C$9</f>
        <v/>
      </c>
      <c r="R3315" s="14">
        <f>_xlfn.LOGNORM.INV($AF3315,LN($C$10)-0.5*LN(1+($D$10/$C$10)^2),SQRT(LN(1+($D$10/$C$10)^2)))</f>
        <v/>
      </c>
      <c r="S3315" s="14">
        <f>SUM(M3315:R3315)</f>
        <v/>
      </c>
      <c r="AA3315">
        <f>RAND()</f>
        <v/>
      </c>
      <c r="AB3315">
        <f>RAND()</f>
        <v/>
      </c>
      <c r="AC3315">
        <f>RAND()</f>
        <v/>
      </c>
      <c r="AD3315">
        <f>RAND()</f>
        <v/>
      </c>
      <c r="AE3315">
        <f>RAND()</f>
        <v/>
      </c>
      <c r="AF3315">
        <f>RAND()</f>
        <v/>
      </c>
    </row>
    <row r="3316">
      <c r="M3316" s="14">
        <f>_xlfn.BETA.INV($AA3316,1+4*($D$5-$C$5)/($E$5-$C$5),1+4*($E$5-$D$5)/($E$5-$C$5),$C$5,$E$5)</f>
        <v/>
      </c>
      <c r="N3316" s="14">
        <f>IF($AB3316&lt;($D$6-$C$6)/($E$6-$C$6),$C$6+SQRT($AB3316*($E$6-$C$6)*($D$6-$C$6)),$E$6-SQRT((1-$AB3316)*($E$6-$C$6)*($E$6-$D$6)))</f>
        <v/>
      </c>
      <c r="O3316" s="14">
        <f>_xlfn.NORM.INV($AC3316,$C$7,$D$7)</f>
        <v/>
      </c>
      <c r="P3316" s="14">
        <f>$C$8+($D$8-$C$8)*$AD3316</f>
        <v/>
      </c>
      <c r="Q3316" s="14">
        <f>$C$9</f>
        <v/>
      </c>
      <c r="R3316" s="14">
        <f>_xlfn.LOGNORM.INV($AF3316,LN($C$10)-0.5*LN(1+($D$10/$C$10)^2),SQRT(LN(1+($D$10/$C$10)^2)))</f>
        <v/>
      </c>
      <c r="S3316" s="14">
        <f>SUM(M3316:R3316)</f>
        <v/>
      </c>
      <c r="AA3316">
        <f>RAND()</f>
        <v/>
      </c>
      <c r="AB3316">
        <f>RAND()</f>
        <v/>
      </c>
      <c r="AC3316">
        <f>RAND()</f>
        <v/>
      </c>
      <c r="AD3316">
        <f>RAND()</f>
        <v/>
      </c>
      <c r="AE3316">
        <f>RAND()</f>
        <v/>
      </c>
      <c r="AF3316">
        <f>RAND()</f>
        <v/>
      </c>
    </row>
    <row r="3317">
      <c r="M3317" s="14">
        <f>_xlfn.BETA.INV($AA3317,1+4*($D$5-$C$5)/($E$5-$C$5),1+4*($E$5-$D$5)/($E$5-$C$5),$C$5,$E$5)</f>
        <v/>
      </c>
      <c r="N3317" s="14">
        <f>IF($AB3317&lt;($D$6-$C$6)/($E$6-$C$6),$C$6+SQRT($AB3317*($E$6-$C$6)*($D$6-$C$6)),$E$6-SQRT((1-$AB3317)*($E$6-$C$6)*($E$6-$D$6)))</f>
        <v/>
      </c>
      <c r="O3317" s="14">
        <f>_xlfn.NORM.INV($AC3317,$C$7,$D$7)</f>
        <v/>
      </c>
      <c r="P3317" s="14">
        <f>$C$8+($D$8-$C$8)*$AD3317</f>
        <v/>
      </c>
      <c r="Q3317" s="14">
        <f>$C$9</f>
        <v/>
      </c>
      <c r="R3317" s="14">
        <f>_xlfn.LOGNORM.INV($AF3317,LN($C$10)-0.5*LN(1+($D$10/$C$10)^2),SQRT(LN(1+($D$10/$C$10)^2)))</f>
        <v/>
      </c>
      <c r="S3317" s="14">
        <f>SUM(M3317:R3317)</f>
        <v/>
      </c>
      <c r="AA3317">
        <f>RAND()</f>
        <v/>
      </c>
      <c r="AB3317">
        <f>RAND()</f>
        <v/>
      </c>
      <c r="AC3317">
        <f>RAND()</f>
        <v/>
      </c>
      <c r="AD3317">
        <f>RAND()</f>
        <v/>
      </c>
      <c r="AE3317">
        <f>RAND()</f>
        <v/>
      </c>
      <c r="AF3317">
        <f>RAND()</f>
        <v/>
      </c>
    </row>
    <row r="3318">
      <c r="M3318" s="14">
        <f>_xlfn.BETA.INV($AA3318,1+4*($D$5-$C$5)/($E$5-$C$5),1+4*($E$5-$D$5)/($E$5-$C$5),$C$5,$E$5)</f>
        <v/>
      </c>
      <c r="N3318" s="14">
        <f>IF($AB3318&lt;($D$6-$C$6)/($E$6-$C$6),$C$6+SQRT($AB3318*($E$6-$C$6)*($D$6-$C$6)),$E$6-SQRT((1-$AB3318)*($E$6-$C$6)*($E$6-$D$6)))</f>
        <v/>
      </c>
      <c r="O3318" s="14">
        <f>_xlfn.NORM.INV($AC3318,$C$7,$D$7)</f>
        <v/>
      </c>
      <c r="P3318" s="14">
        <f>$C$8+($D$8-$C$8)*$AD3318</f>
        <v/>
      </c>
      <c r="Q3318" s="14">
        <f>$C$9</f>
        <v/>
      </c>
      <c r="R3318" s="14">
        <f>_xlfn.LOGNORM.INV($AF3318,LN($C$10)-0.5*LN(1+($D$10/$C$10)^2),SQRT(LN(1+($D$10/$C$10)^2)))</f>
        <v/>
      </c>
      <c r="S3318" s="14">
        <f>SUM(M3318:R3318)</f>
        <v/>
      </c>
      <c r="AA3318">
        <f>RAND()</f>
        <v/>
      </c>
      <c r="AB3318">
        <f>RAND()</f>
        <v/>
      </c>
      <c r="AC3318">
        <f>RAND()</f>
        <v/>
      </c>
      <c r="AD3318">
        <f>RAND()</f>
        <v/>
      </c>
      <c r="AE3318">
        <f>RAND()</f>
        <v/>
      </c>
      <c r="AF3318">
        <f>RAND()</f>
        <v/>
      </c>
    </row>
    <row r="3319">
      <c r="M3319" s="14">
        <f>_xlfn.BETA.INV($AA3319,1+4*($D$5-$C$5)/($E$5-$C$5),1+4*($E$5-$D$5)/($E$5-$C$5),$C$5,$E$5)</f>
        <v/>
      </c>
      <c r="N3319" s="14">
        <f>IF($AB3319&lt;($D$6-$C$6)/($E$6-$C$6),$C$6+SQRT($AB3319*($E$6-$C$6)*($D$6-$C$6)),$E$6-SQRT((1-$AB3319)*($E$6-$C$6)*($E$6-$D$6)))</f>
        <v/>
      </c>
      <c r="O3319" s="14">
        <f>_xlfn.NORM.INV($AC3319,$C$7,$D$7)</f>
        <v/>
      </c>
      <c r="P3319" s="14">
        <f>$C$8+($D$8-$C$8)*$AD3319</f>
        <v/>
      </c>
      <c r="Q3319" s="14">
        <f>$C$9</f>
        <v/>
      </c>
      <c r="R3319" s="14">
        <f>_xlfn.LOGNORM.INV($AF3319,LN($C$10)-0.5*LN(1+($D$10/$C$10)^2),SQRT(LN(1+($D$10/$C$10)^2)))</f>
        <v/>
      </c>
      <c r="S3319" s="14">
        <f>SUM(M3319:R3319)</f>
        <v/>
      </c>
      <c r="AA3319">
        <f>RAND()</f>
        <v/>
      </c>
      <c r="AB3319">
        <f>RAND()</f>
        <v/>
      </c>
      <c r="AC3319">
        <f>RAND()</f>
        <v/>
      </c>
      <c r="AD3319">
        <f>RAND()</f>
        <v/>
      </c>
      <c r="AE3319">
        <f>RAND()</f>
        <v/>
      </c>
      <c r="AF3319">
        <f>RAND()</f>
        <v/>
      </c>
    </row>
    <row r="3320">
      <c r="M3320" s="14">
        <f>_xlfn.BETA.INV($AA3320,1+4*($D$5-$C$5)/($E$5-$C$5),1+4*($E$5-$D$5)/($E$5-$C$5),$C$5,$E$5)</f>
        <v/>
      </c>
      <c r="N3320" s="14">
        <f>IF($AB3320&lt;($D$6-$C$6)/($E$6-$C$6),$C$6+SQRT($AB3320*($E$6-$C$6)*($D$6-$C$6)),$E$6-SQRT((1-$AB3320)*($E$6-$C$6)*($E$6-$D$6)))</f>
        <v/>
      </c>
      <c r="O3320" s="14">
        <f>_xlfn.NORM.INV($AC3320,$C$7,$D$7)</f>
        <v/>
      </c>
      <c r="P3320" s="14">
        <f>$C$8+($D$8-$C$8)*$AD3320</f>
        <v/>
      </c>
      <c r="Q3320" s="14">
        <f>$C$9</f>
        <v/>
      </c>
      <c r="R3320" s="14">
        <f>_xlfn.LOGNORM.INV($AF3320,LN($C$10)-0.5*LN(1+($D$10/$C$10)^2),SQRT(LN(1+($D$10/$C$10)^2)))</f>
        <v/>
      </c>
      <c r="S3320" s="14">
        <f>SUM(M3320:R3320)</f>
        <v/>
      </c>
      <c r="AA3320">
        <f>RAND()</f>
        <v/>
      </c>
      <c r="AB3320">
        <f>RAND()</f>
        <v/>
      </c>
      <c r="AC3320">
        <f>RAND()</f>
        <v/>
      </c>
      <c r="AD3320">
        <f>RAND()</f>
        <v/>
      </c>
      <c r="AE3320">
        <f>RAND()</f>
        <v/>
      </c>
      <c r="AF3320">
        <f>RAND()</f>
        <v/>
      </c>
    </row>
    <row r="3321">
      <c r="M3321" s="14">
        <f>_xlfn.BETA.INV($AA3321,1+4*($D$5-$C$5)/($E$5-$C$5),1+4*($E$5-$D$5)/($E$5-$C$5),$C$5,$E$5)</f>
        <v/>
      </c>
      <c r="N3321" s="14">
        <f>IF($AB3321&lt;($D$6-$C$6)/($E$6-$C$6),$C$6+SQRT($AB3321*($E$6-$C$6)*($D$6-$C$6)),$E$6-SQRT((1-$AB3321)*($E$6-$C$6)*($E$6-$D$6)))</f>
        <v/>
      </c>
      <c r="O3321" s="14">
        <f>_xlfn.NORM.INV($AC3321,$C$7,$D$7)</f>
        <v/>
      </c>
      <c r="P3321" s="14">
        <f>$C$8+($D$8-$C$8)*$AD3321</f>
        <v/>
      </c>
      <c r="Q3321" s="14">
        <f>$C$9</f>
        <v/>
      </c>
      <c r="R3321" s="14">
        <f>_xlfn.LOGNORM.INV($AF3321,LN($C$10)-0.5*LN(1+($D$10/$C$10)^2),SQRT(LN(1+($D$10/$C$10)^2)))</f>
        <v/>
      </c>
      <c r="S3321" s="14">
        <f>SUM(M3321:R3321)</f>
        <v/>
      </c>
      <c r="AA3321">
        <f>RAND()</f>
        <v/>
      </c>
      <c r="AB3321">
        <f>RAND()</f>
        <v/>
      </c>
      <c r="AC3321">
        <f>RAND()</f>
        <v/>
      </c>
      <c r="AD3321">
        <f>RAND()</f>
        <v/>
      </c>
      <c r="AE3321">
        <f>RAND()</f>
        <v/>
      </c>
      <c r="AF3321">
        <f>RAND()</f>
        <v/>
      </c>
    </row>
    <row r="3322">
      <c r="M3322" s="14">
        <f>_xlfn.BETA.INV($AA3322,1+4*($D$5-$C$5)/($E$5-$C$5),1+4*($E$5-$D$5)/($E$5-$C$5),$C$5,$E$5)</f>
        <v/>
      </c>
      <c r="N3322" s="14">
        <f>IF($AB3322&lt;($D$6-$C$6)/($E$6-$C$6),$C$6+SQRT($AB3322*($E$6-$C$6)*($D$6-$C$6)),$E$6-SQRT((1-$AB3322)*($E$6-$C$6)*($E$6-$D$6)))</f>
        <v/>
      </c>
      <c r="O3322" s="14">
        <f>_xlfn.NORM.INV($AC3322,$C$7,$D$7)</f>
        <v/>
      </c>
      <c r="P3322" s="14">
        <f>$C$8+($D$8-$C$8)*$AD3322</f>
        <v/>
      </c>
      <c r="Q3322" s="14">
        <f>$C$9</f>
        <v/>
      </c>
      <c r="R3322" s="14">
        <f>_xlfn.LOGNORM.INV($AF3322,LN($C$10)-0.5*LN(1+($D$10/$C$10)^2),SQRT(LN(1+($D$10/$C$10)^2)))</f>
        <v/>
      </c>
      <c r="S3322" s="14">
        <f>SUM(M3322:R3322)</f>
        <v/>
      </c>
      <c r="AA3322">
        <f>RAND()</f>
        <v/>
      </c>
      <c r="AB3322">
        <f>RAND()</f>
        <v/>
      </c>
      <c r="AC3322">
        <f>RAND()</f>
        <v/>
      </c>
      <c r="AD3322">
        <f>RAND()</f>
        <v/>
      </c>
      <c r="AE3322">
        <f>RAND()</f>
        <v/>
      </c>
      <c r="AF3322">
        <f>RAND()</f>
        <v/>
      </c>
    </row>
    <row r="3323">
      <c r="M3323" s="14">
        <f>_xlfn.BETA.INV($AA3323,1+4*($D$5-$C$5)/($E$5-$C$5),1+4*($E$5-$D$5)/($E$5-$C$5),$C$5,$E$5)</f>
        <v/>
      </c>
      <c r="N3323" s="14">
        <f>IF($AB3323&lt;($D$6-$C$6)/($E$6-$C$6),$C$6+SQRT($AB3323*($E$6-$C$6)*($D$6-$C$6)),$E$6-SQRT((1-$AB3323)*($E$6-$C$6)*($E$6-$D$6)))</f>
        <v/>
      </c>
      <c r="O3323" s="14">
        <f>_xlfn.NORM.INV($AC3323,$C$7,$D$7)</f>
        <v/>
      </c>
      <c r="P3323" s="14">
        <f>$C$8+($D$8-$C$8)*$AD3323</f>
        <v/>
      </c>
      <c r="Q3323" s="14">
        <f>$C$9</f>
        <v/>
      </c>
      <c r="R3323" s="14">
        <f>_xlfn.LOGNORM.INV($AF3323,LN($C$10)-0.5*LN(1+($D$10/$C$10)^2),SQRT(LN(1+($D$10/$C$10)^2)))</f>
        <v/>
      </c>
      <c r="S3323" s="14">
        <f>SUM(M3323:R3323)</f>
        <v/>
      </c>
      <c r="AA3323">
        <f>RAND()</f>
        <v/>
      </c>
      <c r="AB3323">
        <f>RAND()</f>
        <v/>
      </c>
      <c r="AC3323">
        <f>RAND()</f>
        <v/>
      </c>
      <c r="AD3323">
        <f>RAND()</f>
        <v/>
      </c>
      <c r="AE3323">
        <f>RAND()</f>
        <v/>
      </c>
      <c r="AF3323">
        <f>RAND()</f>
        <v/>
      </c>
    </row>
    <row r="3324">
      <c r="M3324" s="14">
        <f>_xlfn.BETA.INV($AA3324,1+4*($D$5-$C$5)/($E$5-$C$5),1+4*($E$5-$D$5)/($E$5-$C$5),$C$5,$E$5)</f>
        <v/>
      </c>
      <c r="N3324" s="14">
        <f>IF($AB3324&lt;($D$6-$C$6)/($E$6-$C$6),$C$6+SQRT($AB3324*($E$6-$C$6)*($D$6-$C$6)),$E$6-SQRT((1-$AB3324)*($E$6-$C$6)*($E$6-$D$6)))</f>
        <v/>
      </c>
      <c r="O3324" s="14">
        <f>_xlfn.NORM.INV($AC3324,$C$7,$D$7)</f>
        <v/>
      </c>
      <c r="P3324" s="14">
        <f>$C$8+($D$8-$C$8)*$AD3324</f>
        <v/>
      </c>
      <c r="Q3324" s="14">
        <f>$C$9</f>
        <v/>
      </c>
      <c r="R3324" s="14">
        <f>_xlfn.LOGNORM.INV($AF3324,LN($C$10)-0.5*LN(1+($D$10/$C$10)^2),SQRT(LN(1+($D$10/$C$10)^2)))</f>
        <v/>
      </c>
      <c r="S3324" s="14">
        <f>SUM(M3324:R3324)</f>
        <v/>
      </c>
      <c r="AA3324">
        <f>RAND()</f>
        <v/>
      </c>
      <c r="AB3324">
        <f>RAND()</f>
        <v/>
      </c>
      <c r="AC3324">
        <f>RAND()</f>
        <v/>
      </c>
      <c r="AD3324">
        <f>RAND()</f>
        <v/>
      </c>
      <c r="AE3324">
        <f>RAND()</f>
        <v/>
      </c>
      <c r="AF3324">
        <f>RAND()</f>
        <v/>
      </c>
    </row>
    <row r="3325">
      <c r="M3325" s="14">
        <f>_xlfn.BETA.INV($AA3325,1+4*($D$5-$C$5)/($E$5-$C$5),1+4*($E$5-$D$5)/($E$5-$C$5),$C$5,$E$5)</f>
        <v/>
      </c>
      <c r="N3325" s="14">
        <f>IF($AB3325&lt;($D$6-$C$6)/($E$6-$C$6),$C$6+SQRT($AB3325*($E$6-$C$6)*($D$6-$C$6)),$E$6-SQRT((1-$AB3325)*($E$6-$C$6)*($E$6-$D$6)))</f>
        <v/>
      </c>
      <c r="O3325" s="14">
        <f>_xlfn.NORM.INV($AC3325,$C$7,$D$7)</f>
        <v/>
      </c>
      <c r="P3325" s="14">
        <f>$C$8+($D$8-$C$8)*$AD3325</f>
        <v/>
      </c>
      <c r="Q3325" s="14">
        <f>$C$9</f>
        <v/>
      </c>
      <c r="R3325" s="14">
        <f>_xlfn.LOGNORM.INV($AF3325,LN($C$10)-0.5*LN(1+($D$10/$C$10)^2),SQRT(LN(1+($D$10/$C$10)^2)))</f>
        <v/>
      </c>
      <c r="S3325" s="14">
        <f>SUM(M3325:R3325)</f>
        <v/>
      </c>
      <c r="AA3325">
        <f>RAND()</f>
        <v/>
      </c>
      <c r="AB3325">
        <f>RAND()</f>
        <v/>
      </c>
      <c r="AC3325">
        <f>RAND()</f>
        <v/>
      </c>
      <c r="AD3325">
        <f>RAND()</f>
        <v/>
      </c>
      <c r="AE3325">
        <f>RAND()</f>
        <v/>
      </c>
      <c r="AF3325">
        <f>RAND()</f>
        <v/>
      </c>
    </row>
    <row r="3326">
      <c r="M3326" s="14">
        <f>_xlfn.BETA.INV($AA3326,1+4*($D$5-$C$5)/($E$5-$C$5),1+4*($E$5-$D$5)/($E$5-$C$5),$C$5,$E$5)</f>
        <v/>
      </c>
      <c r="N3326" s="14">
        <f>IF($AB3326&lt;($D$6-$C$6)/($E$6-$C$6),$C$6+SQRT($AB3326*($E$6-$C$6)*($D$6-$C$6)),$E$6-SQRT((1-$AB3326)*($E$6-$C$6)*($E$6-$D$6)))</f>
        <v/>
      </c>
      <c r="O3326" s="14">
        <f>_xlfn.NORM.INV($AC3326,$C$7,$D$7)</f>
        <v/>
      </c>
      <c r="P3326" s="14">
        <f>$C$8+($D$8-$C$8)*$AD3326</f>
        <v/>
      </c>
      <c r="Q3326" s="14">
        <f>$C$9</f>
        <v/>
      </c>
      <c r="R3326" s="14">
        <f>_xlfn.LOGNORM.INV($AF3326,LN($C$10)-0.5*LN(1+($D$10/$C$10)^2),SQRT(LN(1+($D$10/$C$10)^2)))</f>
        <v/>
      </c>
      <c r="S3326" s="14">
        <f>SUM(M3326:R3326)</f>
        <v/>
      </c>
      <c r="AA3326">
        <f>RAND()</f>
        <v/>
      </c>
      <c r="AB3326">
        <f>RAND()</f>
        <v/>
      </c>
      <c r="AC3326">
        <f>RAND()</f>
        <v/>
      </c>
      <c r="AD3326">
        <f>RAND()</f>
        <v/>
      </c>
      <c r="AE3326">
        <f>RAND()</f>
        <v/>
      </c>
      <c r="AF3326">
        <f>RAND()</f>
        <v/>
      </c>
    </row>
    <row r="3327">
      <c r="M3327" s="14">
        <f>_xlfn.BETA.INV($AA3327,1+4*($D$5-$C$5)/($E$5-$C$5),1+4*($E$5-$D$5)/($E$5-$C$5),$C$5,$E$5)</f>
        <v/>
      </c>
      <c r="N3327" s="14">
        <f>IF($AB3327&lt;($D$6-$C$6)/($E$6-$C$6),$C$6+SQRT($AB3327*($E$6-$C$6)*($D$6-$C$6)),$E$6-SQRT((1-$AB3327)*($E$6-$C$6)*($E$6-$D$6)))</f>
        <v/>
      </c>
      <c r="O3327" s="14">
        <f>_xlfn.NORM.INV($AC3327,$C$7,$D$7)</f>
        <v/>
      </c>
      <c r="P3327" s="14">
        <f>$C$8+($D$8-$C$8)*$AD3327</f>
        <v/>
      </c>
      <c r="Q3327" s="14">
        <f>$C$9</f>
        <v/>
      </c>
      <c r="R3327" s="14">
        <f>_xlfn.LOGNORM.INV($AF3327,LN($C$10)-0.5*LN(1+($D$10/$C$10)^2),SQRT(LN(1+($D$10/$C$10)^2)))</f>
        <v/>
      </c>
      <c r="S3327" s="14">
        <f>SUM(M3327:R3327)</f>
        <v/>
      </c>
      <c r="AA3327">
        <f>RAND()</f>
        <v/>
      </c>
      <c r="AB3327">
        <f>RAND()</f>
        <v/>
      </c>
      <c r="AC3327">
        <f>RAND()</f>
        <v/>
      </c>
      <c r="AD3327">
        <f>RAND()</f>
        <v/>
      </c>
      <c r="AE3327">
        <f>RAND()</f>
        <v/>
      </c>
      <c r="AF3327">
        <f>RAND()</f>
        <v/>
      </c>
    </row>
    <row r="3328">
      <c r="M3328" s="14">
        <f>_xlfn.BETA.INV($AA3328,1+4*($D$5-$C$5)/($E$5-$C$5),1+4*($E$5-$D$5)/($E$5-$C$5),$C$5,$E$5)</f>
        <v/>
      </c>
      <c r="N3328" s="14">
        <f>IF($AB3328&lt;($D$6-$C$6)/($E$6-$C$6),$C$6+SQRT($AB3328*($E$6-$C$6)*($D$6-$C$6)),$E$6-SQRT((1-$AB3328)*($E$6-$C$6)*($E$6-$D$6)))</f>
        <v/>
      </c>
      <c r="O3328" s="14">
        <f>_xlfn.NORM.INV($AC3328,$C$7,$D$7)</f>
        <v/>
      </c>
      <c r="P3328" s="14">
        <f>$C$8+($D$8-$C$8)*$AD3328</f>
        <v/>
      </c>
      <c r="Q3328" s="14">
        <f>$C$9</f>
        <v/>
      </c>
      <c r="R3328" s="14">
        <f>_xlfn.LOGNORM.INV($AF3328,LN($C$10)-0.5*LN(1+($D$10/$C$10)^2),SQRT(LN(1+($D$10/$C$10)^2)))</f>
        <v/>
      </c>
      <c r="S3328" s="14">
        <f>SUM(M3328:R3328)</f>
        <v/>
      </c>
      <c r="AA3328">
        <f>RAND()</f>
        <v/>
      </c>
      <c r="AB3328">
        <f>RAND()</f>
        <v/>
      </c>
      <c r="AC3328">
        <f>RAND()</f>
        <v/>
      </c>
      <c r="AD3328">
        <f>RAND()</f>
        <v/>
      </c>
      <c r="AE3328">
        <f>RAND()</f>
        <v/>
      </c>
      <c r="AF3328">
        <f>RAND()</f>
        <v/>
      </c>
    </row>
    <row r="3329">
      <c r="M3329" s="14">
        <f>_xlfn.BETA.INV($AA3329,1+4*($D$5-$C$5)/($E$5-$C$5),1+4*($E$5-$D$5)/($E$5-$C$5),$C$5,$E$5)</f>
        <v/>
      </c>
      <c r="N3329" s="14">
        <f>IF($AB3329&lt;($D$6-$C$6)/($E$6-$C$6),$C$6+SQRT($AB3329*($E$6-$C$6)*($D$6-$C$6)),$E$6-SQRT((1-$AB3329)*($E$6-$C$6)*($E$6-$D$6)))</f>
        <v/>
      </c>
      <c r="O3329" s="14">
        <f>_xlfn.NORM.INV($AC3329,$C$7,$D$7)</f>
        <v/>
      </c>
      <c r="P3329" s="14">
        <f>$C$8+($D$8-$C$8)*$AD3329</f>
        <v/>
      </c>
      <c r="Q3329" s="14">
        <f>$C$9</f>
        <v/>
      </c>
      <c r="R3329" s="14">
        <f>_xlfn.LOGNORM.INV($AF3329,LN($C$10)-0.5*LN(1+($D$10/$C$10)^2),SQRT(LN(1+($D$10/$C$10)^2)))</f>
        <v/>
      </c>
      <c r="S3329" s="14">
        <f>SUM(M3329:R3329)</f>
        <v/>
      </c>
      <c r="AA3329">
        <f>RAND()</f>
        <v/>
      </c>
      <c r="AB3329">
        <f>RAND()</f>
        <v/>
      </c>
      <c r="AC3329">
        <f>RAND()</f>
        <v/>
      </c>
      <c r="AD3329">
        <f>RAND()</f>
        <v/>
      </c>
      <c r="AE3329">
        <f>RAND()</f>
        <v/>
      </c>
      <c r="AF3329">
        <f>RAND()</f>
        <v/>
      </c>
    </row>
    <row r="3330">
      <c r="M3330" s="14">
        <f>_xlfn.BETA.INV($AA3330,1+4*($D$5-$C$5)/($E$5-$C$5),1+4*($E$5-$D$5)/($E$5-$C$5),$C$5,$E$5)</f>
        <v/>
      </c>
      <c r="N3330" s="14">
        <f>IF($AB3330&lt;($D$6-$C$6)/($E$6-$C$6),$C$6+SQRT($AB3330*($E$6-$C$6)*($D$6-$C$6)),$E$6-SQRT((1-$AB3330)*($E$6-$C$6)*($E$6-$D$6)))</f>
        <v/>
      </c>
      <c r="O3330" s="14">
        <f>_xlfn.NORM.INV($AC3330,$C$7,$D$7)</f>
        <v/>
      </c>
      <c r="P3330" s="14">
        <f>$C$8+($D$8-$C$8)*$AD3330</f>
        <v/>
      </c>
      <c r="Q3330" s="14">
        <f>$C$9</f>
        <v/>
      </c>
      <c r="R3330" s="14">
        <f>_xlfn.LOGNORM.INV($AF3330,LN($C$10)-0.5*LN(1+($D$10/$C$10)^2),SQRT(LN(1+($D$10/$C$10)^2)))</f>
        <v/>
      </c>
      <c r="S3330" s="14">
        <f>SUM(M3330:R3330)</f>
        <v/>
      </c>
      <c r="AA3330">
        <f>RAND()</f>
        <v/>
      </c>
      <c r="AB3330">
        <f>RAND()</f>
        <v/>
      </c>
      <c r="AC3330">
        <f>RAND()</f>
        <v/>
      </c>
      <c r="AD3330">
        <f>RAND()</f>
        <v/>
      </c>
      <c r="AE3330">
        <f>RAND()</f>
        <v/>
      </c>
      <c r="AF3330">
        <f>RAND()</f>
        <v/>
      </c>
    </row>
    <row r="3331">
      <c r="M3331" s="14">
        <f>_xlfn.BETA.INV($AA3331,1+4*($D$5-$C$5)/($E$5-$C$5),1+4*($E$5-$D$5)/($E$5-$C$5),$C$5,$E$5)</f>
        <v/>
      </c>
      <c r="N3331" s="14">
        <f>IF($AB3331&lt;($D$6-$C$6)/($E$6-$C$6),$C$6+SQRT($AB3331*($E$6-$C$6)*($D$6-$C$6)),$E$6-SQRT((1-$AB3331)*($E$6-$C$6)*($E$6-$D$6)))</f>
        <v/>
      </c>
      <c r="O3331" s="14">
        <f>_xlfn.NORM.INV($AC3331,$C$7,$D$7)</f>
        <v/>
      </c>
      <c r="P3331" s="14">
        <f>$C$8+($D$8-$C$8)*$AD3331</f>
        <v/>
      </c>
      <c r="Q3331" s="14">
        <f>$C$9</f>
        <v/>
      </c>
      <c r="R3331" s="14">
        <f>_xlfn.LOGNORM.INV($AF3331,LN($C$10)-0.5*LN(1+($D$10/$C$10)^2),SQRT(LN(1+($D$10/$C$10)^2)))</f>
        <v/>
      </c>
      <c r="S3331" s="14">
        <f>SUM(M3331:R3331)</f>
        <v/>
      </c>
      <c r="AA3331">
        <f>RAND()</f>
        <v/>
      </c>
      <c r="AB3331">
        <f>RAND()</f>
        <v/>
      </c>
      <c r="AC3331">
        <f>RAND()</f>
        <v/>
      </c>
      <c r="AD3331">
        <f>RAND()</f>
        <v/>
      </c>
      <c r="AE3331">
        <f>RAND()</f>
        <v/>
      </c>
      <c r="AF3331">
        <f>RAND()</f>
        <v/>
      </c>
    </row>
    <row r="3332">
      <c r="M3332" s="14">
        <f>_xlfn.BETA.INV($AA3332,1+4*($D$5-$C$5)/($E$5-$C$5),1+4*($E$5-$D$5)/($E$5-$C$5),$C$5,$E$5)</f>
        <v/>
      </c>
      <c r="N3332" s="14">
        <f>IF($AB3332&lt;($D$6-$C$6)/($E$6-$C$6),$C$6+SQRT($AB3332*($E$6-$C$6)*($D$6-$C$6)),$E$6-SQRT((1-$AB3332)*($E$6-$C$6)*($E$6-$D$6)))</f>
        <v/>
      </c>
      <c r="O3332" s="14">
        <f>_xlfn.NORM.INV($AC3332,$C$7,$D$7)</f>
        <v/>
      </c>
      <c r="P3332" s="14">
        <f>$C$8+($D$8-$C$8)*$AD3332</f>
        <v/>
      </c>
      <c r="Q3332" s="14">
        <f>$C$9</f>
        <v/>
      </c>
      <c r="R3332" s="14">
        <f>_xlfn.LOGNORM.INV($AF3332,LN($C$10)-0.5*LN(1+($D$10/$C$10)^2),SQRT(LN(1+($D$10/$C$10)^2)))</f>
        <v/>
      </c>
      <c r="S3332" s="14">
        <f>SUM(M3332:R3332)</f>
        <v/>
      </c>
      <c r="AA3332">
        <f>RAND()</f>
        <v/>
      </c>
      <c r="AB3332">
        <f>RAND()</f>
        <v/>
      </c>
      <c r="AC3332">
        <f>RAND()</f>
        <v/>
      </c>
      <c r="AD3332">
        <f>RAND()</f>
        <v/>
      </c>
      <c r="AE3332">
        <f>RAND()</f>
        <v/>
      </c>
      <c r="AF3332">
        <f>RAND()</f>
        <v/>
      </c>
    </row>
    <row r="3333">
      <c r="M3333" s="14">
        <f>_xlfn.BETA.INV($AA3333,1+4*($D$5-$C$5)/($E$5-$C$5),1+4*($E$5-$D$5)/($E$5-$C$5),$C$5,$E$5)</f>
        <v/>
      </c>
      <c r="N3333" s="14">
        <f>IF($AB3333&lt;($D$6-$C$6)/($E$6-$C$6),$C$6+SQRT($AB3333*($E$6-$C$6)*($D$6-$C$6)),$E$6-SQRT((1-$AB3333)*($E$6-$C$6)*($E$6-$D$6)))</f>
        <v/>
      </c>
      <c r="O3333" s="14">
        <f>_xlfn.NORM.INV($AC3333,$C$7,$D$7)</f>
        <v/>
      </c>
      <c r="P3333" s="14">
        <f>$C$8+($D$8-$C$8)*$AD3333</f>
        <v/>
      </c>
      <c r="Q3333" s="14">
        <f>$C$9</f>
        <v/>
      </c>
      <c r="R3333" s="14">
        <f>_xlfn.LOGNORM.INV($AF3333,LN($C$10)-0.5*LN(1+($D$10/$C$10)^2),SQRT(LN(1+($D$10/$C$10)^2)))</f>
        <v/>
      </c>
      <c r="S3333" s="14">
        <f>SUM(M3333:R3333)</f>
        <v/>
      </c>
      <c r="AA3333">
        <f>RAND()</f>
        <v/>
      </c>
      <c r="AB3333">
        <f>RAND()</f>
        <v/>
      </c>
      <c r="AC3333">
        <f>RAND()</f>
        <v/>
      </c>
      <c r="AD3333">
        <f>RAND()</f>
        <v/>
      </c>
      <c r="AE3333">
        <f>RAND()</f>
        <v/>
      </c>
      <c r="AF3333">
        <f>RAND()</f>
        <v/>
      </c>
    </row>
    <row r="3334">
      <c r="M3334" s="14">
        <f>_xlfn.BETA.INV($AA3334,1+4*($D$5-$C$5)/($E$5-$C$5),1+4*($E$5-$D$5)/($E$5-$C$5),$C$5,$E$5)</f>
        <v/>
      </c>
      <c r="N3334" s="14">
        <f>IF($AB3334&lt;($D$6-$C$6)/($E$6-$C$6),$C$6+SQRT($AB3334*($E$6-$C$6)*($D$6-$C$6)),$E$6-SQRT((1-$AB3334)*($E$6-$C$6)*($E$6-$D$6)))</f>
        <v/>
      </c>
      <c r="O3334" s="14">
        <f>_xlfn.NORM.INV($AC3334,$C$7,$D$7)</f>
        <v/>
      </c>
      <c r="P3334" s="14">
        <f>$C$8+($D$8-$C$8)*$AD3334</f>
        <v/>
      </c>
      <c r="Q3334" s="14">
        <f>$C$9</f>
        <v/>
      </c>
      <c r="R3334" s="14">
        <f>_xlfn.LOGNORM.INV($AF3334,LN($C$10)-0.5*LN(1+($D$10/$C$10)^2),SQRT(LN(1+($D$10/$C$10)^2)))</f>
        <v/>
      </c>
      <c r="S3334" s="14">
        <f>SUM(M3334:R3334)</f>
        <v/>
      </c>
      <c r="AA3334">
        <f>RAND()</f>
        <v/>
      </c>
      <c r="AB3334">
        <f>RAND()</f>
        <v/>
      </c>
      <c r="AC3334">
        <f>RAND()</f>
        <v/>
      </c>
      <c r="AD3334">
        <f>RAND()</f>
        <v/>
      </c>
      <c r="AE3334">
        <f>RAND()</f>
        <v/>
      </c>
      <c r="AF3334">
        <f>RAND()</f>
        <v/>
      </c>
    </row>
    <row r="3335">
      <c r="M3335" s="14">
        <f>_xlfn.BETA.INV($AA3335,1+4*($D$5-$C$5)/($E$5-$C$5),1+4*($E$5-$D$5)/($E$5-$C$5),$C$5,$E$5)</f>
        <v/>
      </c>
      <c r="N3335" s="14">
        <f>IF($AB3335&lt;($D$6-$C$6)/($E$6-$C$6),$C$6+SQRT($AB3335*($E$6-$C$6)*($D$6-$C$6)),$E$6-SQRT((1-$AB3335)*($E$6-$C$6)*($E$6-$D$6)))</f>
        <v/>
      </c>
      <c r="O3335" s="14">
        <f>_xlfn.NORM.INV($AC3335,$C$7,$D$7)</f>
        <v/>
      </c>
      <c r="P3335" s="14">
        <f>$C$8+($D$8-$C$8)*$AD3335</f>
        <v/>
      </c>
      <c r="Q3335" s="14">
        <f>$C$9</f>
        <v/>
      </c>
      <c r="R3335" s="14">
        <f>_xlfn.LOGNORM.INV($AF3335,LN($C$10)-0.5*LN(1+($D$10/$C$10)^2),SQRT(LN(1+($D$10/$C$10)^2)))</f>
        <v/>
      </c>
      <c r="S3335" s="14">
        <f>SUM(M3335:R3335)</f>
        <v/>
      </c>
      <c r="AA3335">
        <f>RAND()</f>
        <v/>
      </c>
      <c r="AB3335">
        <f>RAND()</f>
        <v/>
      </c>
      <c r="AC3335">
        <f>RAND()</f>
        <v/>
      </c>
      <c r="AD3335">
        <f>RAND()</f>
        <v/>
      </c>
      <c r="AE3335">
        <f>RAND()</f>
        <v/>
      </c>
      <c r="AF3335">
        <f>RAND()</f>
        <v/>
      </c>
    </row>
    <row r="3336">
      <c r="M3336" s="14">
        <f>_xlfn.BETA.INV($AA3336,1+4*($D$5-$C$5)/($E$5-$C$5),1+4*($E$5-$D$5)/($E$5-$C$5),$C$5,$E$5)</f>
        <v/>
      </c>
      <c r="N3336" s="14">
        <f>IF($AB3336&lt;($D$6-$C$6)/($E$6-$C$6),$C$6+SQRT($AB3336*($E$6-$C$6)*($D$6-$C$6)),$E$6-SQRT((1-$AB3336)*($E$6-$C$6)*($E$6-$D$6)))</f>
        <v/>
      </c>
      <c r="O3336" s="14">
        <f>_xlfn.NORM.INV($AC3336,$C$7,$D$7)</f>
        <v/>
      </c>
      <c r="P3336" s="14">
        <f>$C$8+($D$8-$C$8)*$AD3336</f>
        <v/>
      </c>
      <c r="Q3336" s="14">
        <f>$C$9</f>
        <v/>
      </c>
      <c r="R3336" s="14">
        <f>_xlfn.LOGNORM.INV($AF3336,LN($C$10)-0.5*LN(1+($D$10/$C$10)^2),SQRT(LN(1+($D$10/$C$10)^2)))</f>
        <v/>
      </c>
      <c r="S3336" s="14">
        <f>SUM(M3336:R3336)</f>
        <v/>
      </c>
      <c r="AA3336">
        <f>RAND()</f>
        <v/>
      </c>
      <c r="AB3336">
        <f>RAND()</f>
        <v/>
      </c>
      <c r="AC3336">
        <f>RAND()</f>
        <v/>
      </c>
      <c r="AD3336">
        <f>RAND()</f>
        <v/>
      </c>
      <c r="AE3336">
        <f>RAND()</f>
        <v/>
      </c>
      <c r="AF3336">
        <f>RAND()</f>
        <v/>
      </c>
    </row>
    <row r="3337">
      <c r="M3337" s="14">
        <f>_xlfn.BETA.INV($AA3337,1+4*($D$5-$C$5)/($E$5-$C$5),1+4*($E$5-$D$5)/($E$5-$C$5),$C$5,$E$5)</f>
        <v/>
      </c>
      <c r="N3337" s="14">
        <f>IF($AB3337&lt;($D$6-$C$6)/($E$6-$C$6),$C$6+SQRT($AB3337*($E$6-$C$6)*($D$6-$C$6)),$E$6-SQRT((1-$AB3337)*($E$6-$C$6)*($E$6-$D$6)))</f>
        <v/>
      </c>
      <c r="O3337" s="14">
        <f>_xlfn.NORM.INV($AC3337,$C$7,$D$7)</f>
        <v/>
      </c>
      <c r="P3337" s="14">
        <f>$C$8+($D$8-$C$8)*$AD3337</f>
        <v/>
      </c>
      <c r="Q3337" s="14">
        <f>$C$9</f>
        <v/>
      </c>
      <c r="R3337" s="14">
        <f>_xlfn.LOGNORM.INV($AF3337,LN($C$10)-0.5*LN(1+($D$10/$C$10)^2),SQRT(LN(1+($D$10/$C$10)^2)))</f>
        <v/>
      </c>
      <c r="S3337" s="14">
        <f>SUM(M3337:R3337)</f>
        <v/>
      </c>
      <c r="AA3337">
        <f>RAND()</f>
        <v/>
      </c>
      <c r="AB3337">
        <f>RAND()</f>
        <v/>
      </c>
      <c r="AC3337">
        <f>RAND()</f>
        <v/>
      </c>
      <c r="AD3337">
        <f>RAND()</f>
        <v/>
      </c>
      <c r="AE3337">
        <f>RAND()</f>
        <v/>
      </c>
      <c r="AF3337">
        <f>RAND()</f>
        <v/>
      </c>
    </row>
    <row r="3338">
      <c r="M3338" s="14">
        <f>_xlfn.BETA.INV($AA3338,1+4*($D$5-$C$5)/($E$5-$C$5),1+4*($E$5-$D$5)/($E$5-$C$5),$C$5,$E$5)</f>
        <v/>
      </c>
      <c r="N3338" s="14">
        <f>IF($AB3338&lt;($D$6-$C$6)/($E$6-$C$6),$C$6+SQRT($AB3338*($E$6-$C$6)*($D$6-$C$6)),$E$6-SQRT((1-$AB3338)*($E$6-$C$6)*($E$6-$D$6)))</f>
        <v/>
      </c>
      <c r="O3338" s="14">
        <f>_xlfn.NORM.INV($AC3338,$C$7,$D$7)</f>
        <v/>
      </c>
      <c r="P3338" s="14">
        <f>$C$8+($D$8-$C$8)*$AD3338</f>
        <v/>
      </c>
      <c r="Q3338" s="14">
        <f>$C$9</f>
        <v/>
      </c>
      <c r="R3338" s="14">
        <f>_xlfn.LOGNORM.INV($AF3338,LN($C$10)-0.5*LN(1+($D$10/$C$10)^2),SQRT(LN(1+($D$10/$C$10)^2)))</f>
        <v/>
      </c>
      <c r="S3338" s="14">
        <f>SUM(M3338:R3338)</f>
        <v/>
      </c>
      <c r="AA3338">
        <f>RAND()</f>
        <v/>
      </c>
      <c r="AB3338">
        <f>RAND()</f>
        <v/>
      </c>
      <c r="AC3338">
        <f>RAND()</f>
        <v/>
      </c>
      <c r="AD3338">
        <f>RAND()</f>
        <v/>
      </c>
      <c r="AE3338">
        <f>RAND()</f>
        <v/>
      </c>
      <c r="AF3338">
        <f>RAND()</f>
        <v/>
      </c>
    </row>
    <row r="3339">
      <c r="M3339" s="14">
        <f>_xlfn.BETA.INV($AA3339,1+4*($D$5-$C$5)/($E$5-$C$5),1+4*($E$5-$D$5)/($E$5-$C$5),$C$5,$E$5)</f>
        <v/>
      </c>
      <c r="N3339" s="14">
        <f>IF($AB3339&lt;($D$6-$C$6)/($E$6-$C$6),$C$6+SQRT($AB3339*($E$6-$C$6)*($D$6-$C$6)),$E$6-SQRT((1-$AB3339)*($E$6-$C$6)*($E$6-$D$6)))</f>
        <v/>
      </c>
      <c r="O3339" s="14">
        <f>_xlfn.NORM.INV($AC3339,$C$7,$D$7)</f>
        <v/>
      </c>
      <c r="P3339" s="14">
        <f>$C$8+($D$8-$C$8)*$AD3339</f>
        <v/>
      </c>
      <c r="Q3339" s="14">
        <f>$C$9</f>
        <v/>
      </c>
      <c r="R3339" s="14">
        <f>_xlfn.LOGNORM.INV($AF3339,LN($C$10)-0.5*LN(1+($D$10/$C$10)^2),SQRT(LN(1+($D$10/$C$10)^2)))</f>
        <v/>
      </c>
      <c r="S3339" s="14">
        <f>SUM(M3339:R3339)</f>
        <v/>
      </c>
      <c r="AA3339">
        <f>RAND()</f>
        <v/>
      </c>
      <c r="AB3339">
        <f>RAND()</f>
        <v/>
      </c>
      <c r="AC3339">
        <f>RAND()</f>
        <v/>
      </c>
      <c r="AD3339">
        <f>RAND()</f>
        <v/>
      </c>
      <c r="AE3339">
        <f>RAND()</f>
        <v/>
      </c>
      <c r="AF3339">
        <f>RAND()</f>
        <v/>
      </c>
    </row>
    <row r="3340">
      <c r="M3340" s="14">
        <f>_xlfn.BETA.INV($AA3340,1+4*($D$5-$C$5)/($E$5-$C$5),1+4*($E$5-$D$5)/($E$5-$C$5),$C$5,$E$5)</f>
        <v/>
      </c>
      <c r="N3340" s="14">
        <f>IF($AB3340&lt;($D$6-$C$6)/($E$6-$C$6),$C$6+SQRT($AB3340*($E$6-$C$6)*($D$6-$C$6)),$E$6-SQRT((1-$AB3340)*($E$6-$C$6)*($E$6-$D$6)))</f>
        <v/>
      </c>
      <c r="O3340" s="14">
        <f>_xlfn.NORM.INV($AC3340,$C$7,$D$7)</f>
        <v/>
      </c>
      <c r="P3340" s="14">
        <f>$C$8+($D$8-$C$8)*$AD3340</f>
        <v/>
      </c>
      <c r="Q3340" s="14">
        <f>$C$9</f>
        <v/>
      </c>
      <c r="R3340" s="14">
        <f>_xlfn.LOGNORM.INV($AF3340,LN($C$10)-0.5*LN(1+($D$10/$C$10)^2),SQRT(LN(1+($D$10/$C$10)^2)))</f>
        <v/>
      </c>
      <c r="S3340" s="14">
        <f>SUM(M3340:R3340)</f>
        <v/>
      </c>
      <c r="AA3340">
        <f>RAND()</f>
        <v/>
      </c>
      <c r="AB3340">
        <f>RAND()</f>
        <v/>
      </c>
      <c r="AC3340">
        <f>RAND()</f>
        <v/>
      </c>
      <c r="AD3340">
        <f>RAND()</f>
        <v/>
      </c>
      <c r="AE3340">
        <f>RAND()</f>
        <v/>
      </c>
      <c r="AF3340">
        <f>RAND()</f>
        <v/>
      </c>
    </row>
    <row r="3341">
      <c r="M3341" s="14">
        <f>_xlfn.BETA.INV($AA3341,1+4*($D$5-$C$5)/($E$5-$C$5),1+4*($E$5-$D$5)/($E$5-$C$5),$C$5,$E$5)</f>
        <v/>
      </c>
      <c r="N3341" s="14">
        <f>IF($AB3341&lt;($D$6-$C$6)/($E$6-$C$6),$C$6+SQRT($AB3341*($E$6-$C$6)*($D$6-$C$6)),$E$6-SQRT((1-$AB3341)*($E$6-$C$6)*($E$6-$D$6)))</f>
        <v/>
      </c>
      <c r="O3341" s="14">
        <f>_xlfn.NORM.INV($AC3341,$C$7,$D$7)</f>
        <v/>
      </c>
      <c r="P3341" s="14">
        <f>$C$8+($D$8-$C$8)*$AD3341</f>
        <v/>
      </c>
      <c r="Q3341" s="14">
        <f>$C$9</f>
        <v/>
      </c>
      <c r="R3341" s="14">
        <f>_xlfn.LOGNORM.INV($AF3341,LN($C$10)-0.5*LN(1+($D$10/$C$10)^2),SQRT(LN(1+($D$10/$C$10)^2)))</f>
        <v/>
      </c>
      <c r="S3341" s="14">
        <f>SUM(M3341:R3341)</f>
        <v/>
      </c>
      <c r="AA3341">
        <f>RAND()</f>
        <v/>
      </c>
      <c r="AB3341">
        <f>RAND()</f>
        <v/>
      </c>
      <c r="AC3341">
        <f>RAND()</f>
        <v/>
      </c>
      <c r="AD3341">
        <f>RAND()</f>
        <v/>
      </c>
      <c r="AE3341">
        <f>RAND()</f>
        <v/>
      </c>
      <c r="AF3341">
        <f>RAND()</f>
        <v/>
      </c>
    </row>
    <row r="3342">
      <c r="M3342" s="14">
        <f>_xlfn.BETA.INV($AA3342,1+4*($D$5-$C$5)/($E$5-$C$5),1+4*($E$5-$D$5)/($E$5-$C$5),$C$5,$E$5)</f>
        <v/>
      </c>
      <c r="N3342" s="14">
        <f>IF($AB3342&lt;($D$6-$C$6)/($E$6-$C$6),$C$6+SQRT($AB3342*($E$6-$C$6)*($D$6-$C$6)),$E$6-SQRT((1-$AB3342)*($E$6-$C$6)*($E$6-$D$6)))</f>
        <v/>
      </c>
      <c r="O3342" s="14">
        <f>_xlfn.NORM.INV($AC3342,$C$7,$D$7)</f>
        <v/>
      </c>
      <c r="P3342" s="14">
        <f>$C$8+($D$8-$C$8)*$AD3342</f>
        <v/>
      </c>
      <c r="Q3342" s="14">
        <f>$C$9</f>
        <v/>
      </c>
      <c r="R3342" s="14">
        <f>_xlfn.LOGNORM.INV($AF3342,LN($C$10)-0.5*LN(1+($D$10/$C$10)^2),SQRT(LN(1+($D$10/$C$10)^2)))</f>
        <v/>
      </c>
      <c r="S3342" s="14">
        <f>SUM(M3342:R3342)</f>
        <v/>
      </c>
      <c r="AA3342">
        <f>RAND()</f>
        <v/>
      </c>
      <c r="AB3342">
        <f>RAND()</f>
        <v/>
      </c>
      <c r="AC3342">
        <f>RAND()</f>
        <v/>
      </c>
      <c r="AD3342">
        <f>RAND()</f>
        <v/>
      </c>
      <c r="AE3342">
        <f>RAND()</f>
        <v/>
      </c>
      <c r="AF3342">
        <f>RAND()</f>
        <v/>
      </c>
    </row>
    <row r="3343">
      <c r="M3343" s="14">
        <f>_xlfn.BETA.INV($AA3343,1+4*($D$5-$C$5)/($E$5-$C$5),1+4*($E$5-$D$5)/($E$5-$C$5),$C$5,$E$5)</f>
        <v/>
      </c>
      <c r="N3343" s="14">
        <f>IF($AB3343&lt;($D$6-$C$6)/($E$6-$C$6),$C$6+SQRT($AB3343*($E$6-$C$6)*($D$6-$C$6)),$E$6-SQRT((1-$AB3343)*($E$6-$C$6)*($E$6-$D$6)))</f>
        <v/>
      </c>
      <c r="O3343" s="14">
        <f>_xlfn.NORM.INV($AC3343,$C$7,$D$7)</f>
        <v/>
      </c>
      <c r="P3343" s="14">
        <f>$C$8+($D$8-$C$8)*$AD3343</f>
        <v/>
      </c>
      <c r="Q3343" s="14">
        <f>$C$9</f>
        <v/>
      </c>
      <c r="R3343" s="14">
        <f>_xlfn.LOGNORM.INV($AF3343,LN($C$10)-0.5*LN(1+($D$10/$C$10)^2),SQRT(LN(1+($D$10/$C$10)^2)))</f>
        <v/>
      </c>
      <c r="S3343" s="14">
        <f>SUM(M3343:R3343)</f>
        <v/>
      </c>
      <c r="AA3343">
        <f>RAND()</f>
        <v/>
      </c>
      <c r="AB3343">
        <f>RAND()</f>
        <v/>
      </c>
      <c r="AC3343">
        <f>RAND()</f>
        <v/>
      </c>
      <c r="AD3343">
        <f>RAND()</f>
        <v/>
      </c>
      <c r="AE3343">
        <f>RAND()</f>
        <v/>
      </c>
      <c r="AF3343">
        <f>RAND()</f>
        <v/>
      </c>
    </row>
    <row r="3344">
      <c r="M3344" s="14">
        <f>_xlfn.BETA.INV($AA3344,1+4*($D$5-$C$5)/($E$5-$C$5),1+4*($E$5-$D$5)/($E$5-$C$5),$C$5,$E$5)</f>
        <v/>
      </c>
      <c r="N3344" s="14">
        <f>IF($AB3344&lt;($D$6-$C$6)/($E$6-$C$6),$C$6+SQRT($AB3344*($E$6-$C$6)*($D$6-$C$6)),$E$6-SQRT((1-$AB3344)*($E$6-$C$6)*($E$6-$D$6)))</f>
        <v/>
      </c>
      <c r="O3344" s="14">
        <f>_xlfn.NORM.INV($AC3344,$C$7,$D$7)</f>
        <v/>
      </c>
      <c r="P3344" s="14">
        <f>$C$8+($D$8-$C$8)*$AD3344</f>
        <v/>
      </c>
      <c r="Q3344" s="14">
        <f>$C$9</f>
        <v/>
      </c>
      <c r="R3344" s="14">
        <f>_xlfn.LOGNORM.INV($AF3344,LN($C$10)-0.5*LN(1+($D$10/$C$10)^2),SQRT(LN(1+($D$10/$C$10)^2)))</f>
        <v/>
      </c>
      <c r="S3344" s="14">
        <f>SUM(M3344:R3344)</f>
        <v/>
      </c>
      <c r="AA3344">
        <f>RAND()</f>
        <v/>
      </c>
      <c r="AB3344">
        <f>RAND()</f>
        <v/>
      </c>
      <c r="AC3344">
        <f>RAND()</f>
        <v/>
      </c>
      <c r="AD3344">
        <f>RAND()</f>
        <v/>
      </c>
      <c r="AE3344">
        <f>RAND()</f>
        <v/>
      </c>
      <c r="AF3344">
        <f>RAND()</f>
        <v/>
      </c>
    </row>
    <row r="3345">
      <c r="M3345" s="14">
        <f>_xlfn.BETA.INV($AA3345,1+4*($D$5-$C$5)/($E$5-$C$5),1+4*($E$5-$D$5)/($E$5-$C$5),$C$5,$E$5)</f>
        <v/>
      </c>
      <c r="N3345" s="14">
        <f>IF($AB3345&lt;($D$6-$C$6)/($E$6-$C$6),$C$6+SQRT($AB3345*($E$6-$C$6)*($D$6-$C$6)),$E$6-SQRT((1-$AB3345)*($E$6-$C$6)*($E$6-$D$6)))</f>
        <v/>
      </c>
      <c r="O3345" s="14">
        <f>_xlfn.NORM.INV($AC3345,$C$7,$D$7)</f>
        <v/>
      </c>
      <c r="P3345" s="14">
        <f>$C$8+($D$8-$C$8)*$AD3345</f>
        <v/>
      </c>
      <c r="Q3345" s="14">
        <f>$C$9</f>
        <v/>
      </c>
      <c r="R3345" s="14">
        <f>_xlfn.LOGNORM.INV($AF3345,LN($C$10)-0.5*LN(1+($D$10/$C$10)^2),SQRT(LN(1+($D$10/$C$10)^2)))</f>
        <v/>
      </c>
      <c r="S3345" s="14">
        <f>SUM(M3345:R3345)</f>
        <v/>
      </c>
      <c r="AA3345">
        <f>RAND()</f>
        <v/>
      </c>
      <c r="AB3345">
        <f>RAND()</f>
        <v/>
      </c>
      <c r="AC3345">
        <f>RAND()</f>
        <v/>
      </c>
      <c r="AD3345">
        <f>RAND()</f>
        <v/>
      </c>
      <c r="AE3345">
        <f>RAND()</f>
        <v/>
      </c>
      <c r="AF3345">
        <f>RAND()</f>
        <v/>
      </c>
    </row>
    <row r="3346">
      <c r="M3346" s="14">
        <f>_xlfn.BETA.INV($AA3346,1+4*($D$5-$C$5)/($E$5-$C$5),1+4*($E$5-$D$5)/($E$5-$C$5),$C$5,$E$5)</f>
        <v/>
      </c>
      <c r="N3346" s="14">
        <f>IF($AB3346&lt;($D$6-$C$6)/($E$6-$C$6),$C$6+SQRT($AB3346*($E$6-$C$6)*($D$6-$C$6)),$E$6-SQRT((1-$AB3346)*($E$6-$C$6)*($E$6-$D$6)))</f>
        <v/>
      </c>
      <c r="O3346" s="14">
        <f>_xlfn.NORM.INV($AC3346,$C$7,$D$7)</f>
        <v/>
      </c>
      <c r="P3346" s="14">
        <f>$C$8+($D$8-$C$8)*$AD3346</f>
        <v/>
      </c>
      <c r="Q3346" s="14">
        <f>$C$9</f>
        <v/>
      </c>
      <c r="R3346" s="14">
        <f>_xlfn.LOGNORM.INV($AF3346,LN($C$10)-0.5*LN(1+($D$10/$C$10)^2),SQRT(LN(1+($D$10/$C$10)^2)))</f>
        <v/>
      </c>
      <c r="S3346" s="14">
        <f>SUM(M3346:R3346)</f>
        <v/>
      </c>
      <c r="AA3346">
        <f>RAND()</f>
        <v/>
      </c>
      <c r="AB3346">
        <f>RAND()</f>
        <v/>
      </c>
      <c r="AC3346">
        <f>RAND()</f>
        <v/>
      </c>
      <c r="AD3346">
        <f>RAND()</f>
        <v/>
      </c>
      <c r="AE3346">
        <f>RAND()</f>
        <v/>
      </c>
      <c r="AF3346">
        <f>RAND()</f>
        <v/>
      </c>
    </row>
    <row r="3347">
      <c r="M3347" s="14">
        <f>_xlfn.BETA.INV($AA3347,1+4*($D$5-$C$5)/($E$5-$C$5),1+4*($E$5-$D$5)/($E$5-$C$5),$C$5,$E$5)</f>
        <v/>
      </c>
      <c r="N3347" s="14">
        <f>IF($AB3347&lt;($D$6-$C$6)/($E$6-$C$6),$C$6+SQRT($AB3347*($E$6-$C$6)*($D$6-$C$6)),$E$6-SQRT((1-$AB3347)*($E$6-$C$6)*($E$6-$D$6)))</f>
        <v/>
      </c>
      <c r="O3347" s="14">
        <f>_xlfn.NORM.INV($AC3347,$C$7,$D$7)</f>
        <v/>
      </c>
      <c r="P3347" s="14">
        <f>$C$8+($D$8-$C$8)*$AD3347</f>
        <v/>
      </c>
      <c r="Q3347" s="14">
        <f>$C$9</f>
        <v/>
      </c>
      <c r="R3347" s="14">
        <f>_xlfn.LOGNORM.INV($AF3347,LN($C$10)-0.5*LN(1+($D$10/$C$10)^2),SQRT(LN(1+($D$10/$C$10)^2)))</f>
        <v/>
      </c>
      <c r="S3347" s="14">
        <f>SUM(M3347:R3347)</f>
        <v/>
      </c>
      <c r="AA3347">
        <f>RAND()</f>
        <v/>
      </c>
      <c r="AB3347">
        <f>RAND()</f>
        <v/>
      </c>
      <c r="AC3347">
        <f>RAND()</f>
        <v/>
      </c>
      <c r="AD3347">
        <f>RAND()</f>
        <v/>
      </c>
      <c r="AE3347">
        <f>RAND()</f>
        <v/>
      </c>
      <c r="AF3347">
        <f>RAND()</f>
        <v/>
      </c>
    </row>
    <row r="3348">
      <c r="M3348" s="14">
        <f>_xlfn.BETA.INV($AA3348,1+4*($D$5-$C$5)/($E$5-$C$5),1+4*($E$5-$D$5)/($E$5-$C$5),$C$5,$E$5)</f>
        <v/>
      </c>
      <c r="N3348" s="14">
        <f>IF($AB3348&lt;($D$6-$C$6)/($E$6-$C$6),$C$6+SQRT($AB3348*($E$6-$C$6)*($D$6-$C$6)),$E$6-SQRT((1-$AB3348)*($E$6-$C$6)*($E$6-$D$6)))</f>
        <v/>
      </c>
      <c r="O3348" s="14">
        <f>_xlfn.NORM.INV($AC3348,$C$7,$D$7)</f>
        <v/>
      </c>
      <c r="P3348" s="14">
        <f>$C$8+($D$8-$C$8)*$AD3348</f>
        <v/>
      </c>
      <c r="Q3348" s="14">
        <f>$C$9</f>
        <v/>
      </c>
      <c r="R3348" s="14">
        <f>_xlfn.LOGNORM.INV($AF3348,LN($C$10)-0.5*LN(1+($D$10/$C$10)^2),SQRT(LN(1+($D$10/$C$10)^2)))</f>
        <v/>
      </c>
      <c r="S3348" s="14">
        <f>SUM(M3348:R3348)</f>
        <v/>
      </c>
      <c r="AA3348">
        <f>RAND()</f>
        <v/>
      </c>
      <c r="AB3348">
        <f>RAND()</f>
        <v/>
      </c>
      <c r="AC3348">
        <f>RAND()</f>
        <v/>
      </c>
      <c r="AD3348">
        <f>RAND()</f>
        <v/>
      </c>
      <c r="AE3348">
        <f>RAND()</f>
        <v/>
      </c>
      <c r="AF3348">
        <f>RAND()</f>
        <v/>
      </c>
    </row>
    <row r="3349">
      <c r="M3349" s="14">
        <f>_xlfn.BETA.INV($AA3349,1+4*($D$5-$C$5)/($E$5-$C$5),1+4*($E$5-$D$5)/($E$5-$C$5),$C$5,$E$5)</f>
        <v/>
      </c>
      <c r="N3349" s="14">
        <f>IF($AB3349&lt;($D$6-$C$6)/($E$6-$C$6),$C$6+SQRT($AB3349*($E$6-$C$6)*($D$6-$C$6)),$E$6-SQRT((1-$AB3349)*($E$6-$C$6)*($E$6-$D$6)))</f>
        <v/>
      </c>
      <c r="O3349" s="14">
        <f>_xlfn.NORM.INV($AC3349,$C$7,$D$7)</f>
        <v/>
      </c>
      <c r="P3349" s="14">
        <f>$C$8+($D$8-$C$8)*$AD3349</f>
        <v/>
      </c>
      <c r="Q3349" s="14">
        <f>$C$9</f>
        <v/>
      </c>
      <c r="R3349" s="14">
        <f>_xlfn.LOGNORM.INV($AF3349,LN($C$10)-0.5*LN(1+($D$10/$C$10)^2),SQRT(LN(1+($D$10/$C$10)^2)))</f>
        <v/>
      </c>
      <c r="S3349" s="14">
        <f>SUM(M3349:R3349)</f>
        <v/>
      </c>
      <c r="AA3349">
        <f>RAND()</f>
        <v/>
      </c>
      <c r="AB3349">
        <f>RAND()</f>
        <v/>
      </c>
      <c r="AC3349">
        <f>RAND()</f>
        <v/>
      </c>
      <c r="AD3349">
        <f>RAND()</f>
        <v/>
      </c>
      <c r="AE3349">
        <f>RAND()</f>
        <v/>
      </c>
      <c r="AF3349">
        <f>RAND()</f>
        <v/>
      </c>
    </row>
    <row r="3350">
      <c r="M3350" s="14">
        <f>_xlfn.BETA.INV($AA3350,1+4*($D$5-$C$5)/($E$5-$C$5),1+4*($E$5-$D$5)/($E$5-$C$5),$C$5,$E$5)</f>
        <v/>
      </c>
      <c r="N3350" s="14">
        <f>IF($AB3350&lt;($D$6-$C$6)/($E$6-$C$6),$C$6+SQRT($AB3350*($E$6-$C$6)*($D$6-$C$6)),$E$6-SQRT((1-$AB3350)*($E$6-$C$6)*($E$6-$D$6)))</f>
        <v/>
      </c>
      <c r="O3350" s="14">
        <f>_xlfn.NORM.INV($AC3350,$C$7,$D$7)</f>
        <v/>
      </c>
      <c r="P3350" s="14">
        <f>$C$8+($D$8-$C$8)*$AD3350</f>
        <v/>
      </c>
      <c r="Q3350" s="14">
        <f>$C$9</f>
        <v/>
      </c>
      <c r="R3350" s="14">
        <f>_xlfn.LOGNORM.INV($AF3350,LN($C$10)-0.5*LN(1+($D$10/$C$10)^2),SQRT(LN(1+($D$10/$C$10)^2)))</f>
        <v/>
      </c>
      <c r="S3350" s="14">
        <f>SUM(M3350:R3350)</f>
        <v/>
      </c>
      <c r="AA3350">
        <f>RAND()</f>
        <v/>
      </c>
      <c r="AB3350">
        <f>RAND()</f>
        <v/>
      </c>
      <c r="AC3350">
        <f>RAND()</f>
        <v/>
      </c>
      <c r="AD3350">
        <f>RAND()</f>
        <v/>
      </c>
      <c r="AE3350">
        <f>RAND()</f>
        <v/>
      </c>
      <c r="AF3350">
        <f>RAND()</f>
        <v/>
      </c>
    </row>
    <row r="3351">
      <c r="M3351" s="14">
        <f>_xlfn.BETA.INV($AA3351,1+4*($D$5-$C$5)/($E$5-$C$5),1+4*($E$5-$D$5)/($E$5-$C$5),$C$5,$E$5)</f>
        <v/>
      </c>
      <c r="N3351" s="14">
        <f>IF($AB3351&lt;($D$6-$C$6)/($E$6-$C$6),$C$6+SQRT($AB3351*($E$6-$C$6)*($D$6-$C$6)),$E$6-SQRT((1-$AB3351)*($E$6-$C$6)*($E$6-$D$6)))</f>
        <v/>
      </c>
      <c r="O3351" s="14">
        <f>_xlfn.NORM.INV($AC3351,$C$7,$D$7)</f>
        <v/>
      </c>
      <c r="P3351" s="14">
        <f>$C$8+($D$8-$C$8)*$AD3351</f>
        <v/>
      </c>
      <c r="Q3351" s="14">
        <f>$C$9</f>
        <v/>
      </c>
      <c r="R3351" s="14">
        <f>_xlfn.LOGNORM.INV($AF3351,LN($C$10)-0.5*LN(1+($D$10/$C$10)^2),SQRT(LN(1+($D$10/$C$10)^2)))</f>
        <v/>
      </c>
      <c r="S3351" s="14">
        <f>SUM(M3351:R3351)</f>
        <v/>
      </c>
      <c r="AA3351">
        <f>RAND()</f>
        <v/>
      </c>
      <c r="AB3351">
        <f>RAND()</f>
        <v/>
      </c>
      <c r="AC3351">
        <f>RAND()</f>
        <v/>
      </c>
      <c r="AD3351">
        <f>RAND()</f>
        <v/>
      </c>
      <c r="AE3351">
        <f>RAND()</f>
        <v/>
      </c>
      <c r="AF3351">
        <f>RAND()</f>
        <v/>
      </c>
    </row>
    <row r="3352">
      <c r="M3352" s="14">
        <f>_xlfn.BETA.INV($AA3352,1+4*($D$5-$C$5)/($E$5-$C$5),1+4*($E$5-$D$5)/($E$5-$C$5),$C$5,$E$5)</f>
        <v/>
      </c>
      <c r="N3352" s="14">
        <f>IF($AB3352&lt;($D$6-$C$6)/($E$6-$C$6),$C$6+SQRT($AB3352*($E$6-$C$6)*($D$6-$C$6)),$E$6-SQRT((1-$AB3352)*($E$6-$C$6)*($E$6-$D$6)))</f>
        <v/>
      </c>
      <c r="O3352" s="14">
        <f>_xlfn.NORM.INV($AC3352,$C$7,$D$7)</f>
        <v/>
      </c>
      <c r="P3352" s="14">
        <f>$C$8+($D$8-$C$8)*$AD3352</f>
        <v/>
      </c>
      <c r="Q3352" s="14">
        <f>$C$9</f>
        <v/>
      </c>
      <c r="R3352" s="14">
        <f>_xlfn.LOGNORM.INV($AF3352,LN($C$10)-0.5*LN(1+($D$10/$C$10)^2),SQRT(LN(1+($D$10/$C$10)^2)))</f>
        <v/>
      </c>
      <c r="S3352" s="14">
        <f>SUM(M3352:R3352)</f>
        <v/>
      </c>
      <c r="AA3352">
        <f>RAND()</f>
        <v/>
      </c>
      <c r="AB3352">
        <f>RAND()</f>
        <v/>
      </c>
      <c r="AC3352">
        <f>RAND()</f>
        <v/>
      </c>
      <c r="AD3352">
        <f>RAND()</f>
        <v/>
      </c>
      <c r="AE3352">
        <f>RAND()</f>
        <v/>
      </c>
      <c r="AF3352">
        <f>RAND()</f>
        <v/>
      </c>
    </row>
    <row r="3353">
      <c r="M3353" s="14">
        <f>_xlfn.BETA.INV($AA3353,1+4*($D$5-$C$5)/($E$5-$C$5),1+4*($E$5-$D$5)/($E$5-$C$5),$C$5,$E$5)</f>
        <v/>
      </c>
      <c r="N3353" s="14">
        <f>IF($AB3353&lt;($D$6-$C$6)/($E$6-$C$6),$C$6+SQRT($AB3353*($E$6-$C$6)*($D$6-$C$6)),$E$6-SQRT((1-$AB3353)*($E$6-$C$6)*($E$6-$D$6)))</f>
        <v/>
      </c>
      <c r="O3353" s="14">
        <f>_xlfn.NORM.INV($AC3353,$C$7,$D$7)</f>
        <v/>
      </c>
      <c r="P3353" s="14">
        <f>$C$8+($D$8-$C$8)*$AD3353</f>
        <v/>
      </c>
      <c r="Q3353" s="14">
        <f>$C$9</f>
        <v/>
      </c>
      <c r="R3353" s="14">
        <f>_xlfn.LOGNORM.INV($AF3353,LN($C$10)-0.5*LN(1+($D$10/$C$10)^2),SQRT(LN(1+($D$10/$C$10)^2)))</f>
        <v/>
      </c>
      <c r="S3353" s="14">
        <f>SUM(M3353:R3353)</f>
        <v/>
      </c>
      <c r="AA3353">
        <f>RAND()</f>
        <v/>
      </c>
      <c r="AB3353">
        <f>RAND()</f>
        <v/>
      </c>
      <c r="AC3353">
        <f>RAND()</f>
        <v/>
      </c>
      <c r="AD3353">
        <f>RAND()</f>
        <v/>
      </c>
      <c r="AE3353">
        <f>RAND()</f>
        <v/>
      </c>
      <c r="AF3353">
        <f>RAND()</f>
        <v/>
      </c>
    </row>
    <row r="3354">
      <c r="M3354" s="14">
        <f>_xlfn.BETA.INV($AA3354,1+4*($D$5-$C$5)/($E$5-$C$5),1+4*($E$5-$D$5)/($E$5-$C$5),$C$5,$E$5)</f>
        <v/>
      </c>
      <c r="N3354" s="14">
        <f>IF($AB3354&lt;($D$6-$C$6)/($E$6-$C$6),$C$6+SQRT($AB3354*($E$6-$C$6)*($D$6-$C$6)),$E$6-SQRT((1-$AB3354)*($E$6-$C$6)*($E$6-$D$6)))</f>
        <v/>
      </c>
      <c r="O3354" s="14">
        <f>_xlfn.NORM.INV($AC3354,$C$7,$D$7)</f>
        <v/>
      </c>
      <c r="P3354" s="14">
        <f>$C$8+($D$8-$C$8)*$AD3354</f>
        <v/>
      </c>
      <c r="Q3354" s="14">
        <f>$C$9</f>
        <v/>
      </c>
      <c r="R3354" s="14">
        <f>_xlfn.LOGNORM.INV($AF3354,LN($C$10)-0.5*LN(1+($D$10/$C$10)^2),SQRT(LN(1+($D$10/$C$10)^2)))</f>
        <v/>
      </c>
      <c r="S3354" s="14">
        <f>SUM(M3354:R3354)</f>
        <v/>
      </c>
      <c r="AA3354">
        <f>RAND()</f>
        <v/>
      </c>
      <c r="AB3354">
        <f>RAND()</f>
        <v/>
      </c>
      <c r="AC3354">
        <f>RAND()</f>
        <v/>
      </c>
      <c r="AD3354">
        <f>RAND()</f>
        <v/>
      </c>
      <c r="AE3354">
        <f>RAND()</f>
        <v/>
      </c>
      <c r="AF3354">
        <f>RAND()</f>
        <v/>
      </c>
    </row>
    <row r="3355">
      <c r="M3355" s="14">
        <f>_xlfn.BETA.INV($AA3355,1+4*($D$5-$C$5)/($E$5-$C$5),1+4*($E$5-$D$5)/($E$5-$C$5),$C$5,$E$5)</f>
        <v/>
      </c>
      <c r="N3355" s="14">
        <f>IF($AB3355&lt;($D$6-$C$6)/($E$6-$C$6),$C$6+SQRT($AB3355*($E$6-$C$6)*($D$6-$C$6)),$E$6-SQRT((1-$AB3355)*($E$6-$C$6)*($E$6-$D$6)))</f>
        <v/>
      </c>
      <c r="O3355" s="14">
        <f>_xlfn.NORM.INV($AC3355,$C$7,$D$7)</f>
        <v/>
      </c>
      <c r="P3355" s="14">
        <f>$C$8+($D$8-$C$8)*$AD3355</f>
        <v/>
      </c>
      <c r="Q3355" s="14">
        <f>$C$9</f>
        <v/>
      </c>
      <c r="R3355" s="14">
        <f>_xlfn.LOGNORM.INV($AF3355,LN($C$10)-0.5*LN(1+($D$10/$C$10)^2),SQRT(LN(1+($D$10/$C$10)^2)))</f>
        <v/>
      </c>
      <c r="S3355" s="14">
        <f>SUM(M3355:R3355)</f>
        <v/>
      </c>
      <c r="AA3355">
        <f>RAND()</f>
        <v/>
      </c>
      <c r="AB3355">
        <f>RAND()</f>
        <v/>
      </c>
      <c r="AC3355">
        <f>RAND()</f>
        <v/>
      </c>
      <c r="AD3355">
        <f>RAND()</f>
        <v/>
      </c>
      <c r="AE3355">
        <f>RAND()</f>
        <v/>
      </c>
      <c r="AF3355">
        <f>RAND()</f>
        <v/>
      </c>
    </row>
    <row r="3356">
      <c r="M3356" s="14">
        <f>_xlfn.BETA.INV($AA3356,1+4*($D$5-$C$5)/($E$5-$C$5),1+4*($E$5-$D$5)/($E$5-$C$5),$C$5,$E$5)</f>
        <v/>
      </c>
      <c r="N3356" s="14">
        <f>IF($AB3356&lt;($D$6-$C$6)/($E$6-$C$6),$C$6+SQRT($AB3356*($E$6-$C$6)*($D$6-$C$6)),$E$6-SQRT((1-$AB3356)*($E$6-$C$6)*($E$6-$D$6)))</f>
        <v/>
      </c>
      <c r="O3356" s="14">
        <f>_xlfn.NORM.INV($AC3356,$C$7,$D$7)</f>
        <v/>
      </c>
      <c r="P3356" s="14">
        <f>$C$8+($D$8-$C$8)*$AD3356</f>
        <v/>
      </c>
      <c r="Q3356" s="14">
        <f>$C$9</f>
        <v/>
      </c>
      <c r="R3356" s="14">
        <f>_xlfn.LOGNORM.INV($AF3356,LN($C$10)-0.5*LN(1+($D$10/$C$10)^2),SQRT(LN(1+($D$10/$C$10)^2)))</f>
        <v/>
      </c>
      <c r="S3356" s="14">
        <f>SUM(M3356:R3356)</f>
        <v/>
      </c>
      <c r="AA3356">
        <f>RAND()</f>
        <v/>
      </c>
      <c r="AB3356">
        <f>RAND()</f>
        <v/>
      </c>
      <c r="AC3356">
        <f>RAND()</f>
        <v/>
      </c>
      <c r="AD3356">
        <f>RAND()</f>
        <v/>
      </c>
      <c r="AE3356">
        <f>RAND()</f>
        <v/>
      </c>
      <c r="AF3356">
        <f>RAND()</f>
        <v/>
      </c>
    </row>
    <row r="3357">
      <c r="M3357" s="14">
        <f>_xlfn.BETA.INV($AA3357,1+4*($D$5-$C$5)/($E$5-$C$5),1+4*($E$5-$D$5)/($E$5-$C$5),$C$5,$E$5)</f>
        <v/>
      </c>
      <c r="N3357" s="14">
        <f>IF($AB3357&lt;($D$6-$C$6)/($E$6-$C$6),$C$6+SQRT($AB3357*($E$6-$C$6)*($D$6-$C$6)),$E$6-SQRT((1-$AB3357)*($E$6-$C$6)*($E$6-$D$6)))</f>
        <v/>
      </c>
      <c r="O3357" s="14">
        <f>_xlfn.NORM.INV($AC3357,$C$7,$D$7)</f>
        <v/>
      </c>
      <c r="P3357" s="14">
        <f>$C$8+($D$8-$C$8)*$AD3357</f>
        <v/>
      </c>
      <c r="Q3357" s="14">
        <f>$C$9</f>
        <v/>
      </c>
      <c r="R3357" s="14">
        <f>_xlfn.LOGNORM.INV($AF3357,LN($C$10)-0.5*LN(1+($D$10/$C$10)^2),SQRT(LN(1+($D$10/$C$10)^2)))</f>
        <v/>
      </c>
      <c r="S3357" s="14">
        <f>SUM(M3357:R3357)</f>
        <v/>
      </c>
      <c r="AA3357">
        <f>RAND()</f>
        <v/>
      </c>
      <c r="AB3357">
        <f>RAND()</f>
        <v/>
      </c>
      <c r="AC3357">
        <f>RAND()</f>
        <v/>
      </c>
      <c r="AD3357">
        <f>RAND()</f>
        <v/>
      </c>
      <c r="AE3357">
        <f>RAND()</f>
        <v/>
      </c>
      <c r="AF3357">
        <f>RAND()</f>
        <v/>
      </c>
    </row>
    <row r="3358">
      <c r="M3358" s="14">
        <f>_xlfn.BETA.INV($AA3358,1+4*($D$5-$C$5)/($E$5-$C$5),1+4*($E$5-$D$5)/($E$5-$C$5),$C$5,$E$5)</f>
        <v/>
      </c>
      <c r="N3358" s="14">
        <f>IF($AB3358&lt;($D$6-$C$6)/($E$6-$C$6),$C$6+SQRT($AB3358*($E$6-$C$6)*($D$6-$C$6)),$E$6-SQRT((1-$AB3358)*($E$6-$C$6)*($E$6-$D$6)))</f>
        <v/>
      </c>
      <c r="O3358" s="14">
        <f>_xlfn.NORM.INV($AC3358,$C$7,$D$7)</f>
        <v/>
      </c>
      <c r="P3358" s="14">
        <f>$C$8+($D$8-$C$8)*$AD3358</f>
        <v/>
      </c>
      <c r="Q3358" s="14">
        <f>$C$9</f>
        <v/>
      </c>
      <c r="R3358" s="14">
        <f>_xlfn.LOGNORM.INV($AF3358,LN($C$10)-0.5*LN(1+($D$10/$C$10)^2),SQRT(LN(1+($D$10/$C$10)^2)))</f>
        <v/>
      </c>
      <c r="S3358" s="14">
        <f>SUM(M3358:R3358)</f>
        <v/>
      </c>
      <c r="AA3358">
        <f>RAND()</f>
        <v/>
      </c>
      <c r="AB3358">
        <f>RAND()</f>
        <v/>
      </c>
      <c r="AC3358">
        <f>RAND()</f>
        <v/>
      </c>
      <c r="AD3358">
        <f>RAND()</f>
        <v/>
      </c>
      <c r="AE3358">
        <f>RAND()</f>
        <v/>
      </c>
      <c r="AF3358">
        <f>RAND()</f>
        <v/>
      </c>
    </row>
    <row r="3359">
      <c r="M3359" s="14">
        <f>_xlfn.BETA.INV($AA3359,1+4*($D$5-$C$5)/($E$5-$C$5),1+4*($E$5-$D$5)/($E$5-$C$5),$C$5,$E$5)</f>
        <v/>
      </c>
      <c r="N3359" s="14">
        <f>IF($AB3359&lt;($D$6-$C$6)/($E$6-$C$6),$C$6+SQRT($AB3359*($E$6-$C$6)*($D$6-$C$6)),$E$6-SQRT((1-$AB3359)*($E$6-$C$6)*($E$6-$D$6)))</f>
        <v/>
      </c>
      <c r="O3359" s="14">
        <f>_xlfn.NORM.INV($AC3359,$C$7,$D$7)</f>
        <v/>
      </c>
      <c r="P3359" s="14">
        <f>$C$8+($D$8-$C$8)*$AD3359</f>
        <v/>
      </c>
      <c r="Q3359" s="14">
        <f>$C$9</f>
        <v/>
      </c>
      <c r="R3359" s="14">
        <f>_xlfn.LOGNORM.INV($AF3359,LN($C$10)-0.5*LN(1+($D$10/$C$10)^2),SQRT(LN(1+($D$10/$C$10)^2)))</f>
        <v/>
      </c>
      <c r="S3359" s="14">
        <f>SUM(M3359:R3359)</f>
        <v/>
      </c>
      <c r="AA3359">
        <f>RAND()</f>
        <v/>
      </c>
      <c r="AB3359">
        <f>RAND()</f>
        <v/>
      </c>
      <c r="AC3359">
        <f>RAND()</f>
        <v/>
      </c>
      <c r="AD3359">
        <f>RAND()</f>
        <v/>
      </c>
      <c r="AE3359">
        <f>RAND()</f>
        <v/>
      </c>
      <c r="AF3359">
        <f>RAND()</f>
        <v/>
      </c>
    </row>
    <row r="3360">
      <c r="M3360" s="14">
        <f>_xlfn.BETA.INV($AA3360,1+4*($D$5-$C$5)/($E$5-$C$5),1+4*($E$5-$D$5)/($E$5-$C$5),$C$5,$E$5)</f>
        <v/>
      </c>
      <c r="N3360" s="14">
        <f>IF($AB3360&lt;($D$6-$C$6)/($E$6-$C$6),$C$6+SQRT($AB3360*($E$6-$C$6)*($D$6-$C$6)),$E$6-SQRT((1-$AB3360)*($E$6-$C$6)*($E$6-$D$6)))</f>
        <v/>
      </c>
      <c r="O3360" s="14">
        <f>_xlfn.NORM.INV($AC3360,$C$7,$D$7)</f>
        <v/>
      </c>
      <c r="P3360" s="14">
        <f>$C$8+($D$8-$C$8)*$AD3360</f>
        <v/>
      </c>
      <c r="Q3360" s="14">
        <f>$C$9</f>
        <v/>
      </c>
      <c r="R3360" s="14">
        <f>_xlfn.LOGNORM.INV($AF3360,LN($C$10)-0.5*LN(1+($D$10/$C$10)^2),SQRT(LN(1+($D$10/$C$10)^2)))</f>
        <v/>
      </c>
      <c r="S3360" s="14">
        <f>SUM(M3360:R3360)</f>
        <v/>
      </c>
      <c r="AA3360">
        <f>RAND()</f>
        <v/>
      </c>
      <c r="AB3360">
        <f>RAND()</f>
        <v/>
      </c>
      <c r="AC3360">
        <f>RAND()</f>
        <v/>
      </c>
      <c r="AD3360">
        <f>RAND()</f>
        <v/>
      </c>
      <c r="AE3360">
        <f>RAND()</f>
        <v/>
      </c>
      <c r="AF3360">
        <f>RAND()</f>
        <v/>
      </c>
    </row>
    <row r="3361">
      <c r="M3361" s="14">
        <f>_xlfn.BETA.INV($AA3361,1+4*($D$5-$C$5)/($E$5-$C$5),1+4*($E$5-$D$5)/($E$5-$C$5),$C$5,$E$5)</f>
        <v/>
      </c>
      <c r="N3361" s="14">
        <f>IF($AB3361&lt;($D$6-$C$6)/($E$6-$C$6),$C$6+SQRT($AB3361*($E$6-$C$6)*($D$6-$C$6)),$E$6-SQRT((1-$AB3361)*($E$6-$C$6)*($E$6-$D$6)))</f>
        <v/>
      </c>
      <c r="O3361" s="14">
        <f>_xlfn.NORM.INV($AC3361,$C$7,$D$7)</f>
        <v/>
      </c>
      <c r="P3361" s="14">
        <f>$C$8+($D$8-$C$8)*$AD3361</f>
        <v/>
      </c>
      <c r="Q3361" s="14">
        <f>$C$9</f>
        <v/>
      </c>
      <c r="R3361" s="14">
        <f>_xlfn.LOGNORM.INV($AF3361,LN($C$10)-0.5*LN(1+($D$10/$C$10)^2),SQRT(LN(1+($D$10/$C$10)^2)))</f>
        <v/>
      </c>
      <c r="S3361" s="14">
        <f>SUM(M3361:R3361)</f>
        <v/>
      </c>
      <c r="AA3361">
        <f>RAND()</f>
        <v/>
      </c>
      <c r="AB3361">
        <f>RAND()</f>
        <v/>
      </c>
      <c r="AC3361">
        <f>RAND()</f>
        <v/>
      </c>
      <c r="AD3361">
        <f>RAND()</f>
        <v/>
      </c>
      <c r="AE3361">
        <f>RAND()</f>
        <v/>
      </c>
      <c r="AF3361">
        <f>RAND()</f>
        <v/>
      </c>
    </row>
    <row r="3362">
      <c r="M3362" s="14">
        <f>_xlfn.BETA.INV($AA3362,1+4*($D$5-$C$5)/($E$5-$C$5),1+4*($E$5-$D$5)/($E$5-$C$5),$C$5,$E$5)</f>
        <v/>
      </c>
      <c r="N3362" s="14">
        <f>IF($AB3362&lt;($D$6-$C$6)/($E$6-$C$6),$C$6+SQRT($AB3362*($E$6-$C$6)*($D$6-$C$6)),$E$6-SQRT((1-$AB3362)*($E$6-$C$6)*($E$6-$D$6)))</f>
        <v/>
      </c>
      <c r="O3362" s="14">
        <f>_xlfn.NORM.INV($AC3362,$C$7,$D$7)</f>
        <v/>
      </c>
      <c r="P3362" s="14">
        <f>$C$8+($D$8-$C$8)*$AD3362</f>
        <v/>
      </c>
      <c r="Q3362" s="14">
        <f>$C$9</f>
        <v/>
      </c>
      <c r="R3362" s="14">
        <f>_xlfn.LOGNORM.INV($AF3362,LN($C$10)-0.5*LN(1+($D$10/$C$10)^2),SQRT(LN(1+($D$10/$C$10)^2)))</f>
        <v/>
      </c>
      <c r="S3362" s="14">
        <f>SUM(M3362:R3362)</f>
        <v/>
      </c>
      <c r="AA3362">
        <f>RAND()</f>
        <v/>
      </c>
      <c r="AB3362">
        <f>RAND()</f>
        <v/>
      </c>
      <c r="AC3362">
        <f>RAND()</f>
        <v/>
      </c>
      <c r="AD3362">
        <f>RAND()</f>
        <v/>
      </c>
      <c r="AE3362">
        <f>RAND()</f>
        <v/>
      </c>
      <c r="AF3362">
        <f>RAND()</f>
        <v/>
      </c>
    </row>
    <row r="3363">
      <c r="M3363" s="14">
        <f>_xlfn.BETA.INV($AA3363,1+4*($D$5-$C$5)/($E$5-$C$5),1+4*($E$5-$D$5)/($E$5-$C$5),$C$5,$E$5)</f>
        <v/>
      </c>
      <c r="N3363" s="14">
        <f>IF($AB3363&lt;($D$6-$C$6)/($E$6-$C$6),$C$6+SQRT($AB3363*($E$6-$C$6)*($D$6-$C$6)),$E$6-SQRT((1-$AB3363)*($E$6-$C$6)*($E$6-$D$6)))</f>
        <v/>
      </c>
      <c r="O3363" s="14">
        <f>_xlfn.NORM.INV($AC3363,$C$7,$D$7)</f>
        <v/>
      </c>
      <c r="P3363" s="14">
        <f>$C$8+($D$8-$C$8)*$AD3363</f>
        <v/>
      </c>
      <c r="Q3363" s="14">
        <f>$C$9</f>
        <v/>
      </c>
      <c r="R3363" s="14">
        <f>_xlfn.LOGNORM.INV($AF3363,LN($C$10)-0.5*LN(1+($D$10/$C$10)^2),SQRT(LN(1+($D$10/$C$10)^2)))</f>
        <v/>
      </c>
      <c r="S3363" s="14">
        <f>SUM(M3363:R3363)</f>
        <v/>
      </c>
      <c r="AA3363">
        <f>RAND()</f>
        <v/>
      </c>
      <c r="AB3363">
        <f>RAND()</f>
        <v/>
      </c>
      <c r="AC3363">
        <f>RAND()</f>
        <v/>
      </c>
      <c r="AD3363">
        <f>RAND()</f>
        <v/>
      </c>
      <c r="AE3363">
        <f>RAND()</f>
        <v/>
      </c>
      <c r="AF3363">
        <f>RAND()</f>
        <v/>
      </c>
    </row>
    <row r="3364">
      <c r="M3364" s="14">
        <f>_xlfn.BETA.INV($AA3364,1+4*($D$5-$C$5)/($E$5-$C$5),1+4*($E$5-$D$5)/($E$5-$C$5),$C$5,$E$5)</f>
        <v/>
      </c>
      <c r="N3364" s="14">
        <f>IF($AB3364&lt;($D$6-$C$6)/($E$6-$C$6),$C$6+SQRT($AB3364*($E$6-$C$6)*($D$6-$C$6)),$E$6-SQRT((1-$AB3364)*($E$6-$C$6)*($E$6-$D$6)))</f>
        <v/>
      </c>
      <c r="O3364" s="14">
        <f>_xlfn.NORM.INV($AC3364,$C$7,$D$7)</f>
        <v/>
      </c>
      <c r="P3364" s="14">
        <f>$C$8+($D$8-$C$8)*$AD3364</f>
        <v/>
      </c>
      <c r="Q3364" s="14">
        <f>$C$9</f>
        <v/>
      </c>
      <c r="R3364" s="14">
        <f>_xlfn.LOGNORM.INV($AF3364,LN($C$10)-0.5*LN(1+($D$10/$C$10)^2),SQRT(LN(1+($D$10/$C$10)^2)))</f>
        <v/>
      </c>
      <c r="S3364" s="14">
        <f>SUM(M3364:R3364)</f>
        <v/>
      </c>
      <c r="AA3364">
        <f>RAND()</f>
        <v/>
      </c>
      <c r="AB3364">
        <f>RAND()</f>
        <v/>
      </c>
      <c r="AC3364">
        <f>RAND()</f>
        <v/>
      </c>
      <c r="AD3364">
        <f>RAND()</f>
        <v/>
      </c>
      <c r="AE3364">
        <f>RAND()</f>
        <v/>
      </c>
      <c r="AF3364">
        <f>RAND()</f>
        <v/>
      </c>
    </row>
    <row r="3365">
      <c r="M3365" s="14">
        <f>_xlfn.BETA.INV($AA3365,1+4*($D$5-$C$5)/($E$5-$C$5),1+4*($E$5-$D$5)/($E$5-$C$5),$C$5,$E$5)</f>
        <v/>
      </c>
      <c r="N3365" s="14">
        <f>IF($AB3365&lt;($D$6-$C$6)/($E$6-$C$6),$C$6+SQRT($AB3365*($E$6-$C$6)*($D$6-$C$6)),$E$6-SQRT((1-$AB3365)*($E$6-$C$6)*($E$6-$D$6)))</f>
        <v/>
      </c>
      <c r="O3365" s="14">
        <f>_xlfn.NORM.INV($AC3365,$C$7,$D$7)</f>
        <v/>
      </c>
      <c r="P3365" s="14">
        <f>$C$8+($D$8-$C$8)*$AD3365</f>
        <v/>
      </c>
      <c r="Q3365" s="14">
        <f>$C$9</f>
        <v/>
      </c>
      <c r="R3365" s="14">
        <f>_xlfn.LOGNORM.INV($AF3365,LN($C$10)-0.5*LN(1+($D$10/$C$10)^2),SQRT(LN(1+($D$10/$C$10)^2)))</f>
        <v/>
      </c>
      <c r="S3365" s="14">
        <f>SUM(M3365:R3365)</f>
        <v/>
      </c>
      <c r="AA3365">
        <f>RAND()</f>
        <v/>
      </c>
      <c r="AB3365">
        <f>RAND()</f>
        <v/>
      </c>
      <c r="AC3365">
        <f>RAND()</f>
        <v/>
      </c>
      <c r="AD3365">
        <f>RAND()</f>
        <v/>
      </c>
      <c r="AE3365">
        <f>RAND()</f>
        <v/>
      </c>
      <c r="AF3365">
        <f>RAND()</f>
        <v/>
      </c>
    </row>
    <row r="3366">
      <c r="M3366" s="14">
        <f>_xlfn.BETA.INV($AA3366,1+4*($D$5-$C$5)/($E$5-$C$5),1+4*($E$5-$D$5)/($E$5-$C$5),$C$5,$E$5)</f>
        <v/>
      </c>
      <c r="N3366" s="14">
        <f>IF($AB3366&lt;($D$6-$C$6)/($E$6-$C$6),$C$6+SQRT($AB3366*($E$6-$C$6)*($D$6-$C$6)),$E$6-SQRT((1-$AB3366)*($E$6-$C$6)*($E$6-$D$6)))</f>
        <v/>
      </c>
      <c r="O3366" s="14">
        <f>_xlfn.NORM.INV($AC3366,$C$7,$D$7)</f>
        <v/>
      </c>
      <c r="P3366" s="14">
        <f>$C$8+($D$8-$C$8)*$AD3366</f>
        <v/>
      </c>
      <c r="Q3366" s="14">
        <f>$C$9</f>
        <v/>
      </c>
      <c r="R3366" s="14">
        <f>_xlfn.LOGNORM.INV($AF3366,LN($C$10)-0.5*LN(1+($D$10/$C$10)^2),SQRT(LN(1+($D$10/$C$10)^2)))</f>
        <v/>
      </c>
      <c r="S3366" s="14">
        <f>SUM(M3366:R3366)</f>
        <v/>
      </c>
      <c r="AA3366">
        <f>RAND()</f>
        <v/>
      </c>
      <c r="AB3366">
        <f>RAND()</f>
        <v/>
      </c>
      <c r="AC3366">
        <f>RAND()</f>
        <v/>
      </c>
      <c r="AD3366">
        <f>RAND()</f>
        <v/>
      </c>
      <c r="AE3366">
        <f>RAND()</f>
        <v/>
      </c>
      <c r="AF3366">
        <f>RAND()</f>
        <v/>
      </c>
    </row>
    <row r="3367">
      <c r="M3367" s="14">
        <f>_xlfn.BETA.INV($AA3367,1+4*($D$5-$C$5)/($E$5-$C$5),1+4*($E$5-$D$5)/($E$5-$C$5),$C$5,$E$5)</f>
        <v/>
      </c>
      <c r="N3367" s="14">
        <f>IF($AB3367&lt;($D$6-$C$6)/($E$6-$C$6),$C$6+SQRT($AB3367*($E$6-$C$6)*($D$6-$C$6)),$E$6-SQRT((1-$AB3367)*($E$6-$C$6)*($E$6-$D$6)))</f>
        <v/>
      </c>
      <c r="O3367" s="14">
        <f>_xlfn.NORM.INV($AC3367,$C$7,$D$7)</f>
        <v/>
      </c>
      <c r="P3367" s="14">
        <f>$C$8+($D$8-$C$8)*$AD3367</f>
        <v/>
      </c>
      <c r="Q3367" s="14">
        <f>$C$9</f>
        <v/>
      </c>
      <c r="R3367" s="14">
        <f>_xlfn.LOGNORM.INV($AF3367,LN($C$10)-0.5*LN(1+($D$10/$C$10)^2),SQRT(LN(1+($D$10/$C$10)^2)))</f>
        <v/>
      </c>
      <c r="S3367" s="14">
        <f>SUM(M3367:R3367)</f>
        <v/>
      </c>
      <c r="AA3367">
        <f>RAND()</f>
        <v/>
      </c>
      <c r="AB3367">
        <f>RAND()</f>
        <v/>
      </c>
      <c r="AC3367">
        <f>RAND()</f>
        <v/>
      </c>
      <c r="AD3367">
        <f>RAND()</f>
        <v/>
      </c>
      <c r="AE3367">
        <f>RAND()</f>
        <v/>
      </c>
      <c r="AF3367">
        <f>RAND()</f>
        <v/>
      </c>
    </row>
    <row r="3368">
      <c r="M3368" s="14">
        <f>_xlfn.BETA.INV($AA3368,1+4*($D$5-$C$5)/($E$5-$C$5),1+4*($E$5-$D$5)/($E$5-$C$5),$C$5,$E$5)</f>
        <v/>
      </c>
      <c r="N3368" s="14">
        <f>IF($AB3368&lt;($D$6-$C$6)/($E$6-$C$6),$C$6+SQRT($AB3368*($E$6-$C$6)*($D$6-$C$6)),$E$6-SQRT((1-$AB3368)*($E$6-$C$6)*($E$6-$D$6)))</f>
        <v/>
      </c>
      <c r="O3368" s="14">
        <f>_xlfn.NORM.INV($AC3368,$C$7,$D$7)</f>
        <v/>
      </c>
      <c r="P3368" s="14">
        <f>$C$8+($D$8-$C$8)*$AD3368</f>
        <v/>
      </c>
      <c r="Q3368" s="14">
        <f>$C$9</f>
        <v/>
      </c>
      <c r="R3368" s="14">
        <f>_xlfn.LOGNORM.INV($AF3368,LN($C$10)-0.5*LN(1+($D$10/$C$10)^2),SQRT(LN(1+($D$10/$C$10)^2)))</f>
        <v/>
      </c>
      <c r="S3368" s="14">
        <f>SUM(M3368:R3368)</f>
        <v/>
      </c>
      <c r="AA3368">
        <f>RAND()</f>
        <v/>
      </c>
      <c r="AB3368">
        <f>RAND()</f>
        <v/>
      </c>
      <c r="AC3368">
        <f>RAND()</f>
        <v/>
      </c>
      <c r="AD3368">
        <f>RAND()</f>
        <v/>
      </c>
      <c r="AE3368">
        <f>RAND()</f>
        <v/>
      </c>
      <c r="AF3368">
        <f>RAND()</f>
        <v/>
      </c>
    </row>
    <row r="3369">
      <c r="M3369" s="14">
        <f>_xlfn.BETA.INV($AA3369,1+4*($D$5-$C$5)/($E$5-$C$5),1+4*($E$5-$D$5)/($E$5-$C$5),$C$5,$E$5)</f>
        <v/>
      </c>
      <c r="N3369" s="14">
        <f>IF($AB3369&lt;($D$6-$C$6)/($E$6-$C$6),$C$6+SQRT($AB3369*($E$6-$C$6)*($D$6-$C$6)),$E$6-SQRT((1-$AB3369)*($E$6-$C$6)*($E$6-$D$6)))</f>
        <v/>
      </c>
      <c r="O3369" s="14">
        <f>_xlfn.NORM.INV($AC3369,$C$7,$D$7)</f>
        <v/>
      </c>
      <c r="P3369" s="14">
        <f>$C$8+($D$8-$C$8)*$AD3369</f>
        <v/>
      </c>
      <c r="Q3369" s="14">
        <f>$C$9</f>
        <v/>
      </c>
      <c r="R3369" s="14">
        <f>_xlfn.LOGNORM.INV($AF3369,LN($C$10)-0.5*LN(1+($D$10/$C$10)^2),SQRT(LN(1+($D$10/$C$10)^2)))</f>
        <v/>
      </c>
      <c r="S3369" s="14">
        <f>SUM(M3369:R3369)</f>
        <v/>
      </c>
      <c r="AA3369">
        <f>RAND()</f>
        <v/>
      </c>
      <c r="AB3369">
        <f>RAND()</f>
        <v/>
      </c>
      <c r="AC3369">
        <f>RAND()</f>
        <v/>
      </c>
      <c r="AD3369">
        <f>RAND()</f>
        <v/>
      </c>
      <c r="AE3369">
        <f>RAND()</f>
        <v/>
      </c>
      <c r="AF3369">
        <f>RAND()</f>
        <v/>
      </c>
    </row>
    <row r="3370">
      <c r="M3370" s="14">
        <f>_xlfn.BETA.INV($AA3370,1+4*($D$5-$C$5)/($E$5-$C$5),1+4*($E$5-$D$5)/($E$5-$C$5),$C$5,$E$5)</f>
        <v/>
      </c>
      <c r="N3370" s="14">
        <f>IF($AB3370&lt;($D$6-$C$6)/($E$6-$C$6),$C$6+SQRT($AB3370*($E$6-$C$6)*($D$6-$C$6)),$E$6-SQRT((1-$AB3370)*($E$6-$C$6)*($E$6-$D$6)))</f>
        <v/>
      </c>
      <c r="O3370" s="14">
        <f>_xlfn.NORM.INV($AC3370,$C$7,$D$7)</f>
        <v/>
      </c>
      <c r="P3370" s="14">
        <f>$C$8+($D$8-$C$8)*$AD3370</f>
        <v/>
      </c>
      <c r="Q3370" s="14">
        <f>$C$9</f>
        <v/>
      </c>
      <c r="R3370" s="14">
        <f>_xlfn.LOGNORM.INV($AF3370,LN($C$10)-0.5*LN(1+($D$10/$C$10)^2),SQRT(LN(1+($D$10/$C$10)^2)))</f>
        <v/>
      </c>
      <c r="S3370" s="14">
        <f>SUM(M3370:R3370)</f>
        <v/>
      </c>
      <c r="AA3370">
        <f>RAND()</f>
        <v/>
      </c>
      <c r="AB3370">
        <f>RAND()</f>
        <v/>
      </c>
      <c r="AC3370">
        <f>RAND()</f>
        <v/>
      </c>
      <c r="AD3370">
        <f>RAND()</f>
        <v/>
      </c>
      <c r="AE3370">
        <f>RAND()</f>
        <v/>
      </c>
      <c r="AF3370">
        <f>RAND()</f>
        <v/>
      </c>
    </row>
    <row r="3371">
      <c r="M3371" s="14">
        <f>_xlfn.BETA.INV($AA3371,1+4*($D$5-$C$5)/($E$5-$C$5),1+4*($E$5-$D$5)/($E$5-$C$5),$C$5,$E$5)</f>
        <v/>
      </c>
      <c r="N3371" s="14">
        <f>IF($AB3371&lt;($D$6-$C$6)/($E$6-$C$6),$C$6+SQRT($AB3371*($E$6-$C$6)*($D$6-$C$6)),$E$6-SQRT((1-$AB3371)*($E$6-$C$6)*($E$6-$D$6)))</f>
        <v/>
      </c>
      <c r="O3371" s="14">
        <f>_xlfn.NORM.INV($AC3371,$C$7,$D$7)</f>
        <v/>
      </c>
      <c r="P3371" s="14">
        <f>$C$8+($D$8-$C$8)*$AD3371</f>
        <v/>
      </c>
      <c r="Q3371" s="14">
        <f>$C$9</f>
        <v/>
      </c>
      <c r="R3371" s="14">
        <f>_xlfn.LOGNORM.INV($AF3371,LN($C$10)-0.5*LN(1+($D$10/$C$10)^2),SQRT(LN(1+($D$10/$C$10)^2)))</f>
        <v/>
      </c>
      <c r="S3371" s="14">
        <f>SUM(M3371:R3371)</f>
        <v/>
      </c>
      <c r="AA3371">
        <f>RAND()</f>
        <v/>
      </c>
      <c r="AB3371">
        <f>RAND()</f>
        <v/>
      </c>
      <c r="AC3371">
        <f>RAND()</f>
        <v/>
      </c>
      <c r="AD3371">
        <f>RAND()</f>
        <v/>
      </c>
      <c r="AE3371">
        <f>RAND()</f>
        <v/>
      </c>
      <c r="AF3371">
        <f>RAND()</f>
        <v/>
      </c>
    </row>
    <row r="3372">
      <c r="M3372" s="14">
        <f>_xlfn.BETA.INV($AA3372,1+4*($D$5-$C$5)/($E$5-$C$5),1+4*($E$5-$D$5)/($E$5-$C$5),$C$5,$E$5)</f>
        <v/>
      </c>
      <c r="N3372" s="14">
        <f>IF($AB3372&lt;($D$6-$C$6)/($E$6-$C$6),$C$6+SQRT($AB3372*($E$6-$C$6)*($D$6-$C$6)),$E$6-SQRT((1-$AB3372)*($E$6-$C$6)*($E$6-$D$6)))</f>
        <v/>
      </c>
      <c r="O3372" s="14">
        <f>_xlfn.NORM.INV($AC3372,$C$7,$D$7)</f>
        <v/>
      </c>
      <c r="P3372" s="14">
        <f>$C$8+($D$8-$C$8)*$AD3372</f>
        <v/>
      </c>
      <c r="Q3372" s="14">
        <f>$C$9</f>
        <v/>
      </c>
      <c r="R3372" s="14">
        <f>_xlfn.LOGNORM.INV($AF3372,LN($C$10)-0.5*LN(1+($D$10/$C$10)^2),SQRT(LN(1+($D$10/$C$10)^2)))</f>
        <v/>
      </c>
      <c r="S3372" s="14">
        <f>SUM(M3372:R3372)</f>
        <v/>
      </c>
      <c r="AA3372">
        <f>RAND()</f>
        <v/>
      </c>
      <c r="AB3372">
        <f>RAND()</f>
        <v/>
      </c>
      <c r="AC3372">
        <f>RAND()</f>
        <v/>
      </c>
      <c r="AD3372">
        <f>RAND()</f>
        <v/>
      </c>
      <c r="AE3372">
        <f>RAND()</f>
        <v/>
      </c>
      <c r="AF3372">
        <f>RAND()</f>
        <v/>
      </c>
    </row>
    <row r="3373">
      <c r="M3373" s="14">
        <f>_xlfn.BETA.INV($AA3373,1+4*($D$5-$C$5)/($E$5-$C$5),1+4*($E$5-$D$5)/($E$5-$C$5),$C$5,$E$5)</f>
        <v/>
      </c>
      <c r="N3373" s="14">
        <f>IF($AB3373&lt;($D$6-$C$6)/($E$6-$C$6),$C$6+SQRT($AB3373*($E$6-$C$6)*($D$6-$C$6)),$E$6-SQRT((1-$AB3373)*($E$6-$C$6)*($E$6-$D$6)))</f>
        <v/>
      </c>
      <c r="O3373" s="14">
        <f>_xlfn.NORM.INV($AC3373,$C$7,$D$7)</f>
        <v/>
      </c>
      <c r="P3373" s="14">
        <f>$C$8+($D$8-$C$8)*$AD3373</f>
        <v/>
      </c>
      <c r="Q3373" s="14">
        <f>$C$9</f>
        <v/>
      </c>
      <c r="R3373" s="14">
        <f>_xlfn.LOGNORM.INV($AF3373,LN($C$10)-0.5*LN(1+($D$10/$C$10)^2),SQRT(LN(1+($D$10/$C$10)^2)))</f>
        <v/>
      </c>
      <c r="S3373" s="14">
        <f>SUM(M3373:R3373)</f>
        <v/>
      </c>
      <c r="AA3373">
        <f>RAND()</f>
        <v/>
      </c>
      <c r="AB3373">
        <f>RAND()</f>
        <v/>
      </c>
      <c r="AC3373">
        <f>RAND()</f>
        <v/>
      </c>
      <c r="AD3373">
        <f>RAND()</f>
        <v/>
      </c>
      <c r="AE3373">
        <f>RAND()</f>
        <v/>
      </c>
      <c r="AF3373">
        <f>RAND()</f>
        <v/>
      </c>
    </row>
    <row r="3374">
      <c r="M3374" s="14">
        <f>_xlfn.BETA.INV($AA3374,1+4*($D$5-$C$5)/($E$5-$C$5),1+4*($E$5-$D$5)/($E$5-$C$5),$C$5,$E$5)</f>
        <v/>
      </c>
      <c r="N3374" s="14">
        <f>IF($AB3374&lt;($D$6-$C$6)/($E$6-$C$6),$C$6+SQRT($AB3374*($E$6-$C$6)*($D$6-$C$6)),$E$6-SQRT((1-$AB3374)*($E$6-$C$6)*($E$6-$D$6)))</f>
        <v/>
      </c>
      <c r="O3374" s="14">
        <f>_xlfn.NORM.INV($AC3374,$C$7,$D$7)</f>
        <v/>
      </c>
      <c r="P3374" s="14">
        <f>$C$8+($D$8-$C$8)*$AD3374</f>
        <v/>
      </c>
      <c r="Q3374" s="14">
        <f>$C$9</f>
        <v/>
      </c>
      <c r="R3374" s="14">
        <f>_xlfn.LOGNORM.INV($AF3374,LN($C$10)-0.5*LN(1+($D$10/$C$10)^2),SQRT(LN(1+($D$10/$C$10)^2)))</f>
        <v/>
      </c>
      <c r="S3374" s="14">
        <f>SUM(M3374:R3374)</f>
        <v/>
      </c>
      <c r="AA3374">
        <f>RAND()</f>
        <v/>
      </c>
      <c r="AB3374">
        <f>RAND()</f>
        <v/>
      </c>
      <c r="AC3374">
        <f>RAND()</f>
        <v/>
      </c>
      <c r="AD3374">
        <f>RAND()</f>
        <v/>
      </c>
      <c r="AE3374">
        <f>RAND()</f>
        <v/>
      </c>
      <c r="AF3374">
        <f>RAND()</f>
        <v/>
      </c>
    </row>
    <row r="3375">
      <c r="M3375" s="14">
        <f>_xlfn.BETA.INV($AA3375,1+4*($D$5-$C$5)/($E$5-$C$5),1+4*($E$5-$D$5)/($E$5-$C$5),$C$5,$E$5)</f>
        <v/>
      </c>
      <c r="N3375" s="14">
        <f>IF($AB3375&lt;($D$6-$C$6)/($E$6-$C$6),$C$6+SQRT($AB3375*($E$6-$C$6)*($D$6-$C$6)),$E$6-SQRT((1-$AB3375)*($E$6-$C$6)*($E$6-$D$6)))</f>
        <v/>
      </c>
      <c r="O3375" s="14">
        <f>_xlfn.NORM.INV($AC3375,$C$7,$D$7)</f>
        <v/>
      </c>
      <c r="P3375" s="14">
        <f>$C$8+($D$8-$C$8)*$AD3375</f>
        <v/>
      </c>
      <c r="Q3375" s="14">
        <f>$C$9</f>
        <v/>
      </c>
      <c r="R3375" s="14">
        <f>_xlfn.LOGNORM.INV($AF3375,LN($C$10)-0.5*LN(1+($D$10/$C$10)^2),SQRT(LN(1+($D$10/$C$10)^2)))</f>
        <v/>
      </c>
      <c r="S3375" s="14">
        <f>SUM(M3375:R3375)</f>
        <v/>
      </c>
      <c r="AA3375">
        <f>RAND()</f>
        <v/>
      </c>
      <c r="AB3375">
        <f>RAND()</f>
        <v/>
      </c>
      <c r="AC3375">
        <f>RAND()</f>
        <v/>
      </c>
      <c r="AD3375">
        <f>RAND()</f>
        <v/>
      </c>
      <c r="AE3375">
        <f>RAND()</f>
        <v/>
      </c>
      <c r="AF3375">
        <f>RAND()</f>
        <v/>
      </c>
    </row>
    <row r="3376">
      <c r="M3376" s="14">
        <f>_xlfn.BETA.INV($AA3376,1+4*($D$5-$C$5)/($E$5-$C$5),1+4*($E$5-$D$5)/($E$5-$C$5),$C$5,$E$5)</f>
        <v/>
      </c>
      <c r="N3376" s="14">
        <f>IF($AB3376&lt;($D$6-$C$6)/($E$6-$C$6),$C$6+SQRT($AB3376*($E$6-$C$6)*($D$6-$C$6)),$E$6-SQRT((1-$AB3376)*($E$6-$C$6)*($E$6-$D$6)))</f>
        <v/>
      </c>
      <c r="O3376" s="14">
        <f>_xlfn.NORM.INV($AC3376,$C$7,$D$7)</f>
        <v/>
      </c>
      <c r="P3376" s="14">
        <f>$C$8+($D$8-$C$8)*$AD3376</f>
        <v/>
      </c>
      <c r="Q3376" s="14">
        <f>$C$9</f>
        <v/>
      </c>
      <c r="R3376" s="14">
        <f>_xlfn.LOGNORM.INV($AF3376,LN($C$10)-0.5*LN(1+($D$10/$C$10)^2),SQRT(LN(1+($D$10/$C$10)^2)))</f>
        <v/>
      </c>
      <c r="S3376" s="14">
        <f>SUM(M3376:R3376)</f>
        <v/>
      </c>
      <c r="AA3376">
        <f>RAND()</f>
        <v/>
      </c>
      <c r="AB3376">
        <f>RAND()</f>
        <v/>
      </c>
      <c r="AC3376">
        <f>RAND()</f>
        <v/>
      </c>
      <c r="AD3376">
        <f>RAND()</f>
        <v/>
      </c>
      <c r="AE3376">
        <f>RAND()</f>
        <v/>
      </c>
      <c r="AF3376">
        <f>RAND()</f>
        <v/>
      </c>
    </row>
    <row r="3377">
      <c r="M3377" s="14">
        <f>_xlfn.BETA.INV($AA3377,1+4*($D$5-$C$5)/($E$5-$C$5),1+4*($E$5-$D$5)/($E$5-$C$5),$C$5,$E$5)</f>
        <v/>
      </c>
      <c r="N3377" s="14">
        <f>IF($AB3377&lt;($D$6-$C$6)/($E$6-$C$6),$C$6+SQRT($AB3377*($E$6-$C$6)*($D$6-$C$6)),$E$6-SQRT((1-$AB3377)*($E$6-$C$6)*($E$6-$D$6)))</f>
        <v/>
      </c>
      <c r="O3377" s="14">
        <f>_xlfn.NORM.INV($AC3377,$C$7,$D$7)</f>
        <v/>
      </c>
      <c r="P3377" s="14">
        <f>$C$8+($D$8-$C$8)*$AD3377</f>
        <v/>
      </c>
      <c r="Q3377" s="14">
        <f>$C$9</f>
        <v/>
      </c>
      <c r="R3377" s="14">
        <f>_xlfn.LOGNORM.INV($AF3377,LN($C$10)-0.5*LN(1+($D$10/$C$10)^2),SQRT(LN(1+($D$10/$C$10)^2)))</f>
        <v/>
      </c>
      <c r="S3377" s="14">
        <f>SUM(M3377:R3377)</f>
        <v/>
      </c>
      <c r="AA3377">
        <f>RAND()</f>
        <v/>
      </c>
      <c r="AB3377">
        <f>RAND()</f>
        <v/>
      </c>
      <c r="AC3377">
        <f>RAND()</f>
        <v/>
      </c>
      <c r="AD3377">
        <f>RAND()</f>
        <v/>
      </c>
      <c r="AE3377">
        <f>RAND()</f>
        <v/>
      </c>
      <c r="AF3377">
        <f>RAND()</f>
        <v/>
      </c>
    </row>
    <row r="3378">
      <c r="M3378" s="14">
        <f>_xlfn.BETA.INV($AA3378,1+4*($D$5-$C$5)/($E$5-$C$5),1+4*($E$5-$D$5)/($E$5-$C$5),$C$5,$E$5)</f>
        <v/>
      </c>
      <c r="N3378" s="14">
        <f>IF($AB3378&lt;($D$6-$C$6)/($E$6-$C$6),$C$6+SQRT($AB3378*($E$6-$C$6)*($D$6-$C$6)),$E$6-SQRT((1-$AB3378)*($E$6-$C$6)*($E$6-$D$6)))</f>
        <v/>
      </c>
      <c r="O3378" s="14">
        <f>_xlfn.NORM.INV($AC3378,$C$7,$D$7)</f>
        <v/>
      </c>
      <c r="P3378" s="14">
        <f>$C$8+($D$8-$C$8)*$AD3378</f>
        <v/>
      </c>
      <c r="Q3378" s="14">
        <f>$C$9</f>
        <v/>
      </c>
      <c r="R3378" s="14">
        <f>_xlfn.LOGNORM.INV($AF3378,LN($C$10)-0.5*LN(1+($D$10/$C$10)^2),SQRT(LN(1+($D$10/$C$10)^2)))</f>
        <v/>
      </c>
      <c r="S3378" s="14">
        <f>SUM(M3378:R3378)</f>
        <v/>
      </c>
      <c r="AA3378">
        <f>RAND()</f>
        <v/>
      </c>
      <c r="AB3378">
        <f>RAND()</f>
        <v/>
      </c>
      <c r="AC3378">
        <f>RAND()</f>
        <v/>
      </c>
      <c r="AD3378">
        <f>RAND()</f>
        <v/>
      </c>
      <c r="AE3378">
        <f>RAND()</f>
        <v/>
      </c>
      <c r="AF3378">
        <f>RAND()</f>
        <v/>
      </c>
    </row>
    <row r="3379">
      <c r="M3379" s="14">
        <f>_xlfn.BETA.INV($AA3379,1+4*($D$5-$C$5)/($E$5-$C$5),1+4*($E$5-$D$5)/($E$5-$C$5),$C$5,$E$5)</f>
        <v/>
      </c>
      <c r="N3379" s="14">
        <f>IF($AB3379&lt;($D$6-$C$6)/($E$6-$C$6),$C$6+SQRT($AB3379*($E$6-$C$6)*($D$6-$C$6)),$E$6-SQRT((1-$AB3379)*($E$6-$C$6)*($E$6-$D$6)))</f>
        <v/>
      </c>
      <c r="O3379" s="14">
        <f>_xlfn.NORM.INV($AC3379,$C$7,$D$7)</f>
        <v/>
      </c>
      <c r="P3379" s="14">
        <f>$C$8+($D$8-$C$8)*$AD3379</f>
        <v/>
      </c>
      <c r="Q3379" s="14">
        <f>$C$9</f>
        <v/>
      </c>
      <c r="R3379" s="14">
        <f>_xlfn.LOGNORM.INV($AF3379,LN($C$10)-0.5*LN(1+($D$10/$C$10)^2),SQRT(LN(1+($D$10/$C$10)^2)))</f>
        <v/>
      </c>
      <c r="S3379" s="14">
        <f>SUM(M3379:R3379)</f>
        <v/>
      </c>
      <c r="AA3379">
        <f>RAND()</f>
        <v/>
      </c>
      <c r="AB3379">
        <f>RAND()</f>
        <v/>
      </c>
      <c r="AC3379">
        <f>RAND()</f>
        <v/>
      </c>
      <c r="AD3379">
        <f>RAND()</f>
        <v/>
      </c>
      <c r="AE3379">
        <f>RAND()</f>
        <v/>
      </c>
      <c r="AF3379">
        <f>RAND()</f>
        <v/>
      </c>
    </row>
    <row r="3380">
      <c r="M3380" s="14">
        <f>_xlfn.BETA.INV($AA3380,1+4*($D$5-$C$5)/($E$5-$C$5),1+4*($E$5-$D$5)/($E$5-$C$5),$C$5,$E$5)</f>
        <v/>
      </c>
      <c r="N3380" s="14">
        <f>IF($AB3380&lt;($D$6-$C$6)/($E$6-$C$6),$C$6+SQRT($AB3380*($E$6-$C$6)*($D$6-$C$6)),$E$6-SQRT((1-$AB3380)*($E$6-$C$6)*($E$6-$D$6)))</f>
        <v/>
      </c>
      <c r="O3380" s="14">
        <f>_xlfn.NORM.INV($AC3380,$C$7,$D$7)</f>
        <v/>
      </c>
      <c r="P3380" s="14">
        <f>$C$8+($D$8-$C$8)*$AD3380</f>
        <v/>
      </c>
      <c r="Q3380" s="14">
        <f>$C$9</f>
        <v/>
      </c>
      <c r="R3380" s="14">
        <f>_xlfn.LOGNORM.INV($AF3380,LN($C$10)-0.5*LN(1+($D$10/$C$10)^2),SQRT(LN(1+($D$10/$C$10)^2)))</f>
        <v/>
      </c>
      <c r="S3380" s="14">
        <f>SUM(M3380:R3380)</f>
        <v/>
      </c>
      <c r="AA3380">
        <f>RAND()</f>
        <v/>
      </c>
      <c r="AB3380">
        <f>RAND()</f>
        <v/>
      </c>
      <c r="AC3380">
        <f>RAND()</f>
        <v/>
      </c>
      <c r="AD3380">
        <f>RAND()</f>
        <v/>
      </c>
      <c r="AE3380">
        <f>RAND()</f>
        <v/>
      </c>
      <c r="AF3380">
        <f>RAND()</f>
        <v/>
      </c>
    </row>
    <row r="3381">
      <c r="M3381" s="14">
        <f>_xlfn.BETA.INV($AA3381,1+4*($D$5-$C$5)/($E$5-$C$5),1+4*($E$5-$D$5)/($E$5-$C$5),$C$5,$E$5)</f>
        <v/>
      </c>
      <c r="N3381" s="14">
        <f>IF($AB3381&lt;($D$6-$C$6)/($E$6-$C$6),$C$6+SQRT($AB3381*($E$6-$C$6)*($D$6-$C$6)),$E$6-SQRT((1-$AB3381)*($E$6-$C$6)*($E$6-$D$6)))</f>
        <v/>
      </c>
      <c r="O3381" s="14">
        <f>_xlfn.NORM.INV($AC3381,$C$7,$D$7)</f>
        <v/>
      </c>
      <c r="P3381" s="14">
        <f>$C$8+($D$8-$C$8)*$AD3381</f>
        <v/>
      </c>
      <c r="Q3381" s="14">
        <f>$C$9</f>
        <v/>
      </c>
      <c r="R3381" s="14">
        <f>_xlfn.LOGNORM.INV($AF3381,LN($C$10)-0.5*LN(1+($D$10/$C$10)^2),SQRT(LN(1+($D$10/$C$10)^2)))</f>
        <v/>
      </c>
      <c r="S3381" s="14">
        <f>SUM(M3381:R3381)</f>
        <v/>
      </c>
      <c r="AA3381">
        <f>RAND()</f>
        <v/>
      </c>
      <c r="AB3381">
        <f>RAND()</f>
        <v/>
      </c>
      <c r="AC3381">
        <f>RAND()</f>
        <v/>
      </c>
      <c r="AD3381">
        <f>RAND()</f>
        <v/>
      </c>
      <c r="AE3381">
        <f>RAND()</f>
        <v/>
      </c>
      <c r="AF3381">
        <f>RAND()</f>
        <v/>
      </c>
    </row>
    <row r="3382">
      <c r="M3382" s="14">
        <f>_xlfn.BETA.INV($AA3382,1+4*($D$5-$C$5)/($E$5-$C$5),1+4*($E$5-$D$5)/($E$5-$C$5),$C$5,$E$5)</f>
        <v/>
      </c>
      <c r="N3382" s="14">
        <f>IF($AB3382&lt;($D$6-$C$6)/($E$6-$C$6),$C$6+SQRT($AB3382*($E$6-$C$6)*($D$6-$C$6)),$E$6-SQRT((1-$AB3382)*($E$6-$C$6)*($E$6-$D$6)))</f>
        <v/>
      </c>
      <c r="O3382" s="14">
        <f>_xlfn.NORM.INV($AC3382,$C$7,$D$7)</f>
        <v/>
      </c>
      <c r="P3382" s="14">
        <f>$C$8+($D$8-$C$8)*$AD3382</f>
        <v/>
      </c>
      <c r="Q3382" s="14">
        <f>$C$9</f>
        <v/>
      </c>
      <c r="R3382" s="14">
        <f>_xlfn.LOGNORM.INV($AF3382,LN($C$10)-0.5*LN(1+($D$10/$C$10)^2),SQRT(LN(1+($D$10/$C$10)^2)))</f>
        <v/>
      </c>
      <c r="S3382" s="14">
        <f>SUM(M3382:R3382)</f>
        <v/>
      </c>
      <c r="AA3382">
        <f>RAND()</f>
        <v/>
      </c>
      <c r="AB3382">
        <f>RAND()</f>
        <v/>
      </c>
      <c r="AC3382">
        <f>RAND()</f>
        <v/>
      </c>
      <c r="AD3382">
        <f>RAND()</f>
        <v/>
      </c>
      <c r="AE3382">
        <f>RAND()</f>
        <v/>
      </c>
      <c r="AF3382">
        <f>RAND()</f>
        <v/>
      </c>
    </row>
    <row r="3383">
      <c r="M3383" s="14">
        <f>_xlfn.BETA.INV($AA3383,1+4*($D$5-$C$5)/($E$5-$C$5),1+4*($E$5-$D$5)/($E$5-$C$5),$C$5,$E$5)</f>
        <v/>
      </c>
      <c r="N3383" s="14">
        <f>IF($AB3383&lt;($D$6-$C$6)/($E$6-$C$6),$C$6+SQRT($AB3383*($E$6-$C$6)*($D$6-$C$6)),$E$6-SQRT((1-$AB3383)*($E$6-$C$6)*($E$6-$D$6)))</f>
        <v/>
      </c>
      <c r="O3383" s="14">
        <f>_xlfn.NORM.INV($AC3383,$C$7,$D$7)</f>
        <v/>
      </c>
      <c r="P3383" s="14">
        <f>$C$8+($D$8-$C$8)*$AD3383</f>
        <v/>
      </c>
      <c r="Q3383" s="14">
        <f>$C$9</f>
        <v/>
      </c>
      <c r="R3383" s="14">
        <f>_xlfn.LOGNORM.INV($AF3383,LN($C$10)-0.5*LN(1+($D$10/$C$10)^2),SQRT(LN(1+($D$10/$C$10)^2)))</f>
        <v/>
      </c>
      <c r="S3383" s="14">
        <f>SUM(M3383:R3383)</f>
        <v/>
      </c>
      <c r="AA3383">
        <f>RAND()</f>
        <v/>
      </c>
      <c r="AB3383">
        <f>RAND()</f>
        <v/>
      </c>
      <c r="AC3383">
        <f>RAND()</f>
        <v/>
      </c>
      <c r="AD3383">
        <f>RAND()</f>
        <v/>
      </c>
      <c r="AE3383">
        <f>RAND()</f>
        <v/>
      </c>
      <c r="AF3383">
        <f>RAND()</f>
        <v/>
      </c>
    </row>
    <row r="3384">
      <c r="M3384" s="14">
        <f>_xlfn.BETA.INV($AA3384,1+4*($D$5-$C$5)/($E$5-$C$5),1+4*($E$5-$D$5)/($E$5-$C$5),$C$5,$E$5)</f>
        <v/>
      </c>
      <c r="N3384" s="14">
        <f>IF($AB3384&lt;($D$6-$C$6)/($E$6-$C$6),$C$6+SQRT($AB3384*($E$6-$C$6)*($D$6-$C$6)),$E$6-SQRT((1-$AB3384)*($E$6-$C$6)*($E$6-$D$6)))</f>
        <v/>
      </c>
      <c r="O3384" s="14">
        <f>_xlfn.NORM.INV($AC3384,$C$7,$D$7)</f>
        <v/>
      </c>
      <c r="P3384" s="14">
        <f>$C$8+($D$8-$C$8)*$AD3384</f>
        <v/>
      </c>
      <c r="Q3384" s="14">
        <f>$C$9</f>
        <v/>
      </c>
      <c r="R3384" s="14">
        <f>_xlfn.LOGNORM.INV($AF3384,LN($C$10)-0.5*LN(1+($D$10/$C$10)^2),SQRT(LN(1+($D$10/$C$10)^2)))</f>
        <v/>
      </c>
      <c r="S3384" s="14">
        <f>SUM(M3384:R3384)</f>
        <v/>
      </c>
      <c r="AA3384">
        <f>RAND()</f>
        <v/>
      </c>
      <c r="AB3384">
        <f>RAND()</f>
        <v/>
      </c>
      <c r="AC3384">
        <f>RAND()</f>
        <v/>
      </c>
      <c r="AD3384">
        <f>RAND()</f>
        <v/>
      </c>
      <c r="AE3384">
        <f>RAND()</f>
        <v/>
      </c>
      <c r="AF3384">
        <f>RAND()</f>
        <v/>
      </c>
    </row>
    <row r="3385">
      <c r="M3385" s="14">
        <f>_xlfn.BETA.INV($AA3385,1+4*($D$5-$C$5)/($E$5-$C$5),1+4*($E$5-$D$5)/($E$5-$C$5),$C$5,$E$5)</f>
        <v/>
      </c>
      <c r="N3385" s="14">
        <f>IF($AB3385&lt;($D$6-$C$6)/($E$6-$C$6),$C$6+SQRT($AB3385*($E$6-$C$6)*($D$6-$C$6)),$E$6-SQRT((1-$AB3385)*($E$6-$C$6)*($E$6-$D$6)))</f>
        <v/>
      </c>
      <c r="O3385" s="14">
        <f>_xlfn.NORM.INV($AC3385,$C$7,$D$7)</f>
        <v/>
      </c>
      <c r="P3385" s="14">
        <f>$C$8+($D$8-$C$8)*$AD3385</f>
        <v/>
      </c>
      <c r="Q3385" s="14">
        <f>$C$9</f>
        <v/>
      </c>
      <c r="R3385" s="14">
        <f>_xlfn.LOGNORM.INV($AF3385,LN($C$10)-0.5*LN(1+($D$10/$C$10)^2),SQRT(LN(1+($D$10/$C$10)^2)))</f>
        <v/>
      </c>
      <c r="S3385" s="14">
        <f>SUM(M3385:R3385)</f>
        <v/>
      </c>
      <c r="AA3385">
        <f>RAND()</f>
        <v/>
      </c>
      <c r="AB3385">
        <f>RAND()</f>
        <v/>
      </c>
      <c r="AC3385">
        <f>RAND()</f>
        <v/>
      </c>
      <c r="AD3385">
        <f>RAND()</f>
        <v/>
      </c>
      <c r="AE3385">
        <f>RAND()</f>
        <v/>
      </c>
      <c r="AF3385">
        <f>RAND()</f>
        <v/>
      </c>
    </row>
    <row r="3386">
      <c r="M3386" s="14">
        <f>_xlfn.BETA.INV($AA3386,1+4*($D$5-$C$5)/($E$5-$C$5),1+4*($E$5-$D$5)/($E$5-$C$5),$C$5,$E$5)</f>
        <v/>
      </c>
      <c r="N3386" s="14">
        <f>IF($AB3386&lt;($D$6-$C$6)/($E$6-$C$6),$C$6+SQRT($AB3386*($E$6-$C$6)*($D$6-$C$6)),$E$6-SQRT((1-$AB3386)*($E$6-$C$6)*($E$6-$D$6)))</f>
        <v/>
      </c>
      <c r="O3386" s="14">
        <f>_xlfn.NORM.INV($AC3386,$C$7,$D$7)</f>
        <v/>
      </c>
      <c r="P3386" s="14">
        <f>$C$8+($D$8-$C$8)*$AD3386</f>
        <v/>
      </c>
      <c r="Q3386" s="14">
        <f>$C$9</f>
        <v/>
      </c>
      <c r="R3386" s="14">
        <f>_xlfn.LOGNORM.INV($AF3386,LN($C$10)-0.5*LN(1+($D$10/$C$10)^2),SQRT(LN(1+($D$10/$C$10)^2)))</f>
        <v/>
      </c>
      <c r="S3386" s="14">
        <f>SUM(M3386:R3386)</f>
        <v/>
      </c>
      <c r="AA3386">
        <f>RAND()</f>
        <v/>
      </c>
      <c r="AB3386">
        <f>RAND()</f>
        <v/>
      </c>
      <c r="AC3386">
        <f>RAND()</f>
        <v/>
      </c>
      <c r="AD3386">
        <f>RAND()</f>
        <v/>
      </c>
      <c r="AE3386">
        <f>RAND()</f>
        <v/>
      </c>
      <c r="AF3386">
        <f>RAND()</f>
        <v/>
      </c>
    </row>
    <row r="3387">
      <c r="M3387" s="14">
        <f>_xlfn.BETA.INV($AA3387,1+4*($D$5-$C$5)/($E$5-$C$5),1+4*($E$5-$D$5)/($E$5-$C$5),$C$5,$E$5)</f>
        <v/>
      </c>
      <c r="N3387" s="14">
        <f>IF($AB3387&lt;($D$6-$C$6)/($E$6-$C$6),$C$6+SQRT($AB3387*($E$6-$C$6)*($D$6-$C$6)),$E$6-SQRT((1-$AB3387)*($E$6-$C$6)*($E$6-$D$6)))</f>
        <v/>
      </c>
      <c r="O3387" s="14">
        <f>_xlfn.NORM.INV($AC3387,$C$7,$D$7)</f>
        <v/>
      </c>
      <c r="P3387" s="14">
        <f>$C$8+($D$8-$C$8)*$AD3387</f>
        <v/>
      </c>
      <c r="Q3387" s="14">
        <f>$C$9</f>
        <v/>
      </c>
      <c r="R3387" s="14">
        <f>_xlfn.LOGNORM.INV($AF3387,LN($C$10)-0.5*LN(1+($D$10/$C$10)^2),SQRT(LN(1+($D$10/$C$10)^2)))</f>
        <v/>
      </c>
      <c r="S3387" s="14">
        <f>SUM(M3387:R3387)</f>
        <v/>
      </c>
      <c r="AA3387">
        <f>RAND()</f>
        <v/>
      </c>
      <c r="AB3387">
        <f>RAND()</f>
        <v/>
      </c>
      <c r="AC3387">
        <f>RAND()</f>
        <v/>
      </c>
      <c r="AD3387">
        <f>RAND()</f>
        <v/>
      </c>
      <c r="AE3387">
        <f>RAND()</f>
        <v/>
      </c>
      <c r="AF3387">
        <f>RAND()</f>
        <v/>
      </c>
    </row>
    <row r="3388">
      <c r="M3388" s="14">
        <f>_xlfn.BETA.INV($AA3388,1+4*($D$5-$C$5)/($E$5-$C$5),1+4*($E$5-$D$5)/($E$5-$C$5),$C$5,$E$5)</f>
        <v/>
      </c>
      <c r="N3388" s="14">
        <f>IF($AB3388&lt;($D$6-$C$6)/($E$6-$C$6),$C$6+SQRT($AB3388*($E$6-$C$6)*($D$6-$C$6)),$E$6-SQRT((1-$AB3388)*($E$6-$C$6)*($E$6-$D$6)))</f>
        <v/>
      </c>
      <c r="O3388" s="14">
        <f>_xlfn.NORM.INV($AC3388,$C$7,$D$7)</f>
        <v/>
      </c>
      <c r="P3388" s="14">
        <f>$C$8+($D$8-$C$8)*$AD3388</f>
        <v/>
      </c>
      <c r="Q3388" s="14">
        <f>$C$9</f>
        <v/>
      </c>
      <c r="R3388" s="14">
        <f>_xlfn.LOGNORM.INV($AF3388,LN($C$10)-0.5*LN(1+($D$10/$C$10)^2),SQRT(LN(1+($D$10/$C$10)^2)))</f>
        <v/>
      </c>
      <c r="S3388" s="14">
        <f>SUM(M3388:R3388)</f>
        <v/>
      </c>
      <c r="AA3388">
        <f>RAND()</f>
        <v/>
      </c>
      <c r="AB3388">
        <f>RAND()</f>
        <v/>
      </c>
      <c r="AC3388">
        <f>RAND()</f>
        <v/>
      </c>
      <c r="AD3388">
        <f>RAND()</f>
        <v/>
      </c>
      <c r="AE3388">
        <f>RAND()</f>
        <v/>
      </c>
      <c r="AF3388">
        <f>RAND()</f>
        <v/>
      </c>
    </row>
    <row r="3389">
      <c r="M3389" s="14">
        <f>_xlfn.BETA.INV($AA3389,1+4*($D$5-$C$5)/($E$5-$C$5),1+4*($E$5-$D$5)/($E$5-$C$5),$C$5,$E$5)</f>
        <v/>
      </c>
      <c r="N3389" s="14">
        <f>IF($AB3389&lt;($D$6-$C$6)/($E$6-$C$6),$C$6+SQRT($AB3389*($E$6-$C$6)*($D$6-$C$6)),$E$6-SQRT((1-$AB3389)*($E$6-$C$6)*($E$6-$D$6)))</f>
        <v/>
      </c>
      <c r="O3389" s="14">
        <f>_xlfn.NORM.INV($AC3389,$C$7,$D$7)</f>
        <v/>
      </c>
      <c r="P3389" s="14">
        <f>$C$8+($D$8-$C$8)*$AD3389</f>
        <v/>
      </c>
      <c r="Q3389" s="14">
        <f>$C$9</f>
        <v/>
      </c>
      <c r="R3389" s="14">
        <f>_xlfn.LOGNORM.INV($AF3389,LN($C$10)-0.5*LN(1+($D$10/$C$10)^2),SQRT(LN(1+($D$10/$C$10)^2)))</f>
        <v/>
      </c>
      <c r="S3389" s="14">
        <f>SUM(M3389:R3389)</f>
        <v/>
      </c>
      <c r="AA3389">
        <f>RAND()</f>
        <v/>
      </c>
      <c r="AB3389">
        <f>RAND()</f>
        <v/>
      </c>
      <c r="AC3389">
        <f>RAND()</f>
        <v/>
      </c>
      <c r="AD3389">
        <f>RAND()</f>
        <v/>
      </c>
      <c r="AE3389">
        <f>RAND()</f>
        <v/>
      </c>
      <c r="AF3389">
        <f>RAND()</f>
        <v/>
      </c>
    </row>
    <row r="3390">
      <c r="M3390" s="14">
        <f>_xlfn.BETA.INV($AA3390,1+4*($D$5-$C$5)/($E$5-$C$5),1+4*($E$5-$D$5)/($E$5-$C$5),$C$5,$E$5)</f>
        <v/>
      </c>
      <c r="N3390" s="14">
        <f>IF($AB3390&lt;($D$6-$C$6)/($E$6-$C$6),$C$6+SQRT($AB3390*($E$6-$C$6)*($D$6-$C$6)),$E$6-SQRT((1-$AB3390)*($E$6-$C$6)*($E$6-$D$6)))</f>
        <v/>
      </c>
      <c r="O3390" s="14">
        <f>_xlfn.NORM.INV($AC3390,$C$7,$D$7)</f>
        <v/>
      </c>
      <c r="P3390" s="14">
        <f>$C$8+($D$8-$C$8)*$AD3390</f>
        <v/>
      </c>
      <c r="Q3390" s="14">
        <f>$C$9</f>
        <v/>
      </c>
      <c r="R3390" s="14">
        <f>_xlfn.LOGNORM.INV($AF3390,LN($C$10)-0.5*LN(1+($D$10/$C$10)^2),SQRT(LN(1+($D$10/$C$10)^2)))</f>
        <v/>
      </c>
      <c r="S3390" s="14">
        <f>SUM(M3390:R3390)</f>
        <v/>
      </c>
      <c r="AA3390">
        <f>RAND()</f>
        <v/>
      </c>
      <c r="AB3390">
        <f>RAND()</f>
        <v/>
      </c>
      <c r="AC3390">
        <f>RAND()</f>
        <v/>
      </c>
      <c r="AD3390">
        <f>RAND()</f>
        <v/>
      </c>
      <c r="AE3390">
        <f>RAND()</f>
        <v/>
      </c>
      <c r="AF3390">
        <f>RAND()</f>
        <v/>
      </c>
    </row>
    <row r="3391">
      <c r="M3391" s="14">
        <f>_xlfn.BETA.INV($AA3391,1+4*($D$5-$C$5)/($E$5-$C$5),1+4*($E$5-$D$5)/($E$5-$C$5),$C$5,$E$5)</f>
        <v/>
      </c>
      <c r="N3391" s="14">
        <f>IF($AB3391&lt;($D$6-$C$6)/($E$6-$C$6),$C$6+SQRT($AB3391*($E$6-$C$6)*($D$6-$C$6)),$E$6-SQRT((1-$AB3391)*($E$6-$C$6)*($E$6-$D$6)))</f>
        <v/>
      </c>
      <c r="O3391" s="14">
        <f>_xlfn.NORM.INV($AC3391,$C$7,$D$7)</f>
        <v/>
      </c>
      <c r="P3391" s="14">
        <f>$C$8+($D$8-$C$8)*$AD3391</f>
        <v/>
      </c>
      <c r="Q3391" s="14">
        <f>$C$9</f>
        <v/>
      </c>
      <c r="R3391" s="14">
        <f>_xlfn.LOGNORM.INV($AF3391,LN($C$10)-0.5*LN(1+($D$10/$C$10)^2),SQRT(LN(1+($D$10/$C$10)^2)))</f>
        <v/>
      </c>
      <c r="S3391" s="14">
        <f>SUM(M3391:R3391)</f>
        <v/>
      </c>
      <c r="AA3391">
        <f>RAND()</f>
        <v/>
      </c>
      <c r="AB3391">
        <f>RAND()</f>
        <v/>
      </c>
      <c r="AC3391">
        <f>RAND()</f>
        <v/>
      </c>
      <c r="AD3391">
        <f>RAND()</f>
        <v/>
      </c>
      <c r="AE3391">
        <f>RAND()</f>
        <v/>
      </c>
      <c r="AF3391">
        <f>RAND()</f>
        <v/>
      </c>
    </row>
    <row r="3392">
      <c r="M3392" s="14">
        <f>_xlfn.BETA.INV($AA3392,1+4*($D$5-$C$5)/($E$5-$C$5),1+4*($E$5-$D$5)/($E$5-$C$5),$C$5,$E$5)</f>
        <v/>
      </c>
      <c r="N3392" s="14">
        <f>IF($AB3392&lt;($D$6-$C$6)/($E$6-$C$6),$C$6+SQRT($AB3392*($E$6-$C$6)*($D$6-$C$6)),$E$6-SQRT((1-$AB3392)*($E$6-$C$6)*($E$6-$D$6)))</f>
        <v/>
      </c>
      <c r="O3392" s="14">
        <f>_xlfn.NORM.INV($AC3392,$C$7,$D$7)</f>
        <v/>
      </c>
      <c r="P3392" s="14">
        <f>$C$8+($D$8-$C$8)*$AD3392</f>
        <v/>
      </c>
      <c r="Q3392" s="14">
        <f>$C$9</f>
        <v/>
      </c>
      <c r="R3392" s="14">
        <f>_xlfn.LOGNORM.INV($AF3392,LN($C$10)-0.5*LN(1+($D$10/$C$10)^2),SQRT(LN(1+($D$10/$C$10)^2)))</f>
        <v/>
      </c>
      <c r="S3392" s="14">
        <f>SUM(M3392:R3392)</f>
        <v/>
      </c>
      <c r="AA3392">
        <f>RAND()</f>
        <v/>
      </c>
      <c r="AB3392">
        <f>RAND()</f>
        <v/>
      </c>
      <c r="AC3392">
        <f>RAND()</f>
        <v/>
      </c>
      <c r="AD3392">
        <f>RAND()</f>
        <v/>
      </c>
      <c r="AE3392">
        <f>RAND()</f>
        <v/>
      </c>
      <c r="AF3392">
        <f>RAND()</f>
        <v/>
      </c>
    </row>
    <row r="3393">
      <c r="M3393" s="14">
        <f>_xlfn.BETA.INV($AA3393,1+4*($D$5-$C$5)/($E$5-$C$5),1+4*($E$5-$D$5)/($E$5-$C$5),$C$5,$E$5)</f>
        <v/>
      </c>
      <c r="N3393" s="14">
        <f>IF($AB3393&lt;($D$6-$C$6)/($E$6-$C$6),$C$6+SQRT($AB3393*($E$6-$C$6)*($D$6-$C$6)),$E$6-SQRT((1-$AB3393)*($E$6-$C$6)*($E$6-$D$6)))</f>
        <v/>
      </c>
      <c r="O3393" s="14">
        <f>_xlfn.NORM.INV($AC3393,$C$7,$D$7)</f>
        <v/>
      </c>
      <c r="P3393" s="14">
        <f>$C$8+($D$8-$C$8)*$AD3393</f>
        <v/>
      </c>
      <c r="Q3393" s="14">
        <f>$C$9</f>
        <v/>
      </c>
      <c r="R3393" s="14">
        <f>_xlfn.LOGNORM.INV($AF3393,LN($C$10)-0.5*LN(1+($D$10/$C$10)^2),SQRT(LN(1+($D$10/$C$10)^2)))</f>
        <v/>
      </c>
      <c r="S3393" s="14">
        <f>SUM(M3393:R3393)</f>
        <v/>
      </c>
      <c r="AA3393">
        <f>RAND()</f>
        <v/>
      </c>
      <c r="AB3393">
        <f>RAND()</f>
        <v/>
      </c>
      <c r="AC3393">
        <f>RAND()</f>
        <v/>
      </c>
      <c r="AD3393">
        <f>RAND()</f>
        <v/>
      </c>
      <c r="AE3393">
        <f>RAND()</f>
        <v/>
      </c>
      <c r="AF3393">
        <f>RAND()</f>
        <v/>
      </c>
    </row>
    <row r="3394">
      <c r="M3394" s="14">
        <f>_xlfn.BETA.INV($AA3394,1+4*($D$5-$C$5)/($E$5-$C$5),1+4*($E$5-$D$5)/($E$5-$C$5),$C$5,$E$5)</f>
        <v/>
      </c>
      <c r="N3394" s="14">
        <f>IF($AB3394&lt;($D$6-$C$6)/($E$6-$C$6),$C$6+SQRT($AB3394*($E$6-$C$6)*($D$6-$C$6)),$E$6-SQRT((1-$AB3394)*($E$6-$C$6)*($E$6-$D$6)))</f>
        <v/>
      </c>
      <c r="O3394" s="14">
        <f>_xlfn.NORM.INV($AC3394,$C$7,$D$7)</f>
        <v/>
      </c>
      <c r="P3394" s="14">
        <f>$C$8+($D$8-$C$8)*$AD3394</f>
        <v/>
      </c>
      <c r="Q3394" s="14">
        <f>$C$9</f>
        <v/>
      </c>
      <c r="R3394" s="14">
        <f>_xlfn.LOGNORM.INV($AF3394,LN($C$10)-0.5*LN(1+($D$10/$C$10)^2),SQRT(LN(1+($D$10/$C$10)^2)))</f>
        <v/>
      </c>
      <c r="S3394" s="14">
        <f>SUM(M3394:R3394)</f>
        <v/>
      </c>
      <c r="AA3394">
        <f>RAND()</f>
        <v/>
      </c>
      <c r="AB3394">
        <f>RAND()</f>
        <v/>
      </c>
      <c r="AC3394">
        <f>RAND()</f>
        <v/>
      </c>
      <c r="AD3394">
        <f>RAND()</f>
        <v/>
      </c>
      <c r="AE3394">
        <f>RAND()</f>
        <v/>
      </c>
      <c r="AF3394">
        <f>RAND()</f>
        <v/>
      </c>
    </row>
    <row r="3395">
      <c r="M3395" s="14">
        <f>_xlfn.BETA.INV($AA3395,1+4*($D$5-$C$5)/($E$5-$C$5),1+4*($E$5-$D$5)/($E$5-$C$5),$C$5,$E$5)</f>
        <v/>
      </c>
      <c r="N3395" s="14">
        <f>IF($AB3395&lt;($D$6-$C$6)/($E$6-$C$6),$C$6+SQRT($AB3395*($E$6-$C$6)*($D$6-$C$6)),$E$6-SQRT((1-$AB3395)*($E$6-$C$6)*($E$6-$D$6)))</f>
        <v/>
      </c>
      <c r="O3395" s="14">
        <f>_xlfn.NORM.INV($AC3395,$C$7,$D$7)</f>
        <v/>
      </c>
      <c r="P3395" s="14">
        <f>$C$8+($D$8-$C$8)*$AD3395</f>
        <v/>
      </c>
      <c r="Q3395" s="14">
        <f>$C$9</f>
        <v/>
      </c>
      <c r="R3395" s="14">
        <f>_xlfn.LOGNORM.INV($AF3395,LN($C$10)-0.5*LN(1+($D$10/$C$10)^2),SQRT(LN(1+($D$10/$C$10)^2)))</f>
        <v/>
      </c>
      <c r="S3395" s="14">
        <f>SUM(M3395:R3395)</f>
        <v/>
      </c>
      <c r="AA3395">
        <f>RAND()</f>
        <v/>
      </c>
      <c r="AB3395">
        <f>RAND()</f>
        <v/>
      </c>
      <c r="AC3395">
        <f>RAND()</f>
        <v/>
      </c>
      <c r="AD3395">
        <f>RAND()</f>
        <v/>
      </c>
      <c r="AE3395">
        <f>RAND()</f>
        <v/>
      </c>
      <c r="AF3395">
        <f>RAND()</f>
        <v/>
      </c>
    </row>
    <row r="3396">
      <c r="M3396" s="14">
        <f>_xlfn.BETA.INV($AA3396,1+4*($D$5-$C$5)/($E$5-$C$5),1+4*($E$5-$D$5)/($E$5-$C$5),$C$5,$E$5)</f>
        <v/>
      </c>
      <c r="N3396" s="14">
        <f>IF($AB3396&lt;($D$6-$C$6)/($E$6-$C$6),$C$6+SQRT($AB3396*($E$6-$C$6)*($D$6-$C$6)),$E$6-SQRT((1-$AB3396)*($E$6-$C$6)*($E$6-$D$6)))</f>
        <v/>
      </c>
      <c r="O3396" s="14">
        <f>_xlfn.NORM.INV($AC3396,$C$7,$D$7)</f>
        <v/>
      </c>
      <c r="P3396" s="14">
        <f>$C$8+($D$8-$C$8)*$AD3396</f>
        <v/>
      </c>
      <c r="Q3396" s="14">
        <f>$C$9</f>
        <v/>
      </c>
      <c r="R3396" s="14">
        <f>_xlfn.LOGNORM.INV($AF3396,LN($C$10)-0.5*LN(1+($D$10/$C$10)^2),SQRT(LN(1+($D$10/$C$10)^2)))</f>
        <v/>
      </c>
      <c r="S3396" s="14">
        <f>SUM(M3396:R3396)</f>
        <v/>
      </c>
      <c r="AA3396">
        <f>RAND()</f>
        <v/>
      </c>
      <c r="AB3396">
        <f>RAND()</f>
        <v/>
      </c>
      <c r="AC3396">
        <f>RAND()</f>
        <v/>
      </c>
      <c r="AD3396">
        <f>RAND()</f>
        <v/>
      </c>
      <c r="AE3396">
        <f>RAND()</f>
        <v/>
      </c>
      <c r="AF3396">
        <f>RAND()</f>
        <v/>
      </c>
    </row>
    <row r="3397">
      <c r="M3397" s="14">
        <f>_xlfn.BETA.INV($AA3397,1+4*($D$5-$C$5)/($E$5-$C$5),1+4*($E$5-$D$5)/($E$5-$C$5),$C$5,$E$5)</f>
        <v/>
      </c>
      <c r="N3397" s="14">
        <f>IF($AB3397&lt;($D$6-$C$6)/($E$6-$C$6),$C$6+SQRT($AB3397*($E$6-$C$6)*($D$6-$C$6)),$E$6-SQRT((1-$AB3397)*($E$6-$C$6)*($E$6-$D$6)))</f>
        <v/>
      </c>
      <c r="O3397" s="14">
        <f>_xlfn.NORM.INV($AC3397,$C$7,$D$7)</f>
        <v/>
      </c>
      <c r="P3397" s="14">
        <f>$C$8+($D$8-$C$8)*$AD3397</f>
        <v/>
      </c>
      <c r="Q3397" s="14">
        <f>$C$9</f>
        <v/>
      </c>
      <c r="R3397" s="14">
        <f>_xlfn.LOGNORM.INV($AF3397,LN($C$10)-0.5*LN(1+($D$10/$C$10)^2),SQRT(LN(1+($D$10/$C$10)^2)))</f>
        <v/>
      </c>
      <c r="S3397" s="14">
        <f>SUM(M3397:R3397)</f>
        <v/>
      </c>
      <c r="AA3397">
        <f>RAND()</f>
        <v/>
      </c>
      <c r="AB3397">
        <f>RAND()</f>
        <v/>
      </c>
      <c r="AC3397">
        <f>RAND()</f>
        <v/>
      </c>
      <c r="AD3397">
        <f>RAND()</f>
        <v/>
      </c>
      <c r="AE3397">
        <f>RAND()</f>
        <v/>
      </c>
      <c r="AF3397">
        <f>RAND()</f>
        <v/>
      </c>
    </row>
    <row r="3398">
      <c r="M3398" s="14">
        <f>_xlfn.BETA.INV($AA3398,1+4*($D$5-$C$5)/($E$5-$C$5),1+4*($E$5-$D$5)/($E$5-$C$5),$C$5,$E$5)</f>
        <v/>
      </c>
      <c r="N3398" s="14">
        <f>IF($AB3398&lt;($D$6-$C$6)/($E$6-$C$6),$C$6+SQRT($AB3398*($E$6-$C$6)*($D$6-$C$6)),$E$6-SQRT((1-$AB3398)*($E$6-$C$6)*($E$6-$D$6)))</f>
        <v/>
      </c>
      <c r="O3398" s="14">
        <f>_xlfn.NORM.INV($AC3398,$C$7,$D$7)</f>
        <v/>
      </c>
      <c r="P3398" s="14">
        <f>$C$8+($D$8-$C$8)*$AD3398</f>
        <v/>
      </c>
      <c r="Q3398" s="14">
        <f>$C$9</f>
        <v/>
      </c>
      <c r="R3398" s="14">
        <f>_xlfn.LOGNORM.INV($AF3398,LN($C$10)-0.5*LN(1+($D$10/$C$10)^2),SQRT(LN(1+($D$10/$C$10)^2)))</f>
        <v/>
      </c>
      <c r="S3398" s="14">
        <f>SUM(M3398:R3398)</f>
        <v/>
      </c>
      <c r="AA3398">
        <f>RAND()</f>
        <v/>
      </c>
      <c r="AB3398">
        <f>RAND()</f>
        <v/>
      </c>
      <c r="AC3398">
        <f>RAND()</f>
        <v/>
      </c>
      <c r="AD3398">
        <f>RAND()</f>
        <v/>
      </c>
      <c r="AE3398">
        <f>RAND()</f>
        <v/>
      </c>
      <c r="AF3398">
        <f>RAND()</f>
        <v/>
      </c>
    </row>
    <row r="3399">
      <c r="M3399" s="14">
        <f>_xlfn.BETA.INV($AA3399,1+4*($D$5-$C$5)/($E$5-$C$5),1+4*($E$5-$D$5)/($E$5-$C$5),$C$5,$E$5)</f>
        <v/>
      </c>
      <c r="N3399" s="14">
        <f>IF($AB3399&lt;($D$6-$C$6)/($E$6-$C$6),$C$6+SQRT($AB3399*($E$6-$C$6)*($D$6-$C$6)),$E$6-SQRT((1-$AB3399)*($E$6-$C$6)*($E$6-$D$6)))</f>
        <v/>
      </c>
      <c r="O3399" s="14">
        <f>_xlfn.NORM.INV($AC3399,$C$7,$D$7)</f>
        <v/>
      </c>
      <c r="P3399" s="14">
        <f>$C$8+($D$8-$C$8)*$AD3399</f>
        <v/>
      </c>
      <c r="Q3399" s="14">
        <f>$C$9</f>
        <v/>
      </c>
      <c r="R3399" s="14">
        <f>_xlfn.LOGNORM.INV($AF3399,LN($C$10)-0.5*LN(1+($D$10/$C$10)^2),SQRT(LN(1+($D$10/$C$10)^2)))</f>
        <v/>
      </c>
      <c r="S3399" s="14">
        <f>SUM(M3399:R3399)</f>
        <v/>
      </c>
      <c r="AA3399">
        <f>RAND()</f>
        <v/>
      </c>
      <c r="AB3399">
        <f>RAND()</f>
        <v/>
      </c>
      <c r="AC3399">
        <f>RAND()</f>
        <v/>
      </c>
      <c r="AD3399">
        <f>RAND()</f>
        <v/>
      </c>
      <c r="AE3399">
        <f>RAND()</f>
        <v/>
      </c>
      <c r="AF3399">
        <f>RAND()</f>
        <v/>
      </c>
    </row>
    <row r="3400">
      <c r="M3400" s="14">
        <f>_xlfn.BETA.INV($AA3400,1+4*($D$5-$C$5)/($E$5-$C$5),1+4*($E$5-$D$5)/($E$5-$C$5),$C$5,$E$5)</f>
        <v/>
      </c>
      <c r="N3400" s="14">
        <f>IF($AB3400&lt;($D$6-$C$6)/($E$6-$C$6),$C$6+SQRT($AB3400*($E$6-$C$6)*($D$6-$C$6)),$E$6-SQRT((1-$AB3400)*($E$6-$C$6)*($E$6-$D$6)))</f>
        <v/>
      </c>
      <c r="O3400" s="14">
        <f>_xlfn.NORM.INV($AC3400,$C$7,$D$7)</f>
        <v/>
      </c>
      <c r="P3400" s="14">
        <f>$C$8+($D$8-$C$8)*$AD3400</f>
        <v/>
      </c>
      <c r="Q3400" s="14">
        <f>$C$9</f>
        <v/>
      </c>
      <c r="R3400" s="14">
        <f>_xlfn.LOGNORM.INV($AF3400,LN($C$10)-0.5*LN(1+($D$10/$C$10)^2),SQRT(LN(1+($D$10/$C$10)^2)))</f>
        <v/>
      </c>
      <c r="S3400" s="14">
        <f>SUM(M3400:R3400)</f>
        <v/>
      </c>
      <c r="AA3400">
        <f>RAND()</f>
        <v/>
      </c>
      <c r="AB3400">
        <f>RAND()</f>
        <v/>
      </c>
      <c r="AC3400">
        <f>RAND()</f>
        <v/>
      </c>
      <c r="AD3400">
        <f>RAND()</f>
        <v/>
      </c>
      <c r="AE3400">
        <f>RAND()</f>
        <v/>
      </c>
      <c r="AF3400">
        <f>RAND()</f>
        <v/>
      </c>
    </row>
    <row r="3401">
      <c r="M3401" s="14">
        <f>_xlfn.BETA.INV($AA3401,1+4*($D$5-$C$5)/($E$5-$C$5),1+4*($E$5-$D$5)/($E$5-$C$5),$C$5,$E$5)</f>
        <v/>
      </c>
      <c r="N3401" s="14">
        <f>IF($AB3401&lt;($D$6-$C$6)/($E$6-$C$6),$C$6+SQRT($AB3401*($E$6-$C$6)*($D$6-$C$6)),$E$6-SQRT((1-$AB3401)*($E$6-$C$6)*($E$6-$D$6)))</f>
        <v/>
      </c>
      <c r="O3401" s="14">
        <f>_xlfn.NORM.INV($AC3401,$C$7,$D$7)</f>
        <v/>
      </c>
      <c r="P3401" s="14">
        <f>$C$8+($D$8-$C$8)*$AD3401</f>
        <v/>
      </c>
      <c r="Q3401" s="14">
        <f>$C$9</f>
        <v/>
      </c>
      <c r="R3401" s="14">
        <f>_xlfn.LOGNORM.INV($AF3401,LN($C$10)-0.5*LN(1+($D$10/$C$10)^2),SQRT(LN(1+($D$10/$C$10)^2)))</f>
        <v/>
      </c>
      <c r="S3401" s="14">
        <f>SUM(M3401:R3401)</f>
        <v/>
      </c>
      <c r="AA3401">
        <f>RAND()</f>
        <v/>
      </c>
      <c r="AB3401">
        <f>RAND()</f>
        <v/>
      </c>
      <c r="AC3401">
        <f>RAND()</f>
        <v/>
      </c>
      <c r="AD3401">
        <f>RAND()</f>
        <v/>
      </c>
      <c r="AE3401">
        <f>RAND()</f>
        <v/>
      </c>
      <c r="AF3401">
        <f>RAND()</f>
        <v/>
      </c>
    </row>
    <row r="3402">
      <c r="M3402" s="14">
        <f>_xlfn.BETA.INV($AA3402,1+4*($D$5-$C$5)/($E$5-$C$5),1+4*($E$5-$D$5)/($E$5-$C$5),$C$5,$E$5)</f>
        <v/>
      </c>
      <c r="N3402" s="14">
        <f>IF($AB3402&lt;($D$6-$C$6)/($E$6-$C$6),$C$6+SQRT($AB3402*($E$6-$C$6)*($D$6-$C$6)),$E$6-SQRT((1-$AB3402)*($E$6-$C$6)*($E$6-$D$6)))</f>
        <v/>
      </c>
      <c r="O3402" s="14">
        <f>_xlfn.NORM.INV($AC3402,$C$7,$D$7)</f>
        <v/>
      </c>
      <c r="P3402" s="14">
        <f>$C$8+($D$8-$C$8)*$AD3402</f>
        <v/>
      </c>
      <c r="Q3402" s="14">
        <f>$C$9</f>
        <v/>
      </c>
      <c r="R3402" s="14">
        <f>_xlfn.LOGNORM.INV($AF3402,LN($C$10)-0.5*LN(1+($D$10/$C$10)^2),SQRT(LN(1+($D$10/$C$10)^2)))</f>
        <v/>
      </c>
      <c r="S3402" s="14">
        <f>SUM(M3402:R3402)</f>
        <v/>
      </c>
      <c r="AA3402">
        <f>RAND()</f>
        <v/>
      </c>
      <c r="AB3402">
        <f>RAND()</f>
        <v/>
      </c>
      <c r="AC3402">
        <f>RAND()</f>
        <v/>
      </c>
      <c r="AD3402">
        <f>RAND()</f>
        <v/>
      </c>
      <c r="AE3402">
        <f>RAND()</f>
        <v/>
      </c>
      <c r="AF3402">
        <f>RAND()</f>
        <v/>
      </c>
    </row>
    <row r="3403">
      <c r="M3403" s="14">
        <f>_xlfn.BETA.INV($AA3403,1+4*($D$5-$C$5)/($E$5-$C$5),1+4*($E$5-$D$5)/($E$5-$C$5),$C$5,$E$5)</f>
        <v/>
      </c>
      <c r="N3403" s="14">
        <f>IF($AB3403&lt;($D$6-$C$6)/($E$6-$C$6),$C$6+SQRT($AB3403*($E$6-$C$6)*($D$6-$C$6)),$E$6-SQRT((1-$AB3403)*($E$6-$C$6)*($E$6-$D$6)))</f>
        <v/>
      </c>
      <c r="O3403" s="14">
        <f>_xlfn.NORM.INV($AC3403,$C$7,$D$7)</f>
        <v/>
      </c>
      <c r="P3403" s="14">
        <f>$C$8+($D$8-$C$8)*$AD3403</f>
        <v/>
      </c>
      <c r="Q3403" s="14">
        <f>$C$9</f>
        <v/>
      </c>
      <c r="R3403" s="14">
        <f>_xlfn.LOGNORM.INV($AF3403,LN($C$10)-0.5*LN(1+($D$10/$C$10)^2),SQRT(LN(1+($D$10/$C$10)^2)))</f>
        <v/>
      </c>
      <c r="S3403" s="14">
        <f>SUM(M3403:R3403)</f>
        <v/>
      </c>
      <c r="AA3403">
        <f>RAND()</f>
        <v/>
      </c>
      <c r="AB3403">
        <f>RAND()</f>
        <v/>
      </c>
      <c r="AC3403">
        <f>RAND()</f>
        <v/>
      </c>
      <c r="AD3403">
        <f>RAND()</f>
        <v/>
      </c>
      <c r="AE3403">
        <f>RAND()</f>
        <v/>
      </c>
      <c r="AF3403">
        <f>RAND()</f>
        <v/>
      </c>
    </row>
    <row r="3404">
      <c r="M3404" s="14">
        <f>_xlfn.BETA.INV($AA3404,1+4*($D$5-$C$5)/($E$5-$C$5),1+4*($E$5-$D$5)/($E$5-$C$5),$C$5,$E$5)</f>
        <v/>
      </c>
      <c r="N3404" s="14">
        <f>IF($AB3404&lt;($D$6-$C$6)/($E$6-$C$6),$C$6+SQRT($AB3404*($E$6-$C$6)*($D$6-$C$6)),$E$6-SQRT((1-$AB3404)*($E$6-$C$6)*($E$6-$D$6)))</f>
        <v/>
      </c>
      <c r="O3404" s="14">
        <f>_xlfn.NORM.INV($AC3404,$C$7,$D$7)</f>
        <v/>
      </c>
      <c r="P3404" s="14">
        <f>$C$8+($D$8-$C$8)*$AD3404</f>
        <v/>
      </c>
      <c r="Q3404" s="14">
        <f>$C$9</f>
        <v/>
      </c>
      <c r="R3404" s="14">
        <f>_xlfn.LOGNORM.INV($AF3404,LN($C$10)-0.5*LN(1+($D$10/$C$10)^2),SQRT(LN(1+($D$10/$C$10)^2)))</f>
        <v/>
      </c>
      <c r="S3404" s="14">
        <f>SUM(M3404:R3404)</f>
        <v/>
      </c>
      <c r="AA3404">
        <f>RAND()</f>
        <v/>
      </c>
      <c r="AB3404">
        <f>RAND()</f>
        <v/>
      </c>
      <c r="AC3404">
        <f>RAND()</f>
        <v/>
      </c>
      <c r="AD3404">
        <f>RAND()</f>
        <v/>
      </c>
      <c r="AE3404">
        <f>RAND()</f>
        <v/>
      </c>
      <c r="AF3404">
        <f>RAND()</f>
        <v/>
      </c>
    </row>
    <row r="3405">
      <c r="M3405" s="14">
        <f>_xlfn.BETA.INV($AA3405,1+4*($D$5-$C$5)/($E$5-$C$5),1+4*($E$5-$D$5)/($E$5-$C$5),$C$5,$E$5)</f>
        <v/>
      </c>
      <c r="N3405" s="14">
        <f>IF($AB3405&lt;($D$6-$C$6)/($E$6-$C$6),$C$6+SQRT($AB3405*($E$6-$C$6)*($D$6-$C$6)),$E$6-SQRT((1-$AB3405)*($E$6-$C$6)*($E$6-$D$6)))</f>
        <v/>
      </c>
      <c r="O3405" s="14">
        <f>_xlfn.NORM.INV($AC3405,$C$7,$D$7)</f>
        <v/>
      </c>
      <c r="P3405" s="14">
        <f>$C$8+($D$8-$C$8)*$AD3405</f>
        <v/>
      </c>
      <c r="Q3405" s="14">
        <f>$C$9</f>
        <v/>
      </c>
      <c r="R3405" s="14">
        <f>_xlfn.LOGNORM.INV($AF3405,LN($C$10)-0.5*LN(1+($D$10/$C$10)^2),SQRT(LN(1+($D$10/$C$10)^2)))</f>
        <v/>
      </c>
      <c r="S3405" s="14">
        <f>SUM(M3405:R3405)</f>
        <v/>
      </c>
      <c r="AA3405">
        <f>RAND()</f>
        <v/>
      </c>
      <c r="AB3405">
        <f>RAND()</f>
        <v/>
      </c>
      <c r="AC3405">
        <f>RAND()</f>
        <v/>
      </c>
      <c r="AD3405">
        <f>RAND()</f>
        <v/>
      </c>
      <c r="AE3405">
        <f>RAND()</f>
        <v/>
      </c>
      <c r="AF3405">
        <f>RAND()</f>
        <v/>
      </c>
    </row>
    <row r="3406">
      <c r="M3406" s="14">
        <f>_xlfn.BETA.INV($AA3406,1+4*($D$5-$C$5)/($E$5-$C$5),1+4*($E$5-$D$5)/($E$5-$C$5),$C$5,$E$5)</f>
        <v/>
      </c>
      <c r="N3406" s="14">
        <f>IF($AB3406&lt;($D$6-$C$6)/($E$6-$C$6),$C$6+SQRT($AB3406*($E$6-$C$6)*($D$6-$C$6)),$E$6-SQRT((1-$AB3406)*($E$6-$C$6)*($E$6-$D$6)))</f>
        <v/>
      </c>
      <c r="O3406" s="14">
        <f>_xlfn.NORM.INV($AC3406,$C$7,$D$7)</f>
        <v/>
      </c>
      <c r="P3406" s="14">
        <f>$C$8+($D$8-$C$8)*$AD3406</f>
        <v/>
      </c>
      <c r="Q3406" s="14">
        <f>$C$9</f>
        <v/>
      </c>
      <c r="R3406" s="14">
        <f>_xlfn.LOGNORM.INV($AF3406,LN($C$10)-0.5*LN(1+($D$10/$C$10)^2),SQRT(LN(1+($D$10/$C$10)^2)))</f>
        <v/>
      </c>
      <c r="S3406" s="14">
        <f>SUM(M3406:R3406)</f>
        <v/>
      </c>
      <c r="AA3406">
        <f>RAND()</f>
        <v/>
      </c>
      <c r="AB3406">
        <f>RAND()</f>
        <v/>
      </c>
      <c r="AC3406">
        <f>RAND()</f>
        <v/>
      </c>
      <c r="AD3406">
        <f>RAND()</f>
        <v/>
      </c>
      <c r="AE3406">
        <f>RAND()</f>
        <v/>
      </c>
      <c r="AF3406">
        <f>RAND()</f>
        <v/>
      </c>
    </row>
    <row r="3407">
      <c r="M3407" s="14">
        <f>_xlfn.BETA.INV($AA3407,1+4*($D$5-$C$5)/($E$5-$C$5),1+4*($E$5-$D$5)/($E$5-$C$5),$C$5,$E$5)</f>
        <v/>
      </c>
      <c r="N3407" s="14">
        <f>IF($AB3407&lt;($D$6-$C$6)/($E$6-$C$6),$C$6+SQRT($AB3407*($E$6-$C$6)*($D$6-$C$6)),$E$6-SQRT((1-$AB3407)*($E$6-$C$6)*($E$6-$D$6)))</f>
        <v/>
      </c>
      <c r="O3407" s="14">
        <f>_xlfn.NORM.INV($AC3407,$C$7,$D$7)</f>
        <v/>
      </c>
      <c r="P3407" s="14">
        <f>$C$8+($D$8-$C$8)*$AD3407</f>
        <v/>
      </c>
      <c r="Q3407" s="14">
        <f>$C$9</f>
        <v/>
      </c>
      <c r="R3407" s="14">
        <f>_xlfn.LOGNORM.INV($AF3407,LN($C$10)-0.5*LN(1+($D$10/$C$10)^2),SQRT(LN(1+($D$10/$C$10)^2)))</f>
        <v/>
      </c>
      <c r="S3407" s="14">
        <f>SUM(M3407:R3407)</f>
        <v/>
      </c>
      <c r="AA3407">
        <f>RAND()</f>
        <v/>
      </c>
      <c r="AB3407">
        <f>RAND()</f>
        <v/>
      </c>
      <c r="AC3407">
        <f>RAND()</f>
        <v/>
      </c>
      <c r="AD3407">
        <f>RAND()</f>
        <v/>
      </c>
      <c r="AE3407">
        <f>RAND()</f>
        <v/>
      </c>
      <c r="AF3407">
        <f>RAND()</f>
        <v/>
      </c>
    </row>
    <row r="3408">
      <c r="M3408" s="14">
        <f>_xlfn.BETA.INV($AA3408,1+4*($D$5-$C$5)/($E$5-$C$5),1+4*($E$5-$D$5)/($E$5-$C$5),$C$5,$E$5)</f>
        <v/>
      </c>
      <c r="N3408" s="14">
        <f>IF($AB3408&lt;($D$6-$C$6)/($E$6-$C$6),$C$6+SQRT($AB3408*($E$6-$C$6)*($D$6-$C$6)),$E$6-SQRT((1-$AB3408)*($E$6-$C$6)*($E$6-$D$6)))</f>
        <v/>
      </c>
      <c r="O3408" s="14">
        <f>_xlfn.NORM.INV($AC3408,$C$7,$D$7)</f>
        <v/>
      </c>
      <c r="P3408" s="14">
        <f>$C$8+($D$8-$C$8)*$AD3408</f>
        <v/>
      </c>
      <c r="Q3408" s="14">
        <f>$C$9</f>
        <v/>
      </c>
      <c r="R3408" s="14">
        <f>_xlfn.LOGNORM.INV($AF3408,LN($C$10)-0.5*LN(1+($D$10/$C$10)^2),SQRT(LN(1+($D$10/$C$10)^2)))</f>
        <v/>
      </c>
      <c r="S3408" s="14">
        <f>SUM(M3408:R3408)</f>
        <v/>
      </c>
      <c r="AA3408">
        <f>RAND()</f>
        <v/>
      </c>
      <c r="AB3408">
        <f>RAND()</f>
        <v/>
      </c>
      <c r="AC3408">
        <f>RAND()</f>
        <v/>
      </c>
      <c r="AD3408">
        <f>RAND()</f>
        <v/>
      </c>
      <c r="AE3408">
        <f>RAND()</f>
        <v/>
      </c>
      <c r="AF3408">
        <f>RAND()</f>
        <v/>
      </c>
    </row>
    <row r="3409">
      <c r="M3409" s="14">
        <f>_xlfn.BETA.INV($AA3409,1+4*($D$5-$C$5)/($E$5-$C$5),1+4*($E$5-$D$5)/($E$5-$C$5),$C$5,$E$5)</f>
        <v/>
      </c>
      <c r="N3409" s="14">
        <f>IF($AB3409&lt;($D$6-$C$6)/($E$6-$C$6),$C$6+SQRT($AB3409*($E$6-$C$6)*($D$6-$C$6)),$E$6-SQRT((1-$AB3409)*($E$6-$C$6)*($E$6-$D$6)))</f>
        <v/>
      </c>
      <c r="O3409" s="14">
        <f>_xlfn.NORM.INV($AC3409,$C$7,$D$7)</f>
        <v/>
      </c>
      <c r="P3409" s="14">
        <f>$C$8+($D$8-$C$8)*$AD3409</f>
        <v/>
      </c>
      <c r="Q3409" s="14">
        <f>$C$9</f>
        <v/>
      </c>
      <c r="R3409" s="14">
        <f>_xlfn.LOGNORM.INV($AF3409,LN($C$10)-0.5*LN(1+($D$10/$C$10)^2),SQRT(LN(1+($D$10/$C$10)^2)))</f>
        <v/>
      </c>
      <c r="S3409" s="14">
        <f>SUM(M3409:R3409)</f>
        <v/>
      </c>
      <c r="AA3409">
        <f>RAND()</f>
        <v/>
      </c>
      <c r="AB3409">
        <f>RAND()</f>
        <v/>
      </c>
      <c r="AC3409">
        <f>RAND()</f>
        <v/>
      </c>
      <c r="AD3409">
        <f>RAND()</f>
        <v/>
      </c>
      <c r="AE3409">
        <f>RAND()</f>
        <v/>
      </c>
      <c r="AF3409">
        <f>RAND()</f>
        <v/>
      </c>
    </row>
    <row r="3410">
      <c r="M3410" s="14">
        <f>_xlfn.BETA.INV($AA3410,1+4*($D$5-$C$5)/($E$5-$C$5),1+4*($E$5-$D$5)/($E$5-$C$5),$C$5,$E$5)</f>
        <v/>
      </c>
      <c r="N3410" s="14">
        <f>IF($AB3410&lt;($D$6-$C$6)/($E$6-$C$6),$C$6+SQRT($AB3410*($E$6-$C$6)*($D$6-$C$6)),$E$6-SQRT((1-$AB3410)*($E$6-$C$6)*($E$6-$D$6)))</f>
        <v/>
      </c>
      <c r="O3410" s="14">
        <f>_xlfn.NORM.INV($AC3410,$C$7,$D$7)</f>
        <v/>
      </c>
      <c r="P3410" s="14">
        <f>$C$8+($D$8-$C$8)*$AD3410</f>
        <v/>
      </c>
      <c r="Q3410" s="14">
        <f>$C$9</f>
        <v/>
      </c>
      <c r="R3410" s="14">
        <f>_xlfn.LOGNORM.INV($AF3410,LN($C$10)-0.5*LN(1+($D$10/$C$10)^2),SQRT(LN(1+($D$10/$C$10)^2)))</f>
        <v/>
      </c>
      <c r="S3410" s="14">
        <f>SUM(M3410:R3410)</f>
        <v/>
      </c>
      <c r="AA3410">
        <f>RAND()</f>
        <v/>
      </c>
      <c r="AB3410">
        <f>RAND()</f>
        <v/>
      </c>
      <c r="AC3410">
        <f>RAND()</f>
        <v/>
      </c>
      <c r="AD3410">
        <f>RAND()</f>
        <v/>
      </c>
      <c r="AE3410">
        <f>RAND()</f>
        <v/>
      </c>
      <c r="AF3410">
        <f>RAND()</f>
        <v/>
      </c>
    </row>
    <row r="3411">
      <c r="M3411" s="14">
        <f>_xlfn.BETA.INV($AA3411,1+4*($D$5-$C$5)/($E$5-$C$5),1+4*($E$5-$D$5)/($E$5-$C$5),$C$5,$E$5)</f>
        <v/>
      </c>
      <c r="N3411" s="14">
        <f>IF($AB3411&lt;($D$6-$C$6)/($E$6-$C$6),$C$6+SQRT($AB3411*($E$6-$C$6)*($D$6-$C$6)),$E$6-SQRT((1-$AB3411)*($E$6-$C$6)*($E$6-$D$6)))</f>
        <v/>
      </c>
      <c r="O3411" s="14">
        <f>_xlfn.NORM.INV($AC3411,$C$7,$D$7)</f>
        <v/>
      </c>
      <c r="P3411" s="14">
        <f>$C$8+($D$8-$C$8)*$AD3411</f>
        <v/>
      </c>
      <c r="Q3411" s="14">
        <f>$C$9</f>
        <v/>
      </c>
      <c r="R3411" s="14">
        <f>_xlfn.LOGNORM.INV($AF3411,LN($C$10)-0.5*LN(1+($D$10/$C$10)^2),SQRT(LN(1+($D$10/$C$10)^2)))</f>
        <v/>
      </c>
      <c r="S3411" s="14">
        <f>SUM(M3411:R3411)</f>
        <v/>
      </c>
      <c r="AA3411">
        <f>RAND()</f>
        <v/>
      </c>
      <c r="AB3411">
        <f>RAND()</f>
        <v/>
      </c>
      <c r="AC3411">
        <f>RAND()</f>
        <v/>
      </c>
      <c r="AD3411">
        <f>RAND()</f>
        <v/>
      </c>
      <c r="AE3411">
        <f>RAND()</f>
        <v/>
      </c>
      <c r="AF3411">
        <f>RAND()</f>
        <v/>
      </c>
    </row>
    <row r="3412">
      <c r="M3412" s="14">
        <f>_xlfn.BETA.INV($AA3412,1+4*($D$5-$C$5)/($E$5-$C$5),1+4*($E$5-$D$5)/($E$5-$C$5),$C$5,$E$5)</f>
        <v/>
      </c>
      <c r="N3412" s="14">
        <f>IF($AB3412&lt;($D$6-$C$6)/($E$6-$C$6),$C$6+SQRT($AB3412*($E$6-$C$6)*($D$6-$C$6)),$E$6-SQRT((1-$AB3412)*($E$6-$C$6)*($E$6-$D$6)))</f>
        <v/>
      </c>
      <c r="O3412" s="14">
        <f>_xlfn.NORM.INV($AC3412,$C$7,$D$7)</f>
        <v/>
      </c>
      <c r="P3412" s="14">
        <f>$C$8+($D$8-$C$8)*$AD3412</f>
        <v/>
      </c>
      <c r="Q3412" s="14">
        <f>$C$9</f>
        <v/>
      </c>
      <c r="R3412" s="14">
        <f>_xlfn.LOGNORM.INV($AF3412,LN($C$10)-0.5*LN(1+($D$10/$C$10)^2),SQRT(LN(1+($D$10/$C$10)^2)))</f>
        <v/>
      </c>
      <c r="S3412" s="14">
        <f>SUM(M3412:R3412)</f>
        <v/>
      </c>
      <c r="AA3412">
        <f>RAND()</f>
        <v/>
      </c>
      <c r="AB3412">
        <f>RAND()</f>
        <v/>
      </c>
      <c r="AC3412">
        <f>RAND()</f>
        <v/>
      </c>
      <c r="AD3412">
        <f>RAND()</f>
        <v/>
      </c>
      <c r="AE3412">
        <f>RAND()</f>
        <v/>
      </c>
      <c r="AF3412">
        <f>RAND()</f>
        <v/>
      </c>
    </row>
    <row r="3413">
      <c r="M3413" s="14">
        <f>_xlfn.BETA.INV($AA3413,1+4*($D$5-$C$5)/($E$5-$C$5),1+4*($E$5-$D$5)/($E$5-$C$5),$C$5,$E$5)</f>
        <v/>
      </c>
      <c r="N3413" s="14">
        <f>IF($AB3413&lt;($D$6-$C$6)/($E$6-$C$6),$C$6+SQRT($AB3413*($E$6-$C$6)*($D$6-$C$6)),$E$6-SQRT((1-$AB3413)*($E$6-$C$6)*($E$6-$D$6)))</f>
        <v/>
      </c>
      <c r="O3413" s="14">
        <f>_xlfn.NORM.INV($AC3413,$C$7,$D$7)</f>
        <v/>
      </c>
      <c r="P3413" s="14">
        <f>$C$8+($D$8-$C$8)*$AD3413</f>
        <v/>
      </c>
      <c r="Q3413" s="14">
        <f>$C$9</f>
        <v/>
      </c>
      <c r="R3413" s="14">
        <f>_xlfn.LOGNORM.INV($AF3413,LN($C$10)-0.5*LN(1+($D$10/$C$10)^2),SQRT(LN(1+($D$10/$C$10)^2)))</f>
        <v/>
      </c>
      <c r="S3413" s="14">
        <f>SUM(M3413:R3413)</f>
        <v/>
      </c>
      <c r="AA3413">
        <f>RAND()</f>
        <v/>
      </c>
      <c r="AB3413">
        <f>RAND()</f>
        <v/>
      </c>
      <c r="AC3413">
        <f>RAND()</f>
        <v/>
      </c>
      <c r="AD3413">
        <f>RAND()</f>
        <v/>
      </c>
      <c r="AE3413">
        <f>RAND()</f>
        <v/>
      </c>
      <c r="AF3413">
        <f>RAND()</f>
        <v/>
      </c>
    </row>
    <row r="3414">
      <c r="M3414" s="14">
        <f>_xlfn.BETA.INV($AA3414,1+4*($D$5-$C$5)/($E$5-$C$5),1+4*($E$5-$D$5)/($E$5-$C$5),$C$5,$E$5)</f>
        <v/>
      </c>
      <c r="N3414" s="14">
        <f>IF($AB3414&lt;($D$6-$C$6)/($E$6-$C$6),$C$6+SQRT($AB3414*($E$6-$C$6)*($D$6-$C$6)),$E$6-SQRT((1-$AB3414)*($E$6-$C$6)*($E$6-$D$6)))</f>
        <v/>
      </c>
      <c r="O3414" s="14">
        <f>_xlfn.NORM.INV($AC3414,$C$7,$D$7)</f>
        <v/>
      </c>
      <c r="P3414" s="14">
        <f>$C$8+($D$8-$C$8)*$AD3414</f>
        <v/>
      </c>
      <c r="Q3414" s="14">
        <f>$C$9</f>
        <v/>
      </c>
      <c r="R3414" s="14">
        <f>_xlfn.LOGNORM.INV($AF3414,LN($C$10)-0.5*LN(1+($D$10/$C$10)^2),SQRT(LN(1+($D$10/$C$10)^2)))</f>
        <v/>
      </c>
      <c r="S3414" s="14">
        <f>SUM(M3414:R3414)</f>
        <v/>
      </c>
      <c r="AA3414">
        <f>RAND()</f>
        <v/>
      </c>
      <c r="AB3414">
        <f>RAND()</f>
        <v/>
      </c>
      <c r="AC3414">
        <f>RAND()</f>
        <v/>
      </c>
      <c r="AD3414">
        <f>RAND()</f>
        <v/>
      </c>
      <c r="AE3414">
        <f>RAND()</f>
        <v/>
      </c>
      <c r="AF3414">
        <f>RAND()</f>
        <v/>
      </c>
    </row>
    <row r="3415">
      <c r="M3415" s="14">
        <f>_xlfn.BETA.INV($AA3415,1+4*($D$5-$C$5)/($E$5-$C$5),1+4*($E$5-$D$5)/($E$5-$C$5),$C$5,$E$5)</f>
        <v/>
      </c>
      <c r="N3415" s="14">
        <f>IF($AB3415&lt;($D$6-$C$6)/($E$6-$C$6),$C$6+SQRT($AB3415*($E$6-$C$6)*($D$6-$C$6)),$E$6-SQRT((1-$AB3415)*($E$6-$C$6)*($E$6-$D$6)))</f>
        <v/>
      </c>
      <c r="O3415" s="14">
        <f>_xlfn.NORM.INV($AC3415,$C$7,$D$7)</f>
        <v/>
      </c>
      <c r="P3415" s="14">
        <f>$C$8+($D$8-$C$8)*$AD3415</f>
        <v/>
      </c>
      <c r="Q3415" s="14">
        <f>$C$9</f>
        <v/>
      </c>
      <c r="R3415" s="14">
        <f>_xlfn.LOGNORM.INV($AF3415,LN($C$10)-0.5*LN(1+($D$10/$C$10)^2),SQRT(LN(1+($D$10/$C$10)^2)))</f>
        <v/>
      </c>
      <c r="S3415" s="14">
        <f>SUM(M3415:R3415)</f>
        <v/>
      </c>
      <c r="AA3415">
        <f>RAND()</f>
        <v/>
      </c>
      <c r="AB3415">
        <f>RAND()</f>
        <v/>
      </c>
      <c r="AC3415">
        <f>RAND()</f>
        <v/>
      </c>
      <c r="AD3415">
        <f>RAND()</f>
        <v/>
      </c>
      <c r="AE3415">
        <f>RAND()</f>
        <v/>
      </c>
      <c r="AF3415">
        <f>RAND()</f>
        <v/>
      </c>
    </row>
    <row r="3416">
      <c r="M3416" s="14">
        <f>_xlfn.BETA.INV($AA3416,1+4*($D$5-$C$5)/($E$5-$C$5),1+4*($E$5-$D$5)/($E$5-$C$5),$C$5,$E$5)</f>
        <v/>
      </c>
      <c r="N3416" s="14">
        <f>IF($AB3416&lt;($D$6-$C$6)/($E$6-$C$6),$C$6+SQRT($AB3416*($E$6-$C$6)*($D$6-$C$6)),$E$6-SQRT((1-$AB3416)*($E$6-$C$6)*($E$6-$D$6)))</f>
        <v/>
      </c>
      <c r="O3416" s="14">
        <f>_xlfn.NORM.INV($AC3416,$C$7,$D$7)</f>
        <v/>
      </c>
      <c r="P3416" s="14">
        <f>$C$8+($D$8-$C$8)*$AD3416</f>
        <v/>
      </c>
      <c r="Q3416" s="14">
        <f>$C$9</f>
        <v/>
      </c>
      <c r="R3416" s="14">
        <f>_xlfn.LOGNORM.INV($AF3416,LN($C$10)-0.5*LN(1+($D$10/$C$10)^2),SQRT(LN(1+($D$10/$C$10)^2)))</f>
        <v/>
      </c>
      <c r="S3416" s="14">
        <f>SUM(M3416:R3416)</f>
        <v/>
      </c>
      <c r="AA3416">
        <f>RAND()</f>
        <v/>
      </c>
      <c r="AB3416">
        <f>RAND()</f>
        <v/>
      </c>
      <c r="AC3416">
        <f>RAND()</f>
        <v/>
      </c>
      <c r="AD3416">
        <f>RAND()</f>
        <v/>
      </c>
      <c r="AE3416">
        <f>RAND()</f>
        <v/>
      </c>
      <c r="AF3416">
        <f>RAND()</f>
        <v/>
      </c>
    </row>
    <row r="3417">
      <c r="M3417" s="14">
        <f>_xlfn.BETA.INV($AA3417,1+4*($D$5-$C$5)/($E$5-$C$5),1+4*($E$5-$D$5)/($E$5-$C$5),$C$5,$E$5)</f>
        <v/>
      </c>
      <c r="N3417" s="14">
        <f>IF($AB3417&lt;($D$6-$C$6)/($E$6-$C$6),$C$6+SQRT($AB3417*($E$6-$C$6)*($D$6-$C$6)),$E$6-SQRT((1-$AB3417)*($E$6-$C$6)*($E$6-$D$6)))</f>
        <v/>
      </c>
      <c r="O3417" s="14">
        <f>_xlfn.NORM.INV($AC3417,$C$7,$D$7)</f>
        <v/>
      </c>
      <c r="P3417" s="14">
        <f>$C$8+($D$8-$C$8)*$AD3417</f>
        <v/>
      </c>
      <c r="Q3417" s="14">
        <f>$C$9</f>
        <v/>
      </c>
      <c r="R3417" s="14">
        <f>_xlfn.LOGNORM.INV($AF3417,LN($C$10)-0.5*LN(1+($D$10/$C$10)^2),SQRT(LN(1+($D$10/$C$10)^2)))</f>
        <v/>
      </c>
      <c r="S3417" s="14">
        <f>SUM(M3417:R3417)</f>
        <v/>
      </c>
      <c r="AA3417">
        <f>RAND()</f>
        <v/>
      </c>
      <c r="AB3417">
        <f>RAND()</f>
        <v/>
      </c>
      <c r="AC3417">
        <f>RAND()</f>
        <v/>
      </c>
      <c r="AD3417">
        <f>RAND()</f>
        <v/>
      </c>
      <c r="AE3417">
        <f>RAND()</f>
        <v/>
      </c>
      <c r="AF3417">
        <f>RAND()</f>
        <v/>
      </c>
    </row>
    <row r="3418">
      <c r="M3418" s="14">
        <f>_xlfn.BETA.INV($AA3418,1+4*($D$5-$C$5)/($E$5-$C$5),1+4*($E$5-$D$5)/($E$5-$C$5),$C$5,$E$5)</f>
        <v/>
      </c>
      <c r="N3418" s="14">
        <f>IF($AB3418&lt;($D$6-$C$6)/($E$6-$C$6),$C$6+SQRT($AB3418*($E$6-$C$6)*($D$6-$C$6)),$E$6-SQRT((1-$AB3418)*($E$6-$C$6)*($E$6-$D$6)))</f>
        <v/>
      </c>
      <c r="O3418" s="14">
        <f>_xlfn.NORM.INV($AC3418,$C$7,$D$7)</f>
        <v/>
      </c>
      <c r="P3418" s="14">
        <f>$C$8+($D$8-$C$8)*$AD3418</f>
        <v/>
      </c>
      <c r="Q3418" s="14">
        <f>$C$9</f>
        <v/>
      </c>
      <c r="R3418" s="14">
        <f>_xlfn.LOGNORM.INV($AF3418,LN($C$10)-0.5*LN(1+($D$10/$C$10)^2),SQRT(LN(1+($D$10/$C$10)^2)))</f>
        <v/>
      </c>
      <c r="S3418" s="14">
        <f>SUM(M3418:R3418)</f>
        <v/>
      </c>
      <c r="AA3418">
        <f>RAND()</f>
        <v/>
      </c>
      <c r="AB3418">
        <f>RAND()</f>
        <v/>
      </c>
      <c r="AC3418">
        <f>RAND()</f>
        <v/>
      </c>
      <c r="AD3418">
        <f>RAND()</f>
        <v/>
      </c>
      <c r="AE3418">
        <f>RAND()</f>
        <v/>
      </c>
      <c r="AF3418">
        <f>RAND()</f>
        <v/>
      </c>
    </row>
    <row r="3419">
      <c r="M3419" s="14">
        <f>_xlfn.BETA.INV($AA3419,1+4*($D$5-$C$5)/($E$5-$C$5),1+4*($E$5-$D$5)/($E$5-$C$5),$C$5,$E$5)</f>
        <v/>
      </c>
      <c r="N3419" s="14">
        <f>IF($AB3419&lt;($D$6-$C$6)/($E$6-$C$6),$C$6+SQRT($AB3419*($E$6-$C$6)*($D$6-$C$6)),$E$6-SQRT((1-$AB3419)*($E$6-$C$6)*($E$6-$D$6)))</f>
        <v/>
      </c>
      <c r="O3419" s="14">
        <f>_xlfn.NORM.INV($AC3419,$C$7,$D$7)</f>
        <v/>
      </c>
      <c r="P3419" s="14">
        <f>$C$8+($D$8-$C$8)*$AD3419</f>
        <v/>
      </c>
      <c r="Q3419" s="14">
        <f>$C$9</f>
        <v/>
      </c>
      <c r="R3419" s="14">
        <f>_xlfn.LOGNORM.INV($AF3419,LN($C$10)-0.5*LN(1+($D$10/$C$10)^2),SQRT(LN(1+($D$10/$C$10)^2)))</f>
        <v/>
      </c>
      <c r="S3419" s="14">
        <f>SUM(M3419:R3419)</f>
        <v/>
      </c>
      <c r="AA3419">
        <f>RAND()</f>
        <v/>
      </c>
      <c r="AB3419">
        <f>RAND()</f>
        <v/>
      </c>
      <c r="AC3419">
        <f>RAND()</f>
        <v/>
      </c>
      <c r="AD3419">
        <f>RAND()</f>
        <v/>
      </c>
      <c r="AE3419">
        <f>RAND()</f>
        <v/>
      </c>
      <c r="AF3419">
        <f>RAND()</f>
        <v/>
      </c>
    </row>
    <row r="3420">
      <c r="M3420" s="14">
        <f>_xlfn.BETA.INV($AA3420,1+4*($D$5-$C$5)/($E$5-$C$5),1+4*($E$5-$D$5)/($E$5-$C$5),$C$5,$E$5)</f>
        <v/>
      </c>
      <c r="N3420" s="14">
        <f>IF($AB3420&lt;($D$6-$C$6)/($E$6-$C$6),$C$6+SQRT($AB3420*($E$6-$C$6)*($D$6-$C$6)),$E$6-SQRT((1-$AB3420)*($E$6-$C$6)*($E$6-$D$6)))</f>
        <v/>
      </c>
      <c r="O3420" s="14">
        <f>_xlfn.NORM.INV($AC3420,$C$7,$D$7)</f>
        <v/>
      </c>
      <c r="P3420" s="14">
        <f>$C$8+($D$8-$C$8)*$AD3420</f>
        <v/>
      </c>
      <c r="Q3420" s="14">
        <f>$C$9</f>
        <v/>
      </c>
      <c r="R3420" s="14">
        <f>_xlfn.LOGNORM.INV($AF3420,LN($C$10)-0.5*LN(1+($D$10/$C$10)^2),SQRT(LN(1+($D$10/$C$10)^2)))</f>
        <v/>
      </c>
      <c r="S3420" s="14">
        <f>SUM(M3420:R3420)</f>
        <v/>
      </c>
      <c r="AA3420">
        <f>RAND()</f>
        <v/>
      </c>
      <c r="AB3420">
        <f>RAND()</f>
        <v/>
      </c>
      <c r="AC3420">
        <f>RAND()</f>
        <v/>
      </c>
      <c r="AD3420">
        <f>RAND()</f>
        <v/>
      </c>
      <c r="AE3420">
        <f>RAND()</f>
        <v/>
      </c>
      <c r="AF3420">
        <f>RAND()</f>
        <v/>
      </c>
    </row>
    <row r="3421">
      <c r="M3421" s="14">
        <f>_xlfn.BETA.INV($AA3421,1+4*($D$5-$C$5)/($E$5-$C$5),1+4*($E$5-$D$5)/($E$5-$C$5),$C$5,$E$5)</f>
        <v/>
      </c>
      <c r="N3421" s="14">
        <f>IF($AB3421&lt;($D$6-$C$6)/($E$6-$C$6),$C$6+SQRT($AB3421*($E$6-$C$6)*($D$6-$C$6)),$E$6-SQRT((1-$AB3421)*($E$6-$C$6)*($E$6-$D$6)))</f>
        <v/>
      </c>
      <c r="O3421" s="14">
        <f>_xlfn.NORM.INV($AC3421,$C$7,$D$7)</f>
        <v/>
      </c>
      <c r="P3421" s="14">
        <f>$C$8+($D$8-$C$8)*$AD3421</f>
        <v/>
      </c>
      <c r="Q3421" s="14">
        <f>$C$9</f>
        <v/>
      </c>
      <c r="R3421" s="14">
        <f>_xlfn.LOGNORM.INV($AF3421,LN($C$10)-0.5*LN(1+($D$10/$C$10)^2),SQRT(LN(1+($D$10/$C$10)^2)))</f>
        <v/>
      </c>
      <c r="S3421" s="14">
        <f>SUM(M3421:R3421)</f>
        <v/>
      </c>
      <c r="AA3421">
        <f>RAND()</f>
        <v/>
      </c>
      <c r="AB3421">
        <f>RAND()</f>
        <v/>
      </c>
      <c r="AC3421">
        <f>RAND()</f>
        <v/>
      </c>
      <c r="AD3421">
        <f>RAND()</f>
        <v/>
      </c>
      <c r="AE3421">
        <f>RAND()</f>
        <v/>
      </c>
      <c r="AF3421">
        <f>RAND()</f>
        <v/>
      </c>
    </row>
    <row r="3422">
      <c r="M3422" s="14">
        <f>_xlfn.BETA.INV($AA3422,1+4*($D$5-$C$5)/($E$5-$C$5),1+4*($E$5-$D$5)/($E$5-$C$5),$C$5,$E$5)</f>
        <v/>
      </c>
      <c r="N3422" s="14">
        <f>IF($AB3422&lt;($D$6-$C$6)/($E$6-$C$6),$C$6+SQRT($AB3422*($E$6-$C$6)*($D$6-$C$6)),$E$6-SQRT((1-$AB3422)*($E$6-$C$6)*($E$6-$D$6)))</f>
        <v/>
      </c>
      <c r="O3422" s="14">
        <f>_xlfn.NORM.INV($AC3422,$C$7,$D$7)</f>
        <v/>
      </c>
      <c r="P3422" s="14">
        <f>$C$8+($D$8-$C$8)*$AD3422</f>
        <v/>
      </c>
      <c r="Q3422" s="14">
        <f>$C$9</f>
        <v/>
      </c>
      <c r="R3422" s="14">
        <f>_xlfn.LOGNORM.INV($AF3422,LN($C$10)-0.5*LN(1+($D$10/$C$10)^2),SQRT(LN(1+($D$10/$C$10)^2)))</f>
        <v/>
      </c>
      <c r="S3422" s="14">
        <f>SUM(M3422:R3422)</f>
        <v/>
      </c>
      <c r="AA3422">
        <f>RAND()</f>
        <v/>
      </c>
      <c r="AB3422">
        <f>RAND()</f>
        <v/>
      </c>
      <c r="AC3422">
        <f>RAND()</f>
        <v/>
      </c>
      <c r="AD3422">
        <f>RAND()</f>
        <v/>
      </c>
      <c r="AE3422">
        <f>RAND()</f>
        <v/>
      </c>
      <c r="AF3422">
        <f>RAND()</f>
        <v/>
      </c>
    </row>
    <row r="3423">
      <c r="M3423" s="14">
        <f>_xlfn.BETA.INV($AA3423,1+4*($D$5-$C$5)/($E$5-$C$5),1+4*($E$5-$D$5)/($E$5-$C$5),$C$5,$E$5)</f>
        <v/>
      </c>
      <c r="N3423" s="14">
        <f>IF($AB3423&lt;($D$6-$C$6)/($E$6-$C$6),$C$6+SQRT($AB3423*($E$6-$C$6)*($D$6-$C$6)),$E$6-SQRT((1-$AB3423)*($E$6-$C$6)*($E$6-$D$6)))</f>
        <v/>
      </c>
      <c r="O3423" s="14">
        <f>_xlfn.NORM.INV($AC3423,$C$7,$D$7)</f>
        <v/>
      </c>
      <c r="P3423" s="14">
        <f>$C$8+($D$8-$C$8)*$AD3423</f>
        <v/>
      </c>
      <c r="Q3423" s="14">
        <f>$C$9</f>
        <v/>
      </c>
      <c r="R3423" s="14">
        <f>_xlfn.LOGNORM.INV($AF3423,LN($C$10)-0.5*LN(1+($D$10/$C$10)^2),SQRT(LN(1+($D$10/$C$10)^2)))</f>
        <v/>
      </c>
      <c r="S3423" s="14">
        <f>SUM(M3423:R3423)</f>
        <v/>
      </c>
      <c r="AA3423">
        <f>RAND()</f>
        <v/>
      </c>
      <c r="AB3423">
        <f>RAND()</f>
        <v/>
      </c>
      <c r="AC3423">
        <f>RAND()</f>
        <v/>
      </c>
      <c r="AD3423">
        <f>RAND()</f>
        <v/>
      </c>
      <c r="AE3423">
        <f>RAND()</f>
        <v/>
      </c>
      <c r="AF3423">
        <f>RAND()</f>
        <v/>
      </c>
    </row>
    <row r="3424">
      <c r="M3424" s="14">
        <f>_xlfn.BETA.INV($AA3424,1+4*($D$5-$C$5)/($E$5-$C$5),1+4*($E$5-$D$5)/($E$5-$C$5),$C$5,$E$5)</f>
        <v/>
      </c>
      <c r="N3424" s="14">
        <f>IF($AB3424&lt;($D$6-$C$6)/($E$6-$C$6),$C$6+SQRT($AB3424*($E$6-$C$6)*($D$6-$C$6)),$E$6-SQRT((1-$AB3424)*($E$6-$C$6)*($E$6-$D$6)))</f>
        <v/>
      </c>
      <c r="O3424" s="14">
        <f>_xlfn.NORM.INV($AC3424,$C$7,$D$7)</f>
        <v/>
      </c>
      <c r="P3424" s="14">
        <f>$C$8+($D$8-$C$8)*$AD3424</f>
        <v/>
      </c>
      <c r="Q3424" s="14">
        <f>$C$9</f>
        <v/>
      </c>
      <c r="R3424" s="14">
        <f>_xlfn.LOGNORM.INV($AF3424,LN($C$10)-0.5*LN(1+($D$10/$C$10)^2),SQRT(LN(1+($D$10/$C$10)^2)))</f>
        <v/>
      </c>
      <c r="S3424" s="14">
        <f>SUM(M3424:R3424)</f>
        <v/>
      </c>
      <c r="AA3424">
        <f>RAND()</f>
        <v/>
      </c>
      <c r="AB3424">
        <f>RAND()</f>
        <v/>
      </c>
      <c r="AC3424">
        <f>RAND()</f>
        <v/>
      </c>
      <c r="AD3424">
        <f>RAND()</f>
        <v/>
      </c>
      <c r="AE3424">
        <f>RAND()</f>
        <v/>
      </c>
      <c r="AF3424">
        <f>RAND()</f>
        <v/>
      </c>
    </row>
    <row r="3425">
      <c r="M3425" s="14">
        <f>_xlfn.BETA.INV($AA3425,1+4*($D$5-$C$5)/($E$5-$C$5),1+4*($E$5-$D$5)/($E$5-$C$5),$C$5,$E$5)</f>
        <v/>
      </c>
      <c r="N3425" s="14">
        <f>IF($AB3425&lt;($D$6-$C$6)/($E$6-$C$6),$C$6+SQRT($AB3425*($E$6-$C$6)*($D$6-$C$6)),$E$6-SQRT((1-$AB3425)*($E$6-$C$6)*($E$6-$D$6)))</f>
        <v/>
      </c>
      <c r="O3425" s="14">
        <f>_xlfn.NORM.INV($AC3425,$C$7,$D$7)</f>
        <v/>
      </c>
      <c r="P3425" s="14">
        <f>$C$8+($D$8-$C$8)*$AD3425</f>
        <v/>
      </c>
      <c r="Q3425" s="14">
        <f>$C$9</f>
        <v/>
      </c>
      <c r="R3425" s="14">
        <f>_xlfn.LOGNORM.INV($AF3425,LN($C$10)-0.5*LN(1+($D$10/$C$10)^2),SQRT(LN(1+($D$10/$C$10)^2)))</f>
        <v/>
      </c>
      <c r="S3425" s="14">
        <f>SUM(M3425:R3425)</f>
        <v/>
      </c>
      <c r="AA3425">
        <f>RAND()</f>
        <v/>
      </c>
      <c r="AB3425">
        <f>RAND()</f>
        <v/>
      </c>
      <c r="AC3425">
        <f>RAND()</f>
        <v/>
      </c>
      <c r="AD3425">
        <f>RAND()</f>
        <v/>
      </c>
      <c r="AE3425">
        <f>RAND()</f>
        <v/>
      </c>
      <c r="AF3425">
        <f>RAND()</f>
        <v/>
      </c>
    </row>
    <row r="3426">
      <c r="M3426" s="14">
        <f>_xlfn.BETA.INV($AA3426,1+4*($D$5-$C$5)/($E$5-$C$5),1+4*($E$5-$D$5)/($E$5-$C$5),$C$5,$E$5)</f>
        <v/>
      </c>
      <c r="N3426" s="14">
        <f>IF($AB3426&lt;($D$6-$C$6)/($E$6-$C$6),$C$6+SQRT($AB3426*($E$6-$C$6)*($D$6-$C$6)),$E$6-SQRT((1-$AB3426)*($E$6-$C$6)*($E$6-$D$6)))</f>
        <v/>
      </c>
      <c r="O3426" s="14">
        <f>_xlfn.NORM.INV($AC3426,$C$7,$D$7)</f>
        <v/>
      </c>
      <c r="P3426" s="14">
        <f>$C$8+($D$8-$C$8)*$AD3426</f>
        <v/>
      </c>
      <c r="Q3426" s="14">
        <f>$C$9</f>
        <v/>
      </c>
      <c r="R3426" s="14">
        <f>_xlfn.LOGNORM.INV($AF3426,LN($C$10)-0.5*LN(1+($D$10/$C$10)^2),SQRT(LN(1+($D$10/$C$10)^2)))</f>
        <v/>
      </c>
      <c r="S3426" s="14">
        <f>SUM(M3426:R3426)</f>
        <v/>
      </c>
      <c r="AA3426">
        <f>RAND()</f>
        <v/>
      </c>
      <c r="AB3426">
        <f>RAND()</f>
        <v/>
      </c>
      <c r="AC3426">
        <f>RAND()</f>
        <v/>
      </c>
      <c r="AD3426">
        <f>RAND()</f>
        <v/>
      </c>
      <c r="AE3426">
        <f>RAND()</f>
        <v/>
      </c>
      <c r="AF3426">
        <f>RAND()</f>
        <v/>
      </c>
    </row>
    <row r="3427">
      <c r="M3427" s="14">
        <f>_xlfn.BETA.INV($AA3427,1+4*($D$5-$C$5)/($E$5-$C$5),1+4*($E$5-$D$5)/($E$5-$C$5),$C$5,$E$5)</f>
        <v/>
      </c>
      <c r="N3427" s="14">
        <f>IF($AB3427&lt;($D$6-$C$6)/($E$6-$C$6),$C$6+SQRT($AB3427*($E$6-$C$6)*($D$6-$C$6)),$E$6-SQRT((1-$AB3427)*($E$6-$C$6)*($E$6-$D$6)))</f>
        <v/>
      </c>
      <c r="O3427" s="14">
        <f>_xlfn.NORM.INV($AC3427,$C$7,$D$7)</f>
        <v/>
      </c>
      <c r="P3427" s="14">
        <f>$C$8+($D$8-$C$8)*$AD3427</f>
        <v/>
      </c>
      <c r="Q3427" s="14">
        <f>$C$9</f>
        <v/>
      </c>
      <c r="R3427" s="14">
        <f>_xlfn.LOGNORM.INV($AF3427,LN($C$10)-0.5*LN(1+($D$10/$C$10)^2),SQRT(LN(1+($D$10/$C$10)^2)))</f>
        <v/>
      </c>
      <c r="S3427" s="14">
        <f>SUM(M3427:R3427)</f>
        <v/>
      </c>
      <c r="AA3427">
        <f>RAND()</f>
        <v/>
      </c>
      <c r="AB3427">
        <f>RAND()</f>
        <v/>
      </c>
      <c r="AC3427">
        <f>RAND()</f>
        <v/>
      </c>
      <c r="AD3427">
        <f>RAND()</f>
        <v/>
      </c>
      <c r="AE3427">
        <f>RAND()</f>
        <v/>
      </c>
      <c r="AF3427">
        <f>RAND()</f>
        <v/>
      </c>
    </row>
    <row r="3428">
      <c r="M3428" s="14">
        <f>_xlfn.BETA.INV($AA3428,1+4*($D$5-$C$5)/($E$5-$C$5),1+4*($E$5-$D$5)/($E$5-$C$5),$C$5,$E$5)</f>
        <v/>
      </c>
      <c r="N3428" s="14">
        <f>IF($AB3428&lt;($D$6-$C$6)/($E$6-$C$6),$C$6+SQRT($AB3428*($E$6-$C$6)*($D$6-$C$6)),$E$6-SQRT((1-$AB3428)*($E$6-$C$6)*($E$6-$D$6)))</f>
        <v/>
      </c>
      <c r="O3428" s="14">
        <f>_xlfn.NORM.INV($AC3428,$C$7,$D$7)</f>
        <v/>
      </c>
      <c r="P3428" s="14">
        <f>$C$8+($D$8-$C$8)*$AD3428</f>
        <v/>
      </c>
      <c r="Q3428" s="14">
        <f>$C$9</f>
        <v/>
      </c>
      <c r="R3428" s="14">
        <f>_xlfn.LOGNORM.INV($AF3428,LN($C$10)-0.5*LN(1+($D$10/$C$10)^2),SQRT(LN(1+($D$10/$C$10)^2)))</f>
        <v/>
      </c>
      <c r="S3428" s="14">
        <f>SUM(M3428:R3428)</f>
        <v/>
      </c>
      <c r="AA3428">
        <f>RAND()</f>
        <v/>
      </c>
      <c r="AB3428">
        <f>RAND()</f>
        <v/>
      </c>
      <c r="AC3428">
        <f>RAND()</f>
        <v/>
      </c>
      <c r="AD3428">
        <f>RAND()</f>
        <v/>
      </c>
      <c r="AE3428">
        <f>RAND()</f>
        <v/>
      </c>
      <c r="AF3428">
        <f>RAND()</f>
        <v/>
      </c>
    </row>
    <row r="3429">
      <c r="M3429" s="14">
        <f>_xlfn.BETA.INV($AA3429,1+4*($D$5-$C$5)/($E$5-$C$5),1+4*($E$5-$D$5)/($E$5-$C$5),$C$5,$E$5)</f>
        <v/>
      </c>
      <c r="N3429" s="14">
        <f>IF($AB3429&lt;($D$6-$C$6)/($E$6-$C$6),$C$6+SQRT($AB3429*($E$6-$C$6)*($D$6-$C$6)),$E$6-SQRT((1-$AB3429)*($E$6-$C$6)*($E$6-$D$6)))</f>
        <v/>
      </c>
      <c r="O3429" s="14">
        <f>_xlfn.NORM.INV($AC3429,$C$7,$D$7)</f>
        <v/>
      </c>
      <c r="P3429" s="14">
        <f>$C$8+($D$8-$C$8)*$AD3429</f>
        <v/>
      </c>
      <c r="Q3429" s="14">
        <f>$C$9</f>
        <v/>
      </c>
      <c r="R3429" s="14">
        <f>_xlfn.LOGNORM.INV($AF3429,LN($C$10)-0.5*LN(1+($D$10/$C$10)^2),SQRT(LN(1+($D$10/$C$10)^2)))</f>
        <v/>
      </c>
      <c r="S3429" s="14">
        <f>SUM(M3429:R3429)</f>
        <v/>
      </c>
      <c r="AA3429">
        <f>RAND()</f>
        <v/>
      </c>
      <c r="AB3429">
        <f>RAND()</f>
        <v/>
      </c>
      <c r="AC3429">
        <f>RAND()</f>
        <v/>
      </c>
      <c r="AD3429">
        <f>RAND()</f>
        <v/>
      </c>
      <c r="AE3429">
        <f>RAND()</f>
        <v/>
      </c>
      <c r="AF3429">
        <f>RAND()</f>
        <v/>
      </c>
    </row>
    <row r="3430">
      <c r="M3430" s="14">
        <f>_xlfn.BETA.INV($AA3430,1+4*($D$5-$C$5)/($E$5-$C$5),1+4*($E$5-$D$5)/($E$5-$C$5),$C$5,$E$5)</f>
        <v/>
      </c>
      <c r="N3430" s="14">
        <f>IF($AB3430&lt;($D$6-$C$6)/($E$6-$C$6),$C$6+SQRT($AB3430*($E$6-$C$6)*($D$6-$C$6)),$E$6-SQRT((1-$AB3430)*($E$6-$C$6)*($E$6-$D$6)))</f>
        <v/>
      </c>
      <c r="O3430" s="14">
        <f>_xlfn.NORM.INV($AC3430,$C$7,$D$7)</f>
        <v/>
      </c>
      <c r="P3430" s="14">
        <f>$C$8+($D$8-$C$8)*$AD3430</f>
        <v/>
      </c>
      <c r="Q3430" s="14">
        <f>$C$9</f>
        <v/>
      </c>
      <c r="R3430" s="14">
        <f>_xlfn.LOGNORM.INV($AF3430,LN($C$10)-0.5*LN(1+($D$10/$C$10)^2),SQRT(LN(1+($D$10/$C$10)^2)))</f>
        <v/>
      </c>
      <c r="S3430" s="14">
        <f>SUM(M3430:R3430)</f>
        <v/>
      </c>
      <c r="AA3430">
        <f>RAND()</f>
        <v/>
      </c>
      <c r="AB3430">
        <f>RAND()</f>
        <v/>
      </c>
      <c r="AC3430">
        <f>RAND()</f>
        <v/>
      </c>
      <c r="AD3430">
        <f>RAND()</f>
        <v/>
      </c>
      <c r="AE3430">
        <f>RAND()</f>
        <v/>
      </c>
      <c r="AF3430">
        <f>RAND()</f>
        <v/>
      </c>
    </row>
    <row r="3431">
      <c r="M3431" s="14">
        <f>_xlfn.BETA.INV($AA3431,1+4*($D$5-$C$5)/($E$5-$C$5),1+4*($E$5-$D$5)/($E$5-$C$5),$C$5,$E$5)</f>
        <v/>
      </c>
      <c r="N3431" s="14">
        <f>IF($AB3431&lt;($D$6-$C$6)/($E$6-$C$6),$C$6+SQRT($AB3431*($E$6-$C$6)*($D$6-$C$6)),$E$6-SQRT((1-$AB3431)*($E$6-$C$6)*($E$6-$D$6)))</f>
        <v/>
      </c>
      <c r="O3431" s="14">
        <f>_xlfn.NORM.INV($AC3431,$C$7,$D$7)</f>
        <v/>
      </c>
      <c r="P3431" s="14">
        <f>$C$8+($D$8-$C$8)*$AD3431</f>
        <v/>
      </c>
      <c r="Q3431" s="14">
        <f>$C$9</f>
        <v/>
      </c>
      <c r="R3431" s="14">
        <f>_xlfn.LOGNORM.INV($AF3431,LN($C$10)-0.5*LN(1+($D$10/$C$10)^2),SQRT(LN(1+($D$10/$C$10)^2)))</f>
        <v/>
      </c>
      <c r="S3431" s="14">
        <f>SUM(M3431:R3431)</f>
        <v/>
      </c>
      <c r="AA3431">
        <f>RAND()</f>
        <v/>
      </c>
      <c r="AB3431">
        <f>RAND()</f>
        <v/>
      </c>
      <c r="AC3431">
        <f>RAND()</f>
        <v/>
      </c>
      <c r="AD3431">
        <f>RAND()</f>
        <v/>
      </c>
      <c r="AE3431">
        <f>RAND()</f>
        <v/>
      </c>
      <c r="AF3431">
        <f>RAND()</f>
        <v/>
      </c>
    </row>
    <row r="3432">
      <c r="M3432" s="14">
        <f>_xlfn.BETA.INV($AA3432,1+4*($D$5-$C$5)/($E$5-$C$5),1+4*($E$5-$D$5)/($E$5-$C$5),$C$5,$E$5)</f>
        <v/>
      </c>
      <c r="N3432" s="14">
        <f>IF($AB3432&lt;($D$6-$C$6)/($E$6-$C$6),$C$6+SQRT($AB3432*($E$6-$C$6)*($D$6-$C$6)),$E$6-SQRT((1-$AB3432)*($E$6-$C$6)*($E$6-$D$6)))</f>
        <v/>
      </c>
      <c r="O3432" s="14">
        <f>_xlfn.NORM.INV($AC3432,$C$7,$D$7)</f>
        <v/>
      </c>
      <c r="P3432" s="14">
        <f>$C$8+($D$8-$C$8)*$AD3432</f>
        <v/>
      </c>
      <c r="Q3432" s="14">
        <f>$C$9</f>
        <v/>
      </c>
      <c r="R3432" s="14">
        <f>_xlfn.LOGNORM.INV($AF3432,LN($C$10)-0.5*LN(1+($D$10/$C$10)^2),SQRT(LN(1+($D$10/$C$10)^2)))</f>
        <v/>
      </c>
      <c r="S3432" s="14">
        <f>SUM(M3432:R3432)</f>
        <v/>
      </c>
      <c r="AA3432">
        <f>RAND()</f>
        <v/>
      </c>
      <c r="AB3432">
        <f>RAND()</f>
        <v/>
      </c>
      <c r="AC3432">
        <f>RAND()</f>
        <v/>
      </c>
      <c r="AD3432">
        <f>RAND()</f>
        <v/>
      </c>
      <c r="AE3432">
        <f>RAND()</f>
        <v/>
      </c>
      <c r="AF3432">
        <f>RAND()</f>
        <v/>
      </c>
    </row>
    <row r="3433">
      <c r="M3433" s="14">
        <f>_xlfn.BETA.INV($AA3433,1+4*($D$5-$C$5)/($E$5-$C$5),1+4*($E$5-$D$5)/($E$5-$C$5),$C$5,$E$5)</f>
        <v/>
      </c>
      <c r="N3433" s="14">
        <f>IF($AB3433&lt;($D$6-$C$6)/($E$6-$C$6),$C$6+SQRT($AB3433*($E$6-$C$6)*($D$6-$C$6)),$E$6-SQRT((1-$AB3433)*($E$6-$C$6)*($E$6-$D$6)))</f>
        <v/>
      </c>
      <c r="O3433" s="14">
        <f>_xlfn.NORM.INV($AC3433,$C$7,$D$7)</f>
        <v/>
      </c>
      <c r="P3433" s="14">
        <f>$C$8+($D$8-$C$8)*$AD3433</f>
        <v/>
      </c>
      <c r="Q3433" s="14">
        <f>$C$9</f>
        <v/>
      </c>
      <c r="R3433" s="14">
        <f>_xlfn.LOGNORM.INV($AF3433,LN($C$10)-0.5*LN(1+($D$10/$C$10)^2),SQRT(LN(1+($D$10/$C$10)^2)))</f>
        <v/>
      </c>
      <c r="S3433" s="14">
        <f>SUM(M3433:R3433)</f>
        <v/>
      </c>
      <c r="AA3433">
        <f>RAND()</f>
        <v/>
      </c>
      <c r="AB3433">
        <f>RAND()</f>
        <v/>
      </c>
      <c r="AC3433">
        <f>RAND()</f>
        <v/>
      </c>
      <c r="AD3433">
        <f>RAND()</f>
        <v/>
      </c>
      <c r="AE3433">
        <f>RAND()</f>
        <v/>
      </c>
      <c r="AF3433">
        <f>RAND()</f>
        <v/>
      </c>
    </row>
    <row r="3434">
      <c r="M3434" s="14">
        <f>_xlfn.BETA.INV($AA3434,1+4*($D$5-$C$5)/($E$5-$C$5),1+4*($E$5-$D$5)/($E$5-$C$5),$C$5,$E$5)</f>
        <v/>
      </c>
      <c r="N3434" s="14">
        <f>IF($AB3434&lt;($D$6-$C$6)/($E$6-$C$6),$C$6+SQRT($AB3434*($E$6-$C$6)*($D$6-$C$6)),$E$6-SQRT((1-$AB3434)*($E$6-$C$6)*($E$6-$D$6)))</f>
        <v/>
      </c>
      <c r="O3434" s="14">
        <f>_xlfn.NORM.INV($AC3434,$C$7,$D$7)</f>
        <v/>
      </c>
      <c r="P3434" s="14">
        <f>$C$8+($D$8-$C$8)*$AD3434</f>
        <v/>
      </c>
      <c r="Q3434" s="14">
        <f>$C$9</f>
        <v/>
      </c>
      <c r="R3434" s="14">
        <f>_xlfn.LOGNORM.INV($AF3434,LN($C$10)-0.5*LN(1+($D$10/$C$10)^2),SQRT(LN(1+($D$10/$C$10)^2)))</f>
        <v/>
      </c>
      <c r="S3434" s="14">
        <f>SUM(M3434:R3434)</f>
        <v/>
      </c>
      <c r="AA3434">
        <f>RAND()</f>
        <v/>
      </c>
      <c r="AB3434">
        <f>RAND()</f>
        <v/>
      </c>
      <c r="AC3434">
        <f>RAND()</f>
        <v/>
      </c>
      <c r="AD3434">
        <f>RAND()</f>
        <v/>
      </c>
      <c r="AE3434">
        <f>RAND()</f>
        <v/>
      </c>
      <c r="AF3434">
        <f>RAND()</f>
        <v/>
      </c>
    </row>
    <row r="3435">
      <c r="M3435" s="14">
        <f>_xlfn.BETA.INV($AA3435,1+4*($D$5-$C$5)/($E$5-$C$5),1+4*($E$5-$D$5)/($E$5-$C$5),$C$5,$E$5)</f>
        <v/>
      </c>
      <c r="N3435" s="14">
        <f>IF($AB3435&lt;($D$6-$C$6)/($E$6-$C$6),$C$6+SQRT($AB3435*($E$6-$C$6)*($D$6-$C$6)),$E$6-SQRT((1-$AB3435)*($E$6-$C$6)*($E$6-$D$6)))</f>
        <v/>
      </c>
      <c r="O3435" s="14">
        <f>_xlfn.NORM.INV($AC3435,$C$7,$D$7)</f>
        <v/>
      </c>
      <c r="P3435" s="14">
        <f>$C$8+($D$8-$C$8)*$AD3435</f>
        <v/>
      </c>
      <c r="Q3435" s="14">
        <f>$C$9</f>
        <v/>
      </c>
      <c r="R3435" s="14">
        <f>_xlfn.LOGNORM.INV($AF3435,LN($C$10)-0.5*LN(1+($D$10/$C$10)^2),SQRT(LN(1+($D$10/$C$10)^2)))</f>
        <v/>
      </c>
      <c r="S3435" s="14">
        <f>SUM(M3435:R3435)</f>
        <v/>
      </c>
      <c r="AA3435">
        <f>RAND()</f>
        <v/>
      </c>
      <c r="AB3435">
        <f>RAND()</f>
        <v/>
      </c>
      <c r="AC3435">
        <f>RAND()</f>
        <v/>
      </c>
      <c r="AD3435">
        <f>RAND()</f>
        <v/>
      </c>
      <c r="AE3435">
        <f>RAND()</f>
        <v/>
      </c>
      <c r="AF3435">
        <f>RAND()</f>
        <v/>
      </c>
    </row>
    <row r="3436">
      <c r="M3436" s="14">
        <f>_xlfn.BETA.INV($AA3436,1+4*($D$5-$C$5)/($E$5-$C$5),1+4*($E$5-$D$5)/($E$5-$C$5),$C$5,$E$5)</f>
        <v/>
      </c>
      <c r="N3436" s="14">
        <f>IF($AB3436&lt;($D$6-$C$6)/($E$6-$C$6),$C$6+SQRT($AB3436*($E$6-$C$6)*($D$6-$C$6)),$E$6-SQRT((1-$AB3436)*($E$6-$C$6)*($E$6-$D$6)))</f>
        <v/>
      </c>
      <c r="O3436" s="14">
        <f>_xlfn.NORM.INV($AC3436,$C$7,$D$7)</f>
        <v/>
      </c>
      <c r="P3436" s="14">
        <f>$C$8+($D$8-$C$8)*$AD3436</f>
        <v/>
      </c>
      <c r="Q3436" s="14">
        <f>$C$9</f>
        <v/>
      </c>
      <c r="R3436" s="14">
        <f>_xlfn.LOGNORM.INV($AF3436,LN($C$10)-0.5*LN(1+($D$10/$C$10)^2),SQRT(LN(1+($D$10/$C$10)^2)))</f>
        <v/>
      </c>
      <c r="S3436" s="14">
        <f>SUM(M3436:R3436)</f>
        <v/>
      </c>
      <c r="AA3436">
        <f>RAND()</f>
        <v/>
      </c>
      <c r="AB3436">
        <f>RAND()</f>
        <v/>
      </c>
      <c r="AC3436">
        <f>RAND()</f>
        <v/>
      </c>
      <c r="AD3436">
        <f>RAND()</f>
        <v/>
      </c>
      <c r="AE3436">
        <f>RAND()</f>
        <v/>
      </c>
      <c r="AF3436">
        <f>RAND()</f>
        <v/>
      </c>
    </row>
    <row r="3437">
      <c r="M3437" s="14">
        <f>_xlfn.BETA.INV($AA3437,1+4*($D$5-$C$5)/($E$5-$C$5),1+4*($E$5-$D$5)/($E$5-$C$5),$C$5,$E$5)</f>
        <v/>
      </c>
      <c r="N3437" s="14">
        <f>IF($AB3437&lt;($D$6-$C$6)/($E$6-$C$6),$C$6+SQRT($AB3437*($E$6-$C$6)*($D$6-$C$6)),$E$6-SQRT((1-$AB3437)*($E$6-$C$6)*($E$6-$D$6)))</f>
        <v/>
      </c>
      <c r="O3437" s="14">
        <f>_xlfn.NORM.INV($AC3437,$C$7,$D$7)</f>
        <v/>
      </c>
      <c r="P3437" s="14">
        <f>$C$8+($D$8-$C$8)*$AD3437</f>
        <v/>
      </c>
      <c r="Q3437" s="14">
        <f>$C$9</f>
        <v/>
      </c>
      <c r="R3437" s="14">
        <f>_xlfn.LOGNORM.INV($AF3437,LN($C$10)-0.5*LN(1+($D$10/$C$10)^2),SQRT(LN(1+($D$10/$C$10)^2)))</f>
        <v/>
      </c>
      <c r="S3437" s="14">
        <f>SUM(M3437:R3437)</f>
        <v/>
      </c>
      <c r="AA3437">
        <f>RAND()</f>
        <v/>
      </c>
      <c r="AB3437">
        <f>RAND()</f>
        <v/>
      </c>
      <c r="AC3437">
        <f>RAND()</f>
        <v/>
      </c>
      <c r="AD3437">
        <f>RAND()</f>
        <v/>
      </c>
      <c r="AE3437">
        <f>RAND()</f>
        <v/>
      </c>
      <c r="AF3437">
        <f>RAND()</f>
        <v/>
      </c>
    </row>
    <row r="3438">
      <c r="M3438" s="14">
        <f>_xlfn.BETA.INV($AA3438,1+4*($D$5-$C$5)/($E$5-$C$5),1+4*($E$5-$D$5)/($E$5-$C$5),$C$5,$E$5)</f>
        <v/>
      </c>
      <c r="N3438" s="14">
        <f>IF($AB3438&lt;($D$6-$C$6)/($E$6-$C$6),$C$6+SQRT($AB3438*($E$6-$C$6)*($D$6-$C$6)),$E$6-SQRT((1-$AB3438)*($E$6-$C$6)*($E$6-$D$6)))</f>
        <v/>
      </c>
      <c r="O3438" s="14">
        <f>_xlfn.NORM.INV($AC3438,$C$7,$D$7)</f>
        <v/>
      </c>
      <c r="P3438" s="14">
        <f>$C$8+($D$8-$C$8)*$AD3438</f>
        <v/>
      </c>
      <c r="Q3438" s="14">
        <f>$C$9</f>
        <v/>
      </c>
      <c r="R3438" s="14">
        <f>_xlfn.LOGNORM.INV($AF3438,LN($C$10)-0.5*LN(1+($D$10/$C$10)^2),SQRT(LN(1+($D$10/$C$10)^2)))</f>
        <v/>
      </c>
      <c r="S3438" s="14">
        <f>SUM(M3438:R3438)</f>
        <v/>
      </c>
      <c r="AA3438">
        <f>RAND()</f>
        <v/>
      </c>
      <c r="AB3438">
        <f>RAND()</f>
        <v/>
      </c>
      <c r="AC3438">
        <f>RAND()</f>
        <v/>
      </c>
      <c r="AD3438">
        <f>RAND()</f>
        <v/>
      </c>
      <c r="AE3438">
        <f>RAND()</f>
        <v/>
      </c>
      <c r="AF3438">
        <f>RAND()</f>
        <v/>
      </c>
    </row>
    <row r="3439">
      <c r="M3439" s="14">
        <f>_xlfn.BETA.INV($AA3439,1+4*($D$5-$C$5)/($E$5-$C$5),1+4*($E$5-$D$5)/($E$5-$C$5),$C$5,$E$5)</f>
        <v/>
      </c>
      <c r="N3439" s="14">
        <f>IF($AB3439&lt;($D$6-$C$6)/($E$6-$C$6),$C$6+SQRT($AB3439*($E$6-$C$6)*($D$6-$C$6)),$E$6-SQRT((1-$AB3439)*($E$6-$C$6)*($E$6-$D$6)))</f>
        <v/>
      </c>
      <c r="O3439" s="14">
        <f>_xlfn.NORM.INV($AC3439,$C$7,$D$7)</f>
        <v/>
      </c>
      <c r="P3439" s="14">
        <f>$C$8+($D$8-$C$8)*$AD3439</f>
        <v/>
      </c>
      <c r="Q3439" s="14">
        <f>$C$9</f>
        <v/>
      </c>
      <c r="R3439" s="14">
        <f>_xlfn.LOGNORM.INV($AF3439,LN($C$10)-0.5*LN(1+($D$10/$C$10)^2),SQRT(LN(1+($D$10/$C$10)^2)))</f>
        <v/>
      </c>
      <c r="S3439" s="14">
        <f>SUM(M3439:R3439)</f>
        <v/>
      </c>
      <c r="AA3439">
        <f>RAND()</f>
        <v/>
      </c>
      <c r="AB3439">
        <f>RAND()</f>
        <v/>
      </c>
      <c r="AC3439">
        <f>RAND()</f>
        <v/>
      </c>
      <c r="AD3439">
        <f>RAND()</f>
        <v/>
      </c>
      <c r="AE3439">
        <f>RAND()</f>
        <v/>
      </c>
      <c r="AF3439">
        <f>RAND()</f>
        <v/>
      </c>
    </row>
    <row r="3440">
      <c r="M3440" s="14">
        <f>_xlfn.BETA.INV($AA3440,1+4*($D$5-$C$5)/($E$5-$C$5),1+4*($E$5-$D$5)/($E$5-$C$5),$C$5,$E$5)</f>
        <v/>
      </c>
      <c r="N3440" s="14">
        <f>IF($AB3440&lt;($D$6-$C$6)/($E$6-$C$6),$C$6+SQRT($AB3440*($E$6-$C$6)*($D$6-$C$6)),$E$6-SQRT((1-$AB3440)*($E$6-$C$6)*($E$6-$D$6)))</f>
        <v/>
      </c>
      <c r="O3440" s="14">
        <f>_xlfn.NORM.INV($AC3440,$C$7,$D$7)</f>
        <v/>
      </c>
      <c r="P3440" s="14">
        <f>$C$8+($D$8-$C$8)*$AD3440</f>
        <v/>
      </c>
      <c r="Q3440" s="14">
        <f>$C$9</f>
        <v/>
      </c>
      <c r="R3440" s="14">
        <f>_xlfn.LOGNORM.INV($AF3440,LN($C$10)-0.5*LN(1+($D$10/$C$10)^2),SQRT(LN(1+($D$10/$C$10)^2)))</f>
        <v/>
      </c>
      <c r="S3440" s="14">
        <f>SUM(M3440:R3440)</f>
        <v/>
      </c>
      <c r="AA3440">
        <f>RAND()</f>
        <v/>
      </c>
      <c r="AB3440">
        <f>RAND()</f>
        <v/>
      </c>
      <c r="AC3440">
        <f>RAND()</f>
        <v/>
      </c>
      <c r="AD3440">
        <f>RAND()</f>
        <v/>
      </c>
      <c r="AE3440">
        <f>RAND()</f>
        <v/>
      </c>
      <c r="AF3440">
        <f>RAND()</f>
        <v/>
      </c>
    </row>
    <row r="3441">
      <c r="M3441" s="14">
        <f>_xlfn.BETA.INV($AA3441,1+4*($D$5-$C$5)/($E$5-$C$5),1+4*($E$5-$D$5)/($E$5-$C$5),$C$5,$E$5)</f>
        <v/>
      </c>
      <c r="N3441" s="14">
        <f>IF($AB3441&lt;($D$6-$C$6)/($E$6-$C$6),$C$6+SQRT($AB3441*($E$6-$C$6)*($D$6-$C$6)),$E$6-SQRT((1-$AB3441)*($E$6-$C$6)*($E$6-$D$6)))</f>
        <v/>
      </c>
      <c r="O3441" s="14">
        <f>_xlfn.NORM.INV($AC3441,$C$7,$D$7)</f>
        <v/>
      </c>
      <c r="P3441" s="14">
        <f>$C$8+($D$8-$C$8)*$AD3441</f>
        <v/>
      </c>
      <c r="Q3441" s="14">
        <f>$C$9</f>
        <v/>
      </c>
      <c r="R3441" s="14">
        <f>_xlfn.LOGNORM.INV($AF3441,LN($C$10)-0.5*LN(1+($D$10/$C$10)^2),SQRT(LN(1+($D$10/$C$10)^2)))</f>
        <v/>
      </c>
      <c r="S3441" s="14">
        <f>SUM(M3441:R3441)</f>
        <v/>
      </c>
      <c r="AA3441">
        <f>RAND()</f>
        <v/>
      </c>
      <c r="AB3441">
        <f>RAND()</f>
        <v/>
      </c>
      <c r="AC3441">
        <f>RAND()</f>
        <v/>
      </c>
      <c r="AD3441">
        <f>RAND()</f>
        <v/>
      </c>
      <c r="AE3441">
        <f>RAND()</f>
        <v/>
      </c>
      <c r="AF3441">
        <f>RAND()</f>
        <v/>
      </c>
    </row>
    <row r="3442">
      <c r="M3442" s="14">
        <f>_xlfn.BETA.INV($AA3442,1+4*($D$5-$C$5)/($E$5-$C$5),1+4*($E$5-$D$5)/($E$5-$C$5),$C$5,$E$5)</f>
        <v/>
      </c>
      <c r="N3442" s="14">
        <f>IF($AB3442&lt;($D$6-$C$6)/($E$6-$C$6),$C$6+SQRT($AB3442*($E$6-$C$6)*($D$6-$C$6)),$E$6-SQRT((1-$AB3442)*($E$6-$C$6)*($E$6-$D$6)))</f>
        <v/>
      </c>
      <c r="O3442" s="14">
        <f>_xlfn.NORM.INV($AC3442,$C$7,$D$7)</f>
        <v/>
      </c>
      <c r="P3442" s="14">
        <f>$C$8+($D$8-$C$8)*$AD3442</f>
        <v/>
      </c>
      <c r="Q3442" s="14">
        <f>$C$9</f>
        <v/>
      </c>
      <c r="R3442" s="14">
        <f>_xlfn.LOGNORM.INV($AF3442,LN($C$10)-0.5*LN(1+($D$10/$C$10)^2),SQRT(LN(1+($D$10/$C$10)^2)))</f>
        <v/>
      </c>
      <c r="S3442" s="14">
        <f>SUM(M3442:R3442)</f>
        <v/>
      </c>
      <c r="AA3442">
        <f>RAND()</f>
        <v/>
      </c>
      <c r="AB3442">
        <f>RAND()</f>
        <v/>
      </c>
      <c r="AC3442">
        <f>RAND()</f>
        <v/>
      </c>
      <c r="AD3442">
        <f>RAND()</f>
        <v/>
      </c>
      <c r="AE3442">
        <f>RAND()</f>
        <v/>
      </c>
      <c r="AF3442">
        <f>RAND()</f>
        <v/>
      </c>
    </row>
    <row r="3443">
      <c r="M3443" s="14">
        <f>_xlfn.BETA.INV($AA3443,1+4*($D$5-$C$5)/($E$5-$C$5),1+4*($E$5-$D$5)/($E$5-$C$5),$C$5,$E$5)</f>
        <v/>
      </c>
      <c r="N3443" s="14">
        <f>IF($AB3443&lt;($D$6-$C$6)/($E$6-$C$6),$C$6+SQRT($AB3443*($E$6-$C$6)*($D$6-$C$6)),$E$6-SQRT((1-$AB3443)*($E$6-$C$6)*($E$6-$D$6)))</f>
        <v/>
      </c>
      <c r="O3443" s="14">
        <f>_xlfn.NORM.INV($AC3443,$C$7,$D$7)</f>
        <v/>
      </c>
      <c r="P3443" s="14">
        <f>$C$8+($D$8-$C$8)*$AD3443</f>
        <v/>
      </c>
      <c r="Q3443" s="14">
        <f>$C$9</f>
        <v/>
      </c>
      <c r="R3443" s="14">
        <f>_xlfn.LOGNORM.INV($AF3443,LN($C$10)-0.5*LN(1+($D$10/$C$10)^2),SQRT(LN(1+($D$10/$C$10)^2)))</f>
        <v/>
      </c>
      <c r="S3443" s="14">
        <f>SUM(M3443:R3443)</f>
        <v/>
      </c>
      <c r="AA3443">
        <f>RAND()</f>
        <v/>
      </c>
      <c r="AB3443">
        <f>RAND()</f>
        <v/>
      </c>
      <c r="AC3443">
        <f>RAND()</f>
        <v/>
      </c>
      <c r="AD3443">
        <f>RAND()</f>
        <v/>
      </c>
      <c r="AE3443">
        <f>RAND()</f>
        <v/>
      </c>
      <c r="AF3443">
        <f>RAND()</f>
        <v/>
      </c>
    </row>
    <row r="3444">
      <c r="M3444" s="14">
        <f>_xlfn.BETA.INV($AA3444,1+4*($D$5-$C$5)/($E$5-$C$5),1+4*($E$5-$D$5)/($E$5-$C$5),$C$5,$E$5)</f>
        <v/>
      </c>
      <c r="N3444" s="14">
        <f>IF($AB3444&lt;($D$6-$C$6)/($E$6-$C$6),$C$6+SQRT($AB3444*($E$6-$C$6)*($D$6-$C$6)),$E$6-SQRT((1-$AB3444)*($E$6-$C$6)*($E$6-$D$6)))</f>
        <v/>
      </c>
      <c r="O3444" s="14">
        <f>_xlfn.NORM.INV($AC3444,$C$7,$D$7)</f>
        <v/>
      </c>
      <c r="P3444" s="14">
        <f>$C$8+($D$8-$C$8)*$AD3444</f>
        <v/>
      </c>
      <c r="Q3444" s="14">
        <f>$C$9</f>
        <v/>
      </c>
      <c r="R3444" s="14">
        <f>_xlfn.LOGNORM.INV($AF3444,LN($C$10)-0.5*LN(1+($D$10/$C$10)^2),SQRT(LN(1+($D$10/$C$10)^2)))</f>
        <v/>
      </c>
      <c r="S3444" s="14">
        <f>SUM(M3444:R3444)</f>
        <v/>
      </c>
      <c r="AA3444">
        <f>RAND()</f>
        <v/>
      </c>
      <c r="AB3444">
        <f>RAND()</f>
        <v/>
      </c>
      <c r="AC3444">
        <f>RAND()</f>
        <v/>
      </c>
      <c r="AD3444">
        <f>RAND()</f>
        <v/>
      </c>
      <c r="AE3444">
        <f>RAND()</f>
        <v/>
      </c>
      <c r="AF3444">
        <f>RAND()</f>
        <v/>
      </c>
    </row>
    <row r="3445">
      <c r="M3445" s="14">
        <f>_xlfn.BETA.INV($AA3445,1+4*($D$5-$C$5)/($E$5-$C$5),1+4*($E$5-$D$5)/($E$5-$C$5),$C$5,$E$5)</f>
        <v/>
      </c>
      <c r="N3445" s="14">
        <f>IF($AB3445&lt;($D$6-$C$6)/($E$6-$C$6),$C$6+SQRT($AB3445*($E$6-$C$6)*($D$6-$C$6)),$E$6-SQRT((1-$AB3445)*($E$6-$C$6)*($E$6-$D$6)))</f>
        <v/>
      </c>
      <c r="O3445" s="14">
        <f>_xlfn.NORM.INV($AC3445,$C$7,$D$7)</f>
        <v/>
      </c>
      <c r="P3445" s="14">
        <f>$C$8+($D$8-$C$8)*$AD3445</f>
        <v/>
      </c>
      <c r="Q3445" s="14">
        <f>$C$9</f>
        <v/>
      </c>
      <c r="R3445" s="14">
        <f>_xlfn.LOGNORM.INV($AF3445,LN($C$10)-0.5*LN(1+($D$10/$C$10)^2),SQRT(LN(1+($D$10/$C$10)^2)))</f>
        <v/>
      </c>
      <c r="S3445" s="14">
        <f>SUM(M3445:R3445)</f>
        <v/>
      </c>
      <c r="AA3445">
        <f>RAND()</f>
        <v/>
      </c>
      <c r="AB3445">
        <f>RAND()</f>
        <v/>
      </c>
      <c r="AC3445">
        <f>RAND()</f>
        <v/>
      </c>
      <c r="AD3445">
        <f>RAND()</f>
        <v/>
      </c>
      <c r="AE3445">
        <f>RAND()</f>
        <v/>
      </c>
      <c r="AF3445">
        <f>RAND()</f>
        <v/>
      </c>
    </row>
    <row r="3446">
      <c r="M3446" s="14">
        <f>_xlfn.BETA.INV($AA3446,1+4*($D$5-$C$5)/($E$5-$C$5),1+4*($E$5-$D$5)/($E$5-$C$5),$C$5,$E$5)</f>
        <v/>
      </c>
      <c r="N3446" s="14">
        <f>IF($AB3446&lt;($D$6-$C$6)/($E$6-$C$6),$C$6+SQRT($AB3446*($E$6-$C$6)*($D$6-$C$6)),$E$6-SQRT((1-$AB3446)*($E$6-$C$6)*($E$6-$D$6)))</f>
        <v/>
      </c>
      <c r="O3446" s="14">
        <f>_xlfn.NORM.INV($AC3446,$C$7,$D$7)</f>
        <v/>
      </c>
      <c r="P3446" s="14">
        <f>$C$8+($D$8-$C$8)*$AD3446</f>
        <v/>
      </c>
      <c r="Q3446" s="14">
        <f>$C$9</f>
        <v/>
      </c>
      <c r="R3446" s="14">
        <f>_xlfn.LOGNORM.INV($AF3446,LN($C$10)-0.5*LN(1+($D$10/$C$10)^2),SQRT(LN(1+($D$10/$C$10)^2)))</f>
        <v/>
      </c>
      <c r="S3446" s="14">
        <f>SUM(M3446:R3446)</f>
        <v/>
      </c>
      <c r="AA3446">
        <f>RAND()</f>
        <v/>
      </c>
      <c r="AB3446">
        <f>RAND()</f>
        <v/>
      </c>
      <c r="AC3446">
        <f>RAND()</f>
        <v/>
      </c>
      <c r="AD3446">
        <f>RAND()</f>
        <v/>
      </c>
      <c r="AE3446">
        <f>RAND()</f>
        <v/>
      </c>
      <c r="AF3446">
        <f>RAND()</f>
        <v/>
      </c>
    </row>
    <row r="3447">
      <c r="M3447" s="14">
        <f>_xlfn.BETA.INV($AA3447,1+4*($D$5-$C$5)/($E$5-$C$5),1+4*($E$5-$D$5)/($E$5-$C$5),$C$5,$E$5)</f>
        <v/>
      </c>
      <c r="N3447" s="14">
        <f>IF($AB3447&lt;($D$6-$C$6)/($E$6-$C$6),$C$6+SQRT($AB3447*($E$6-$C$6)*($D$6-$C$6)),$E$6-SQRT((1-$AB3447)*($E$6-$C$6)*($E$6-$D$6)))</f>
        <v/>
      </c>
      <c r="O3447" s="14">
        <f>_xlfn.NORM.INV($AC3447,$C$7,$D$7)</f>
        <v/>
      </c>
      <c r="P3447" s="14">
        <f>$C$8+($D$8-$C$8)*$AD3447</f>
        <v/>
      </c>
      <c r="Q3447" s="14">
        <f>$C$9</f>
        <v/>
      </c>
      <c r="R3447" s="14">
        <f>_xlfn.LOGNORM.INV($AF3447,LN($C$10)-0.5*LN(1+($D$10/$C$10)^2),SQRT(LN(1+($D$10/$C$10)^2)))</f>
        <v/>
      </c>
      <c r="S3447" s="14">
        <f>SUM(M3447:R3447)</f>
        <v/>
      </c>
      <c r="AA3447">
        <f>RAND()</f>
        <v/>
      </c>
      <c r="AB3447">
        <f>RAND()</f>
        <v/>
      </c>
      <c r="AC3447">
        <f>RAND()</f>
        <v/>
      </c>
      <c r="AD3447">
        <f>RAND()</f>
        <v/>
      </c>
      <c r="AE3447">
        <f>RAND()</f>
        <v/>
      </c>
      <c r="AF3447">
        <f>RAND()</f>
        <v/>
      </c>
    </row>
    <row r="3448">
      <c r="M3448" s="14">
        <f>_xlfn.BETA.INV($AA3448,1+4*($D$5-$C$5)/($E$5-$C$5),1+4*($E$5-$D$5)/($E$5-$C$5),$C$5,$E$5)</f>
        <v/>
      </c>
      <c r="N3448" s="14">
        <f>IF($AB3448&lt;($D$6-$C$6)/($E$6-$C$6),$C$6+SQRT($AB3448*($E$6-$C$6)*($D$6-$C$6)),$E$6-SQRT((1-$AB3448)*($E$6-$C$6)*($E$6-$D$6)))</f>
        <v/>
      </c>
      <c r="O3448" s="14">
        <f>_xlfn.NORM.INV($AC3448,$C$7,$D$7)</f>
        <v/>
      </c>
      <c r="P3448" s="14">
        <f>$C$8+($D$8-$C$8)*$AD3448</f>
        <v/>
      </c>
      <c r="Q3448" s="14">
        <f>$C$9</f>
        <v/>
      </c>
      <c r="R3448" s="14">
        <f>_xlfn.LOGNORM.INV($AF3448,LN($C$10)-0.5*LN(1+($D$10/$C$10)^2),SQRT(LN(1+($D$10/$C$10)^2)))</f>
        <v/>
      </c>
      <c r="S3448" s="14">
        <f>SUM(M3448:R3448)</f>
        <v/>
      </c>
      <c r="AA3448">
        <f>RAND()</f>
        <v/>
      </c>
      <c r="AB3448">
        <f>RAND()</f>
        <v/>
      </c>
      <c r="AC3448">
        <f>RAND()</f>
        <v/>
      </c>
      <c r="AD3448">
        <f>RAND()</f>
        <v/>
      </c>
      <c r="AE3448">
        <f>RAND()</f>
        <v/>
      </c>
      <c r="AF3448">
        <f>RAND()</f>
        <v/>
      </c>
    </row>
    <row r="3449">
      <c r="M3449" s="14">
        <f>_xlfn.BETA.INV($AA3449,1+4*($D$5-$C$5)/($E$5-$C$5),1+4*($E$5-$D$5)/($E$5-$C$5),$C$5,$E$5)</f>
        <v/>
      </c>
      <c r="N3449" s="14">
        <f>IF($AB3449&lt;($D$6-$C$6)/($E$6-$C$6),$C$6+SQRT($AB3449*($E$6-$C$6)*($D$6-$C$6)),$E$6-SQRT((1-$AB3449)*($E$6-$C$6)*($E$6-$D$6)))</f>
        <v/>
      </c>
      <c r="O3449" s="14">
        <f>_xlfn.NORM.INV($AC3449,$C$7,$D$7)</f>
        <v/>
      </c>
      <c r="P3449" s="14">
        <f>$C$8+($D$8-$C$8)*$AD3449</f>
        <v/>
      </c>
      <c r="Q3449" s="14">
        <f>$C$9</f>
        <v/>
      </c>
      <c r="R3449" s="14">
        <f>_xlfn.LOGNORM.INV($AF3449,LN($C$10)-0.5*LN(1+($D$10/$C$10)^2),SQRT(LN(1+($D$10/$C$10)^2)))</f>
        <v/>
      </c>
      <c r="S3449" s="14">
        <f>SUM(M3449:R3449)</f>
        <v/>
      </c>
      <c r="AA3449">
        <f>RAND()</f>
        <v/>
      </c>
      <c r="AB3449">
        <f>RAND()</f>
        <v/>
      </c>
      <c r="AC3449">
        <f>RAND()</f>
        <v/>
      </c>
      <c r="AD3449">
        <f>RAND()</f>
        <v/>
      </c>
      <c r="AE3449">
        <f>RAND()</f>
        <v/>
      </c>
      <c r="AF3449">
        <f>RAND()</f>
        <v/>
      </c>
    </row>
    <row r="3450">
      <c r="M3450" s="14">
        <f>_xlfn.BETA.INV($AA3450,1+4*($D$5-$C$5)/($E$5-$C$5),1+4*($E$5-$D$5)/($E$5-$C$5),$C$5,$E$5)</f>
        <v/>
      </c>
      <c r="N3450" s="14">
        <f>IF($AB3450&lt;($D$6-$C$6)/($E$6-$C$6),$C$6+SQRT($AB3450*($E$6-$C$6)*($D$6-$C$6)),$E$6-SQRT((1-$AB3450)*($E$6-$C$6)*($E$6-$D$6)))</f>
        <v/>
      </c>
      <c r="O3450" s="14">
        <f>_xlfn.NORM.INV($AC3450,$C$7,$D$7)</f>
        <v/>
      </c>
      <c r="P3450" s="14">
        <f>$C$8+($D$8-$C$8)*$AD3450</f>
        <v/>
      </c>
      <c r="Q3450" s="14">
        <f>$C$9</f>
        <v/>
      </c>
      <c r="R3450" s="14">
        <f>_xlfn.LOGNORM.INV($AF3450,LN($C$10)-0.5*LN(1+($D$10/$C$10)^2),SQRT(LN(1+($D$10/$C$10)^2)))</f>
        <v/>
      </c>
      <c r="S3450" s="14">
        <f>SUM(M3450:R3450)</f>
        <v/>
      </c>
      <c r="AA3450">
        <f>RAND()</f>
        <v/>
      </c>
      <c r="AB3450">
        <f>RAND()</f>
        <v/>
      </c>
      <c r="AC3450">
        <f>RAND()</f>
        <v/>
      </c>
      <c r="AD3450">
        <f>RAND()</f>
        <v/>
      </c>
      <c r="AE3450">
        <f>RAND()</f>
        <v/>
      </c>
      <c r="AF3450">
        <f>RAND()</f>
        <v/>
      </c>
    </row>
    <row r="3451">
      <c r="M3451" s="14">
        <f>_xlfn.BETA.INV($AA3451,1+4*($D$5-$C$5)/($E$5-$C$5),1+4*($E$5-$D$5)/($E$5-$C$5),$C$5,$E$5)</f>
        <v/>
      </c>
      <c r="N3451" s="14">
        <f>IF($AB3451&lt;($D$6-$C$6)/($E$6-$C$6),$C$6+SQRT($AB3451*($E$6-$C$6)*($D$6-$C$6)),$E$6-SQRT((1-$AB3451)*($E$6-$C$6)*($E$6-$D$6)))</f>
        <v/>
      </c>
      <c r="O3451" s="14">
        <f>_xlfn.NORM.INV($AC3451,$C$7,$D$7)</f>
        <v/>
      </c>
      <c r="P3451" s="14">
        <f>$C$8+($D$8-$C$8)*$AD3451</f>
        <v/>
      </c>
      <c r="Q3451" s="14">
        <f>$C$9</f>
        <v/>
      </c>
      <c r="R3451" s="14">
        <f>_xlfn.LOGNORM.INV($AF3451,LN($C$10)-0.5*LN(1+($D$10/$C$10)^2),SQRT(LN(1+($D$10/$C$10)^2)))</f>
        <v/>
      </c>
      <c r="S3451" s="14">
        <f>SUM(M3451:R3451)</f>
        <v/>
      </c>
      <c r="AA3451">
        <f>RAND()</f>
        <v/>
      </c>
      <c r="AB3451">
        <f>RAND()</f>
        <v/>
      </c>
      <c r="AC3451">
        <f>RAND()</f>
        <v/>
      </c>
      <c r="AD3451">
        <f>RAND()</f>
        <v/>
      </c>
      <c r="AE3451">
        <f>RAND()</f>
        <v/>
      </c>
      <c r="AF3451">
        <f>RAND()</f>
        <v/>
      </c>
    </row>
    <row r="3452">
      <c r="M3452" s="14">
        <f>_xlfn.BETA.INV($AA3452,1+4*($D$5-$C$5)/($E$5-$C$5),1+4*($E$5-$D$5)/($E$5-$C$5),$C$5,$E$5)</f>
        <v/>
      </c>
      <c r="N3452" s="14">
        <f>IF($AB3452&lt;($D$6-$C$6)/($E$6-$C$6),$C$6+SQRT($AB3452*($E$6-$C$6)*($D$6-$C$6)),$E$6-SQRT((1-$AB3452)*($E$6-$C$6)*($E$6-$D$6)))</f>
        <v/>
      </c>
      <c r="O3452" s="14">
        <f>_xlfn.NORM.INV($AC3452,$C$7,$D$7)</f>
        <v/>
      </c>
      <c r="P3452" s="14">
        <f>$C$8+($D$8-$C$8)*$AD3452</f>
        <v/>
      </c>
      <c r="Q3452" s="14">
        <f>$C$9</f>
        <v/>
      </c>
      <c r="R3452" s="14">
        <f>_xlfn.LOGNORM.INV($AF3452,LN($C$10)-0.5*LN(1+($D$10/$C$10)^2),SQRT(LN(1+($D$10/$C$10)^2)))</f>
        <v/>
      </c>
      <c r="S3452" s="14">
        <f>SUM(M3452:R3452)</f>
        <v/>
      </c>
      <c r="AA3452">
        <f>RAND()</f>
        <v/>
      </c>
      <c r="AB3452">
        <f>RAND()</f>
        <v/>
      </c>
      <c r="AC3452">
        <f>RAND()</f>
        <v/>
      </c>
      <c r="AD3452">
        <f>RAND()</f>
        <v/>
      </c>
      <c r="AE3452">
        <f>RAND()</f>
        <v/>
      </c>
      <c r="AF3452">
        <f>RAND()</f>
        <v/>
      </c>
    </row>
    <row r="3453">
      <c r="M3453" s="14">
        <f>_xlfn.BETA.INV($AA3453,1+4*($D$5-$C$5)/($E$5-$C$5),1+4*($E$5-$D$5)/($E$5-$C$5),$C$5,$E$5)</f>
        <v/>
      </c>
      <c r="N3453" s="14">
        <f>IF($AB3453&lt;($D$6-$C$6)/($E$6-$C$6),$C$6+SQRT($AB3453*($E$6-$C$6)*($D$6-$C$6)),$E$6-SQRT((1-$AB3453)*($E$6-$C$6)*($E$6-$D$6)))</f>
        <v/>
      </c>
      <c r="O3453" s="14">
        <f>_xlfn.NORM.INV($AC3453,$C$7,$D$7)</f>
        <v/>
      </c>
      <c r="P3453" s="14">
        <f>$C$8+($D$8-$C$8)*$AD3453</f>
        <v/>
      </c>
      <c r="Q3453" s="14">
        <f>$C$9</f>
        <v/>
      </c>
      <c r="R3453" s="14">
        <f>_xlfn.LOGNORM.INV($AF3453,LN($C$10)-0.5*LN(1+($D$10/$C$10)^2),SQRT(LN(1+($D$10/$C$10)^2)))</f>
        <v/>
      </c>
      <c r="S3453" s="14">
        <f>SUM(M3453:R3453)</f>
        <v/>
      </c>
      <c r="AA3453">
        <f>RAND()</f>
        <v/>
      </c>
      <c r="AB3453">
        <f>RAND()</f>
        <v/>
      </c>
      <c r="AC3453">
        <f>RAND()</f>
        <v/>
      </c>
      <c r="AD3453">
        <f>RAND()</f>
        <v/>
      </c>
      <c r="AE3453">
        <f>RAND()</f>
        <v/>
      </c>
      <c r="AF3453">
        <f>RAND()</f>
        <v/>
      </c>
    </row>
    <row r="3454">
      <c r="M3454" s="14">
        <f>_xlfn.BETA.INV($AA3454,1+4*($D$5-$C$5)/($E$5-$C$5),1+4*($E$5-$D$5)/($E$5-$C$5),$C$5,$E$5)</f>
        <v/>
      </c>
      <c r="N3454" s="14">
        <f>IF($AB3454&lt;($D$6-$C$6)/($E$6-$C$6),$C$6+SQRT($AB3454*($E$6-$C$6)*($D$6-$C$6)),$E$6-SQRT((1-$AB3454)*($E$6-$C$6)*($E$6-$D$6)))</f>
        <v/>
      </c>
      <c r="O3454" s="14">
        <f>_xlfn.NORM.INV($AC3454,$C$7,$D$7)</f>
        <v/>
      </c>
      <c r="P3454" s="14">
        <f>$C$8+($D$8-$C$8)*$AD3454</f>
        <v/>
      </c>
      <c r="Q3454" s="14">
        <f>$C$9</f>
        <v/>
      </c>
      <c r="R3454" s="14">
        <f>_xlfn.LOGNORM.INV($AF3454,LN($C$10)-0.5*LN(1+($D$10/$C$10)^2),SQRT(LN(1+($D$10/$C$10)^2)))</f>
        <v/>
      </c>
      <c r="S3454" s="14">
        <f>SUM(M3454:R3454)</f>
        <v/>
      </c>
      <c r="AA3454">
        <f>RAND()</f>
        <v/>
      </c>
      <c r="AB3454">
        <f>RAND()</f>
        <v/>
      </c>
      <c r="AC3454">
        <f>RAND()</f>
        <v/>
      </c>
      <c r="AD3454">
        <f>RAND()</f>
        <v/>
      </c>
      <c r="AE3454">
        <f>RAND()</f>
        <v/>
      </c>
      <c r="AF3454">
        <f>RAND()</f>
        <v/>
      </c>
    </row>
    <row r="3455">
      <c r="M3455" s="14">
        <f>_xlfn.BETA.INV($AA3455,1+4*($D$5-$C$5)/($E$5-$C$5),1+4*($E$5-$D$5)/($E$5-$C$5),$C$5,$E$5)</f>
        <v/>
      </c>
      <c r="N3455" s="14">
        <f>IF($AB3455&lt;($D$6-$C$6)/($E$6-$C$6),$C$6+SQRT($AB3455*($E$6-$C$6)*($D$6-$C$6)),$E$6-SQRT((1-$AB3455)*($E$6-$C$6)*($E$6-$D$6)))</f>
        <v/>
      </c>
      <c r="O3455" s="14">
        <f>_xlfn.NORM.INV($AC3455,$C$7,$D$7)</f>
        <v/>
      </c>
      <c r="P3455" s="14">
        <f>$C$8+($D$8-$C$8)*$AD3455</f>
        <v/>
      </c>
      <c r="Q3455" s="14">
        <f>$C$9</f>
        <v/>
      </c>
      <c r="R3455" s="14">
        <f>_xlfn.LOGNORM.INV($AF3455,LN($C$10)-0.5*LN(1+($D$10/$C$10)^2),SQRT(LN(1+($D$10/$C$10)^2)))</f>
        <v/>
      </c>
      <c r="S3455" s="14">
        <f>SUM(M3455:R3455)</f>
        <v/>
      </c>
      <c r="AA3455">
        <f>RAND()</f>
        <v/>
      </c>
      <c r="AB3455">
        <f>RAND()</f>
        <v/>
      </c>
      <c r="AC3455">
        <f>RAND()</f>
        <v/>
      </c>
      <c r="AD3455">
        <f>RAND()</f>
        <v/>
      </c>
      <c r="AE3455">
        <f>RAND()</f>
        <v/>
      </c>
      <c r="AF3455">
        <f>RAND()</f>
        <v/>
      </c>
    </row>
    <row r="3456">
      <c r="M3456" s="14">
        <f>_xlfn.BETA.INV($AA3456,1+4*($D$5-$C$5)/($E$5-$C$5),1+4*($E$5-$D$5)/($E$5-$C$5),$C$5,$E$5)</f>
        <v/>
      </c>
      <c r="N3456" s="14">
        <f>IF($AB3456&lt;($D$6-$C$6)/($E$6-$C$6),$C$6+SQRT($AB3456*($E$6-$C$6)*($D$6-$C$6)),$E$6-SQRT((1-$AB3456)*($E$6-$C$6)*($E$6-$D$6)))</f>
        <v/>
      </c>
      <c r="O3456" s="14">
        <f>_xlfn.NORM.INV($AC3456,$C$7,$D$7)</f>
        <v/>
      </c>
      <c r="P3456" s="14">
        <f>$C$8+($D$8-$C$8)*$AD3456</f>
        <v/>
      </c>
      <c r="Q3456" s="14">
        <f>$C$9</f>
        <v/>
      </c>
      <c r="R3456" s="14">
        <f>_xlfn.LOGNORM.INV($AF3456,LN($C$10)-0.5*LN(1+($D$10/$C$10)^2),SQRT(LN(1+($D$10/$C$10)^2)))</f>
        <v/>
      </c>
      <c r="S3456" s="14">
        <f>SUM(M3456:R3456)</f>
        <v/>
      </c>
      <c r="AA3456">
        <f>RAND()</f>
        <v/>
      </c>
      <c r="AB3456">
        <f>RAND()</f>
        <v/>
      </c>
      <c r="AC3456">
        <f>RAND()</f>
        <v/>
      </c>
      <c r="AD3456">
        <f>RAND()</f>
        <v/>
      </c>
      <c r="AE3456">
        <f>RAND()</f>
        <v/>
      </c>
      <c r="AF3456">
        <f>RAND()</f>
        <v/>
      </c>
    </row>
    <row r="3457">
      <c r="M3457" s="14">
        <f>_xlfn.BETA.INV($AA3457,1+4*($D$5-$C$5)/($E$5-$C$5),1+4*($E$5-$D$5)/($E$5-$C$5),$C$5,$E$5)</f>
        <v/>
      </c>
      <c r="N3457" s="14">
        <f>IF($AB3457&lt;($D$6-$C$6)/($E$6-$C$6),$C$6+SQRT($AB3457*($E$6-$C$6)*($D$6-$C$6)),$E$6-SQRT((1-$AB3457)*($E$6-$C$6)*($E$6-$D$6)))</f>
        <v/>
      </c>
      <c r="O3457" s="14">
        <f>_xlfn.NORM.INV($AC3457,$C$7,$D$7)</f>
        <v/>
      </c>
      <c r="P3457" s="14">
        <f>$C$8+($D$8-$C$8)*$AD3457</f>
        <v/>
      </c>
      <c r="Q3457" s="14">
        <f>$C$9</f>
        <v/>
      </c>
      <c r="R3457" s="14">
        <f>_xlfn.LOGNORM.INV($AF3457,LN($C$10)-0.5*LN(1+($D$10/$C$10)^2),SQRT(LN(1+($D$10/$C$10)^2)))</f>
        <v/>
      </c>
      <c r="S3457" s="14">
        <f>SUM(M3457:R3457)</f>
        <v/>
      </c>
      <c r="AA3457">
        <f>RAND()</f>
        <v/>
      </c>
      <c r="AB3457">
        <f>RAND()</f>
        <v/>
      </c>
      <c r="AC3457">
        <f>RAND()</f>
        <v/>
      </c>
      <c r="AD3457">
        <f>RAND()</f>
        <v/>
      </c>
      <c r="AE3457">
        <f>RAND()</f>
        <v/>
      </c>
      <c r="AF3457">
        <f>RAND()</f>
        <v/>
      </c>
    </row>
    <row r="3458">
      <c r="M3458" s="14">
        <f>_xlfn.BETA.INV($AA3458,1+4*($D$5-$C$5)/($E$5-$C$5),1+4*($E$5-$D$5)/($E$5-$C$5),$C$5,$E$5)</f>
        <v/>
      </c>
      <c r="N3458" s="14">
        <f>IF($AB3458&lt;($D$6-$C$6)/($E$6-$C$6),$C$6+SQRT($AB3458*($E$6-$C$6)*($D$6-$C$6)),$E$6-SQRT((1-$AB3458)*($E$6-$C$6)*($E$6-$D$6)))</f>
        <v/>
      </c>
      <c r="O3458" s="14">
        <f>_xlfn.NORM.INV($AC3458,$C$7,$D$7)</f>
        <v/>
      </c>
      <c r="P3458" s="14">
        <f>$C$8+($D$8-$C$8)*$AD3458</f>
        <v/>
      </c>
      <c r="Q3458" s="14">
        <f>$C$9</f>
        <v/>
      </c>
      <c r="R3458" s="14">
        <f>_xlfn.LOGNORM.INV($AF3458,LN($C$10)-0.5*LN(1+($D$10/$C$10)^2),SQRT(LN(1+($D$10/$C$10)^2)))</f>
        <v/>
      </c>
      <c r="S3458" s="14">
        <f>SUM(M3458:R3458)</f>
        <v/>
      </c>
      <c r="AA3458">
        <f>RAND()</f>
        <v/>
      </c>
      <c r="AB3458">
        <f>RAND()</f>
        <v/>
      </c>
      <c r="AC3458">
        <f>RAND()</f>
        <v/>
      </c>
      <c r="AD3458">
        <f>RAND()</f>
        <v/>
      </c>
      <c r="AE3458">
        <f>RAND()</f>
        <v/>
      </c>
      <c r="AF3458">
        <f>RAND()</f>
        <v/>
      </c>
    </row>
    <row r="3459">
      <c r="M3459" s="14">
        <f>_xlfn.BETA.INV($AA3459,1+4*($D$5-$C$5)/($E$5-$C$5),1+4*($E$5-$D$5)/($E$5-$C$5),$C$5,$E$5)</f>
        <v/>
      </c>
      <c r="N3459" s="14">
        <f>IF($AB3459&lt;($D$6-$C$6)/($E$6-$C$6),$C$6+SQRT($AB3459*($E$6-$C$6)*($D$6-$C$6)),$E$6-SQRT((1-$AB3459)*($E$6-$C$6)*($E$6-$D$6)))</f>
        <v/>
      </c>
      <c r="O3459" s="14">
        <f>_xlfn.NORM.INV($AC3459,$C$7,$D$7)</f>
        <v/>
      </c>
      <c r="P3459" s="14">
        <f>$C$8+($D$8-$C$8)*$AD3459</f>
        <v/>
      </c>
      <c r="Q3459" s="14">
        <f>$C$9</f>
        <v/>
      </c>
      <c r="R3459" s="14">
        <f>_xlfn.LOGNORM.INV($AF3459,LN($C$10)-0.5*LN(1+($D$10/$C$10)^2),SQRT(LN(1+($D$10/$C$10)^2)))</f>
        <v/>
      </c>
      <c r="S3459" s="14">
        <f>SUM(M3459:R3459)</f>
        <v/>
      </c>
      <c r="AA3459">
        <f>RAND()</f>
        <v/>
      </c>
      <c r="AB3459">
        <f>RAND()</f>
        <v/>
      </c>
      <c r="AC3459">
        <f>RAND()</f>
        <v/>
      </c>
      <c r="AD3459">
        <f>RAND()</f>
        <v/>
      </c>
      <c r="AE3459">
        <f>RAND()</f>
        <v/>
      </c>
      <c r="AF3459">
        <f>RAND()</f>
        <v/>
      </c>
    </row>
    <row r="3460">
      <c r="M3460" s="14">
        <f>_xlfn.BETA.INV($AA3460,1+4*($D$5-$C$5)/($E$5-$C$5),1+4*($E$5-$D$5)/($E$5-$C$5),$C$5,$E$5)</f>
        <v/>
      </c>
      <c r="N3460" s="14">
        <f>IF($AB3460&lt;($D$6-$C$6)/($E$6-$C$6),$C$6+SQRT($AB3460*($E$6-$C$6)*($D$6-$C$6)),$E$6-SQRT((1-$AB3460)*($E$6-$C$6)*($E$6-$D$6)))</f>
        <v/>
      </c>
      <c r="O3460" s="14">
        <f>_xlfn.NORM.INV($AC3460,$C$7,$D$7)</f>
        <v/>
      </c>
      <c r="P3460" s="14">
        <f>$C$8+($D$8-$C$8)*$AD3460</f>
        <v/>
      </c>
      <c r="Q3460" s="14">
        <f>$C$9</f>
        <v/>
      </c>
      <c r="R3460" s="14">
        <f>_xlfn.LOGNORM.INV($AF3460,LN($C$10)-0.5*LN(1+($D$10/$C$10)^2),SQRT(LN(1+($D$10/$C$10)^2)))</f>
        <v/>
      </c>
      <c r="S3460" s="14">
        <f>SUM(M3460:R3460)</f>
        <v/>
      </c>
      <c r="AA3460">
        <f>RAND()</f>
        <v/>
      </c>
      <c r="AB3460">
        <f>RAND()</f>
        <v/>
      </c>
      <c r="AC3460">
        <f>RAND()</f>
        <v/>
      </c>
      <c r="AD3460">
        <f>RAND()</f>
        <v/>
      </c>
      <c r="AE3460">
        <f>RAND()</f>
        <v/>
      </c>
      <c r="AF3460">
        <f>RAND()</f>
        <v/>
      </c>
    </row>
    <row r="3461">
      <c r="M3461" s="14">
        <f>_xlfn.BETA.INV($AA3461,1+4*($D$5-$C$5)/($E$5-$C$5),1+4*($E$5-$D$5)/($E$5-$C$5),$C$5,$E$5)</f>
        <v/>
      </c>
      <c r="N3461" s="14">
        <f>IF($AB3461&lt;($D$6-$C$6)/($E$6-$C$6),$C$6+SQRT($AB3461*($E$6-$C$6)*($D$6-$C$6)),$E$6-SQRT((1-$AB3461)*($E$6-$C$6)*($E$6-$D$6)))</f>
        <v/>
      </c>
      <c r="O3461" s="14">
        <f>_xlfn.NORM.INV($AC3461,$C$7,$D$7)</f>
        <v/>
      </c>
      <c r="P3461" s="14">
        <f>$C$8+($D$8-$C$8)*$AD3461</f>
        <v/>
      </c>
      <c r="Q3461" s="14">
        <f>$C$9</f>
        <v/>
      </c>
      <c r="R3461" s="14">
        <f>_xlfn.LOGNORM.INV($AF3461,LN($C$10)-0.5*LN(1+($D$10/$C$10)^2),SQRT(LN(1+($D$10/$C$10)^2)))</f>
        <v/>
      </c>
      <c r="S3461" s="14">
        <f>SUM(M3461:R3461)</f>
        <v/>
      </c>
      <c r="AA3461">
        <f>RAND()</f>
        <v/>
      </c>
      <c r="AB3461">
        <f>RAND()</f>
        <v/>
      </c>
      <c r="AC3461">
        <f>RAND()</f>
        <v/>
      </c>
      <c r="AD3461">
        <f>RAND()</f>
        <v/>
      </c>
      <c r="AE3461">
        <f>RAND()</f>
        <v/>
      </c>
      <c r="AF3461">
        <f>RAND()</f>
        <v/>
      </c>
    </row>
    <row r="3462">
      <c r="M3462" s="14">
        <f>_xlfn.BETA.INV($AA3462,1+4*($D$5-$C$5)/($E$5-$C$5),1+4*($E$5-$D$5)/($E$5-$C$5),$C$5,$E$5)</f>
        <v/>
      </c>
      <c r="N3462" s="14">
        <f>IF($AB3462&lt;($D$6-$C$6)/($E$6-$C$6),$C$6+SQRT($AB3462*($E$6-$C$6)*($D$6-$C$6)),$E$6-SQRT((1-$AB3462)*($E$6-$C$6)*($E$6-$D$6)))</f>
        <v/>
      </c>
      <c r="O3462" s="14">
        <f>_xlfn.NORM.INV($AC3462,$C$7,$D$7)</f>
        <v/>
      </c>
      <c r="P3462" s="14">
        <f>$C$8+($D$8-$C$8)*$AD3462</f>
        <v/>
      </c>
      <c r="Q3462" s="14">
        <f>$C$9</f>
        <v/>
      </c>
      <c r="R3462" s="14">
        <f>_xlfn.LOGNORM.INV($AF3462,LN($C$10)-0.5*LN(1+($D$10/$C$10)^2),SQRT(LN(1+($D$10/$C$10)^2)))</f>
        <v/>
      </c>
      <c r="S3462" s="14">
        <f>SUM(M3462:R3462)</f>
        <v/>
      </c>
      <c r="AA3462">
        <f>RAND()</f>
        <v/>
      </c>
      <c r="AB3462">
        <f>RAND()</f>
        <v/>
      </c>
      <c r="AC3462">
        <f>RAND()</f>
        <v/>
      </c>
      <c r="AD3462">
        <f>RAND()</f>
        <v/>
      </c>
      <c r="AE3462">
        <f>RAND()</f>
        <v/>
      </c>
      <c r="AF3462">
        <f>RAND()</f>
        <v/>
      </c>
    </row>
    <row r="3463">
      <c r="M3463" s="14">
        <f>_xlfn.BETA.INV($AA3463,1+4*($D$5-$C$5)/($E$5-$C$5),1+4*($E$5-$D$5)/($E$5-$C$5),$C$5,$E$5)</f>
        <v/>
      </c>
      <c r="N3463" s="14">
        <f>IF($AB3463&lt;($D$6-$C$6)/($E$6-$C$6),$C$6+SQRT($AB3463*($E$6-$C$6)*($D$6-$C$6)),$E$6-SQRT((1-$AB3463)*($E$6-$C$6)*($E$6-$D$6)))</f>
        <v/>
      </c>
      <c r="O3463" s="14">
        <f>_xlfn.NORM.INV($AC3463,$C$7,$D$7)</f>
        <v/>
      </c>
      <c r="P3463" s="14">
        <f>$C$8+($D$8-$C$8)*$AD3463</f>
        <v/>
      </c>
      <c r="Q3463" s="14">
        <f>$C$9</f>
        <v/>
      </c>
      <c r="R3463" s="14">
        <f>_xlfn.LOGNORM.INV($AF3463,LN($C$10)-0.5*LN(1+($D$10/$C$10)^2),SQRT(LN(1+($D$10/$C$10)^2)))</f>
        <v/>
      </c>
      <c r="S3463" s="14">
        <f>SUM(M3463:R3463)</f>
        <v/>
      </c>
      <c r="AA3463">
        <f>RAND()</f>
        <v/>
      </c>
      <c r="AB3463">
        <f>RAND()</f>
        <v/>
      </c>
      <c r="AC3463">
        <f>RAND()</f>
        <v/>
      </c>
      <c r="AD3463">
        <f>RAND()</f>
        <v/>
      </c>
      <c r="AE3463">
        <f>RAND()</f>
        <v/>
      </c>
      <c r="AF3463">
        <f>RAND()</f>
        <v/>
      </c>
    </row>
    <row r="3464">
      <c r="M3464" s="14">
        <f>_xlfn.BETA.INV($AA3464,1+4*($D$5-$C$5)/($E$5-$C$5),1+4*($E$5-$D$5)/($E$5-$C$5),$C$5,$E$5)</f>
        <v/>
      </c>
      <c r="N3464" s="14">
        <f>IF($AB3464&lt;($D$6-$C$6)/($E$6-$C$6),$C$6+SQRT($AB3464*($E$6-$C$6)*($D$6-$C$6)),$E$6-SQRT((1-$AB3464)*($E$6-$C$6)*($E$6-$D$6)))</f>
        <v/>
      </c>
      <c r="O3464" s="14">
        <f>_xlfn.NORM.INV($AC3464,$C$7,$D$7)</f>
        <v/>
      </c>
      <c r="P3464" s="14">
        <f>$C$8+($D$8-$C$8)*$AD3464</f>
        <v/>
      </c>
      <c r="Q3464" s="14">
        <f>$C$9</f>
        <v/>
      </c>
      <c r="R3464" s="14">
        <f>_xlfn.LOGNORM.INV($AF3464,LN($C$10)-0.5*LN(1+($D$10/$C$10)^2),SQRT(LN(1+($D$10/$C$10)^2)))</f>
        <v/>
      </c>
      <c r="S3464" s="14">
        <f>SUM(M3464:R3464)</f>
        <v/>
      </c>
      <c r="AA3464">
        <f>RAND()</f>
        <v/>
      </c>
      <c r="AB3464">
        <f>RAND()</f>
        <v/>
      </c>
      <c r="AC3464">
        <f>RAND()</f>
        <v/>
      </c>
      <c r="AD3464">
        <f>RAND()</f>
        <v/>
      </c>
      <c r="AE3464">
        <f>RAND()</f>
        <v/>
      </c>
      <c r="AF3464">
        <f>RAND()</f>
        <v/>
      </c>
    </row>
    <row r="3465">
      <c r="M3465" s="14">
        <f>_xlfn.BETA.INV($AA3465,1+4*($D$5-$C$5)/($E$5-$C$5),1+4*($E$5-$D$5)/($E$5-$C$5),$C$5,$E$5)</f>
        <v/>
      </c>
      <c r="N3465" s="14">
        <f>IF($AB3465&lt;($D$6-$C$6)/($E$6-$C$6),$C$6+SQRT($AB3465*($E$6-$C$6)*($D$6-$C$6)),$E$6-SQRT((1-$AB3465)*($E$6-$C$6)*($E$6-$D$6)))</f>
        <v/>
      </c>
      <c r="O3465" s="14">
        <f>_xlfn.NORM.INV($AC3465,$C$7,$D$7)</f>
        <v/>
      </c>
      <c r="P3465" s="14">
        <f>$C$8+($D$8-$C$8)*$AD3465</f>
        <v/>
      </c>
      <c r="Q3465" s="14">
        <f>$C$9</f>
        <v/>
      </c>
      <c r="R3465" s="14">
        <f>_xlfn.LOGNORM.INV($AF3465,LN($C$10)-0.5*LN(1+($D$10/$C$10)^2),SQRT(LN(1+($D$10/$C$10)^2)))</f>
        <v/>
      </c>
      <c r="S3465" s="14">
        <f>SUM(M3465:R3465)</f>
        <v/>
      </c>
      <c r="AA3465">
        <f>RAND()</f>
        <v/>
      </c>
      <c r="AB3465">
        <f>RAND()</f>
        <v/>
      </c>
      <c r="AC3465">
        <f>RAND()</f>
        <v/>
      </c>
      <c r="AD3465">
        <f>RAND()</f>
        <v/>
      </c>
      <c r="AE3465">
        <f>RAND()</f>
        <v/>
      </c>
      <c r="AF3465">
        <f>RAND()</f>
        <v/>
      </c>
    </row>
    <row r="3466">
      <c r="M3466" s="14">
        <f>_xlfn.BETA.INV($AA3466,1+4*($D$5-$C$5)/($E$5-$C$5),1+4*($E$5-$D$5)/($E$5-$C$5),$C$5,$E$5)</f>
        <v/>
      </c>
      <c r="N3466" s="14">
        <f>IF($AB3466&lt;($D$6-$C$6)/($E$6-$C$6),$C$6+SQRT($AB3466*($E$6-$C$6)*($D$6-$C$6)),$E$6-SQRT((1-$AB3466)*($E$6-$C$6)*($E$6-$D$6)))</f>
        <v/>
      </c>
      <c r="O3466" s="14">
        <f>_xlfn.NORM.INV($AC3466,$C$7,$D$7)</f>
        <v/>
      </c>
      <c r="P3466" s="14">
        <f>$C$8+($D$8-$C$8)*$AD3466</f>
        <v/>
      </c>
      <c r="Q3466" s="14">
        <f>$C$9</f>
        <v/>
      </c>
      <c r="R3466" s="14">
        <f>_xlfn.LOGNORM.INV($AF3466,LN($C$10)-0.5*LN(1+($D$10/$C$10)^2),SQRT(LN(1+($D$10/$C$10)^2)))</f>
        <v/>
      </c>
      <c r="S3466" s="14">
        <f>SUM(M3466:R3466)</f>
        <v/>
      </c>
      <c r="AA3466">
        <f>RAND()</f>
        <v/>
      </c>
      <c r="AB3466">
        <f>RAND()</f>
        <v/>
      </c>
      <c r="AC3466">
        <f>RAND()</f>
        <v/>
      </c>
      <c r="AD3466">
        <f>RAND()</f>
        <v/>
      </c>
      <c r="AE3466">
        <f>RAND()</f>
        <v/>
      </c>
      <c r="AF3466">
        <f>RAND()</f>
        <v/>
      </c>
    </row>
    <row r="3467">
      <c r="M3467" s="14">
        <f>_xlfn.BETA.INV($AA3467,1+4*($D$5-$C$5)/($E$5-$C$5),1+4*($E$5-$D$5)/($E$5-$C$5),$C$5,$E$5)</f>
        <v/>
      </c>
      <c r="N3467" s="14">
        <f>IF($AB3467&lt;($D$6-$C$6)/($E$6-$C$6),$C$6+SQRT($AB3467*($E$6-$C$6)*($D$6-$C$6)),$E$6-SQRT((1-$AB3467)*($E$6-$C$6)*($E$6-$D$6)))</f>
        <v/>
      </c>
      <c r="O3467" s="14">
        <f>_xlfn.NORM.INV($AC3467,$C$7,$D$7)</f>
        <v/>
      </c>
      <c r="P3467" s="14">
        <f>$C$8+($D$8-$C$8)*$AD3467</f>
        <v/>
      </c>
      <c r="Q3467" s="14">
        <f>$C$9</f>
        <v/>
      </c>
      <c r="R3467" s="14">
        <f>_xlfn.LOGNORM.INV($AF3467,LN($C$10)-0.5*LN(1+($D$10/$C$10)^2),SQRT(LN(1+($D$10/$C$10)^2)))</f>
        <v/>
      </c>
      <c r="S3467" s="14">
        <f>SUM(M3467:R3467)</f>
        <v/>
      </c>
      <c r="AA3467">
        <f>RAND()</f>
        <v/>
      </c>
      <c r="AB3467">
        <f>RAND()</f>
        <v/>
      </c>
      <c r="AC3467">
        <f>RAND()</f>
        <v/>
      </c>
      <c r="AD3467">
        <f>RAND()</f>
        <v/>
      </c>
      <c r="AE3467">
        <f>RAND()</f>
        <v/>
      </c>
      <c r="AF3467">
        <f>RAND()</f>
        <v/>
      </c>
    </row>
    <row r="3468">
      <c r="M3468" s="14">
        <f>_xlfn.BETA.INV($AA3468,1+4*($D$5-$C$5)/($E$5-$C$5),1+4*($E$5-$D$5)/($E$5-$C$5),$C$5,$E$5)</f>
        <v/>
      </c>
      <c r="N3468" s="14">
        <f>IF($AB3468&lt;($D$6-$C$6)/($E$6-$C$6),$C$6+SQRT($AB3468*($E$6-$C$6)*($D$6-$C$6)),$E$6-SQRT((1-$AB3468)*($E$6-$C$6)*($E$6-$D$6)))</f>
        <v/>
      </c>
      <c r="O3468" s="14">
        <f>_xlfn.NORM.INV($AC3468,$C$7,$D$7)</f>
        <v/>
      </c>
      <c r="P3468" s="14">
        <f>$C$8+($D$8-$C$8)*$AD3468</f>
        <v/>
      </c>
      <c r="Q3468" s="14">
        <f>$C$9</f>
        <v/>
      </c>
      <c r="R3468" s="14">
        <f>_xlfn.LOGNORM.INV($AF3468,LN($C$10)-0.5*LN(1+($D$10/$C$10)^2),SQRT(LN(1+($D$10/$C$10)^2)))</f>
        <v/>
      </c>
      <c r="S3468" s="14">
        <f>SUM(M3468:R3468)</f>
        <v/>
      </c>
      <c r="AA3468">
        <f>RAND()</f>
        <v/>
      </c>
      <c r="AB3468">
        <f>RAND()</f>
        <v/>
      </c>
      <c r="AC3468">
        <f>RAND()</f>
        <v/>
      </c>
      <c r="AD3468">
        <f>RAND()</f>
        <v/>
      </c>
      <c r="AE3468">
        <f>RAND()</f>
        <v/>
      </c>
      <c r="AF3468">
        <f>RAND()</f>
        <v/>
      </c>
    </row>
    <row r="3469">
      <c r="M3469" s="14">
        <f>_xlfn.BETA.INV($AA3469,1+4*($D$5-$C$5)/($E$5-$C$5),1+4*($E$5-$D$5)/($E$5-$C$5),$C$5,$E$5)</f>
        <v/>
      </c>
      <c r="N3469" s="14">
        <f>IF($AB3469&lt;($D$6-$C$6)/($E$6-$C$6),$C$6+SQRT($AB3469*($E$6-$C$6)*($D$6-$C$6)),$E$6-SQRT((1-$AB3469)*($E$6-$C$6)*($E$6-$D$6)))</f>
        <v/>
      </c>
      <c r="O3469" s="14">
        <f>_xlfn.NORM.INV($AC3469,$C$7,$D$7)</f>
        <v/>
      </c>
      <c r="P3469" s="14">
        <f>$C$8+($D$8-$C$8)*$AD3469</f>
        <v/>
      </c>
      <c r="Q3469" s="14">
        <f>$C$9</f>
        <v/>
      </c>
      <c r="R3469" s="14">
        <f>_xlfn.LOGNORM.INV($AF3469,LN($C$10)-0.5*LN(1+($D$10/$C$10)^2),SQRT(LN(1+($D$10/$C$10)^2)))</f>
        <v/>
      </c>
      <c r="S3469" s="14">
        <f>SUM(M3469:R3469)</f>
        <v/>
      </c>
      <c r="AA3469">
        <f>RAND()</f>
        <v/>
      </c>
      <c r="AB3469">
        <f>RAND()</f>
        <v/>
      </c>
      <c r="AC3469">
        <f>RAND()</f>
        <v/>
      </c>
      <c r="AD3469">
        <f>RAND()</f>
        <v/>
      </c>
      <c r="AE3469">
        <f>RAND()</f>
        <v/>
      </c>
      <c r="AF3469">
        <f>RAND()</f>
        <v/>
      </c>
    </row>
    <row r="3470">
      <c r="M3470" s="14">
        <f>_xlfn.BETA.INV($AA3470,1+4*($D$5-$C$5)/($E$5-$C$5),1+4*($E$5-$D$5)/($E$5-$C$5),$C$5,$E$5)</f>
        <v/>
      </c>
      <c r="N3470" s="14">
        <f>IF($AB3470&lt;($D$6-$C$6)/($E$6-$C$6),$C$6+SQRT($AB3470*($E$6-$C$6)*($D$6-$C$6)),$E$6-SQRT((1-$AB3470)*($E$6-$C$6)*($E$6-$D$6)))</f>
        <v/>
      </c>
      <c r="O3470" s="14">
        <f>_xlfn.NORM.INV($AC3470,$C$7,$D$7)</f>
        <v/>
      </c>
      <c r="P3470" s="14">
        <f>$C$8+($D$8-$C$8)*$AD3470</f>
        <v/>
      </c>
      <c r="Q3470" s="14">
        <f>$C$9</f>
        <v/>
      </c>
      <c r="R3470" s="14">
        <f>_xlfn.LOGNORM.INV($AF3470,LN($C$10)-0.5*LN(1+($D$10/$C$10)^2),SQRT(LN(1+($D$10/$C$10)^2)))</f>
        <v/>
      </c>
      <c r="S3470" s="14">
        <f>SUM(M3470:R3470)</f>
        <v/>
      </c>
      <c r="AA3470">
        <f>RAND()</f>
        <v/>
      </c>
      <c r="AB3470">
        <f>RAND()</f>
        <v/>
      </c>
      <c r="AC3470">
        <f>RAND()</f>
        <v/>
      </c>
      <c r="AD3470">
        <f>RAND()</f>
        <v/>
      </c>
      <c r="AE3470">
        <f>RAND()</f>
        <v/>
      </c>
      <c r="AF3470">
        <f>RAND()</f>
        <v/>
      </c>
    </row>
    <row r="3471">
      <c r="M3471" s="14">
        <f>_xlfn.BETA.INV($AA3471,1+4*($D$5-$C$5)/($E$5-$C$5),1+4*($E$5-$D$5)/($E$5-$C$5),$C$5,$E$5)</f>
        <v/>
      </c>
      <c r="N3471" s="14">
        <f>IF($AB3471&lt;($D$6-$C$6)/($E$6-$C$6),$C$6+SQRT($AB3471*($E$6-$C$6)*($D$6-$C$6)),$E$6-SQRT((1-$AB3471)*($E$6-$C$6)*($E$6-$D$6)))</f>
        <v/>
      </c>
      <c r="O3471" s="14">
        <f>_xlfn.NORM.INV($AC3471,$C$7,$D$7)</f>
        <v/>
      </c>
      <c r="P3471" s="14">
        <f>$C$8+($D$8-$C$8)*$AD3471</f>
        <v/>
      </c>
      <c r="Q3471" s="14">
        <f>$C$9</f>
        <v/>
      </c>
      <c r="R3471" s="14">
        <f>_xlfn.LOGNORM.INV($AF3471,LN($C$10)-0.5*LN(1+($D$10/$C$10)^2),SQRT(LN(1+($D$10/$C$10)^2)))</f>
        <v/>
      </c>
      <c r="S3471" s="14">
        <f>SUM(M3471:R3471)</f>
        <v/>
      </c>
      <c r="AA3471">
        <f>RAND()</f>
        <v/>
      </c>
      <c r="AB3471">
        <f>RAND()</f>
        <v/>
      </c>
      <c r="AC3471">
        <f>RAND()</f>
        <v/>
      </c>
      <c r="AD3471">
        <f>RAND()</f>
        <v/>
      </c>
      <c r="AE3471">
        <f>RAND()</f>
        <v/>
      </c>
      <c r="AF3471">
        <f>RAND()</f>
        <v/>
      </c>
    </row>
    <row r="3472">
      <c r="M3472" s="14">
        <f>_xlfn.BETA.INV($AA3472,1+4*($D$5-$C$5)/($E$5-$C$5),1+4*($E$5-$D$5)/($E$5-$C$5),$C$5,$E$5)</f>
        <v/>
      </c>
      <c r="N3472" s="14">
        <f>IF($AB3472&lt;($D$6-$C$6)/($E$6-$C$6),$C$6+SQRT($AB3472*($E$6-$C$6)*($D$6-$C$6)),$E$6-SQRT((1-$AB3472)*($E$6-$C$6)*($E$6-$D$6)))</f>
        <v/>
      </c>
      <c r="O3472" s="14">
        <f>_xlfn.NORM.INV($AC3472,$C$7,$D$7)</f>
        <v/>
      </c>
      <c r="P3472" s="14">
        <f>$C$8+($D$8-$C$8)*$AD3472</f>
        <v/>
      </c>
      <c r="Q3472" s="14">
        <f>$C$9</f>
        <v/>
      </c>
      <c r="R3472" s="14">
        <f>_xlfn.LOGNORM.INV($AF3472,LN($C$10)-0.5*LN(1+($D$10/$C$10)^2),SQRT(LN(1+($D$10/$C$10)^2)))</f>
        <v/>
      </c>
      <c r="S3472" s="14">
        <f>SUM(M3472:R3472)</f>
        <v/>
      </c>
      <c r="AA3472">
        <f>RAND()</f>
        <v/>
      </c>
      <c r="AB3472">
        <f>RAND()</f>
        <v/>
      </c>
      <c r="AC3472">
        <f>RAND()</f>
        <v/>
      </c>
      <c r="AD3472">
        <f>RAND()</f>
        <v/>
      </c>
      <c r="AE3472">
        <f>RAND()</f>
        <v/>
      </c>
      <c r="AF3472">
        <f>RAND()</f>
        <v/>
      </c>
    </row>
    <row r="3473">
      <c r="M3473" s="14">
        <f>_xlfn.BETA.INV($AA3473,1+4*($D$5-$C$5)/($E$5-$C$5),1+4*($E$5-$D$5)/($E$5-$C$5),$C$5,$E$5)</f>
        <v/>
      </c>
      <c r="N3473" s="14">
        <f>IF($AB3473&lt;($D$6-$C$6)/($E$6-$C$6),$C$6+SQRT($AB3473*($E$6-$C$6)*($D$6-$C$6)),$E$6-SQRT((1-$AB3473)*($E$6-$C$6)*($E$6-$D$6)))</f>
        <v/>
      </c>
      <c r="O3473" s="14">
        <f>_xlfn.NORM.INV($AC3473,$C$7,$D$7)</f>
        <v/>
      </c>
      <c r="P3473" s="14">
        <f>$C$8+($D$8-$C$8)*$AD3473</f>
        <v/>
      </c>
      <c r="Q3473" s="14">
        <f>$C$9</f>
        <v/>
      </c>
      <c r="R3473" s="14">
        <f>_xlfn.LOGNORM.INV($AF3473,LN($C$10)-0.5*LN(1+($D$10/$C$10)^2),SQRT(LN(1+($D$10/$C$10)^2)))</f>
        <v/>
      </c>
      <c r="S3473" s="14">
        <f>SUM(M3473:R3473)</f>
        <v/>
      </c>
      <c r="AA3473">
        <f>RAND()</f>
        <v/>
      </c>
      <c r="AB3473">
        <f>RAND()</f>
        <v/>
      </c>
      <c r="AC3473">
        <f>RAND()</f>
        <v/>
      </c>
      <c r="AD3473">
        <f>RAND()</f>
        <v/>
      </c>
      <c r="AE3473">
        <f>RAND()</f>
        <v/>
      </c>
      <c r="AF3473">
        <f>RAND()</f>
        <v/>
      </c>
    </row>
    <row r="3474">
      <c r="M3474" s="14">
        <f>_xlfn.BETA.INV($AA3474,1+4*($D$5-$C$5)/($E$5-$C$5),1+4*($E$5-$D$5)/($E$5-$C$5),$C$5,$E$5)</f>
        <v/>
      </c>
      <c r="N3474" s="14">
        <f>IF($AB3474&lt;($D$6-$C$6)/($E$6-$C$6),$C$6+SQRT($AB3474*($E$6-$C$6)*($D$6-$C$6)),$E$6-SQRT((1-$AB3474)*($E$6-$C$6)*($E$6-$D$6)))</f>
        <v/>
      </c>
      <c r="O3474" s="14">
        <f>_xlfn.NORM.INV($AC3474,$C$7,$D$7)</f>
        <v/>
      </c>
      <c r="P3474" s="14">
        <f>$C$8+($D$8-$C$8)*$AD3474</f>
        <v/>
      </c>
      <c r="Q3474" s="14">
        <f>$C$9</f>
        <v/>
      </c>
      <c r="R3474" s="14">
        <f>_xlfn.LOGNORM.INV($AF3474,LN($C$10)-0.5*LN(1+($D$10/$C$10)^2),SQRT(LN(1+($D$10/$C$10)^2)))</f>
        <v/>
      </c>
      <c r="S3474" s="14">
        <f>SUM(M3474:R3474)</f>
        <v/>
      </c>
      <c r="AA3474">
        <f>RAND()</f>
        <v/>
      </c>
      <c r="AB3474">
        <f>RAND()</f>
        <v/>
      </c>
      <c r="AC3474">
        <f>RAND()</f>
        <v/>
      </c>
      <c r="AD3474">
        <f>RAND()</f>
        <v/>
      </c>
      <c r="AE3474">
        <f>RAND()</f>
        <v/>
      </c>
      <c r="AF3474">
        <f>RAND()</f>
        <v/>
      </c>
    </row>
    <row r="3475">
      <c r="M3475" s="14">
        <f>_xlfn.BETA.INV($AA3475,1+4*($D$5-$C$5)/($E$5-$C$5),1+4*($E$5-$D$5)/($E$5-$C$5),$C$5,$E$5)</f>
        <v/>
      </c>
      <c r="N3475" s="14">
        <f>IF($AB3475&lt;($D$6-$C$6)/($E$6-$C$6),$C$6+SQRT($AB3475*($E$6-$C$6)*($D$6-$C$6)),$E$6-SQRT((1-$AB3475)*($E$6-$C$6)*($E$6-$D$6)))</f>
        <v/>
      </c>
      <c r="O3475" s="14">
        <f>_xlfn.NORM.INV($AC3475,$C$7,$D$7)</f>
        <v/>
      </c>
      <c r="P3475" s="14">
        <f>$C$8+($D$8-$C$8)*$AD3475</f>
        <v/>
      </c>
      <c r="Q3475" s="14">
        <f>$C$9</f>
        <v/>
      </c>
      <c r="R3475" s="14">
        <f>_xlfn.LOGNORM.INV($AF3475,LN($C$10)-0.5*LN(1+($D$10/$C$10)^2),SQRT(LN(1+($D$10/$C$10)^2)))</f>
        <v/>
      </c>
      <c r="S3475" s="14">
        <f>SUM(M3475:R3475)</f>
        <v/>
      </c>
      <c r="AA3475">
        <f>RAND()</f>
        <v/>
      </c>
      <c r="AB3475">
        <f>RAND()</f>
        <v/>
      </c>
      <c r="AC3475">
        <f>RAND()</f>
        <v/>
      </c>
      <c r="AD3475">
        <f>RAND()</f>
        <v/>
      </c>
      <c r="AE3475">
        <f>RAND()</f>
        <v/>
      </c>
      <c r="AF3475">
        <f>RAND()</f>
        <v/>
      </c>
    </row>
    <row r="3476">
      <c r="M3476" s="14">
        <f>_xlfn.BETA.INV($AA3476,1+4*($D$5-$C$5)/($E$5-$C$5),1+4*($E$5-$D$5)/($E$5-$C$5),$C$5,$E$5)</f>
        <v/>
      </c>
      <c r="N3476" s="14">
        <f>IF($AB3476&lt;($D$6-$C$6)/($E$6-$C$6),$C$6+SQRT($AB3476*($E$6-$C$6)*($D$6-$C$6)),$E$6-SQRT((1-$AB3476)*($E$6-$C$6)*($E$6-$D$6)))</f>
        <v/>
      </c>
      <c r="O3476" s="14">
        <f>_xlfn.NORM.INV($AC3476,$C$7,$D$7)</f>
        <v/>
      </c>
      <c r="P3476" s="14">
        <f>$C$8+($D$8-$C$8)*$AD3476</f>
        <v/>
      </c>
      <c r="Q3476" s="14">
        <f>$C$9</f>
        <v/>
      </c>
      <c r="R3476" s="14">
        <f>_xlfn.LOGNORM.INV($AF3476,LN($C$10)-0.5*LN(1+($D$10/$C$10)^2),SQRT(LN(1+($D$10/$C$10)^2)))</f>
        <v/>
      </c>
      <c r="S3476" s="14">
        <f>SUM(M3476:R3476)</f>
        <v/>
      </c>
      <c r="AA3476">
        <f>RAND()</f>
        <v/>
      </c>
      <c r="AB3476">
        <f>RAND()</f>
        <v/>
      </c>
      <c r="AC3476">
        <f>RAND()</f>
        <v/>
      </c>
      <c r="AD3476">
        <f>RAND()</f>
        <v/>
      </c>
      <c r="AE3476">
        <f>RAND()</f>
        <v/>
      </c>
      <c r="AF3476">
        <f>RAND()</f>
        <v/>
      </c>
    </row>
    <row r="3477">
      <c r="M3477" s="14">
        <f>_xlfn.BETA.INV($AA3477,1+4*($D$5-$C$5)/($E$5-$C$5),1+4*($E$5-$D$5)/($E$5-$C$5),$C$5,$E$5)</f>
        <v/>
      </c>
      <c r="N3477" s="14">
        <f>IF($AB3477&lt;($D$6-$C$6)/($E$6-$C$6),$C$6+SQRT($AB3477*($E$6-$C$6)*($D$6-$C$6)),$E$6-SQRT((1-$AB3477)*($E$6-$C$6)*($E$6-$D$6)))</f>
        <v/>
      </c>
      <c r="O3477" s="14">
        <f>_xlfn.NORM.INV($AC3477,$C$7,$D$7)</f>
        <v/>
      </c>
      <c r="P3477" s="14">
        <f>$C$8+($D$8-$C$8)*$AD3477</f>
        <v/>
      </c>
      <c r="Q3477" s="14">
        <f>$C$9</f>
        <v/>
      </c>
      <c r="R3477" s="14">
        <f>_xlfn.LOGNORM.INV($AF3477,LN($C$10)-0.5*LN(1+($D$10/$C$10)^2),SQRT(LN(1+($D$10/$C$10)^2)))</f>
        <v/>
      </c>
      <c r="S3477" s="14">
        <f>SUM(M3477:R3477)</f>
        <v/>
      </c>
      <c r="AA3477">
        <f>RAND()</f>
        <v/>
      </c>
      <c r="AB3477">
        <f>RAND()</f>
        <v/>
      </c>
      <c r="AC3477">
        <f>RAND()</f>
        <v/>
      </c>
      <c r="AD3477">
        <f>RAND()</f>
        <v/>
      </c>
      <c r="AE3477">
        <f>RAND()</f>
        <v/>
      </c>
      <c r="AF3477">
        <f>RAND()</f>
        <v/>
      </c>
    </row>
    <row r="3478">
      <c r="M3478" s="14">
        <f>_xlfn.BETA.INV($AA3478,1+4*($D$5-$C$5)/($E$5-$C$5),1+4*($E$5-$D$5)/($E$5-$C$5),$C$5,$E$5)</f>
        <v/>
      </c>
      <c r="N3478" s="14">
        <f>IF($AB3478&lt;($D$6-$C$6)/($E$6-$C$6),$C$6+SQRT($AB3478*($E$6-$C$6)*($D$6-$C$6)),$E$6-SQRT((1-$AB3478)*($E$6-$C$6)*($E$6-$D$6)))</f>
        <v/>
      </c>
      <c r="O3478" s="14">
        <f>_xlfn.NORM.INV($AC3478,$C$7,$D$7)</f>
        <v/>
      </c>
      <c r="P3478" s="14">
        <f>$C$8+($D$8-$C$8)*$AD3478</f>
        <v/>
      </c>
      <c r="Q3478" s="14">
        <f>$C$9</f>
        <v/>
      </c>
      <c r="R3478" s="14">
        <f>_xlfn.LOGNORM.INV($AF3478,LN($C$10)-0.5*LN(1+($D$10/$C$10)^2),SQRT(LN(1+($D$10/$C$10)^2)))</f>
        <v/>
      </c>
      <c r="S3478" s="14">
        <f>SUM(M3478:R3478)</f>
        <v/>
      </c>
      <c r="AA3478">
        <f>RAND()</f>
        <v/>
      </c>
      <c r="AB3478">
        <f>RAND()</f>
        <v/>
      </c>
      <c r="AC3478">
        <f>RAND()</f>
        <v/>
      </c>
      <c r="AD3478">
        <f>RAND()</f>
        <v/>
      </c>
      <c r="AE3478">
        <f>RAND()</f>
        <v/>
      </c>
      <c r="AF3478">
        <f>RAND()</f>
        <v/>
      </c>
    </row>
    <row r="3479">
      <c r="M3479" s="14">
        <f>_xlfn.BETA.INV($AA3479,1+4*($D$5-$C$5)/($E$5-$C$5),1+4*($E$5-$D$5)/($E$5-$C$5),$C$5,$E$5)</f>
        <v/>
      </c>
      <c r="N3479" s="14">
        <f>IF($AB3479&lt;($D$6-$C$6)/($E$6-$C$6),$C$6+SQRT($AB3479*($E$6-$C$6)*($D$6-$C$6)),$E$6-SQRT((1-$AB3479)*($E$6-$C$6)*($E$6-$D$6)))</f>
        <v/>
      </c>
      <c r="O3479" s="14">
        <f>_xlfn.NORM.INV($AC3479,$C$7,$D$7)</f>
        <v/>
      </c>
      <c r="P3479" s="14">
        <f>$C$8+($D$8-$C$8)*$AD3479</f>
        <v/>
      </c>
      <c r="Q3479" s="14">
        <f>$C$9</f>
        <v/>
      </c>
      <c r="R3479" s="14">
        <f>_xlfn.LOGNORM.INV($AF3479,LN($C$10)-0.5*LN(1+($D$10/$C$10)^2),SQRT(LN(1+($D$10/$C$10)^2)))</f>
        <v/>
      </c>
      <c r="S3479" s="14">
        <f>SUM(M3479:R3479)</f>
        <v/>
      </c>
      <c r="AA3479">
        <f>RAND()</f>
        <v/>
      </c>
      <c r="AB3479">
        <f>RAND()</f>
        <v/>
      </c>
      <c r="AC3479">
        <f>RAND()</f>
        <v/>
      </c>
      <c r="AD3479">
        <f>RAND()</f>
        <v/>
      </c>
      <c r="AE3479">
        <f>RAND()</f>
        <v/>
      </c>
      <c r="AF3479">
        <f>RAND()</f>
        <v/>
      </c>
    </row>
    <row r="3480">
      <c r="M3480" s="14">
        <f>_xlfn.BETA.INV($AA3480,1+4*($D$5-$C$5)/($E$5-$C$5),1+4*($E$5-$D$5)/($E$5-$C$5),$C$5,$E$5)</f>
        <v/>
      </c>
      <c r="N3480" s="14">
        <f>IF($AB3480&lt;($D$6-$C$6)/($E$6-$C$6),$C$6+SQRT($AB3480*($E$6-$C$6)*($D$6-$C$6)),$E$6-SQRT((1-$AB3480)*($E$6-$C$6)*($E$6-$D$6)))</f>
        <v/>
      </c>
      <c r="O3480" s="14">
        <f>_xlfn.NORM.INV($AC3480,$C$7,$D$7)</f>
        <v/>
      </c>
      <c r="P3480" s="14">
        <f>$C$8+($D$8-$C$8)*$AD3480</f>
        <v/>
      </c>
      <c r="Q3480" s="14">
        <f>$C$9</f>
        <v/>
      </c>
      <c r="R3480" s="14">
        <f>_xlfn.LOGNORM.INV($AF3480,LN($C$10)-0.5*LN(1+($D$10/$C$10)^2),SQRT(LN(1+($D$10/$C$10)^2)))</f>
        <v/>
      </c>
      <c r="S3480" s="14">
        <f>SUM(M3480:R3480)</f>
        <v/>
      </c>
      <c r="AA3480">
        <f>RAND()</f>
        <v/>
      </c>
      <c r="AB3480">
        <f>RAND()</f>
        <v/>
      </c>
      <c r="AC3480">
        <f>RAND()</f>
        <v/>
      </c>
      <c r="AD3480">
        <f>RAND()</f>
        <v/>
      </c>
      <c r="AE3480">
        <f>RAND()</f>
        <v/>
      </c>
      <c r="AF3480">
        <f>RAND()</f>
        <v/>
      </c>
    </row>
    <row r="3481">
      <c r="M3481" s="14">
        <f>_xlfn.BETA.INV($AA3481,1+4*($D$5-$C$5)/($E$5-$C$5),1+4*($E$5-$D$5)/($E$5-$C$5),$C$5,$E$5)</f>
        <v/>
      </c>
      <c r="N3481" s="14">
        <f>IF($AB3481&lt;($D$6-$C$6)/($E$6-$C$6),$C$6+SQRT($AB3481*($E$6-$C$6)*($D$6-$C$6)),$E$6-SQRT((1-$AB3481)*($E$6-$C$6)*($E$6-$D$6)))</f>
        <v/>
      </c>
      <c r="O3481" s="14">
        <f>_xlfn.NORM.INV($AC3481,$C$7,$D$7)</f>
        <v/>
      </c>
      <c r="P3481" s="14">
        <f>$C$8+($D$8-$C$8)*$AD3481</f>
        <v/>
      </c>
      <c r="Q3481" s="14">
        <f>$C$9</f>
        <v/>
      </c>
      <c r="R3481" s="14">
        <f>_xlfn.LOGNORM.INV($AF3481,LN($C$10)-0.5*LN(1+($D$10/$C$10)^2),SQRT(LN(1+($D$10/$C$10)^2)))</f>
        <v/>
      </c>
      <c r="S3481" s="14">
        <f>SUM(M3481:R3481)</f>
        <v/>
      </c>
      <c r="AA3481">
        <f>RAND()</f>
        <v/>
      </c>
      <c r="AB3481">
        <f>RAND()</f>
        <v/>
      </c>
      <c r="AC3481">
        <f>RAND()</f>
        <v/>
      </c>
      <c r="AD3481">
        <f>RAND()</f>
        <v/>
      </c>
      <c r="AE3481">
        <f>RAND()</f>
        <v/>
      </c>
      <c r="AF3481">
        <f>RAND()</f>
        <v/>
      </c>
    </row>
    <row r="3482">
      <c r="M3482" s="14">
        <f>_xlfn.BETA.INV($AA3482,1+4*($D$5-$C$5)/($E$5-$C$5),1+4*($E$5-$D$5)/($E$5-$C$5),$C$5,$E$5)</f>
        <v/>
      </c>
      <c r="N3482" s="14">
        <f>IF($AB3482&lt;($D$6-$C$6)/($E$6-$C$6),$C$6+SQRT($AB3482*($E$6-$C$6)*($D$6-$C$6)),$E$6-SQRT((1-$AB3482)*($E$6-$C$6)*($E$6-$D$6)))</f>
        <v/>
      </c>
      <c r="O3482" s="14">
        <f>_xlfn.NORM.INV($AC3482,$C$7,$D$7)</f>
        <v/>
      </c>
      <c r="P3482" s="14">
        <f>$C$8+($D$8-$C$8)*$AD3482</f>
        <v/>
      </c>
      <c r="Q3482" s="14">
        <f>$C$9</f>
        <v/>
      </c>
      <c r="R3482" s="14">
        <f>_xlfn.LOGNORM.INV($AF3482,LN($C$10)-0.5*LN(1+($D$10/$C$10)^2),SQRT(LN(1+($D$10/$C$10)^2)))</f>
        <v/>
      </c>
      <c r="S3482" s="14">
        <f>SUM(M3482:R3482)</f>
        <v/>
      </c>
      <c r="AA3482">
        <f>RAND()</f>
        <v/>
      </c>
      <c r="AB3482">
        <f>RAND()</f>
        <v/>
      </c>
      <c r="AC3482">
        <f>RAND()</f>
        <v/>
      </c>
      <c r="AD3482">
        <f>RAND()</f>
        <v/>
      </c>
      <c r="AE3482">
        <f>RAND()</f>
        <v/>
      </c>
      <c r="AF3482">
        <f>RAND()</f>
        <v/>
      </c>
    </row>
    <row r="3483">
      <c r="M3483" s="14">
        <f>_xlfn.BETA.INV($AA3483,1+4*($D$5-$C$5)/($E$5-$C$5),1+4*($E$5-$D$5)/($E$5-$C$5),$C$5,$E$5)</f>
        <v/>
      </c>
      <c r="N3483" s="14">
        <f>IF($AB3483&lt;($D$6-$C$6)/($E$6-$C$6),$C$6+SQRT($AB3483*($E$6-$C$6)*($D$6-$C$6)),$E$6-SQRT((1-$AB3483)*($E$6-$C$6)*($E$6-$D$6)))</f>
        <v/>
      </c>
      <c r="O3483" s="14">
        <f>_xlfn.NORM.INV($AC3483,$C$7,$D$7)</f>
        <v/>
      </c>
      <c r="P3483" s="14">
        <f>$C$8+($D$8-$C$8)*$AD3483</f>
        <v/>
      </c>
      <c r="Q3483" s="14">
        <f>$C$9</f>
        <v/>
      </c>
      <c r="R3483" s="14">
        <f>_xlfn.LOGNORM.INV($AF3483,LN($C$10)-0.5*LN(1+($D$10/$C$10)^2),SQRT(LN(1+($D$10/$C$10)^2)))</f>
        <v/>
      </c>
      <c r="S3483" s="14">
        <f>SUM(M3483:R3483)</f>
        <v/>
      </c>
      <c r="AA3483">
        <f>RAND()</f>
        <v/>
      </c>
      <c r="AB3483">
        <f>RAND()</f>
        <v/>
      </c>
      <c r="AC3483">
        <f>RAND()</f>
        <v/>
      </c>
      <c r="AD3483">
        <f>RAND()</f>
        <v/>
      </c>
      <c r="AE3483">
        <f>RAND()</f>
        <v/>
      </c>
      <c r="AF3483">
        <f>RAND()</f>
        <v/>
      </c>
    </row>
    <row r="3484">
      <c r="M3484" s="14">
        <f>_xlfn.BETA.INV($AA3484,1+4*($D$5-$C$5)/($E$5-$C$5),1+4*($E$5-$D$5)/($E$5-$C$5),$C$5,$E$5)</f>
        <v/>
      </c>
      <c r="N3484" s="14">
        <f>IF($AB3484&lt;($D$6-$C$6)/($E$6-$C$6),$C$6+SQRT($AB3484*($E$6-$C$6)*($D$6-$C$6)),$E$6-SQRT((1-$AB3484)*($E$6-$C$6)*($E$6-$D$6)))</f>
        <v/>
      </c>
      <c r="O3484" s="14">
        <f>_xlfn.NORM.INV($AC3484,$C$7,$D$7)</f>
        <v/>
      </c>
      <c r="P3484" s="14">
        <f>$C$8+($D$8-$C$8)*$AD3484</f>
        <v/>
      </c>
      <c r="Q3484" s="14">
        <f>$C$9</f>
        <v/>
      </c>
      <c r="R3484" s="14">
        <f>_xlfn.LOGNORM.INV($AF3484,LN($C$10)-0.5*LN(1+($D$10/$C$10)^2),SQRT(LN(1+($D$10/$C$10)^2)))</f>
        <v/>
      </c>
      <c r="S3484" s="14">
        <f>SUM(M3484:R3484)</f>
        <v/>
      </c>
      <c r="AA3484">
        <f>RAND()</f>
        <v/>
      </c>
      <c r="AB3484">
        <f>RAND()</f>
        <v/>
      </c>
      <c r="AC3484">
        <f>RAND()</f>
        <v/>
      </c>
      <c r="AD3484">
        <f>RAND()</f>
        <v/>
      </c>
      <c r="AE3484">
        <f>RAND()</f>
        <v/>
      </c>
      <c r="AF3484">
        <f>RAND()</f>
        <v/>
      </c>
    </row>
    <row r="3485">
      <c r="M3485" s="14">
        <f>_xlfn.BETA.INV($AA3485,1+4*($D$5-$C$5)/($E$5-$C$5),1+4*($E$5-$D$5)/($E$5-$C$5),$C$5,$E$5)</f>
        <v/>
      </c>
      <c r="N3485" s="14">
        <f>IF($AB3485&lt;($D$6-$C$6)/($E$6-$C$6),$C$6+SQRT($AB3485*($E$6-$C$6)*($D$6-$C$6)),$E$6-SQRT((1-$AB3485)*($E$6-$C$6)*($E$6-$D$6)))</f>
        <v/>
      </c>
      <c r="O3485" s="14">
        <f>_xlfn.NORM.INV($AC3485,$C$7,$D$7)</f>
        <v/>
      </c>
      <c r="P3485" s="14">
        <f>$C$8+($D$8-$C$8)*$AD3485</f>
        <v/>
      </c>
      <c r="Q3485" s="14">
        <f>$C$9</f>
        <v/>
      </c>
      <c r="R3485" s="14">
        <f>_xlfn.LOGNORM.INV($AF3485,LN($C$10)-0.5*LN(1+($D$10/$C$10)^2),SQRT(LN(1+($D$10/$C$10)^2)))</f>
        <v/>
      </c>
      <c r="S3485" s="14">
        <f>SUM(M3485:R3485)</f>
        <v/>
      </c>
      <c r="AA3485">
        <f>RAND()</f>
        <v/>
      </c>
      <c r="AB3485">
        <f>RAND()</f>
        <v/>
      </c>
      <c r="AC3485">
        <f>RAND()</f>
        <v/>
      </c>
      <c r="AD3485">
        <f>RAND()</f>
        <v/>
      </c>
      <c r="AE3485">
        <f>RAND()</f>
        <v/>
      </c>
      <c r="AF3485">
        <f>RAND()</f>
        <v/>
      </c>
    </row>
    <row r="3486">
      <c r="M3486" s="14">
        <f>_xlfn.BETA.INV($AA3486,1+4*($D$5-$C$5)/($E$5-$C$5),1+4*($E$5-$D$5)/($E$5-$C$5),$C$5,$E$5)</f>
        <v/>
      </c>
      <c r="N3486" s="14">
        <f>IF($AB3486&lt;($D$6-$C$6)/($E$6-$C$6),$C$6+SQRT($AB3486*($E$6-$C$6)*($D$6-$C$6)),$E$6-SQRT((1-$AB3486)*($E$6-$C$6)*($E$6-$D$6)))</f>
        <v/>
      </c>
      <c r="O3486" s="14">
        <f>_xlfn.NORM.INV($AC3486,$C$7,$D$7)</f>
        <v/>
      </c>
      <c r="P3486" s="14">
        <f>$C$8+($D$8-$C$8)*$AD3486</f>
        <v/>
      </c>
      <c r="Q3486" s="14">
        <f>$C$9</f>
        <v/>
      </c>
      <c r="R3486" s="14">
        <f>_xlfn.LOGNORM.INV($AF3486,LN($C$10)-0.5*LN(1+($D$10/$C$10)^2),SQRT(LN(1+($D$10/$C$10)^2)))</f>
        <v/>
      </c>
      <c r="S3486" s="14">
        <f>SUM(M3486:R3486)</f>
        <v/>
      </c>
      <c r="AA3486">
        <f>RAND()</f>
        <v/>
      </c>
      <c r="AB3486">
        <f>RAND()</f>
        <v/>
      </c>
      <c r="AC3486">
        <f>RAND()</f>
        <v/>
      </c>
      <c r="AD3486">
        <f>RAND()</f>
        <v/>
      </c>
      <c r="AE3486">
        <f>RAND()</f>
        <v/>
      </c>
      <c r="AF3486">
        <f>RAND()</f>
        <v/>
      </c>
    </row>
    <row r="3487">
      <c r="M3487" s="14">
        <f>_xlfn.BETA.INV($AA3487,1+4*($D$5-$C$5)/($E$5-$C$5),1+4*($E$5-$D$5)/($E$5-$C$5),$C$5,$E$5)</f>
        <v/>
      </c>
      <c r="N3487" s="14">
        <f>IF($AB3487&lt;($D$6-$C$6)/($E$6-$C$6),$C$6+SQRT($AB3487*($E$6-$C$6)*($D$6-$C$6)),$E$6-SQRT((1-$AB3487)*($E$6-$C$6)*($E$6-$D$6)))</f>
        <v/>
      </c>
      <c r="O3487" s="14">
        <f>_xlfn.NORM.INV($AC3487,$C$7,$D$7)</f>
        <v/>
      </c>
      <c r="P3487" s="14">
        <f>$C$8+($D$8-$C$8)*$AD3487</f>
        <v/>
      </c>
      <c r="Q3487" s="14">
        <f>$C$9</f>
        <v/>
      </c>
      <c r="R3487" s="14">
        <f>_xlfn.LOGNORM.INV($AF3487,LN($C$10)-0.5*LN(1+($D$10/$C$10)^2),SQRT(LN(1+($D$10/$C$10)^2)))</f>
        <v/>
      </c>
      <c r="S3487" s="14">
        <f>SUM(M3487:R3487)</f>
        <v/>
      </c>
      <c r="AA3487">
        <f>RAND()</f>
        <v/>
      </c>
      <c r="AB3487">
        <f>RAND()</f>
        <v/>
      </c>
      <c r="AC3487">
        <f>RAND()</f>
        <v/>
      </c>
      <c r="AD3487">
        <f>RAND()</f>
        <v/>
      </c>
      <c r="AE3487">
        <f>RAND()</f>
        <v/>
      </c>
      <c r="AF3487">
        <f>RAND()</f>
        <v/>
      </c>
    </row>
    <row r="3488">
      <c r="M3488" s="14">
        <f>_xlfn.BETA.INV($AA3488,1+4*($D$5-$C$5)/($E$5-$C$5),1+4*($E$5-$D$5)/($E$5-$C$5),$C$5,$E$5)</f>
        <v/>
      </c>
      <c r="N3488" s="14">
        <f>IF($AB3488&lt;($D$6-$C$6)/($E$6-$C$6),$C$6+SQRT($AB3488*($E$6-$C$6)*($D$6-$C$6)),$E$6-SQRT((1-$AB3488)*($E$6-$C$6)*($E$6-$D$6)))</f>
        <v/>
      </c>
      <c r="O3488" s="14">
        <f>_xlfn.NORM.INV($AC3488,$C$7,$D$7)</f>
        <v/>
      </c>
      <c r="P3488" s="14">
        <f>$C$8+($D$8-$C$8)*$AD3488</f>
        <v/>
      </c>
      <c r="Q3488" s="14">
        <f>$C$9</f>
        <v/>
      </c>
      <c r="R3488" s="14">
        <f>_xlfn.LOGNORM.INV($AF3488,LN($C$10)-0.5*LN(1+($D$10/$C$10)^2),SQRT(LN(1+($D$10/$C$10)^2)))</f>
        <v/>
      </c>
      <c r="S3488" s="14">
        <f>SUM(M3488:R3488)</f>
        <v/>
      </c>
      <c r="AA3488">
        <f>RAND()</f>
        <v/>
      </c>
      <c r="AB3488">
        <f>RAND()</f>
        <v/>
      </c>
      <c r="AC3488">
        <f>RAND()</f>
        <v/>
      </c>
      <c r="AD3488">
        <f>RAND()</f>
        <v/>
      </c>
      <c r="AE3488">
        <f>RAND()</f>
        <v/>
      </c>
      <c r="AF3488">
        <f>RAND()</f>
        <v/>
      </c>
    </row>
    <row r="3489">
      <c r="M3489" s="14">
        <f>_xlfn.BETA.INV($AA3489,1+4*($D$5-$C$5)/($E$5-$C$5),1+4*($E$5-$D$5)/($E$5-$C$5),$C$5,$E$5)</f>
        <v/>
      </c>
      <c r="N3489" s="14">
        <f>IF($AB3489&lt;($D$6-$C$6)/($E$6-$C$6),$C$6+SQRT($AB3489*($E$6-$C$6)*($D$6-$C$6)),$E$6-SQRT((1-$AB3489)*($E$6-$C$6)*($E$6-$D$6)))</f>
        <v/>
      </c>
      <c r="O3489" s="14">
        <f>_xlfn.NORM.INV($AC3489,$C$7,$D$7)</f>
        <v/>
      </c>
      <c r="P3489" s="14">
        <f>$C$8+($D$8-$C$8)*$AD3489</f>
        <v/>
      </c>
      <c r="Q3489" s="14">
        <f>$C$9</f>
        <v/>
      </c>
      <c r="R3489" s="14">
        <f>_xlfn.LOGNORM.INV($AF3489,LN($C$10)-0.5*LN(1+($D$10/$C$10)^2),SQRT(LN(1+($D$10/$C$10)^2)))</f>
        <v/>
      </c>
      <c r="S3489" s="14">
        <f>SUM(M3489:R3489)</f>
        <v/>
      </c>
      <c r="AA3489">
        <f>RAND()</f>
        <v/>
      </c>
      <c r="AB3489">
        <f>RAND()</f>
        <v/>
      </c>
      <c r="AC3489">
        <f>RAND()</f>
        <v/>
      </c>
      <c r="AD3489">
        <f>RAND()</f>
        <v/>
      </c>
      <c r="AE3489">
        <f>RAND()</f>
        <v/>
      </c>
      <c r="AF3489">
        <f>RAND()</f>
        <v/>
      </c>
    </row>
    <row r="3490">
      <c r="M3490" s="14">
        <f>_xlfn.BETA.INV($AA3490,1+4*($D$5-$C$5)/($E$5-$C$5),1+4*($E$5-$D$5)/($E$5-$C$5),$C$5,$E$5)</f>
        <v/>
      </c>
      <c r="N3490" s="14">
        <f>IF($AB3490&lt;($D$6-$C$6)/($E$6-$C$6),$C$6+SQRT($AB3490*($E$6-$C$6)*($D$6-$C$6)),$E$6-SQRT((1-$AB3490)*($E$6-$C$6)*($E$6-$D$6)))</f>
        <v/>
      </c>
      <c r="O3490" s="14">
        <f>_xlfn.NORM.INV($AC3490,$C$7,$D$7)</f>
        <v/>
      </c>
      <c r="P3490" s="14">
        <f>$C$8+($D$8-$C$8)*$AD3490</f>
        <v/>
      </c>
      <c r="Q3490" s="14">
        <f>$C$9</f>
        <v/>
      </c>
      <c r="R3490" s="14">
        <f>_xlfn.LOGNORM.INV($AF3490,LN($C$10)-0.5*LN(1+($D$10/$C$10)^2),SQRT(LN(1+($D$10/$C$10)^2)))</f>
        <v/>
      </c>
      <c r="S3490" s="14">
        <f>SUM(M3490:R3490)</f>
        <v/>
      </c>
      <c r="AA3490">
        <f>RAND()</f>
        <v/>
      </c>
      <c r="AB3490">
        <f>RAND()</f>
        <v/>
      </c>
      <c r="AC3490">
        <f>RAND()</f>
        <v/>
      </c>
      <c r="AD3490">
        <f>RAND()</f>
        <v/>
      </c>
      <c r="AE3490">
        <f>RAND()</f>
        <v/>
      </c>
      <c r="AF3490">
        <f>RAND()</f>
        <v/>
      </c>
    </row>
    <row r="3491">
      <c r="M3491" s="14">
        <f>_xlfn.BETA.INV($AA3491,1+4*($D$5-$C$5)/($E$5-$C$5),1+4*($E$5-$D$5)/($E$5-$C$5),$C$5,$E$5)</f>
        <v/>
      </c>
      <c r="N3491" s="14">
        <f>IF($AB3491&lt;($D$6-$C$6)/($E$6-$C$6),$C$6+SQRT($AB3491*($E$6-$C$6)*($D$6-$C$6)),$E$6-SQRT((1-$AB3491)*($E$6-$C$6)*($E$6-$D$6)))</f>
        <v/>
      </c>
      <c r="O3491" s="14">
        <f>_xlfn.NORM.INV($AC3491,$C$7,$D$7)</f>
        <v/>
      </c>
      <c r="P3491" s="14">
        <f>$C$8+($D$8-$C$8)*$AD3491</f>
        <v/>
      </c>
      <c r="Q3491" s="14">
        <f>$C$9</f>
        <v/>
      </c>
      <c r="R3491" s="14">
        <f>_xlfn.LOGNORM.INV($AF3491,LN($C$10)-0.5*LN(1+($D$10/$C$10)^2),SQRT(LN(1+($D$10/$C$10)^2)))</f>
        <v/>
      </c>
      <c r="S3491" s="14">
        <f>SUM(M3491:R3491)</f>
        <v/>
      </c>
      <c r="AA3491">
        <f>RAND()</f>
        <v/>
      </c>
      <c r="AB3491">
        <f>RAND()</f>
        <v/>
      </c>
      <c r="AC3491">
        <f>RAND()</f>
        <v/>
      </c>
      <c r="AD3491">
        <f>RAND()</f>
        <v/>
      </c>
      <c r="AE3491">
        <f>RAND()</f>
        <v/>
      </c>
      <c r="AF3491">
        <f>RAND()</f>
        <v/>
      </c>
    </row>
    <row r="3492">
      <c r="M3492" s="14">
        <f>_xlfn.BETA.INV($AA3492,1+4*($D$5-$C$5)/($E$5-$C$5),1+4*($E$5-$D$5)/($E$5-$C$5),$C$5,$E$5)</f>
        <v/>
      </c>
      <c r="N3492" s="14">
        <f>IF($AB3492&lt;($D$6-$C$6)/($E$6-$C$6),$C$6+SQRT($AB3492*($E$6-$C$6)*($D$6-$C$6)),$E$6-SQRT((1-$AB3492)*($E$6-$C$6)*($E$6-$D$6)))</f>
        <v/>
      </c>
      <c r="O3492" s="14">
        <f>_xlfn.NORM.INV($AC3492,$C$7,$D$7)</f>
        <v/>
      </c>
      <c r="P3492" s="14">
        <f>$C$8+($D$8-$C$8)*$AD3492</f>
        <v/>
      </c>
      <c r="Q3492" s="14">
        <f>$C$9</f>
        <v/>
      </c>
      <c r="R3492" s="14">
        <f>_xlfn.LOGNORM.INV($AF3492,LN($C$10)-0.5*LN(1+($D$10/$C$10)^2),SQRT(LN(1+($D$10/$C$10)^2)))</f>
        <v/>
      </c>
      <c r="S3492" s="14">
        <f>SUM(M3492:R3492)</f>
        <v/>
      </c>
      <c r="AA3492">
        <f>RAND()</f>
        <v/>
      </c>
      <c r="AB3492">
        <f>RAND()</f>
        <v/>
      </c>
      <c r="AC3492">
        <f>RAND()</f>
        <v/>
      </c>
      <c r="AD3492">
        <f>RAND()</f>
        <v/>
      </c>
      <c r="AE3492">
        <f>RAND()</f>
        <v/>
      </c>
      <c r="AF3492">
        <f>RAND()</f>
        <v/>
      </c>
    </row>
    <row r="3493">
      <c r="M3493" s="14">
        <f>_xlfn.BETA.INV($AA3493,1+4*($D$5-$C$5)/($E$5-$C$5),1+4*($E$5-$D$5)/($E$5-$C$5),$C$5,$E$5)</f>
        <v/>
      </c>
      <c r="N3493" s="14">
        <f>IF($AB3493&lt;($D$6-$C$6)/($E$6-$C$6),$C$6+SQRT($AB3493*($E$6-$C$6)*($D$6-$C$6)),$E$6-SQRT((1-$AB3493)*($E$6-$C$6)*($E$6-$D$6)))</f>
        <v/>
      </c>
      <c r="O3493" s="14">
        <f>_xlfn.NORM.INV($AC3493,$C$7,$D$7)</f>
        <v/>
      </c>
      <c r="P3493" s="14">
        <f>$C$8+($D$8-$C$8)*$AD3493</f>
        <v/>
      </c>
      <c r="Q3493" s="14">
        <f>$C$9</f>
        <v/>
      </c>
      <c r="R3493" s="14">
        <f>_xlfn.LOGNORM.INV($AF3493,LN($C$10)-0.5*LN(1+($D$10/$C$10)^2),SQRT(LN(1+($D$10/$C$10)^2)))</f>
        <v/>
      </c>
      <c r="S3493" s="14">
        <f>SUM(M3493:R3493)</f>
        <v/>
      </c>
      <c r="AA3493">
        <f>RAND()</f>
        <v/>
      </c>
      <c r="AB3493">
        <f>RAND()</f>
        <v/>
      </c>
      <c r="AC3493">
        <f>RAND()</f>
        <v/>
      </c>
      <c r="AD3493">
        <f>RAND()</f>
        <v/>
      </c>
      <c r="AE3493">
        <f>RAND()</f>
        <v/>
      </c>
      <c r="AF3493">
        <f>RAND()</f>
        <v/>
      </c>
    </row>
    <row r="3494">
      <c r="M3494" s="14">
        <f>_xlfn.BETA.INV($AA3494,1+4*($D$5-$C$5)/($E$5-$C$5),1+4*($E$5-$D$5)/($E$5-$C$5),$C$5,$E$5)</f>
        <v/>
      </c>
      <c r="N3494" s="14">
        <f>IF($AB3494&lt;($D$6-$C$6)/($E$6-$C$6),$C$6+SQRT($AB3494*($E$6-$C$6)*($D$6-$C$6)),$E$6-SQRT((1-$AB3494)*($E$6-$C$6)*($E$6-$D$6)))</f>
        <v/>
      </c>
      <c r="O3494" s="14">
        <f>_xlfn.NORM.INV($AC3494,$C$7,$D$7)</f>
        <v/>
      </c>
      <c r="P3494" s="14">
        <f>$C$8+($D$8-$C$8)*$AD3494</f>
        <v/>
      </c>
      <c r="Q3494" s="14">
        <f>$C$9</f>
        <v/>
      </c>
      <c r="R3494" s="14">
        <f>_xlfn.LOGNORM.INV($AF3494,LN($C$10)-0.5*LN(1+($D$10/$C$10)^2),SQRT(LN(1+($D$10/$C$10)^2)))</f>
        <v/>
      </c>
      <c r="S3494" s="14">
        <f>SUM(M3494:R3494)</f>
        <v/>
      </c>
      <c r="AA3494">
        <f>RAND()</f>
        <v/>
      </c>
      <c r="AB3494">
        <f>RAND()</f>
        <v/>
      </c>
      <c r="AC3494">
        <f>RAND()</f>
        <v/>
      </c>
      <c r="AD3494">
        <f>RAND()</f>
        <v/>
      </c>
      <c r="AE3494">
        <f>RAND()</f>
        <v/>
      </c>
      <c r="AF3494">
        <f>RAND()</f>
        <v/>
      </c>
    </row>
    <row r="3495">
      <c r="M3495" s="14">
        <f>_xlfn.BETA.INV($AA3495,1+4*($D$5-$C$5)/($E$5-$C$5),1+4*($E$5-$D$5)/($E$5-$C$5),$C$5,$E$5)</f>
        <v/>
      </c>
      <c r="N3495" s="14">
        <f>IF($AB3495&lt;($D$6-$C$6)/($E$6-$C$6),$C$6+SQRT($AB3495*($E$6-$C$6)*($D$6-$C$6)),$E$6-SQRT((1-$AB3495)*($E$6-$C$6)*($E$6-$D$6)))</f>
        <v/>
      </c>
      <c r="O3495" s="14">
        <f>_xlfn.NORM.INV($AC3495,$C$7,$D$7)</f>
        <v/>
      </c>
      <c r="P3495" s="14">
        <f>$C$8+($D$8-$C$8)*$AD3495</f>
        <v/>
      </c>
      <c r="Q3495" s="14">
        <f>$C$9</f>
        <v/>
      </c>
      <c r="R3495" s="14">
        <f>_xlfn.LOGNORM.INV($AF3495,LN($C$10)-0.5*LN(1+($D$10/$C$10)^2),SQRT(LN(1+($D$10/$C$10)^2)))</f>
        <v/>
      </c>
      <c r="S3495" s="14">
        <f>SUM(M3495:R3495)</f>
        <v/>
      </c>
      <c r="AA3495">
        <f>RAND()</f>
        <v/>
      </c>
      <c r="AB3495">
        <f>RAND()</f>
        <v/>
      </c>
      <c r="AC3495">
        <f>RAND()</f>
        <v/>
      </c>
      <c r="AD3495">
        <f>RAND()</f>
        <v/>
      </c>
      <c r="AE3495">
        <f>RAND()</f>
        <v/>
      </c>
      <c r="AF3495">
        <f>RAND()</f>
        <v/>
      </c>
    </row>
    <row r="3496">
      <c r="M3496" s="14">
        <f>_xlfn.BETA.INV($AA3496,1+4*($D$5-$C$5)/($E$5-$C$5),1+4*($E$5-$D$5)/($E$5-$C$5),$C$5,$E$5)</f>
        <v/>
      </c>
      <c r="N3496" s="14">
        <f>IF($AB3496&lt;($D$6-$C$6)/($E$6-$C$6),$C$6+SQRT($AB3496*($E$6-$C$6)*($D$6-$C$6)),$E$6-SQRT((1-$AB3496)*($E$6-$C$6)*($E$6-$D$6)))</f>
        <v/>
      </c>
      <c r="O3496" s="14">
        <f>_xlfn.NORM.INV($AC3496,$C$7,$D$7)</f>
        <v/>
      </c>
      <c r="P3496" s="14">
        <f>$C$8+($D$8-$C$8)*$AD3496</f>
        <v/>
      </c>
      <c r="Q3496" s="14">
        <f>$C$9</f>
        <v/>
      </c>
      <c r="R3496" s="14">
        <f>_xlfn.LOGNORM.INV($AF3496,LN($C$10)-0.5*LN(1+($D$10/$C$10)^2),SQRT(LN(1+($D$10/$C$10)^2)))</f>
        <v/>
      </c>
      <c r="S3496" s="14">
        <f>SUM(M3496:R3496)</f>
        <v/>
      </c>
      <c r="AA3496">
        <f>RAND()</f>
        <v/>
      </c>
      <c r="AB3496">
        <f>RAND()</f>
        <v/>
      </c>
      <c r="AC3496">
        <f>RAND()</f>
        <v/>
      </c>
      <c r="AD3496">
        <f>RAND()</f>
        <v/>
      </c>
      <c r="AE3496">
        <f>RAND()</f>
        <v/>
      </c>
      <c r="AF3496">
        <f>RAND()</f>
        <v/>
      </c>
    </row>
    <row r="3497">
      <c r="M3497" s="14">
        <f>_xlfn.BETA.INV($AA3497,1+4*($D$5-$C$5)/($E$5-$C$5),1+4*($E$5-$D$5)/($E$5-$C$5),$C$5,$E$5)</f>
        <v/>
      </c>
      <c r="N3497" s="14">
        <f>IF($AB3497&lt;($D$6-$C$6)/($E$6-$C$6),$C$6+SQRT($AB3497*($E$6-$C$6)*($D$6-$C$6)),$E$6-SQRT((1-$AB3497)*($E$6-$C$6)*($E$6-$D$6)))</f>
        <v/>
      </c>
      <c r="O3497" s="14">
        <f>_xlfn.NORM.INV($AC3497,$C$7,$D$7)</f>
        <v/>
      </c>
      <c r="P3497" s="14">
        <f>$C$8+($D$8-$C$8)*$AD3497</f>
        <v/>
      </c>
      <c r="Q3497" s="14">
        <f>$C$9</f>
        <v/>
      </c>
      <c r="R3497" s="14">
        <f>_xlfn.LOGNORM.INV($AF3497,LN($C$10)-0.5*LN(1+($D$10/$C$10)^2),SQRT(LN(1+($D$10/$C$10)^2)))</f>
        <v/>
      </c>
      <c r="S3497" s="14">
        <f>SUM(M3497:R3497)</f>
        <v/>
      </c>
      <c r="AA3497">
        <f>RAND()</f>
        <v/>
      </c>
      <c r="AB3497">
        <f>RAND()</f>
        <v/>
      </c>
      <c r="AC3497">
        <f>RAND()</f>
        <v/>
      </c>
      <c r="AD3497">
        <f>RAND()</f>
        <v/>
      </c>
      <c r="AE3497">
        <f>RAND()</f>
        <v/>
      </c>
      <c r="AF3497">
        <f>RAND()</f>
        <v/>
      </c>
    </row>
    <row r="3498">
      <c r="M3498" s="14">
        <f>_xlfn.BETA.INV($AA3498,1+4*($D$5-$C$5)/($E$5-$C$5),1+4*($E$5-$D$5)/($E$5-$C$5),$C$5,$E$5)</f>
        <v/>
      </c>
      <c r="N3498" s="14">
        <f>IF($AB3498&lt;($D$6-$C$6)/($E$6-$C$6),$C$6+SQRT($AB3498*($E$6-$C$6)*($D$6-$C$6)),$E$6-SQRT((1-$AB3498)*($E$6-$C$6)*($E$6-$D$6)))</f>
        <v/>
      </c>
      <c r="O3498" s="14">
        <f>_xlfn.NORM.INV($AC3498,$C$7,$D$7)</f>
        <v/>
      </c>
      <c r="P3498" s="14">
        <f>$C$8+($D$8-$C$8)*$AD3498</f>
        <v/>
      </c>
      <c r="Q3498" s="14">
        <f>$C$9</f>
        <v/>
      </c>
      <c r="R3498" s="14">
        <f>_xlfn.LOGNORM.INV($AF3498,LN($C$10)-0.5*LN(1+($D$10/$C$10)^2),SQRT(LN(1+($D$10/$C$10)^2)))</f>
        <v/>
      </c>
      <c r="S3498" s="14">
        <f>SUM(M3498:R3498)</f>
        <v/>
      </c>
      <c r="AA3498">
        <f>RAND()</f>
        <v/>
      </c>
      <c r="AB3498">
        <f>RAND()</f>
        <v/>
      </c>
      <c r="AC3498">
        <f>RAND()</f>
        <v/>
      </c>
      <c r="AD3498">
        <f>RAND()</f>
        <v/>
      </c>
      <c r="AE3498">
        <f>RAND()</f>
        <v/>
      </c>
      <c r="AF3498">
        <f>RAND()</f>
        <v/>
      </c>
    </row>
    <row r="3499">
      <c r="M3499" s="14">
        <f>_xlfn.BETA.INV($AA3499,1+4*($D$5-$C$5)/($E$5-$C$5),1+4*($E$5-$D$5)/($E$5-$C$5),$C$5,$E$5)</f>
        <v/>
      </c>
      <c r="N3499" s="14">
        <f>IF($AB3499&lt;($D$6-$C$6)/($E$6-$C$6),$C$6+SQRT($AB3499*($E$6-$C$6)*($D$6-$C$6)),$E$6-SQRT((1-$AB3499)*($E$6-$C$6)*($E$6-$D$6)))</f>
        <v/>
      </c>
      <c r="O3499" s="14">
        <f>_xlfn.NORM.INV($AC3499,$C$7,$D$7)</f>
        <v/>
      </c>
      <c r="P3499" s="14">
        <f>$C$8+($D$8-$C$8)*$AD3499</f>
        <v/>
      </c>
      <c r="Q3499" s="14">
        <f>$C$9</f>
        <v/>
      </c>
      <c r="R3499" s="14">
        <f>_xlfn.LOGNORM.INV($AF3499,LN($C$10)-0.5*LN(1+($D$10/$C$10)^2),SQRT(LN(1+($D$10/$C$10)^2)))</f>
        <v/>
      </c>
      <c r="S3499" s="14">
        <f>SUM(M3499:R3499)</f>
        <v/>
      </c>
      <c r="AA3499">
        <f>RAND()</f>
        <v/>
      </c>
      <c r="AB3499">
        <f>RAND()</f>
        <v/>
      </c>
      <c r="AC3499">
        <f>RAND()</f>
        <v/>
      </c>
      <c r="AD3499">
        <f>RAND()</f>
        <v/>
      </c>
      <c r="AE3499">
        <f>RAND()</f>
        <v/>
      </c>
      <c r="AF3499">
        <f>RAND()</f>
        <v/>
      </c>
    </row>
    <row r="3500">
      <c r="M3500" s="14">
        <f>_xlfn.BETA.INV($AA3500,1+4*($D$5-$C$5)/($E$5-$C$5),1+4*($E$5-$D$5)/($E$5-$C$5),$C$5,$E$5)</f>
        <v/>
      </c>
      <c r="N3500" s="14">
        <f>IF($AB3500&lt;($D$6-$C$6)/($E$6-$C$6),$C$6+SQRT($AB3500*($E$6-$C$6)*($D$6-$C$6)),$E$6-SQRT((1-$AB3500)*($E$6-$C$6)*($E$6-$D$6)))</f>
        <v/>
      </c>
      <c r="O3500" s="14">
        <f>_xlfn.NORM.INV($AC3500,$C$7,$D$7)</f>
        <v/>
      </c>
      <c r="P3500" s="14">
        <f>$C$8+($D$8-$C$8)*$AD3500</f>
        <v/>
      </c>
      <c r="Q3500" s="14">
        <f>$C$9</f>
        <v/>
      </c>
      <c r="R3500" s="14">
        <f>_xlfn.LOGNORM.INV($AF3500,LN($C$10)-0.5*LN(1+($D$10/$C$10)^2),SQRT(LN(1+($D$10/$C$10)^2)))</f>
        <v/>
      </c>
      <c r="S3500" s="14">
        <f>SUM(M3500:R3500)</f>
        <v/>
      </c>
      <c r="AA3500">
        <f>RAND()</f>
        <v/>
      </c>
      <c r="AB3500">
        <f>RAND()</f>
        <v/>
      </c>
      <c r="AC3500">
        <f>RAND()</f>
        <v/>
      </c>
      <c r="AD3500">
        <f>RAND()</f>
        <v/>
      </c>
      <c r="AE3500">
        <f>RAND()</f>
        <v/>
      </c>
      <c r="AF3500">
        <f>RAND()</f>
        <v/>
      </c>
    </row>
    <row r="3501">
      <c r="M3501" s="14">
        <f>_xlfn.BETA.INV($AA3501,1+4*($D$5-$C$5)/($E$5-$C$5),1+4*($E$5-$D$5)/($E$5-$C$5),$C$5,$E$5)</f>
        <v/>
      </c>
      <c r="N3501" s="14">
        <f>IF($AB3501&lt;($D$6-$C$6)/($E$6-$C$6),$C$6+SQRT($AB3501*($E$6-$C$6)*($D$6-$C$6)),$E$6-SQRT((1-$AB3501)*($E$6-$C$6)*($E$6-$D$6)))</f>
        <v/>
      </c>
      <c r="O3501" s="14">
        <f>_xlfn.NORM.INV($AC3501,$C$7,$D$7)</f>
        <v/>
      </c>
      <c r="P3501" s="14">
        <f>$C$8+($D$8-$C$8)*$AD3501</f>
        <v/>
      </c>
      <c r="Q3501" s="14">
        <f>$C$9</f>
        <v/>
      </c>
      <c r="R3501" s="14">
        <f>_xlfn.LOGNORM.INV($AF3501,LN($C$10)-0.5*LN(1+($D$10/$C$10)^2),SQRT(LN(1+($D$10/$C$10)^2)))</f>
        <v/>
      </c>
      <c r="S3501" s="14">
        <f>SUM(M3501:R3501)</f>
        <v/>
      </c>
      <c r="AA3501">
        <f>RAND()</f>
        <v/>
      </c>
      <c r="AB3501">
        <f>RAND()</f>
        <v/>
      </c>
      <c r="AC3501">
        <f>RAND()</f>
        <v/>
      </c>
      <c r="AD3501">
        <f>RAND()</f>
        <v/>
      </c>
      <c r="AE3501">
        <f>RAND()</f>
        <v/>
      </c>
      <c r="AF3501">
        <f>RAND()</f>
        <v/>
      </c>
    </row>
    <row r="3502">
      <c r="M3502" s="14">
        <f>_xlfn.BETA.INV($AA3502,1+4*($D$5-$C$5)/($E$5-$C$5),1+4*($E$5-$D$5)/($E$5-$C$5),$C$5,$E$5)</f>
        <v/>
      </c>
      <c r="N3502" s="14">
        <f>IF($AB3502&lt;($D$6-$C$6)/($E$6-$C$6),$C$6+SQRT($AB3502*($E$6-$C$6)*($D$6-$C$6)),$E$6-SQRT((1-$AB3502)*($E$6-$C$6)*($E$6-$D$6)))</f>
        <v/>
      </c>
      <c r="O3502" s="14">
        <f>_xlfn.NORM.INV($AC3502,$C$7,$D$7)</f>
        <v/>
      </c>
      <c r="P3502" s="14">
        <f>$C$8+($D$8-$C$8)*$AD3502</f>
        <v/>
      </c>
      <c r="Q3502" s="14">
        <f>$C$9</f>
        <v/>
      </c>
      <c r="R3502" s="14">
        <f>_xlfn.LOGNORM.INV($AF3502,LN($C$10)-0.5*LN(1+($D$10/$C$10)^2),SQRT(LN(1+($D$10/$C$10)^2)))</f>
        <v/>
      </c>
      <c r="S3502" s="14">
        <f>SUM(M3502:R3502)</f>
        <v/>
      </c>
      <c r="AA3502">
        <f>RAND()</f>
        <v/>
      </c>
      <c r="AB3502">
        <f>RAND()</f>
        <v/>
      </c>
      <c r="AC3502">
        <f>RAND()</f>
        <v/>
      </c>
      <c r="AD3502">
        <f>RAND()</f>
        <v/>
      </c>
      <c r="AE3502">
        <f>RAND()</f>
        <v/>
      </c>
      <c r="AF3502">
        <f>RAND()</f>
        <v/>
      </c>
    </row>
    <row r="3503">
      <c r="M3503" s="14">
        <f>_xlfn.BETA.INV($AA3503,1+4*($D$5-$C$5)/($E$5-$C$5),1+4*($E$5-$D$5)/($E$5-$C$5),$C$5,$E$5)</f>
        <v/>
      </c>
      <c r="N3503" s="14">
        <f>IF($AB3503&lt;($D$6-$C$6)/($E$6-$C$6),$C$6+SQRT($AB3503*($E$6-$C$6)*($D$6-$C$6)),$E$6-SQRT((1-$AB3503)*($E$6-$C$6)*($E$6-$D$6)))</f>
        <v/>
      </c>
      <c r="O3503" s="14">
        <f>_xlfn.NORM.INV($AC3503,$C$7,$D$7)</f>
        <v/>
      </c>
      <c r="P3503" s="14">
        <f>$C$8+($D$8-$C$8)*$AD3503</f>
        <v/>
      </c>
      <c r="Q3503" s="14">
        <f>$C$9</f>
        <v/>
      </c>
      <c r="R3503" s="14">
        <f>_xlfn.LOGNORM.INV($AF3503,LN($C$10)-0.5*LN(1+($D$10/$C$10)^2),SQRT(LN(1+($D$10/$C$10)^2)))</f>
        <v/>
      </c>
      <c r="S3503" s="14">
        <f>SUM(M3503:R3503)</f>
        <v/>
      </c>
      <c r="AA3503">
        <f>RAND()</f>
        <v/>
      </c>
      <c r="AB3503">
        <f>RAND()</f>
        <v/>
      </c>
      <c r="AC3503">
        <f>RAND()</f>
        <v/>
      </c>
      <c r="AD3503">
        <f>RAND()</f>
        <v/>
      </c>
      <c r="AE3503">
        <f>RAND()</f>
        <v/>
      </c>
      <c r="AF3503">
        <f>RAND()</f>
        <v/>
      </c>
    </row>
    <row r="3504">
      <c r="M3504" s="14">
        <f>_xlfn.BETA.INV($AA3504,1+4*($D$5-$C$5)/($E$5-$C$5),1+4*($E$5-$D$5)/($E$5-$C$5),$C$5,$E$5)</f>
        <v/>
      </c>
      <c r="N3504" s="14">
        <f>IF($AB3504&lt;($D$6-$C$6)/($E$6-$C$6),$C$6+SQRT($AB3504*($E$6-$C$6)*($D$6-$C$6)),$E$6-SQRT((1-$AB3504)*($E$6-$C$6)*($E$6-$D$6)))</f>
        <v/>
      </c>
      <c r="O3504" s="14">
        <f>_xlfn.NORM.INV($AC3504,$C$7,$D$7)</f>
        <v/>
      </c>
      <c r="P3504" s="14">
        <f>$C$8+($D$8-$C$8)*$AD3504</f>
        <v/>
      </c>
      <c r="Q3504" s="14">
        <f>$C$9</f>
        <v/>
      </c>
      <c r="R3504" s="14">
        <f>_xlfn.LOGNORM.INV($AF3504,LN($C$10)-0.5*LN(1+($D$10/$C$10)^2),SQRT(LN(1+($D$10/$C$10)^2)))</f>
        <v/>
      </c>
      <c r="S3504" s="14">
        <f>SUM(M3504:R3504)</f>
        <v/>
      </c>
      <c r="AA3504">
        <f>RAND()</f>
        <v/>
      </c>
      <c r="AB3504">
        <f>RAND()</f>
        <v/>
      </c>
      <c r="AC3504">
        <f>RAND()</f>
        <v/>
      </c>
      <c r="AD3504">
        <f>RAND()</f>
        <v/>
      </c>
      <c r="AE3504">
        <f>RAND()</f>
        <v/>
      </c>
      <c r="AF3504">
        <f>RAND()</f>
        <v/>
      </c>
    </row>
    <row r="3505">
      <c r="M3505" s="14">
        <f>_xlfn.BETA.INV($AA3505,1+4*($D$5-$C$5)/($E$5-$C$5),1+4*($E$5-$D$5)/($E$5-$C$5),$C$5,$E$5)</f>
        <v/>
      </c>
      <c r="N3505" s="14">
        <f>IF($AB3505&lt;($D$6-$C$6)/($E$6-$C$6),$C$6+SQRT($AB3505*($E$6-$C$6)*($D$6-$C$6)),$E$6-SQRT((1-$AB3505)*($E$6-$C$6)*($E$6-$D$6)))</f>
        <v/>
      </c>
      <c r="O3505" s="14">
        <f>_xlfn.NORM.INV($AC3505,$C$7,$D$7)</f>
        <v/>
      </c>
      <c r="P3505" s="14">
        <f>$C$8+($D$8-$C$8)*$AD3505</f>
        <v/>
      </c>
      <c r="Q3505" s="14">
        <f>$C$9</f>
        <v/>
      </c>
      <c r="R3505" s="14">
        <f>_xlfn.LOGNORM.INV($AF3505,LN($C$10)-0.5*LN(1+($D$10/$C$10)^2),SQRT(LN(1+($D$10/$C$10)^2)))</f>
        <v/>
      </c>
      <c r="S3505" s="14">
        <f>SUM(M3505:R3505)</f>
        <v/>
      </c>
      <c r="AA3505">
        <f>RAND()</f>
        <v/>
      </c>
      <c r="AB3505">
        <f>RAND()</f>
        <v/>
      </c>
      <c r="AC3505">
        <f>RAND()</f>
        <v/>
      </c>
      <c r="AD3505">
        <f>RAND()</f>
        <v/>
      </c>
      <c r="AE3505">
        <f>RAND()</f>
        <v/>
      </c>
      <c r="AF3505">
        <f>RAND()</f>
        <v/>
      </c>
    </row>
    <row r="3506">
      <c r="M3506" s="14">
        <f>_xlfn.BETA.INV($AA3506,1+4*($D$5-$C$5)/($E$5-$C$5),1+4*($E$5-$D$5)/($E$5-$C$5),$C$5,$E$5)</f>
        <v/>
      </c>
      <c r="N3506" s="14">
        <f>IF($AB3506&lt;($D$6-$C$6)/($E$6-$C$6),$C$6+SQRT($AB3506*($E$6-$C$6)*($D$6-$C$6)),$E$6-SQRT((1-$AB3506)*($E$6-$C$6)*($E$6-$D$6)))</f>
        <v/>
      </c>
      <c r="O3506" s="14">
        <f>_xlfn.NORM.INV($AC3506,$C$7,$D$7)</f>
        <v/>
      </c>
      <c r="P3506" s="14">
        <f>$C$8+($D$8-$C$8)*$AD3506</f>
        <v/>
      </c>
      <c r="Q3506" s="14">
        <f>$C$9</f>
        <v/>
      </c>
      <c r="R3506" s="14">
        <f>_xlfn.LOGNORM.INV($AF3506,LN($C$10)-0.5*LN(1+($D$10/$C$10)^2),SQRT(LN(1+($D$10/$C$10)^2)))</f>
        <v/>
      </c>
      <c r="S3506" s="14">
        <f>SUM(M3506:R3506)</f>
        <v/>
      </c>
      <c r="AA3506">
        <f>RAND()</f>
        <v/>
      </c>
      <c r="AB3506">
        <f>RAND()</f>
        <v/>
      </c>
      <c r="AC3506">
        <f>RAND()</f>
        <v/>
      </c>
      <c r="AD3506">
        <f>RAND()</f>
        <v/>
      </c>
      <c r="AE3506">
        <f>RAND()</f>
        <v/>
      </c>
      <c r="AF3506">
        <f>RAND()</f>
        <v/>
      </c>
    </row>
    <row r="3507">
      <c r="M3507" s="14">
        <f>_xlfn.BETA.INV($AA3507,1+4*($D$5-$C$5)/($E$5-$C$5),1+4*($E$5-$D$5)/($E$5-$C$5),$C$5,$E$5)</f>
        <v/>
      </c>
      <c r="N3507" s="14">
        <f>IF($AB3507&lt;($D$6-$C$6)/($E$6-$C$6),$C$6+SQRT($AB3507*($E$6-$C$6)*($D$6-$C$6)),$E$6-SQRT((1-$AB3507)*($E$6-$C$6)*($E$6-$D$6)))</f>
        <v/>
      </c>
      <c r="O3507" s="14">
        <f>_xlfn.NORM.INV($AC3507,$C$7,$D$7)</f>
        <v/>
      </c>
      <c r="P3507" s="14">
        <f>$C$8+($D$8-$C$8)*$AD3507</f>
        <v/>
      </c>
      <c r="Q3507" s="14">
        <f>$C$9</f>
        <v/>
      </c>
      <c r="R3507" s="14">
        <f>_xlfn.LOGNORM.INV($AF3507,LN($C$10)-0.5*LN(1+($D$10/$C$10)^2),SQRT(LN(1+($D$10/$C$10)^2)))</f>
        <v/>
      </c>
      <c r="S3507" s="14">
        <f>SUM(M3507:R3507)</f>
        <v/>
      </c>
      <c r="AA3507">
        <f>RAND()</f>
        <v/>
      </c>
      <c r="AB3507">
        <f>RAND()</f>
        <v/>
      </c>
      <c r="AC3507">
        <f>RAND()</f>
        <v/>
      </c>
      <c r="AD3507">
        <f>RAND()</f>
        <v/>
      </c>
      <c r="AE3507">
        <f>RAND()</f>
        <v/>
      </c>
      <c r="AF3507">
        <f>RAND()</f>
        <v/>
      </c>
    </row>
    <row r="3508">
      <c r="M3508" s="14">
        <f>_xlfn.BETA.INV($AA3508,1+4*($D$5-$C$5)/($E$5-$C$5),1+4*($E$5-$D$5)/($E$5-$C$5),$C$5,$E$5)</f>
        <v/>
      </c>
      <c r="N3508" s="14">
        <f>IF($AB3508&lt;($D$6-$C$6)/($E$6-$C$6),$C$6+SQRT($AB3508*($E$6-$C$6)*($D$6-$C$6)),$E$6-SQRT((1-$AB3508)*($E$6-$C$6)*($E$6-$D$6)))</f>
        <v/>
      </c>
      <c r="O3508" s="14">
        <f>_xlfn.NORM.INV($AC3508,$C$7,$D$7)</f>
        <v/>
      </c>
      <c r="P3508" s="14">
        <f>$C$8+($D$8-$C$8)*$AD3508</f>
        <v/>
      </c>
      <c r="Q3508" s="14">
        <f>$C$9</f>
        <v/>
      </c>
      <c r="R3508" s="14">
        <f>_xlfn.LOGNORM.INV($AF3508,LN($C$10)-0.5*LN(1+($D$10/$C$10)^2),SQRT(LN(1+($D$10/$C$10)^2)))</f>
        <v/>
      </c>
      <c r="S3508" s="14">
        <f>SUM(M3508:R3508)</f>
        <v/>
      </c>
      <c r="AA3508">
        <f>RAND()</f>
        <v/>
      </c>
      <c r="AB3508">
        <f>RAND()</f>
        <v/>
      </c>
      <c r="AC3508">
        <f>RAND()</f>
        <v/>
      </c>
      <c r="AD3508">
        <f>RAND()</f>
        <v/>
      </c>
      <c r="AE3508">
        <f>RAND()</f>
        <v/>
      </c>
      <c r="AF3508">
        <f>RAND()</f>
        <v/>
      </c>
    </row>
    <row r="3509">
      <c r="M3509" s="14">
        <f>_xlfn.BETA.INV($AA3509,1+4*($D$5-$C$5)/($E$5-$C$5),1+4*($E$5-$D$5)/($E$5-$C$5),$C$5,$E$5)</f>
        <v/>
      </c>
      <c r="N3509" s="14">
        <f>IF($AB3509&lt;($D$6-$C$6)/($E$6-$C$6),$C$6+SQRT($AB3509*($E$6-$C$6)*($D$6-$C$6)),$E$6-SQRT((1-$AB3509)*($E$6-$C$6)*($E$6-$D$6)))</f>
        <v/>
      </c>
      <c r="O3509" s="14">
        <f>_xlfn.NORM.INV($AC3509,$C$7,$D$7)</f>
        <v/>
      </c>
      <c r="P3509" s="14">
        <f>$C$8+($D$8-$C$8)*$AD3509</f>
        <v/>
      </c>
      <c r="Q3509" s="14">
        <f>$C$9</f>
        <v/>
      </c>
      <c r="R3509" s="14">
        <f>_xlfn.LOGNORM.INV($AF3509,LN($C$10)-0.5*LN(1+($D$10/$C$10)^2),SQRT(LN(1+($D$10/$C$10)^2)))</f>
        <v/>
      </c>
      <c r="S3509" s="14">
        <f>SUM(M3509:R3509)</f>
        <v/>
      </c>
      <c r="AA3509">
        <f>RAND()</f>
        <v/>
      </c>
      <c r="AB3509">
        <f>RAND()</f>
        <v/>
      </c>
      <c r="AC3509">
        <f>RAND()</f>
        <v/>
      </c>
      <c r="AD3509">
        <f>RAND()</f>
        <v/>
      </c>
      <c r="AE3509">
        <f>RAND()</f>
        <v/>
      </c>
      <c r="AF3509">
        <f>RAND()</f>
        <v/>
      </c>
    </row>
    <row r="3510">
      <c r="M3510" s="14">
        <f>_xlfn.BETA.INV($AA3510,1+4*($D$5-$C$5)/($E$5-$C$5),1+4*($E$5-$D$5)/($E$5-$C$5),$C$5,$E$5)</f>
        <v/>
      </c>
      <c r="N3510" s="14">
        <f>IF($AB3510&lt;($D$6-$C$6)/($E$6-$C$6),$C$6+SQRT($AB3510*($E$6-$C$6)*($D$6-$C$6)),$E$6-SQRT((1-$AB3510)*($E$6-$C$6)*($E$6-$D$6)))</f>
        <v/>
      </c>
      <c r="O3510" s="14">
        <f>_xlfn.NORM.INV($AC3510,$C$7,$D$7)</f>
        <v/>
      </c>
      <c r="P3510" s="14">
        <f>$C$8+($D$8-$C$8)*$AD3510</f>
        <v/>
      </c>
      <c r="Q3510" s="14">
        <f>$C$9</f>
        <v/>
      </c>
      <c r="R3510" s="14">
        <f>_xlfn.LOGNORM.INV($AF3510,LN($C$10)-0.5*LN(1+($D$10/$C$10)^2),SQRT(LN(1+($D$10/$C$10)^2)))</f>
        <v/>
      </c>
      <c r="S3510" s="14">
        <f>SUM(M3510:R3510)</f>
        <v/>
      </c>
      <c r="AA3510">
        <f>RAND()</f>
        <v/>
      </c>
      <c r="AB3510">
        <f>RAND()</f>
        <v/>
      </c>
      <c r="AC3510">
        <f>RAND()</f>
        <v/>
      </c>
      <c r="AD3510">
        <f>RAND()</f>
        <v/>
      </c>
      <c r="AE3510">
        <f>RAND()</f>
        <v/>
      </c>
      <c r="AF3510">
        <f>RAND()</f>
        <v/>
      </c>
    </row>
    <row r="3511">
      <c r="M3511" s="14">
        <f>_xlfn.BETA.INV($AA3511,1+4*($D$5-$C$5)/($E$5-$C$5),1+4*($E$5-$D$5)/($E$5-$C$5),$C$5,$E$5)</f>
        <v/>
      </c>
      <c r="N3511" s="14">
        <f>IF($AB3511&lt;($D$6-$C$6)/($E$6-$C$6),$C$6+SQRT($AB3511*($E$6-$C$6)*($D$6-$C$6)),$E$6-SQRT((1-$AB3511)*($E$6-$C$6)*($E$6-$D$6)))</f>
        <v/>
      </c>
      <c r="O3511" s="14">
        <f>_xlfn.NORM.INV($AC3511,$C$7,$D$7)</f>
        <v/>
      </c>
      <c r="P3511" s="14">
        <f>$C$8+($D$8-$C$8)*$AD3511</f>
        <v/>
      </c>
      <c r="Q3511" s="14">
        <f>$C$9</f>
        <v/>
      </c>
      <c r="R3511" s="14">
        <f>_xlfn.LOGNORM.INV($AF3511,LN($C$10)-0.5*LN(1+($D$10/$C$10)^2),SQRT(LN(1+($D$10/$C$10)^2)))</f>
        <v/>
      </c>
      <c r="S3511" s="14">
        <f>SUM(M3511:R3511)</f>
        <v/>
      </c>
      <c r="AA3511">
        <f>RAND()</f>
        <v/>
      </c>
      <c r="AB3511">
        <f>RAND()</f>
        <v/>
      </c>
      <c r="AC3511">
        <f>RAND()</f>
        <v/>
      </c>
      <c r="AD3511">
        <f>RAND()</f>
        <v/>
      </c>
      <c r="AE3511">
        <f>RAND()</f>
        <v/>
      </c>
      <c r="AF3511">
        <f>RAND()</f>
        <v/>
      </c>
    </row>
    <row r="3512">
      <c r="M3512" s="14">
        <f>_xlfn.BETA.INV($AA3512,1+4*($D$5-$C$5)/($E$5-$C$5),1+4*($E$5-$D$5)/($E$5-$C$5),$C$5,$E$5)</f>
        <v/>
      </c>
      <c r="N3512" s="14">
        <f>IF($AB3512&lt;($D$6-$C$6)/($E$6-$C$6),$C$6+SQRT($AB3512*($E$6-$C$6)*($D$6-$C$6)),$E$6-SQRT((1-$AB3512)*($E$6-$C$6)*($E$6-$D$6)))</f>
        <v/>
      </c>
      <c r="O3512" s="14">
        <f>_xlfn.NORM.INV($AC3512,$C$7,$D$7)</f>
        <v/>
      </c>
      <c r="P3512" s="14">
        <f>$C$8+($D$8-$C$8)*$AD3512</f>
        <v/>
      </c>
      <c r="Q3512" s="14">
        <f>$C$9</f>
        <v/>
      </c>
      <c r="R3512" s="14">
        <f>_xlfn.LOGNORM.INV($AF3512,LN($C$10)-0.5*LN(1+($D$10/$C$10)^2),SQRT(LN(1+($D$10/$C$10)^2)))</f>
        <v/>
      </c>
      <c r="S3512" s="14">
        <f>SUM(M3512:R3512)</f>
        <v/>
      </c>
      <c r="AA3512">
        <f>RAND()</f>
        <v/>
      </c>
      <c r="AB3512">
        <f>RAND()</f>
        <v/>
      </c>
      <c r="AC3512">
        <f>RAND()</f>
        <v/>
      </c>
      <c r="AD3512">
        <f>RAND()</f>
        <v/>
      </c>
      <c r="AE3512">
        <f>RAND()</f>
        <v/>
      </c>
      <c r="AF3512">
        <f>RAND()</f>
        <v/>
      </c>
    </row>
    <row r="3513">
      <c r="M3513" s="14">
        <f>_xlfn.BETA.INV($AA3513,1+4*($D$5-$C$5)/($E$5-$C$5),1+4*($E$5-$D$5)/($E$5-$C$5),$C$5,$E$5)</f>
        <v/>
      </c>
      <c r="N3513" s="14">
        <f>IF($AB3513&lt;($D$6-$C$6)/($E$6-$C$6),$C$6+SQRT($AB3513*($E$6-$C$6)*($D$6-$C$6)),$E$6-SQRT((1-$AB3513)*($E$6-$C$6)*($E$6-$D$6)))</f>
        <v/>
      </c>
      <c r="O3513" s="14">
        <f>_xlfn.NORM.INV($AC3513,$C$7,$D$7)</f>
        <v/>
      </c>
      <c r="P3513" s="14">
        <f>$C$8+($D$8-$C$8)*$AD3513</f>
        <v/>
      </c>
      <c r="Q3513" s="14">
        <f>$C$9</f>
        <v/>
      </c>
      <c r="R3513" s="14">
        <f>_xlfn.LOGNORM.INV($AF3513,LN($C$10)-0.5*LN(1+($D$10/$C$10)^2),SQRT(LN(1+($D$10/$C$10)^2)))</f>
        <v/>
      </c>
      <c r="S3513" s="14">
        <f>SUM(M3513:R3513)</f>
        <v/>
      </c>
      <c r="AA3513">
        <f>RAND()</f>
        <v/>
      </c>
      <c r="AB3513">
        <f>RAND()</f>
        <v/>
      </c>
      <c r="AC3513">
        <f>RAND()</f>
        <v/>
      </c>
      <c r="AD3513">
        <f>RAND()</f>
        <v/>
      </c>
      <c r="AE3513">
        <f>RAND()</f>
        <v/>
      </c>
      <c r="AF3513">
        <f>RAND()</f>
        <v/>
      </c>
    </row>
    <row r="3514">
      <c r="M3514" s="14">
        <f>_xlfn.BETA.INV($AA3514,1+4*($D$5-$C$5)/($E$5-$C$5),1+4*($E$5-$D$5)/($E$5-$C$5),$C$5,$E$5)</f>
        <v/>
      </c>
      <c r="N3514" s="14">
        <f>IF($AB3514&lt;($D$6-$C$6)/($E$6-$C$6),$C$6+SQRT($AB3514*($E$6-$C$6)*($D$6-$C$6)),$E$6-SQRT((1-$AB3514)*($E$6-$C$6)*($E$6-$D$6)))</f>
        <v/>
      </c>
      <c r="O3514" s="14">
        <f>_xlfn.NORM.INV($AC3514,$C$7,$D$7)</f>
        <v/>
      </c>
      <c r="P3514" s="14">
        <f>$C$8+($D$8-$C$8)*$AD3514</f>
        <v/>
      </c>
      <c r="Q3514" s="14">
        <f>$C$9</f>
        <v/>
      </c>
      <c r="R3514" s="14">
        <f>_xlfn.LOGNORM.INV($AF3514,LN($C$10)-0.5*LN(1+($D$10/$C$10)^2),SQRT(LN(1+($D$10/$C$10)^2)))</f>
        <v/>
      </c>
      <c r="S3514" s="14">
        <f>SUM(M3514:R3514)</f>
        <v/>
      </c>
      <c r="AA3514">
        <f>RAND()</f>
        <v/>
      </c>
      <c r="AB3514">
        <f>RAND()</f>
        <v/>
      </c>
      <c r="AC3514">
        <f>RAND()</f>
        <v/>
      </c>
      <c r="AD3514">
        <f>RAND()</f>
        <v/>
      </c>
      <c r="AE3514">
        <f>RAND()</f>
        <v/>
      </c>
      <c r="AF3514">
        <f>RAND()</f>
        <v/>
      </c>
    </row>
    <row r="3515">
      <c r="M3515" s="14">
        <f>_xlfn.BETA.INV($AA3515,1+4*($D$5-$C$5)/($E$5-$C$5),1+4*($E$5-$D$5)/($E$5-$C$5),$C$5,$E$5)</f>
        <v/>
      </c>
      <c r="N3515" s="14">
        <f>IF($AB3515&lt;($D$6-$C$6)/($E$6-$C$6),$C$6+SQRT($AB3515*($E$6-$C$6)*($D$6-$C$6)),$E$6-SQRT((1-$AB3515)*($E$6-$C$6)*($E$6-$D$6)))</f>
        <v/>
      </c>
      <c r="O3515" s="14">
        <f>_xlfn.NORM.INV($AC3515,$C$7,$D$7)</f>
        <v/>
      </c>
      <c r="P3515" s="14">
        <f>$C$8+($D$8-$C$8)*$AD3515</f>
        <v/>
      </c>
      <c r="Q3515" s="14">
        <f>$C$9</f>
        <v/>
      </c>
      <c r="R3515" s="14">
        <f>_xlfn.LOGNORM.INV($AF3515,LN($C$10)-0.5*LN(1+($D$10/$C$10)^2),SQRT(LN(1+($D$10/$C$10)^2)))</f>
        <v/>
      </c>
      <c r="S3515" s="14">
        <f>SUM(M3515:R3515)</f>
        <v/>
      </c>
      <c r="AA3515">
        <f>RAND()</f>
        <v/>
      </c>
      <c r="AB3515">
        <f>RAND()</f>
        <v/>
      </c>
      <c r="AC3515">
        <f>RAND()</f>
        <v/>
      </c>
      <c r="AD3515">
        <f>RAND()</f>
        <v/>
      </c>
      <c r="AE3515">
        <f>RAND()</f>
        <v/>
      </c>
      <c r="AF3515">
        <f>RAND()</f>
        <v/>
      </c>
    </row>
    <row r="3516">
      <c r="M3516" s="14">
        <f>_xlfn.BETA.INV($AA3516,1+4*($D$5-$C$5)/($E$5-$C$5),1+4*($E$5-$D$5)/($E$5-$C$5),$C$5,$E$5)</f>
        <v/>
      </c>
      <c r="N3516" s="14">
        <f>IF($AB3516&lt;($D$6-$C$6)/($E$6-$C$6),$C$6+SQRT($AB3516*($E$6-$C$6)*($D$6-$C$6)),$E$6-SQRT((1-$AB3516)*($E$6-$C$6)*($E$6-$D$6)))</f>
        <v/>
      </c>
      <c r="O3516" s="14">
        <f>_xlfn.NORM.INV($AC3516,$C$7,$D$7)</f>
        <v/>
      </c>
      <c r="P3516" s="14">
        <f>$C$8+($D$8-$C$8)*$AD3516</f>
        <v/>
      </c>
      <c r="Q3516" s="14">
        <f>$C$9</f>
        <v/>
      </c>
      <c r="R3516" s="14">
        <f>_xlfn.LOGNORM.INV($AF3516,LN($C$10)-0.5*LN(1+($D$10/$C$10)^2),SQRT(LN(1+($D$10/$C$10)^2)))</f>
        <v/>
      </c>
      <c r="S3516" s="14">
        <f>SUM(M3516:R3516)</f>
        <v/>
      </c>
      <c r="AA3516">
        <f>RAND()</f>
        <v/>
      </c>
      <c r="AB3516">
        <f>RAND()</f>
        <v/>
      </c>
      <c r="AC3516">
        <f>RAND()</f>
        <v/>
      </c>
      <c r="AD3516">
        <f>RAND()</f>
        <v/>
      </c>
      <c r="AE3516">
        <f>RAND()</f>
        <v/>
      </c>
      <c r="AF3516">
        <f>RAND()</f>
        <v/>
      </c>
    </row>
    <row r="3517">
      <c r="M3517" s="14">
        <f>_xlfn.BETA.INV($AA3517,1+4*($D$5-$C$5)/($E$5-$C$5),1+4*($E$5-$D$5)/($E$5-$C$5),$C$5,$E$5)</f>
        <v/>
      </c>
      <c r="N3517" s="14">
        <f>IF($AB3517&lt;($D$6-$C$6)/($E$6-$C$6),$C$6+SQRT($AB3517*($E$6-$C$6)*($D$6-$C$6)),$E$6-SQRT((1-$AB3517)*($E$6-$C$6)*($E$6-$D$6)))</f>
        <v/>
      </c>
      <c r="O3517" s="14">
        <f>_xlfn.NORM.INV($AC3517,$C$7,$D$7)</f>
        <v/>
      </c>
      <c r="P3517" s="14">
        <f>$C$8+($D$8-$C$8)*$AD3517</f>
        <v/>
      </c>
      <c r="Q3517" s="14">
        <f>$C$9</f>
        <v/>
      </c>
      <c r="R3517" s="14">
        <f>_xlfn.LOGNORM.INV($AF3517,LN($C$10)-0.5*LN(1+($D$10/$C$10)^2),SQRT(LN(1+($D$10/$C$10)^2)))</f>
        <v/>
      </c>
      <c r="S3517" s="14">
        <f>SUM(M3517:R3517)</f>
        <v/>
      </c>
      <c r="AA3517">
        <f>RAND()</f>
        <v/>
      </c>
      <c r="AB3517">
        <f>RAND()</f>
        <v/>
      </c>
      <c r="AC3517">
        <f>RAND()</f>
        <v/>
      </c>
      <c r="AD3517">
        <f>RAND()</f>
        <v/>
      </c>
      <c r="AE3517">
        <f>RAND()</f>
        <v/>
      </c>
      <c r="AF3517">
        <f>RAND()</f>
        <v/>
      </c>
    </row>
    <row r="3518">
      <c r="M3518" s="14">
        <f>_xlfn.BETA.INV($AA3518,1+4*($D$5-$C$5)/($E$5-$C$5),1+4*($E$5-$D$5)/($E$5-$C$5),$C$5,$E$5)</f>
        <v/>
      </c>
      <c r="N3518" s="14">
        <f>IF($AB3518&lt;($D$6-$C$6)/($E$6-$C$6),$C$6+SQRT($AB3518*($E$6-$C$6)*($D$6-$C$6)),$E$6-SQRT((1-$AB3518)*($E$6-$C$6)*($E$6-$D$6)))</f>
        <v/>
      </c>
      <c r="O3518" s="14">
        <f>_xlfn.NORM.INV($AC3518,$C$7,$D$7)</f>
        <v/>
      </c>
      <c r="P3518" s="14">
        <f>$C$8+($D$8-$C$8)*$AD3518</f>
        <v/>
      </c>
      <c r="Q3518" s="14">
        <f>$C$9</f>
        <v/>
      </c>
      <c r="R3518" s="14">
        <f>_xlfn.LOGNORM.INV($AF3518,LN($C$10)-0.5*LN(1+($D$10/$C$10)^2),SQRT(LN(1+($D$10/$C$10)^2)))</f>
        <v/>
      </c>
      <c r="S3518" s="14">
        <f>SUM(M3518:R3518)</f>
        <v/>
      </c>
      <c r="AA3518">
        <f>RAND()</f>
        <v/>
      </c>
      <c r="AB3518">
        <f>RAND()</f>
        <v/>
      </c>
      <c r="AC3518">
        <f>RAND()</f>
        <v/>
      </c>
      <c r="AD3518">
        <f>RAND()</f>
        <v/>
      </c>
      <c r="AE3518">
        <f>RAND()</f>
        <v/>
      </c>
      <c r="AF3518">
        <f>RAND()</f>
        <v/>
      </c>
    </row>
    <row r="3519">
      <c r="M3519" s="14">
        <f>_xlfn.BETA.INV($AA3519,1+4*($D$5-$C$5)/($E$5-$C$5),1+4*($E$5-$D$5)/($E$5-$C$5),$C$5,$E$5)</f>
        <v/>
      </c>
      <c r="N3519" s="14">
        <f>IF($AB3519&lt;($D$6-$C$6)/($E$6-$C$6),$C$6+SQRT($AB3519*($E$6-$C$6)*($D$6-$C$6)),$E$6-SQRT((1-$AB3519)*($E$6-$C$6)*($E$6-$D$6)))</f>
        <v/>
      </c>
      <c r="O3519" s="14">
        <f>_xlfn.NORM.INV($AC3519,$C$7,$D$7)</f>
        <v/>
      </c>
      <c r="P3519" s="14">
        <f>$C$8+($D$8-$C$8)*$AD3519</f>
        <v/>
      </c>
      <c r="Q3519" s="14">
        <f>$C$9</f>
        <v/>
      </c>
      <c r="R3519" s="14">
        <f>_xlfn.LOGNORM.INV($AF3519,LN($C$10)-0.5*LN(1+($D$10/$C$10)^2),SQRT(LN(1+($D$10/$C$10)^2)))</f>
        <v/>
      </c>
      <c r="S3519" s="14">
        <f>SUM(M3519:R3519)</f>
        <v/>
      </c>
      <c r="AA3519">
        <f>RAND()</f>
        <v/>
      </c>
      <c r="AB3519">
        <f>RAND()</f>
        <v/>
      </c>
      <c r="AC3519">
        <f>RAND()</f>
        <v/>
      </c>
      <c r="AD3519">
        <f>RAND()</f>
        <v/>
      </c>
      <c r="AE3519">
        <f>RAND()</f>
        <v/>
      </c>
      <c r="AF3519">
        <f>RAND()</f>
        <v/>
      </c>
    </row>
    <row r="3520">
      <c r="M3520" s="14">
        <f>_xlfn.BETA.INV($AA3520,1+4*($D$5-$C$5)/($E$5-$C$5),1+4*($E$5-$D$5)/($E$5-$C$5),$C$5,$E$5)</f>
        <v/>
      </c>
      <c r="N3520" s="14">
        <f>IF($AB3520&lt;($D$6-$C$6)/($E$6-$C$6),$C$6+SQRT($AB3520*($E$6-$C$6)*($D$6-$C$6)),$E$6-SQRT((1-$AB3520)*($E$6-$C$6)*($E$6-$D$6)))</f>
        <v/>
      </c>
      <c r="O3520" s="14">
        <f>_xlfn.NORM.INV($AC3520,$C$7,$D$7)</f>
        <v/>
      </c>
      <c r="P3520" s="14">
        <f>$C$8+($D$8-$C$8)*$AD3520</f>
        <v/>
      </c>
      <c r="Q3520" s="14">
        <f>$C$9</f>
        <v/>
      </c>
      <c r="R3520" s="14">
        <f>_xlfn.LOGNORM.INV($AF3520,LN($C$10)-0.5*LN(1+($D$10/$C$10)^2),SQRT(LN(1+($D$10/$C$10)^2)))</f>
        <v/>
      </c>
      <c r="S3520" s="14">
        <f>SUM(M3520:R3520)</f>
        <v/>
      </c>
      <c r="AA3520">
        <f>RAND()</f>
        <v/>
      </c>
      <c r="AB3520">
        <f>RAND()</f>
        <v/>
      </c>
      <c r="AC3520">
        <f>RAND()</f>
        <v/>
      </c>
      <c r="AD3520">
        <f>RAND()</f>
        <v/>
      </c>
      <c r="AE3520">
        <f>RAND()</f>
        <v/>
      </c>
      <c r="AF3520">
        <f>RAND()</f>
        <v/>
      </c>
    </row>
    <row r="3521">
      <c r="M3521" s="14">
        <f>_xlfn.BETA.INV($AA3521,1+4*($D$5-$C$5)/($E$5-$C$5),1+4*($E$5-$D$5)/($E$5-$C$5),$C$5,$E$5)</f>
        <v/>
      </c>
      <c r="N3521" s="14">
        <f>IF($AB3521&lt;($D$6-$C$6)/($E$6-$C$6),$C$6+SQRT($AB3521*($E$6-$C$6)*($D$6-$C$6)),$E$6-SQRT((1-$AB3521)*($E$6-$C$6)*($E$6-$D$6)))</f>
        <v/>
      </c>
      <c r="O3521" s="14">
        <f>_xlfn.NORM.INV($AC3521,$C$7,$D$7)</f>
        <v/>
      </c>
      <c r="P3521" s="14">
        <f>$C$8+($D$8-$C$8)*$AD3521</f>
        <v/>
      </c>
      <c r="Q3521" s="14">
        <f>$C$9</f>
        <v/>
      </c>
      <c r="R3521" s="14">
        <f>_xlfn.LOGNORM.INV($AF3521,LN($C$10)-0.5*LN(1+($D$10/$C$10)^2),SQRT(LN(1+($D$10/$C$10)^2)))</f>
        <v/>
      </c>
      <c r="S3521" s="14">
        <f>SUM(M3521:R3521)</f>
        <v/>
      </c>
      <c r="AA3521">
        <f>RAND()</f>
        <v/>
      </c>
      <c r="AB3521">
        <f>RAND()</f>
        <v/>
      </c>
      <c r="AC3521">
        <f>RAND()</f>
        <v/>
      </c>
      <c r="AD3521">
        <f>RAND()</f>
        <v/>
      </c>
      <c r="AE3521">
        <f>RAND()</f>
        <v/>
      </c>
      <c r="AF3521">
        <f>RAND()</f>
        <v/>
      </c>
    </row>
    <row r="3522">
      <c r="M3522" s="14">
        <f>_xlfn.BETA.INV($AA3522,1+4*($D$5-$C$5)/($E$5-$C$5),1+4*($E$5-$D$5)/($E$5-$C$5),$C$5,$E$5)</f>
        <v/>
      </c>
      <c r="N3522" s="14">
        <f>IF($AB3522&lt;($D$6-$C$6)/($E$6-$C$6),$C$6+SQRT($AB3522*($E$6-$C$6)*($D$6-$C$6)),$E$6-SQRT((1-$AB3522)*($E$6-$C$6)*($E$6-$D$6)))</f>
        <v/>
      </c>
      <c r="O3522" s="14">
        <f>_xlfn.NORM.INV($AC3522,$C$7,$D$7)</f>
        <v/>
      </c>
      <c r="P3522" s="14">
        <f>$C$8+($D$8-$C$8)*$AD3522</f>
        <v/>
      </c>
      <c r="Q3522" s="14">
        <f>$C$9</f>
        <v/>
      </c>
      <c r="R3522" s="14">
        <f>_xlfn.LOGNORM.INV($AF3522,LN($C$10)-0.5*LN(1+($D$10/$C$10)^2),SQRT(LN(1+($D$10/$C$10)^2)))</f>
        <v/>
      </c>
      <c r="S3522" s="14">
        <f>SUM(M3522:R3522)</f>
        <v/>
      </c>
      <c r="AA3522">
        <f>RAND()</f>
        <v/>
      </c>
      <c r="AB3522">
        <f>RAND()</f>
        <v/>
      </c>
      <c r="AC3522">
        <f>RAND()</f>
        <v/>
      </c>
      <c r="AD3522">
        <f>RAND()</f>
        <v/>
      </c>
      <c r="AE3522">
        <f>RAND()</f>
        <v/>
      </c>
      <c r="AF3522">
        <f>RAND()</f>
        <v/>
      </c>
    </row>
    <row r="3523">
      <c r="M3523" s="14">
        <f>_xlfn.BETA.INV($AA3523,1+4*($D$5-$C$5)/($E$5-$C$5),1+4*($E$5-$D$5)/($E$5-$C$5),$C$5,$E$5)</f>
        <v/>
      </c>
      <c r="N3523" s="14">
        <f>IF($AB3523&lt;($D$6-$C$6)/($E$6-$C$6),$C$6+SQRT($AB3523*($E$6-$C$6)*($D$6-$C$6)),$E$6-SQRT((1-$AB3523)*($E$6-$C$6)*($E$6-$D$6)))</f>
        <v/>
      </c>
      <c r="O3523" s="14">
        <f>_xlfn.NORM.INV($AC3523,$C$7,$D$7)</f>
        <v/>
      </c>
      <c r="P3523" s="14">
        <f>$C$8+($D$8-$C$8)*$AD3523</f>
        <v/>
      </c>
      <c r="Q3523" s="14">
        <f>$C$9</f>
        <v/>
      </c>
      <c r="R3523" s="14">
        <f>_xlfn.LOGNORM.INV($AF3523,LN($C$10)-0.5*LN(1+($D$10/$C$10)^2),SQRT(LN(1+($D$10/$C$10)^2)))</f>
        <v/>
      </c>
      <c r="S3523" s="14">
        <f>SUM(M3523:R3523)</f>
        <v/>
      </c>
      <c r="AA3523">
        <f>RAND()</f>
        <v/>
      </c>
      <c r="AB3523">
        <f>RAND()</f>
        <v/>
      </c>
      <c r="AC3523">
        <f>RAND()</f>
        <v/>
      </c>
      <c r="AD3523">
        <f>RAND()</f>
        <v/>
      </c>
      <c r="AE3523">
        <f>RAND()</f>
        <v/>
      </c>
      <c r="AF3523">
        <f>RAND()</f>
        <v/>
      </c>
    </row>
    <row r="3524">
      <c r="M3524" s="14">
        <f>_xlfn.BETA.INV($AA3524,1+4*($D$5-$C$5)/($E$5-$C$5),1+4*($E$5-$D$5)/($E$5-$C$5),$C$5,$E$5)</f>
        <v/>
      </c>
      <c r="N3524" s="14">
        <f>IF($AB3524&lt;($D$6-$C$6)/($E$6-$C$6),$C$6+SQRT($AB3524*($E$6-$C$6)*($D$6-$C$6)),$E$6-SQRT((1-$AB3524)*($E$6-$C$6)*($E$6-$D$6)))</f>
        <v/>
      </c>
      <c r="O3524" s="14">
        <f>_xlfn.NORM.INV($AC3524,$C$7,$D$7)</f>
        <v/>
      </c>
      <c r="P3524" s="14">
        <f>$C$8+($D$8-$C$8)*$AD3524</f>
        <v/>
      </c>
      <c r="Q3524" s="14">
        <f>$C$9</f>
        <v/>
      </c>
      <c r="R3524" s="14">
        <f>_xlfn.LOGNORM.INV($AF3524,LN($C$10)-0.5*LN(1+($D$10/$C$10)^2),SQRT(LN(1+($D$10/$C$10)^2)))</f>
        <v/>
      </c>
      <c r="S3524" s="14">
        <f>SUM(M3524:R3524)</f>
        <v/>
      </c>
      <c r="AA3524">
        <f>RAND()</f>
        <v/>
      </c>
      <c r="AB3524">
        <f>RAND()</f>
        <v/>
      </c>
      <c r="AC3524">
        <f>RAND()</f>
        <v/>
      </c>
      <c r="AD3524">
        <f>RAND()</f>
        <v/>
      </c>
      <c r="AE3524">
        <f>RAND()</f>
        <v/>
      </c>
      <c r="AF3524">
        <f>RAND()</f>
        <v/>
      </c>
    </row>
    <row r="3525">
      <c r="M3525" s="14">
        <f>_xlfn.BETA.INV($AA3525,1+4*($D$5-$C$5)/($E$5-$C$5),1+4*($E$5-$D$5)/($E$5-$C$5),$C$5,$E$5)</f>
        <v/>
      </c>
      <c r="N3525" s="14">
        <f>IF($AB3525&lt;($D$6-$C$6)/($E$6-$C$6),$C$6+SQRT($AB3525*($E$6-$C$6)*($D$6-$C$6)),$E$6-SQRT((1-$AB3525)*($E$6-$C$6)*($E$6-$D$6)))</f>
        <v/>
      </c>
      <c r="O3525" s="14">
        <f>_xlfn.NORM.INV($AC3525,$C$7,$D$7)</f>
        <v/>
      </c>
      <c r="P3525" s="14">
        <f>$C$8+($D$8-$C$8)*$AD3525</f>
        <v/>
      </c>
      <c r="Q3525" s="14">
        <f>$C$9</f>
        <v/>
      </c>
      <c r="R3525" s="14">
        <f>_xlfn.LOGNORM.INV($AF3525,LN($C$10)-0.5*LN(1+($D$10/$C$10)^2),SQRT(LN(1+($D$10/$C$10)^2)))</f>
        <v/>
      </c>
      <c r="S3525" s="14">
        <f>SUM(M3525:R3525)</f>
        <v/>
      </c>
      <c r="AA3525">
        <f>RAND()</f>
        <v/>
      </c>
      <c r="AB3525">
        <f>RAND()</f>
        <v/>
      </c>
      <c r="AC3525">
        <f>RAND()</f>
        <v/>
      </c>
      <c r="AD3525">
        <f>RAND()</f>
        <v/>
      </c>
      <c r="AE3525">
        <f>RAND()</f>
        <v/>
      </c>
      <c r="AF3525">
        <f>RAND()</f>
        <v/>
      </c>
    </row>
    <row r="3526">
      <c r="M3526" s="14">
        <f>_xlfn.BETA.INV($AA3526,1+4*($D$5-$C$5)/($E$5-$C$5),1+4*($E$5-$D$5)/($E$5-$C$5),$C$5,$E$5)</f>
        <v/>
      </c>
      <c r="N3526" s="14">
        <f>IF($AB3526&lt;($D$6-$C$6)/($E$6-$C$6),$C$6+SQRT($AB3526*($E$6-$C$6)*($D$6-$C$6)),$E$6-SQRT((1-$AB3526)*($E$6-$C$6)*($E$6-$D$6)))</f>
        <v/>
      </c>
      <c r="O3526" s="14">
        <f>_xlfn.NORM.INV($AC3526,$C$7,$D$7)</f>
        <v/>
      </c>
      <c r="P3526" s="14">
        <f>$C$8+($D$8-$C$8)*$AD3526</f>
        <v/>
      </c>
      <c r="Q3526" s="14">
        <f>$C$9</f>
        <v/>
      </c>
      <c r="R3526" s="14">
        <f>_xlfn.LOGNORM.INV($AF3526,LN($C$10)-0.5*LN(1+($D$10/$C$10)^2),SQRT(LN(1+($D$10/$C$10)^2)))</f>
        <v/>
      </c>
      <c r="S3526" s="14">
        <f>SUM(M3526:R3526)</f>
        <v/>
      </c>
      <c r="AA3526">
        <f>RAND()</f>
        <v/>
      </c>
      <c r="AB3526">
        <f>RAND()</f>
        <v/>
      </c>
      <c r="AC3526">
        <f>RAND()</f>
        <v/>
      </c>
      <c r="AD3526">
        <f>RAND()</f>
        <v/>
      </c>
      <c r="AE3526">
        <f>RAND()</f>
        <v/>
      </c>
      <c r="AF3526">
        <f>RAND()</f>
        <v/>
      </c>
    </row>
    <row r="3527">
      <c r="M3527" s="14">
        <f>_xlfn.BETA.INV($AA3527,1+4*($D$5-$C$5)/($E$5-$C$5),1+4*($E$5-$D$5)/($E$5-$C$5),$C$5,$E$5)</f>
        <v/>
      </c>
      <c r="N3527" s="14">
        <f>IF($AB3527&lt;($D$6-$C$6)/($E$6-$C$6),$C$6+SQRT($AB3527*($E$6-$C$6)*($D$6-$C$6)),$E$6-SQRT((1-$AB3527)*($E$6-$C$6)*($E$6-$D$6)))</f>
        <v/>
      </c>
      <c r="O3527" s="14">
        <f>_xlfn.NORM.INV($AC3527,$C$7,$D$7)</f>
        <v/>
      </c>
      <c r="P3527" s="14">
        <f>$C$8+($D$8-$C$8)*$AD3527</f>
        <v/>
      </c>
      <c r="Q3527" s="14">
        <f>$C$9</f>
        <v/>
      </c>
      <c r="R3527" s="14">
        <f>_xlfn.LOGNORM.INV($AF3527,LN($C$10)-0.5*LN(1+($D$10/$C$10)^2),SQRT(LN(1+($D$10/$C$10)^2)))</f>
        <v/>
      </c>
      <c r="S3527" s="14">
        <f>SUM(M3527:R3527)</f>
        <v/>
      </c>
      <c r="AA3527">
        <f>RAND()</f>
        <v/>
      </c>
      <c r="AB3527">
        <f>RAND()</f>
        <v/>
      </c>
      <c r="AC3527">
        <f>RAND()</f>
        <v/>
      </c>
      <c r="AD3527">
        <f>RAND()</f>
        <v/>
      </c>
      <c r="AE3527">
        <f>RAND()</f>
        <v/>
      </c>
      <c r="AF3527">
        <f>RAND()</f>
        <v/>
      </c>
    </row>
    <row r="3528">
      <c r="M3528" s="14">
        <f>_xlfn.BETA.INV($AA3528,1+4*($D$5-$C$5)/($E$5-$C$5),1+4*($E$5-$D$5)/($E$5-$C$5),$C$5,$E$5)</f>
        <v/>
      </c>
      <c r="N3528" s="14">
        <f>IF($AB3528&lt;($D$6-$C$6)/($E$6-$C$6),$C$6+SQRT($AB3528*($E$6-$C$6)*($D$6-$C$6)),$E$6-SQRT((1-$AB3528)*($E$6-$C$6)*($E$6-$D$6)))</f>
        <v/>
      </c>
      <c r="O3528" s="14">
        <f>_xlfn.NORM.INV($AC3528,$C$7,$D$7)</f>
        <v/>
      </c>
      <c r="P3528" s="14">
        <f>$C$8+($D$8-$C$8)*$AD3528</f>
        <v/>
      </c>
      <c r="Q3528" s="14">
        <f>$C$9</f>
        <v/>
      </c>
      <c r="R3528" s="14">
        <f>_xlfn.LOGNORM.INV($AF3528,LN($C$10)-0.5*LN(1+($D$10/$C$10)^2),SQRT(LN(1+($D$10/$C$10)^2)))</f>
        <v/>
      </c>
      <c r="S3528" s="14">
        <f>SUM(M3528:R3528)</f>
        <v/>
      </c>
      <c r="AA3528">
        <f>RAND()</f>
        <v/>
      </c>
      <c r="AB3528">
        <f>RAND()</f>
        <v/>
      </c>
      <c r="AC3528">
        <f>RAND()</f>
        <v/>
      </c>
      <c r="AD3528">
        <f>RAND()</f>
        <v/>
      </c>
      <c r="AE3528">
        <f>RAND()</f>
        <v/>
      </c>
      <c r="AF3528">
        <f>RAND()</f>
        <v/>
      </c>
    </row>
    <row r="3529">
      <c r="M3529" s="14">
        <f>_xlfn.BETA.INV($AA3529,1+4*($D$5-$C$5)/($E$5-$C$5),1+4*($E$5-$D$5)/($E$5-$C$5),$C$5,$E$5)</f>
        <v/>
      </c>
      <c r="N3529" s="14">
        <f>IF($AB3529&lt;($D$6-$C$6)/($E$6-$C$6),$C$6+SQRT($AB3529*($E$6-$C$6)*($D$6-$C$6)),$E$6-SQRT((1-$AB3529)*($E$6-$C$6)*($E$6-$D$6)))</f>
        <v/>
      </c>
      <c r="O3529" s="14">
        <f>_xlfn.NORM.INV($AC3529,$C$7,$D$7)</f>
        <v/>
      </c>
      <c r="P3529" s="14">
        <f>$C$8+($D$8-$C$8)*$AD3529</f>
        <v/>
      </c>
      <c r="Q3529" s="14">
        <f>$C$9</f>
        <v/>
      </c>
      <c r="R3529" s="14">
        <f>_xlfn.LOGNORM.INV($AF3529,LN($C$10)-0.5*LN(1+($D$10/$C$10)^2),SQRT(LN(1+($D$10/$C$10)^2)))</f>
        <v/>
      </c>
      <c r="S3529" s="14">
        <f>SUM(M3529:R3529)</f>
        <v/>
      </c>
      <c r="AA3529">
        <f>RAND()</f>
        <v/>
      </c>
      <c r="AB3529">
        <f>RAND()</f>
        <v/>
      </c>
      <c r="AC3529">
        <f>RAND()</f>
        <v/>
      </c>
      <c r="AD3529">
        <f>RAND()</f>
        <v/>
      </c>
      <c r="AE3529">
        <f>RAND()</f>
        <v/>
      </c>
      <c r="AF3529">
        <f>RAND()</f>
        <v/>
      </c>
    </row>
    <row r="3530">
      <c r="M3530" s="14">
        <f>_xlfn.BETA.INV($AA3530,1+4*($D$5-$C$5)/($E$5-$C$5),1+4*($E$5-$D$5)/($E$5-$C$5),$C$5,$E$5)</f>
        <v/>
      </c>
      <c r="N3530" s="14">
        <f>IF($AB3530&lt;($D$6-$C$6)/($E$6-$C$6),$C$6+SQRT($AB3530*($E$6-$C$6)*($D$6-$C$6)),$E$6-SQRT((1-$AB3530)*($E$6-$C$6)*($E$6-$D$6)))</f>
        <v/>
      </c>
      <c r="O3530" s="14">
        <f>_xlfn.NORM.INV($AC3530,$C$7,$D$7)</f>
        <v/>
      </c>
      <c r="P3530" s="14">
        <f>$C$8+($D$8-$C$8)*$AD3530</f>
        <v/>
      </c>
      <c r="Q3530" s="14">
        <f>$C$9</f>
        <v/>
      </c>
      <c r="R3530" s="14">
        <f>_xlfn.LOGNORM.INV($AF3530,LN($C$10)-0.5*LN(1+($D$10/$C$10)^2),SQRT(LN(1+($D$10/$C$10)^2)))</f>
        <v/>
      </c>
      <c r="S3530" s="14">
        <f>SUM(M3530:R3530)</f>
        <v/>
      </c>
      <c r="AA3530">
        <f>RAND()</f>
        <v/>
      </c>
      <c r="AB3530">
        <f>RAND()</f>
        <v/>
      </c>
      <c r="AC3530">
        <f>RAND()</f>
        <v/>
      </c>
      <c r="AD3530">
        <f>RAND()</f>
        <v/>
      </c>
      <c r="AE3530">
        <f>RAND()</f>
        <v/>
      </c>
      <c r="AF3530">
        <f>RAND()</f>
        <v/>
      </c>
    </row>
    <row r="3531">
      <c r="M3531" s="14">
        <f>_xlfn.BETA.INV($AA3531,1+4*($D$5-$C$5)/($E$5-$C$5),1+4*($E$5-$D$5)/($E$5-$C$5),$C$5,$E$5)</f>
        <v/>
      </c>
      <c r="N3531" s="14">
        <f>IF($AB3531&lt;($D$6-$C$6)/($E$6-$C$6),$C$6+SQRT($AB3531*($E$6-$C$6)*($D$6-$C$6)),$E$6-SQRT((1-$AB3531)*($E$6-$C$6)*($E$6-$D$6)))</f>
        <v/>
      </c>
      <c r="O3531" s="14">
        <f>_xlfn.NORM.INV($AC3531,$C$7,$D$7)</f>
        <v/>
      </c>
      <c r="P3531" s="14">
        <f>$C$8+($D$8-$C$8)*$AD3531</f>
        <v/>
      </c>
      <c r="Q3531" s="14">
        <f>$C$9</f>
        <v/>
      </c>
      <c r="R3531" s="14">
        <f>_xlfn.LOGNORM.INV($AF3531,LN($C$10)-0.5*LN(1+($D$10/$C$10)^2),SQRT(LN(1+($D$10/$C$10)^2)))</f>
        <v/>
      </c>
      <c r="S3531" s="14">
        <f>SUM(M3531:R3531)</f>
        <v/>
      </c>
      <c r="AA3531">
        <f>RAND()</f>
        <v/>
      </c>
      <c r="AB3531">
        <f>RAND()</f>
        <v/>
      </c>
      <c r="AC3531">
        <f>RAND()</f>
        <v/>
      </c>
      <c r="AD3531">
        <f>RAND()</f>
        <v/>
      </c>
      <c r="AE3531">
        <f>RAND()</f>
        <v/>
      </c>
      <c r="AF3531">
        <f>RAND()</f>
        <v/>
      </c>
    </row>
    <row r="3532">
      <c r="M3532" s="14">
        <f>_xlfn.BETA.INV($AA3532,1+4*($D$5-$C$5)/($E$5-$C$5),1+4*($E$5-$D$5)/($E$5-$C$5),$C$5,$E$5)</f>
        <v/>
      </c>
      <c r="N3532" s="14">
        <f>IF($AB3532&lt;($D$6-$C$6)/($E$6-$C$6),$C$6+SQRT($AB3532*($E$6-$C$6)*($D$6-$C$6)),$E$6-SQRT((1-$AB3532)*($E$6-$C$6)*($E$6-$D$6)))</f>
        <v/>
      </c>
      <c r="O3532" s="14">
        <f>_xlfn.NORM.INV($AC3532,$C$7,$D$7)</f>
        <v/>
      </c>
      <c r="P3532" s="14">
        <f>$C$8+($D$8-$C$8)*$AD3532</f>
        <v/>
      </c>
      <c r="Q3532" s="14">
        <f>$C$9</f>
        <v/>
      </c>
      <c r="R3532" s="14">
        <f>_xlfn.LOGNORM.INV($AF3532,LN($C$10)-0.5*LN(1+($D$10/$C$10)^2),SQRT(LN(1+($D$10/$C$10)^2)))</f>
        <v/>
      </c>
      <c r="S3532" s="14">
        <f>SUM(M3532:R3532)</f>
        <v/>
      </c>
      <c r="AA3532">
        <f>RAND()</f>
        <v/>
      </c>
      <c r="AB3532">
        <f>RAND()</f>
        <v/>
      </c>
      <c r="AC3532">
        <f>RAND()</f>
        <v/>
      </c>
      <c r="AD3532">
        <f>RAND()</f>
        <v/>
      </c>
      <c r="AE3532">
        <f>RAND()</f>
        <v/>
      </c>
      <c r="AF3532">
        <f>RAND()</f>
        <v/>
      </c>
    </row>
    <row r="3533">
      <c r="M3533" s="14">
        <f>_xlfn.BETA.INV($AA3533,1+4*($D$5-$C$5)/($E$5-$C$5),1+4*($E$5-$D$5)/($E$5-$C$5),$C$5,$E$5)</f>
        <v/>
      </c>
      <c r="N3533" s="14">
        <f>IF($AB3533&lt;($D$6-$C$6)/($E$6-$C$6),$C$6+SQRT($AB3533*($E$6-$C$6)*($D$6-$C$6)),$E$6-SQRT((1-$AB3533)*($E$6-$C$6)*($E$6-$D$6)))</f>
        <v/>
      </c>
      <c r="O3533" s="14">
        <f>_xlfn.NORM.INV($AC3533,$C$7,$D$7)</f>
        <v/>
      </c>
      <c r="P3533" s="14">
        <f>$C$8+($D$8-$C$8)*$AD3533</f>
        <v/>
      </c>
      <c r="Q3533" s="14">
        <f>$C$9</f>
        <v/>
      </c>
      <c r="R3533" s="14">
        <f>_xlfn.LOGNORM.INV($AF3533,LN($C$10)-0.5*LN(1+($D$10/$C$10)^2),SQRT(LN(1+($D$10/$C$10)^2)))</f>
        <v/>
      </c>
      <c r="S3533" s="14">
        <f>SUM(M3533:R3533)</f>
        <v/>
      </c>
      <c r="AA3533">
        <f>RAND()</f>
        <v/>
      </c>
      <c r="AB3533">
        <f>RAND()</f>
        <v/>
      </c>
      <c r="AC3533">
        <f>RAND()</f>
        <v/>
      </c>
      <c r="AD3533">
        <f>RAND()</f>
        <v/>
      </c>
      <c r="AE3533">
        <f>RAND()</f>
        <v/>
      </c>
      <c r="AF3533">
        <f>RAND()</f>
        <v/>
      </c>
    </row>
    <row r="3534">
      <c r="M3534" s="14">
        <f>_xlfn.BETA.INV($AA3534,1+4*($D$5-$C$5)/($E$5-$C$5),1+4*($E$5-$D$5)/($E$5-$C$5),$C$5,$E$5)</f>
        <v/>
      </c>
      <c r="N3534" s="14">
        <f>IF($AB3534&lt;($D$6-$C$6)/($E$6-$C$6),$C$6+SQRT($AB3534*($E$6-$C$6)*($D$6-$C$6)),$E$6-SQRT((1-$AB3534)*($E$6-$C$6)*($E$6-$D$6)))</f>
        <v/>
      </c>
      <c r="O3534" s="14">
        <f>_xlfn.NORM.INV($AC3534,$C$7,$D$7)</f>
        <v/>
      </c>
      <c r="P3534" s="14">
        <f>$C$8+($D$8-$C$8)*$AD3534</f>
        <v/>
      </c>
      <c r="Q3534" s="14">
        <f>$C$9</f>
        <v/>
      </c>
      <c r="R3534" s="14">
        <f>_xlfn.LOGNORM.INV($AF3534,LN($C$10)-0.5*LN(1+($D$10/$C$10)^2),SQRT(LN(1+($D$10/$C$10)^2)))</f>
        <v/>
      </c>
      <c r="S3534" s="14">
        <f>SUM(M3534:R3534)</f>
        <v/>
      </c>
      <c r="AA3534">
        <f>RAND()</f>
        <v/>
      </c>
      <c r="AB3534">
        <f>RAND()</f>
        <v/>
      </c>
      <c r="AC3534">
        <f>RAND()</f>
        <v/>
      </c>
      <c r="AD3534">
        <f>RAND()</f>
        <v/>
      </c>
      <c r="AE3534">
        <f>RAND()</f>
        <v/>
      </c>
      <c r="AF3534">
        <f>RAND()</f>
        <v/>
      </c>
    </row>
    <row r="3535">
      <c r="M3535" s="14">
        <f>_xlfn.BETA.INV($AA3535,1+4*($D$5-$C$5)/($E$5-$C$5),1+4*($E$5-$D$5)/($E$5-$C$5),$C$5,$E$5)</f>
        <v/>
      </c>
      <c r="N3535" s="14">
        <f>IF($AB3535&lt;($D$6-$C$6)/($E$6-$C$6),$C$6+SQRT($AB3535*($E$6-$C$6)*($D$6-$C$6)),$E$6-SQRT((1-$AB3535)*($E$6-$C$6)*($E$6-$D$6)))</f>
        <v/>
      </c>
      <c r="O3535" s="14">
        <f>_xlfn.NORM.INV($AC3535,$C$7,$D$7)</f>
        <v/>
      </c>
      <c r="P3535" s="14">
        <f>$C$8+($D$8-$C$8)*$AD3535</f>
        <v/>
      </c>
      <c r="Q3535" s="14">
        <f>$C$9</f>
        <v/>
      </c>
      <c r="R3535" s="14">
        <f>_xlfn.LOGNORM.INV($AF3535,LN($C$10)-0.5*LN(1+($D$10/$C$10)^2),SQRT(LN(1+($D$10/$C$10)^2)))</f>
        <v/>
      </c>
      <c r="S3535" s="14">
        <f>SUM(M3535:R3535)</f>
        <v/>
      </c>
      <c r="AA3535">
        <f>RAND()</f>
        <v/>
      </c>
      <c r="AB3535">
        <f>RAND()</f>
        <v/>
      </c>
      <c r="AC3535">
        <f>RAND()</f>
        <v/>
      </c>
      <c r="AD3535">
        <f>RAND()</f>
        <v/>
      </c>
      <c r="AE3535">
        <f>RAND()</f>
        <v/>
      </c>
      <c r="AF3535">
        <f>RAND()</f>
        <v/>
      </c>
    </row>
    <row r="3536">
      <c r="M3536" s="14">
        <f>_xlfn.BETA.INV($AA3536,1+4*($D$5-$C$5)/($E$5-$C$5),1+4*($E$5-$D$5)/($E$5-$C$5),$C$5,$E$5)</f>
        <v/>
      </c>
      <c r="N3536" s="14">
        <f>IF($AB3536&lt;($D$6-$C$6)/($E$6-$C$6),$C$6+SQRT($AB3536*($E$6-$C$6)*($D$6-$C$6)),$E$6-SQRT((1-$AB3536)*($E$6-$C$6)*($E$6-$D$6)))</f>
        <v/>
      </c>
      <c r="O3536" s="14">
        <f>_xlfn.NORM.INV($AC3536,$C$7,$D$7)</f>
        <v/>
      </c>
      <c r="P3536" s="14">
        <f>$C$8+($D$8-$C$8)*$AD3536</f>
        <v/>
      </c>
      <c r="Q3536" s="14">
        <f>$C$9</f>
        <v/>
      </c>
      <c r="R3536" s="14">
        <f>_xlfn.LOGNORM.INV($AF3536,LN($C$10)-0.5*LN(1+($D$10/$C$10)^2),SQRT(LN(1+($D$10/$C$10)^2)))</f>
        <v/>
      </c>
      <c r="S3536" s="14">
        <f>SUM(M3536:R3536)</f>
        <v/>
      </c>
      <c r="AA3536">
        <f>RAND()</f>
        <v/>
      </c>
      <c r="AB3536">
        <f>RAND()</f>
        <v/>
      </c>
      <c r="AC3536">
        <f>RAND()</f>
        <v/>
      </c>
      <c r="AD3536">
        <f>RAND()</f>
        <v/>
      </c>
      <c r="AE3536">
        <f>RAND()</f>
        <v/>
      </c>
      <c r="AF3536">
        <f>RAND()</f>
        <v/>
      </c>
    </row>
    <row r="3537">
      <c r="M3537" s="14">
        <f>_xlfn.BETA.INV($AA3537,1+4*($D$5-$C$5)/($E$5-$C$5),1+4*($E$5-$D$5)/($E$5-$C$5),$C$5,$E$5)</f>
        <v/>
      </c>
      <c r="N3537" s="14">
        <f>IF($AB3537&lt;($D$6-$C$6)/($E$6-$C$6),$C$6+SQRT($AB3537*($E$6-$C$6)*($D$6-$C$6)),$E$6-SQRT((1-$AB3537)*($E$6-$C$6)*($E$6-$D$6)))</f>
        <v/>
      </c>
      <c r="O3537" s="14">
        <f>_xlfn.NORM.INV($AC3537,$C$7,$D$7)</f>
        <v/>
      </c>
      <c r="P3537" s="14">
        <f>$C$8+($D$8-$C$8)*$AD3537</f>
        <v/>
      </c>
      <c r="Q3537" s="14">
        <f>$C$9</f>
        <v/>
      </c>
      <c r="R3537" s="14">
        <f>_xlfn.LOGNORM.INV($AF3537,LN($C$10)-0.5*LN(1+($D$10/$C$10)^2),SQRT(LN(1+($D$10/$C$10)^2)))</f>
        <v/>
      </c>
      <c r="S3537" s="14">
        <f>SUM(M3537:R3537)</f>
        <v/>
      </c>
      <c r="AA3537">
        <f>RAND()</f>
        <v/>
      </c>
      <c r="AB3537">
        <f>RAND()</f>
        <v/>
      </c>
      <c r="AC3537">
        <f>RAND()</f>
        <v/>
      </c>
      <c r="AD3537">
        <f>RAND()</f>
        <v/>
      </c>
      <c r="AE3537">
        <f>RAND()</f>
        <v/>
      </c>
      <c r="AF3537">
        <f>RAND()</f>
        <v/>
      </c>
    </row>
    <row r="3538">
      <c r="M3538" s="14">
        <f>_xlfn.BETA.INV($AA3538,1+4*($D$5-$C$5)/($E$5-$C$5),1+4*($E$5-$D$5)/($E$5-$C$5),$C$5,$E$5)</f>
        <v/>
      </c>
      <c r="N3538" s="14">
        <f>IF($AB3538&lt;($D$6-$C$6)/($E$6-$C$6),$C$6+SQRT($AB3538*($E$6-$C$6)*($D$6-$C$6)),$E$6-SQRT((1-$AB3538)*($E$6-$C$6)*($E$6-$D$6)))</f>
        <v/>
      </c>
      <c r="O3538" s="14">
        <f>_xlfn.NORM.INV($AC3538,$C$7,$D$7)</f>
        <v/>
      </c>
      <c r="P3538" s="14">
        <f>$C$8+($D$8-$C$8)*$AD3538</f>
        <v/>
      </c>
      <c r="Q3538" s="14">
        <f>$C$9</f>
        <v/>
      </c>
      <c r="R3538" s="14">
        <f>_xlfn.LOGNORM.INV($AF3538,LN($C$10)-0.5*LN(1+($D$10/$C$10)^2),SQRT(LN(1+($D$10/$C$10)^2)))</f>
        <v/>
      </c>
      <c r="S3538" s="14">
        <f>SUM(M3538:R3538)</f>
        <v/>
      </c>
      <c r="AA3538">
        <f>RAND()</f>
        <v/>
      </c>
      <c r="AB3538">
        <f>RAND()</f>
        <v/>
      </c>
      <c r="AC3538">
        <f>RAND()</f>
        <v/>
      </c>
      <c r="AD3538">
        <f>RAND()</f>
        <v/>
      </c>
      <c r="AE3538">
        <f>RAND()</f>
        <v/>
      </c>
      <c r="AF3538">
        <f>RAND()</f>
        <v/>
      </c>
    </row>
    <row r="3539">
      <c r="M3539" s="14">
        <f>_xlfn.BETA.INV($AA3539,1+4*($D$5-$C$5)/($E$5-$C$5),1+4*($E$5-$D$5)/($E$5-$C$5),$C$5,$E$5)</f>
        <v/>
      </c>
      <c r="N3539" s="14">
        <f>IF($AB3539&lt;($D$6-$C$6)/($E$6-$C$6),$C$6+SQRT($AB3539*($E$6-$C$6)*($D$6-$C$6)),$E$6-SQRT((1-$AB3539)*($E$6-$C$6)*($E$6-$D$6)))</f>
        <v/>
      </c>
      <c r="O3539" s="14">
        <f>_xlfn.NORM.INV($AC3539,$C$7,$D$7)</f>
        <v/>
      </c>
      <c r="P3539" s="14">
        <f>$C$8+($D$8-$C$8)*$AD3539</f>
        <v/>
      </c>
      <c r="Q3539" s="14">
        <f>$C$9</f>
        <v/>
      </c>
      <c r="R3539" s="14">
        <f>_xlfn.LOGNORM.INV($AF3539,LN($C$10)-0.5*LN(1+($D$10/$C$10)^2),SQRT(LN(1+($D$10/$C$10)^2)))</f>
        <v/>
      </c>
      <c r="S3539" s="14">
        <f>SUM(M3539:R3539)</f>
        <v/>
      </c>
      <c r="AA3539">
        <f>RAND()</f>
        <v/>
      </c>
      <c r="AB3539">
        <f>RAND()</f>
        <v/>
      </c>
      <c r="AC3539">
        <f>RAND()</f>
        <v/>
      </c>
      <c r="AD3539">
        <f>RAND()</f>
        <v/>
      </c>
      <c r="AE3539">
        <f>RAND()</f>
        <v/>
      </c>
      <c r="AF3539">
        <f>RAND()</f>
        <v/>
      </c>
    </row>
    <row r="3540">
      <c r="M3540" s="14">
        <f>_xlfn.BETA.INV($AA3540,1+4*($D$5-$C$5)/($E$5-$C$5),1+4*($E$5-$D$5)/($E$5-$C$5),$C$5,$E$5)</f>
        <v/>
      </c>
      <c r="N3540" s="14">
        <f>IF($AB3540&lt;($D$6-$C$6)/($E$6-$C$6),$C$6+SQRT($AB3540*($E$6-$C$6)*($D$6-$C$6)),$E$6-SQRT((1-$AB3540)*($E$6-$C$6)*($E$6-$D$6)))</f>
        <v/>
      </c>
      <c r="O3540" s="14">
        <f>_xlfn.NORM.INV($AC3540,$C$7,$D$7)</f>
        <v/>
      </c>
      <c r="P3540" s="14">
        <f>$C$8+($D$8-$C$8)*$AD3540</f>
        <v/>
      </c>
      <c r="Q3540" s="14">
        <f>$C$9</f>
        <v/>
      </c>
      <c r="R3540" s="14">
        <f>_xlfn.LOGNORM.INV($AF3540,LN($C$10)-0.5*LN(1+($D$10/$C$10)^2),SQRT(LN(1+($D$10/$C$10)^2)))</f>
        <v/>
      </c>
      <c r="S3540" s="14">
        <f>SUM(M3540:R3540)</f>
        <v/>
      </c>
      <c r="AA3540">
        <f>RAND()</f>
        <v/>
      </c>
      <c r="AB3540">
        <f>RAND()</f>
        <v/>
      </c>
      <c r="AC3540">
        <f>RAND()</f>
        <v/>
      </c>
      <c r="AD3540">
        <f>RAND()</f>
        <v/>
      </c>
      <c r="AE3540">
        <f>RAND()</f>
        <v/>
      </c>
      <c r="AF3540">
        <f>RAND()</f>
        <v/>
      </c>
    </row>
    <row r="3541">
      <c r="M3541" s="14">
        <f>_xlfn.BETA.INV($AA3541,1+4*($D$5-$C$5)/($E$5-$C$5),1+4*($E$5-$D$5)/($E$5-$C$5),$C$5,$E$5)</f>
        <v/>
      </c>
      <c r="N3541" s="14">
        <f>IF($AB3541&lt;($D$6-$C$6)/($E$6-$C$6),$C$6+SQRT($AB3541*($E$6-$C$6)*($D$6-$C$6)),$E$6-SQRT((1-$AB3541)*($E$6-$C$6)*($E$6-$D$6)))</f>
        <v/>
      </c>
      <c r="O3541" s="14">
        <f>_xlfn.NORM.INV($AC3541,$C$7,$D$7)</f>
        <v/>
      </c>
      <c r="P3541" s="14">
        <f>$C$8+($D$8-$C$8)*$AD3541</f>
        <v/>
      </c>
      <c r="Q3541" s="14">
        <f>$C$9</f>
        <v/>
      </c>
      <c r="R3541" s="14">
        <f>_xlfn.LOGNORM.INV($AF3541,LN($C$10)-0.5*LN(1+($D$10/$C$10)^2),SQRT(LN(1+($D$10/$C$10)^2)))</f>
        <v/>
      </c>
      <c r="S3541" s="14">
        <f>SUM(M3541:R3541)</f>
        <v/>
      </c>
      <c r="AA3541">
        <f>RAND()</f>
        <v/>
      </c>
      <c r="AB3541">
        <f>RAND()</f>
        <v/>
      </c>
      <c r="AC3541">
        <f>RAND()</f>
        <v/>
      </c>
      <c r="AD3541">
        <f>RAND()</f>
        <v/>
      </c>
      <c r="AE3541">
        <f>RAND()</f>
        <v/>
      </c>
      <c r="AF3541">
        <f>RAND()</f>
        <v/>
      </c>
    </row>
    <row r="3542">
      <c r="M3542" s="14">
        <f>_xlfn.BETA.INV($AA3542,1+4*($D$5-$C$5)/($E$5-$C$5),1+4*($E$5-$D$5)/($E$5-$C$5),$C$5,$E$5)</f>
        <v/>
      </c>
      <c r="N3542" s="14">
        <f>IF($AB3542&lt;($D$6-$C$6)/($E$6-$C$6),$C$6+SQRT($AB3542*($E$6-$C$6)*($D$6-$C$6)),$E$6-SQRT((1-$AB3542)*($E$6-$C$6)*($E$6-$D$6)))</f>
        <v/>
      </c>
      <c r="O3542" s="14">
        <f>_xlfn.NORM.INV($AC3542,$C$7,$D$7)</f>
        <v/>
      </c>
      <c r="P3542" s="14">
        <f>$C$8+($D$8-$C$8)*$AD3542</f>
        <v/>
      </c>
      <c r="Q3542" s="14">
        <f>$C$9</f>
        <v/>
      </c>
      <c r="R3542" s="14">
        <f>_xlfn.LOGNORM.INV($AF3542,LN($C$10)-0.5*LN(1+($D$10/$C$10)^2),SQRT(LN(1+($D$10/$C$10)^2)))</f>
        <v/>
      </c>
      <c r="S3542" s="14">
        <f>SUM(M3542:R3542)</f>
        <v/>
      </c>
      <c r="AA3542">
        <f>RAND()</f>
        <v/>
      </c>
      <c r="AB3542">
        <f>RAND()</f>
        <v/>
      </c>
      <c r="AC3542">
        <f>RAND()</f>
        <v/>
      </c>
      <c r="AD3542">
        <f>RAND()</f>
        <v/>
      </c>
      <c r="AE3542">
        <f>RAND()</f>
        <v/>
      </c>
      <c r="AF3542">
        <f>RAND()</f>
        <v/>
      </c>
    </row>
    <row r="3543">
      <c r="M3543" s="14">
        <f>_xlfn.BETA.INV($AA3543,1+4*($D$5-$C$5)/($E$5-$C$5),1+4*($E$5-$D$5)/($E$5-$C$5),$C$5,$E$5)</f>
        <v/>
      </c>
      <c r="N3543" s="14">
        <f>IF($AB3543&lt;($D$6-$C$6)/($E$6-$C$6),$C$6+SQRT($AB3543*($E$6-$C$6)*($D$6-$C$6)),$E$6-SQRT((1-$AB3543)*($E$6-$C$6)*($E$6-$D$6)))</f>
        <v/>
      </c>
      <c r="O3543" s="14">
        <f>_xlfn.NORM.INV($AC3543,$C$7,$D$7)</f>
        <v/>
      </c>
      <c r="P3543" s="14">
        <f>$C$8+($D$8-$C$8)*$AD3543</f>
        <v/>
      </c>
      <c r="Q3543" s="14">
        <f>$C$9</f>
        <v/>
      </c>
      <c r="R3543" s="14">
        <f>_xlfn.LOGNORM.INV($AF3543,LN($C$10)-0.5*LN(1+($D$10/$C$10)^2),SQRT(LN(1+($D$10/$C$10)^2)))</f>
        <v/>
      </c>
      <c r="S3543" s="14">
        <f>SUM(M3543:R3543)</f>
        <v/>
      </c>
      <c r="AA3543">
        <f>RAND()</f>
        <v/>
      </c>
      <c r="AB3543">
        <f>RAND()</f>
        <v/>
      </c>
      <c r="AC3543">
        <f>RAND()</f>
        <v/>
      </c>
      <c r="AD3543">
        <f>RAND()</f>
        <v/>
      </c>
      <c r="AE3543">
        <f>RAND()</f>
        <v/>
      </c>
      <c r="AF3543">
        <f>RAND()</f>
        <v/>
      </c>
    </row>
    <row r="3544">
      <c r="M3544" s="14">
        <f>_xlfn.BETA.INV($AA3544,1+4*($D$5-$C$5)/($E$5-$C$5),1+4*($E$5-$D$5)/($E$5-$C$5),$C$5,$E$5)</f>
        <v/>
      </c>
      <c r="N3544" s="14">
        <f>IF($AB3544&lt;($D$6-$C$6)/($E$6-$C$6),$C$6+SQRT($AB3544*($E$6-$C$6)*($D$6-$C$6)),$E$6-SQRT((1-$AB3544)*($E$6-$C$6)*($E$6-$D$6)))</f>
        <v/>
      </c>
      <c r="O3544" s="14">
        <f>_xlfn.NORM.INV($AC3544,$C$7,$D$7)</f>
        <v/>
      </c>
      <c r="P3544" s="14">
        <f>$C$8+($D$8-$C$8)*$AD3544</f>
        <v/>
      </c>
      <c r="Q3544" s="14">
        <f>$C$9</f>
        <v/>
      </c>
      <c r="R3544" s="14">
        <f>_xlfn.LOGNORM.INV($AF3544,LN($C$10)-0.5*LN(1+($D$10/$C$10)^2),SQRT(LN(1+($D$10/$C$10)^2)))</f>
        <v/>
      </c>
      <c r="S3544" s="14">
        <f>SUM(M3544:R3544)</f>
        <v/>
      </c>
      <c r="AA3544">
        <f>RAND()</f>
        <v/>
      </c>
      <c r="AB3544">
        <f>RAND()</f>
        <v/>
      </c>
      <c r="AC3544">
        <f>RAND()</f>
        <v/>
      </c>
      <c r="AD3544">
        <f>RAND()</f>
        <v/>
      </c>
      <c r="AE3544">
        <f>RAND()</f>
        <v/>
      </c>
      <c r="AF3544">
        <f>RAND()</f>
        <v/>
      </c>
    </row>
    <row r="3545">
      <c r="M3545" s="14">
        <f>_xlfn.BETA.INV($AA3545,1+4*($D$5-$C$5)/($E$5-$C$5),1+4*($E$5-$D$5)/($E$5-$C$5),$C$5,$E$5)</f>
        <v/>
      </c>
      <c r="N3545" s="14">
        <f>IF($AB3545&lt;($D$6-$C$6)/($E$6-$C$6),$C$6+SQRT($AB3545*($E$6-$C$6)*($D$6-$C$6)),$E$6-SQRT((1-$AB3545)*($E$6-$C$6)*($E$6-$D$6)))</f>
        <v/>
      </c>
      <c r="O3545" s="14">
        <f>_xlfn.NORM.INV($AC3545,$C$7,$D$7)</f>
        <v/>
      </c>
      <c r="P3545" s="14">
        <f>$C$8+($D$8-$C$8)*$AD3545</f>
        <v/>
      </c>
      <c r="Q3545" s="14">
        <f>$C$9</f>
        <v/>
      </c>
      <c r="R3545" s="14">
        <f>_xlfn.LOGNORM.INV($AF3545,LN($C$10)-0.5*LN(1+($D$10/$C$10)^2),SQRT(LN(1+($D$10/$C$10)^2)))</f>
        <v/>
      </c>
      <c r="S3545" s="14">
        <f>SUM(M3545:R3545)</f>
        <v/>
      </c>
      <c r="AA3545">
        <f>RAND()</f>
        <v/>
      </c>
      <c r="AB3545">
        <f>RAND()</f>
        <v/>
      </c>
      <c r="AC3545">
        <f>RAND()</f>
        <v/>
      </c>
      <c r="AD3545">
        <f>RAND()</f>
        <v/>
      </c>
      <c r="AE3545">
        <f>RAND()</f>
        <v/>
      </c>
      <c r="AF3545">
        <f>RAND()</f>
        <v/>
      </c>
    </row>
    <row r="3546">
      <c r="M3546" s="14">
        <f>_xlfn.BETA.INV($AA3546,1+4*($D$5-$C$5)/($E$5-$C$5),1+4*($E$5-$D$5)/($E$5-$C$5),$C$5,$E$5)</f>
        <v/>
      </c>
      <c r="N3546" s="14">
        <f>IF($AB3546&lt;($D$6-$C$6)/($E$6-$C$6),$C$6+SQRT($AB3546*($E$6-$C$6)*($D$6-$C$6)),$E$6-SQRT((1-$AB3546)*($E$6-$C$6)*($E$6-$D$6)))</f>
        <v/>
      </c>
      <c r="O3546" s="14">
        <f>_xlfn.NORM.INV($AC3546,$C$7,$D$7)</f>
        <v/>
      </c>
      <c r="P3546" s="14">
        <f>$C$8+($D$8-$C$8)*$AD3546</f>
        <v/>
      </c>
      <c r="Q3546" s="14">
        <f>$C$9</f>
        <v/>
      </c>
      <c r="R3546" s="14">
        <f>_xlfn.LOGNORM.INV($AF3546,LN($C$10)-0.5*LN(1+($D$10/$C$10)^2),SQRT(LN(1+($D$10/$C$10)^2)))</f>
        <v/>
      </c>
      <c r="S3546" s="14">
        <f>SUM(M3546:R3546)</f>
        <v/>
      </c>
      <c r="AA3546">
        <f>RAND()</f>
        <v/>
      </c>
      <c r="AB3546">
        <f>RAND()</f>
        <v/>
      </c>
      <c r="AC3546">
        <f>RAND()</f>
        <v/>
      </c>
      <c r="AD3546">
        <f>RAND()</f>
        <v/>
      </c>
      <c r="AE3546">
        <f>RAND()</f>
        <v/>
      </c>
      <c r="AF3546">
        <f>RAND()</f>
        <v/>
      </c>
    </row>
    <row r="3547">
      <c r="M3547" s="14">
        <f>_xlfn.BETA.INV($AA3547,1+4*($D$5-$C$5)/($E$5-$C$5),1+4*($E$5-$D$5)/($E$5-$C$5),$C$5,$E$5)</f>
        <v/>
      </c>
      <c r="N3547" s="14">
        <f>IF($AB3547&lt;($D$6-$C$6)/($E$6-$C$6),$C$6+SQRT($AB3547*($E$6-$C$6)*($D$6-$C$6)),$E$6-SQRT((1-$AB3547)*($E$6-$C$6)*($E$6-$D$6)))</f>
        <v/>
      </c>
      <c r="O3547" s="14">
        <f>_xlfn.NORM.INV($AC3547,$C$7,$D$7)</f>
        <v/>
      </c>
      <c r="P3547" s="14">
        <f>$C$8+($D$8-$C$8)*$AD3547</f>
        <v/>
      </c>
      <c r="Q3547" s="14">
        <f>$C$9</f>
        <v/>
      </c>
      <c r="R3547" s="14">
        <f>_xlfn.LOGNORM.INV($AF3547,LN($C$10)-0.5*LN(1+($D$10/$C$10)^2),SQRT(LN(1+($D$10/$C$10)^2)))</f>
        <v/>
      </c>
      <c r="S3547" s="14">
        <f>SUM(M3547:R3547)</f>
        <v/>
      </c>
      <c r="AA3547">
        <f>RAND()</f>
        <v/>
      </c>
      <c r="AB3547">
        <f>RAND()</f>
        <v/>
      </c>
      <c r="AC3547">
        <f>RAND()</f>
        <v/>
      </c>
      <c r="AD3547">
        <f>RAND()</f>
        <v/>
      </c>
      <c r="AE3547">
        <f>RAND()</f>
        <v/>
      </c>
      <c r="AF3547">
        <f>RAND()</f>
        <v/>
      </c>
    </row>
    <row r="3548">
      <c r="M3548" s="14">
        <f>_xlfn.BETA.INV($AA3548,1+4*($D$5-$C$5)/($E$5-$C$5),1+4*($E$5-$D$5)/($E$5-$C$5),$C$5,$E$5)</f>
        <v/>
      </c>
      <c r="N3548" s="14">
        <f>IF($AB3548&lt;($D$6-$C$6)/($E$6-$C$6),$C$6+SQRT($AB3548*($E$6-$C$6)*($D$6-$C$6)),$E$6-SQRT((1-$AB3548)*($E$6-$C$6)*($E$6-$D$6)))</f>
        <v/>
      </c>
      <c r="O3548" s="14">
        <f>_xlfn.NORM.INV($AC3548,$C$7,$D$7)</f>
        <v/>
      </c>
      <c r="P3548" s="14">
        <f>$C$8+($D$8-$C$8)*$AD3548</f>
        <v/>
      </c>
      <c r="Q3548" s="14">
        <f>$C$9</f>
        <v/>
      </c>
      <c r="R3548" s="14">
        <f>_xlfn.LOGNORM.INV($AF3548,LN($C$10)-0.5*LN(1+($D$10/$C$10)^2),SQRT(LN(1+($D$10/$C$10)^2)))</f>
        <v/>
      </c>
      <c r="S3548" s="14">
        <f>SUM(M3548:R3548)</f>
        <v/>
      </c>
      <c r="AA3548">
        <f>RAND()</f>
        <v/>
      </c>
      <c r="AB3548">
        <f>RAND()</f>
        <v/>
      </c>
      <c r="AC3548">
        <f>RAND()</f>
        <v/>
      </c>
      <c r="AD3548">
        <f>RAND()</f>
        <v/>
      </c>
      <c r="AE3548">
        <f>RAND()</f>
        <v/>
      </c>
      <c r="AF3548">
        <f>RAND()</f>
        <v/>
      </c>
    </row>
    <row r="3549">
      <c r="M3549" s="14">
        <f>_xlfn.BETA.INV($AA3549,1+4*($D$5-$C$5)/($E$5-$C$5),1+4*($E$5-$D$5)/($E$5-$C$5),$C$5,$E$5)</f>
        <v/>
      </c>
      <c r="N3549" s="14">
        <f>IF($AB3549&lt;($D$6-$C$6)/($E$6-$C$6),$C$6+SQRT($AB3549*($E$6-$C$6)*($D$6-$C$6)),$E$6-SQRT((1-$AB3549)*($E$6-$C$6)*($E$6-$D$6)))</f>
        <v/>
      </c>
      <c r="O3549" s="14">
        <f>_xlfn.NORM.INV($AC3549,$C$7,$D$7)</f>
        <v/>
      </c>
      <c r="P3549" s="14">
        <f>$C$8+($D$8-$C$8)*$AD3549</f>
        <v/>
      </c>
      <c r="Q3549" s="14">
        <f>$C$9</f>
        <v/>
      </c>
      <c r="R3549" s="14">
        <f>_xlfn.LOGNORM.INV($AF3549,LN($C$10)-0.5*LN(1+($D$10/$C$10)^2),SQRT(LN(1+($D$10/$C$10)^2)))</f>
        <v/>
      </c>
      <c r="S3549" s="14">
        <f>SUM(M3549:R3549)</f>
        <v/>
      </c>
      <c r="AA3549">
        <f>RAND()</f>
        <v/>
      </c>
      <c r="AB3549">
        <f>RAND()</f>
        <v/>
      </c>
      <c r="AC3549">
        <f>RAND()</f>
        <v/>
      </c>
      <c r="AD3549">
        <f>RAND()</f>
        <v/>
      </c>
      <c r="AE3549">
        <f>RAND()</f>
        <v/>
      </c>
      <c r="AF3549">
        <f>RAND()</f>
        <v/>
      </c>
    </row>
    <row r="3550">
      <c r="M3550" s="14">
        <f>_xlfn.BETA.INV($AA3550,1+4*($D$5-$C$5)/($E$5-$C$5),1+4*($E$5-$D$5)/($E$5-$C$5),$C$5,$E$5)</f>
        <v/>
      </c>
      <c r="N3550" s="14">
        <f>IF($AB3550&lt;($D$6-$C$6)/($E$6-$C$6),$C$6+SQRT($AB3550*($E$6-$C$6)*($D$6-$C$6)),$E$6-SQRT((1-$AB3550)*($E$6-$C$6)*($E$6-$D$6)))</f>
        <v/>
      </c>
      <c r="O3550" s="14">
        <f>_xlfn.NORM.INV($AC3550,$C$7,$D$7)</f>
        <v/>
      </c>
      <c r="P3550" s="14">
        <f>$C$8+($D$8-$C$8)*$AD3550</f>
        <v/>
      </c>
      <c r="Q3550" s="14">
        <f>$C$9</f>
        <v/>
      </c>
      <c r="R3550" s="14">
        <f>_xlfn.LOGNORM.INV($AF3550,LN($C$10)-0.5*LN(1+($D$10/$C$10)^2),SQRT(LN(1+($D$10/$C$10)^2)))</f>
        <v/>
      </c>
      <c r="S3550" s="14">
        <f>SUM(M3550:R3550)</f>
        <v/>
      </c>
      <c r="AA3550">
        <f>RAND()</f>
        <v/>
      </c>
      <c r="AB3550">
        <f>RAND()</f>
        <v/>
      </c>
      <c r="AC3550">
        <f>RAND()</f>
        <v/>
      </c>
      <c r="AD3550">
        <f>RAND()</f>
        <v/>
      </c>
      <c r="AE3550">
        <f>RAND()</f>
        <v/>
      </c>
      <c r="AF3550">
        <f>RAND()</f>
        <v/>
      </c>
    </row>
    <row r="3551">
      <c r="M3551" s="14">
        <f>_xlfn.BETA.INV($AA3551,1+4*($D$5-$C$5)/($E$5-$C$5),1+4*($E$5-$D$5)/($E$5-$C$5),$C$5,$E$5)</f>
        <v/>
      </c>
      <c r="N3551" s="14">
        <f>IF($AB3551&lt;($D$6-$C$6)/($E$6-$C$6),$C$6+SQRT($AB3551*($E$6-$C$6)*($D$6-$C$6)),$E$6-SQRT((1-$AB3551)*($E$6-$C$6)*($E$6-$D$6)))</f>
        <v/>
      </c>
      <c r="O3551" s="14">
        <f>_xlfn.NORM.INV($AC3551,$C$7,$D$7)</f>
        <v/>
      </c>
      <c r="P3551" s="14">
        <f>$C$8+($D$8-$C$8)*$AD3551</f>
        <v/>
      </c>
      <c r="Q3551" s="14">
        <f>$C$9</f>
        <v/>
      </c>
      <c r="R3551" s="14">
        <f>_xlfn.LOGNORM.INV($AF3551,LN($C$10)-0.5*LN(1+($D$10/$C$10)^2),SQRT(LN(1+($D$10/$C$10)^2)))</f>
        <v/>
      </c>
      <c r="S3551" s="14">
        <f>SUM(M3551:R3551)</f>
        <v/>
      </c>
      <c r="AA3551">
        <f>RAND()</f>
        <v/>
      </c>
      <c r="AB3551">
        <f>RAND()</f>
        <v/>
      </c>
      <c r="AC3551">
        <f>RAND()</f>
        <v/>
      </c>
      <c r="AD3551">
        <f>RAND()</f>
        <v/>
      </c>
      <c r="AE3551">
        <f>RAND()</f>
        <v/>
      </c>
      <c r="AF3551">
        <f>RAND()</f>
        <v/>
      </c>
    </row>
    <row r="3552">
      <c r="M3552" s="14">
        <f>_xlfn.BETA.INV($AA3552,1+4*($D$5-$C$5)/($E$5-$C$5),1+4*($E$5-$D$5)/($E$5-$C$5),$C$5,$E$5)</f>
        <v/>
      </c>
      <c r="N3552" s="14">
        <f>IF($AB3552&lt;($D$6-$C$6)/($E$6-$C$6),$C$6+SQRT($AB3552*($E$6-$C$6)*($D$6-$C$6)),$E$6-SQRT((1-$AB3552)*($E$6-$C$6)*($E$6-$D$6)))</f>
        <v/>
      </c>
      <c r="O3552" s="14">
        <f>_xlfn.NORM.INV($AC3552,$C$7,$D$7)</f>
        <v/>
      </c>
      <c r="P3552" s="14">
        <f>$C$8+($D$8-$C$8)*$AD3552</f>
        <v/>
      </c>
      <c r="Q3552" s="14">
        <f>$C$9</f>
        <v/>
      </c>
      <c r="R3552" s="14">
        <f>_xlfn.LOGNORM.INV($AF3552,LN($C$10)-0.5*LN(1+($D$10/$C$10)^2),SQRT(LN(1+($D$10/$C$10)^2)))</f>
        <v/>
      </c>
      <c r="S3552" s="14">
        <f>SUM(M3552:R3552)</f>
        <v/>
      </c>
      <c r="AA3552">
        <f>RAND()</f>
        <v/>
      </c>
      <c r="AB3552">
        <f>RAND()</f>
        <v/>
      </c>
      <c r="AC3552">
        <f>RAND()</f>
        <v/>
      </c>
      <c r="AD3552">
        <f>RAND()</f>
        <v/>
      </c>
      <c r="AE3552">
        <f>RAND()</f>
        <v/>
      </c>
      <c r="AF3552">
        <f>RAND()</f>
        <v/>
      </c>
    </row>
    <row r="3553">
      <c r="M3553" s="14">
        <f>_xlfn.BETA.INV($AA3553,1+4*($D$5-$C$5)/($E$5-$C$5),1+4*($E$5-$D$5)/($E$5-$C$5),$C$5,$E$5)</f>
        <v/>
      </c>
      <c r="N3553" s="14">
        <f>IF($AB3553&lt;($D$6-$C$6)/($E$6-$C$6),$C$6+SQRT($AB3553*($E$6-$C$6)*($D$6-$C$6)),$E$6-SQRT((1-$AB3553)*($E$6-$C$6)*($E$6-$D$6)))</f>
        <v/>
      </c>
      <c r="O3553" s="14">
        <f>_xlfn.NORM.INV($AC3553,$C$7,$D$7)</f>
        <v/>
      </c>
      <c r="P3553" s="14">
        <f>$C$8+($D$8-$C$8)*$AD3553</f>
        <v/>
      </c>
      <c r="Q3553" s="14">
        <f>$C$9</f>
        <v/>
      </c>
      <c r="R3553" s="14">
        <f>_xlfn.LOGNORM.INV($AF3553,LN($C$10)-0.5*LN(1+($D$10/$C$10)^2),SQRT(LN(1+($D$10/$C$10)^2)))</f>
        <v/>
      </c>
      <c r="S3553" s="14">
        <f>SUM(M3553:R3553)</f>
        <v/>
      </c>
      <c r="AA3553">
        <f>RAND()</f>
        <v/>
      </c>
      <c r="AB3553">
        <f>RAND()</f>
        <v/>
      </c>
      <c r="AC3553">
        <f>RAND()</f>
        <v/>
      </c>
      <c r="AD3553">
        <f>RAND()</f>
        <v/>
      </c>
      <c r="AE3553">
        <f>RAND()</f>
        <v/>
      </c>
      <c r="AF3553">
        <f>RAND()</f>
        <v/>
      </c>
    </row>
    <row r="3554">
      <c r="M3554" s="14">
        <f>_xlfn.BETA.INV($AA3554,1+4*($D$5-$C$5)/($E$5-$C$5),1+4*($E$5-$D$5)/($E$5-$C$5),$C$5,$E$5)</f>
        <v/>
      </c>
      <c r="N3554" s="14">
        <f>IF($AB3554&lt;($D$6-$C$6)/($E$6-$C$6),$C$6+SQRT($AB3554*($E$6-$C$6)*($D$6-$C$6)),$E$6-SQRT((1-$AB3554)*($E$6-$C$6)*($E$6-$D$6)))</f>
        <v/>
      </c>
      <c r="O3554" s="14">
        <f>_xlfn.NORM.INV($AC3554,$C$7,$D$7)</f>
        <v/>
      </c>
      <c r="P3554" s="14">
        <f>$C$8+($D$8-$C$8)*$AD3554</f>
        <v/>
      </c>
      <c r="Q3554" s="14">
        <f>$C$9</f>
        <v/>
      </c>
      <c r="R3554" s="14">
        <f>_xlfn.LOGNORM.INV($AF3554,LN($C$10)-0.5*LN(1+($D$10/$C$10)^2),SQRT(LN(1+($D$10/$C$10)^2)))</f>
        <v/>
      </c>
      <c r="S3554" s="14">
        <f>SUM(M3554:R3554)</f>
        <v/>
      </c>
      <c r="AA3554">
        <f>RAND()</f>
        <v/>
      </c>
      <c r="AB3554">
        <f>RAND()</f>
        <v/>
      </c>
      <c r="AC3554">
        <f>RAND()</f>
        <v/>
      </c>
      <c r="AD3554">
        <f>RAND()</f>
        <v/>
      </c>
      <c r="AE3554">
        <f>RAND()</f>
        <v/>
      </c>
      <c r="AF3554">
        <f>RAND()</f>
        <v/>
      </c>
    </row>
    <row r="3555">
      <c r="M3555" s="14">
        <f>_xlfn.BETA.INV($AA3555,1+4*($D$5-$C$5)/($E$5-$C$5),1+4*($E$5-$D$5)/($E$5-$C$5),$C$5,$E$5)</f>
        <v/>
      </c>
      <c r="N3555" s="14">
        <f>IF($AB3555&lt;($D$6-$C$6)/($E$6-$C$6),$C$6+SQRT($AB3555*($E$6-$C$6)*($D$6-$C$6)),$E$6-SQRT((1-$AB3555)*($E$6-$C$6)*($E$6-$D$6)))</f>
        <v/>
      </c>
      <c r="O3555" s="14">
        <f>_xlfn.NORM.INV($AC3555,$C$7,$D$7)</f>
        <v/>
      </c>
      <c r="P3555" s="14">
        <f>$C$8+($D$8-$C$8)*$AD3555</f>
        <v/>
      </c>
      <c r="Q3555" s="14">
        <f>$C$9</f>
        <v/>
      </c>
      <c r="R3555" s="14">
        <f>_xlfn.LOGNORM.INV($AF3555,LN($C$10)-0.5*LN(1+($D$10/$C$10)^2),SQRT(LN(1+($D$10/$C$10)^2)))</f>
        <v/>
      </c>
      <c r="S3555" s="14">
        <f>SUM(M3555:R3555)</f>
        <v/>
      </c>
      <c r="AA3555">
        <f>RAND()</f>
        <v/>
      </c>
      <c r="AB3555">
        <f>RAND()</f>
        <v/>
      </c>
      <c r="AC3555">
        <f>RAND()</f>
        <v/>
      </c>
      <c r="AD3555">
        <f>RAND()</f>
        <v/>
      </c>
      <c r="AE3555">
        <f>RAND()</f>
        <v/>
      </c>
      <c r="AF3555">
        <f>RAND()</f>
        <v/>
      </c>
    </row>
    <row r="3556">
      <c r="M3556" s="14">
        <f>_xlfn.BETA.INV($AA3556,1+4*($D$5-$C$5)/($E$5-$C$5),1+4*($E$5-$D$5)/($E$5-$C$5),$C$5,$E$5)</f>
        <v/>
      </c>
      <c r="N3556" s="14">
        <f>IF($AB3556&lt;($D$6-$C$6)/($E$6-$C$6),$C$6+SQRT($AB3556*($E$6-$C$6)*($D$6-$C$6)),$E$6-SQRT((1-$AB3556)*($E$6-$C$6)*($E$6-$D$6)))</f>
        <v/>
      </c>
      <c r="O3556" s="14">
        <f>_xlfn.NORM.INV($AC3556,$C$7,$D$7)</f>
        <v/>
      </c>
      <c r="P3556" s="14">
        <f>$C$8+($D$8-$C$8)*$AD3556</f>
        <v/>
      </c>
      <c r="Q3556" s="14">
        <f>$C$9</f>
        <v/>
      </c>
      <c r="R3556" s="14">
        <f>_xlfn.LOGNORM.INV($AF3556,LN($C$10)-0.5*LN(1+($D$10/$C$10)^2),SQRT(LN(1+($D$10/$C$10)^2)))</f>
        <v/>
      </c>
      <c r="S3556" s="14">
        <f>SUM(M3556:R3556)</f>
        <v/>
      </c>
      <c r="AA3556">
        <f>RAND()</f>
        <v/>
      </c>
      <c r="AB3556">
        <f>RAND()</f>
        <v/>
      </c>
      <c r="AC3556">
        <f>RAND()</f>
        <v/>
      </c>
      <c r="AD3556">
        <f>RAND()</f>
        <v/>
      </c>
      <c r="AE3556">
        <f>RAND()</f>
        <v/>
      </c>
      <c r="AF3556">
        <f>RAND()</f>
        <v/>
      </c>
    </row>
    <row r="3557">
      <c r="M3557" s="14">
        <f>_xlfn.BETA.INV($AA3557,1+4*($D$5-$C$5)/($E$5-$C$5),1+4*($E$5-$D$5)/($E$5-$C$5),$C$5,$E$5)</f>
        <v/>
      </c>
      <c r="N3557" s="14">
        <f>IF($AB3557&lt;($D$6-$C$6)/($E$6-$C$6),$C$6+SQRT($AB3557*($E$6-$C$6)*($D$6-$C$6)),$E$6-SQRT((1-$AB3557)*($E$6-$C$6)*($E$6-$D$6)))</f>
        <v/>
      </c>
      <c r="O3557" s="14">
        <f>_xlfn.NORM.INV($AC3557,$C$7,$D$7)</f>
        <v/>
      </c>
      <c r="P3557" s="14">
        <f>$C$8+($D$8-$C$8)*$AD3557</f>
        <v/>
      </c>
      <c r="Q3557" s="14">
        <f>$C$9</f>
        <v/>
      </c>
      <c r="R3557" s="14">
        <f>_xlfn.LOGNORM.INV($AF3557,LN($C$10)-0.5*LN(1+($D$10/$C$10)^2),SQRT(LN(1+($D$10/$C$10)^2)))</f>
        <v/>
      </c>
      <c r="S3557" s="14">
        <f>SUM(M3557:R3557)</f>
        <v/>
      </c>
      <c r="AA3557">
        <f>RAND()</f>
        <v/>
      </c>
      <c r="AB3557">
        <f>RAND()</f>
        <v/>
      </c>
      <c r="AC3557">
        <f>RAND()</f>
        <v/>
      </c>
      <c r="AD3557">
        <f>RAND()</f>
        <v/>
      </c>
      <c r="AE3557">
        <f>RAND()</f>
        <v/>
      </c>
      <c r="AF3557">
        <f>RAND()</f>
        <v/>
      </c>
    </row>
    <row r="3558">
      <c r="M3558" s="14">
        <f>_xlfn.BETA.INV($AA3558,1+4*($D$5-$C$5)/($E$5-$C$5),1+4*($E$5-$D$5)/($E$5-$C$5),$C$5,$E$5)</f>
        <v/>
      </c>
      <c r="N3558" s="14">
        <f>IF($AB3558&lt;($D$6-$C$6)/($E$6-$C$6),$C$6+SQRT($AB3558*($E$6-$C$6)*($D$6-$C$6)),$E$6-SQRT((1-$AB3558)*($E$6-$C$6)*($E$6-$D$6)))</f>
        <v/>
      </c>
      <c r="O3558" s="14">
        <f>_xlfn.NORM.INV($AC3558,$C$7,$D$7)</f>
        <v/>
      </c>
      <c r="P3558" s="14">
        <f>$C$8+($D$8-$C$8)*$AD3558</f>
        <v/>
      </c>
      <c r="Q3558" s="14">
        <f>$C$9</f>
        <v/>
      </c>
      <c r="R3558" s="14">
        <f>_xlfn.LOGNORM.INV($AF3558,LN($C$10)-0.5*LN(1+($D$10/$C$10)^2),SQRT(LN(1+($D$10/$C$10)^2)))</f>
        <v/>
      </c>
      <c r="S3558" s="14">
        <f>SUM(M3558:R3558)</f>
        <v/>
      </c>
      <c r="AA3558">
        <f>RAND()</f>
        <v/>
      </c>
      <c r="AB3558">
        <f>RAND()</f>
        <v/>
      </c>
      <c r="AC3558">
        <f>RAND()</f>
        <v/>
      </c>
      <c r="AD3558">
        <f>RAND()</f>
        <v/>
      </c>
      <c r="AE3558">
        <f>RAND()</f>
        <v/>
      </c>
      <c r="AF3558">
        <f>RAND()</f>
        <v/>
      </c>
    </row>
    <row r="3559">
      <c r="M3559" s="14">
        <f>_xlfn.BETA.INV($AA3559,1+4*($D$5-$C$5)/($E$5-$C$5),1+4*($E$5-$D$5)/($E$5-$C$5),$C$5,$E$5)</f>
        <v/>
      </c>
      <c r="N3559" s="14">
        <f>IF($AB3559&lt;($D$6-$C$6)/($E$6-$C$6),$C$6+SQRT($AB3559*($E$6-$C$6)*($D$6-$C$6)),$E$6-SQRT((1-$AB3559)*($E$6-$C$6)*($E$6-$D$6)))</f>
        <v/>
      </c>
      <c r="O3559" s="14">
        <f>_xlfn.NORM.INV($AC3559,$C$7,$D$7)</f>
        <v/>
      </c>
      <c r="P3559" s="14">
        <f>$C$8+($D$8-$C$8)*$AD3559</f>
        <v/>
      </c>
      <c r="Q3559" s="14">
        <f>$C$9</f>
        <v/>
      </c>
      <c r="R3559" s="14">
        <f>_xlfn.LOGNORM.INV($AF3559,LN($C$10)-0.5*LN(1+($D$10/$C$10)^2),SQRT(LN(1+($D$10/$C$10)^2)))</f>
        <v/>
      </c>
      <c r="S3559" s="14">
        <f>SUM(M3559:R3559)</f>
        <v/>
      </c>
      <c r="AA3559">
        <f>RAND()</f>
        <v/>
      </c>
      <c r="AB3559">
        <f>RAND()</f>
        <v/>
      </c>
      <c r="AC3559">
        <f>RAND()</f>
        <v/>
      </c>
      <c r="AD3559">
        <f>RAND()</f>
        <v/>
      </c>
      <c r="AE3559">
        <f>RAND()</f>
        <v/>
      </c>
      <c r="AF3559">
        <f>RAND()</f>
        <v/>
      </c>
    </row>
    <row r="3560">
      <c r="M3560" s="14">
        <f>_xlfn.BETA.INV($AA3560,1+4*($D$5-$C$5)/($E$5-$C$5),1+4*($E$5-$D$5)/($E$5-$C$5),$C$5,$E$5)</f>
        <v/>
      </c>
      <c r="N3560" s="14">
        <f>IF($AB3560&lt;($D$6-$C$6)/($E$6-$C$6),$C$6+SQRT($AB3560*($E$6-$C$6)*($D$6-$C$6)),$E$6-SQRT((1-$AB3560)*($E$6-$C$6)*($E$6-$D$6)))</f>
        <v/>
      </c>
      <c r="O3560" s="14">
        <f>_xlfn.NORM.INV($AC3560,$C$7,$D$7)</f>
        <v/>
      </c>
      <c r="P3560" s="14">
        <f>$C$8+($D$8-$C$8)*$AD3560</f>
        <v/>
      </c>
      <c r="Q3560" s="14">
        <f>$C$9</f>
        <v/>
      </c>
      <c r="R3560" s="14">
        <f>_xlfn.LOGNORM.INV($AF3560,LN($C$10)-0.5*LN(1+($D$10/$C$10)^2),SQRT(LN(1+($D$10/$C$10)^2)))</f>
        <v/>
      </c>
      <c r="S3560" s="14">
        <f>SUM(M3560:R3560)</f>
        <v/>
      </c>
      <c r="AA3560">
        <f>RAND()</f>
        <v/>
      </c>
      <c r="AB3560">
        <f>RAND()</f>
        <v/>
      </c>
      <c r="AC3560">
        <f>RAND()</f>
        <v/>
      </c>
      <c r="AD3560">
        <f>RAND()</f>
        <v/>
      </c>
      <c r="AE3560">
        <f>RAND()</f>
        <v/>
      </c>
      <c r="AF3560">
        <f>RAND()</f>
        <v/>
      </c>
    </row>
    <row r="3561">
      <c r="M3561" s="14">
        <f>_xlfn.BETA.INV($AA3561,1+4*($D$5-$C$5)/($E$5-$C$5),1+4*($E$5-$D$5)/($E$5-$C$5),$C$5,$E$5)</f>
        <v/>
      </c>
      <c r="N3561" s="14">
        <f>IF($AB3561&lt;($D$6-$C$6)/($E$6-$C$6),$C$6+SQRT($AB3561*($E$6-$C$6)*($D$6-$C$6)),$E$6-SQRT((1-$AB3561)*($E$6-$C$6)*($E$6-$D$6)))</f>
        <v/>
      </c>
      <c r="O3561" s="14">
        <f>_xlfn.NORM.INV($AC3561,$C$7,$D$7)</f>
        <v/>
      </c>
      <c r="P3561" s="14">
        <f>$C$8+($D$8-$C$8)*$AD3561</f>
        <v/>
      </c>
      <c r="Q3561" s="14">
        <f>$C$9</f>
        <v/>
      </c>
      <c r="R3561" s="14">
        <f>_xlfn.LOGNORM.INV($AF3561,LN($C$10)-0.5*LN(1+($D$10/$C$10)^2),SQRT(LN(1+($D$10/$C$10)^2)))</f>
        <v/>
      </c>
      <c r="S3561" s="14">
        <f>SUM(M3561:R3561)</f>
        <v/>
      </c>
      <c r="AA3561">
        <f>RAND()</f>
        <v/>
      </c>
      <c r="AB3561">
        <f>RAND()</f>
        <v/>
      </c>
      <c r="AC3561">
        <f>RAND()</f>
        <v/>
      </c>
      <c r="AD3561">
        <f>RAND()</f>
        <v/>
      </c>
      <c r="AE3561">
        <f>RAND()</f>
        <v/>
      </c>
      <c r="AF3561">
        <f>RAND()</f>
        <v/>
      </c>
    </row>
    <row r="3562">
      <c r="M3562" s="14">
        <f>_xlfn.BETA.INV($AA3562,1+4*($D$5-$C$5)/($E$5-$C$5),1+4*($E$5-$D$5)/($E$5-$C$5),$C$5,$E$5)</f>
        <v/>
      </c>
      <c r="N3562" s="14">
        <f>IF($AB3562&lt;($D$6-$C$6)/($E$6-$C$6),$C$6+SQRT($AB3562*($E$6-$C$6)*($D$6-$C$6)),$E$6-SQRT((1-$AB3562)*($E$6-$C$6)*($E$6-$D$6)))</f>
        <v/>
      </c>
      <c r="O3562" s="14">
        <f>_xlfn.NORM.INV($AC3562,$C$7,$D$7)</f>
        <v/>
      </c>
      <c r="P3562" s="14">
        <f>$C$8+($D$8-$C$8)*$AD3562</f>
        <v/>
      </c>
      <c r="Q3562" s="14">
        <f>$C$9</f>
        <v/>
      </c>
      <c r="R3562" s="14">
        <f>_xlfn.LOGNORM.INV($AF3562,LN($C$10)-0.5*LN(1+($D$10/$C$10)^2),SQRT(LN(1+($D$10/$C$10)^2)))</f>
        <v/>
      </c>
      <c r="S3562" s="14">
        <f>SUM(M3562:R3562)</f>
        <v/>
      </c>
      <c r="AA3562">
        <f>RAND()</f>
        <v/>
      </c>
      <c r="AB3562">
        <f>RAND()</f>
        <v/>
      </c>
      <c r="AC3562">
        <f>RAND()</f>
        <v/>
      </c>
      <c r="AD3562">
        <f>RAND()</f>
        <v/>
      </c>
      <c r="AE3562">
        <f>RAND()</f>
        <v/>
      </c>
      <c r="AF3562">
        <f>RAND()</f>
        <v/>
      </c>
    </row>
    <row r="3563">
      <c r="M3563" s="14">
        <f>_xlfn.BETA.INV($AA3563,1+4*($D$5-$C$5)/($E$5-$C$5),1+4*($E$5-$D$5)/($E$5-$C$5),$C$5,$E$5)</f>
        <v/>
      </c>
      <c r="N3563" s="14">
        <f>IF($AB3563&lt;($D$6-$C$6)/($E$6-$C$6),$C$6+SQRT($AB3563*($E$6-$C$6)*($D$6-$C$6)),$E$6-SQRT((1-$AB3563)*($E$6-$C$6)*($E$6-$D$6)))</f>
        <v/>
      </c>
      <c r="O3563" s="14">
        <f>_xlfn.NORM.INV($AC3563,$C$7,$D$7)</f>
        <v/>
      </c>
      <c r="P3563" s="14">
        <f>$C$8+($D$8-$C$8)*$AD3563</f>
        <v/>
      </c>
      <c r="Q3563" s="14">
        <f>$C$9</f>
        <v/>
      </c>
      <c r="R3563" s="14">
        <f>_xlfn.LOGNORM.INV($AF3563,LN($C$10)-0.5*LN(1+($D$10/$C$10)^2),SQRT(LN(1+($D$10/$C$10)^2)))</f>
        <v/>
      </c>
      <c r="S3563" s="14">
        <f>SUM(M3563:R3563)</f>
        <v/>
      </c>
      <c r="AA3563">
        <f>RAND()</f>
        <v/>
      </c>
      <c r="AB3563">
        <f>RAND()</f>
        <v/>
      </c>
      <c r="AC3563">
        <f>RAND()</f>
        <v/>
      </c>
      <c r="AD3563">
        <f>RAND()</f>
        <v/>
      </c>
      <c r="AE3563">
        <f>RAND()</f>
        <v/>
      </c>
      <c r="AF3563">
        <f>RAND()</f>
        <v/>
      </c>
    </row>
    <row r="3564">
      <c r="M3564" s="14">
        <f>_xlfn.BETA.INV($AA3564,1+4*($D$5-$C$5)/($E$5-$C$5),1+4*($E$5-$D$5)/($E$5-$C$5),$C$5,$E$5)</f>
        <v/>
      </c>
      <c r="N3564" s="14">
        <f>IF($AB3564&lt;($D$6-$C$6)/($E$6-$C$6),$C$6+SQRT($AB3564*($E$6-$C$6)*($D$6-$C$6)),$E$6-SQRT((1-$AB3564)*($E$6-$C$6)*($E$6-$D$6)))</f>
        <v/>
      </c>
      <c r="O3564" s="14">
        <f>_xlfn.NORM.INV($AC3564,$C$7,$D$7)</f>
        <v/>
      </c>
      <c r="P3564" s="14">
        <f>$C$8+($D$8-$C$8)*$AD3564</f>
        <v/>
      </c>
      <c r="Q3564" s="14">
        <f>$C$9</f>
        <v/>
      </c>
      <c r="R3564" s="14">
        <f>_xlfn.LOGNORM.INV($AF3564,LN($C$10)-0.5*LN(1+($D$10/$C$10)^2),SQRT(LN(1+($D$10/$C$10)^2)))</f>
        <v/>
      </c>
      <c r="S3564" s="14">
        <f>SUM(M3564:R3564)</f>
        <v/>
      </c>
      <c r="AA3564">
        <f>RAND()</f>
        <v/>
      </c>
      <c r="AB3564">
        <f>RAND()</f>
        <v/>
      </c>
      <c r="AC3564">
        <f>RAND()</f>
        <v/>
      </c>
      <c r="AD3564">
        <f>RAND()</f>
        <v/>
      </c>
      <c r="AE3564">
        <f>RAND()</f>
        <v/>
      </c>
      <c r="AF3564">
        <f>RAND()</f>
        <v/>
      </c>
    </row>
    <row r="3565">
      <c r="M3565" s="14">
        <f>_xlfn.BETA.INV($AA3565,1+4*($D$5-$C$5)/($E$5-$C$5),1+4*($E$5-$D$5)/($E$5-$C$5),$C$5,$E$5)</f>
        <v/>
      </c>
      <c r="N3565" s="14">
        <f>IF($AB3565&lt;($D$6-$C$6)/($E$6-$C$6),$C$6+SQRT($AB3565*($E$6-$C$6)*($D$6-$C$6)),$E$6-SQRT((1-$AB3565)*($E$6-$C$6)*($E$6-$D$6)))</f>
        <v/>
      </c>
      <c r="O3565" s="14">
        <f>_xlfn.NORM.INV($AC3565,$C$7,$D$7)</f>
        <v/>
      </c>
      <c r="P3565" s="14">
        <f>$C$8+($D$8-$C$8)*$AD3565</f>
        <v/>
      </c>
      <c r="Q3565" s="14">
        <f>$C$9</f>
        <v/>
      </c>
      <c r="R3565" s="14">
        <f>_xlfn.LOGNORM.INV($AF3565,LN($C$10)-0.5*LN(1+($D$10/$C$10)^2),SQRT(LN(1+($D$10/$C$10)^2)))</f>
        <v/>
      </c>
      <c r="S3565" s="14">
        <f>SUM(M3565:R3565)</f>
        <v/>
      </c>
      <c r="AA3565">
        <f>RAND()</f>
        <v/>
      </c>
      <c r="AB3565">
        <f>RAND()</f>
        <v/>
      </c>
      <c r="AC3565">
        <f>RAND()</f>
        <v/>
      </c>
      <c r="AD3565">
        <f>RAND()</f>
        <v/>
      </c>
      <c r="AE3565">
        <f>RAND()</f>
        <v/>
      </c>
      <c r="AF3565">
        <f>RAND()</f>
        <v/>
      </c>
    </row>
    <row r="3566">
      <c r="M3566" s="14">
        <f>_xlfn.BETA.INV($AA3566,1+4*($D$5-$C$5)/($E$5-$C$5),1+4*($E$5-$D$5)/($E$5-$C$5),$C$5,$E$5)</f>
        <v/>
      </c>
      <c r="N3566" s="14">
        <f>IF($AB3566&lt;($D$6-$C$6)/($E$6-$C$6),$C$6+SQRT($AB3566*($E$6-$C$6)*($D$6-$C$6)),$E$6-SQRT((1-$AB3566)*($E$6-$C$6)*($E$6-$D$6)))</f>
        <v/>
      </c>
      <c r="O3566" s="14">
        <f>_xlfn.NORM.INV($AC3566,$C$7,$D$7)</f>
        <v/>
      </c>
      <c r="P3566" s="14">
        <f>$C$8+($D$8-$C$8)*$AD3566</f>
        <v/>
      </c>
      <c r="Q3566" s="14">
        <f>$C$9</f>
        <v/>
      </c>
      <c r="R3566" s="14">
        <f>_xlfn.LOGNORM.INV($AF3566,LN($C$10)-0.5*LN(1+($D$10/$C$10)^2),SQRT(LN(1+($D$10/$C$10)^2)))</f>
        <v/>
      </c>
      <c r="S3566" s="14">
        <f>SUM(M3566:R3566)</f>
        <v/>
      </c>
      <c r="AA3566">
        <f>RAND()</f>
        <v/>
      </c>
      <c r="AB3566">
        <f>RAND()</f>
        <v/>
      </c>
      <c r="AC3566">
        <f>RAND()</f>
        <v/>
      </c>
      <c r="AD3566">
        <f>RAND()</f>
        <v/>
      </c>
      <c r="AE3566">
        <f>RAND()</f>
        <v/>
      </c>
      <c r="AF3566">
        <f>RAND()</f>
        <v/>
      </c>
    </row>
    <row r="3567">
      <c r="M3567" s="14">
        <f>_xlfn.BETA.INV($AA3567,1+4*($D$5-$C$5)/($E$5-$C$5),1+4*($E$5-$D$5)/($E$5-$C$5),$C$5,$E$5)</f>
        <v/>
      </c>
      <c r="N3567" s="14">
        <f>IF($AB3567&lt;($D$6-$C$6)/($E$6-$C$6),$C$6+SQRT($AB3567*($E$6-$C$6)*($D$6-$C$6)),$E$6-SQRT((1-$AB3567)*($E$6-$C$6)*($E$6-$D$6)))</f>
        <v/>
      </c>
      <c r="O3567" s="14">
        <f>_xlfn.NORM.INV($AC3567,$C$7,$D$7)</f>
        <v/>
      </c>
      <c r="P3567" s="14">
        <f>$C$8+($D$8-$C$8)*$AD3567</f>
        <v/>
      </c>
      <c r="Q3567" s="14">
        <f>$C$9</f>
        <v/>
      </c>
      <c r="R3567" s="14">
        <f>_xlfn.LOGNORM.INV($AF3567,LN($C$10)-0.5*LN(1+($D$10/$C$10)^2),SQRT(LN(1+($D$10/$C$10)^2)))</f>
        <v/>
      </c>
      <c r="S3567" s="14">
        <f>SUM(M3567:R3567)</f>
        <v/>
      </c>
      <c r="AA3567">
        <f>RAND()</f>
        <v/>
      </c>
      <c r="AB3567">
        <f>RAND()</f>
        <v/>
      </c>
      <c r="AC3567">
        <f>RAND()</f>
        <v/>
      </c>
      <c r="AD3567">
        <f>RAND()</f>
        <v/>
      </c>
      <c r="AE3567">
        <f>RAND()</f>
        <v/>
      </c>
      <c r="AF3567">
        <f>RAND()</f>
        <v/>
      </c>
    </row>
    <row r="3568">
      <c r="M3568" s="14">
        <f>_xlfn.BETA.INV($AA3568,1+4*($D$5-$C$5)/($E$5-$C$5),1+4*($E$5-$D$5)/($E$5-$C$5),$C$5,$E$5)</f>
        <v/>
      </c>
      <c r="N3568" s="14">
        <f>IF($AB3568&lt;($D$6-$C$6)/($E$6-$C$6),$C$6+SQRT($AB3568*($E$6-$C$6)*($D$6-$C$6)),$E$6-SQRT((1-$AB3568)*($E$6-$C$6)*($E$6-$D$6)))</f>
        <v/>
      </c>
      <c r="O3568" s="14">
        <f>_xlfn.NORM.INV($AC3568,$C$7,$D$7)</f>
        <v/>
      </c>
      <c r="P3568" s="14">
        <f>$C$8+($D$8-$C$8)*$AD3568</f>
        <v/>
      </c>
      <c r="Q3568" s="14">
        <f>$C$9</f>
        <v/>
      </c>
      <c r="R3568" s="14">
        <f>_xlfn.LOGNORM.INV($AF3568,LN($C$10)-0.5*LN(1+($D$10/$C$10)^2),SQRT(LN(1+($D$10/$C$10)^2)))</f>
        <v/>
      </c>
      <c r="S3568" s="14">
        <f>SUM(M3568:R3568)</f>
        <v/>
      </c>
      <c r="AA3568">
        <f>RAND()</f>
        <v/>
      </c>
      <c r="AB3568">
        <f>RAND()</f>
        <v/>
      </c>
      <c r="AC3568">
        <f>RAND()</f>
        <v/>
      </c>
      <c r="AD3568">
        <f>RAND()</f>
        <v/>
      </c>
      <c r="AE3568">
        <f>RAND()</f>
        <v/>
      </c>
      <c r="AF3568">
        <f>RAND()</f>
        <v/>
      </c>
    </row>
    <row r="3569">
      <c r="M3569" s="14">
        <f>_xlfn.BETA.INV($AA3569,1+4*($D$5-$C$5)/($E$5-$C$5),1+4*($E$5-$D$5)/($E$5-$C$5),$C$5,$E$5)</f>
        <v/>
      </c>
      <c r="N3569" s="14">
        <f>IF($AB3569&lt;($D$6-$C$6)/($E$6-$C$6),$C$6+SQRT($AB3569*($E$6-$C$6)*($D$6-$C$6)),$E$6-SQRT((1-$AB3569)*($E$6-$C$6)*($E$6-$D$6)))</f>
        <v/>
      </c>
      <c r="O3569" s="14">
        <f>_xlfn.NORM.INV($AC3569,$C$7,$D$7)</f>
        <v/>
      </c>
      <c r="P3569" s="14">
        <f>$C$8+($D$8-$C$8)*$AD3569</f>
        <v/>
      </c>
      <c r="Q3569" s="14">
        <f>$C$9</f>
        <v/>
      </c>
      <c r="R3569" s="14">
        <f>_xlfn.LOGNORM.INV($AF3569,LN($C$10)-0.5*LN(1+($D$10/$C$10)^2),SQRT(LN(1+($D$10/$C$10)^2)))</f>
        <v/>
      </c>
      <c r="S3569" s="14">
        <f>SUM(M3569:R3569)</f>
        <v/>
      </c>
      <c r="AA3569">
        <f>RAND()</f>
        <v/>
      </c>
      <c r="AB3569">
        <f>RAND()</f>
        <v/>
      </c>
      <c r="AC3569">
        <f>RAND()</f>
        <v/>
      </c>
      <c r="AD3569">
        <f>RAND()</f>
        <v/>
      </c>
      <c r="AE3569">
        <f>RAND()</f>
        <v/>
      </c>
      <c r="AF3569">
        <f>RAND()</f>
        <v/>
      </c>
    </row>
    <row r="3570">
      <c r="M3570" s="14">
        <f>_xlfn.BETA.INV($AA3570,1+4*($D$5-$C$5)/($E$5-$C$5),1+4*($E$5-$D$5)/($E$5-$C$5),$C$5,$E$5)</f>
        <v/>
      </c>
      <c r="N3570" s="14">
        <f>IF($AB3570&lt;($D$6-$C$6)/($E$6-$C$6),$C$6+SQRT($AB3570*($E$6-$C$6)*($D$6-$C$6)),$E$6-SQRT((1-$AB3570)*($E$6-$C$6)*($E$6-$D$6)))</f>
        <v/>
      </c>
      <c r="O3570" s="14">
        <f>_xlfn.NORM.INV($AC3570,$C$7,$D$7)</f>
        <v/>
      </c>
      <c r="P3570" s="14">
        <f>$C$8+($D$8-$C$8)*$AD3570</f>
        <v/>
      </c>
      <c r="Q3570" s="14">
        <f>$C$9</f>
        <v/>
      </c>
      <c r="R3570" s="14">
        <f>_xlfn.LOGNORM.INV($AF3570,LN($C$10)-0.5*LN(1+($D$10/$C$10)^2),SQRT(LN(1+($D$10/$C$10)^2)))</f>
        <v/>
      </c>
      <c r="S3570" s="14">
        <f>SUM(M3570:R3570)</f>
        <v/>
      </c>
      <c r="AA3570">
        <f>RAND()</f>
        <v/>
      </c>
      <c r="AB3570">
        <f>RAND()</f>
        <v/>
      </c>
      <c r="AC3570">
        <f>RAND()</f>
        <v/>
      </c>
      <c r="AD3570">
        <f>RAND()</f>
        <v/>
      </c>
      <c r="AE3570">
        <f>RAND()</f>
        <v/>
      </c>
      <c r="AF3570">
        <f>RAND()</f>
        <v/>
      </c>
    </row>
    <row r="3571">
      <c r="M3571" s="14">
        <f>_xlfn.BETA.INV($AA3571,1+4*($D$5-$C$5)/($E$5-$C$5),1+4*($E$5-$D$5)/($E$5-$C$5),$C$5,$E$5)</f>
        <v/>
      </c>
      <c r="N3571" s="14">
        <f>IF($AB3571&lt;($D$6-$C$6)/($E$6-$C$6),$C$6+SQRT($AB3571*($E$6-$C$6)*($D$6-$C$6)),$E$6-SQRT((1-$AB3571)*($E$6-$C$6)*($E$6-$D$6)))</f>
        <v/>
      </c>
      <c r="O3571" s="14">
        <f>_xlfn.NORM.INV($AC3571,$C$7,$D$7)</f>
        <v/>
      </c>
      <c r="P3571" s="14">
        <f>$C$8+($D$8-$C$8)*$AD3571</f>
        <v/>
      </c>
      <c r="Q3571" s="14">
        <f>$C$9</f>
        <v/>
      </c>
      <c r="R3571" s="14">
        <f>_xlfn.LOGNORM.INV($AF3571,LN($C$10)-0.5*LN(1+($D$10/$C$10)^2),SQRT(LN(1+($D$10/$C$10)^2)))</f>
        <v/>
      </c>
      <c r="S3571" s="14">
        <f>SUM(M3571:R3571)</f>
        <v/>
      </c>
      <c r="AA3571">
        <f>RAND()</f>
        <v/>
      </c>
      <c r="AB3571">
        <f>RAND()</f>
        <v/>
      </c>
      <c r="AC3571">
        <f>RAND()</f>
        <v/>
      </c>
      <c r="AD3571">
        <f>RAND()</f>
        <v/>
      </c>
      <c r="AE3571">
        <f>RAND()</f>
        <v/>
      </c>
      <c r="AF3571">
        <f>RAND()</f>
        <v/>
      </c>
    </row>
    <row r="3572">
      <c r="M3572" s="14">
        <f>_xlfn.BETA.INV($AA3572,1+4*($D$5-$C$5)/($E$5-$C$5),1+4*($E$5-$D$5)/($E$5-$C$5),$C$5,$E$5)</f>
        <v/>
      </c>
      <c r="N3572" s="14">
        <f>IF($AB3572&lt;($D$6-$C$6)/($E$6-$C$6),$C$6+SQRT($AB3572*($E$6-$C$6)*($D$6-$C$6)),$E$6-SQRT((1-$AB3572)*($E$6-$C$6)*($E$6-$D$6)))</f>
        <v/>
      </c>
      <c r="O3572" s="14">
        <f>_xlfn.NORM.INV($AC3572,$C$7,$D$7)</f>
        <v/>
      </c>
      <c r="P3572" s="14">
        <f>$C$8+($D$8-$C$8)*$AD3572</f>
        <v/>
      </c>
      <c r="Q3572" s="14">
        <f>$C$9</f>
        <v/>
      </c>
      <c r="R3572" s="14">
        <f>_xlfn.LOGNORM.INV($AF3572,LN($C$10)-0.5*LN(1+($D$10/$C$10)^2),SQRT(LN(1+($D$10/$C$10)^2)))</f>
        <v/>
      </c>
      <c r="S3572" s="14">
        <f>SUM(M3572:R3572)</f>
        <v/>
      </c>
      <c r="AA3572">
        <f>RAND()</f>
        <v/>
      </c>
      <c r="AB3572">
        <f>RAND()</f>
        <v/>
      </c>
      <c r="AC3572">
        <f>RAND()</f>
        <v/>
      </c>
      <c r="AD3572">
        <f>RAND()</f>
        <v/>
      </c>
      <c r="AE3572">
        <f>RAND()</f>
        <v/>
      </c>
      <c r="AF3572">
        <f>RAND()</f>
        <v/>
      </c>
    </row>
    <row r="3573">
      <c r="M3573" s="14">
        <f>_xlfn.BETA.INV($AA3573,1+4*($D$5-$C$5)/($E$5-$C$5),1+4*($E$5-$D$5)/($E$5-$C$5),$C$5,$E$5)</f>
        <v/>
      </c>
      <c r="N3573" s="14">
        <f>IF($AB3573&lt;($D$6-$C$6)/($E$6-$C$6),$C$6+SQRT($AB3573*($E$6-$C$6)*($D$6-$C$6)),$E$6-SQRT((1-$AB3573)*($E$6-$C$6)*($E$6-$D$6)))</f>
        <v/>
      </c>
      <c r="O3573" s="14">
        <f>_xlfn.NORM.INV($AC3573,$C$7,$D$7)</f>
        <v/>
      </c>
      <c r="P3573" s="14">
        <f>$C$8+($D$8-$C$8)*$AD3573</f>
        <v/>
      </c>
      <c r="Q3573" s="14">
        <f>$C$9</f>
        <v/>
      </c>
      <c r="R3573" s="14">
        <f>_xlfn.LOGNORM.INV($AF3573,LN($C$10)-0.5*LN(1+($D$10/$C$10)^2),SQRT(LN(1+($D$10/$C$10)^2)))</f>
        <v/>
      </c>
      <c r="S3573" s="14">
        <f>SUM(M3573:R3573)</f>
        <v/>
      </c>
      <c r="AA3573">
        <f>RAND()</f>
        <v/>
      </c>
      <c r="AB3573">
        <f>RAND()</f>
        <v/>
      </c>
      <c r="AC3573">
        <f>RAND()</f>
        <v/>
      </c>
      <c r="AD3573">
        <f>RAND()</f>
        <v/>
      </c>
      <c r="AE3573">
        <f>RAND()</f>
        <v/>
      </c>
      <c r="AF3573">
        <f>RAND()</f>
        <v/>
      </c>
    </row>
    <row r="3574">
      <c r="M3574" s="14">
        <f>_xlfn.BETA.INV($AA3574,1+4*($D$5-$C$5)/($E$5-$C$5),1+4*($E$5-$D$5)/($E$5-$C$5),$C$5,$E$5)</f>
        <v/>
      </c>
      <c r="N3574" s="14">
        <f>IF($AB3574&lt;($D$6-$C$6)/($E$6-$C$6),$C$6+SQRT($AB3574*($E$6-$C$6)*($D$6-$C$6)),$E$6-SQRT((1-$AB3574)*($E$6-$C$6)*($E$6-$D$6)))</f>
        <v/>
      </c>
      <c r="O3574" s="14">
        <f>_xlfn.NORM.INV($AC3574,$C$7,$D$7)</f>
        <v/>
      </c>
      <c r="P3574" s="14">
        <f>$C$8+($D$8-$C$8)*$AD3574</f>
        <v/>
      </c>
      <c r="Q3574" s="14">
        <f>$C$9</f>
        <v/>
      </c>
      <c r="R3574" s="14">
        <f>_xlfn.LOGNORM.INV($AF3574,LN($C$10)-0.5*LN(1+($D$10/$C$10)^2),SQRT(LN(1+($D$10/$C$10)^2)))</f>
        <v/>
      </c>
      <c r="S3574" s="14">
        <f>SUM(M3574:R3574)</f>
        <v/>
      </c>
      <c r="AA3574">
        <f>RAND()</f>
        <v/>
      </c>
      <c r="AB3574">
        <f>RAND()</f>
        <v/>
      </c>
      <c r="AC3574">
        <f>RAND()</f>
        <v/>
      </c>
      <c r="AD3574">
        <f>RAND()</f>
        <v/>
      </c>
      <c r="AE3574">
        <f>RAND()</f>
        <v/>
      </c>
      <c r="AF3574">
        <f>RAND()</f>
        <v/>
      </c>
    </row>
    <row r="3575">
      <c r="M3575" s="14">
        <f>_xlfn.BETA.INV($AA3575,1+4*($D$5-$C$5)/($E$5-$C$5),1+4*($E$5-$D$5)/($E$5-$C$5),$C$5,$E$5)</f>
        <v/>
      </c>
      <c r="N3575" s="14">
        <f>IF($AB3575&lt;($D$6-$C$6)/($E$6-$C$6),$C$6+SQRT($AB3575*($E$6-$C$6)*($D$6-$C$6)),$E$6-SQRT((1-$AB3575)*($E$6-$C$6)*($E$6-$D$6)))</f>
        <v/>
      </c>
      <c r="O3575" s="14">
        <f>_xlfn.NORM.INV($AC3575,$C$7,$D$7)</f>
        <v/>
      </c>
      <c r="P3575" s="14">
        <f>$C$8+($D$8-$C$8)*$AD3575</f>
        <v/>
      </c>
      <c r="Q3575" s="14">
        <f>$C$9</f>
        <v/>
      </c>
      <c r="R3575" s="14">
        <f>_xlfn.LOGNORM.INV($AF3575,LN($C$10)-0.5*LN(1+($D$10/$C$10)^2),SQRT(LN(1+($D$10/$C$10)^2)))</f>
        <v/>
      </c>
      <c r="S3575" s="14">
        <f>SUM(M3575:R3575)</f>
        <v/>
      </c>
      <c r="AA3575">
        <f>RAND()</f>
        <v/>
      </c>
      <c r="AB3575">
        <f>RAND()</f>
        <v/>
      </c>
      <c r="AC3575">
        <f>RAND()</f>
        <v/>
      </c>
      <c r="AD3575">
        <f>RAND()</f>
        <v/>
      </c>
      <c r="AE3575">
        <f>RAND()</f>
        <v/>
      </c>
      <c r="AF3575">
        <f>RAND()</f>
        <v/>
      </c>
    </row>
    <row r="3576">
      <c r="M3576" s="14">
        <f>_xlfn.BETA.INV($AA3576,1+4*($D$5-$C$5)/($E$5-$C$5),1+4*($E$5-$D$5)/($E$5-$C$5),$C$5,$E$5)</f>
        <v/>
      </c>
      <c r="N3576" s="14">
        <f>IF($AB3576&lt;($D$6-$C$6)/($E$6-$C$6),$C$6+SQRT($AB3576*($E$6-$C$6)*($D$6-$C$6)),$E$6-SQRT((1-$AB3576)*($E$6-$C$6)*($E$6-$D$6)))</f>
        <v/>
      </c>
      <c r="O3576" s="14">
        <f>_xlfn.NORM.INV($AC3576,$C$7,$D$7)</f>
        <v/>
      </c>
      <c r="P3576" s="14">
        <f>$C$8+($D$8-$C$8)*$AD3576</f>
        <v/>
      </c>
      <c r="Q3576" s="14">
        <f>$C$9</f>
        <v/>
      </c>
      <c r="R3576" s="14">
        <f>_xlfn.LOGNORM.INV($AF3576,LN($C$10)-0.5*LN(1+($D$10/$C$10)^2),SQRT(LN(1+($D$10/$C$10)^2)))</f>
        <v/>
      </c>
      <c r="S3576" s="14">
        <f>SUM(M3576:R3576)</f>
        <v/>
      </c>
      <c r="AA3576">
        <f>RAND()</f>
        <v/>
      </c>
      <c r="AB3576">
        <f>RAND()</f>
        <v/>
      </c>
      <c r="AC3576">
        <f>RAND()</f>
        <v/>
      </c>
      <c r="AD3576">
        <f>RAND()</f>
        <v/>
      </c>
      <c r="AE3576">
        <f>RAND()</f>
        <v/>
      </c>
      <c r="AF3576">
        <f>RAND()</f>
        <v/>
      </c>
    </row>
    <row r="3577">
      <c r="M3577" s="14">
        <f>_xlfn.BETA.INV($AA3577,1+4*($D$5-$C$5)/($E$5-$C$5),1+4*($E$5-$D$5)/($E$5-$C$5),$C$5,$E$5)</f>
        <v/>
      </c>
      <c r="N3577" s="14">
        <f>IF($AB3577&lt;($D$6-$C$6)/($E$6-$C$6),$C$6+SQRT($AB3577*($E$6-$C$6)*($D$6-$C$6)),$E$6-SQRT((1-$AB3577)*($E$6-$C$6)*($E$6-$D$6)))</f>
        <v/>
      </c>
      <c r="O3577" s="14">
        <f>_xlfn.NORM.INV($AC3577,$C$7,$D$7)</f>
        <v/>
      </c>
      <c r="P3577" s="14">
        <f>$C$8+($D$8-$C$8)*$AD3577</f>
        <v/>
      </c>
      <c r="Q3577" s="14">
        <f>$C$9</f>
        <v/>
      </c>
      <c r="R3577" s="14">
        <f>_xlfn.LOGNORM.INV($AF3577,LN($C$10)-0.5*LN(1+($D$10/$C$10)^2),SQRT(LN(1+($D$10/$C$10)^2)))</f>
        <v/>
      </c>
      <c r="S3577" s="14">
        <f>SUM(M3577:R3577)</f>
        <v/>
      </c>
      <c r="AA3577">
        <f>RAND()</f>
        <v/>
      </c>
      <c r="AB3577">
        <f>RAND()</f>
        <v/>
      </c>
      <c r="AC3577">
        <f>RAND()</f>
        <v/>
      </c>
      <c r="AD3577">
        <f>RAND()</f>
        <v/>
      </c>
      <c r="AE3577">
        <f>RAND()</f>
        <v/>
      </c>
      <c r="AF3577">
        <f>RAND()</f>
        <v/>
      </c>
    </row>
    <row r="3578">
      <c r="M3578" s="14">
        <f>_xlfn.BETA.INV($AA3578,1+4*($D$5-$C$5)/($E$5-$C$5),1+4*($E$5-$D$5)/($E$5-$C$5),$C$5,$E$5)</f>
        <v/>
      </c>
      <c r="N3578" s="14">
        <f>IF($AB3578&lt;($D$6-$C$6)/($E$6-$C$6),$C$6+SQRT($AB3578*($E$6-$C$6)*($D$6-$C$6)),$E$6-SQRT((1-$AB3578)*($E$6-$C$6)*($E$6-$D$6)))</f>
        <v/>
      </c>
      <c r="O3578" s="14">
        <f>_xlfn.NORM.INV($AC3578,$C$7,$D$7)</f>
        <v/>
      </c>
      <c r="P3578" s="14">
        <f>$C$8+($D$8-$C$8)*$AD3578</f>
        <v/>
      </c>
      <c r="Q3578" s="14">
        <f>$C$9</f>
        <v/>
      </c>
      <c r="R3578" s="14">
        <f>_xlfn.LOGNORM.INV($AF3578,LN($C$10)-0.5*LN(1+($D$10/$C$10)^2),SQRT(LN(1+($D$10/$C$10)^2)))</f>
        <v/>
      </c>
      <c r="S3578" s="14">
        <f>SUM(M3578:R3578)</f>
        <v/>
      </c>
      <c r="AA3578">
        <f>RAND()</f>
        <v/>
      </c>
      <c r="AB3578">
        <f>RAND()</f>
        <v/>
      </c>
      <c r="AC3578">
        <f>RAND()</f>
        <v/>
      </c>
      <c r="AD3578">
        <f>RAND()</f>
        <v/>
      </c>
      <c r="AE3578">
        <f>RAND()</f>
        <v/>
      </c>
      <c r="AF3578">
        <f>RAND()</f>
        <v/>
      </c>
    </row>
    <row r="3579">
      <c r="M3579" s="14">
        <f>_xlfn.BETA.INV($AA3579,1+4*($D$5-$C$5)/($E$5-$C$5),1+4*($E$5-$D$5)/($E$5-$C$5),$C$5,$E$5)</f>
        <v/>
      </c>
      <c r="N3579" s="14">
        <f>IF($AB3579&lt;($D$6-$C$6)/($E$6-$C$6),$C$6+SQRT($AB3579*($E$6-$C$6)*($D$6-$C$6)),$E$6-SQRT((1-$AB3579)*($E$6-$C$6)*($E$6-$D$6)))</f>
        <v/>
      </c>
      <c r="O3579" s="14">
        <f>_xlfn.NORM.INV($AC3579,$C$7,$D$7)</f>
        <v/>
      </c>
      <c r="P3579" s="14">
        <f>$C$8+($D$8-$C$8)*$AD3579</f>
        <v/>
      </c>
      <c r="Q3579" s="14">
        <f>$C$9</f>
        <v/>
      </c>
      <c r="R3579" s="14">
        <f>_xlfn.LOGNORM.INV($AF3579,LN($C$10)-0.5*LN(1+($D$10/$C$10)^2),SQRT(LN(1+($D$10/$C$10)^2)))</f>
        <v/>
      </c>
      <c r="S3579" s="14">
        <f>SUM(M3579:R3579)</f>
        <v/>
      </c>
      <c r="AA3579">
        <f>RAND()</f>
        <v/>
      </c>
      <c r="AB3579">
        <f>RAND()</f>
        <v/>
      </c>
      <c r="AC3579">
        <f>RAND()</f>
        <v/>
      </c>
      <c r="AD3579">
        <f>RAND()</f>
        <v/>
      </c>
      <c r="AE3579">
        <f>RAND()</f>
        <v/>
      </c>
      <c r="AF3579">
        <f>RAND()</f>
        <v/>
      </c>
    </row>
    <row r="3580">
      <c r="M3580" s="14">
        <f>_xlfn.BETA.INV($AA3580,1+4*($D$5-$C$5)/($E$5-$C$5),1+4*($E$5-$D$5)/($E$5-$C$5),$C$5,$E$5)</f>
        <v/>
      </c>
      <c r="N3580" s="14">
        <f>IF($AB3580&lt;($D$6-$C$6)/($E$6-$C$6),$C$6+SQRT($AB3580*($E$6-$C$6)*($D$6-$C$6)),$E$6-SQRT((1-$AB3580)*($E$6-$C$6)*($E$6-$D$6)))</f>
        <v/>
      </c>
      <c r="O3580" s="14">
        <f>_xlfn.NORM.INV($AC3580,$C$7,$D$7)</f>
        <v/>
      </c>
      <c r="P3580" s="14">
        <f>$C$8+($D$8-$C$8)*$AD3580</f>
        <v/>
      </c>
      <c r="Q3580" s="14">
        <f>$C$9</f>
        <v/>
      </c>
      <c r="R3580" s="14">
        <f>_xlfn.LOGNORM.INV($AF3580,LN($C$10)-0.5*LN(1+($D$10/$C$10)^2),SQRT(LN(1+($D$10/$C$10)^2)))</f>
        <v/>
      </c>
      <c r="S3580" s="14">
        <f>SUM(M3580:R3580)</f>
        <v/>
      </c>
      <c r="AA3580">
        <f>RAND()</f>
        <v/>
      </c>
      <c r="AB3580">
        <f>RAND()</f>
        <v/>
      </c>
      <c r="AC3580">
        <f>RAND()</f>
        <v/>
      </c>
      <c r="AD3580">
        <f>RAND()</f>
        <v/>
      </c>
      <c r="AE3580">
        <f>RAND()</f>
        <v/>
      </c>
      <c r="AF3580">
        <f>RAND()</f>
        <v/>
      </c>
    </row>
    <row r="3581">
      <c r="M3581" s="14">
        <f>_xlfn.BETA.INV($AA3581,1+4*($D$5-$C$5)/($E$5-$C$5),1+4*($E$5-$D$5)/($E$5-$C$5),$C$5,$E$5)</f>
        <v/>
      </c>
      <c r="N3581" s="14">
        <f>IF($AB3581&lt;($D$6-$C$6)/($E$6-$C$6),$C$6+SQRT($AB3581*($E$6-$C$6)*($D$6-$C$6)),$E$6-SQRT((1-$AB3581)*($E$6-$C$6)*($E$6-$D$6)))</f>
        <v/>
      </c>
      <c r="O3581" s="14">
        <f>_xlfn.NORM.INV($AC3581,$C$7,$D$7)</f>
        <v/>
      </c>
      <c r="P3581" s="14">
        <f>$C$8+($D$8-$C$8)*$AD3581</f>
        <v/>
      </c>
      <c r="Q3581" s="14">
        <f>$C$9</f>
        <v/>
      </c>
      <c r="R3581" s="14">
        <f>_xlfn.LOGNORM.INV($AF3581,LN($C$10)-0.5*LN(1+($D$10/$C$10)^2),SQRT(LN(1+($D$10/$C$10)^2)))</f>
        <v/>
      </c>
      <c r="S3581" s="14">
        <f>SUM(M3581:R3581)</f>
        <v/>
      </c>
      <c r="AA3581">
        <f>RAND()</f>
        <v/>
      </c>
      <c r="AB3581">
        <f>RAND()</f>
        <v/>
      </c>
      <c r="AC3581">
        <f>RAND()</f>
        <v/>
      </c>
      <c r="AD3581">
        <f>RAND()</f>
        <v/>
      </c>
      <c r="AE3581">
        <f>RAND()</f>
        <v/>
      </c>
      <c r="AF3581">
        <f>RAND()</f>
        <v/>
      </c>
    </row>
    <row r="3582">
      <c r="M3582" s="14">
        <f>_xlfn.BETA.INV($AA3582,1+4*($D$5-$C$5)/($E$5-$C$5),1+4*($E$5-$D$5)/($E$5-$C$5),$C$5,$E$5)</f>
        <v/>
      </c>
      <c r="N3582" s="14">
        <f>IF($AB3582&lt;($D$6-$C$6)/($E$6-$C$6),$C$6+SQRT($AB3582*($E$6-$C$6)*($D$6-$C$6)),$E$6-SQRT((1-$AB3582)*($E$6-$C$6)*($E$6-$D$6)))</f>
        <v/>
      </c>
      <c r="O3582" s="14">
        <f>_xlfn.NORM.INV($AC3582,$C$7,$D$7)</f>
        <v/>
      </c>
      <c r="P3582" s="14">
        <f>$C$8+($D$8-$C$8)*$AD3582</f>
        <v/>
      </c>
      <c r="Q3582" s="14">
        <f>$C$9</f>
        <v/>
      </c>
      <c r="R3582" s="14">
        <f>_xlfn.LOGNORM.INV($AF3582,LN($C$10)-0.5*LN(1+($D$10/$C$10)^2),SQRT(LN(1+($D$10/$C$10)^2)))</f>
        <v/>
      </c>
      <c r="S3582" s="14">
        <f>SUM(M3582:R3582)</f>
        <v/>
      </c>
      <c r="AA3582">
        <f>RAND()</f>
        <v/>
      </c>
      <c r="AB3582">
        <f>RAND()</f>
        <v/>
      </c>
      <c r="AC3582">
        <f>RAND()</f>
        <v/>
      </c>
      <c r="AD3582">
        <f>RAND()</f>
        <v/>
      </c>
      <c r="AE3582">
        <f>RAND()</f>
        <v/>
      </c>
      <c r="AF3582">
        <f>RAND()</f>
        <v/>
      </c>
    </row>
    <row r="3583">
      <c r="M3583" s="14">
        <f>_xlfn.BETA.INV($AA3583,1+4*($D$5-$C$5)/($E$5-$C$5),1+4*($E$5-$D$5)/($E$5-$C$5),$C$5,$E$5)</f>
        <v/>
      </c>
      <c r="N3583" s="14">
        <f>IF($AB3583&lt;($D$6-$C$6)/($E$6-$C$6),$C$6+SQRT($AB3583*($E$6-$C$6)*($D$6-$C$6)),$E$6-SQRT((1-$AB3583)*($E$6-$C$6)*($E$6-$D$6)))</f>
        <v/>
      </c>
      <c r="O3583" s="14">
        <f>_xlfn.NORM.INV($AC3583,$C$7,$D$7)</f>
        <v/>
      </c>
      <c r="P3583" s="14">
        <f>$C$8+($D$8-$C$8)*$AD3583</f>
        <v/>
      </c>
      <c r="Q3583" s="14">
        <f>$C$9</f>
        <v/>
      </c>
      <c r="R3583" s="14">
        <f>_xlfn.LOGNORM.INV($AF3583,LN($C$10)-0.5*LN(1+($D$10/$C$10)^2),SQRT(LN(1+($D$10/$C$10)^2)))</f>
        <v/>
      </c>
      <c r="S3583" s="14">
        <f>SUM(M3583:R3583)</f>
        <v/>
      </c>
      <c r="AA3583">
        <f>RAND()</f>
        <v/>
      </c>
      <c r="AB3583">
        <f>RAND()</f>
        <v/>
      </c>
      <c r="AC3583">
        <f>RAND()</f>
        <v/>
      </c>
      <c r="AD3583">
        <f>RAND()</f>
        <v/>
      </c>
      <c r="AE3583">
        <f>RAND()</f>
        <v/>
      </c>
      <c r="AF3583">
        <f>RAND()</f>
        <v/>
      </c>
    </row>
    <row r="3584">
      <c r="M3584" s="14">
        <f>_xlfn.BETA.INV($AA3584,1+4*($D$5-$C$5)/($E$5-$C$5),1+4*($E$5-$D$5)/($E$5-$C$5),$C$5,$E$5)</f>
        <v/>
      </c>
      <c r="N3584" s="14">
        <f>IF($AB3584&lt;($D$6-$C$6)/($E$6-$C$6),$C$6+SQRT($AB3584*($E$6-$C$6)*($D$6-$C$6)),$E$6-SQRT((1-$AB3584)*($E$6-$C$6)*($E$6-$D$6)))</f>
        <v/>
      </c>
      <c r="O3584" s="14">
        <f>_xlfn.NORM.INV($AC3584,$C$7,$D$7)</f>
        <v/>
      </c>
      <c r="P3584" s="14">
        <f>$C$8+($D$8-$C$8)*$AD3584</f>
        <v/>
      </c>
      <c r="Q3584" s="14">
        <f>$C$9</f>
        <v/>
      </c>
      <c r="R3584" s="14">
        <f>_xlfn.LOGNORM.INV($AF3584,LN($C$10)-0.5*LN(1+($D$10/$C$10)^2),SQRT(LN(1+($D$10/$C$10)^2)))</f>
        <v/>
      </c>
      <c r="S3584" s="14">
        <f>SUM(M3584:R3584)</f>
        <v/>
      </c>
      <c r="AA3584">
        <f>RAND()</f>
        <v/>
      </c>
      <c r="AB3584">
        <f>RAND()</f>
        <v/>
      </c>
      <c r="AC3584">
        <f>RAND()</f>
        <v/>
      </c>
      <c r="AD3584">
        <f>RAND()</f>
        <v/>
      </c>
      <c r="AE3584">
        <f>RAND()</f>
        <v/>
      </c>
      <c r="AF3584">
        <f>RAND()</f>
        <v/>
      </c>
    </row>
    <row r="3585">
      <c r="M3585" s="14">
        <f>_xlfn.BETA.INV($AA3585,1+4*($D$5-$C$5)/($E$5-$C$5),1+4*($E$5-$D$5)/($E$5-$C$5),$C$5,$E$5)</f>
        <v/>
      </c>
      <c r="N3585" s="14">
        <f>IF($AB3585&lt;($D$6-$C$6)/($E$6-$C$6),$C$6+SQRT($AB3585*($E$6-$C$6)*($D$6-$C$6)),$E$6-SQRT((1-$AB3585)*($E$6-$C$6)*($E$6-$D$6)))</f>
        <v/>
      </c>
      <c r="O3585" s="14">
        <f>_xlfn.NORM.INV($AC3585,$C$7,$D$7)</f>
        <v/>
      </c>
      <c r="P3585" s="14">
        <f>$C$8+($D$8-$C$8)*$AD3585</f>
        <v/>
      </c>
      <c r="Q3585" s="14">
        <f>$C$9</f>
        <v/>
      </c>
      <c r="R3585" s="14">
        <f>_xlfn.LOGNORM.INV($AF3585,LN($C$10)-0.5*LN(1+($D$10/$C$10)^2),SQRT(LN(1+($D$10/$C$10)^2)))</f>
        <v/>
      </c>
      <c r="S3585" s="14">
        <f>SUM(M3585:R3585)</f>
        <v/>
      </c>
      <c r="AA3585">
        <f>RAND()</f>
        <v/>
      </c>
      <c r="AB3585">
        <f>RAND()</f>
        <v/>
      </c>
      <c r="AC3585">
        <f>RAND()</f>
        <v/>
      </c>
      <c r="AD3585">
        <f>RAND()</f>
        <v/>
      </c>
      <c r="AE3585">
        <f>RAND()</f>
        <v/>
      </c>
      <c r="AF3585">
        <f>RAND()</f>
        <v/>
      </c>
    </row>
    <row r="3586">
      <c r="M3586" s="14">
        <f>_xlfn.BETA.INV($AA3586,1+4*($D$5-$C$5)/($E$5-$C$5),1+4*($E$5-$D$5)/($E$5-$C$5),$C$5,$E$5)</f>
        <v/>
      </c>
      <c r="N3586" s="14">
        <f>IF($AB3586&lt;($D$6-$C$6)/($E$6-$C$6),$C$6+SQRT($AB3586*($E$6-$C$6)*($D$6-$C$6)),$E$6-SQRT((1-$AB3586)*($E$6-$C$6)*($E$6-$D$6)))</f>
        <v/>
      </c>
      <c r="O3586" s="14">
        <f>_xlfn.NORM.INV($AC3586,$C$7,$D$7)</f>
        <v/>
      </c>
      <c r="P3586" s="14">
        <f>$C$8+($D$8-$C$8)*$AD3586</f>
        <v/>
      </c>
      <c r="Q3586" s="14">
        <f>$C$9</f>
        <v/>
      </c>
      <c r="R3586" s="14">
        <f>_xlfn.LOGNORM.INV($AF3586,LN($C$10)-0.5*LN(1+($D$10/$C$10)^2),SQRT(LN(1+($D$10/$C$10)^2)))</f>
        <v/>
      </c>
      <c r="S3586" s="14">
        <f>SUM(M3586:R3586)</f>
        <v/>
      </c>
      <c r="AA3586">
        <f>RAND()</f>
        <v/>
      </c>
      <c r="AB3586">
        <f>RAND()</f>
        <v/>
      </c>
      <c r="AC3586">
        <f>RAND()</f>
        <v/>
      </c>
      <c r="AD3586">
        <f>RAND()</f>
        <v/>
      </c>
      <c r="AE3586">
        <f>RAND()</f>
        <v/>
      </c>
      <c r="AF3586">
        <f>RAND()</f>
        <v/>
      </c>
    </row>
    <row r="3587">
      <c r="M3587" s="14">
        <f>_xlfn.BETA.INV($AA3587,1+4*($D$5-$C$5)/($E$5-$C$5),1+4*($E$5-$D$5)/($E$5-$C$5),$C$5,$E$5)</f>
        <v/>
      </c>
      <c r="N3587" s="14">
        <f>IF($AB3587&lt;($D$6-$C$6)/($E$6-$C$6),$C$6+SQRT($AB3587*($E$6-$C$6)*($D$6-$C$6)),$E$6-SQRT((1-$AB3587)*($E$6-$C$6)*($E$6-$D$6)))</f>
        <v/>
      </c>
      <c r="O3587" s="14">
        <f>_xlfn.NORM.INV($AC3587,$C$7,$D$7)</f>
        <v/>
      </c>
      <c r="P3587" s="14">
        <f>$C$8+($D$8-$C$8)*$AD3587</f>
        <v/>
      </c>
      <c r="Q3587" s="14">
        <f>$C$9</f>
        <v/>
      </c>
      <c r="R3587" s="14">
        <f>_xlfn.LOGNORM.INV($AF3587,LN($C$10)-0.5*LN(1+($D$10/$C$10)^2),SQRT(LN(1+($D$10/$C$10)^2)))</f>
        <v/>
      </c>
      <c r="S3587" s="14">
        <f>SUM(M3587:R3587)</f>
        <v/>
      </c>
      <c r="AA3587">
        <f>RAND()</f>
        <v/>
      </c>
      <c r="AB3587">
        <f>RAND()</f>
        <v/>
      </c>
      <c r="AC3587">
        <f>RAND()</f>
        <v/>
      </c>
      <c r="AD3587">
        <f>RAND()</f>
        <v/>
      </c>
      <c r="AE3587">
        <f>RAND()</f>
        <v/>
      </c>
      <c r="AF3587">
        <f>RAND()</f>
        <v/>
      </c>
    </row>
    <row r="3588">
      <c r="M3588" s="14">
        <f>_xlfn.BETA.INV($AA3588,1+4*($D$5-$C$5)/($E$5-$C$5),1+4*($E$5-$D$5)/($E$5-$C$5),$C$5,$E$5)</f>
        <v/>
      </c>
      <c r="N3588" s="14">
        <f>IF($AB3588&lt;($D$6-$C$6)/($E$6-$C$6),$C$6+SQRT($AB3588*($E$6-$C$6)*($D$6-$C$6)),$E$6-SQRT((1-$AB3588)*($E$6-$C$6)*($E$6-$D$6)))</f>
        <v/>
      </c>
      <c r="O3588" s="14">
        <f>_xlfn.NORM.INV($AC3588,$C$7,$D$7)</f>
        <v/>
      </c>
      <c r="P3588" s="14">
        <f>$C$8+($D$8-$C$8)*$AD3588</f>
        <v/>
      </c>
      <c r="Q3588" s="14">
        <f>$C$9</f>
        <v/>
      </c>
      <c r="R3588" s="14">
        <f>_xlfn.LOGNORM.INV($AF3588,LN($C$10)-0.5*LN(1+($D$10/$C$10)^2),SQRT(LN(1+($D$10/$C$10)^2)))</f>
        <v/>
      </c>
      <c r="S3588" s="14">
        <f>SUM(M3588:R3588)</f>
        <v/>
      </c>
      <c r="AA3588">
        <f>RAND()</f>
        <v/>
      </c>
      <c r="AB3588">
        <f>RAND()</f>
        <v/>
      </c>
      <c r="AC3588">
        <f>RAND()</f>
        <v/>
      </c>
      <c r="AD3588">
        <f>RAND()</f>
        <v/>
      </c>
      <c r="AE3588">
        <f>RAND()</f>
        <v/>
      </c>
      <c r="AF3588">
        <f>RAND()</f>
        <v/>
      </c>
    </row>
    <row r="3589">
      <c r="M3589" s="14">
        <f>_xlfn.BETA.INV($AA3589,1+4*($D$5-$C$5)/($E$5-$C$5),1+4*($E$5-$D$5)/($E$5-$C$5),$C$5,$E$5)</f>
        <v/>
      </c>
      <c r="N3589" s="14">
        <f>IF($AB3589&lt;($D$6-$C$6)/($E$6-$C$6),$C$6+SQRT($AB3589*($E$6-$C$6)*($D$6-$C$6)),$E$6-SQRT((1-$AB3589)*($E$6-$C$6)*($E$6-$D$6)))</f>
        <v/>
      </c>
      <c r="O3589" s="14">
        <f>_xlfn.NORM.INV($AC3589,$C$7,$D$7)</f>
        <v/>
      </c>
      <c r="P3589" s="14">
        <f>$C$8+($D$8-$C$8)*$AD3589</f>
        <v/>
      </c>
      <c r="Q3589" s="14">
        <f>$C$9</f>
        <v/>
      </c>
      <c r="R3589" s="14">
        <f>_xlfn.LOGNORM.INV($AF3589,LN($C$10)-0.5*LN(1+($D$10/$C$10)^2),SQRT(LN(1+($D$10/$C$10)^2)))</f>
        <v/>
      </c>
      <c r="S3589" s="14">
        <f>SUM(M3589:R3589)</f>
        <v/>
      </c>
      <c r="AA3589">
        <f>RAND()</f>
        <v/>
      </c>
      <c r="AB3589">
        <f>RAND()</f>
        <v/>
      </c>
      <c r="AC3589">
        <f>RAND()</f>
        <v/>
      </c>
      <c r="AD3589">
        <f>RAND()</f>
        <v/>
      </c>
      <c r="AE3589">
        <f>RAND()</f>
        <v/>
      </c>
      <c r="AF3589">
        <f>RAND()</f>
        <v/>
      </c>
    </row>
    <row r="3590">
      <c r="M3590" s="14">
        <f>_xlfn.BETA.INV($AA3590,1+4*($D$5-$C$5)/($E$5-$C$5),1+4*($E$5-$D$5)/($E$5-$C$5),$C$5,$E$5)</f>
        <v/>
      </c>
      <c r="N3590" s="14">
        <f>IF($AB3590&lt;($D$6-$C$6)/($E$6-$C$6),$C$6+SQRT($AB3590*($E$6-$C$6)*($D$6-$C$6)),$E$6-SQRT((1-$AB3590)*($E$6-$C$6)*($E$6-$D$6)))</f>
        <v/>
      </c>
      <c r="O3590" s="14">
        <f>_xlfn.NORM.INV($AC3590,$C$7,$D$7)</f>
        <v/>
      </c>
      <c r="P3590" s="14">
        <f>$C$8+($D$8-$C$8)*$AD3590</f>
        <v/>
      </c>
      <c r="Q3590" s="14">
        <f>$C$9</f>
        <v/>
      </c>
      <c r="R3590" s="14">
        <f>_xlfn.LOGNORM.INV($AF3590,LN($C$10)-0.5*LN(1+($D$10/$C$10)^2),SQRT(LN(1+($D$10/$C$10)^2)))</f>
        <v/>
      </c>
      <c r="S3590" s="14">
        <f>SUM(M3590:R3590)</f>
        <v/>
      </c>
      <c r="AA3590">
        <f>RAND()</f>
        <v/>
      </c>
      <c r="AB3590">
        <f>RAND()</f>
        <v/>
      </c>
      <c r="AC3590">
        <f>RAND()</f>
        <v/>
      </c>
      <c r="AD3590">
        <f>RAND()</f>
        <v/>
      </c>
      <c r="AE3590">
        <f>RAND()</f>
        <v/>
      </c>
      <c r="AF3590">
        <f>RAND()</f>
        <v/>
      </c>
    </row>
    <row r="3591">
      <c r="M3591" s="14">
        <f>_xlfn.BETA.INV($AA3591,1+4*($D$5-$C$5)/($E$5-$C$5),1+4*($E$5-$D$5)/($E$5-$C$5),$C$5,$E$5)</f>
        <v/>
      </c>
      <c r="N3591" s="14">
        <f>IF($AB3591&lt;($D$6-$C$6)/($E$6-$C$6),$C$6+SQRT($AB3591*($E$6-$C$6)*($D$6-$C$6)),$E$6-SQRT((1-$AB3591)*($E$6-$C$6)*($E$6-$D$6)))</f>
        <v/>
      </c>
      <c r="O3591" s="14">
        <f>_xlfn.NORM.INV($AC3591,$C$7,$D$7)</f>
        <v/>
      </c>
      <c r="P3591" s="14">
        <f>$C$8+($D$8-$C$8)*$AD3591</f>
        <v/>
      </c>
      <c r="Q3591" s="14">
        <f>$C$9</f>
        <v/>
      </c>
      <c r="R3591" s="14">
        <f>_xlfn.LOGNORM.INV($AF3591,LN($C$10)-0.5*LN(1+($D$10/$C$10)^2),SQRT(LN(1+($D$10/$C$10)^2)))</f>
        <v/>
      </c>
      <c r="S3591" s="14">
        <f>SUM(M3591:R3591)</f>
        <v/>
      </c>
      <c r="AA3591">
        <f>RAND()</f>
        <v/>
      </c>
      <c r="AB3591">
        <f>RAND()</f>
        <v/>
      </c>
      <c r="AC3591">
        <f>RAND()</f>
        <v/>
      </c>
      <c r="AD3591">
        <f>RAND()</f>
        <v/>
      </c>
      <c r="AE3591">
        <f>RAND()</f>
        <v/>
      </c>
      <c r="AF3591">
        <f>RAND()</f>
        <v/>
      </c>
    </row>
    <row r="3592">
      <c r="M3592" s="14">
        <f>_xlfn.BETA.INV($AA3592,1+4*($D$5-$C$5)/($E$5-$C$5),1+4*($E$5-$D$5)/($E$5-$C$5),$C$5,$E$5)</f>
        <v/>
      </c>
      <c r="N3592" s="14">
        <f>IF($AB3592&lt;($D$6-$C$6)/($E$6-$C$6),$C$6+SQRT($AB3592*($E$6-$C$6)*($D$6-$C$6)),$E$6-SQRT((1-$AB3592)*($E$6-$C$6)*($E$6-$D$6)))</f>
        <v/>
      </c>
      <c r="O3592" s="14">
        <f>_xlfn.NORM.INV($AC3592,$C$7,$D$7)</f>
        <v/>
      </c>
      <c r="P3592" s="14">
        <f>$C$8+($D$8-$C$8)*$AD3592</f>
        <v/>
      </c>
      <c r="Q3592" s="14">
        <f>$C$9</f>
        <v/>
      </c>
      <c r="R3592" s="14">
        <f>_xlfn.LOGNORM.INV($AF3592,LN($C$10)-0.5*LN(1+($D$10/$C$10)^2),SQRT(LN(1+($D$10/$C$10)^2)))</f>
        <v/>
      </c>
      <c r="S3592" s="14">
        <f>SUM(M3592:R3592)</f>
        <v/>
      </c>
      <c r="AA3592">
        <f>RAND()</f>
        <v/>
      </c>
      <c r="AB3592">
        <f>RAND()</f>
        <v/>
      </c>
      <c r="AC3592">
        <f>RAND()</f>
        <v/>
      </c>
      <c r="AD3592">
        <f>RAND()</f>
        <v/>
      </c>
      <c r="AE3592">
        <f>RAND()</f>
        <v/>
      </c>
      <c r="AF3592">
        <f>RAND()</f>
        <v/>
      </c>
    </row>
    <row r="3593">
      <c r="M3593" s="14">
        <f>_xlfn.BETA.INV($AA3593,1+4*($D$5-$C$5)/($E$5-$C$5),1+4*($E$5-$D$5)/($E$5-$C$5),$C$5,$E$5)</f>
        <v/>
      </c>
      <c r="N3593" s="14">
        <f>IF($AB3593&lt;($D$6-$C$6)/($E$6-$C$6),$C$6+SQRT($AB3593*($E$6-$C$6)*($D$6-$C$6)),$E$6-SQRT((1-$AB3593)*($E$6-$C$6)*($E$6-$D$6)))</f>
        <v/>
      </c>
      <c r="O3593" s="14">
        <f>_xlfn.NORM.INV($AC3593,$C$7,$D$7)</f>
        <v/>
      </c>
      <c r="P3593" s="14">
        <f>$C$8+($D$8-$C$8)*$AD3593</f>
        <v/>
      </c>
      <c r="Q3593" s="14">
        <f>$C$9</f>
        <v/>
      </c>
      <c r="R3593" s="14">
        <f>_xlfn.LOGNORM.INV($AF3593,LN($C$10)-0.5*LN(1+($D$10/$C$10)^2),SQRT(LN(1+($D$10/$C$10)^2)))</f>
        <v/>
      </c>
      <c r="S3593" s="14">
        <f>SUM(M3593:R3593)</f>
        <v/>
      </c>
      <c r="AA3593">
        <f>RAND()</f>
        <v/>
      </c>
      <c r="AB3593">
        <f>RAND()</f>
        <v/>
      </c>
      <c r="AC3593">
        <f>RAND()</f>
        <v/>
      </c>
      <c r="AD3593">
        <f>RAND()</f>
        <v/>
      </c>
      <c r="AE3593">
        <f>RAND()</f>
        <v/>
      </c>
      <c r="AF3593">
        <f>RAND()</f>
        <v/>
      </c>
    </row>
    <row r="3594">
      <c r="M3594" s="14">
        <f>_xlfn.BETA.INV($AA3594,1+4*($D$5-$C$5)/($E$5-$C$5),1+4*($E$5-$D$5)/($E$5-$C$5),$C$5,$E$5)</f>
        <v/>
      </c>
      <c r="N3594" s="14">
        <f>IF($AB3594&lt;($D$6-$C$6)/($E$6-$C$6),$C$6+SQRT($AB3594*($E$6-$C$6)*($D$6-$C$6)),$E$6-SQRT((1-$AB3594)*($E$6-$C$6)*($E$6-$D$6)))</f>
        <v/>
      </c>
      <c r="O3594" s="14">
        <f>_xlfn.NORM.INV($AC3594,$C$7,$D$7)</f>
        <v/>
      </c>
      <c r="P3594" s="14">
        <f>$C$8+($D$8-$C$8)*$AD3594</f>
        <v/>
      </c>
      <c r="Q3594" s="14">
        <f>$C$9</f>
        <v/>
      </c>
      <c r="R3594" s="14">
        <f>_xlfn.LOGNORM.INV($AF3594,LN($C$10)-0.5*LN(1+($D$10/$C$10)^2),SQRT(LN(1+($D$10/$C$10)^2)))</f>
        <v/>
      </c>
      <c r="S3594" s="14">
        <f>SUM(M3594:R3594)</f>
        <v/>
      </c>
      <c r="AA3594">
        <f>RAND()</f>
        <v/>
      </c>
      <c r="AB3594">
        <f>RAND()</f>
        <v/>
      </c>
      <c r="AC3594">
        <f>RAND()</f>
        <v/>
      </c>
      <c r="AD3594">
        <f>RAND()</f>
        <v/>
      </c>
      <c r="AE3594">
        <f>RAND()</f>
        <v/>
      </c>
      <c r="AF3594">
        <f>RAND()</f>
        <v/>
      </c>
    </row>
    <row r="3595">
      <c r="M3595" s="14">
        <f>_xlfn.BETA.INV($AA3595,1+4*($D$5-$C$5)/($E$5-$C$5),1+4*($E$5-$D$5)/($E$5-$C$5),$C$5,$E$5)</f>
        <v/>
      </c>
      <c r="N3595" s="14">
        <f>IF($AB3595&lt;($D$6-$C$6)/($E$6-$C$6),$C$6+SQRT($AB3595*($E$6-$C$6)*($D$6-$C$6)),$E$6-SQRT((1-$AB3595)*($E$6-$C$6)*($E$6-$D$6)))</f>
        <v/>
      </c>
      <c r="O3595" s="14">
        <f>_xlfn.NORM.INV($AC3595,$C$7,$D$7)</f>
        <v/>
      </c>
      <c r="P3595" s="14">
        <f>$C$8+($D$8-$C$8)*$AD3595</f>
        <v/>
      </c>
      <c r="Q3595" s="14">
        <f>$C$9</f>
        <v/>
      </c>
      <c r="R3595" s="14">
        <f>_xlfn.LOGNORM.INV($AF3595,LN($C$10)-0.5*LN(1+($D$10/$C$10)^2),SQRT(LN(1+($D$10/$C$10)^2)))</f>
        <v/>
      </c>
      <c r="S3595" s="14">
        <f>SUM(M3595:R3595)</f>
        <v/>
      </c>
      <c r="AA3595">
        <f>RAND()</f>
        <v/>
      </c>
      <c r="AB3595">
        <f>RAND()</f>
        <v/>
      </c>
      <c r="AC3595">
        <f>RAND()</f>
        <v/>
      </c>
      <c r="AD3595">
        <f>RAND()</f>
        <v/>
      </c>
      <c r="AE3595">
        <f>RAND()</f>
        <v/>
      </c>
      <c r="AF3595">
        <f>RAND()</f>
        <v/>
      </c>
    </row>
    <row r="3596">
      <c r="M3596" s="14">
        <f>_xlfn.BETA.INV($AA3596,1+4*($D$5-$C$5)/($E$5-$C$5),1+4*($E$5-$D$5)/($E$5-$C$5),$C$5,$E$5)</f>
        <v/>
      </c>
      <c r="N3596" s="14">
        <f>IF($AB3596&lt;($D$6-$C$6)/($E$6-$C$6),$C$6+SQRT($AB3596*($E$6-$C$6)*($D$6-$C$6)),$E$6-SQRT((1-$AB3596)*($E$6-$C$6)*($E$6-$D$6)))</f>
        <v/>
      </c>
      <c r="O3596" s="14">
        <f>_xlfn.NORM.INV($AC3596,$C$7,$D$7)</f>
        <v/>
      </c>
      <c r="P3596" s="14">
        <f>$C$8+($D$8-$C$8)*$AD3596</f>
        <v/>
      </c>
      <c r="Q3596" s="14">
        <f>$C$9</f>
        <v/>
      </c>
      <c r="R3596" s="14">
        <f>_xlfn.LOGNORM.INV($AF3596,LN($C$10)-0.5*LN(1+($D$10/$C$10)^2),SQRT(LN(1+($D$10/$C$10)^2)))</f>
        <v/>
      </c>
      <c r="S3596" s="14">
        <f>SUM(M3596:R3596)</f>
        <v/>
      </c>
      <c r="AA3596">
        <f>RAND()</f>
        <v/>
      </c>
      <c r="AB3596">
        <f>RAND()</f>
        <v/>
      </c>
      <c r="AC3596">
        <f>RAND()</f>
        <v/>
      </c>
      <c r="AD3596">
        <f>RAND()</f>
        <v/>
      </c>
      <c r="AE3596">
        <f>RAND()</f>
        <v/>
      </c>
      <c r="AF3596">
        <f>RAND()</f>
        <v/>
      </c>
    </row>
    <row r="3597">
      <c r="M3597" s="14">
        <f>_xlfn.BETA.INV($AA3597,1+4*($D$5-$C$5)/($E$5-$C$5),1+4*($E$5-$D$5)/($E$5-$C$5),$C$5,$E$5)</f>
        <v/>
      </c>
      <c r="N3597" s="14">
        <f>IF($AB3597&lt;($D$6-$C$6)/($E$6-$C$6),$C$6+SQRT($AB3597*($E$6-$C$6)*($D$6-$C$6)),$E$6-SQRT((1-$AB3597)*($E$6-$C$6)*($E$6-$D$6)))</f>
        <v/>
      </c>
      <c r="O3597" s="14">
        <f>_xlfn.NORM.INV($AC3597,$C$7,$D$7)</f>
        <v/>
      </c>
      <c r="P3597" s="14">
        <f>$C$8+($D$8-$C$8)*$AD3597</f>
        <v/>
      </c>
      <c r="Q3597" s="14">
        <f>$C$9</f>
        <v/>
      </c>
      <c r="R3597" s="14">
        <f>_xlfn.LOGNORM.INV($AF3597,LN($C$10)-0.5*LN(1+($D$10/$C$10)^2),SQRT(LN(1+($D$10/$C$10)^2)))</f>
        <v/>
      </c>
      <c r="S3597" s="14">
        <f>SUM(M3597:R3597)</f>
        <v/>
      </c>
      <c r="AA3597">
        <f>RAND()</f>
        <v/>
      </c>
      <c r="AB3597">
        <f>RAND()</f>
        <v/>
      </c>
      <c r="AC3597">
        <f>RAND()</f>
        <v/>
      </c>
      <c r="AD3597">
        <f>RAND()</f>
        <v/>
      </c>
      <c r="AE3597">
        <f>RAND()</f>
        <v/>
      </c>
      <c r="AF3597">
        <f>RAND()</f>
        <v/>
      </c>
    </row>
    <row r="3598">
      <c r="M3598" s="14">
        <f>_xlfn.BETA.INV($AA3598,1+4*($D$5-$C$5)/($E$5-$C$5),1+4*($E$5-$D$5)/($E$5-$C$5),$C$5,$E$5)</f>
        <v/>
      </c>
      <c r="N3598" s="14">
        <f>IF($AB3598&lt;($D$6-$C$6)/($E$6-$C$6),$C$6+SQRT($AB3598*($E$6-$C$6)*($D$6-$C$6)),$E$6-SQRT((1-$AB3598)*($E$6-$C$6)*($E$6-$D$6)))</f>
        <v/>
      </c>
      <c r="O3598" s="14">
        <f>_xlfn.NORM.INV($AC3598,$C$7,$D$7)</f>
        <v/>
      </c>
      <c r="P3598" s="14">
        <f>$C$8+($D$8-$C$8)*$AD3598</f>
        <v/>
      </c>
      <c r="Q3598" s="14">
        <f>$C$9</f>
        <v/>
      </c>
      <c r="R3598" s="14">
        <f>_xlfn.LOGNORM.INV($AF3598,LN($C$10)-0.5*LN(1+($D$10/$C$10)^2),SQRT(LN(1+($D$10/$C$10)^2)))</f>
        <v/>
      </c>
      <c r="S3598" s="14">
        <f>SUM(M3598:R3598)</f>
        <v/>
      </c>
      <c r="AA3598">
        <f>RAND()</f>
        <v/>
      </c>
      <c r="AB3598">
        <f>RAND()</f>
        <v/>
      </c>
      <c r="AC3598">
        <f>RAND()</f>
        <v/>
      </c>
      <c r="AD3598">
        <f>RAND()</f>
        <v/>
      </c>
      <c r="AE3598">
        <f>RAND()</f>
        <v/>
      </c>
      <c r="AF3598">
        <f>RAND()</f>
        <v/>
      </c>
    </row>
    <row r="3599">
      <c r="M3599" s="14">
        <f>_xlfn.BETA.INV($AA3599,1+4*($D$5-$C$5)/($E$5-$C$5),1+4*($E$5-$D$5)/($E$5-$C$5),$C$5,$E$5)</f>
        <v/>
      </c>
      <c r="N3599" s="14">
        <f>IF($AB3599&lt;($D$6-$C$6)/($E$6-$C$6),$C$6+SQRT($AB3599*($E$6-$C$6)*($D$6-$C$6)),$E$6-SQRT((1-$AB3599)*($E$6-$C$6)*($E$6-$D$6)))</f>
        <v/>
      </c>
      <c r="O3599" s="14">
        <f>_xlfn.NORM.INV($AC3599,$C$7,$D$7)</f>
        <v/>
      </c>
      <c r="P3599" s="14">
        <f>$C$8+($D$8-$C$8)*$AD3599</f>
        <v/>
      </c>
      <c r="Q3599" s="14">
        <f>$C$9</f>
        <v/>
      </c>
      <c r="R3599" s="14">
        <f>_xlfn.LOGNORM.INV($AF3599,LN($C$10)-0.5*LN(1+($D$10/$C$10)^2),SQRT(LN(1+($D$10/$C$10)^2)))</f>
        <v/>
      </c>
      <c r="S3599" s="14">
        <f>SUM(M3599:R3599)</f>
        <v/>
      </c>
      <c r="AA3599">
        <f>RAND()</f>
        <v/>
      </c>
      <c r="AB3599">
        <f>RAND()</f>
        <v/>
      </c>
      <c r="AC3599">
        <f>RAND()</f>
        <v/>
      </c>
      <c r="AD3599">
        <f>RAND()</f>
        <v/>
      </c>
      <c r="AE3599">
        <f>RAND()</f>
        <v/>
      </c>
      <c r="AF3599">
        <f>RAND()</f>
        <v/>
      </c>
    </row>
    <row r="3600">
      <c r="M3600" s="14">
        <f>_xlfn.BETA.INV($AA3600,1+4*($D$5-$C$5)/($E$5-$C$5),1+4*($E$5-$D$5)/($E$5-$C$5),$C$5,$E$5)</f>
        <v/>
      </c>
      <c r="N3600" s="14">
        <f>IF($AB3600&lt;($D$6-$C$6)/($E$6-$C$6),$C$6+SQRT($AB3600*($E$6-$C$6)*($D$6-$C$6)),$E$6-SQRT((1-$AB3600)*($E$6-$C$6)*($E$6-$D$6)))</f>
        <v/>
      </c>
      <c r="O3600" s="14">
        <f>_xlfn.NORM.INV($AC3600,$C$7,$D$7)</f>
        <v/>
      </c>
      <c r="P3600" s="14">
        <f>$C$8+($D$8-$C$8)*$AD3600</f>
        <v/>
      </c>
      <c r="Q3600" s="14">
        <f>$C$9</f>
        <v/>
      </c>
      <c r="R3600" s="14">
        <f>_xlfn.LOGNORM.INV($AF3600,LN($C$10)-0.5*LN(1+($D$10/$C$10)^2),SQRT(LN(1+($D$10/$C$10)^2)))</f>
        <v/>
      </c>
      <c r="S3600" s="14">
        <f>SUM(M3600:R3600)</f>
        <v/>
      </c>
      <c r="AA3600">
        <f>RAND()</f>
        <v/>
      </c>
      <c r="AB3600">
        <f>RAND()</f>
        <v/>
      </c>
      <c r="AC3600">
        <f>RAND()</f>
        <v/>
      </c>
      <c r="AD3600">
        <f>RAND()</f>
        <v/>
      </c>
      <c r="AE3600">
        <f>RAND()</f>
        <v/>
      </c>
      <c r="AF3600">
        <f>RAND()</f>
        <v/>
      </c>
    </row>
    <row r="3601">
      <c r="M3601" s="14">
        <f>_xlfn.BETA.INV($AA3601,1+4*($D$5-$C$5)/($E$5-$C$5),1+4*($E$5-$D$5)/($E$5-$C$5),$C$5,$E$5)</f>
        <v/>
      </c>
      <c r="N3601" s="14">
        <f>IF($AB3601&lt;($D$6-$C$6)/($E$6-$C$6),$C$6+SQRT($AB3601*($E$6-$C$6)*($D$6-$C$6)),$E$6-SQRT((1-$AB3601)*($E$6-$C$6)*($E$6-$D$6)))</f>
        <v/>
      </c>
      <c r="O3601" s="14">
        <f>_xlfn.NORM.INV($AC3601,$C$7,$D$7)</f>
        <v/>
      </c>
      <c r="P3601" s="14">
        <f>$C$8+($D$8-$C$8)*$AD3601</f>
        <v/>
      </c>
      <c r="Q3601" s="14">
        <f>$C$9</f>
        <v/>
      </c>
      <c r="R3601" s="14">
        <f>_xlfn.LOGNORM.INV($AF3601,LN($C$10)-0.5*LN(1+($D$10/$C$10)^2),SQRT(LN(1+($D$10/$C$10)^2)))</f>
        <v/>
      </c>
      <c r="S3601" s="14">
        <f>SUM(M3601:R3601)</f>
        <v/>
      </c>
      <c r="AA3601">
        <f>RAND()</f>
        <v/>
      </c>
      <c r="AB3601">
        <f>RAND()</f>
        <v/>
      </c>
      <c r="AC3601">
        <f>RAND()</f>
        <v/>
      </c>
      <c r="AD3601">
        <f>RAND()</f>
        <v/>
      </c>
      <c r="AE3601">
        <f>RAND()</f>
        <v/>
      </c>
      <c r="AF3601">
        <f>RAND()</f>
        <v/>
      </c>
    </row>
    <row r="3602">
      <c r="M3602" s="14">
        <f>_xlfn.BETA.INV($AA3602,1+4*($D$5-$C$5)/($E$5-$C$5),1+4*($E$5-$D$5)/($E$5-$C$5),$C$5,$E$5)</f>
        <v/>
      </c>
      <c r="N3602" s="14">
        <f>IF($AB3602&lt;($D$6-$C$6)/($E$6-$C$6),$C$6+SQRT($AB3602*($E$6-$C$6)*($D$6-$C$6)),$E$6-SQRT((1-$AB3602)*($E$6-$C$6)*($E$6-$D$6)))</f>
        <v/>
      </c>
      <c r="O3602" s="14">
        <f>_xlfn.NORM.INV($AC3602,$C$7,$D$7)</f>
        <v/>
      </c>
      <c r="P3602" s="14">
        <f>$C$8+($D$8-$C$8)*$AD3602</f>
        <v/>
      </c>
      <c r="Q3602" s="14">
        <f>$C$9</f>
        <v/>
      </c>
      <c r="R3602" s="14">
        <f>_xlfn.LOGNORM.INV($AF3602,LN($C$10)-0.5*LN(1+($D$10/$C$10)^2),SQRT(LN(1+($D$10/$C$10)^2)))</f>
        <v/>
      </c>
      <c r="S3602" s="14">
        <f>SUM(M3602:R3602)</f>
        <v/>
      </c>
      <c r="AA3602">
        <f>RAND()</f>
        <v/>
      </c>
      <c r="AB3602">
        <f>RAND()</f>
        <v/>
      </c>
      <c r="AC3602">
        <f>RAND()</f>
        <v/>
      </c>
      <c r="AD3602">
        <f>RAND()</f>
        <v/>
      </c>
      <c r="AE3602">
        <f>RAND()</f>
        <v/>
      </c>
      <c r="AF3602">
        <f>RAND()</f>
        <v/>
      </c>
    </row>
    <row r="3603">
      <c r="M3603" s="14">
        <f>_xlfn.BETA.INV($AA3603,1+4*($D$5-$C$5)/($E$5-$C$5),1+4*($E$5-$D$5)/($E$5-$C$5),$C$5,$E$5)</f>
        <v/>
      </c>
      <c r="N3603" s="14">
        <f>IF($AB3603&lt;($D$6-$C$6)/($E$6-$C$6),$C$6+SQRT($AB3603*($E$6-$C$6)*($D$6-$C$6)),$E$6-SQRT((1-$AB3603)*($E$6-$C$6)*($E$6-$D$6)))</f>
        <v/>
      </c>
      <c r="O3603" s="14">
        <f>_xlfn.NORM.INV($AC3603,$C$7,$D$7)</f>
        <v/>
      </c>
      <c r="P3603" s="14">
        <f>$C$8+($D$8-$C$8)*$AD3603</f>
        <v/>
      </c>
      <c r="Q3603" s="14">
        <f>$C$9</f>
        <v/>
      </c>
      <c r="R3603" s="14">
        <f>_xlfn.LOGNORM.INV($AF3603,LN($C$10)-0.5*LN(1+($D$10/$C$10)^2),SQRT(LN(1+($D$10/$C$10)^2)))</f>
        <v/>
      </c>
      <c r="S3603" s="14">
        <f>SUM(M3603:R3603)</f>
        <v/>
      </c>
      <c r="AA3603">
        <f>RAND()</f>
        <v/>
      </c>
      <c r="AB3603">
        <f>RAND()</f>
        <v/>
      </c>
      <c r="AC3603">
        <f>RAND()</f>
        <v/>
      </c>
      <c r="AD3603">
        <f>RAND()</f>
        <v/>
      </c>
      <c r="AE3603">
        <f>RAND()</f>
        <v/>
      </c>
      <c r="AF3603">
        <f>RAND()</f>
        <v/>
      </c>
    </row>
    <row r="3604">
      <c r="M3604" s="14">
        <f>_xlfn.BETA.INV($AA3604,1+4*($D$5-$C$5)/($E$5-$C$5),1+4*($E$5-$D$5)/($E$5-$C$5),$C$5,$E$5)</f>
        <v/>
      </c>
      <c r="N3604" s="14">
        <f>IF($AB3604&lt;($D$6-$C$6)/($E$6-$C$6),$C$6+SQRT($AB3604*($E$6-$C$6)*($D$6-$C$6)),$E$6-SQRT((1-$AB3604)*($E$6-$C$6)*($E$6-$D$6)))</f>
        <v/>
      </c>
      <c r="O3604" s="14">
        <f>_xlfn.NORM.INV($AC3604,$C$7,$D$7)</f>
        <v/>
      </c>
      <c r="P3604" s="14">
        <f>$C$8+($D$8-$C$8)*$AD3604</f>
        <v/>
      </c>
      <c r="Q3604" s="14">
        <f>$C$9</f>
        <v/>
      </c>
      <c r="R3604" s="14">
        <f>_xlfn.LOGNORM.INV($AF3604,LN($C$10)-0.5*LN(1+($D$10/$C$10)^2),SQRT(LN(1+($D$10/$C$10)^2)))</f>
        <v/>
      </c>
      <c r="S3604" s="14">
        <f>SUM(M3604:R3604)</f>
        <v/>
      </c>
      <c r="AA3604">
        <f>RAND()</f>
        <v/>
      </c>
      <c r="AB3604">
        <f>RAND()</f>
        <v/>
      </c>
      <c r="AC3604">
        <f>RAND()</f>
        <v/>
      </c>
      <c r="AD3604">
        <f>RAND()</f>
        <v/>
      </c>
      <c r="AE3604">
        <f>RAND()</f>
        <v/>
      </c>
      <c r="AF3604">
        <f>RAND()</f>
        <v/>
      </c>
    </row>
    <row r="3605">
      <c r="M3605" s="14">
        <f>_xlfn.BETA.INV($AA3605,1+4*($D$5-$C$5)/($E$5-$C$5),1+4*($E$5-$D$5)/($E$5-$C$5),$C$5,$E$5)</f>
        <v/>
      </c>
      <c r="N3605" s="14">
        <f>IF($AB3605&lt;($D$6-$C$6)/($E$6-$C$6),$C$6+SQRT($AB3605*($E$6-$C$6)*($D$6-$C$6)),$E$6-SQRT((1-$AB3605)*($E$6-$C$6)*($E$6-$D$6)))</f>
        <v/>
      </c>
      <c r="O3605" s="14">
        <f>_xlfn.NORM.INV($AC3605,$C$7,$D$7)</f>
        <v/>
      </c>
      <c r="P3605" s="14">
        <f>$C$8+($D$8-$C$8)*$AD3605</f>
        <v/>
      </c>
      <c r="Q3605" s="14">
        <f>$C$9</f>
        <v/>
      </c>
      <c r="R3605" s="14">
        <f>_xlfn.LOGNORM.INV($AF3605,LN($C$10)-0.5*LN(1+($D$10/$C$10)^2),SQRT(LN(1+($D$10/$C$10)^2)))</f>
        <v/>
      </c>
      <c r="S3605" s="14">
        <f>SUM(M3605:R3605)</f>
        <v/>
      </c>
      <c r="AA3605">
        <f>RAND()</f>
        <v/>
      </c>
      <c r="AB3605">
        <f>RAND()</f>
        <v/>
      </c>
      <c r="AC3605">
        <f>RAND()</f>
        <v/>
      </c>
      <c r="AD3605">
        <f>RAND()</f>
        <v/>
      </c>
      <c r="AE3605">
        <f>RAND()</f>
        <v/>
      </c>
      <c r="AF3605">
        <f>RAND()</f>
        <v/>
      </c>
    </row>
    <row r="3606">
      <c r="M3606" s="14">
        <f>_xlfn.BETA.INV($AA3606,1+4*($D$5-$C$5)/($E$5-$C$5),1+4*($E$5-$D$5)/($E$5-$C$5),$C$5,$E$5)</f>
        <v/>
      </c>
      <c r="N3606" s="14">
        <f>IF($AB3606&lt;($D$6-$C$6)/($E$6-$C$6),$C$6+SQRT($AB3606*($E$6-$C$6)*($D$6-$C$6)),$E$6-SQRT((1-$AB3606)*($E$6-$C$6)*($E$6-$D$6)))</f>
        <v/>
      </c>
      <c r="O3606" s="14">
        <f>_xlfn.NORM.INV($AC3606,$C$7,$D$7)</f>
        <v/>
      </c>
      <c r="P3606" s="14">
        <f>$C$8+($D$8-$C$8)*$AD3606</f>
        <v/>
      </c>
      <c r="Q3606" s="14">
        <f>$C$9</f>
        <v/>
      </c>
      <c r="R3606" s="14">
        <f>_xlfn.LOGNORM.INV($AF3606,LN($C$10)-0.5*LN(1+($D$10/$C$10)^2),SQRT(LN(1+($D$10/$C$10)^2)))</f>
        <v/>
      </c>
      <c r="S3606" s="14">
        <f>SUM(M3606:R3606)</f>
        <v/>
      </c>
      <c r="AA3606">
        <f>RAND()</f>
        <v/>
      </c>
      <c r="AB3606">
        <f>RAND()</f>
        <v/>
      </c>
      <c r="AC3606">
        <f>RAND()</f>
        <v/>
      </c>
      <c r="AD3606">
        <f>RAND()</f>
        <v/>
      </c>
      <c r="AE3606">
        <f>RAND()</f>
        <v/>
      </c>
      <c r="AF3606">
        <f>RAND()</f>
        <v/>
      </c>
    </row>
    <row r="3607">
      <c r="M3607" s="14">
        <f>_xlfn.BETA.INV($AA3607,1+4*($D$5-$C$5)/($E$5-$C$5),1+4*($E$5-$D$5)/($E$5-$C$5),$C$5,$E$5)</f>
        <v/>
      </c>
      <c r="N3607" s="14">
        <f>IF($AB3607&lt;($D$6-$C$6)/($E$6-$C$6),$C$6+SQRT($AB3607*($E$6-$C$6)*($D$6-$C$6)),$E$6-SQRT((1-$AB3607)*($E$6-$C$6)*($E$6-$D$6)))</f>
        <v/>
      </c>
      <c r="O3607" s="14">
        <f>_xlfn.NORM.INV($AC3607,$C$7,$D$7)</f>
        <v/>
      </c>
      <c r="P3607" s="14">
        <f>$C$8+($D$8-$C$8)*$AD3607</f>
        <v/>
      </c>
      <c r="Q3607" s="14">
        <f>$C$9</f>
        <v/>
      </c>
      <c r="R3607" s="14">
        <f>_xlfn.LOGNORM.INV($AF3607,LN($C$10)-0.5*LN(1+($D$10/$C$10)^2),SQRT(LN(1+($D$10/$C$10)^2)))</f>
        <v/>
      </c>
      <c r="S3607" s="14">
        <f>SUM(M3607:R3607)</f>
        <v/>
      </c>
      <c r="AA3607">
        <f>RAND()</f>
        <v/>
      </c>
      <c r="AB3607">
        <f>RAND()</f>
        <v/>
      </c>
      <c r="AC3607">
        <f>RAND()</f>
        <v/>
      </c>
      <c r="AD3607">
        <f>RAND()</f>
        <v/>
      </c>
      <c r="AE3607">
        <f>RAND()</f>
        <v/>
      </c>
      <c r="AF3607">
        <f>RAND()</f>
        <v/>
      </c>
    </row>
    <row r="3608">
      <c r="M3608" s="14">
        <f>_xlfn.BETA.INV($AA3608,1+4*($D$5-$C$5)/($E$5-$C$5),1+4*($E$5-$D$5)/($E$5-$C$5),$C$5,$E$5)</f>
        <v/>
      </c>
      <c r="N3608" s="14">
        <f>IF($AB3608&lt;($D$6-$C$6)/($E$6-$C$6),$C$6+SQRT($AB3608*($E$6-$C$6)*($D$6-$C$6)),$E$6-SQRT((1-$AB3608)*($E$6-$C$6)*($E$6-$D$6)))</f>
        <v/>
      </c>
      <c r="O3608" s="14">
        <f>_xlfn.NORM.INV($AC3608,$C$7,$D$7)</f>
        <v/>
      </c>
      <c r="P3608" s="14">
        <f>$C$8+($D$8-$C$8)*$AD3608</f>
        <v/>
      </c>
      <c r="Q3608" s="14">
        <f>$C$9</f>
        <v/>
      </c>
      <c r="R3608" s="14">
        <f>_xlfn.LOGNORM.INV($AF3608,LN($C$10)-0.5*LN(1+($D$10/$C$10)^2),SQRT(LN(1+($D$10/$C$10)^2)))</f>
        <v/>
      </c>
      <c r="S3608" s="14">
        <f>SUM(M3608:R3608)</f>
        <v/>
      </c>
      <c r="AA3608">
        <f>RAND()</f>
        <v/>
      </c>
      <c r="AB3608">
        <f>RAND()</f>
        <v/>
      </c>
      <c r="AC3608">
        <f>RAND()</f>
        <v/>
      </c>
      <c r="AD3608">
        <f>RAND()</f>
        <v/>
      </c>
      <c r="AE3608">
        <f>RAND()</f>
        <v/>
      </c>
      <c r="AF3608">
        <f>RAND()</f>
        <v/>
      </c>
    </row>
    <row r="3609">
      <c r="M3609" s="14">
        <f>_xlfn.BETA.INV($AA3609,1+4*($D$5-$C$5)/($E$5-$C$5),1+4*($E$5-$D$5)/($E$5-$C$5),$C$5,$E$5)</f>
        <v/>
      </c>
      <c r="N3609" s="14">
        <f>IF($AB3609&lt;($D$6-$C$6)/($E$6-$C$6),$C$6+SQRT($AB3609*($E$6-$C$6)*($D$6-$C$6)),$E$6-SQRT((1-$AB3609)*($E$6-$C$6)*($E$6-$D$6)))</f>
        <v/>
      </c>
      <c r="O3609" s="14">
        <f>_xlfn.NORM.INV($AC3609,$C$7,$D$7)</f>
        <v/>
      </c>
      <c r="P3609" s="14">
        <f>$C$8+($D$8-$C$8)*$AD3609</f>
        <v/>
      </c>
      <c r="Q3609" s="14">
        <f>$C$9</f>
        <v/>
      </c>
      <c r="R3609" s="14">
        <f>_xlfn.LOGNORM.INV($AF3609,LN($C$10)-0.5*LN(1+($D$10/$C$10)^2),SQRT(LN(1+($D$10/$C$10)^2)))</f>
        <v/>
      </c>
      <c r="S3609" s="14">
        <f>SUM(M3609:R3609)</f>
        <v/>
      </c>
      <c r="AA3609">
        <f>RAND()</f>
        <v/>
      </c>
      <c r="AB3609">
        <f>RAND()</f>
        <v/>
      </c>
      <c r="AC3609">
        <f>RAND()</f>
        <v/>
      </c>
      <c r="AD3609">
        <f>RAND()</f>
        <v/>
      </c>
      <c r="AE3609">
        <f>RAND()</f>
        <v/>
      </c>
      <c r="AF3609">
        <f>RAND()</f>
        <v/>
      </c>
    </row>
    <row r="3610">
      <c r="M3610" s="14">
        <f>_xlfn.BETA.INV($AA3610,1+4*($D$5-$C$5)/($E$5-$C$5),1+4*($E$5-$D$5)/($E$5-$C$5),$C$5,$E$5)</f>
        <v/>
      </c>
      <c r="N3610" s="14">
        <f>IF($AB3610&lt;($D$6-$C$6)/($E$6-$C$6),$C$6+SQRT($AB3610*($E$6-$C$6)*($D$6-$C$6)),$E$6-SQRT((1-$AB3610)*($E$6-$C$6)*($E$6-$D$6)))</f>
        <v/>
      </c>
      <c r="O3610" s="14">
        <f>_xlfn.NORM.INV($AC3610,$C$7,$D$7)</f>
        <v/>
      </c>
      <c r="P3610" s="14">
        <f>$C$8+($D$8-$C$8)*$AD3610</f>
        <v/>
      </c>
      <c r="Q3610" s="14">
        <f>$C$9</f>
        <v/>
      </c>
      <c r="R3610" s="14">
        <f>_xlfn.LOGNORM.INV($AF3610,LN($C$10)-0.5*LN(1+($D$10/$C$10)^2),SQRT(LN(1+($D$10/$C$10)^2)))</f>
        <v/>
      </c>
      <c r="S3610" s="14">
        <f>SUM(M3610:R3610)</f>
        <v/>
      </c>
      <c r="AA3610">
        <f>RAND()</f>
        <v/>
      </c>
      <c r="AB3610">
        <f>RAND()</f>
        <v/>
      </c>
      <c r="AC3610">
        <f>RAND()</f>
        <v/>
      </c>
      <c r="AD3610">
        <f>RAND()</f>
        <v/>
      </c>
      <c r="AE3610">
        <f>RAND()</f>
        <v/>
      </c>
      <c r="AF3610">
        <f>RAND()</f>
        <v/>
      </c>
    </row>
    <row r="3611">
      <c r="M3611" s="14">
        <f>_xlfn.BETA.INV($AA3611,1+4*($D$5-$C$5)/($E$5-$C$5),1+4*($E$5-$D$5)/($E$5-$C$5),$C$5,$E$5)</f>
        <v/>
      </c>
      <c r="N3611" s="14">
        <f>IF($AB3611&lt;($D$6-$C$6)/($E$6-$C$6),$C$6+SQRT($AB3611*($E$6-$C$6)*($D$6-$C$6)),$E$6-SQRT((1-$AB3611)*($E$6-$C$6)*($E$6-$D$6)))</f>
        <v/>
      </c>
      <c r="O3611" s="14">
        <f>_xlfn.NORM.INV($AC3611,$C$7,$D$7)</f>
        <v/>
      </c>
      <c r="P3611" s="14">
        <f>$C$8+($D$8-$C$8)*$AD3611</f>
        <v/>
      </c>
      <c r="Q3611" s="14">
        <f>$C$9</f>
        <v/>
      </c>
      <c r="R3611" s="14">
        <f>_xlfn.LOGNORM.INV($AF3611,LN($C$10)-0.5*LN(1+($D$10/$C$10)^2),SQRT(LN(1+($D$10/$C$10)^2)))</f>
        <v/>
      </c>
      <c r="S3611" s="14">
        <f>SUM(M3611:R3611)</f>
        <v/>
      </c>
      <c r="AA3611">
        <f>RAND()</f>
        <v/>
      </c>
      <c r="AB3611">
        <f>RAND()</f>
        <v/>
      </c>
      <c r="AC3611">
        <f>RAND()</f>
        <v/>
      </c>
      <c r="AD3611">
        <f>RAND()</f>
        <v/>
      </c>
      <c r="AE3611">
        <f>RAND()</f>
        <v/>
      </c>
      <c r="AF3611">
        <f>RAND()</f>
        <v/>
      </c>
    </row>
    <row r="3612">
      <c r="M3612" s="14">
        <f>_xlfn.BETA.INV($AA3612,1+4*($D$5-$C$5)/($E$5-$C$5),1+4*($E$5-$D$5)/($E$5-$C$5),$C$5,$E$5)</f>
        <v/>
      </c>
      <c r="N3612" s="14">
        <f>IF($AB3612&lt;($D$6-$C$6)/($E$6-$C$6),$C$6+SQRT($AB3612*($E$6-$C$6)*($D$6-$C$6)),$E$6-SQRT((1-$AB3612)*($E$6-$C$6)*($E$6-$D$6)))</f>
        <v/>
      </c>
      <c r="O3612" s="14">
        <f>_xlfn.NORM.INV($AC3612,$C$7,$D$7)</f>
        <v/>
      </c>
      <c r="P3612" s="14">
        <f>$C$8+($D$8-$C$8)*$AD3612</f>
        <v/>
      </c>
      <c r="Q3612" s="14">
        <f>$C$9</f>
        <v/>
      </c>
      <c r="R3612" s="14">
        <f>_xlfn.LOGNORM.INV($AF3612,LN($C$10)-0.5*LN(1+($D$10/$C$10)^2),SQRT(LN(1+($D$10/$C$10)^2)))</f>
        <v/>
      </c>
      <c r="S3612" s="14">
        <f>SUM(M3612:R3612)</f>
        <v/>
      </c>
      <c r="AA3612">
        <f>RAND()</f>
        <v/>
      </c>
      <c r="AB3612">
        <f>RAND()</f>
        <v/>
      </c>
      <c r="AC3612">
        <f>RAND()</f>
        <v/>
      </c>
      <c r="AD3612">
        <f>RAND()</f>
        <v/>
      </c>
      <c r="AE3612">
        <f>RAND()</f>
        <v/>
      </c>
      <c r="AF3612">
        <f>RAND()</f>
        <v/>
      </c>
    </row>
    <row r="3613">
      <c r="M3613" s="14">
        <f>_xlfn.BETA.INV($AA3613,1+4*($D$5-$C$5)/($E$5-$C$5),1+4*($E$5-$D$5)/($E$5-$C$5),$C$5,$E$5)</f>
        <v/>
      </c>
      <c r="N3613" s="14">
        <f>IF($AB3613&lt;($D$6-$C$6)/($E$6-$C$6),$C$6+SQRT($AB3613*($E$6-$C$6)*($D$6-$C$6)),$E$6-SQRT((1-$AB3613)*($E$6-$C$6)*($E$6-$D$6)))</f>
        <v/>
      </c>
      <c r="O3613" s="14">
        <f>_xlfn.NORM.INV($AC3613,$C$7,$D$7)</f>
        <v/>
      </c>
      <c r="P3613" s="14">
        <f>$C$8+($D$8-$C$8)*$AD3613</f>
        <v/>
      </c>
      <c r="Q3613" s="14">
        <f>$C$9</f>
        <v/>
      </c>
      <c r="R3613" s="14">
        <f>_xlfn.LOGNORM.INV($AF3613,LN($C$10)-0.5*LN(1+($D$10/$C$10)^2),SQRT(LN(1+($D$10/$C$10)^2)))</f>
        <v/>
      </c>
      <c r="S3613" s="14">
        <f>SUM(M3613:R3613)</f>
        <v/>
      </c>
      <c r="AA3613">
        <f>RAND()</f>
        <v/>
      </c>
      <c r="AB3613">
        <f>RAND()</f>
        <v/>
      </c>
      <c r="AC3613">
        <f>RAND()</f>
        <v/>
      </c>
      <c r="AD3613">
        <f>RAND()</f>
        <v/>
      </c>
      <c r="AE3613">
        <f>RAND()</f>
        <v/>
      </c>
      <c r="AF3613">
        <f>RAND()</f>
        <v/>
      </c>
    </row>
    <row r="3614">
      <c r="M3614" s="14">
        <f>_xlfn.BETA.INV($AA3614,1+4*($D$5-$C$5)/($E$5-$C$5),1+4*($E$5-$D$5)/($E$5-$C$5),$C$5,$E$5)</f>
        <v/>
      </c>
      <c r="N3614" s="14">
        <f>IF($AB3614&lt;($D$6-$C$6)/($E$6-$C$6),$C$6+SQRT($AB3614*($E$6-$C$6)*($D$6-$C$6)),$E$6-SQRT((1-$AB3614)*($E$6-$C$6)*($E$6-$D$6)))</f>
        <v/>
      </c>
      <c r="O3614" s="14">
        <f>_xlfn.NORM.INV($AC3614,$C$7,$D$7)</f>
        <v/>
      </c>
      <c r="P3614" s="14">
        <f>$C$8+($D$8-$C$8)*$AD3614</f>
        <v/>
      </c>
      <c r="Q3614" s="14">
        <f>$C$9</f>
        <v/>
      </c>
      <c r="R3614" s="14">
        <f>_xlfn.LOGNORM.INV($AF3614,LN($C$10)-0.5*LN(1+($D$10/$C$10)^2),SQRT(LN(1+($D$10/$C$10)^2)))</f>
        <v/>
      </c>
      <c r="S3614" s="14">
        <f>SUM(M3614:R3614)</f>
        <v/>
      </c>
      <c r="AA3614">
        <f>RAND()</f>
        <v/>
      </c>
      <c r="AB3614">
        <f>RAND()</f>
        <v/>
      </c>
      <c r="AC3614">
        <f>RAND()</f>
        <v/>
      </c>
      <c r="AD3614">
        <f>RAND()</f>
        <v/>
      </c>
      <c r="AE3614">
        <f>RAND()</f>
        <v/>
      </c>
      <c r="AF3614">
        <f>RAND()</f>
        <v/>
      </c>
    </row>
    <row r="3615">
      <c r="M3615" s="14">
        <f>_xlfn.BETA.INV($AA3615,1+4*($D$5-$C$5)/($E$5-$C$5),1+4*($E$5-$D$5)/($E$5-$C$5),$C$5,$E$5)</f>
        <v/>
      </c>
      <c r="N3615" s="14">
        <f>IF($AB3615&lt;($D$6-$C$6)/($E$6-$C$6),$C$6+SQRT($AB3615*($E$6-$C$6)*($D$6-$C$6)),$E$6-SQRT((1-$AB3615)*($E$6-$C$6)*($E$6-$D$6)))</f>
        <v/>
      </c>
      <c r="O3615" s="14">
        <f>_xlfn.NORM.INV($AC3615,$C$7,$D$7)</f>
        <v/>
      </c>
      <c r="P3615" s="14">
        <f>$C$8+($D$8-$C$8)*$AD3615</f>
        <v/>
      </c>
      <c r="Q3615" s="14">
        <f>$C$9</f>
        <v/>
      </c>
      <c r="R3615" s="14">
        <f>_xlfn.LOGNORM.INV($AF3615,LN($C$10)-0.5*LN(1+($D$10/$C$10)^2),SQRT(LN(1+($D$10/$C$10)^2)))</f>
        <v/>
      </c>
      <c r="S3615" s="14">
        <f>SUM(M3615:R3615)</f>
        <v/>
      </c>
      <c r="AA3615">
        <f>RAND()</f>
        <v/>
      </c>
      <c r="AB3615">
        <f>RAND()</f>
        <v/>
      </c>
      <c r="AC3615">
        <f>RAND()</f>
        <v/>
      </c>
      <c r="AD3615">
        <f>RAND()</f>
        <v/>
      </c>
      <c r="AE3615">
        <f>RAND()</f>
        <v/>
      </c>
      <c r="AF3615">
        <f>RAND()</f>
        <v/>
      </c>
    </row>
    <row r="3616">
      <c r="M3616" s="14">
        <f>_xlfn.BETA.INV($AA3616,1+4*($D$5-$C$5)/($E$5-$C$5),1+4*($E$5-$D$5)/($E$5-$C$5),$C$5,$E$5)</f>
        <v/>
      </c>
      <c r="N3616" s="14">
        <f>IF($AB3616&lt;($D$6-$C$6)/($E$6-$C$6),$C$6+SQRT($AB3616*($E$6-$C$6)*($D$6-$C$6)),$E$6-SQRT((1-$AB3616)*($E$6-$C$6)*($E$6-$D$6)))</f>
        <v/>
      </c>
      <c r="O3616" s="14">
        <f>_xlfn.NORM.INV($AC3616,$C$7,$D$7)</f>
        <v/>
      </c>
      <c r="P3616" s="14">
        <f>$C$8+($D$8-$C$8)*$AD3616</f>
        <v/>
      </c>
      <c r="Q3616" s="14">
        <f>$C$9</f>
        <v/>
      </c>
      <c r="R3616" s="14">
        <f>_xlfn.LOGNORM.INV($AF3616,LN($C$10)-0.5*LN(1+($D$10/$C$10)^2),SQRT(LN(1+($D$10/$C$10)^2)))</f>
        <v/>
      </c>
      <c r="S3616" s="14">
        <f>SUM(M3616:R3616)</f>
        <v/>
      </c>
      <c r="AA3616">
        <f>RAND()</f>
        <v/>
      </c>
      <c r="AB3616">
        <f>RAND()</f>
        <v/>
      </c>
      <c r="AC3616">
        <f>RAND()</f>
        <v/>
      </c>
      <c r="AD3616">
        <f>RAND()</f>
        <v/>
      </c>
      <c r="AE3616">
        <f>RAND()</f>
        <v/>
      </c>
      <c r="AF3616">
        <f>RAND()</f>
        <v/>
      </c>
    </row>
    <row r="3617">
      <c r="M3617" s="14">
        <f>_xlfn.BETA.INV($AA3617,1+4*($D$5-$C$5)/($E$5-$C$5),1+4*($E$5-$D$5)/($E$5-$C$5),$C$5,$E$5)</f>
        <v/>
      </c>
      <c r="N3617" s="14">
        <f>IF($AB3617&lt;($D$6-$C$6)/($E$6-$C$6),$C$6+SQRT($AB3617*($E$6-$C$6)*($D$6-$C$6)),$E$6-SQRT((1-$AB3617)*($E$6-$C$6)*($E$6-$D$6)))</f>
        <v/>
      </c>
      <c r="O3617" s="14">
        <f>_xlfn.NORM.INV($AC3617,$C$7,$D$7)</f>
        <v/>
      </c>
      <c r="P3617" s="14">
        <f>$C$8+($D$8-$C$8)*$AD3617</f>
        <v/>
      </c>
      <c r="Q3617" s="14">
        <f>$C$9</f>
        <v/>
      </c>
      <c r="R3617" s="14">
        <f>_xlfn.LOGNORM.INV($AF3617,LN($C$10)-0.5*LN(1+($D$10/$C$10)^2),SQRT(LN(1+($D$10/$C$10)^2)))</f>
        <v/>
      </c>
      <c r="S3617" s="14">
        <f>SUM(M3617:R3617)</f>
        <v/>
      </c>
      <c r="AA3617">
        <f>RAND()</f>
        <v/>
      </c>
      <c r="AB3617">
        <f>RAND()</f>
        <v/>
      </c>
      <c r="AC3617">
        <f>RAND()</f>
        <v/>
      </c>
      <c r="AD3617">
        <f>RAND()</f>
        <v/>
      </c>
      <c r="AE3617">
        <f>RAND()</f>
        <v/>
      </c>
      <c r="AF3617">
        <f>RAND()</f>
        <v/>
      </c>
    </row>
    <row r="3618">
      <c r="M3618" s="14">
        <f>_xlfn.BETA.INV($AA3618,1+4*($D$5-$C$5)/($E$5-$C$5),1+4*($E$5-$D$5)/($E$5-$C$5),$C$5,$E$5)</f>
        <v/>
      </c>
      <c r="N3618" s="14">
        <f>IF($AB3618&lt;($D$6-$C$6)/($E$6-$C$6),$C$6+SQRT($AB3618*($E$6-$C$6)*($D$6-$C$6)),$E$6-SQRT((1-$AB3618)*($E$6-$C$6)*($E$6-$D$6)))</f>
        <v/>
      </c>
      <c r="O3618" s="14">
        <f>_xlfn.NORM.INV($AC3618,$C$7,$D$7)</f>
        <v/>
      </c>
      <c r="P3618" s="14">
        <f>$C$8+($D$8-$C$8)*$AD3618</f>
        <v/>
      </c>
      <c r="Q3618" s="14">
        <f>$C$9</f>
        <v/>
      </c>
      <c r="R3618" s="14">
        <f>_xlfn.LOGNORM.INV($AF3618,LN($C$10)-0.5*LN(1+($D$10/$C$10)^2),SQRT(LN(1+($D$10/$C$10)^2)))</f>
        <v/>
      </c>
      <c r="S3618" s="14">
        <f>SUM(M3618:R3618)</f>
        <v/>
      </c>
      <c r="AA3618">
        <f>RAND()</f>
        <v/>
      </c>
      <c r="AB3618">
        <f>RAND()</f>
        <v/>
      </c>
      <c r="AC3618">
        <f>RAND()</f>
        <v/>
      </c>
      <c r="AD3618">
        <f>RAND()</f>
        <v/>
      </c>
      <c r="AE3618">
        <f>RAND()</f>
        <v/>
      </c>
      <c r="AF3618">
        <f>RAND()</f>
        <v/>
      </c>
    </row>
    <row r="3619">
      <c r="M3619" s="14">
        <f>_xlfn.BETA.INV($AA3619,1+4*($D$5-$C$5)/($E$5-$C$5),1+4*($E$5-$D$5)/($E$5-$C$5),$C$5,$E$5)</f>
        <v/>
      </c>
      <c r="N3619" s="14">
        <f>IF($AB3619&lt;($D$6-$C$6)/($E$6-$C$6),$C$6+SQRT($AB3619*($E$6-$C$6)*($D$6-$C$6)),$E$6-SQRT((1-$AB3619)*($E$6-$C$6)*($E$6-$D$6)))</f>
        <v/>
      </c>
      <c r="O3619" s="14">
        <f>_xlfn.NORM.INV($AC3619,$C$7,$D$7)</f>
        <v/>
      </c>
      <c r="P3619" s="14">
        <f>$C$8+($D$8-$C$8)*$AD3619</f>
        <v/>
      </c>
      <c r="Q3619" s="14">
        <f>$C$9</f>
        <v/>
      </c>
      <c r="R3619" s="14">
        <f>_xlfn.LOGNORM.INV($AF3619,LN($C$10)-0.5*LN(1+($D$10/$C$10)^2),SQRT(LN(1+($D$10/$C$10)^2)))</f>
        <v/>
      </c>
      <c r="S3619" s="14">
        <f>SUM(M3619:R3619)</f>
        <v/>
      </c>
      <c r="AA3619">
        <f>RAND()</f>
        <v/>
      </c>
      <c r="AB3619">
        <f>RAND()</f>
        <v/>
      </c>
      <c r="AC3619">
        <f>RAND()</f>
        <v/>
      </c>
      <c r="AD3619">
        <f>RAND()</f>
        <v/>
      </c>
      <c r="AE3619">
        <f>RAND()</f>
        <v/>
      </c>
      <c r="AF3619">
        <f>RAND()</f>
        <v/>
      </c>
    </row>
    <row r="3620">
      <c r="M3620" s="14">
        <f>_xlfn.BETA.INV($AA3620,1+4*($D$5-$C$5)/($E$5-$C$5),1+4*($E$5-$D$5)/($E$5-$C$5),$C$5,$E$5)</f>
        <v/>
      </c>
      <c r="N3620" s="14">
        <f>IF($AB3620&lt;($D$6-$C$6)/($E$6-$C$6),$C$6+SQRT($AB3620*($E$6-$C$6)*($D$6-$C$6)),$E$6-SQRT((1-$AB3620)*($E$6-$C$6)*($E$6-$D$6)))</f>
        <v/>
      </c>
      <c r="O3620" s="14">
        <f>_xlfn.NORM.INV($AC3620,$C$7,$D$7)</f>
        <v/>
      </c>
      <c r="P3620" s="14">
        <f>$C$8+($D$8-$C$8)*$AD3620</f>
        <v/>
      </c>
      <c r="Q3620" s="14">
        <f>$C$9</f>
        <v/>
      </c>
      <c r="R3620" s="14">
        <f>_xlfn.LOGNORM.INV($AF3620,LN($C$10)-0.5*LN(1+($D$10/$C$10)^2),SQRT(LN(1+($D$10/$C$10)^2)))</f>
        <v/>
      </c>
      <c r="S3620" s="14">
        <f>SUM(M3620:R3620)</f>
        <v/>
      </c>
      <c r="AA3620">
        <f>RAND()</f>
        <v/>
      </c>
      <c r="AB3620">
        <f>RAND()</f>
        <v/>
      </c>
      <c r="AC3620">
        <f>RAND()</f>
        <v/>
      </c>
      <c r="AD3620">
        <f>RAND()</f>
        <v/>
      </c>
      <c r="AE3620">
        <f>RAND()</f>
        <v/>
      </c>
      <c r="AF3620">
        <f>RAND()</f>
        <v/>
      </c>
    </row>
    <row r="3621">
      <c r="M3621" s="14">
        <f>_xlfn.BETA.INV($AA3621,1+4*($D$5-$C$5)/($E$5-$C$5),1+4*($E$5-$D$5)/($E$5-$C$5),$C$5,$E$5)</f>
        <v/>
      </c>
      <c r="N3621" s="14">
        <f>IF($AB3621&lt;($D$6-$C$6)/($E$6-$C$6),$C$6+SQRT($AB3621*($E$6-$C$6)*($D$6-$C$6)),$E$6-SQRT((1-$AB3621)*($E$6-$C$6)*($E$6-$D$6)))</f>
        <v/>
      </c>
      <c r="O3621" s="14">
        <f>_xlfn.NORM.INV($AC3621,$C$7,$D$7)</f>
        <v/>
      </c>
      <c r="P3621" s="14">
        <f>$C$8+($D$8-$C$8)*$AD3621</f>
        <v/>
      </c>
      <c r="Q3621" s="14">
        <f>$C$9</f>
        <v/>
      </c>
      <c r="R3621" s="14">
        <f>_xlfn.LOGNORM.INV($AF3621,LN($C$10)-0.5*LN(1+($D$10/$C$10)^2),SQRT(LN(1+($D$10/$C$10)^2)))</f>
        <v/>
      </c>
      <c r="S3621" s="14">
        <f>SUM(M3621:R3621)</f>
        <v/>
      </c>
      <c r="AA3621">
        <f>RAND()</f>
        <v/>
      </c>
      <c r="AB3621">
        <f>RAND()</f>
        <v/>
      </c>
      <c r="AC3621">
        <f>RAND()</f>
        <v/>
      </c>
      <c r="AD3621">
        <f>RAND()</f>
        <v/>
      </c>
      <c r="AE3621">
        <f>RAND()</f>
        <v/>
      </c>
      <c r="AF3621">
        <f>RAND()</f>
        <v/>
      </c>
    </row>
    <row r="3622">
      <c r="M3622" s="14">
        <f>_xlfn.BETA.INV($AA3622,1+4*($D$5-$C$5)/($E$5-$C$5),1+4*($E$5-$D$5)/($E$5-$C$5),$C$5,$E$5)</f>
        <v/>
      </c>
      <c r="N3622" s="14">
        <f>IF($AB3622&lt;($D$6-$C$6)/($E$6-$C$6),$C$6+SQRT($AB3622*($E$6-$C$6)*($D$6-$C$6)),$E$6-SQRT((1-$AB3622)*($E$6-$C$6)*($E$6-$D$6)))</f>
        <v/>
      </c>
      <c r="O3622" s="14">
        <f>_xlfn.NORM.INV($AC3622,$C$7,$D$7)</f>
        <v/>
      </c>
      <c r="P3622" s="14">
        <f>$C$8+($D$8-$C$8)*$AD3622</f>
        <v/>
      </c>
      <c r="Q3622" s="14">
        <f>$C$9</f>
        <v/>
      </c>
      <c r="R3622" s="14">
        <f>_xlfn.LOGNORM.INV($AF3622,LN($C$10)-0.5*LN(1+($D$10/$C$10)^2),SQRT(LN(1+($D$10/$C$10)^2)))</f>
        <v/>
      </c>
      <c r="S3622" s="14">
        <f>SUM(M3622:R3622)</f>
        <v/>
      </c>
      <c r="AA3622">
        <f>RAND()</f>
        <v/>
      </c>
      <c r="AB3622">
        <f>RAND()</f>
        <v/>
      </c>
      <c r="AC3622">
        <f>RAND()</f>
        <v/>
      </c>
      <c r="AD3622">
        <f>RAND()</f>
        <v/>
      </c>
      <c r="AE3622">
        <f>RAND()</f>
        <v/>
      </c>
      <c r="AF3622">
        <f>RAND()</f>
        <v/>
      </c>
    </row>
    <row r="3623">
      <c r="M3623" s="14">
        <f>_xlfn.BETA.INV($AA3623,1+4*($D$5-$C$5)/($E$5-$C$5),1+4*($E$5-$D$5)/($E$5-$C$5),$C$5,$E$5)</f>
        <v/>
      </c>
      <c r="N3623" s="14">
        <f>IF($AB3623&lt;($D$6-$C$6)/($E$6-$C$6),$C$6+SQRT($AB3623*($E$6-$C$6)*($D$6-$C$6)),$E$6-SQRT((1-$AB3623)*($E$6-$C$6)*($E$6-$D$6)))</f>
        <v/>
      </c>
      <c r="O3623" s="14">
        <f>_xlfn.NORM.INV($AC3623,$C$7,$D$7)</f>
        <v/>
      </c>
      <c r="P3623" s="14">
        <f>$C$8+($D$8-$C$8)*$AD3623</f>
        <v/>
      </c>
      <c r="Q3623" s="14">
        <f>$C$9</f>
        <v/>
      </c>
      <c r="R3623" s="14">
        <f>_xlfn.LOGNORM.INV($AF3623,LN($C$10)-0.5*LN(1+($D$10/$C$10)^2),SQRT(LN(1+($D$10/$C$10)^2)))</f>
        <v/>
      </c>
      <c r="S3623" s="14">
        <f>SUM(M3623:R3623)</f>
        <v/>
      </c>
      <c r="AA3623">
        <f>RAND()</f>
        <v/>
      </c>
      <c r="AB3623">
        <f>RAND()</f>
        <v/>
      </c>
      <c r="AC3623">
        <f>RAND()</f>
        <v/>
      </c>
      <c r="AD3623">
        <f>RAND()</f>
        <v/>
      </c>
      <c r="AE3623">
        <f>RAND()</f>
        <v/>
      </c>
      <c r="AF3623">
        <f>RAND()</f>
        <v/>
      </c>
    </row>
    <row r="3624">
      <c r="M3624" s="14">
        <f>_xlfn.BETA.INV($AA3624,1+4*($D$5-$C$5)/($E$5-$C$5),1+4*($E$5-$D$5)/($E$5-$C$5),$C$5,$E$5)</f>
        <v/>
      </c>
      <c r="N3624" s="14">
        <f>IF($AB3624&lt;($D$6-$C$6)/($E$6-$C$6),$C$6+SQRT($AB3624*($E$6-$C$6)*($D$6-$C$6)),$E$6-SQRT((1-$AB3624)*($E$6-$C$6)*($E$6-$D$6)))</f>
        <v/>
      </c>
      <c r="O3624" s="14">
        <f>_xlfn.NORM.INV($AC3624,$C$7,$D$7)</f>
        <v/>
      </c>
      <c r="P3624" s="14">
        <f>$C$8+($D$8-$C$8)*$AD3624</f>
        <v/>
      </c>
      <c r="Q3624" s="14">
        <f>$C$9</f>
        <v/>
      </c>
      <c r="R3624" s="14">
        <f>_xlfn.LOGNORM.INV($AF3624,LN($C$10)-0.5*LN(1+($D$10/$C$10)^2),SQRT(LN(1+($D$10/$C$10)^2)))</f>
        <v/>
      </c>
      <c r="S3624" s="14">
        <f>SUM(M3624:R3624)</f>
        <v/>
      </c>
      <c r="AA3624">
        <f>RAND()</f>
        <v/>
      </c>
      <c r="AB3624">
        <f>RAND()</f>
        <v/>
      </c>
      <c r="AC3624">
        <f>RAND()</f>
        <v/>
      </c>
      <c r="AD3624">
        <f>RAND()</f>
        <v/>
      </c>
      <c r="AE3624">
        <f>RAND()</f>
        <v/>
      </c>
      <c r="AF3624">
        <f>RAND()</f>
        <v/>
      </c>
    </row>
    <row r="3625">
      <c r="M3625" s="14">
        <f>_xlfn.BETA.INV($AA3625,1+4*($D$5-$C$5)/($E$5-$C$5),1+4*($E$5-$D$5)/($E$5-$C$5),$C$5,$E$5)</f>
        <v/>
      </c>
      <c r="N3625" s="14">
        <f>IF($AB3625&lt;($D$6-$C$6)/($E$6-$C$6),$C$6+SQRT($AB3625*($E$6-$C$6)*($D$6-$C$6)),$E$6-SQRT((1-$AB3625)*($E$6-$C$6)*($E$6-$D$6)))</f>
        <v/>
      </c>
      <c r="O3625" s="14">
        <f>_xlfn.NORM.INV($AC3625,$C$7,$D$7)</f>
        <v/>
      </c>
      <c r="P3625" s="14">
        <f>$C$8+($D$8-$C$8)*$AD3625</f>
        <v/>
      </c>
      <c r="Q3625" s="14">
        <f>$C$9</f>
        <v/>
      </c>
      <c r="R3625" s="14">
        <f>_xlfn.LOGNORM.INV($AF3625,LN($C$10)-0.5*LN(1+($D$10/$C$10)^2),SQRT(LN(1+($D$10/$C$10)^2)))</f>
        <v/>
      </c>
      <c r="S3625" s="14">
        <f>SUM(M3625:R3625)</f>
        <v/>
      </c>
      <c r="AA3625">
        <f>RAND()</f>
        <v/>
      </c>
      <c r="AB3625">
        <f>RAND()</f>
        <v/>
      </c>
      <c r="AC3625">
        <f>RAND()</f>
        <v/>
      </c>
      <c r="AD3625">
        <f>RAND()</f>
        <v/>
      </c>
      <c r="AE3625">
        <f>RAND()</f>
        <v/>
      </c>
      <c r="AF3625">
        <f>RAND()</f>
        <v/>
      </c>
    </row>
    <row r="3626">
      <c r="M3626" s="14">
        <f>_xlfn.BETA.INV($AA3626,1+4*($D$5-$C$5)/($E$5-$C$5),1+4*($E$5-$D$5)/($E$5-$C$5),$C$5,$E$5)</f>
        <v/>
      </c>
      <c r="N3626" s="14">
        <f>IF($AB3626&lt;($D$6-$C$6)/($E$6-$C$6),$C$6+SQRT($AB3626*($E$6-$C$6)*($D$6-$C$6)),$E$6-SQRT((1-$AB3626)*($E$6-$C$6)*($E$6-$D$6)))</f>
        <v/>
      </c>
      <c r="O3626" s="14">
        <f>_xlfn.NORM.INV($AC3626,$C$7,$D$7)</f>
        <v/>
      </c>
      <c r="P3626" s="14">
        <f>$C$8+($D$8-$C$8)*$AD3626</f>
        <v/>
      </c>
      <c r="Q3626" s="14">
        <f>$C$9</f>
        <v/>
      </c>
      <c r="R3626" s="14">
        <f>_xlfn.LOGNORM.INV($AF3626,LN($C$10)-0.5*LN(1+($D$10/$C$10)^2),SQRT(LN(1+($D$10/$C$10)^2)))</f>
        <v/>
      </c>
      <c r="S3626" s="14">
        <f>SUM(M3626:R3626)</f>
        <v/>
      </c>
      <c r="AA3626">
        <f>RAND()</f>
        <v/>
      </c>
      <c r="AB3626">
        <f>RAND()</f>
        <v/>
      </c>
      <c r="AC3626">
        <f>RAND()</f>
        <v/>
      </c>
      <c r="AD3626">
        <f>RAND()</f>
        <v/>
      </c>
      <c r="AE3626">
        <f>RAND()</f>
        <v/>
      </c>
      <c r="AF3626">
        <f>RAND()</f>
        <v/>
      </c>
    </row>
    <row r="3627">
      <c r="M3627" s="14">
        <f>_xlfn.BETA.INV($AA3627,1+4*($D$5-$C$5)/($E$5-$C$5),1+4*($E$5-$D$5)/($E$5-$C$5),$C$5,$E$5)</f>
        <v/>
      </c>
      <c r="N3627" s="14">
        <f>IF($AB3627&lt;($D$6-$C$6)/($E$6-$C$6),$C$6+SQRT($AB3627*($E$6-$C$6)*($D$6-$C$6)),$E$6-SQRT((1-$AB3627)*($E$6-$C$6)*($E$6-$D$6)))</f>
        <v/>
      </c>
      <c r="O3627" s="14">
        <f>_xlfn.NORM.INV($AC3627,$C$7,$D$7)</f>
        <v/>
      </c>
      <c r="P3627" s="14">
        <f>$C$8+($D$8-$C$8)*$AD3627</f>
        <v/>
      </c>
      <c r="Q3627" s="14">
        <f>$C$9</f>
        <v/>
      </c>
      <c r="R3627" s="14">
        <f>_xlfn.LOGNORM.INV($AF3627,LN($C$10)-0.5*LN(1+($D$10/$C$10)^2),SQRT(LN(1+($D$10/$C$10)^2)))</f>
        <v/>
      </c>
      <c r="S3627" s="14">
        <f>SUM(M3627:R3627)</f>
        <v/>
      </c>
      <c r="AA3627">
        <f>RAND()</f>
        <v/>
      </c>
      <c r="AB3627">
        <f>RAND()</f>
        <v/>
      </c>
      <c r="AC3627">
        <f>RAND()</f>
        <v/>
      </c>
      <c r="AD3627">
        <f>RAND()</f>
        <v/>
      </c>
      <c r="AE3627">
        <f>RAND()</f>
        <v/>
      </c>
      <c r="AF3627">
        <f>RAND()</f>
        <v/>
      </c>
    </row>
    <row r="3628">
      <c r="M3628" s="14">
        <f>_xlfn.BETA.INV($AA3628,1+4*($D$5-$C$5)/($E$5-$C$5),1+4*($E$5-$D$5)/($E$5-$C$5),$C$5,$E$5)</f>
        <v/>
      </c>
      <c r="N3628" s="14">
        <f>IF($AB3628&lt;($D$6-$C$6)/($E$6-$C$6),$C$6+SQRT($AB3628*($E$6-$C$6)*($D$6-$C$6)),$E$6-SQRT((1-$AB3628)*($E$6-$C$6)*($E$6-$D$6)))</f>
        <v/>
      </c>
      <c r="O3628" s="14">
        <f>_xlfn.NORM.INV($AC3628,$C$7,$D$7)</f>
        <v/>
      </c>
      <c r="P3628" s="14">
        <f>$C$8+($D$8-$C$8)*$AD3628</f>
        <v/>
      </c>
      <c r="Q3628" s="14">
        <f>$C$9</f>
        <v/>
      </c>
      <c r="R3628" s="14">
        <f>_xlfn.LOGNORM.INV($AF3628,LN($C$10)-0.5*LN(1+($D$10/$C$10)^2),SQRT(LN(1+($D$10/$C$10)^2)))</f>
        <v/>
      </c>
      <c r="S3628" s="14">
        <f>SUM(M3628:R3628)</f>
        <v/>
      </c>
      <c r="AA3628">
        <f>RAND()</f>
        <v/>
      </c>
      <c r="AB3628">
        <f>RAND()</f>
        <v/>
      </c>
      <c r="AC3628">
        <f>RAND()</f>
        <v/>
      </c>
      <c r="AD3628">
        <f>RAND()</f>
        <v/>
      </c>
      <c r="AE3628">
        <f>RAND()</f>
        <v/>
      </c>
      <c r="AF3628">
        <f>RAND()</f>
        <v/>
      </c>
    </row>
    <row r="3629">
      <c r="M3629" s="14">
        <f>_xlfn.BETA.INV($AA3629,1+4*($D$5-$C$5)/($E$5-$C$5),1+4*($E$5-$D$5)/($E$5-$C$5),$C$5,$E$5)</f>
        <v/>
      </c>
      <c r="N3629" s="14">
        <f>IF($AB3629&lt;($D$6-$C$6)/($E$6-$C$6),$C$6+SQRT($AB3629*($E$6-$C$6)*($D$6-$C$6)),$E$6-SQRT((1-$AB3629)*($E$6-$C$6)*($E$6-$D$6)))</f>
        <v/>
      </c>
      <c r="O3629" s="14">
        <f>_xlfn.NORM.INV($AC3629,$C$7,$D$7)</f>
        <v/>
      </c>
      <c r="P3629" s="14">
        <f>$C$8+($D$8-$C$8)*$AD3629</f>
        <v/>
      </c>
      <c r="Q3629" s="14">
        <f>$C$9</f>
        <v/>
      </c>
      <c r="R3629" s="14">
        <f>_xlfn.LOGNORM.INV($AF3629,LN($C$10)-0.5*LN(1+($D$10/$C$10)^2),SQRT(LN(1+($D$10/$C$10)^2)))</f>
        <v/>
      </c>
      <c r="S3629" s="14">
        <f>SUM(M3629:R3629)</f>
        <v/>
      </c>
      <c r="AA3629">
        <f>RAND()</f>
        <v/>
      </c>
      <c r="AB3629">
        <f>RAND()</f>
        <v/>
      </c>
      <c r="AC3629">
        <f>RAND()</f>
        <v/>
      </c>
      <c r="AD3629">
        <f>RAND()</f>
        <v/>
      </c>
      <c r="AE3629">
        <f>RAND()</f>
        <v/>
      </c>
      <c r="AF3629">
        <f>RAND()</f>
        <v/>
      </c>
    </row>
    <row r="3630">
      <c r="M3630" s="14">
        <f>_xlfn.BETA.INV($AA3630,1+4*($D$5-$C$5)/($E$5-$C$5),1+4*($E$5-$D$5)/($E$5-$C$5),$C$5,$E$5)</f>
        <v/>
      </c>
      <c r="N3630" s="14">
        <f>IF($AB3630&lt;($D$6-$C$6)/($E$6-$C$6),$C$6+SQRT($AB3630*($E$6-$C$6)*($D$6-$C$6)),$E$6-SQRT((1-$AB3630)*($E$6-$C$6)*($E$6-$D$6)))</f>
        <v/>
      </c>
      <c r="O3630" s="14">
        <f>_xlfn.NORM.INV($AC3630,$C$7,$D$7)</f>
        <v/>
      </c>
      <c r="P3630" s="14">
        <f>$C$8+($D$8-$C$8)*$AD3630</f>
        <v/>
      </c>
      <c r="Q3630" s="14">
        <f>$C$9</f>
        <v/>
      </c>
      <c r="R3630" s="14">
        <f>_xlfn.LOGNORM.INV($AF3630,LN($C$10)-0.5*LN(1+($D$10/$C$10)^2),SQRT(LN(1+($D$10/$C$10)^2)))</f>
        <v/>
      </c>
      <c r="S3630" s="14">
        <f>SUM(M3630:R3630)</f>
        <v/>
      </c>
      <c r="AA3630">
        <f>RAND()</f>
        <v/>
      </c>
      <c r="AB3630">
        <f>RAND()</f>
        <v/>
      </c>
      <c r="AC3630">
        <f>RAND()</f>
        <v/>
      </c>
      <c r="AD3630">
        <f>RAND()</f>
        <v/>
      </c>
      <c r="AE3630">
        <f>RAND()</f>
        <v/>
      </c>
      <c r="AF3630">
        <f>RAND()</f>
        <v/>
      </c>
    </row>
    <row r="3631">
      <c r="M3631" s="14">
        <f>_xlfn.BETA.INV($AA3631,1+4*($D$5-$C$5)/($E$5-$C$5),1+4*($E$5-$D$5)/($E$5-$C$5),$C$5,$E$5)</f>
        <v/>
      </c>
      <c r="N3631" s="14">
        <f>IF($AB3631&lt;($D$6-$C$6)/($E$6-$C$6),$C$6+SQRT($AB3631*($E$6-$C$6)*($D$6-$C$6)),$E$6-SQRT((1-$AB3631)*($E$6-$C$6)*($E$6-$D$6)))</f>
        <v/>
      </c>
      <c r="O3631" s="14">
        <f>_xlfn.NORM.INV($AC3631,$C$7,$D$7)</f>
        <v/>
      </c>
      <c r="P3631" s="14">
        <f>$C$8+($D$8-$C$8)*$AD3631</f>
        <v/>
      </c>
      <c r="Q3631" s="14">
        <f>$C$9</f>
        <v/>
      </c>
      <c r="R3631" s="14">
        <f>_xlfn.LOGNORM.INV($AF3631,LN($C$10)-0.5*LN(1+($D$10/$C$10)^2),SQRT(LN(1+($D$10/$C$10)^2)))</f>
        <v/>
      </c>
      <c r="S3631" s="14">
        <f>SUM(M3631:R3631)</f>
        <v/>
      </c>
      <c r="AA3631">
        <f>RAND()</f>
        <v/>
      </c>
      <c r="AB3631">
        <f>RAND()</f>
        <v/>
      </c>
      <c r="AC3631">
        <f>RAND()</f>
        <v/>
      </c>
      <c r="AD3631">
        <f>RAND()</f>
        <v/>
      </c>
      <c r="AE3631">
        <f>RAND()</f>
        <v/>
      </c>
      <c r="AF3631">
        <f>RAND()</f>
        <v/>
      </c>
    </row>
    <row r="3632">
      <c r="M3632" s="14">
        <f>_xlfn.BETA.INV($AA3632,1+4*($D$5-$C$5)/($E$5-$C$5),1+4*($E$5-$D$5)/($E$5-$C$5),$C$5,$E$5)</f>
        <v/>
      </c>
      <c r="N3632" s="14">
        <f>IF($AB3632&lt;($D$6-$C$6)/($E$6-$C$6),$C$6+SQRT($AB3632*($E$6-$C$6)*($D$6-$C$6)),$E$6-SQRT((1-$AB3632)*($E$6-$C$6)*($E$6-$D$6)))</f>
        <v/>
      </c>
      <c r="O3632" s="14">
        <f>_xlfn.NORM.INV($AC3632,$C$7,$D$7)</f>
        <v/>
      </c>
      <c r="P3632" s="14">
        <f>$C$8+($D$8-$C$8)*$AD3632</f>
        <v/>
      </c>
      <c r="Q3632" s="14">
        <f>$C$9</f>
        <v/>
      </c>
      <c r="R3632" s="14">
        <f>_xlfn.LOGNORM.INV($AF3632,LN($C$10)-0.5*LN(1+($D$10/$C$10)^2),SQRT(LN(1+($D$10/$C$10)^2)))</f>
        <v/>
      </c>
      <c r="S3632" s="14">
        <f>SUM(M3632:R3632)</f>
        <v/>
      </c>
      <c r="AA3632">
        <f>RAND()</f>
        <v/>
      </c>
      <c r="AB3632">
        <f>RAND()</f>
        <v/>
      </c>
      <c r="AC3632">
        <f>RAND()</f>
        <v/>
      </c>
      <c r="AD3632">
        <f>RAND()</f>
        <v/>
      </c>
      <c r="AE3632">
        <f>RAND()</f>
        <v/>
      </c>
      <c r="AF3632">
        <f>RAND()</f>
        <v/>
      </c>
    </row>
    <row r="3633">
      <c r="M3633" s="14">
        <f>_xlfn.BETA.INV($AA3633,1+4*($D$5-$C$5)/($E$5-$C$5),1+4*($E$5-$D$5)/($E$5-$C$5),$C$5,$E$5)</f>
        <v/>
      </c>
      <c r="N3633" s="14">
        <f>IF($AB3633&lt;($D$6-$C$6)/($E$6-$C$6),$C$6+SQRT($AB3633*($E$6-$C$6)*($D$6-$C$6)),$E$6-SQRT((1-$AB3633)*($E$6-$C$6)*($E$6-$D$6)))</f>
        <v/>
      </c>
      <c r="O3633" s="14">
        <f>_xlfn.NORM.INV($AC3633,$C$7,$D$7)</f>
        <v/>
      </c>
      <c r="P3633" s="14">
        <f>$C$8+($D$8-$C$8)*$AD3633</f>
        <v/>
      </c>
      <c r="Q3633" s="14">
        <f>$C$9</f>
        <v/>
      </c>
      <c r="R3633" s="14">
        <f>_xlfn.LOGNORM.INV($AF3633,LN($C$10)-0.5*LN(1+($D$10/$C$10)^2),SQRT(LN(1+($D$10/$C$10)^2)))</f>
        <v/>
      </c>
      <c r="S3633" s="14">
        <f>SUM(M3633:R3633)</f>
        <v/>
      </c>
      <c r="AA3633">
        <f>RAND()</f>
        <v/>
      </c>
      <c r="AB3633">
        <f>RAND()</f>
        <v/>
      </c>
      <c r="AC3633">
        <f>RAND()</f>
        <v/>
      </c>
      <c r="AD3633">
        <f>RAND()</f>
        <v/>
      </c>
      <c r="AE3633">
        <f>RAND()</f>
        <v/>
      </c>
      <c r="AF3633">
        <f>RAND()</f>
        <v/>
      </c>
    </row>
    <row r="3634">
      <c r="M3634" s="14">
        <f>_xlfn.BETA.INV($AA3634,1+4*($D$5-$C$5)/($E$5-$C$5),1+4*($E$5-$D$5)/($E$5-$C$5),$C$5,$E$5)</f>
        <v/>
      </c>
      <c r="N3634" s="14">
        <f>IF($AB3634&lt;($D$6-$C$6)/($E$6-$C$6),$C$6+SQRT($AB3634*($E$6-$C$6)*($D$6-$C$6)),$E$6-SQRT((1-$AB3634)*($E$6-$C$6)*($E$6-$D$6)))</f>
        <v/>
      </c>
      <c r="O3634" s="14">
        <f>_xlfn.NORM.INV($AC3634,$C$7,$D$7)</f>
        <v/>
      </c>
      <c r="P3634" s="14">
        <f>$C$8+($D$8-$C$8)*$AD3634</f>
        <v/>
      </c>
      <c r="Q3634" s="14">
        <f>$C$9</f>
        <v/>
      </c>
      <c r="R3634" s="14">
        <f>_xlfn.LOGNORM.INV($AF3634,LN($C$10)-0.5*LN(1+($D$10/$C$10)^2),SQRT(LN(1+($D$10/$C$10)^2)))</f>
        <v/>
      </c>
      <c r="S3634" s="14">
        <f>SUM(M3634:R3634)</f>
        <v/>
      </c>
      <c r="AA3634">
        <f>RAND()</f>
        <v/>
      </c>
      <c r="AB3634">
        <f>RAND()</f>
        <v/>
      </c>
      <c r="AC3634">
        <f>RAND()</f>
        <v/>
      </c>
      <c r="AD3634">
        <f>RAND()</f>
        <v/>
      </c>
      <c r="AE3634">
        <f>RAND()</f>
        <v/>
      </c>
      <c r="AF3634">
        <f>RAND()</f>
        <v/>
      </c>
    </row>
    <row r="3635">
      <c r="M3635" s="14">
        <f>_xlfn.BETA.INV($AA3635,1+4*($D$5-$C$5)/($E$5-$C$5),1+4*($E$5-$D$5)/($E$5-$C$5),$C$5,$E$5)</f>
        <v/>
      </c>
      <c r="N3635" s="14">
        <f>IF($AB3635&lt;($D$6-$C$6)/($E$6-$C$6),$C$6+SQRT($AB3635*($E$6-$C$6)*($D$6-$C$6)),$E$6-SQRT((1-$AB3635)*($E$6-$C$6)*($E$6-$D$6)))</f>
        <v/>
      </c>
      <c r="O3635" s="14">
        <f>_xlfn.NORM.INV($AC3635,$C$7,$D$7)</f>
        <v/>
      </c>
      <c r="P3635" s="14">
        <f>$C$8+($D$8-$C$8)*$AD3635</f>
        <v/>
      </c>
      <c r="Q3635" s="14">
        <f>$C$9</f>
        <v/>
      </c>
      <c r="R3635" s="14">
        <f>_xlfn.LOGNORM.INV($AF3635,LN($C$10)-0.5*LN(1+($D$10/$C$10)^2),SQRT(LN(1+($D$10/$C$10)^2)))</f>
        <v/>
      </c>
      <c r="S3635" s="14">
        <f>SUM(M3635:R3635)</f>
        <v/>
      </c>
      <c r="AA3635">
        <f>RAND()</f>
        <v/>
      </c>
      <c r="AB3635">
        <f>RAND()</f>
        <v/>
      </c>
      <c r="AC3635">
        <f>RAND()</f>
        <v/>
      </c>
      <c r="AD3635">
        <f>RAND()</f>
        <v/>
      </c>
      <c r="AE3635">
        <f>RAND()</f>
        <v/>
      </c>
      <c r="AF3635">
        <f>RAND()</f>
        <v/>
      </c>
    </row>
    <row r="3636">
      <c r="M3636" s="14">
        <f>_xlfn.BETA.INV($AA3636,1+4*($D$5-$C$5)/($E$5-$C$5),1+4*($E$5-$D$5)/($E$5-$C$5),$C$5,$E$5)</f>
        <v/>
      </c>
      <c r="N3636" s="14">
        <f>IF($AB3636&lt;($D$6-$C$6)/($E$6-$C$6),$C$6+SQRT($AB3636*($E$6-$C$6)*($D$6-$C$6)),$E$6-SQRT((1-$AB3636)*($E$6-$C$6)*($E$6-$D$6)))</f>
        <v/>
      </c>
      <c r="O3636" s="14">
        <f>_xlfn.NORM.INV($AC3636,$C$7,$D$7)</f>
        <v/>
      </c>
      <c r="P3636" s="14">
        <f>$C$8+($D$8-$C$8)*$AD3636</f>
        <v/>
      </c>
      <c r="Q3636" s="14">
        <f>$C$9</f>
        <v/>
      </c>
      <c r="R3636" s="14">
        <f>_xlfn.LOGNORM.INV($AF3636,LN($C$10)-0.5*LN(1+($D$10/$C$10)^2),SQRT(LN(1+($D$10/$C$10)^2)))</f>
        <v/>
      </c>
      <c r="S3636" s="14">
        <f>SUM(M3636:R3636)</f>
        <v/>
      </c>
      <c r="AA3636">
        <f>RAND()</f>
        <v/>
      </c>
      <c r="AB3636">
        <f>RAND()</f>
        <v/>
      </c>
      <c r="AC3636">
        <f>RAND()</f>
        <v/>
      </c>
      <c r="AD3636">
        <f>RAND()</f>
        <v/>
      </c>
      <c r="AE3636">
        <f>RAND()</f>
        <v/>
      </c>
      <c r="AF3636">
        <f>RAND()</f>
        <v/>
      </c>
    </row>
    <row r="3637">
      <c r="M3637" s="14">
        <f>_xlfn.BETA.INV($AA3637,1+4*($D$5-$C$5)/($E$5-$C$5),1+4*($E$5-$D$5)/($E$5-$C$5),$C$5,$E$5)</f>
        <v/>
      </c>
      <c r="N3637" s="14">
        <f>IF($AB3637&lt;($D$6-$C$6)/($E$6-$C$6),$C$6+SQRT($AB3637*($E$6-$C$6)*($D$6-$C$6)),$E$6-SQRT((1-$AB3637)*($E$6-$C$6)*($E$6-$D$6)))</f>
        <v/>
      </c>
      <c r="O3637" s="14">
        <f>_xlfn.NORM.INV($AC3637,$C$7,$D$7)</f>
        <v/>
      </c>
      <c r="P3637" s="14">
        <f>$C$8+($D$8-$C$8)*$AD3637</f>
        <v/>
      </c>
      <c r="Q3637" s="14">
        <f>$C$9</f>
        <v/>
      </c>
      <c r="R3637" s="14">
        <f>_xlfn.LOGNORM.INV($AF3637,LN($C$10)-0.5*LN(1+($D$10/$C$10)^2),SQRT(LN(1+($D$10/$C$10)^2)))</f>
        <v/>
      </c>
      <c r="S3637" s="14">
        <f>SUM(M3637:R3637)</f>
        <v/>
      </c>
      <c r="AA3637">
        <f>RAND()</f>
        <v/>
      </c>
      <c r="AB3637">
        <f>RAND()</f>
        <v/>
      </c>
      <c r="AC3637">
        <f>RAND()</f>
        <v/>
      </c>
      <c r="AD3637">
        <f>RAND()</f>
        <v/>
      </c>
      <c r="AE3637">
        <f>RAND()</f>
        <v/>
      </c>
      <c r="AF3637">
        <f>RAND()</f>
        <v/>
      </c>
    </row>
    <row r="3638">
      <c r="M3638" s="14">
        <f>_xlfn.BETA.INV($AA3638,1+4*($D$5-$C$5)/($E$5-$C$5),1+4*($E$5-$D$5)/($E$5-$C$5),$C$5,$E$5)</f>
        <v/>
      </c>
      <c r="N3638" s="14">
        <f>IF($AB3638&lt;($D$6-$C$6)/($E$6-$C$6),$C$6+SQRT($AB3638*($E$6-$C$6)*($D$6-$C$6)),$E$6-SQRT((1-$AB3638)*($E$6-$C$6)*($E$6-$D$6)))</f>
        <v/>
      </c>
      <c r="O3638" s="14">
        <f>_xlfn.NORM.INV($AC3638,$C$7,$D$7)</f>
        <v/>
      </c>
      <c r="P3638" s="14">
        <f>$C$8+($D$8-$C$8)*$AD3638</f>
        <v/>
      </c>
      <c r="Q3638" s="14">
        <f>$C$9</f>
        <v/>
      </c>
      <c r="R3638" s="14">
        <f>_xlfn.LOGNORM.INV($AF3638,LN($C$10)-0.5*LN(1+($D$10/$C$10)^2),SQRT(LN(1+($D$10/$C$10)^2)))</f>
        <v/>
      </c>
      <c r="S3638" s="14">
        <f>SUM(M3638:R3638)</f>
        <v/>
      </c>
      <c r="AA3638">
        <f>RAND()</f>
        <v/>
      </c>
      <c r="AB3638">
        <f>RAND()</f>
        <v/>
      </c>
      <c r="AC3638">
        <f>RAND()</f>
        <v/>
      </c>
      <c r="AD3638">
        <f>RAND()</f>
        <v/>
      </c>
      <c r="AE3638">
        <f>RAND()</f>
        <v/>
      </c>
      <c r="AF3638">
        <f>RAND()</f>
        <v/>
      </c>
    </row>
    <row r="3639">
      <c r="M3639" s="14">
        <f>_xlfn.BETA.INV($AA3639,1+4*($D$5-$C$5)/($E$5-$C$5),1+4*($E$5-$D$5)/($E$5-$C$5),$C$5,$E$5)</f>
        <v/>
      </c>
      <c r="N3639" s="14">
        <f>IF($AB3639&lt;($D$6-$C$6)/($E$6-$C$6),$C$6+SQRT($AB3639*($E$6-$C$6)*($D$6-$C$6)),$E$6-SQRT((1-$AB3639)*($E$6-$C$6)*($E$6-$D$6)))</f>
        <v/>
      </c>
      <c r="O3639" s="14">
        <f>_xlfn.NORM.INV($AC3639,$C$7,$D$7)</f>
        <v/>
      </c>
      <c r="P3639" s="14">
        <f>$C$8+($D$8-$C$8)*$AD3639</f>
        <v/>
      </c>
      <c r="Q3639" s="14">
        <f>$C$9</f>
        <v/>
      </c>
      <c r="R3639" s="14">
        <f>_xlfn.LOGNORM.INV($AF3639,LN($C$10)-0.5*LN(1+($D$10/$C$10)^2),SQRT(LN(1+($D$10/$C$10)^2)))</f>
        <v/>
      </c>
      <c r="S3639" s="14">
        <f>SUM(M3639:R3639)</f>
        <v/>
      </c>
      <c r="AA3639">
        <f>RAND()</f>
        <v/>
      </c>
      <c r="AB3639">
        <f>RAND()</f>
        <v/>
      </c>
      <c r="AC3639">
        <f>RAND()</f>
        <v/>
      </c>
      <c r="AD3639">
        <f>RAND()</f>
        <v/>
      </c>
      <c r="AE3639">
        <f>RAND()</f>
        <v/>
      </c>
      <c r="AF3639">
        <f>RAND()</f>
        <v/>
      </c>
    </row>
    <row r="3640">
      <c r="M3640" s="14">
        <f>_xlfn.BETA.INV($AA3640,1+4*($D$5-$C$5)/($E$5-$C$5),1+4*($E$5-$D$5)/($E$5-$C$5),$C$5,$E$5)</f>
        <v/>
      </c>
      <c r="N3640" s="14">
        <f>IF($AB3640&lt;($D$6-$C$6)/($E$6-$C$6),$C$6+SQRT($AB3640*($E$6-$C$6)*($D$6-$C$6)),$E$6-SQRT((1-$AB3640)*($E$6-$C$6)*($E$6-$D$6)))</f>
        <v/>
      </c>
      <c r="O3640" s="14">
        <f>_xlfn.NORM.INV($AC3640,$C$7,$D$7)</f>
        <v/>
      </c>
      <c r="P3640" s="14">
        <f>$C$8+($D$8-$C$8)*$AD3640</f>
        <v/>
      </c>
      <c r="Q3640" s="14">
        <f>$C$9</f>
        <v/>
      </c>
      <c r="R3640" s="14">
        <f>_xlfn.LOGNORM.INV($AF3640,LN($C$10)-0.5*LN(1+($D$10/$C$10)^2),SQRT(LN(1+($D$10/$C$10)^2)))</f>
        <v/>
      </c>
      <c r="S3640" s="14">
        <f>SUM(M3640:R3640)</f>
        <v/>
      </c>
      <c r="AA3640">
        <f>RAND()</f>
        <v/>
      </c>
      <c r="AB3640">
        <f>RAND()</f>
        <v/>
      </c>
      <c r="AC3640">
        <f>RAND()</f>
        <v/>
      </c>
      <c r="AD3640">
        <f>RAND()</f>
        <v/>
      </c>
      <c r="AE3640">
        <f>RAND()</f>
        <v/>
      </c>
      <c r="AF3640">
        <f>RAND()</f>
        <v/>
      </c>
    </row>
    <row r="3641">
      <c r="M3641" s="14">
        <f>_xlfn.BETA.INV($AA3641,1+4*($D$5-$C$5)/($E$5-$C$5),1+4*($E$5-$D$5)/($E$5-$C$5),$C$5,$E$5)</f>
        <v/>
      </c>
      <c r="N3641" s="14">
        <f>IF($AB3641&lt;($D$6-$C$6)/($E$6-$C$6),$C$6+SQRT($AB3641*($E$6-$C$6)*($D$6-$C$6)),$E$6-SQRT((1-$AB3641)*($E$6-$C$6)*($E$6-$D$6)))</f>
        <v/>
      </c>
      <c r="O3641" s="14">
        <f>_xlfn.NORM.INV($AC3641,$C$7,$D$7)</f>
        <v/>
      </c>
      <c r="P3641" s="14">
        <f>$C$8+($D$8-$C$8)*$AD3641</f>
        <v/>
      </c>
      <c r="Q3641" s="14">
        <f>$C$9</f>
        <v/>
      </c>
      <c r="R3641" s="14">
        <f>_xlfn.LOGNORM.INV($AF3641,LN($C$10)-0.5*LN(1+($D$10/$C$10)^2),SQRT(LN(1+($D$10/$C$10)^2)))</f>
        <v/>
      </c>
      <c r="S3641" s="14">
        <f>SUM(M3641:R3641)</f>
        <v/>
      </c>
      <c r="AA3641">
        <f>RAND()</f>
        <v/>
      </c>
      <c r="AB3641">
        <f>RAND()</f>
        <v/>
      </c>
      <c r="AC3641">
        <f>RAND()</f>
        <v/>
      </c>
      <c r="AD3641">
        <f>RAND()</f>
        <v/>
      </c>
      <c r="AE3641">
        <f>RAND()</f>
        <v/>
      </c>
      <c r="AF3641">
        <f>RAND()</f>
        <v/>
      </c>
    </row>
    <row r="3642">
      <c r="M3642" s="14">
        <f>_xlfn.BETA.INV($AA3642,1+4*($D$5-$C$5)/($E$5-$C$5),1+4*($E$5-$D$5)/($E$5-$C$5),$C$5,$E$5)</f>
        <v/>
      </c>
      <c r="N3642" s="14">
        <f>IF($AB3642&lt;($D$6-$C$6)/($E$6-$C$6),$C$6+SQRT($AB3642*($E$6-$C$6)*($D$6-$C$6)),$E$6-SQRT((1-$AB3642)*($E$6-$C$6)*($E$6-$D$6)))</f>
        <v/>
      </c>
      <c r="O3642" s="14">
        <f>_xlfn.NORM.INV($AC3642,$C$7,$D$7)</f>
        <v/>
      </c>
      <c r="P3642" s="14">
        <f>$C$8+($D$8-$C$8)*$AD3642</f>
        <v/>
      </c>
      <c r="Q3642" s="14">
        <f>$C$9</f>
        <v/>
      </c>
      <c r="R3642" s="14">
        <f>_xlfn.LOGNORM.INV($AF3642,LN($C$10)-0.5*LN(1+($D$10/$C$10)^2),SQRT(LN(1+($D$10/$C$10)^2)))</f>
        <v/>
      </c>
      <c r="S3642" s="14">
        <f>SUM(M3642:R3642)</f>
        <v/>
      </c>
      <c r="AA3642">
        <f>RAND()</f>
        <v/>
      </c>
      <c r="AB3642">
        <f>RAND()</f>
        <v/>
      </c>
      <c r="AC3642">
        <f>RAND()</f>
        <v/>
      </c>
      <c r="AD3642">
        <f>RAND()</f>
        <v/>
      </c>
      <c r="AE3642">
        <f>RAND()</f>
        <v/>
      </c>
      <c r="AF3642">
        <f>RAND()</f>
        <v/>
      </c>
    </row>
    <row r="3643">
      <c r="M3643" s="14">
        <f>_xlfn.BETA.INV($AA3643,1+4*($D$5-$C$5)/($E$5-$C$5),1+4*($E$5-$D$5)/($E$5-$C$5),$C$5,$E$5)</f>
        <v/>
      </c>
      <c r="N3643" s="14">
        <f>IF($AB3643&lt;($D$6-$C$6)/($E$6-$C$6),$C$6+SQRT($AB3643*($E$6-$C$6)*($D$6-$C$6)),$E$6-SQRT((1-$AB3643)*($E$6-$C$6)*($E$6-$D$6)))</f>
        <v/>
      </c>
      <c r="O3643" s="14">
        <f>_xlfn.NORM.INV($AC3643,$C$7,$D$7)</f>
        <v/>
      </c>
      <c r="P3643" s="14">
        <f>$C$8+($D$8-$C$8)*$AD3643</f>
        <v/>
      </c>
      <c r="Q3643" s="14">
        <f>$C$9</f>
        <v/>
      </c>
      <c r="R3643" s="14">
        <f>_xlfn.LOGNORM.INV($AF3643,LN($C$10)-0.5*LN(1+($D$10/$C$10)^2),SQRT(LN(1+($D$10/$C$10)^2)))</f>
        <v/>
      </c>
      <c r="S3643" s="14">
        <f>SUM(M3643:R3643)</f>
        <v/>
      </c>
      <c r="AA3643">
        <f>RAND()</f>
        <v/>
      </c>
      <c r="AB3643">
        <f>RAND()</f>
        <v/>
      </c>
      <c r="AC3643">
        <f>RAND()</f>
        <v/>
      </c>
      <c r="AD3643">
        <f>RAND()</f>
        <v/>
      </c>
      <c r="AE3643">
        <f>RAND()</f>
        <v/>
      </c>
      <c r="AF3643">
        <f>RAND()</f>
        <v/>
      </c>
    </row>
    <row r="3644">
      <c r="M3644" s="14">
        <f>_xlfn.BETA.INV($AA3644,1+4*($D$5-$C$5)/($E$5-$C$5),1+4*($E$5-$D$5)/($E$5-$C$5),$C$5,$E$5)</f>
        <v/>
      </c>
      <c r="N3644" s="14">
        <f>IF($AB3644&lt;($D$6-$C$6)/($E$6-$C$6),$C$6+SQRT($AB3644*($E$6-$C$6)*($D$6-$C$6)),$E$6-SQRT((1-$AB3644)*($E$6-$C$6)*($E$6-$D$6)))</f>
        <v/>
      </c>
      <c r="O3644" s="14">
        <f>_xlfn.NORM.INV($AC3644,$C$7,$D$7)</f>
        <v/>
      </c>
      <c r="P3644" s="14">
        <f>$C$8+($D$8-$C$8)*$AD3644</f>
        <v/>
      </c>
      <c r="Q3644" s="14">
        <f>$C$9</f>
        <v/>
      </c>
      <c r="R3644" s="14">
        <f>_xlfn.LOGNORM.INV($AF3644,LN($C$10)-0.5*LN(1+($D$10/$C$10)^2),SQRT(LN(1+($D$10/$C$10)^2)))</f>
        <v/>
      </c>
      <c r="S3644" s="14">
        <f>SUM(M3644:R3644)</f>
        <v/>
      </c>
      <c r="AA3644">
        <f>RAND()</f>
        <v/>
      </c>
      <c r="AB3644">
        <f>RAND()</f>
        <v/>
      </c>
      <c r="AC3644">
        <f>RAND()</f>
        <v/>
      </c>
      <c r="AD3644">
        <f>RAND()</f>
        <v/>
      </c>
      <c r="AE3644">
        <f>RAND()</f>
        <v/>
      </c>
      <c r="AF3644">
        <f>RAND()</f>
        <v/>
      </c>
    </row>
    <row r="3645">
      <c r="M3645" s="14">
        <f>_xlfn.BETA.INV($AA3645,1+4*($D$5-$C$5)/($E$5-$C$5),1+4*($E$5-$D$5)/($E$5-$C$5),$C$5,$E$5)</f>
        <v/>
      </c>
      <c r="N3645" s="14">
        <f>IF($AB3645&lt;($D$6-$C$6)/($E$6-$C$6),$C$6+SQRT($AB3645*($E$6-$C$6)*($D$6-$C$6)),$E$6-SQRT((1-$AB3645)*($E$6-$C$6)*($E$6-$D$6)))</f>
        <v/>
      </c>
      <c r="O3645" s="14">
        <f>_xlfn.NORM.INV($AC3645,$C$7,$D$7)</f>
        <v/>
      </c>
      <c r="P3645" s="14">
        <f>$C$8+($D$8-$C$8)*$AD3645</f>
        <v/>
      </c>
      <c r="Q3645" s="14">
        <f>$C$9</f>
        <v/>
      </c>
      <c r="R3645" s="14">
        <f>_xlfn.LOGNORM.INV($AF3645,LN($C$10)-0.5*LN(1+($D$10/$C$10)^2),SQRT(LN(1+($D$10/$C$10)^2)))</f>
        <v/>
      </c>
      <c r="S3645" s="14">
        <f>SUM(M3645:R3645)</f>
        <v/>
      </c>
      <c r="AA3645">
        <f>RAND()</f>
        <v/>
      </c>
      <c r="AB3645">
        <f>RAND()</f>
        <v/>
      </c>
      <c r="AC3645">
        <f>RAND()</f>
        <v/>
      </c>
      <c r="AD3645">
        <f>RAND()</f>
        <v/>
      </c>
      <c r="AE3645">
        <f>RAND()</f>
        <v/>
      </c>
      <c r="AF3645">
        <f>RAND()</f>
        <v/>
      </c>
    </row>
    <row r="3646">
      <c r="M3646" s="14">
        <f>_xlfn.BETA.INV($AA3646,1+4*($D$5-$C$5)/($E$5-$C$5),1+4*($E$5-$D$5)/($E$5-$C$5),$C$5,$E$5)</f>
        <v/>
      </c>
      <c r="N3646" s="14">
        <f>IF($AB3646&lt;($D$6-$C$6)/($E$6-$C$6),$C$6+SQRT($AB3646*($E$6-$C$6)*($D$6-$C$6)),$E$6-SQRT((1-$AB3646)*($E$6-$C$6)*($E$6-$D$6)))</f>
        <v/>
      </c>
      <c r="O3646" s="14">
        <f>_xlfn.NORM.INV($AC3646,$C$7,$D$7)</f>
        <v/>
      </c>
      <c r="P3646" s="14">
        <f>$C$8+($D$8-$C$8)*$AD3646</f>
        <v/>
      </c>
      <c r="Q3646" s="14">
        <f>$C$9</f>
        <v/>
      </c>
      <c r="R3646" s="14">
        <f>_xlfn.LOGNORM.INV($AF3646,LN($C$10)-0.5*LN(1+($D$10/$C$10)^2),SQRT(LN(1+($D$10/$C$10)^2)))</f>
        <v/>
      </c>
      <c r="S3646" s="14">
        <f>SUM(M3646:R3646)</f>
        <v/>
      </c>
      <c r="AA3646">
        <f>RAND()</f>
        <v/>
      </c>
      <c r="AB3646">
        <f>RAND()</f>
        <v/>
      </c>
      <c r="AC3646">
        <f>RAND()</f>
        <v/>
      </c>
      <c r="AD3646">
        <f>RAND()</f>
        <v/>
      </c>
      <c r="AE3646">
        <f>RAND()</f>
        <v/>
      </c>
      <c r="AF3646">
        <f>RAND()</f>
        <v/>
      </c>
    </row>
    <row r="3647">
      <c r="M3647" s="14">
        <f>_xlfn.BETA.INV($AA3647,1+4*($D$5-$C$5)/($E$5-$C$5),1+4*($E$5-$D$5)/($E$5-$C$5),$C$5,$E$5)</f>
        <v/>
      </c>
      <c r="N3647" s="14">
        <f>IF($AB3647&lt;($D$6-$C$6)/($E$6-$C$6),$C$6+SQRT($AB3647*($E$6-$C$6)*($D$6-$C$6)),$E$6-SQRT((1-$AB3647)*($E$6-$C$6)*($E$6-$D$6)))</f>
        <v/>
      </c>
      <c r="O3647" s="14">
        <f>_xlfn.NORM.INV($AC3647,$C$7,$D$7)</f>
        <v/>
      </c>
      <c r="P3647" s="14">
        <f>$C$8+($D$8-$C$8)*$AD3647</f>
        <v/>
      </c>
      <c r="Q3647" s="14">
        <f>$C$9</f>
        <v/>
      </c>
      <c r="R3647" s="14">
        <f>_xlfn.LOGNORM.INV($AF3647,LN($C$10)-0.5*LN(1+($D$10/$C$10)^2),SQRT(LN(1+($D$10/$C$10)^2)))</f>
        <v/>
      </c>
      <c r="S3647" s="14">
        <f>SUM(M3647:R3647)</f>
        <v/>
      </c>
      <c r="AA3647">
        <f>RAND()</f>
        <v/>
      </c>
      <c r="AB3647">
        <f>RAND()</f>
        <v/>
      </c>
      <c r="AC3647">
        <f>RAND()</f>
        <v/>
      </c>
      <c r="AD3647">
        <f>RAND()</f>
        <v/>
      </c>
      <c r="AE3647">
        <f>RAND()</f>
        <v/>
      </c>
      <c r="AF3647">
        <f>RAND()</f>
        <v/>
      </c>
    </row>
    <row r="3648">
      <c r="M3648" s="14">
        <f>_xlfn.BETA.INV($AA3648,1+4*($D$5-$C$5)/($E$5-$C$5),1+4*($E$5-$D$5)/($E$5-$C$5),$C$5,$E$5)</f>
        <v/>
      </c>
      <c r="N3648" s="14">
        <f>IF($AB3648&lt;($D$6-$C$6)/($E$6-$C$6),$C$6+SQRT($AB3648*($E$6-$C$6)*($D$6-$C$6)),$E$6-SQRT((1-$AB3648)*($E$6-$C$6)*($E$6-$D$6)))</f>
        <v/>
      </c>
      <c r="O3648" s="14">
        <f>_xlfn.NORM.INV($AC3648,$C$7,$D$7)</f>
        <v/>
      </c>
      <c r="P3648" s="14">
        <f>$C$8+($D$8-$C$8)*$AD3648</f>
        <v/>
      </c>
      <c r="Q3648" s="14">
        <f>$C$9</f>
        <v/>
      </c>
      <c r="R3648" s="14">
        <f>_xlfn.LOGNORM.INV($AF3648,LN($C$10)-0.5*LN(1+($D$10/$C$10)^2),SQRT(LN(1+($D$10/$C$10)^2)))</f>
        <v/>
      </c>
      <c r="S3648" s="14">
        <f>SUM(M3648:R3648)</f>
        <v/>
      </c>
      <c r="AA3648">
        <f>RAND()</f>
        <v/>
      </c>
      <c r="AB3648">
        <f>RAND()</f>
        <v/>
      </c>
      <c r="AC3648">
        <f>RAND()</f>
        <v/>
      </c>
      <c r="AD3648">
        <f>RAND()</f>
        <v/>
      </c>
      <c r="AE3648">
        <f>RAND()</f>
        <v/>
      </c>
      <c r="AF3648">
        <f>RAND()</f>
        <v/>
      </c>
    </row>
    <row r="3649">
      <c r="M3649" s="14">
        <f>_xlfn.BETA.INV($AA3649,1+4*($D$5-$C$5)/($E$5-$C$5),1+4*($E$5-$D$5)/($E$5-$C$5),$C$5,$E$5)</f>
        <v/>
      </c>
      <c r="N3649" s="14">
        <f>IF($AB3649&lt;($D$6-$C$6)/($E$6-$C$6),$C$6+SQRT($AB3649*($E$6-$C$6)*($D$6-$C$6)),$E$6-SQRT((1-$AB3649)*($E$6-$C$6)*($E$6-$D$6)))</f>
        <v/>
      </c>
      <c r="O3649" s="14">
        <f>_xlfn.NORM.INV($AC3649,$C$7,$D$7)</f>
        <v/>
      </c>
      <c r="P3649" s="14">
        <f>$C$8+($D$8-$C$8)*$AD3649</f>
        <v/>
      </c>
      <c r="Q3649" s="14">
        <f>$C$9</f>
        <v/>
      </c>
      <c r="R3649" s="14">
        <f>_xlfn.LOGNORM.INV($AF3649,LN($C$10)-0.5*LN(1+($D$10/$C$10)^2),SQRT(LN(1+($D$10/$C$10)^2)))</f>
        <v/>
      </c>
      <c r="S3649" s="14">
        <f>SUM(M3649:R3649)</f>
        <v/>
      </c>
      <c r="AA3649">
        <f>RAND()</f>
        <v/>
      </c>
      <c r="AB3649">
        <f>RAND()</f>
        <v/>
      </c>
      <c r="AC3649">
        <f>RAND()</f>
        <v/>
      </c>
      <c r="AD3649">
        <f>RAND()</f>
        <v/>
      </c>
      <c r="AE3649">
        <f>RAND()</f>
        <v/>
      </c>
      <c r="AF3649">
        <f>RAND()</f>
        <v/>
      </c>
    </row>
    <row r="3650">
      <c r="M3650" s="14">
        <f>_xlfn.BETA.INV($AA3650,1+4*($D$5-$C$5)/($E$5-$C$5),1+4*($E$5-$D$5)/($E$5-$C$5),$C$5,$E$5)</f>
        <v/>
      </c>
      <c r="N3650" s="14">
        <f>IF($AB3650&lt;($D$6-$C$6)/($E$6-$C$6),$C$6+SQRT($AB3650*($E$6-$C$6)*($D$6-$C$6)),$E$6-SQRT((1-$AB3650)*($E$6-$C$6)*($E$6-$D$6)))</f>
        <v/>
      </c>
      <c r="O3650" s="14">
        <f>_xlfn.NORM.INV($AC3650,$C$7,$D$7)</f>
        <v/>
      </c>
      <c r="P3650" s="14">
        <f>$C$8+($D$8-$C$8)*$AD3650</f>
        <v/>
      </c>
      <c r="Q3650" s="14">
        <f>$C$9</f>
        <v/>
      </c>
      <c r="R3650" s="14">
        <f>_xlfn.LOGNORM.INV($AF3650,LN($C$10)-0.5*LN(1+($D$10/$C$10)^2),SQRT(LN(1+($D$10/$C$10)^2)))</f>
        <v/>
      </c>
      <c r="S3650" s="14">
        <f>SUM(M3650:R3650)</f>
        <v/>
      </c>
      <c r="AA3650">
        <f>RAND()</f>
        <v/>
      </c>
      <c r="AB3650">
        <f>RAND()</f>
        <v/>
      </c>
      <c r="AC3650">
        <f>RAND()</f>
        <v/>
      </c>
      <c r="AD3650">
        <f>RAND()</f>
        <v/>
      </c>
      <c r="AE3650">
        <f>RAND()</f>
        <v/>
      </c>
      <c r="AF3650">
        <f>RAND()</f>
        <v/>
      </c>
    </row>
    <row r="3651">
      <c r="M3651" s="14">
        <f>_xlfn.BETA.INV($AA3651,1+4*($D$5-$C$5)/($E$5-$C$5),1+4*($E$5-$D$5)/($E$5-$C$5),$C$5,$E$5)</f>
        <v/>
      </c>
      <c r="N3651" s="14">
        <f>IF($AB3651&lt;($D$6-$C$6)/($E$6-$C$6),$C$6+SQRT($AB3651*($E$6-$C$6)*($D$6-$C$6)),$E$6-SQRT((1-$AB3651)*($E$6-$C$6)*($E$6-$D$6)))</f>
        <v/>
      </c>
      <c r="O3651" s="14">
        <f>_xlfn.NORM.INV($AC3651,$C$7,$D$7)</f>
        <v/>
      </c>
      <c r="P3651" s="14">
        <f>$C$8+($D$8-$C$8)*$AD3651</f>
        <v/>
      </c>
      <c r="Q3651" s="14">
        <f>$C$9</f>
        <v/>
      </c>
      <c r="R3651" s="14">
        <f>_xlfn.LOGNORM.INV($AF3651,LN($C$10)-0.5*LN(1+($D$10/$C$10)^2),SQRT(LN(1+($D$10/$C$10)^2)))</f>
        <v/>
      </c>
      <c r="S3651" s="14">
        <f>SUM(M3651:R3651)</f>
        <v/>
      </c>
      <c r="AA3651">
        <f>RAND()</f>
        <v/>
      </c>
      <c r="AB3651">
        <f>RAND()</f>
        <v/>
      </c>
      <c r="AC3651">
        <f>RAND()</f>
        <v/>
      </c>
      <c r="AD3651">
        <f>RAND()</f>
        <v/>
      </c>
      <c r="AE3651">
        <f>RAND()</f>
        <v/>
      </c>
      <c r="AF3651">
        <f>RAND()</f>
        <v/>
      </c>
    </row>
    <row r="3652">
      <c r="M3652" s="14">
        <f>_xlfn.BETA.INV($AA3652,1+4*($D$5-$C$5)/($E$5-$C$5),1+4*($E$5-$D$5)/($E$5-$C$5),$C$5,$E$5)</f>
        <v/>
      </c>
      <c r="N3652" s="14">
        <f>IF($AB3652&lt;($D$6-$C$6)/($E$6-$C$6),$C$6+SQRT($AB3652*($E$6-$C$6)*($D$6-$C$6)),$E$6-SQRT((1-$AB3652)*($E$6-$C$6)*($E$6-$D$6)))</f>
        <v/>
      </c>
      <c r="O3652" s="14">
        <f>_xlfn.NORM.INV($AC3652,$C$7,$D$7)</f>
        <v/>
      </c>
      <c r="P3652" s="14">
        <f>$C$8+($D$8-$C$8)*$AD3652</f>
        <v/>
      </c>
      <c r="Q3652" s="14">
        <f>$C$9</f>
        <v/>
      </c>
      <c r="R3652" s="14">
        <f>_xlfn.LOGNORM.INV($AF3652,LN($C$10)-0.5*LN(1+($D$10/$C$10)^2),SQRT(LN(1+($D$10/$C$10)^2)))</f>
        <v/>
      </c>
      <c r="S3652" s="14">
        <f>SUM(M3652:R3652)</f>
        <v/>
      </c>
      <c r="AA3652">
        <f>RAND()</f>
        <v/>
      </c>
      <c r="AB3652">
        <f>RAND()</f>
        <v/>
      </c>
      <c r="AC3652">
        <f>RAND()</f>
        <v/>
      </c>
      <c r="AD3652">
        <f>RAND()</f>
        <v/>
      </c>
      <c r="AE3652">
        <f>RAND()</f>
        <v/>
      </c>
      <c r="AF3652">
        <f>RAND()</f>
        <v/>
      </c>
    </row>
    <row r="3653">
      <c r="M3653" s="14">
        <f>_xlfn.BETA.INV($AA3653,1+4*($D$5-$C$5)/($E$5-$C$5),1+4*($E$5-$D$5)/($E$5-$C$5),$C$5,$E$5)</f>
        <v/>
      </c>
      <c r="N3653" s="14">
        <f>IF($AB3653&lt;($D$6-$C$6)/($E$6-$C$6),$C$6+SQRT($AB3653*($E$6-$C$6)*($D$6-$C$6)),$E$6-SQRT((1-$AB3653)*($E$6-$C$6)*($E$6-$D$6)))</f>
        <v/>
      </c>
      <c r="O3653" s="14">
        <f>_xlfn.NORM.INV($AC3653,$C$7,$D$7)</f>
        <v/>
      </c>
      <c r="P3653" s="14">
        <f>$C$8+($D$8-$C$8)*$AD3653</f>
        <v/>
      </c>
      <c r="Q3653" s="14">
        <f>$C$9</f>
        <v/>
      </c>
      <c r="R3653" s="14">
        <f>_xlfn.LOGNORM.INV($AF3653,LN($C$10)-0.5*LN(1+($D$10/$C$10)^2),SQRT(LN(1+($D$10/$C$10)^2)))</f>
        <v/>
      </c>
      <c r="S3653" s="14">
        <f>SUM(M3653:R3653)</f>
        <v/>
      </c>
      <c r="AA3653">
        <f>RAND()</f>
        <v/>
      </c>
      <c r="AB3653">
        <f>RAND()</f>
        <v/>
      </c>
      <c r="AC3653">
        <f>RAND()</f>
        <v/>
      </c>
      <c r="AD3653">
        <f>RAND()</f>
        <v/>
      </c>
      <c r="AE3653">
        <f>RAND()</f>
        <v/>
      </c>
      <c r="AF3653">
        <f>RAND()</f>
        <v/>
      </c>
    </row>
    <row r="3654">
      <c r="M3654" s="14">
        <f>_xlfn.BETA.INV($AA3654,1+4*($D$5-$C$5)/($E$5-$C$5),1+4*($E$5-$D$5)/($E$5-$C$5),$C$5,$E$5)</f>
        <v/>
      </c>
      <c r="N3654" s="14">
        <f>IF($AB3654&lt;($D$6-$C$6)/($E$6-$C$6),$C$6+SQRT($AB3654*($E$6-$C$6)*($D$6-$C$6)),$E$6-SQRT((1-$AB3654)*($E$6-$C$6)*($E$6-$D$6)))</f>
        <v/>
      </c>
      <c r="O3654" s="14">
        <f>_xlfn.NORM.INV($AC3654,$C$7,$D$7)</f>
        <v/>
      </c>
      <c r="P3654" s="14">
        <f>$C$8+($D$8-$C$8)*$AD3654</f>
        <v/>
      </c>
      <c r="Q3654" s="14">
        <f>$C$9</f>
        <v/>
      </c>
      <c r="R3654" s="14">
        <f>_xlfn.LOGNORM.INV($AF3654,LN($C$10)-0.5*LN(1+($D$10/$C$10)^2),SQRT(LN(1+($D$10/$C$10)^2)))</f>
        <v/>
      </c>
      <c r="S3654" s="14">
        <f>SUM(M3654:R3654)</f>
        <v/>
      </c>
      <c r="AA3654">
        <f>RAND()</f>
        <v/>
      </c>
      <c r="AB3654">
        <f>RAND()</f>
        <v/>
      </c>
      <c r="AC3654">
        <f>RAND()</f>
        <v/>
      </c>
      <c r="AD3654">
        <f>RAND()</f>
        <v/>
      </c>
      <c r="AE3654">
        <f>RAND()</f>
        <v/>
      </c>
      <c r="AF3654">
        <f>RAND()</f>
        <v/>
      </c>
    </row>
    <row r="3655">
      <c r="M3655" s="14">
        <f>_xlfn.BETA.INV($AA3655,1+4*($D$5-$C$5)/($E$5-$C$5),1+4*($E$5-$D$5)/($E$5-$C$5),$C$5,$E$5)</f>
        <v/>
      </c>
      <c r="N3655" s="14">
        <f>IF($AB3655&lt;($D$6-$C$6)/($E$6-$C$6),$C$6+SQRT($AB3655*($E$6-$C$6)*($D$6-$C$6)),$E$6-SQRT((1-$AB3655)*($E$6-$C$6)*($E$6-$D$6)))</f>
        <v/>
      </c>
      <c r="O3655" s="14">
        <f>_xlfn.NORM.INV($AC3655,$C$7,$D$7)</f>
        <v/>
      </c>
      <c r="P3655" s="14">
        <f>$C$8+($D$8-$C$8)*$AD3655</f>
        <v/>
      </c>
      <c r="Q3655" s="14">
        <f>$C$9</f>
        <v/>
      </c>
      <c r="R3655" s="14">
        <f>_xlfn.LOGNORM.INV($AF3655,LN($C$10)-0.5*LN(1+($D$10/$C$10)^2),SQRT(LN(1+($D$10/$C$10)^2)))</f>
        <v/>
      </c>
      <c r="S3655" s="14">
        <f>SUM(M3655:R3655)</f>
        <v/>
      </c>
      <c r="AA3655">
        <f>RAND()</f>
        <v/>
      </c>
      <c r="AB3655">
        <f>RAND()</f>
        <v/>
      </c>
      <c r="AC3655">
        <f>RAND()</f>
        <v/>
      </c>
      <c r="AD3655">
        <f>RAND()</f>
        <v/>
      </c>
      <c r="AE3655">
        <f>RAND()</f>
        <v/>
      </c>
      <c r="AF3655">
        <f>RAND()</f>
        <v/>
      </c>
    </row>
    <row r="3656">
      <c r="M3656" s="14">
        <f>_xlfn.BETA.INV($AA3656,1+4*($D$5-$C$5)/($E$5-$C$5),1+4*($E$5-$D$5)/($E$5-$C$5),$C$5,$E$5)</f>
        <v/>
      </c>
      <c r="N3656" s="14">
        <f>IF($AB3656&lt;($D$6-$C$6)/($E$6-$C$6),$C$6+SQRT($AB3656*($E$6-$C$6)*($D$6-$C$6)),$E$6-SQRT((1-$AB3656)*($E$6-$C$6)*($E$6-$D$6)))</f>
        <v/>
      </c>
      <c r="O3656" s="14">
        <f>_xlfn.NORM.INV($AC3656,$C$7,$D$7)</f>
        <v/>
      </c>
      <c r="P3656" s="14">
        <f>$C$8+($D$8-$C$8)*$AD3656</f>
        <v/>
      </c>
      <c r="Q3656" s="14">
        <f>$C$9</f>
        <v/>
      </c>
      <c r="R3656" s="14">
        <f>_xlfn.LOGNORM.INV($AF3656,LN($C$10)-0.5*LN(1+($D$10/$C$10)^2),SQRT(LN(1+($D$10/$C$10)^2)))</f>
        <v/>
      </c>
      <c r="S3656" s="14">
        <f>SUM(M3656:R3656)</f>
        <v/>
      </c>
      <c r="AA3656">
        <f>RAND()</f>
        <v/>
      </c>
      <c r="AB3656">
        <f>RAND()</f>
        <v/>
      </c>
      <c r="AC3656">
        <f>RAND()</f>
        <v/>
      </c>
      <c r="AD3656">
        <f>RAND()</f>
        <v/>
      </c>
      <c r="AE3656">
        <f>RAND()</f>
        <v/>
      </c>
      <c r="AF3656">
        <f>RAND()</f>
        <v/>
      </c>
    </row>
    <row r="3657">
      <c r="M3657" s="14">
        <f>_xlfn.BETA.INV($AA3657,1+4*($D$5-$C$5)/($E$5-$C$5),1+4*($E$5-$D$5)/($E$5-$C$5),$C$5,$E$5)</f>
        <v/>
      </c>
      <c r="N3657" s="14">
        <f>IF($AB3657&lt;($D$6-$C$6)/($E$6-$C$6),$C$6+SQRT($AB3657*($E$6-$C$6)*($D$6-$C$6)),$E$6-SQRT((1-$AB3657)*($E$6-$C$6)*($E$6-$D$6)))</f>
        <v/>
      </c>
      <c r="O3657" s="14">
        <f>_xlfn.NORM.INV($AC3657,$C$7,$D$7)</f>
        <v/>
      </c>
      <c r="P3657" s="14">
        <f>$C$8+($D$8-$C$8)*$AD3657</f>
        <v/>
      </c>
      <c r="Q3657" s="14">
        <f>$C$9</f>
        <v/>
      </c>
      <c r="R3657" s="14">
        <f>_xlfn.LOGNORM.INV($AF3657,LN($C$10)-0.5*LN(1+($D$10/$C$10)^2),SQRT(LN(1+($D$10/$C$10)^2)))</f>
        <v/>
      </c>
      <c r="S3657" s="14">
        <f>SUM(M3657:R3657)</f>
        <v/>
      </c>
      <c r="AA3657">
        <f>RAND()</f>
        <v/>
      </c>
      <c r="AB3657">
        <f>RAND()</f>
        <v/>
      </c>
      <c r="AC3657">
        <f>RAND()</f>
        <v/>
      </c>
      <c r="AD3657">
        <f>RAND()</f>
        <v/>
      </c>
      <c r="AE3657">
        <f>RAND()</f>
        <v/>
      </c>
      <c r="AF3657">
        <f>RAND()</f>
        <v/>
      </c>
    </row>
    <row r="3658">
      <c r="M3658" s="14">
        <f>_xlfn.BETA.INV($AA3658,1+4*($D$5-$C$5)/($E$5-$C$5),1+4*($E$5-$D$5)/($E$5-$C$5),$C$5,$E$5)</f>
        <v/>
      </c>
      <c r="N3658" s="14">
        <f>IF($AB3658&lt;($D$6-$C$6)/($E$6-$C$6),$C$6+SQRT($AB3658*($E$6-$C$6)*($D$6-$C$6)),$E$6-SQRT((1-$AB3658)*($E$6-$C$6)*($E$6-$D$6)))</f>
        <v/>
      </c>
      <c r="O3658" s="14">
        <f>_xlfn.NORM.INV($AC3658,$C$7,$D$7)</f>
        <v/>
      </c>
      <c r="P3658" s="14">
        <f>$C$8+($D$8-$C$8)*$AD3658</f>
        <v/>
      </c>
      <c r="Q3658" s="14">
        <f>$C$9</f>
        <v/>
      </c>
      <c r="R3658" s="14">
        <f>_xlfn.LOGNORM.INV($AF3658,LN($C$10)-0.5*LN(1+($D$10/$C$10)^2),SQRT(LN(1+($D$10/$C$10)^2)))</f>
        <v/>
      </c>
      <c r="S3658" s="14">
        <f>SUM(M3658:R3658)</f>
        <v/>
      </c>
      <c r="AA3658">
        <f>RAND()</f>
        <v/>
      </c>
      <c r="AB3658">
        <f>RAND()</f>
        <v/>
      </c>
      <c r="AC3658">
        <f>RAND()</f>
        <v/>
      </c>
      <c r="AD3658">
        <f>RAND()</f>
        <v/>
      </c>
      <c r="AE3658">
        <f>RAND()</f>
        <v/>
      </c>
      <c r="AF3658">
        <f>RAND()</f>
        <v/>
      </c>
    </row>
    <row r="3659">
      <c r="M3659" s="14">
        <f>_xlfn.BETA.INV($AA3659,1+4*($D$5-$C$5)/($E$5-$C$5),1+4*($E$5-$D$5)/($E$5-$C$5),$C$5,$E$5)</f>
        <v/>
      </c>
      <c r="N3659" s="14">
        <f>IF($AB3659&lt;($D$6-$C$6)/($E$6-$C$6),$C$6+SQRT($AB3659*($E$6-$C$6)*($D$6-$C$6)),$E$6-SQRT((1-$AB3659)*($E$6-$C$6)*($E$6-$D$6)))</f>
        <v/>
      </c>
      <c r="O3659" s="14">
        <f>_xlfn.NORM.INV($AC3659,$C$7,$D$7)</f>
        <v/>
      </c>
      <c r="P3659" s="14">
        <f>$C$8+($D$8-$C$8)*$AD3659</f>
        <v/>
      </c>
      <c r="Q3659" s="14">
        <f>$C$9</f>
        <v/>
      </c>
      <c r="R3659" s="14">
        <f>_xlfn.LOGNORM.INV($AF3659,LN($C$10)-0.5*LN(1+($D$10/$C$10)^2),SQRT(LN(1+($D$10/$C$10)^2)))</f>
        <v/>
      </c>
      <c r="S3659" s="14">
        <f>SUM(M3659:R3659)</f>
        <v/>
      </c>
      <c r="AA3659">
        <f>RAND()</f>
        <v/>
      </c>
      <c r="AB3659">
        <f>RAND()</f>
        <v/>
      </c>
      <c r="AC3659">
        <f>RAND()</f>
        <v/>
      </c>
      <c r="AD3659">
        <f>RAND()</f>
        <v/>
      </c>
      <c r="AE3659">
        <f>RAND()</f>
        <v/>
      </c>
      <c r="AF3659">
        <f>RAND()</f>
        <v/>
      </c>
    </row>
    <row r="3660">
      <c r="M3660" s="14">
        <f>_xlfn.BETA.INV($AA3660,1+4*($D$5-$C$5)/($E$5-$C$5),1+4*($E$5-$D$5)/($E$5-$C$5),$C$5,$E$5)</f>
        <v/>
      </c>
      <c r="N3660" s="14">
        <f>IF($AB3660&lt;($D$6-$C$6)/($E$6-$C$6),$C$6+SQRT($AB3660*($E$6-$C$6)*($D$6-$C$6)),$E$6-SQRT((1-$AB3660)*($E$6-$C$6)*($E$6-$D$6)))</f>
        <v/>
      </c>
      <c r="O3660" s="14">
        <f>_xlfn.NORM.INV($AC3660,$C$7,$D$7)</f>
        <v/>
      </c>
      <c r="P3660" s="14">
        <f>$C$8+($D$8-$C$8)*$AD3660</f>
        <v/>
      </c>
      <c r="Q3660" s="14">
        <f>$C$9</f>
        <v/>
      </c>
      <c r="R3660" s="14">
        <f>_xlfn.LOGNORM.INV($AF3660,LN($C$10)-0.5*LN(1+($D$10/$C$10)^2),SQRT(LN(1+($D$10/$C$10)^2)))</f>
        <v/>
      </c>
      <c r="S3660" s="14">
        <f>SUM(M3660:R3660)</f>
        <v/>
      </c>
      <c r="AA3660">
        <f>RAND()</f>
        <v/>
      </c>
      <c r="AB3660">
        <f>RAND()</f>
        <v/>
      </c>
      <c r="AC3660">
        <f>RAND()</f>
        <v/>
      </c>
      <c r="AD3660">
        <f>RAND()</f>
        <v/>
      </c>
      <c r="AE3660">
        <f>RAND()</f>
        <v/>
      </c>
      <c r="AF3660">
        <f>RAND()</f>
        <v/>
      </c>
    </row>
    <row r="3661">
      <c r="M3661" s="14">
        <f>_xlfn.BETA.INV($AA3661,1+4*($D$5-$C$5)/($E$5-$C$5),1+4*($E$5-$D$5)/($E$5-$C$5),$C$5,$E$5)</f>
        <v/>
      </c>
      <c r="N3661" s="14">
        <f>IF($AB3661&lt;($D$6-$C$6)/($E$6-$C$6),$C$6+SQRT($AB3661*($E$6-$C$6)*($D$6-$C$6)),$E$6-SQRT((1-$AB3661)*($E$6-$C$6)*($E$6-$D$6)))</f>
        <v/>
      </c>
      <c r="O3661" s="14">
        <f>_xlfn.NORM.INV($AC3661,$C$7,$D$7)</f>
        <v/>
      </c>
      <c r="P3661" s="14">
        <f>$C$8+($D$8-$C$8)*$AD3661</f>
        <v/>
      </c>
      <c r="Q3661" s="14">
        <f>$C$9</f>
        <v/>
      </c>
      <c r="R3661" s="14">
        <f>_xlfn.LOGNORM.INV($AF3661,LN($C$10)-0.5*LN(1+($D$10/$C$10)^2),SQRT(LN(1+($D$10/$C$10)^2)))</f>
        <v/>
      </c>
      <c r="S3661" s="14">
        <f>SUM(M3661:R3661)</f>
        <v/>
      </c>
      <c r="AA3661">
        <f>RAND()</f>
        <v/>
      </c>
      <c r="AB3661">
        <f>RAND()</f>
        <v/>
      </c>
      <c r="AC3661">
        <f>RAND()</f>
        <v/>
      </c>
      <c r="AD3661">
        <f>RAND()</f>
        <v/>
      </c>
      <c r="AE3661">
        <f>RAND()</f>
        <v/>
      </c>
      <c r="AF3661">
        <f>RAND()</f>
        <v/>
      </c>
    </row>
    <row r="3662">
      <c r="M3662" s="14">
        <f>_xlfn.BETA.INV($AA3662,1+4*($D$5-$C$5)/($E$5-$C$5),1+4*($E$5-$D$5)/($E$5-$C$5),$C$5,$E$5)</f>
        <v/>
      </c>
      <c r="N3662" s="14">
        <f>IF($AB3662&lt;($D$6-$C$6)/($E$6-$C$6),$C$6+SQRT($AB3662*($E$6-$C$6)*($D$6-$C$6)),$E$6-SQRT((1-$AB3662)*($E$6-$C$6)*($E$6-$D$6)))</f>
        <v/>
      </c>
      <c r="O3662" s="14">
        <f>_xlfn.NORM.INV($AC3662,$C$7,$D$7)</f>
        <v/>
      </c>
      <c r="P3662" s="14">
        <f>$C$8+($D$8-$C$8)*$AD3662</f>
        <v/>
      </c>
      <c r="Q3662" s="14">
        <f>$C$9</f>
        <v/>
      </c>
      <c r="R3662" s="14">
        <f>_xlfn.LOGNORM.INV($AF3662,LN($C$10)-0.5*LN(1+($D$10/$C$10)^2),SQRT(LN(1+($D$10/$C$10)^2)))</f>
        <v/>
      </c>
      <c r="S3662" s="14">
        <f>SUM(M3662:R3662)</f>
        <v/>
      </c>
      <c r="AA3662">
        <f>RAND()</f>
        <v/>
      </c>
      <c r="AB3662">
        <f>RAND()</f>
        <v/>
      </c>
      <c r="AC3662">
        <f>RAND()</f>
        <v/>
      </c>
      <c r="AD3662">
        <f>RAND()</f>
        <v/>
      </c>
      <c r="AE3662">
        <f>RAND()</f>
        <v/>
      </c>
      <c r="AF3662">
        <f>RAND()</f>
        <v/>
      </c>
    </row>
    <row r="3663">
      <c r="M3663" s="14">
        <f>_xlfn.BETA.INV($AA3663,1+4*($D$5-$C$5)/($E$5-$C$5),1+4*($E$5-$D$5)/($E$5-$C$5),$C$5,$E$5)</f>
        <v/>
      </c>
      <c r="N3663" s="14">
        <f>IF($AB3663&lt;($D$6-$C$6)/($E$6-$C$6),$C$6+SQRT($AB3663*($E$6-$C$6)*($D$6-$C$6)),$E$6-SQRT((1-$AB3663)*($E$6-$C$6)*($E$6-$D$6)))</f>
        <v/>
      </c>
      <c r="O3663" s="14">
        <f>_xlfn.NORM.INV($AC3663,$C$7,$D$7)</f>
        <v/>
      </c>
      <c r="P3663" s="14">
        <f>$C$8+($D$8-$C$8)*$AD3663</f>
        <v/>
      </c>
      <c r="Q3663" s="14">
        <f>$C$9</f>
        <v/>
      </c>
      <c r="R3663" s="14">
        <f>_xlfn.LOGNORM.INV($AF3663,LN($C$10)-0.5*LN(1+($D$10/$C$10)^2),SQRT(LN(1+($D$10/$C$10)^2)))</f>
        <v/>
      </c>
      <c r="S3663" s="14">
        <f>SUM(M3663:R3663)</f>
        <v/>
      </c>
      <c r="AA3663">
        <f>RAND()</f>
        <v/>
      </c>
      <c r="AB3663">
        <f>RAND()</f>
        <v/>
      </c>
      <c r="AC3663">
        <f>RAND()</f>
        <v/>
      </c>
      <c r="AD3663">
        <f>RAND()</f>
        <v/>
      </c>
      <c r="AE3663">
        <f>RAND()</f>
        <v/>
      </c>
      <c r="AF3663">
        <f>RAND()</f>
        <v/>
      </c>
    </row>
    <row r="3664">
      <c r="M3664" s="14">
        <f>_xlfn.BETA.INV($AA3664,1+4*($D$5-$C$5)/($E$5-$C$5),1+4*($E$5-$D$5)/($E$5-$C$5),$C$5,$E$5)</f>
        <v/>
      </c>
      <c r="N3664" s="14">
        <f>IF($AB3664&lt;($D$6-$C$6)/($E$6-$C$6),$C$6+SQRT($AB3664*($E$6-$C$6)*($D$6-$C$6)),$E$6-SQRT((1-$AB3664)*($E$6-$C$6)*($E$6-$D$6)))</f>
        <v/>
      </c>
      <c r="O3664" s="14">
        <f>_xlfn.NORM.INV($AC3664,$C$7,$D$7)</f>
        <v/>
      </c>
      <c r="P3664" s="14">
        <f>$C$8+($D$8-$C$8)*$AD3664</f>
        <v/>
      </c>
      <c r="Q3664" s="14">
        <f>$C$9</f>
        <v/>
      </c>
      <c r="R3664" s="14">
        <f>_xlfn.LOGNORM.INV($AF3664,LN($C$10)-0.5*LN(1+($D$10/$C$10)^2),SQRT(LN(1+($D$10/$C$10)^2)))</f>
        <v/>
      </c>
      <c r="S3664" s="14">
        <f>SUM(M3664:R3664)</f>
        <v/>
      </c>
      <c r="AA3664">
        <f>RAND()</f>
        <v/>
      </c>
      <c r="AB3664">
        <f>RAND()</f>
        <v/>
      </c>
      <c r="AC3664">
        <f>RAND()</f>
        <v/>
      </c>
      <c r="AD3664">
        <f>RAND()</f>
        <v/>
      </c>
      <c r="AE3664">
        <f>RAND()</f>
        <v/>
      </c>
      <c r="AF3664">
        <f>RAND()</f>
        <v/>
      </c>
    </row>
    <row r="3665">
      <c r="M3665" s="14">
        <f>_xlfn.BETA.INV($AA3665,1+4*($D$5-$C$5)/($E$5-$C$5),1+4*($E$5-$D$5)/($E$5-$C$5),$C$5,$E$5)</f>
        <v/>
      </c>
      <c r="N3665" s="14">
        <f>IF($AB3665&lt;($D$6-$C$6)/($E$6-$C$6),$C$6+SQRT($AB3665*($E$6-$C$6)*($D$6-$C$6)),$E$6-SQRT((1-$AB3665)*($E$6-$C$6)*($E$6-$D$6)))</f>
        <v/>
      </c>
      <c r="O3665" s="14">
        <f>_xlfn.NORM.INV($AC3665,$C$7,$D$7)</f>
        <v/>
      </c>
      <c r="P3665" s="14">
        <f>$C$8+($D$8-$C$8)*$AD3665</f>
        <v/>
      </c>
      <c r="Q3665" s="14">
        <f>$C$9</f>
        <v/>
      </c>
      <c r="R3665" s="14">
        <f>_xlfn.LOGNORM.INV($AF3665,LN($C$10)-0.5*LN(1+($D$10/$C$10)^2),SQRT(LN(1+($D$10/$C$10)^2)))</f>
        <v/>
      </c>
      <c r="S3665" s="14">
        <f>SUM(M3665:R3665)</f>
        <v/>
      </c>
      <c r="AA3665">
        <f>RAND()</f>
        <v/>
      </c>
      <c r="AB3665">
        <f>RAND()</f>
        <v/>
      </c>
      <c r="AC3665">
        <f>RAND()</f>
        <v/>
      </c>
      <c r="AD3665">
        <f>RAND()</f>
        <v/>
      </c>
      <c r="AE3665">
        <f>RAND()</f>
        <v/>
      </c>
      <c r="AF3665">
        <f>RAND()</f>
        <v/>
      </c>
    </row>
    <row r="3666">
      <c r="M3666" s="14">
        <f>_xlfn.BETA.INV($AA3666,1+4*($D$5-$C$5)/($E$5-$C$5),1+4*($E$5-$D$5)/($E$5-$C$5),$C$5,$E$5)</f>
        <v/>
      </c>
      <c r="N3666" s="14">
        <f>IF($AB3666&lt;($D$6-$C$6)/($E$6-$C$6),$C$6+SQRT($AB3666*($E$6-$C$6)*($D$6-$C$6)),$E$6-SQRT((1-$AB3666)*($E$6-$C$6)*($E$6-$D$6)))</f>
        <v/>
      </c>
      <c r="O3666" s="14">
        <f>_xlfn.NORM.INV($AC3666,$C$7,$D$7)</f>
        <v/>
      </c>
      <c r="P3666" s="14">
        <f>$C$8+($D$8-$C$8)*$AD3666</f>
        <v/>
      </c>
      <c r="Q3666" s="14">
        <f>$C$9</f>
        <v/>
      </c>
      <c r="R3666" s="14">
        <f>_xlfn.LOGNORM.INV($AF3666,LN($C$10)-0.5*LN(1+($D$10/$C$10)^2),SQRT(LN(1+($D$10/$C$10)^2)))</f>
        <v/>
      </c>
      <c r="S3666" s="14">
        <f>SUM(M3666:R3666)</f>
        <v/>
      </c>
      <c r="AA3666">
        <f>RAND()</f>
        <v/>
      </c>
      <c r="AB3666">
        <f>RAND()</f>
        <v/>
      </c>
      <c r="AC3666">
        <f>RAND()</f>
        <v/>
      </c>
      <c r="AD3666">
        <f>RAND()</f>
        <v/>
      </c>
      <c r="AE3666">
        <f>RAND()</f>
        <v/>
      </c>
      <c r="AF3666">
        <f>RAND()</f>
        <v/>
      </c>
    </row>
    <row r="3667">
      <c r="M3667" s="14">
        <f>_xlfn.BETA.INV($AA3667,1+4*($D$5-$C$5)/($E$5-$C$5),1+4*($E$5-$D$5)/($E$5-$C$5),$C$5,$E$5)</f>
        <v/>
      </c>
      <c r="N3667" s="14">
        <f>IF($AB3667&lt;($D$6-$C$6)/($E$6-$C$6),$C$6+SQRT($AB3667*($E$6-$C$6)*($D$6-$C$6)),$E$6-SQRT((1-$AB3667)*($E$6-$C$6)*($E$6-$D$6)))</f>
        <v/>
      </c>
      <c r="O3667" s="14">
        <f>_xlfn.NORM.INV($AC3667,$C$7,$D$7)</f>
        <v/>
      </c>
      <c r="P3667" s="14">
        <f>$C$8+($D$8-$C$8)*$AD3667</f>
        <v/>
      </c>
      <c r="Q3667" s="14">
        <f>$C$9</f>
        <v/>
      </c>
      <c r="R3667" s="14">
        <f>_xlfn.LOGNORM.INV($AF3667,LN($C$10)-0.5*LN(1+($D$10/$C$10)^2),SQRT(LN(1+($D$10/$C$10)^2)))</f>
        <v/>
      </c>
      <c r="S3667" s="14">
        <f>SUM(M3667:R3667)</f>
        <v/>
      </c>
      <c r="AA3667">
        <f>RAND()</f>
        <v/>
      </c>
      <c r="AB3667">
        <f>RAND()</f>
        <v/>
      </c>
      <c r="AC3667">
        <f>RAND()</f>
        <v/>
      </c>
      <c r="AD3667">
        <f>RAND()</f>
        <v/>
      </c>
      <c r="AE3667">
        <f>RAND()</f>
        <v/>
      </c>
      <c r="AF3667">
        <f>RAND()</f>
        <v/>
      </c>
    </row>
    <row r="3668">
      <c r="M3668" s="14">
        <f>_xlfn.BETA.INV($AA3668,1+4*($D$5-$C$5)/($E$5-$C$5),1+4*($E$5-$D$5)/($E$5-$C$5),$C$5,$E$5)</f>
        <v/>
      </c>
      <c r="N3668" s="14">
        <f>IF($AB3668&lt;($D$6-$C$6)/($E$6-$C$6),$C$6+SQRT($AB3668*($E$6-$C$6)*($D$6-$C$6)),$E$6-SQRT((1-$AB3668)*($E$6-$C$6)*($E$6-$D$6)))</f>
        <v/>
      </c>
      <c r="O3668" s="14">
        <f>_xlfn.NORM.INV($AC3668,$C$7,$D$7)</f>
        <v/>
      </c>
      <c r="P3668" s="14">
        <f>$C$8+($D$8-$C$8)*$AD3668</f>
        <v/>
      </c>
      <c r="Q3668" s="14">
        <f>$C$9</f>
        <v/>
      </c>
      <c r="R3668" s="14">
        <f>_xlfn.LOGNORM.INV($AF3668,LN($C$10)-0.5*LN(1+($D$10/$C$10)^2),SQRT(LN(1+($D$10/$C$10)^2)))</f>
        <v/>
      </c>
      <c r="S3668" s="14">
        <f>SUM(M3668:R3668)</f>
        <v/>
      </c>
      <c r="AA3668">
        <f>RAND()</f>
        <v/>
      </c>
      <c r="AB3668">
        <f>RAND()</f>
        <v/>
      </c>
      <c r="AC3668">
        <f>RAND()</f>
        <v/>
      </c>
      <c r="AD3668">
        <f>RAND()</f>
        <v/>
      </c>
      <c r="AE3668">
        <f>RAND()</f>
        <v/>
      </c>
      <c r="AF3668">
        <f>RAND()</f>
        <v/>
      </c>
    </row>
    <row r="3669">
      <c r="M3669" s="14">
        <f>_xlfn.BETA.INV($AA3669,1+4*($D$5-$C$5)/($E$5-$C$5),1+4*($E$5-$D$5)/($E$5-$C$5),$C$5,$E$5)</f>
        <v/>
      </c>
      <c r="N3669" s="14">
        <f>IF($AB3669&lt;($D$6-$C$6)/($E$6-$C$6),$C$6+SQRT($AB3669*($E$6-$C$6)*($D$6-$C$6)),$E$6-SQRT((1-$AB3669)*($E$6-$C$6)*($E$6-$D$6)))</f>
        <v/>
      </c>
      <c r="O3669" s="14">
        <f>_xlfn.NORM.INV($AC3669,$C$7,$D$7)</f>
        <v/>
      </c>
      <c r="P3669" s="14">
        <f>$C$8+($D$8-$C$8)*$AD3669</f>
        <v/>
      </c>
      <c r="Q3669" s="14">
        <f>$C$9</f>
        <v/>
      </c>
      <c r="R3669" s="14">
        <f>_xlfn.LOGNORM.INV($AF3669,LN($C$10)-0.5*LN(1+($D$10/$C$10)^2),SQRT(LN(1+($D$10/$C$10)^2)))</f>
        <v/>
      </c>
      <c r="S3669" s="14">
        <f>SUM(M3669:R3669)</f>
        <v/>
      </c>
      <c r="AA3669">
        <f>RAND()</f>
        <v/>
      </c>
      <c r="AB3669">
        <f>RAND()</f>
        <v/>
      </c>
      <c r="AC3669">
        <f>RAND()</f>
        <v/>
      </c>
      <c r="AD3669">
        <f>RAND()</f>
        <v/>
      </c>
      <c r="AE3669">
        <f>RAND()</f>
        <v/>
      </c>
      <c r="AF3669">
        <f>RAND()</f>
        <v/>
      </c>
    </row>
    <row r="3670">
      <c r="M3670" s="14">
        <f>_xlfn.BETA.INV($AA3670,1+4*($D$5-$C$5)/($E$5-$C$5),1+4*($E$5-$D$5)/($E$5-$C$5),$C$5,$E$5)</f>
        <v/>
      </c>
      <c r="N3670" s="14">
        <f>IF($AB3670&lt;($D$6-$C$6)/($E$6-$C$6),$C$6+SQRT($AB3670*($E$6-$C$6)*($D$6-$C$6)),$E$6-SQRT((1-$AB3670)*($E$6-$C$6)*($E$6-$D$6)))</f>
        <v/>
      </c>
      <c r="O3670" s="14">
        <f>_xlfn.NORM.INV($AC3670,$C$7,$D$7)</f>
        <v/>
      </c>
      <c r="P3670" s="14">
        <f>$C$8+($D$8-$C$8)*$AD3670</f>
        <v/>
      </c>
      <c r="Q3670" s="14">
        <f>$C$9</f>
        <v/>
      </c>
      <c r="R3670" s="14">
        <f>_xlfn.LOGNORM.INV($AF3670,LN($C$10)-0.5*LN(1+($D$10/$C$10)^2),SQRT(LN(1+($D$10/$C$10)^2)))</f>
        <v/>
      </c>
      <c r="S3670" s="14">
        <f>SUM(M3670:R3670)</f>
        <v/>
      </c>
      <c r="AA3670">
        <f>RAND()</f>
        <v/>
      </c>
      <c r="AB3670">
        <f>RAND()</f>
        <v/>
      </c>
      <c r="AC3670">
        <f>RAND()</f>
        <v/>
      </c>
      <c r="AD3670">
        <f>RAND()</f>
        <v/>
      </c>
      <c r="AE3670">
        <f>RAND()</f>
        <v/>
      </c>
      <c r="AF3670">
        <f>RAND()</f>
        <v/>
      </c>
    </row>
    <row r="3671">
      <c r="M3671" s="14">
        <f>_xlfn.BETA.INV($AA3671,1+4*($D$5-$C$5)/($E$5-$C$5),1+4*($E$5-$D$5)/($E$5-$C$5),$C$5,$E$5)</f>
        <v/>
      </c>
      <c r="N3671" s="14">
        <f>IF($AB3671&lt;($D$6-$C$6)/($E$6-$C$6),$C$6+SQRT($AB3671*($E$6-$C$6)*($D$6-$C$6)),$E$6-SQRT((1-$AB3671)*($E$6-$C$6)*($E$6-$D$6)))</f>
        <v/>
      </c>
      <c r="O3671" s="14">
        <f>_xlfn.NORM.INV($AC3671,$C$7,$D$7)</f>
        <v/>
      </c>
      <c r="P3671" s="14">
        <f>$C$8+($D$8-$C$8)*$AD3671</f>
        <v/>
      </c>
      <c r="Q3671" s="14">
        <f>$C$9</f>
        <v/>
      </c>
      <c r="R3671" s="14">
        <f>_xlfn.LOGNORM.INV($AF3671,LN($C$10)-0.5*LN(1+($D$10/$C$10)^2),SQRT(LN(1+($D$10/$C$10)^2)))</f>
        <v/>
      </c>
      <c r="S3671" s="14">
        <f>SUM(M3671:R3671)</f>
        <v/>
      </c>
      <c r="AA3671">
        <f>RAND()</f>
        <v/>
      </c>
      <c r="AB3671">
        <f>RAND()</f>
        <v/>
      </c>
      <c r="AC3671">
        <f>RAND()</f>
        <v/>
      </c>
      <c r="AD3671">
        <f>RAND()</f>
        <v/>
      </c>
      <c r="AE3671">
        <f>RAND()</f>
        <v/>
      </c>
      <c r="AF3671">
        <f>RAND()</f>
        <v/>
      </c>
    </row>
    <row r="3672">
      <c r="M3672" s="14">
        <f>_xlfn.BETA.INV($AA3672,1+4*($D$5-$C$5)/($E$5-$C$5),1+4*($E$5-$D$5)/($E$5-$C$5),$C$5,$E$5)</f>
        <v/>
      </c>
      <c r="N3672" s="14">
        <f>IF($AB3672&lt;($D$6-$C$6)/($E$6-$C$6),$C$6+SQRT($AB3672*($E$6-$C$6)*($D$6-$C$6)),$E$6-SQRT((1-$AB3672)*($E$6-$C$6)*($E$6-$D$6)))</f>
        <v/>
      </c>
      <c r="O3672" s="14">
        <f>_xlfn.NORM.INV($AC3672,$C$7,$D$7)</f>
        <v/>
      </c>
      <c r="P3672" s="14">
        <f>$C$8+($D$8-$C$8)*$AD3672</f>
        <v/>
      </c>
      <c r="Q3672" s="14">
        <f>$C$9</f>
        <v/>
      </c>
      <c r="R3672" s="14">
        <f>_xlfn.LOGNORM.INV($AF3672,LN($C$10)-0.5*LN(1+($D$10/$C$10)^2),SQRT(LN(1+($D$10/$C$10)^2)))</f>
        <v/>
      </c>
      <c r="S3672" s="14">
        <f>SUM(M3672:R3672)</f>
        <v/>
      </c>
      <c r="AA3672">
        <f>RAND()</f>
        <v/>
      </c>
      <c r="AB3672">
        <f>RAND()</f>
        <v/>
      </c>
      <c r="AC3672">
        <f>RAND()</f>
        <v/>
      </c>
      <c r="AD3672">
        <f>RAND()</f>
        <v/>
      </c>
      <c r="AE3672">
        <f>RAND()</f>
        <v/>
      </c>
      <c r="AF3672">
        <f>RAND()</f>
        <v/>
      </c>
    </row>
    <row r="3673">
      <c r="M3673" s="14">
        <f>_xlfn.BETA.INV($AA3673,1+4*($D$5-$C$5)/($E$5-$C$5),1+4*($E$5-$D$5)/($E$5-$C$5),$C$5,$E$5)</f>
        <v/>
      </c>
      <c r="N3673" s="14">
        <f>IF($AB3673&lt;($D$6-$C$6)/($E$6-$C$6),$C$6+SQRT($AB3673*($E$6-$C$6)*($D$6-$C$6)),$E$6-SQRT((1-$AB3673)*($E$6-$C$6)*($E$6-$D$6)))</f>
        <v/>
      </c>
      <c r="O3673" s="14">
        <f>_xlfn.NORM.INV($AC3673,$C$7,$D$7)</f>
        <v/>
      </c>
      <c r="P3673" s="14">
        <f>$C$8+($D$8-$C$8)*$AD3673</f>
        <v/>
      </c>
      <c r="Q3673" s="14">
        <f>$C$9</f>
        <v/>
      </c>
      <c r="R3673" s="14">
        <f>_xlfn.LOGNORM.INV($AF3673,LN($C$10)-0.5*LN(1+($D$10/$C$10)^2),SQRT(LN(1+($D$10/$C$10)^2)))</f>
        <v/>
      </c>
      <c r="S3673" s="14">
        <f>SUM(M3673:R3673)</f>
        <v/>
      </c>
      <c r="AA3673">
        <f>RAND()</f>
        <v/>
      </c>
      <c r="AB3673">
        <f>RAND()</f>
        <v/>
      </c>
      <c r="AC3673">
        <f>RAND()</f>
        <v/>
      </c>
      <c r="AD3673">
        <f>RAND()</f>
        <v/>
      </c>
      <c r="AE3673">
        <f>RAND()</f>
        <v/>
      </c>
      <c r="AF3673">
        <f>RAND()</f>
        <v/>
      </c>
    </row>
    <row r="3674">
      <c r="M3674" s="14">
        <f>_xlfn.BETA.INV($AA3674,1+4*($D$5-$C$5)/($E$5-$C$5),1+4*($E$5-$D$5)/($E$5-$C$5),$C$5,$E$5)</f>
        <v/>
      </c>
      <c r="N3674" s="14">
        <f>IF($AB3674&lt;($D$6-$C$6)/($E$6-$C$6),$C$6+SQRT($AB3674*($E$6-$C$6)*($D$6-$C$6)),$E$6-SQRT((1-$AB3674)*($E$6-$C$6)*($E$6-$D$6)))</f>
        <v/>
      </c>
      <c r="O3674" s="14">
        <f>_xlfn.NORM.INV($AC3674,$C$7,$D$7)</f>
        <v/>
      </c>
      <c r="P3674" s="14">
        <f>$C$8+($D$8-$C$8)*$AD3674</f>
        <v/>
      </c>
      <c r="Q3674" s="14">
        <f>$C$9</f>
        <v/>
      </c>
      <c r="R3674" s="14">
        <f>_xlfn.LOGNORM.INV($AF3674,LN($C$10)-0.5*LN(1+($D$10/$C$10)^2),SQRT(LN(1+($D$10/$C$10)^2)))</f>
        <v/>
      </c>
      <c r="S3674" s="14">
        <f>SUM(M3674:R3674)</f>
        <v/>
      </c>
      <c r="AA3674">
        <f>RAND()</f>
        <v/>
      </c>
      <c r="AB3674">
        <f>RAND()</f>
        <v/>
      </c>
      <c r="AC3674">
        <f>RAND()</f>
        <v/>
      </c>
      <c r="AD3674">
        <f>RAND()</f>
        <v/>
      </c>
      <c r="AE3674">
        <f>RAND()</f>
        <v/>
      </c>
      <c r="AF3674">
        <f>RAND()</f>
        <v/>
      </c>
    </row>
    <row r="3675">
      <c r="M3675" s="14">
        <f>_xlfn.BETA.INV($AA3675,1+4*($D$5-$C$5)/($E$5-$C$5),1+4*($E$5-$D$5)/($E$5-$C$5),$C$5,$E$5)</f>
        <v/>
      </c>
      <c r="N3675" s="14">
        <f>IF($AB3675&lt;($D$6-$C$6)/($E$6-$C$6),$C$6+SQRT($AB3675*($E$6-$C$6)*($D$6-$C$6)),$E$6-SQRT((1-$AB3675)*($E$6-$C$6)*($E$6-$D$6)))</f>
        <v/>
      </c>
      <c r="O3675" s="14">
        <f>_xlfn.NORM.INV($AC3675,$C$7,$D$7)</f>
        <v/>
      </c>
      <c r="P3675" s="14">
        <f>$C$8+($D$8-$C$8)*$AD3675</f>
        <v/>
      </c>
      <c r="Q3675" s="14">
        <f>$C$9</f>
        <v/>
      </c>
      <c r="R3675" s="14">
        <f>_xlfn.LOGNORM.INV($AF3675,LN($C$10)-0.5*LN(1+($D$10/$C$10)^2),SQRT(LN(1+($D$10/$C$10)^2)))</f>
        <v/>
      </c>
      <c r="S3675" s="14">
        <f>SUM(M3675:R3675)</f>
        <v/>
      </c>
      <c r="AA3675">
        <f>RAND()</f>
        <v/>
      </c>
      <c r="AB3675">
        <f>RAND()</f>
        <v/>
      </c>
      <c r="AC3675">
        <f>RAND()</f>
        <v/>
      </c>
      <c r="AD3675">
        <f>RAND()</f>
        <v/>
      </c>
      <c r="AE3675">
        <f>RAND()</f>
        <v/>
      </c>
      <c r="AF3675">
        <f>RAND()</f>
        <v/>
      </c>
    </row>
    <row r="3676">
      <c r="M3676" s="14">
        <f>_xlfn.BETA.INV($AA3676,1+4*($D$5-$C$5)/($E$5-$C$5),1+4*($E$5-$D$5)/($E$5-$C$5),$C$5,$E$5)</f>
        <v/>
      </c>
      <c r="N3676" s="14">
        <f>IF($AB3676&lt;($D$6-$C$6)/($E$6-$C$6),$C$6+SQRT($AB3676*($E$6-$C$6)*($D$6-$C$6)),$E$6-SQRT((1-$AB3676)*($E$6-$C$6)*($E$6-$D$6)))</f>
        <v/>
      </c>
      <c r="O3676" s="14">
        <f>_xlfn.NORM.INV($AC3676,$C$7,$D$7)</f>
        <v/>
      </c>
      <c r="P3676" s="14">
        <f>$C$8+($D$8-$C$8)*$AD3676</f>
        <v/>
      </c>
      <c r="Q3676" s="14">
        <f>$C$9</f>
        <v/>
      </c>
      <c r="R3676" s="14">
        <f>_xlfn.LOGNORM.INV($AF3676,LN($C$10)-0.5*LN(1+($D$10/$C$10)^2),SQRT(LN(1+($D$10/$C$10)^2)))</f>
        <v/>
      </c>
      <c r="S3676" s="14">
        <f>SUM(M3676:R3676)</f>
        <v/>
      </c>
      <c r="AA3676">
        <f>RAND()</f>
        <v/>
      </c>
      <c r="AB3676">
        <f>RAND()</f>
        <v/>
      </c>
      <c r="AC3676">
        <f>RAND()</f>
        <v/>
      </c>
      <c r="AD3676">
        <f>RAND()</f>
        <v/>
      </c>
      <c r="AE3676">
        <f>RAND()</f>
        <v/>
      </c>
      <c r="AF3676">
        <f>RAND()</f>
        <v/>
      </c>
    </row>
    <row r="3677">
      <c r="M3677" s="14">
        <f>_xlfn.BETA.INV($AA3677,1+4*($D$5-$C$5)/($E$5-$C$5),1+4*($E$5-$D$5)/($E$5-$C$5),$C$5,$E$5)</f>
        <v/>
      </c>
      <c r="N3677" s="14">
        <f>IF($AB3677&lt;($D$6-$C$6)/($E$6-$C$6),$C$6+SQRT($AB3677*($E$6-$C$6)*($D$6-$C$6)),$E$6-SQRT((1-$AB3677)*($E$6-$C$6)*($E$6-$D$6)))</f>
        <v/>
      </c>
      <c r="O3677" s="14">
        <f>_xlfn.NORM.INV($AC3677,$C$7,$D$7)</f>
        <v/>
      </c>
      <c r="P3677" s="14">
        <f>$C$8+($D$8-$C$8)*$AD3677</f>
        <v/>
      </c>
      <c r="Q3677" s="14">
        <f>$C$9</f>
        <v/>
      </c>
      <c r="R3677" s="14">
        <f>_xlfn.LOGNORM.INV($AF3677,LN($C$10)-0.5*LN(1+($D$10/$C$10)^2),SQRT(LN(1+($D$10/$C$10)^2)))</f>
        <v/>
      </c>
      <c r="S3677" s="14">
        <f>SUM(M3677:R3677)</f>
        <v/>
      </c>
      <c r="AA3677">
        <f>RAND()</f>
        <v/>
      </c>
      <c r="AB3677">
        <f>RAND()</f>
        <v/>
      </c>
      <c r="AC3677">
        <f>RAND()</f>
        <v/>
      </c>
      <c r="AD3677">
        <f>RAND()</f>
        <v/>
      </c>
      <c r="AE3677">
        <f>RAND()</f>
        <v/>
      </c>
      <c r="AF3677">
        <f>RAND()</f>
        <v/>
      </c>
    </row>
    <row r="3678">
      <c r="M3678" s="14">
        <f>_xlfn.BETA.INV($AA3678,1+4*($D$5-$C$5)/($E$5-$C$5),1+4*($E$5-$D$5)/($E$5-$C$5),$C$5,$E$5)</f>
        <v/>
      </c>
      <c r="N3678" s="14">
        <f>IF($AB3678&lt;($D$6-$C$6)/($E$6-$C$6),$C$6+SQRT($AB3678*($E$6-$C$6)*($D$6-$C$6)),$E$6-SQRT((1-$AB3678)*($E$6-$C$6)*($E$6-$D$6)))</f>
        <v/>
      </c>
      <c r="O3678" s="14">
        <f>_xlfn.NORM.INV($AC3678,$C$7,$D$7)</f>
        <v/>
      </c>
      <c r="P3678" s="14">
        <f>$C$8+($D$8-$C$8)*$AD3678</f>
        <v/>
      </c>
      <c r="Q3678" s="14">
        <f>$C$9</f>
        <v/>
      </c>
      <c r="R3678" s="14">
        <f>_xlfn.LOGNORM.INV($AF3678,LN($C$10)-0.5*LN(1+($D$10/$C$10)^2),SQRT(LN(1+($D$10/$C$10)^2)))</f>
        <v/>
      </c>
      <c r="S3678" s="14">
        <f>SUM(M3678:R3678)</f>
        <v/>
      </c>
      <c r="AA3678">
        <f>RAND()</f>
        <v/>
      </c>
      <c r="AB3678">
        <f>RAND()</f>
        <v/>
      </c>
      <c r="AC3678">
        <f>RAND()</f>
        <v/>
      </c>
      <c r="AD3678">
        <f>RAND()</f>
        <v/>
      </c>
      <c r="AE3678">
        <f>RAND()</f>
        <v/>
      </c>
      <c r="AF3678">
        <f>RAND()</f>
        <v/>
      </c>
    </row>
    <row r="3679">
      <c r="M3679" s="14">
        <f>_xlfn.BETA.INV($AA3679,1+4*($D$5-$C$5)/($E$5-$C$5),1+4*($E$5-$D$5)/($E$5-$C$5),$C$5,$E$5)</f>
        <v/>
      </c>
      <c r="N3679" s="14">
        <f>IF($AB3679&lt;($D$6-$C$6)/($E$6-$C$6),$C$6+SQRT($AB3679*($E$6-$C$6)*($D$6-$C$6)),$E$6-SQRT((1-$AB3679)*($E$6-$C$6)*($E$6-$D$6)))</f>
        <v/>
      </c>
      <c r="O3679" s="14">
        <f>_xlfn.NORM.INV($AC3679,$C$7,$D$7)</f>
        <v/>
      </c>
      <c r="P3679" s="14">
        <f>$C$8+($D$8-$C$8)*$AD3679</f>
        <v/>
      </c>
      <c r="Q3679" s="14">
        <f>$C$9</f>
        <v/>
      </c>
      <c r="R3679" s="14">
        <f>_xlfn.LOGNORM.INV($AF3679,LN($C$10)-0.5*LN(1+($D$10/$C$10)^2),SQRT(LN(1+($D$10/$C$10)^2)))</f>
        <v/>
      </c>
      <c r="S3679" s="14">
        <f>SUM(M3679:R3679)</f>
        <v/>
      </c>
      <c r="AA3679">
        <f>RAND()</f>
        <v/>
      </c>
      <c r="AB3679">
        <f>RAND()</f>
        <v/>
      </c>
      <c r="AC3679">
        <f>RAND()</f>
        <v/>
      </c>
      <c r="AD3679">
        <f>RAND()</f>
        <v/>
      </c>
      <c r="AE3679">
        <f>RAND()</f>
        <v/>
      </c>
      <c r="AF3679">
        <f>RAND()</f>
        <v/>
      </c>
    </row>
    <row r="3680">
      <c r="M3680" s="14">
        <f>_xlfn.BETA.INV($AA3680,1+4*($D$5-$C$5)/($E$5-$C$5),1+4*($E$5-$D$5)/($E$5-$C$5),$C$5,$E$5)</f>
        <v/>
      </c>
      <c r="N3680" s="14">
        <f>IF($AB3680&lt;($D$6-$C$6)/($E$6-$C$6),$C$6+SQRT($AB3680*($E$6-$C$6)*($D$6-$C$6)),$E$6-SQRT((1-$AB3680)*($E$6-$C$6)*($E$6-$D$6)))</f>
        <v/>
      </c>
      <c r="O3680" s="14">
        <f>_xlfn.NORM.INV($AC3680,$C$7,$D$7)</f>
        <v/>
      </c>
      <c r="P3680" s="14">
        <f>$C$8+($D$8-$C$8)*$AD3680</f>
        <v/>
      </c>
      <c r="Q3680" s="14">
        <f>$C$9</f>
        <v/>
      </c>
      <c r="R3680" s="14">
        <f>_xlfn.LOGNORM.INV($AF3680,LN($C$10)-0.5*LN(1+($D$10/$C$10)^2),SQRT(LN(1+($D$10/$C$10)^2)))</f>
        <v/>
      </c>
      <c r="S3680" s="14">
        <f>SUM(M3680:R3680)</f>
        <v/>
      </c>
      <c r="AA3680">
        <f>RAND()</f>
        <v/>
      </c>
      <c r="AB3680">
        <f>RAND()</f>
        <v/>
      </c>
      <c r="AC3680">
        <f>RAND()</f>
        <v/>
      </c>
      <c r="AD3680">
        <f>RAND()</f>
        <v/>
      </c>
      <c r="AE3680">
        <f>RAND()</f>
        <v/>
      </c>
      <c r="AF3680">
        <f>RAND()</f>
        <v/>
      </c>
    </row>
    <row r="3681">
      <c r="M3681" s="14">
        <f>_xlfn.BETA.INV($AA3681,1+4*($D$5-$C$5)/($E$5-$C$5),1+4*($E$5-$D$5)/($E$5-$C$5),$C$5,$E$5)</f>
        <v/>
      </c>
      <c r="N3681" s="14">
        <f>IF($AB3681&lt;($D$6-$C$6)/($E$6-$C$6),$C$6+SQRT($AB3681*($E$6-$C$6)*($D$6-$C$6)),$E$6-SQRT((1-$AB3681)*($E$6-$C$6)*($E$6-$D$6)))</f>
        <v/>
      </c>
      <c r="O3681" s="14">
        <f>_xlfn.NORM.INV($AC3681,$C$7,$D$7)</f>
        <v/>
      </c>
      <c r="P3681" s="14">
        <f>$C$8+($D$8-$C$8)*$AD3681</f>
        <v/>
      </c>
      <c r="Q3681" s="14">
        <f>$C$9</f>
        <v/>
      </c>
      <c r="R3681" s="14">
        <f>_xlfn.LOGNORM.INV($AF3681,LN($C$10)-0.5*LN(1+($D$10/$C$10)^2),SQRT(LN(1+($D$10/$C$10)^2)))</f>
        <v/>
      </c>
      <c r="S3681" s="14">
        <f>SUM(M3681:R3681)</f>
        <v/>
      </c>
      <c r="AA3681">
        <f>RAND()</f>
        <v/>
      </c>
      <c r="AB3681">
        <f>RAND()</f>
        <v/>
      </c>
      <c r="AC3681">
        <f>RAND()</f>
        <v/>
      </c>
      <c r="AD3681">
        <f>RAND()</f>
        <v/>
      </c>
      <c r="AE3681">
        <f>RAND()</f>
        <v/>
      </c>
      <c r="AF3681">
        <f>RAND()</f>
        <v/>
      </c>
    </row>
    <row r="3682">
      <c r="M3682" s="14">
        <f>_xlfn.BETA.INV($AA3682,1+4*($D$5-$C$5)/($E$5-$C$5),1+4*($E$5-$D$5)/($E$5-$C$5),$C$5,$E$5)</f>
        <v/>
      </c>
      <c r="N3682" s="14">
        <f>IF($AB3682&lt;($D$6-$C$6)/($E$6-$C$6),$C$6+SQRT($AB3682*($E$6-$C$6)*($D$6-$C$6)),$E$6-SQRT((1-$AB3682)*($E$6-$C$6)*($E$6-$D$6)))</f>
        <v/>
      </c>
      <c r="O3682" s="14">
        <f>_xlfn.NORM.INV($AC3682,$C$7,$D$7)</f>
        <v/>
      </c>
      <c r="P3682" s="14">
        <f>$C$8+($D$8-$C$8)*$AD3682</f>
        <v/>
      </c>
      <c r="Q3682" s="14">
        <f>$C$9</f>
        <v/>
      </c>
      <c r="R3682" s="14">
        <f>_xlfn.LOGNORM.INV($AF3682,LN($C$10)-0.5*LN(1+($D$10/$C$10)^2),SQRT(LN(1+($D$10/$C$10)^2)))</f>
        <v/>
      </c>
      <c r="S3682" s="14">
        <f>SUM(M3682:R3682)</f>
        <v/>
      </c>
      <c r="AA3682">
        <f>RAND()</f>
        <v/>
      </c>
      <c r="AB3682">
        <f>RAND()</f>
        <v/>
      </c>
      <c r="AC3682">
        <f>RAND()</f>
        <v/>
      </c>
      <c r="AD3682">
        <f>RAND()</f>
        <v/>
      </c>
      <c r="AE3682">
        <f>RAND()</f>
        <v/>
      </c>
      <c r="AF3682">
        <f>RAND()</f>
        <v/>
      </c>
    </row>
    <row r="3683">
      <c r="M3683" s="14">
        <f>_xlfn.BETA.INV($AA3683,1+4*($D$5-$C$5)/($E$5-$C$5),1+4*($E$5-$D$5)/($E$5-$C$5),$C$5,$E$5)</f>
        <v/>
      </c>
      <c r="N3683" s="14">
        <f>IF($AB3683&lt;($D$6-$C$6)/($E$6-$C$6),$C$6+SQRT($AB3683*($E$6-$C$6)*($D$6-$C$6)),$E$6-SQRT((1-$AB3683)*($E$6-$C$6)*($E$6-$D$6)))</f>
        <v/>
      </c>
      <c r="O3683" s="14">
        <f>_xlfn.NORM.INV($AC3683,$C$7,$D$7)</f>
        <v/>
      </c>
      <c r="P3683" s="14">
        <f>$C$8+($D$8-$C$8)*$AD3683</f>
        <v/>
      </c>
      <c r="Q3683" s="14">
        <f>$C$9</f>
        <v/>
      </c>
      <c r="R3683" s="14">
        <f>_xlfn.LOGNORM.INV($AF3683,LN($C$10)-0.5*LN(1+($D$10/$C$10)^2),SQRT(LN(1+($D$10/$C$10)^2)))</f>
        <v/>
      </c>
      <c r="S3683" s="14">
        <f>SUM(M3683:R3683)</f>
        <v/>
      </c>
      <c r="AA3683">
        <f>RAND()</f>
        <v/>
      </c>
      <c r="AB3683">
        <f>RAND()</f>
        <v/>
      </c>
      <c r="AC3683">
        <f>RAND()</f>
        <v/>
      </c>
      <c r="AD3683">
        <f>RAND()</f>
        <v/>
      </c>
      <c r="AE3683">
        <f>RAND()</f>
        <v/>
      </c>
      <c r="AF3683">
        <f>RAND()</f>
        <v/>
      </c>
    </row>
    <row r="3684">
      <c r="M3684" s="14">
        <f>_xlfn.BETA.INV($AA3684,1+4*($D$5-$C$5)/($E$5-$C$5),1+4*($E$5-$D$5)/($E$5-$C$5),$C$5,$E$5)</f>
        <v/>
      </c>
      <c r="N3684" s="14">
        <f>IF($AB3684&lt;($D$6-$C$6)/($E$6-$C$6),$C$6+SQRT($AB3684*($E$6-$C$6)*($D$6-$C$6)),$E$6-SQRT((1-$AB3684)*($E$6-$C$6)*($E$6-$D$6)))</f>
        <v/>
      </c>
      <c r="O3684" s="14">
        <f>_xlfn.NORM.INV($AC3684,$C$7,$D$7)</f>
        <v/>
      </c>
      <c r="P3684" s="14">
        <f>$C$8+($D$8-$C$8)*$AD3684</f>
        <v/>
      </c>
      <c r="Q3684" s="14">
        <f>$C$9</f>
        <v/>
      </c>
      <c r="R3684" s="14">
        <f>_xlfn.LOGNORM.INV($AF3684,LN($C$10)-0.5*LN(1+($D$10/$C$10)^2),SQRT(LN(1+($D$10/$C$10)^2)))</f>
        <v/>
      </c>
      <c r="S3684" s="14">
        <f>SUM(M3684:R3684)</f>
        <v/>
      </c>
      <c r="AA3684">
        <f>RAND()</f>
        <v/>
      </c>
      <c r="AB3684">
        <f>RAND()</f>
        <v/>
      </c>
      <c r="AC3684">
        <f>RAND()</f>
        <v/>
      </c>
      <c r="AD3684">
        <f>RAND()</f>
        <v/>
      </c>
      <c r="AE3684">
        <f>RAND()</f>
        <v/>
      </c>
      <c r="AF3684">
        <f>RAND()</f>
        <v/>
      </c>
    </row>
    <row r="3685">
      <c r="M3685" s="14">
        <f>_xlfn.BETA.INV($AA3685,1+4*($D$5-$C$5)/($E$5-$C$5),1+4*($E$5-$D$5)/($E$5-$C$5),$C$5,$E$5)</f>
        <v/>
      </c>
      <c r="N3685" s="14">
        <f>IF($AB3685&lt;($D$6-$C$6)/($E$6-$C$6),$C$6+SQRT($AB3685*($E$6-$C$6)*($D$6-$C$6)),$E$6-SQRT((1-$AB3685)*($E$6-$C$6)*($E$6-$D$6)))</f>
        <v/>
      </c>
      <c r="O3685" s="14">
        <f>_xlfn.NORM.INV($AC3685,$C$7,$D$7)</f>
        <v/>
      </c>
      <c r="P3685" s="14">
        <f>$C$8+($D$8-$C$8)*$AD3685</f>
        <v/>
      </c>
      <c r="Q3685" s="14">
        <f>$C$9</f>
        <v/>
      </c>
      <c r="R3685" s="14">
        <f>_xlfn.LOGNORM.INV($AF3685,LN($C$10)-0.5*LN(1+($D$10/$C$10)^2),SQRT(LN(1+($D$10/$C$10)^2)))</f>
        <v/>
      </c>
      <c r="S3685" s="14">
        <f>SUM(M3685:R3685)</f>
        <v/>
      </c>
      <c r="AA3685">
        <f>RAND()</f>
        <v/>
      </c>
      <c r="AB3685">
        <f>RAND()</f>
        <v/>
      </c>
      <c r="AC3685">
        <f>RAND()</f>
        <v/>
      </c>
      <c r="AD3685">
        <f>RAND()</f>
        <v/>
      </c>
      <c r="AE3685">
        <f>RAND()</f>
        <v/>
      </c>
      <c r="AF3685">
        <f>RAND()</f>
        <v/>
      </c>
    </row>
    <row r="3686">
      <c r="M3686" s="14">
        <f>_xlfn.BETA.INV($AA3686,1+4*($D$5-$C$5)/($E$5-$C$5),1+4*($E$5-$D$5)/($E$5-$C$5),$C$5,$E$5)</f>
        <v/>
      </c>
      <c r="N3686" s="14">
        <f>IF($AB3686&lt;($D$6-$C$6)/($E$6-$C$6),$C$6+SQRT($AB3686*($E$6-$C$6)*($D$6-$C$6)),$E$6-SQRT((1-$AB3686)*($E$6-$C$6)*($E$6-$D$6)))</f>
        <v/>
      </c>
      <c r="O3686" s="14">
        <f>_xlfn.NORM.INV($AC3686,$C$7,$D$7)</f>
        <v/>
      </c>
      <c r="P3686" s="14">
        <f>$C$8+($D$8-$C$8)*$AD3686</f>
        <v/>
      </c>
      <c r="Q3686" s="14">
        <f>$C$9</f>
        <v/>
      </c>
      <c r="R3686" s="14">
        <f>_xlfn.LOGNORM.INV($AF3686,LN($C$10)-0.5*LN(1+($D$10/$C$10)^2),SQRT(LN(1+($D$10/$C$10)^2)))</f>
        <v/>
      </c>
      <c r="S3686" s="14">
        <f>SUM(M3686:R3686)</f>
        <v/>
      </c>
      <c r="AA3686">
        <f>RAND()</f>
        <v/>
      </c>
      <c r="AB3686">
        <f>RAND()</f>
        <v/>
      </c>
      <c r="AC3686">
        <f>RAND()</f>
        <v/>
      </c>
      <c r="AD3686">
        <f>RAND()</f>
        <v/>
      </c>
      <c r="AE3686">
        <f>RAND()</f>
        <v/>
      </c>
      <c r="AF3686">
        <f>RAND()</f>
        <v/>
      </c>
    </row>
    <row r="3687">
      <c r="M3687" s="14">
        <f>_xlfn.BETA.INV($AA3687,1+4*($D$5-$C$5)/($E$5-$C$5),1+4*($E$5-$D$5)/($E$5-$C$5),$C$5,$E$5)</f>
        <v/>
      </c>
      <c r="N3687" s="14">
        <f>IF($AB3687&lt;($D$6-$C$6)/($E$6-$C$6),$C$6+SQRT($AB3687*($E$6-$C$6)*($D$6-$C$6)),$E$6-SQRT((1-$AB3687)*($E$6-$C$6)*($E$6-$D$6)))</f>
        <v/>
      </c>
      <c r="O3687" s="14">
        <f>_xlfn.NORM.INV($AC3687,$C$7,$D$7)</f>
        <v/>
      </c>
      <c r="P3687" s="14">
        <f>$C$8+($D$8-$C$8)*$AD3687</f>
        <v/>
      </c>
      <c r="Q3687" s="14">
        <f>$C$9</f>
        <v/>
      </c>
      <c r="R3687" s="14">
        <f>_xlfn.LOGNORM.INV($AF3687,LN($C$10)-0.5*LN(1+($D$10/$C$10)^2),SQRT(LN(1+($D$10/$C$10)^2)))</f>
        <v/>
      </c>
      <c r="S3687" s="14">
        <f>SUM(M3687:R3687)</f>
        <v/>
      </c>
      <c r="AA3687">
        <f>RAND()</f>
        <v/>
      </c>
      <c r="AB3687">
        <f>RAND()</f>
        <v/>
      </c>
      <c r="AC3687">
        <f>RAND()</f>
        <v/>
      </c>
      <c r="AD3687">
        <f>RAND()</f>
        <v/>
      </c>
      <c r="AE3687">
        <f>RAND()</f>
        <v/>
      </c>
      <c r="AF3687">
        <f>RAND()</f>
        <v/>
      </c>
    </row>
    <row r="3688">
      <c r="M3688" s="14">
        <f>_xlfn.BETA.INV($AA3688,1+4*($D$5-$C$5)/($E$5-$C$5),1+4*($E$5-$D$5)/($E$5-$C$5),$C$5,$E$5)</f>
        <v/>
      </c>
      <c r="N3688" s="14">
        <f>IF($AB3688&lt;($D$6-$C$6)/($E$6-$C$6),$C$6+SQRT($AB3688*($E$6-$C$6)*($D$6-$C$6)),$E$6-SQRT((1-$AB3688)*($E$6-$C$6)*($E$6-$D$6)))</f>
        <v/>
      </c>
      <c r="O3688" s="14">
        <f>_xlfn.NORM.INV($AC3688,$C$7,$D$7)</f>
        <v/>
      </c>
      <c r="P3688" s="14">
        <f>$C$8+($D$8-$C$8)*$AD3688</f>
        <v/>
      </c>
      <c r="Q3688" s="14">
        <f>$C$9</f>
        <v/>
      </c>
      <c r="R3688" s="14">
        <f>_xlfn.LOGNORM.INV($AF3688,LN($C$10)-0.5*LN(1+($D$10/$C$10)^2),SQRT(LN(1+($D$10/$C$10)^2)))</f>
        <v/>
      </c>
      <c r="S3688" s="14">
        <f>SUM(M3688:R3688)</f>
        <v/>
      </c>
      <c r="AA3688">
        <f>RAND()</f>
        <v/>
      </c>
      <c r="AB3688">
        <f>RAND()</f>
        <v/>
      </c>
      <c r="AC3688">
        <f>RAND()</f>
        <v/>
      </c>
      <c r="AD3688">
        <f>RAND()</f>
        <v/>
      </c>
      <c r="AE3688">
        <f>RAND()</f>
        <v/>
      </c>
      <c r="AF3688">
        <f>RAND()</f>
        <v/>
      </c>
    </row>
    <row r="3689">
      <c r="M3689" s="14">
        <f>_xlfn.BETA.INV($AA3689,1+4*($D$5-$C$5)/($E$5-$C$5),1+4*($E$5-$D$5)/($E$5-$C$5),$C$5,$E$5)</f>
        <v/>
      </c>
      <c r="N3689" s="14">
        <f>IF($AB3689&lt;($D$6-$C$6)/($E$6-$C$6),$C$6+SQRT($AB3689*($E$6-$C$6)*($D$6-$C$6)),$E$6-SQRT((1-$AB3689)*($E$6-$C$6)*($E$6-$D$6)))</f>
        <v/>
      </c>
      <c r="O3689" s="14">
        <f>_xlfn.NORM.INV($AC3689,$C$7,$D$7)</f>
        <v/>
      </c>
      <c r="P3689" s="14">
        <f>$C$8+($D$8-$C$8)*$AD3689</f>
        <v/>
      </c>
      <c r="Q3689" s="14">
        <f>$C$9</f>
        <v/>
      </c>
      <c r="R3689" s="14">
        <f>_xlfn.LOGNORM.INV($AF3689,LN($C$10)-0.5*LN(1+($D$10/$C$10)^2),SQRT(LN(1+($D$10/$C$10)^2)))</f>
        <v/>
      </c>
      <c r="S3689" s="14">
        <f>SUM(M3689:R3689)</f>
        <v/>
      </c>
      <c r="AA3689">
        <f>RAND()</f>
        <v/>
      </c>
      <c r="AB3689">
        <f>RAND()</f>
        <v/>
      </c>
      <c r="AC3689">
        <f>RAND()</f>
        <v/>
      </c>
      <c r="AD3689">
        <f>RAND()</f>
        <v/>
      </c>
      <c r="AE3689">
        <f>RAND()</f>
        <v/>
      </c>
      <c r="AF3689">
        <f>RAND()</f>
        <v/>
      </c>
    </row>
    <row r="3690">
      <c r="M3690" s="14">
        <f>_xlfn.BETA.INV($AA3690,1+4*($D$5-$C$5)/($E$5-$C$5),1+4*($E$5-$D$5)/($E$5-$C$5),$C$5,$E$5)</f>
        <v/>
      </c>
      <c r="N3690" s="14">
        <f>IF($AB3690&lt;($D$6-$C$6)/($E$6-$C$6),$C$6+SQRT($AB3690*($E$6-$C$6)*($D$6-$C$6)),$E$6-SQRT((1-$AB3690)*($E$6-$C$6)*($E$6-$D$6)))</f>
        <v/>
      </c>
      <c r="O3690" s="14">
        <f>_xlfn.NORM.INV($AC3690,$C$7,$D$7)</f>
        <v/>
      </c>
      <c r="P3690" s="14">
        <f>$C$8+($D$8-$C$8)*$AD3690</f>
        <v/>
      </c>
      <c r="Q3690" s="14">
        <f>$C$9</f>
        <v/>
      </c>
      <c r="R3690" s="14">
        <f>_xlfn.LOGNORM.INV($AF3690,LN($C$10)-0.5*LN(1+($D$10/$C$10)^2),SQRT(LN(1+($D$10/$C$10)^2)))</f>
        <v/>
      </c>
      <c r="S3690" s="14">
        <f>SUM(M3690:R3690)</f>
        <v/>
      </c>
      <c r="AA3690">
        <f>RAND()</f>
        <v/>
      </c>
      <c r="AB3690">
        <f>RAND()</f>
        <v/>
      </c>
      <c r="AC3690">
        <f>RAND()</f>
        <v/>
      </c>
      <c r="AD3690">
        <f>RAND()</f>
        <v/>
      </c>
      <c r="AE3690">
        <f>RAND()</f>
        <v/>
      </c>
      <c r="AF3690">
        <f>RAND()</f>
        <v/>
      </c>
    </row>
    <row r="3691">
      <c r="M3691" s="14">
        <f>_xlfn.BETA.INV($AA3691,1+4*($D$5-$C$5)/($E$5-$C$5),1+4*($E$5-$D$5)/($E$5-$C$5),$C$5,$E$5)</f>
        <v/>
      </c>
      <c r="N3691" s="14">
        <f>IF($AB3691&lt;($D$6-$C$6)/($E$6-$C$6),$C$6+SQRT($AB3691*($E$6-$C$6)*($D$6-$C$6)),$E$6-SQRT((1-$AB3691)*($E$6-$C$6)*($E$6-$D$6)))</f>
        <v/>
      </c>
      <c r="O3691" s="14">
        <f>_xlfn.NORM.INV($AC3691,$C$7,$D$7)</f>
        <v/>
      </c>
      <c r="P3691" s="14">
        <f>$C$8+($D$8-$C$8)*$AD3691</f>
        <v/>
      </c>
      <c r="Q3691" s="14">
        <f>$C$9</f>
        <v/>
      </c>
      <c r="R3691" s="14">
        <f>_xlfn.LOGNORM.INV($AF3691,LN($C$10)-0.5*LN(1+($D$10/$C$10)^2),SQRT(LN(1+($D$10/$C$10)^2)))</f>
        <v/>
      </c>
      <c r="S3691" s="14">
        <f>SUM(M3691:R3691)</f>
        <v/>
      </c>
      <c r="AA3691">
        <f>RAND()</f>
        <v/>
      </c>
      <c r="AB3691">
        <f>RAND()</f>
        <v/>
      </c>
      <c r="AC3691">
        <f>RAND()</f>
        <v/>
      </c>
      <c r="AD3691">
        <f>RAND()</f>
        <v/>
      </c>
      <c r="AE3691">
        <f>RAND()</f>
        <v/>
      </c>
      <c r="AF3691">
        <f>RAND()</f>
        <v/>
      </c>
    </row>
    <row r="3692">
      <c r="M3692" s="14">
        <f>_xlfn.BETA.INV($AA3692,1+4*($D$5-$C$5)/($E$5-$C$5),1+4*($E$5-$D$5)/($E$5-$C$5),$C$5,$E$5)</f>
        <v/>
      </c>
      <c r="N3692" s="14">
        <f>IF($AB3692&lt;($D$6-$C$6)/($E$6-$C$6),$C$6+SQRT($AB3692*($E$6-$C$6)*($D$6-$C$6)),$E$6-SQRT((1-$AB3692)*($E$6-$C$6)*($E$6-$D$6)))</f>
        <v/>
      </c>
      <c r="O3692" s="14">
        <f>_xlfn.NORM.INV($AC3692,$C$7,$D$7)</f>
        <v/>
      </c>
      <c r="P3692" s="14">
        <f>$C$8+($D$8-$C$8)*$AD3692</f>
        <v/>
      </c>
      <c r="Q3692" s="14">
        <f>$C$9</f>
        <v/>
      </c>
      <c r="R3692" s="14">
        <f>_xlfn.LOGNORM.INV($AF3692,LN($C$10)-0.5*LN(1+($D$10/$C$10)^2),SQRT(LN(1+($D$10/$C$10)^2)))</f>
        <v/>
      </c>
      <c r="S3692" s="14">
        <f>SUM(M3692:R3692)</f>
        <v/>
      </c>
      <c r="AA3692">
        <f>RAND()</f>
        <v/>
      </c>
      <c r="AB3692">
        <f>RAND()</f>
        <v/>
      </c>
      <c r="AC3692">
        <f>RAND()</f>
        <v/>
      </c>
      <c r="AD3692">
        <f>RAND()</f>
        <v/>
      </c>
      <c r="AE3692">
        <f>RAND()</f>
        <v/>
      </c>
      <c r="AF3692">
        <f>RAND()</f>
        <v/>
      </c>
    </row>
    <row r="3693">
      <c r="M3693" s="14">
        <f>_xlfn.BETA.INV($AA3693,1+4*($D$5-$C$5)/($E$5-$C$5),1+4*($E$5-$D$5)/($E$5-$C$5),$C$5,$E$5)</f>
        <v/>
      </c>
      <c r="N3693" s="14">
        <f>IF($AB3693&lt;($D$6-$C$6)/($E$6-$C$6),$C$6+SQRT($AB3693*($E$6-$C$6)*($D$6-$C$6)),$E$6-SQRT((1-$AB3693)*($E$6-$C$6)*($E$6-$D$6)))</f>
        <v/>
      </c>
      <c r="O3693" s="14">
        <f>_xlfn.NORM.INV($AC3693,$C$7,$D$7)</f>
        <v/>
      </c>
      <c r="P3693" s="14">
        <f>$C$8+($D$8-$C$8)*$AD3693</f>
        <v/>
      </c>
      <c r="Q3693" s="14">
        <f>$C$9</f>
        <v/>
      </c>
      <c r="R3693" s="14">
        <f>_xlfn.LOGNORM.INV($AF3693,LN($C$10)-0.5*LN(1+($D$10/$C$10)^2),SQRT(LN(1+($D$10/$C$10)^2)))</f>
        <v/>
      </c>
      <c r="S3693" s="14">
        <f>SUM(M3693:R3693)</f>
        <v/>
      </c>
      <c r="AA3693">
        <f>RAND()</f>
        <v/>
      </c>
      <c r="AB3693">
        <f>RAND()</f>
        <v/>
      </c>
      <c r="AC3693">
        <f>RAND()</f>
        <v/>
      </c>
      <c r="AD3693">
        <f>RAND()</f>
        <v/>
      </c>
      <c r="AE3693">
        <f>RAND()</f>
        <v/>
      </c>
      <c r="AF3693">
        <f>RAND()</f>
        <v/>
      </c>
    </row>
    <row r="3694">
      <c r="M3694" s="14">
        <f>_xlfn.BETA.INV($AA3694,1+4*($D$5-$C$5)/($E$5-$C$5),1+4*($E$5-$D$5)/($E$5-$C$5),$C$5,$E$5)</f>
        <v/>
      </c>
      <c r="N3694" s="14">
        <f>IF($AB3694&lt;($D$6-$C$6)/($E$6-$C$6),$C$6+SQRT($AB3694*($E$6-$C$6)*($D$6-$C$6)),$E$6-SQRT((1-$AB3694)*($E$6-$C$6)*($E$6-$D$6)))</f>
        <v/>
      </c>
      <c r="O3694" s="14">
        <f>_xlfn.NORM.INV($AC3694,$C$7,$D$7)</f>
        <v/>
      </c>
      <c r="P3694" s="14">
        <f>$C$8+($D$8-$C$8)*$AD3694</f>
        <v/>
      </c>
      <c r="Q3694" s="14">
        <f>$C$9</f>
        <v/>
      </c>
      <c r="R3694" s="14">
        <f>_xlfn.LOGNORM.INV($AF3694,LN($C$10)-0.5*LN(1+($D$10/$C$10)^2),SQRT(LN(1+($D$10/$C$10)^2)))</f>
        <v/>
      </c>
      <c r="S3694" s="14">
        <f>SUM(M3694:R3694)</f>
        <v/>
      </c>
      <c r="AA3694">
        <f>RAND()</f>
        <v/>
      </c>
      <c r="AB3694">
        <f>RAND()</f>
        <v/>
      </c>
      <c r="AC3694">
        <f>RAND()</f>
        <v/>
      </c>
      <c r="AD3694">
        <f>RAND()</f>
        <v/>
      </c>
      <c r="AE3694">
        <f>RAND()</f>
        <v/>
      </c>
      <c r="AF3694">
        <f>RAND()</f>
        <v/>
      </c>
    </row>
    <row r="3695">
      <c r="M3695" s="14">
        <f>_xlfn.BETA.INV($AA3695,1+4*($D$5-$C$5)/($E$5-$C$5),1+4*($E$5-$D$5)/($E$5-$C$5),$C$5,$E$5)</f>
        <v/>
      </c>
      <c r="N3695" s="14">
        <f>IF($AB3695&lt;($D$6-$C$6)/($E$6-$C$6),$C$6+SQRT($AB3695*($E$6-$C$6)*($D$6-$C$6)),$E$6-SQRT((1-$AB3695)*($E$6-$C$6)*($E$6-$D$6)))</f>
        <v/>
      </c>
      <c r="O3695" s="14">
        <f>_xlfn.NORM.INV($AC3695,$C$7,$D$7)</f>
        <v/>
      </c>
      <c r="P3695" s="14">
        <f>$C$8+($D$8-$C$8)*$AD3695</f>
        <v/>
      </c>
      <c r="Q3695" s="14">
        <f>$C$9</f>
        <v/>
      </c>
      <c r="R3695" s="14">
        <f>_xlfn.LOGNORM.INV($AF3695,LN($C$10)-0.5*LN(1+($D$10/$C$10)^2),SQRT(LN(1+($D$10/$C$10)^2)))</f>
        <v/>
      </c>
      <c r="S3695" s="14">
        <f>SUM(M3695:R3695)</f>
        <v/>
      </c>
      <c r="AA3695">
        <f>RAND()</f>
        <v/>
      </c>
      <c r="AB3695">
        <f>RAND()</f>
        <v/>
      </c>
      <c r="AC3695">
        <f>RAND()</f>
        <v/>
      </c>
      <c r="AD3695">
        <f>RAND()</f>
        <v/>
      </c>
      <c r="AE3695">
        <f>RAND()</f>
        <v/>
      </c>
      <c r="AF3695">
        <f>RAND()</f>
        <v/>
      </c>
    </row>
    <row r="3696">
      <c r="M3696" s="14">
        <f>_xlfn.BETA.INV($AA3696,1+4*($D$5-$C$5)/($E$5-$C$5),1+4*($E$5-$D$5)/($E$5-$C$5),$C$5,$E$5)</f>
        <v/>
      </c>
      <c r="N3696" s="14">
        <f>IF($AB3696&lt;($D$6-$C$6)/($E$6-$C$6),$C$6+SQRT($AB3696*($E$6-$C$6)*($D$6-$C$6)),$E$6-SQRT((1-$AB3696)*($E$6-$C$6)*($E$6-$D$6)))</f>
        <v/>
      </c>
      <c r="O3696" s="14">
        <f>_xlfn.NORM.INV($AC3696,$C$7,$D$7)</f>
        <v/>
      </c>
      <c r="P3696" s="14">
        <f>$C$8+($D$8-$C$8)*$AD3696</f>
        <v/>
      </c>
      <c r="Q3696" s="14">
        <f>$C$9</f>
        <v/>
      </c>
      <c r="R3696" s="14">
        <f>_xlfn.LOGNORM.INV($AF3696,LN($C$10)-0.5*LN(1+($D$10/$C$10)^2),SQRT(LN(1+($D$10/$C$10)^2)))</f>
        <v/>
      </c>
      <c r="S3696" s="14">
        <f>SUM(M3696:R3696)</f>
        <v/>
      </c>
      <c r="AA3696">
        <f>RAND()</f>
        <v/>
      </c>
      <c r="AB3696">
        <f>RAND()</f>
        <v/>
      </c>
      <c r="AC3696">
        <f>RAND()</f>
        <v/>
      </c>
      <c r="AD3696">
        <f>RAND()</f>
        <v/>
      </c>
      <c r="AE3696">
        <f>RAND()</f>
        <v/>
      </c>
      <c r="AF3696">
        <f>RAND()</f>
        <v/>
      </c>
    </row>
    <row r="3697">
      <c r="M3697" s="14">
        <f>_xlfn.BETA.INV($AA3697,1+4*($D$5-$C$5)/($E$5-$C$5),1+4*($E$5-$D$5)/($E$5-$C$5),$C$5,$E$5)</f>
        <v/>
      </c>
      <c r="N3697" s="14">
        <f>IF($AB3697&lt;($D$6-$C$6)/($E$6-$C$6),$C$6+SQRT($AB3697*($E$6-$C$6)*($D$6-$C$6)),$E$6-SQRT((1-$AB3697)*($E$6-$C$6)*($E$6-$D$6)))</f>
        <v/>
      </c>
      <c r="O3697" s="14">
        <f>_xlfn.NORM.INV($AC3697,$C$7,$D$7)</f>
        <v/>
      </c>
      <c r="P3697" s="14">
        <f>$C$8+($D$8-$C$8)*$AD3697</f>
        <v/>
      </c>
      <c r="Q3697" s="14">
        <f>$C$9</f>
        <v/>
      </c>
      <c r="R3697" s="14">
        <f>_xlfn.LOGNORM.INV($AF3697,LN($C$10)-0.5*LN(1+($D$10/$C$10)^2),SQRT(LN(1+($D$10/$C$10)^2)))</f>
        <v/>
      </c>
      <c r="S3697" s="14">
        <f>SUM(M3697:R3697)</f>
        <v/>
      </c>
      <c r="AA3697">
        <f>RAND()</f>
        <v/>
      </c>
      <c r="AB3697">
        <f>RAND()</f>
        <v/>
      </c>
      <c r="AC3697">
        <f>RAND()</f>
        <v/>
      </c>
      <c r="AD3697">
        <f>RAND()</f>
        <v/>
      </c>
      <c r="AE3697">
        <f>RAND()</f>
        <v/>
      </c>
      <c r="AF3697">
        <f>RAND()</f>
        <v/>
      </c>
    </row>
    <row r="3698">
      <c r="M3698" s="14">
        <f>_xlfn.BETA.INV($AA3698,1+4*($D$5-$C$5)/($E$5-$C$5),1+4*($E$5-$D$5)/($E$5-$C$5),$C$5,$E$5)</f>
        <v/>
      </c>
      <c r="N3698" s="14">
        <f>IF($AB3698&lt;($D$6-$C$6)/($E$6-$C$6),$C$6+SQRT($AB3698*($E$6-$C$6)*($D$6-$C$6)),$E$6-SQRT((1-$AB3698)*($E$6-$C$6)*($E$6-$D$6)))</f>
        <v/>
      </c>
      <c r="O3698" s="14">
        <f>_xlfn.NORM.INV($AC3698,$C$7,$D$7)</f>
        <v/>
      </c>
      <c r="P3698" s="14">
        <f>$C$8+($D$8-$C$8)*$AD3698</f>
        <v/>
      </c>
      <c r="Q3698" s="14">
        <f>$C$9</f>
        <v/>
      </c>
      <c r="R3698" s="14">
        <f>_xlfn.LOGNORM.INV($AF3698,LN($C$10)-0.5*LN(1+($D$10/$C$10)^2),SQRT(LN(1+($D$10/$C$10)^2)))</f>
        <v/>
      </c>
      <c r="S3698" s="14">
        <f>SUM(M3698:R3698)</f>
        <v/>
      </c>
      <c r="AA3698">
        <f>RAND()</f>
        <v/>
      </c>
      <c r="AB3698">
        <f>RAND()</f>
        <v/>
      </c>
      <c r="AC3698">
        <f>RAND()</f>
        <v/>
      </c>
      <c r="AD3698">
        <f>RAND()</f>
        <v/>
      </c>
      <c r="AE3698">
        <f>RAND()</f>
        <v/>
      </c>
      <c r="AF3698">
        <f>RAND()</f>
        <v/>
      </c>
    </row>
    <row r="3699">
      <c r="M3699" s="14">
        <f>_xlfn.BETA.INV($AA3699,1+4*($D$5-$C$5)/($E$5-$C$5),1+4*($E$5-$D$5)/($E$5-$C$5),$C$5,$E$5)</f>
        <v/>
      </c>
      <c r="N3699" s="14">
        <f>IF($AB3699&lt;($D$6-$C$6)/($E$6-$C$6),$C$6+SQRT($AB3699*($E$6-$C$6)*($D$6-$C$6)),$E$6-SQRT((1-$AB3699)*($E$6-$C$6)*($E$6-$D$6)))</f>
        <v/>
      </c>
      <c r="O3699" s="14">
        <f>_xlfn.NORM.INV($AC3699,$C$7,$D$7)</f>
        <v/>
      </c>
      <c r="P3699" s="14">
        <f>$C$8+($D$8-$C$8)*$AD3699</f>
        <v/>
      </c>
      <c r="Q3699" s="14">
        <f>$C$9</f>
        <v/>
      </c>
      <c r="R3699" s="14">
        <f>_xlfn.LOGNORM.INV($AF3699,LN($C$10)-0.5*LN(1+($D$10/$C$10)^2),SQRT(LN(1+($D$10/$C$10)^2)))</f>
        <v/>
      </c>
      <c r="S3699" s="14">
        <f>SUM(M3699:R3699)</f>
        <v/>
      </c>
      <c r="AA3699">
        <f>RAND()</f>
        <v/>
      </c>
      <c r="AB3699">
        <f>RAND()</f>
        <v/>
      </c>
      <c r="AC3699">
        <f>RAND()</f>
        <v/>
      </c>
      <c r="AD3699">
        <f>RAND()</f>
        <v/>
      </c>
      <c r="AE3699">
        <f>RAND()</f>
        <v/>
      </c>
      <c r="AF3699">
        <f>RAND()</f>
        <v/>
      </c>
    </row>
    <row r="3700">
      <c r="M3700" s="14">
        <f>_xlfn.BETA.INV($AA3700,1+4*($D$5-$C$5)/($E$5-$C$5),1+4*($E$5-$D$5)/($E$5-$C$5),$C$5,$E$5)</f>
        <v/>
      </c>
      <c r="N3700" s="14">
        <f>IF($AB3700&lt;($D$6-$C$6)/($E$6-$C$6),$C$6+SQRT($AB3700*($E$6-$C$6)*($D$6-$C$6)),$E$6-SQRT((1-$AB3700)*($E$6-$C$6)*($E$6-$D$6)))</f>
        <v/>
      </c>
      <c r="O3700" s="14">
        <f>_xlfn.NORM.INV($AC3700,$C$7,$D$7)</f>
        <v/>
      </c>
      <c r="P3700" s="14">
        <f>$C$8+($D$8-$C$8)*$AD3700</f>
        <v/>
      </c>
      <c r="Q3700" s="14">
        <f>$C$9</f>
        <v/>
      </c>
      <c r="R3700" s="14">
        <f>_xlfn.LOGNORM.INV($AF3700,LN($C$10)-0.5*LN(1+($D$10/$C$10)^2),SQRT(LN(1+($D$10/$C$10)^2)))</f>
        <v/>
      </c>
      <c r="S3700" s="14">
        <f>SUM(M3700:R3700)</f>
        <v/>
      </c>
      <c r="AA3700">
        <f>RAND()</f>
        <v/>
      </c>
      <c r="AB3700">
        <f>RAND()</f>
        <v/>
      </c>
      <c r="AC3700">
        <f>RAND()</f>
        <v/>
      </c>
      <c r="AD3700">
        <f>RAND()</f>
        <v/>
      </c>
      <c r="AE3700">
        <f>RAND()</f>
        <v/>
      </c>
      <c r="AF3700">
        <f>RAND()</f>
        <v/>
      </c>
    </row>
    <row r="3701">
      <c r="M3701" s="14">
        <f>_xlfn.BETA.INV($AA3701,1+4*($D$5-$C$5)/($E$5-$C$5),1+4*($E$5-$D$5)/($E$5-$C$5),$C$5,$E$5)</f>
        <v/>
      </c>
      <c r="N3701" s="14">
        <f>IF($AB3701&lt;($D$6-$C$6)/($E$6-$C$6),$C$6+SQRT($AB3701*($E$6-$C$6)*($D$6-$C$6)),$E$6-SQRT((1-$AB3701)*($E$6-$C$6)*($E$6-$D$6)))</f>
        <v/>
      </c>
      <c r="O3701" s="14">
        <f>_xlfn.NORM.INV($AC3701,$C$7,$D$7)</f>
        <v/>
      </c>
      <c r="P3701" s="14">
        <f>$C$8+($D$8-$C$8)*$AD3701</f>
        <v/>
      </c>
      <c r="Q3701" s="14">
        <f>$C$9</f>
        <v/>
      </c>
      <c r="R3701" s="14">
        <f>_xlfn.LOGNORM.INV($AF3701,LN($C$10)-0.5*LN(1+($D$10/$C$10)^2),SQRT(LN(1+($D$10/$C$10)^2)))</f>
        <v/>
      </c>
      <c r="S3701" s="14">
        <f>SUM(M3701:R3701)</f>
        <v/>
      </c>
      <c r="AA3701">
        <f>RAND()</f>
        <v/>
      </c>
      <c r="AB3701">
        <f>RAND()</f>
        <v/>
      </c>
      <c r="AC3701">
        <f>RAND()</f>
        <v/>
      </c>
      <c r="AD3701">
        <f>RAND()</f>
        <v/>
      </c>
      <c r="AE3701">
        <f>RAND()</f>
        <v/>
      </c>
      <c r="AF3701">
        <f>RAND()</f>
        <v/>
      </c>
    </row>
    <row r="3702">
      <c r="M3702" s="14">
        <f>_xlfn.BETA.INV($AA3702,1+4*($D$5-$C$5)/($E$5-$C$5),1+4*($E$5-$D$5)/($E$5-$C$5),$C$5,$E$5)</f>
        <v/>
      </c>
      <c r="N3702" s="14">
        <f>IF($AB3702&lt;($D$6-$C$6)/($E$6-$C$6),$C$6+SQRT($AB3702*($E$6-$C$6)*($D$6-$C$6)),$E$6-SQRT((1-$AB3702)*($E$6-$C$6)*($E$6-$D$6)))</f>
        <v/>
      </c>
      <c r="O3702" s="14">
        <f>_xlfn.NORM.INV($AC3702,$C$7,$D$7)</f>
        <v/>
      </c>
      <c r="P3702" s="14">
        <f>$C$8+($D$8-$C$8)*$AD3702</f>
        <v/>
      </c>
      <c r="Q3702" s="14">
        <f>$C$9</f>
        <v/>
      </c>
      <c r="R3702" s="14">
        <f>_xlfn.LOGNORM.INV($AF3702,LN($C$10)-0.5*LN(1+($D$10/$C$10)^2),SQRT(LN(1+($D$10/$C$10)^2)))</f>
        <v/>
      </c>
      <c r="S3702" s="14">
        <f>SUM(M3702:R3702)</f>
        <v/>
      </c>
      <c r="AA3702">
        <f>RAND()</f>
        <v/>
      </c>
      <c r="AB3702">
        <f>RAND()</f>
        <v/>
      </c>
      <c r="AC3702">
        <f>RAND()</f>
        <v/>
      </c>
      <c r="AD3702">
        <f>RAND()</f>
        <v/>
      </c>
      <c r="AE3702">
        <f>RAND()</f>
        <v/>
      </c>
      <c r="AF3702">
        <f>RAND()</f>
        <v/>
      </c>
    </row>
    <row r="3703">
      <c r="M3703" s="14">
        <f>_xlfn.BETA.INV($AA3703,1+4*($D$5-$C$5)/($E$5-$C$5),1+4*($E$5-$D$5)/($E$5-$C$5),$C$5,$E$5)</f>
        <v/>
      </c>
      <c r="N3703" s="14">
        <f>IF($AB3703&lt;($D$6-$C$6)/($E$6-$C$6),$C$6+SQRT($AB3703*($E$6-$C$6)*($D$6-$C$6)),$E$6-SQRT((1-$AB3703)*($E$6-$C$6)*($E$6-$D$6)))</f>
        <v/>
      </c>
      <c r="O3703" s="14">
        <f>_xlfn.NORM.INV($AC3703,$C$7,$D$7)</f>
        <v/>
      </c>
      <c r="P3703" s="14">
        <f>$C$8+($D$8-$C$8)*$AD3703</f>
        <v/>
      </c>
      <c r="Q3703" s="14">
        <f>$C$9</f>
        <v/>
      </c>
      <c r="R3703" s="14">
        <f>_xlfn.LOGNORM.INV($AF3703,LN($C$10)-0.5*LN(1+($D$10/$C$10)^2),SQRT(LN(1+($D$10/$C$10)^2)))</f>
        <v/>
      </c>
      <c r="S3703" s="14">
        <f>SUM(M3703:R3703)</f>
        <v/>
      </c>
      <c r="AA3703">
        <f>RAND()</f>
        <v/>
      </c>
      <c r="AB3703">
        <f>RAND()</f>
        <v/>
      </c>
      <c r="AC3703">
        <f>RAND()</f>
        <v/>
      </c>
      <c r="AD3703">
        <f>RAND()</f>
        <v/>
      </c>
      <c r="AE3703">
        <f>RAND()</f>
        <v/>
      </c>
      <c r="AF3703">
        <f>RAND()</f>
        <v/>
      </c>
    </row>
    <row r="3704">
      <c r="M3704" s="14">
        <f>_xlfn.BETA.INV($AA3704,1+4*($D$5-$C$5)/($E$5-$C$5),1+4*($E$5-$D$5)/($E$5-$C$5),$C$5,$E$5)</f>
        <v/>
      </c>
      <c r="N3704" s="14">
        <f>IF($AB3704&lt;($D$6-$C$6)/($E$6-$C$6),$C$6+SQRT($AB3704*($E$6-$C$6)*($D$6-$C$6)),$E$6-SQRT((1-$AB3704)*($E$6-$C$6)*($E$6-$D$6)))</f>
        <v/>
      </c>
      <c r="O3704" s="14">
        <f>_xlfn.NORM.INV($AC3704,$C$7,$D$7)</f>
        <v/>
      </c>
      <c r="P3704" s="14">
        <f>$C$8+($D$8-$C$8)*$AD3704</f>
        <v/>
      </c>
      <c r="Q3704" s="14">
        <f>$C$9</f>
        <v/>
      </c>
      <c r="R3704" s="14">
        <f>_xlfn.LOGNORM.INV($AF3704,LN($C$10)-0.5*LN(1+($D$10/$C$10)^2),SQRT(LN(1+($D$10/$C$10)^2)))</f>
        <v/>
      </c>
      <c r="S3704" s="14">
        <f>SUM(M3704:R3704)</f>
        <v/>
      </c>
      <c r="AA3704">
        <f>RAND()</f>
        <v/>
      </c>
      <c r="AB3704">
        <f>RAND()</f>
        <v/>
      </c>
      <c r="AC3704">
        <f>RAND()</f>
        <v/>
      </c>
      <c r="AD3704">
        <f>RAND()</f>
        <v/>
      </c>
      <c r="AE3704">
        <f>RAND()</f>
        <v/>
      </c>
      <c r="AF3704">
        <f>RAND()</f>
        <v/>
      </c>
    </row>
    <row r="3705">
      <c r="M3705" s="14">
        <f>_xlfn.BETA.INV($AA3705,1+4*($D$5-$C$5)/($E$5-$C$5),1+4*($E$5-$D$5)/($E$5-$C$5),$C$5,$E$5)</f>
        <v/>
      </c>
      <c r="N3705" s="14">
        <f>IF($AB3705&lt;($D$6-$C$6)/($E$6-$C$6),$C$6+SQRT($AB3705*($E$6-$C$6)*($D$6-$C$6)),$E$6-SQRT((1-$AB3705)*($E$6-$C$6)*($E$6-$D$6)))</f>
        <v/>
      </c>
      <c r="O3705" s="14">
        <f>_xlfn.NORM.INV($AC3705,$C$7,$D$7)</f>
        <v/>
      </c>
      <c r="P3705" s="14">
        <f>$C$8+($D$8-$C$8)*$AD3705</f>
        <v/>
      </c>
      <c r="Q3705" s="14">
        <f>$C$9</f>
        <v/>
      </c>
      <c r="R3705" s="14">
        <f>_xlfn.LOGNORM.INV($AF3705,LN($C$10)-0.5*LN(1+($D$10/$C$10)^2),SQRT(LN(1+($D$10/$C$10)^2)))</f>
        <v/>
      </c>
      <c r="S3705" s="14">
        <f>SUM(M3705:R3705)</f>
        <v/>
      </c>
      <c r="AA3705">
        <f>RAND()</f>
        <v/>
      </c>
      <c r="AB3705">
        <f>RAND()</f>
        <v/>
      </c>
      <c r="AC3705">
        <f>RAND()</f>
        <v/>
      </c>
      <c r="AD3705">
        <f>RAND()</f>
        <v/>
      </c>
      <c r="AE3705">
        <f>RAND()</f>
        <v/>
      </c>
      <c r="AF3705">
        <f>RAND()</f>
        <v/>
      </c>
    </row>
    <row r="3706">
      <c r="M3706" s="14">
        <f>_xlfn.BETA.INV($AA3706,1+4*($D$5-$C$5)/($E$5-$C$5),1+4*($E$5-$D$5)/($E$5-$C$5),$C$5,$E$5)</f>
        <v/>
      </c>
      <c r="N3706" s="14">
        <f>IF($AB3706&lt;($D$6-$C$6)/($E$6-$C$6),$C$6+SQRT($AB3706*($E$6-$C$6)*($D$6-$C$6)),$E$6-SQRT((1-$AB3706)*($E$6-$C$6)*($E$6-$D$6)))</f>
        <v/>
      </c>
      <c r="O3706" s="14">
        <f>_xlfn.NORM.INV($AC3706,$C$7,$D$7)</f>
        <v/>
      </c>
      <c r="P3706" s="14">
        <f>$C$8+($D$8-$C$8)*$AD3706</f>
        <v/>
      </c>
      <c r="Q3706" s="14">
        <f>$C$9</f>
        <v/>
      </c>
      <c r="R3706" s="14">
        <f>_xlfn.LOGNORM.INV($AF3706,LN($C$10)-0.5*LN(1+($D$10/$C$10)^2),SQRT(LN(1+($D$10/$C$10)^2)))</f>
        <v/>
      </c>
      <c r="S3706" s="14">
        <f>SUM(M3706:R3706)</f>
        <v/>
      </c>
      <c r="AA3706">
        <f>RAND()</f>
        <v/>
      </c>
      <c r="AB3706">
        <f>RAND()</f>
        <v/>
      </c>
      <c r="AC3706">
        <f>RAND()</f>
        <v/>
      </c>
      <c r="AD3706">
        <f>RAND()</f>
        <v/>
      </c>
      <c r="AE3706">
        <f>RAND()</f>
        <v/>
      </c>
      <c r="AF3706">
        <f>RAND()</f>
        <v/>
      </c>
    </row>
    <row r="3707">
      <c r="M3707" s="14">
        <f>_xlfn.BETA.INV($AA3707,1+4*($D$5-$C$5)/($E$5-$C$5),1+4*($E$5-$D$5)/($E$5-$C$5),$C$5,$E$5)</f>
        <v/>
      </c>
      <c r="N3707" s="14">
        <f>IF($AB3707&lt;($D$6-$C$6)/($E$6-$C$6),$C$6+SQRT($AB3707*($E$6-$C$6)*($D$6-$C$6)),$E$6-SQRT((1-$AB3707)*($E$6-$C$6)*($E$6-$D$6)))</f>
        <v/>
      </c>
      <c r="O3707" s="14">
        <f>_xlfn.NORM.INV($AC3707,$C$7,$D$7)</f>
        <v/>
      </c>
      <c r="P3707" s="14">
        <f>$C$8+($D$8-$C$8)*$AD3707</f>
        <v/>
      </c>
      <c r="Q3707" s="14">
        <f>$C$9</f>
        <v/>
      </c>
      <c r="R3707" s="14">
        <f>_xlfn.LOGNORM.INV($AF3707,LN($C$10)-0.5*LN(1+($D$10/$C$10)^2),SQRT(LN(1+($D$10/$C$10)^2)))</f>
        <v/>
      </c>
      <c r="S3707" s="14">
        <f>SUM(M3707:R3707)</f>
        <v/>
      </c>
      <c r="AA3707">
        <f>RAND()</f>
        <v/>
      </c>
      <c r="AB3707">
        <f>RAND()</f>
        <v/>
      </c>
      <c r="AC3707">
        <f>RAND()</f>
        <v/>
      </c>
      <c r="AD3707">
        <f>RAND()</f>
        <v/>
      </c>
      <c r="AE3707">
        <f>RAND()</f>
        <v/>
      </c>
      <c r="AF3707">
        <f>RAND()</f>
        <v/>
      </c>
    </row>
    <row r="3708">
      <c r="M3708" s="14">
        <f>_xlfn.BETA.INV($AA3708,1+4*($D$5-$C$5)/($E$5-$C$5),1+4*($E$5-$D$5)/($E$5-$C$5),$C$5,$E$5)</f>
        <v/>
      </c>
      <c r="N3708" s="14">
        <f>IF($AB3708&lt;($D$6-$C$6)/($E$6-$C$6),$C$6+SQRT($AB3708*($E$6-$C$6)*($D$6-$C$6)),$E$6-SQRT((1-$AB3708)*($E$6-$C$6)*($E$6-$D$6)))</f>
        <v/>
      </c>
      <c r="O3708" s="14">
        <f>_xlfn.NORM.INV($AC3708,$C$7,$D$7)</f>
        <v/>
      </c>
      <c r="P3708" s="14">
        <f>$C$8+($D$8-$C$8)*$AD3708</f>
        <v/>
      </c>
      <c r="Q3708" s="14">
        <f>$C$9</f>
        <v/>
      </c>
      <c r="R3708" s="14">
        <f>_xlfn.LOGNORM.INV($AF3708,LN($C$10)-0.5*LN(1+($D$10/$C$10)^2),SQRT(LN(1+($D$10/$C$10)^2)))</f>
        <v/>
      </c>
      <c r="S3708" s="14">
        <f>SUM(M3708:R3708)</f>
        <v/>
      </c>
      <c r="AA3708">
        <f>RAND()</f>
        <v/>
      </c>
      <c r="AB3708">
        <f>RAND()</f>
        <v/>
      </c>
      <c r="AC3708">
        <f>RAND()</f>
        <v/>
      </c>
      <c r="AD3708">
        <f>RAND()</f>
        <v/>
      </c>
      <c r="AE3708">
        <f>RAND()</f>
        <v/>
      </c>
      <c r="AF3708">
        <f>RAND()</f>
        <v/>
      </c>
    </row>
    <row r="3709">
      <c r="M3709" s="14">
        <f>_xlfn.BETA.INV($AA3709,1+4*($D$5-$C$5)/($E$5-$C$5),1+4*($E$5-$D$5)/($E$5-$C$5),$C$5,$E$5)</f>
        <v/>
      </c>
      <c r="N3709" s="14">
        <f>IF($AB3709&lt;($D$6-$C$6)/($E$6-$C$6),$C$6+SQRT($AB3709*($E$6-$C$6)*($D$6-$C$6)),$E$6-SQRT((1-$AB3709)*($E$6-$C$6)*($E$6-$D$6)))</f>
        <v/>
      </c>
      <c r="O3709" s="14">
        <f>_xlfn.NORM.INV($AC3709,$C$7,$D$7)</f>
        <v/>
      </c>
      <c r="P3709" s="14">
        <f>$C$8+($D$8-$C$8)*$AD3709</f>
        <v/>
      </c>
      <c r="Q3709" s="14">
        <f>$C$9</f>
        <v/>
      </c>
      <c r="R3709" s="14">
        <f>_xlfn.LOGNORM.INV($AF3709,LN($C$10)-0.5*LN(1+($D$10/$C$10)^2),SQRT(LN(1+($D$10/$C$10)^2)))</f>
        <v/>
      </c>
      <c r="S3709" s="14">
        <f>SUM(M3709:R3709)</f>
        <v/>
      </c>
      <c r="AA3709">
        <f>RAND()</f>
        <v/>
      </c>
      <c r="AB3709">
        <f>RAND()</f>
        <v/>
      </c>
      <c r="AC3709">
        <f>RAND()</f>
        <v/>
      </c>
      <c r="AD3709">
        <f>RAND()</f>
        <v/>
      </c>
      <c r="AE3709">
        <f>RAND()</f>
        <v/>
      </c>
      <c r="AF3709">
        <f>RAND()</f>
        <v/>
      </c>
    </row>
    <row r="3710">
      <c r="M3710" s="14">
        <f>_xlfn.BETA.INV($AA3710,1+4*($D$5-$C$5)/($E$5-$C$5),1+4*($E$5-$D$5)/($E$5-$C$5),$C$5,$E$5)</f>
        <v/>
      </c>
      <c r="N3710" s="14">
        <f>IF($AB3710&lt;($D$6-$C$6)/($E$6-$C$6),$C$6+SQRT($AB3710*($E$6-$C$6)*($D$6-$C$6)),$E$6-SQRT((1-$AB3710)*($E$6-$C$6)*($E$6-$D$6)))</f>
        <v/>
      </c>
      <c r="O3710" s="14">
        <f>_xlfn.NORM.INV($AC3710,$C$7,$D$7)</f>
        <v/>
      </c>
      <c r="P3710" s="14">
        <f>$C$8+($D$8-$C$8)*$AD3710</f>
        <v/>
      </c>
      <c r="Q3710" s="14">
        <f>$C$9</f>
        <v/>
      </c>
      <c r="R3710" s="14">
        <f>_xlfn.LOGNORM.INV($AF3710,LN($C$10)-0.5*LN(1+($D$10/$C$10)^2),SQRT(LN(1+($D$10/$C$10)^2)))</f>
        <v/>
      </c>
      <c r="S3710" s="14">
        <f>SUM(M3710:R3710)</f>
        <v/>
      </c>
      <c r="AA3710">
        <f>RAND()</f>
        <v/>
      </c>
      <c r="AB3710">
        <f>RAND()</f>
        <v/>
      </c>
      <c r="AC3710">
        <f>RAND()</f>
        <v/>
      </c>
      <c r="AD3710">
        <f>RAND()</f>
        <v/>
      </c>
      <c r="AE3710">
        <f>RAND()</f>
        <v/>
      </c>
      <c r="AF3710">
        <f>RAND()</f>
        <v/>
      </c>
    </row>
    <row r="3711">
      <c r="M3711" s="14">
        <f>_xlfn.BETA.INV($AA3711,1+4*($D$5-$C$5)/($E$5-$C$5),1+4*($E$5-$D$5)/($E$5-$C$5),$C$5,$E$5)</f>
        <v/>
      </c>
      <c r="N3711" s="14">
        <f>IF($AB3711&lt;($D$6-$C$6)/($E$6-$C$6),$C$6+SQRT($AB3711*($E$6-$C$6)*($D$6-$C$6)),$E$6-SQRT((1-$AB3711)*($E$6-$C$6)*($E$6-$D$6)))</f>
        <v/>
      </c>
      <c r="O3711" s="14">
        <f>_xlfn.NORM.INV($AC3711,$C$7,$D$7)</f>
        <v/>
      </c>
      <c r="P3711" s="14">
        <f>$C$8+($D$8-$C$8)*$AD3711</f>
        <v/>
      </c>
      <c r="Q3711" s="14">
        <f>$C$9</f>
        <v/>
      </c>
      <c r="R3711" s="14">
        <f>_xlfn.LOGNORM.INV($AF3711,LN($C$10)-0.5*LN(1+($D$10/$C$10)^2),SQRT(LN(1+($D$10/$C$10)^2)))</f>
        <v/>
      </c>
      <c r="S3711" s="14">
        <f>SUM(M3711:R3711)</f>
        <v/>
      </c>
      <c r="AA3711">
        <f>RAND()</f>
        <v/>
      </c>
      <c r="AB3711">
        <f>RAND()</f>
        <v/>
      </c>
      <c r="AC3711">
        <f>RAND()</f>
        <v/>
      </c>
      <c r="AD3711">
        <f>RAND()</f>
        <v/>
      </c>
      <c r="AE3711">
        <f>RAND()</f>
        <v/>
      </c>
      <c r="AF3711">
        <f>RAND()</f>
        <v/>
      </c>
    </row>
    <row r="3712">
      <c r="M3712" s="14">
        <f>_xlfn.BETA.INV($AA3712,1+4*($D$5-$C$5)/($E$5-$C$5),1+4*($E$5-$D$5)/($E$5-$C$5),$C$5,$E$5)</f>
        <v/>
      </c>
      <c r="N3712" s="14">
        <f>IF($AB3712&lt;($D$6-$C$6)/($E$6-$C$6),$C$6+SQRT($AB3712*($E$6-$C$6)*($D$6-$C$6)),$E$6-SQRT((1-$AB3712)*($E$6-$C$6)*($E$6-$D$6)))</f>
        <v/>
      </c>
      <c r="O3712" s="14">
        <f>_xlfn.NORM.INV($AC3712,$C$7,$D$7)</f>
        <v/>
      </c>
      <c r="P3712" s="14">
        <f>$C$8+($D$8-$C$8)*$AD3712</f>
        <v/>
      </c>
      <c r="Q3712" s="14">
        <f>$C$9</f>
        <v/>
      </c>
      <c r="R3712" s="14">
        <f>_xlfn.LOGNORM.INV($AF3712,LN($C$10)-0.5*LN(1+($D$10/$C$10)^2),SQRT(LN(1+($D$10/$C$10)^2)))</f>
        <v/>
      </c>
      <c r="S3712" s="14">
        <f>SUM(M3712:R3712)</f>
        <v/>
      </c>
      <c r="AA3712">
        <f>RAND()</f>
        <v/>
      </c>
      <c r="AB3712">
        <f>RAND()</f>
        <v/>
      </c>
      <c r="AC3712">
        <f>RAND()</f>
        <v/>
      </c>
      <c r="AD3712">
        <f>RAND()</f>
        <v/>
      </c>
      <c r="AE3712">
        <f>RAND()</f>
        <v/>
      </c>
      <c r="AF3712">
        <f>RAND()</f>
        <v/>
      </c>
    </row>
    <row r="3713">
      <c r="M3713" s="14">
        <f>_xlfn.BETA.INV($AA3713,1+4*($D$5-$C$5)/($E$5-$C$5),1+4*($E$5-$D$5)/($E$5-$C$5),$C$5,$E$5)</f>
        <v/>
      </c>
      <c r="N3713" s="14">
        <f>IF($AB3713&lt;($D$6-$C$6)/($E$6-$C$6),$C$6+SQRT($AB3713*($E$6-$C$6)*($D$6-$C$6)),$E$6-SQRT((1-$AB3713)*($E$6-$C$6)*($E$6-$D$6)))</f>
        <v/>
      </c>
      <c r="O3713" s="14">
        <f>_xlfn.NORM.INV($AC3713,$C$7,$D$7)</f>
        <v/>
      </c>
      <c r="P3713" s="14">
        <f>$C$8+($D$8-$C$8)*$AD3713</f>
        <v/>
      </c>
      <c r="Q3713" s="14">
        <f>$C$9</f>
        <v/>
      </c>
      <c r="R3713" s="14">
        <f>_xlfn.LOGNORM.INV($AF3713,LN($C$10)-0.5*LN(1+($D$10/$C$10)^2),SQRT(LN(1+($D$10/$C$10)^2)))</f>
        <v/>
      </c>
      <c r="S3713" s="14">
        <f>SUM(M3713:R3713)</f>
        <v/>
      </c>
      <c r="AA3713">
        <f>RAND()</f>
        <v/>
      </c>
      <c r="AB3713">
        <f>RAND()</f>
        <v/>
      </c>
      <c r="AC3713">
        <f>RAND()</f>
        <v/>
      </c>
      <c r="AD3713">
        <f>RAND()</f>
        <v/>
      </c>
      <c r="AE3713">
        <f>RAND()</f>
        <v/>
      </c>
      <c r="AF3713">
        <f>RAND()</f>
        <v/>
      </c>
    </row>
    <row r="3714">
      <c r="M3714" s="14">
        <f>_xlfn.BETA.INV($AA3714,1+4*($D$5-$C$5)/($E$5-$C$5),1+4*($E$5-$D$5)/($E$5-$C$5),$C$5,$E$5)</f>
        <v/>
      </c>
      <c r="N3714" s="14">
        <f>IF($AB3714&lt;($D$6-$C$6)/($E$6-$C$6),$C$6+SQRT($AB3714*($E$6-$C$6)*($D$6-$C$6)),$E$6-SQRT((1-$AB3714)*($E$6-$C$6)*($E$6-$D$6)))</f>
        <v/>
      </c>
      <c r="O3714" s="14">
        <f>_xlfn.NORM.INV($AC3714,$C$7,$D$7)</f>
        <v/>
      </c>
      <c r="P3714" s="14">
        <f>$C$8+($D$8-$C$8)*$AD3714</f>
        <v/>
      </c>
      <c r="Q3714" s="14">
        <f>$C$9</f>
        <v/>
      </c>
      <c r="R3714" s="14">
        <f>_xlfn.LOGNORM.INV($AF3714,LN($C$10)-0.5*LN(1+($D$10/$C$10)^2),SQRT(LN(1+($D$10/$C$10)^2)))</f>
        <v/>
      </c>
      <c r="S3714" s="14">
        <f>SUM(M3714:R3714)</f>
        <v/>
      </c>
      <c r="AA3714">
        <f>RAND()</f>
        <v/>
      </c>
      <c r="AB3714">
        <f>RAND()</f>
        <v/>
      </c>
      <c r="AC3714">
        <f>RAND()</f>
        <v/>
      </c>
      <c r="AD3714">
        <f>RAND()</f>
        <v/>
      </c>
      <c r="AE3714">
        <f>RAND()</f>
        <v/>
      </c>
      <c r="AF3714">
        <f>RAND()</f>
        <v/>
      </c>
    </row>
    <row r="3715">
      <c r="M3715" s="14">
        <f>_xlfn.BETA.INV($AA3715,1+4*($D$5-$C$5)/($E$5-$C$5),1+4*($E$5-$D$5)/($E$5-$C$5),$C$5,$E$5)</f>
        <v/>
      </c>
      <c r="N3715" s="14">
        <f>IF($AB3715&lt;($D$6-$C$6)/($E$6-$C$6),$C$6+SQRT($AB3715*($E$6-$C$6)*($D$6-$C$6)),$E$6-SQRT((1-$AB3715)*($E$6-$C$6)*($E$6-$D$6)))</f>
        <v/>
      </c>
      <c r="O3715" s="14">
        <f>_xlfn.NORM.INV($AC3715,$C$7,$D$7)</f>
        <v/>
      </c>
      <c r="P3715" s="14">
        <f>$C$8+($D$8-$C$8)*$AD3715</f>
        <v/>
      </c>
      <c r="Q3715" s="14">
        <f>$C$9</f>
        <v/>
      </c>
      <c r="R3715" s="14">
        <f>_xlfn.LOGNORM.INV($AF3715,LN($C$10)-0.5*LN(1+($D$10/$C$10)^2),SQRT(LN(1+($D$10/$C$10)^2)))</f>
        <v/>
      </c>
      <c r="S3715" s="14">
        <f>SUM(M3715:R3715)</f>
        <v/>
      </c>
      <c r="AA3715">
        <f>RAND()</f>
        <v/>
      </c>
      <c r="AB3715">
        <f>RAND()</f>
        <v/>
      </c>
      <c r="AC3715">
        <f>RAND()</f>
        <v/>
      </c>
      <c r="AD3715">
        <f>RAND()</f>
        <v/>
      </c>
      <c r="AE3715">
        <f>RAND()</f>
        <v/>
      </c>
      <c r="AF3715">
        <f>RAND()</f>
        <v/>
      </c>
    </row>
    <row r="3716">
      <c r="M3716" s="14">
        <f>_xlfn.BETA.INV($AA3716,1+4*($D$5-$C$5)/($E$5-$C$5),1+4*($E$5-$D$5)/($E$5-$C$5),$C$5,$E$5)</f>
        <v/>
      </c>
      <c r="N3716" s="14">
        <f>IF($AB3716&lt;($D$6-$C$6)/($E$6-$C$6),$C$6+SQRT($AB3716*($E$6-$C$6)*($D$6-$C$6)),$E$6-SQRT((1-$AB3716)*($E$6-$C$6)*($E$6-$D$6)))</f>
        <v/>
      </c>
      <c r="O3716" s="14">
        <f>_xlfn.NORM.INV($AC3716,$C$7,$D$7)</f>
        <v/>
      </c>
      <c r="P3716" s="14">
        <f>$C$8+($D$8-$C$8)*$AD3716</f>
        <v/>
      </c>
      <c r="Q3716" s="14">
        <f>$C$9</f>
        <v/>
      </c>
      <c r="R3716" s="14">
        <f>_xlfn.LOGNORM.INV($AF3716,LN($C$10)-0.5*LN(1+($D$10/$C$10)^2),SQRT(LN(1+($D$10/$C$10)^2)))</f>
        <v/>
      </c>
      <c r="S3716" s="14">
        <f>SUM(M3716:R3716)</f>
        <v/>
      </c>
      <c r="AA3716">
        <f>RAND()</f>
        <v/>
      </c>
      <c r="AB3716">
        <f>RAND()</f>
        <v/>
      </c>
      <c r="AC3716">
        <f>RAND()</f>
        <v/>
      </c>
      <c r="AD3716">
        <f>RAND()</f>
        <v/>
      </c>
      <c r="AE3716">
        <f>RAND()</f>
        <v/>
      </c>
      <c r="AF3716">
        <f>RAND()</f>
        <v/>
      </c>
    </row>
    <row r="3717">
      <c r="M3717" s="14">
        <f>_xlfn.BETA.INV($AA3717,1+4*($D$5-$C$5)/($E$5-$C$5),1+4*($E$5-$D$5)/($E$5-$C$5),$C$5,$E$5)</f>
        <v/>
      </c>
      <c r="N3717" s="14">
        <f>IF($AB3717&lt;($D$6-$C$6)/($E$6-$C$6),$C$6+SQRT($AB3717*($E$6-$C$6)*($D$6-$C$6)),$E$6-SQRT((1-$AB3717)*($E$6-$C$6)*($E$6-$D$6)))</f>
        <v/>
      </c>
      <c r="O3717" s="14">
        <f>_xlfn.NORM.INV($AC3717,$C$7,$D$7)</f>
        <v/>
      </c>
      <c r="P3717" s="14">
        <f>$C$8+($D$8-$C$8)*$AD3717</f>
        <v/>
      </c>
      <c r="Q3717" s="14">
        <f>$C$9</f>
        <v/>
      </c>
      <c r="R3717" s="14">
        <f>_xlfn.LOGNORM.INV($AF3717,LN($C$10)-0.5*LN(1+($D$10/$C$10)^2),SQRT(LN(1+($D$10/$C$10)^2)))</f>
        <v/>
      </c>
      <c r="S3717" s="14">
        <f>SUM(M3717:R3717)</f>
        <v/>
      </c>
      <c r="AA3717">
        <f>RAND()</f>
        <v/>
      </c>
      <c r="AB3717">
        <f>RAND()</f>
        <v/>
      </c>
      <c r="AC3717">
        <f>RAND()</f>
        <v/>
      </c>
      <c r="AD3717">
        <f>RAND()</f>
        <v/>
      </c>
      <c r="AE3717">
        <f>RAND()</f>
        <v/>
      </c>
      <c r="AF3717">
        <f>RAND()</f>
        <v/>
      </c>
    </row>
    <row r="3718">
      <c r="M3718" s="14">
        <f>_xlfn.BETA.INV($AA3718,1+4*($D$5-$C$5)/($E$5-$C$5),1+4*($E$5-$D$5)/($E$5-$C$5),$C$5,$E$5)</f>
        <v/>
      </c>
      <c r="N3718" s="14">
        <f>IF($AB3718&lt;($D$6-$C$6)/($E$6-$C$6),$C$6+SQRT($AB3718*($E$6-$C$6)*($D$6-$C$6)),$E$6-SQRT((1-$AB3718)*($E$6-$C$6)*($E$6-$D$6)))</f>
        <v/>
      </c>
      <c r="O3718" s="14">
        <f>_xlfn.NORM.INV($AC3718,$C$7,$D$7)</f>
        <v/>
      </c>
      <c r="P3718" s="14">
        <f>$C$8+($D$8-$C$8)*$AD3718</f>
        <v/>
      </c>
      <c r="Q3718" s="14">
        <f>$C$9</f>
        <v/>
      </c>
      <c r="R3718" s="14">
        <f>_xlfn.LOGNORM.INV($AF3718,LN($C$10)-0.5*LN(1+($D$10/$C$10)^2),SQRT(LN(1+($D$10/$C$10)^2)))</f>
        <v/>
      </c>
      <c r="S3718" s="14">
        <f>SUM(M3718:R3718)</f>
        <v/>
      </c>
      <c r="AA3718">
        <f>RAND()</f>
        <v/>
      </c>
      <c r="AB3718">
        <f>RAND()</f>
        <v/>
      </c>
      <c r="AC3718">
        <f>RAND()</f>
        <v/>
      </c>
      <c r="AD3718">
        <f>RAND()</f>
        <v/>
      </c>
      <c r="AE3718">
        <f>RAND()</f>
        <v/>
      </c>
      <c r="AF3718">
        <f>RAND()</f>
        <v/>
      </c>
    </row>
    <row r="3719">
      <c r="M3719" s="14">
        <f>_xlfn.BETA.INV($AA3719,1+4*($D$5-$C$5)/($E$5-$C$5),1+4*($E$5-$D$5)/($E$5-$C$5),$C$5,$E$5)</f>
        <v/>
      </c>
      <c r="N3719" s="14">
        <f>IF($AB3719&lt;($D$6-$C$6)/($E$6-$C$6),$C$6+SQRT($AB3719*($E$6-$C$6)*($D$6-$C$6)),$E$6-SQRT((1-$AB3719)*($E$6-$C$6)*($E$6-$D$6)))</f>
        <v/>
      </c>
      <c r="O3719" s="14">
        <f>_xlfn.NORM.INV($AC3719,$C$7,$D$7)</f>
        <v/>
      </c>
      <c r="P3719" s="14">
        <f>$C$8+($D$8-$C$8)*$AD3719</f>
        <v/>
      </c>
      <c r="Q3719" s="14">
        <f>$C$9</f>
        <v/>
      </c>
      <c r="R3719" s="14">
        <f>_xlfn.LOGNORM.INV($AF3719,LN($C$10)-0.5*LN(1+($D$10/$C$10)^2),SQRT(LN(1+($D$10/$C$10)^2)))</f>
        <v/>
      </c>
      <c r="S3719" s="14">
        <f>SUM(M3719:R3719)</f>
        <v/>
      </c>
      <c r="AA3719">
        <f>RAND()</f>
        <v/>
      </c>
      <c r="AB3719">
        <f>RAND()</f>
        <v/>
      </c>
      <c r="AC3719">
        <f>RAND()</f>
        <v/>
      </c>
      <c r="AD3719">
        <f>RAND()</f>
        <v/>
      </c>
      <c r="AE3719">
        <f>RAND()</f>
        <v/>
      </c>
      <c r="AF3719">
        <f>RAND()</f>
        <v/>
      </c>
    </row>
    <row r="3720">
      <c r="M3720" s="14">
        <f>_xlfn.BETA.INV($AA3720,1+4*($D$5-$C$5)/($E$5-$C$5),1+4*($E$5-$D$5)/($E$5-$C$5),$C$5,$E$5)</f>
        <v/>
      </c>
      <c r="N3720" s="14">
        <f>IF($AB3720&lt;($D$6-$C$6)/($E$6-$C$6),$C$6+SQRT($AB3720*($E$6-$C$6)*($D$6-$C$6)),$E$6-SQRT((1-$AB3720)*($E$6-$C$6)*($E$6-$D$6)))</f>
        <v/>
      </c>
      <c r="O3720" s="14">
        <f>_xlfn.NORM.INV($AC3720,$C$7,$D$7)</f>
        <v/>
      </c>
      <c r="P3720" s="14">
        <f>$C$8+($D$8-$C$8)*$AD3720</f>
        <v/>
      </c>
      <c r="Q3720" s="14">
        <f>$C$9</f>
        <v/>
      </c>
      <c r="R3720" s="14">
        <f>_xlfn.LOGNORM.INV($AF3720,LN($C$10)-0.5*LN(1+($D$10/$C$10)^2),SQRT(LN(1+($D$10/$C$10)^2)))</f>
        <v/>
      </c>
      <c r="S3720" s="14">
        <f>SUM(M3720:R3720)</f>
        <v/>
      </c>
      <c r="AA3720">
        <f>RAND()</f>
        <v/>
      </c>
      <c r="AB3720">
        <f>RAND()</f>
        <v/>
      </c>
      <c r="AC3720">
        <f>RAND()</f>
        <v/>
      </c>
      <c r="AD3720">
        <f>RAND()</f>
        <v/>
      </c>
      <c r="AE3720">
        <f>RAND()</f>
        <v/>
      </c>
      <c r="AF3720">
        <f>RAND()</f>
        <v/>
      </c>
    </row>
    <row r="3721">
      <c r="M3721" s="14">
        <f>_xlfn.BETA.INV($AA3721,1+4*($D$5-$C$5)/($E$5-$C$5),1+4*($E$5-$D$5)/($E$5-$C$5),$C$5,$E$5)</f>
        <v/>
      </c>
      <c r="N3721" s="14">
        <f>IF($AB3721&lt;($D$6-$C$6)/($E$6-$C$6),$C$6+SQRT($AB3721*($E$6-$C$6)*($D$6-$C$6)),$E$6-SQRT((1-$AB3721)*($E$6-$C$6)*($E$6-$D$6)))</f>
        <v/>
      </c>
      <c r="O3721" s="14">
        <f>_xlfn.NORM.INV($AC3721,$C$7,$D$7)</f>
        <v/>
      </c>
      <c r="P3721" s="14">
        <f>$C$8+($D$8-$C$8)*$AD3721</f>
        <v/>
      </c>
      <c r="Q3721" s="14">
        <f>$C$9</f>
        <v/>
      </c>
      <c r="R3721" s="14">
        <f>_xlfn.LOGNORM.INV($AF3721,LN($C$10)-0.5*LN(1+($D$10/$C$10)^2),SQRT(LN(1+($D$10/$C$10)^2)))</f>
        <v/>
      </c>
      <c r="S3721" s="14">
        <f>SUM(M3721:R3721)</f>
        <v/>
      </c>
      <c r="AA3721">
        <f>RAND()</f>
        <v/>
      </c>
      <c r="AB3721">
        <f>RAND()</f>
        <v/>
      </c>
      <c r="AC3721">
        <f>RAND()</f>
        <v/>
      </c>
      <c r="AD3721">
        <f>RAND()</f>
        <v/>
      </c>
      <c r="AE3721">
        <f>RAND()</f>
        <v/>
      </c>
      <c r="AF3721">
        <f>RAND()</f>
        <v/>
      </c>
    </row>
    <row r="3722">
      <c r="M3722" s="14">
        <f>_xlfn.BETA.INV($AA3722,1+4*($D$5-$C$5)/($E$5-$C$5),1+4*($E$5-$D$5)/($E$5-$C$5),$C$5,$E$5)</f>
        <v/>
      </c>
      <c r="N3722" s="14">
        <f>IF($AB3722&lt;($D$6-$C$6)/($E$6-$C$6),$C$6+SQRT($AB3722*($E$6-$C$6)*($D$6-$C$6)),$E$6-SQRT((1-$AB3722)*($E$6-$C$6)*($E$6-$D$6)))</f>
        <v/>
      </c>
      <c r="O3722" s="14">
        <f>_xlfn.NORM.INV($AC3722,$C$7,$D$7)</f>
        <v/>
      </c>
      <c r="P3722" s="14">
        <f>$C$8+($D$8-$C$8)*$AD3722</f>
        <v/>
      </c>
      <c r="Q3722" s="14">
        <f>$C$9</f>
        <v/>
      </c>
      <c r="R3722" s="14">
        <f>_xlfn.LOGNORM.INV($AF3722,LN($C$10)-0.5*LN(1+($D$10/$C$10)^2),SQRT(LN(1+($D$10/$C$10)^2)))</f>
        <v/>
      </c>
      <c r="S3722" s="14">
        <f>SUM(M3722:R3722)</f>
        <v/>
      </c>
      <c r="AA3722">
        <f>RAND()</f>
        <v/>
      </c>
      <c r="AB3722">
        <f>RAND()</f>
        <v/>
      </c>
      <c r="AC3722">
        <f>RAND()</f>
        <v/>
      </c>
      <c r="AD3722">
        <f>RAND()</f>
        <v/>
      </c>
      <c r="AE3722">
        <f>RAND()</f>
        <v/>
      </c>
      <c r="AF3722">
        <f>RAND()</f>
        <v/>
      </c>
    </row>
    <row r="3723">
      <c r="M3723" s="14">
        <f>_xlfn.BETA.INV($AA3723,1+4*($D$5-$C$5)/($E$5-$C$5),1+4*($E$5-$D$5)/($E$5-$C$5),$C$5,$E$5)</f>
        <v/>
      </c>
      <c r="N3723" s="14">
        <f>IF($AB3723&lt;($D$6-$C$6)/($E$6-$C$6),$C$6+SQRT($AB3723*($E$6-$C$6)*($D$6-$C$6)),$E$6-SQRT((1-$AB3723)*($E$6-$C$6)*($E$6-$D$6)))</f>
        <v/>
      </c>
      <c r="O3723" s="14">
        <f>_xlfn.NORM.INV($AC3723,$C$7,$D$7)</f>
        <v/>
      </c>
      <c r="P3723" s="14">
        <f>$C$8+($D$8-$C$8)*$AD3723</f>
        <v/>
      </c>
      <c r="Q3723" s="14">
        <f>$C$9</f>
        <v/>
      </c>
      <c r="R3723" s="14">
        <f>_xlfn.LOGNORM.INV($AF3723,LN($C$10)-0.5*LN(1+($D$10/$C$10)^2),SQRT(LN(1+($D$10/$C$10)^2)))</f>
        <v/>
      </c>
      <c r="S3723" s="14">
        <f>SUM(M3723:R3723)</f>
        <v/>
      </c>
      <c r="AA3723">
        <f>RAND()</f>
        <v/>
      </c>
      <c r="AB3723">
        <f>RAND()</f>
        <v/>
      </c>
      <c r="AC3723">
        <f>RAND()</f>
        <v/>
      </c>
      <c r="AD3723">
        <f>RAND()</f>
        <v/>
      </c>
      <c r="AE3723">
        <f>RAND()</f>
        <v/>
      </c>
      <c r="AF3723">
        <f>RAND()</f>
        <v/>
      </c>
    </row>
    <row r="3724">
      <c r="M3724" s="14">
        <f>_xlfn.BETA.INV($AA3724,1+4*($D$5-$C$5)/($E$5-$C$5),1+4*($E$5-$D$5)/($E$5-$C$5),$C$5,$E$5)</f>
        <v/>
      </c>
      <c r="N3724" s="14">
        <f>IF($AB3724&lt;($D$6-$C$6)/($E$6-$C$6),$C$6+SQRT($AB3724*($E$6-$C$6)*($D$6-$C$6)),$E$6-SQRT((1-$AB3724)*($E$6-$C$6)*($E$6-$D$6)))</f>
        <v/>
      </c>
      <c r="O3724" s="14">
        <f>_xlfn.NORM.INV($AC3724,$C$7,$D$7)</f>
        <v/>
      </c>
      <c r="P3724" s="14">
        <f>$C$8+($D$8-$C$8)*$AD3724</f>
        <v/>
      </c>
      <c r="Q3724" s="14">
        <f>$C$9</f>
        <v/>
      </c>
      <c r="R3724" s="14">
        <f>_xlfn.LOGNORM.INV($AF3724,LN($C$10)-0.5*LN(1+($D$10/$C$10)^2),SQRT(LN(1+($D$10/$C$10)^2)))</f>
        <v/>
      </c>
      <c r="S3724" s="14">
        <f>SUM(M3724:R3724)</f>
        <v/>
      </c>
      <c r="AA3724">
        <f>RAND()</f>
        <v/>
      </c>
      <c r="AB3724">
        <f>RAND()</f>
        <v/>
      </c>
      <c r="AC3724">
        <f>RAND()</f>
        <v/>
      </c>
      <c r="AD3724">
        <f>RAND()</f>
        <v/>
      </c>
      <c r="AE3724">
        <f>RAND()</f>
        <v/>
      </c>
      <c r="AF3724">
        <f>RAND()</f>
        <v/>
      </c>
    </row>
    <row r="3725">
      <c r="M3725" s="14">
        <f>_xlfn.BETA.INV($AA3725,1+4*($D$5-$C$5)/($E$5-$C$5),1+4*($E$5-$D$5)/($E$5-$C$5),$C$5,$E$5)</f>
        <v/>
      </c>
      <c r="N3725" s="14">
        <f>IF($AB3725&lt;($D$6-$C$6)/($E$6-$C$6),$C$6+SQRT($AB3725*($E$6-$C$6)*($D$6-$C$6)),$E$6-SQRT((1-$AB3725)*($E$6-$C$6)*($E$6-$D$6)))</f>
        <v/>
      </c>
      <c r="O3725" s="14">
        <f>_xlfn.NORM.INV($AC3725,$C$7,$D$7)</f>
        <v/>
      </c>
      <c r="P3725" s="14">
        <f>$C$8+($D$8-$C$8)*$AD3725</f>
        <v/>
      </c>
      <c r="Q3725" s="14">
        <f>$C$9</f>
        <v/>
      </c>
      <c r="R3725" s="14">
        <f>_xlfn.LOGNORM.INV($AF3725,LN($C$10)-0.5*LN(1+($D$10/$C$10)^2),SQRT(LN(1+($D$10/$C$10)^2)))</f>
        <v/>
      </c>
      <c r="S3725" s="14">
        <f>SUM(M3725:R3725)</f>
        <v/>
      </c>
      <c r="AA3725">
        <f>RAND()</f>
        <v/>
      </c>
      <c r="AB3725">
        <f>RAND()</f>
        <v/>
      </c>
      <c r="AC3725">
        <f>RAND()</f>
        <v/>
      </c>
      <c r="AD3725">
        <f>RAND()</f>
        <v/>
      </c>
      <c r="AE3725">
        <f>RAND()</f>
        <v/>
      </c>
      <c r="AF3725">
        <f>RAND()</f>
        <v/>
      </c>
    </row>
    <row r="3726">
      <c r="M3726" s="14">
        <f>_xlfn.BETA.INV($AA3726,1+4*($D$5-$C$5)/($E$5-$C$5),1+4*($E$5-$D$5)/($E$5-$C$5),$C$5,$E$5)</f>
        <v/>
      </c>
      <c r="N3726" s="14">
        <f>IF($AB3726&lt;($D$6-$C$6)/($E$6-$C$6),$C$6+SQRT($AB3726*($E$6-$C$6)*($D$6-$C$6)),$E$6-SQRT((1-$AB3726)*($E$6-$C$6)*($E$6-$D$6)))</f>
        <v/>
      </c>
      <c r="O3726" s="14">
        <f>_xlfn.NORM.INV($AC3726,$C$7,$D$7)</f>
        <v/>
      </c>
      <c r="P3726" s="14">
        <f>$C$8+($D$8-$C$8)*$AD3726</f>
        <v/>
      </c>
      <c r="Q3726" s="14">
        <f>$C$9</f>
        <v/>
      </c>
      <c r="R3726" s="14">
        <f>_xlfn.LOGNORM.INV($AF3726,LN($C$10)-0.5*LN(1+($D$10/$C$10)^2),SQRT(LN(1+($D$10/$C$10)^2)))</f>
        <v/>
      </c>
      <c r="S3726" s="14">
        <f>SUM(M3726:R3726)</f>
        <v/>
      </c>
      <c r="AA3726">
        <f>RAND()</f>
        <v/>
      </c>
      <c r="AB3726">
        <f>RAND()</f>
        <v/>
      </c>
      <c r="AC3726">
        <f>RAND()</f>
        <v/>
      </c>
      <c r="AD3726">
        <f>RAND()</f>
        <v/>
      </c>
      <c r="AE3726">
        <f>RAND()</f>
        <v/>
      </c>
      <c r="AF3726">
        <f>RAND()</f>
        <v/>
      </c>
    </row>
    <row r="3727">
      <c r="M3727" s="14">
        <f>_xlfn.BETA.INV($AA3727,1+4*($D$5-$C$5)/($E$5-$C$5),1+4*($E$5-$D$5)/($E$5-$C$5),$C$5,$E$5)</f>
        <v/>
      </c>
      <c r="N3727" s="14">
        <f>IF($AB3727&lt;($D$6-$C$6)/($E$6-$C$6),$C$6+SQRT($AB3727*($E$6-$C$6)*($D$6-$C$6)),$E$6-SQRT((1-$AB3727)*($E$6-$C$6)*($E$6-$D$6)))</f>
        <v/>
      </c>
      <c r="O3727" s="14">
        <f>_xlfn.NORM.INV($AC3727,$C$7,$D$7)</f>
        <v/>
      </c>
      <c r="P3727" s="14">
        <f>$C$8+($D$8-$C$8)*$AD3727</f>
        <v/>
      </c>
      <c r="Q3727" s="14">
        <f>$C$9</f>
        <v/>
      </c>
      <c r="R3727" s="14">
        <f>_xlfn.LOGNORM.INV($AF3727,LN($C$10)-0.5*LN(1+($D$10/$C$10)^2),SQRT(LN(1+($D$10/$C$10)^2)))</f>
        <v/>
      </c>
      <c r="S3727" s="14">
        <f>SUM(M3727:R3727)</f>
        <v/>
      </c>
      <c r="AA3727">
        <f>RAND()</f>
        <v/>
      </c>
      <c r="AB3727">
        <f>RAND()</f>
        <v/>
      </c>
      <c r="AC3727">
        <f>RAND()</f>
        <v/>
      </c>
      <c r="AD3727">
        <f>RAND()</f>
        <v/>
      </c>
      <c r="AE3727">
        <f>RAND()</f>
        <v/>
      </c>
      <c r="AF3727">
        <f>RAND()</f>
        <v/>
      </c>
    </row>
    <row r="3728">
      <c r="M3728" s="14">
        <f>_xlfn.BETA.INV($AA3728,1+4*($D$5-$C$5)/($E$5-$C$5),1+4*($E$5-$D$5)/($E$5-$C$5),$C$5,$E$5)</f>
        <v/>
      </c>
      <c r="N3728" s="14">
        <f>IF($AB3728&lt;($D$6-$C$6)/($E$6-$C$6),$C$6+SQRT($AB3728*($E$6-$C$6)*($D$6-$C$6)),$E$6-SQRT((1-$AB3728)*($E$6-$C$6)*($E$6-$D$6)))</f>
        <v/>
      </c>
      <c r="O3728" s="14">
        <f>_xlfn.NORM.INV($AC3728,$C$7,$D$7)</f>
        <v/>
      </c>
      <c r="P3728" s="14">
        <f>$C$8+($D$8-$C$8)*$AD3728</f>
        <v/>
      </c>
      <c r="Q3728" s="14">
        <f>$C$9</f>
        <v/>
      </c>
      <c r="R3728" s="14">
        <f>_xlfn.LOGNORM.INV($AF3728,LN($C$10)-0.5*LN(1+($D$10/$C$10)^2),SQRT(LN(1+($D$10/$C$10)^2)))</f>
        <v/>
      </c>
      <c r="S3728" s="14">
        <f>SUM(M3728:R3728)</f>
        <v/>
      </c>
      <c r="AA3728">
        <f>RAND()</f>
        <v/>
      </c>
      <c r="AB3728">
        <f>RAND()</f>
        <v/>
      </c>
      <c r="AC3728">
        <f>RAND()</f>
        <v/>
      </c>
      <c r="AD3728">
        <f>RAND()</f>
        <v/>
      </c>
      <c r="AE3728">
        <f>RAND()</f>
        <v/>
      </c>
      <c r="AF3728">
        <f>RAND()</f>
        <v/>
      </c>
    </row>
    <row r="3729">
      <c r="M3729" s="14">
        <f>_xlfn.BETA.INV($AA3729,1+4*($D$5-$C$5)/($E$5-$C$5),1+4*($E$5-$D$5)/($E$5-$C$5),$C$5,$E$5)</f>
        <v/>
      </c>
      <c r="N3729" s="14">
        <f>IF($AB3729&lt;($D$6-$C$6)/($E$6-$C$6),$C$6+SQRT($AB3729*($E$6-$C$6)*($D$6-$C$6)),$E$6-SQRT((1-$AB3729)*($E$6-$C$6)*($E$6-$D$6)))</f>
        <v/>
      </c>
      <c r="O3729" s="14">
        <f>_xlfn.NORM.INV($AC3729,$C$7,$D$7)</f>
        <v/>
      </c>
      <c r="P3729" s="14">
        <f>$C$8+($D$8-$C$8)*$AD3729</f>
        <v/>
      </c>
      <c r="Q3729" s="14">
        <f>$C$9</f>
        <v/>
      </c>
      <c r="R3729" s="14">
        <f>_xlfn.LOGNORM.INV($AF3729,LN($C$10)-0.5*LN(1+($D$10/$C$10)^2),SQRT(LN(1+($D$10/$C$10)^2)))</f>
        <v/>
      </c>
      <c r="S3729" s="14">
        <f>SUM(M3729:R3729)</f>
        <v/>
      </c>
      <c r="AA3729">
        <f>RAND()</f>
        <v/>
      </c>
      <c r="AB3729">
        <f>RAND()</f>
        <v/>
      </c>
      <c r="AC3729">
        <f>RAND()</f>
        <v/>
      </c>
      <c r="AD3729">
        <f>RAND()</f>
        <v/>
      </c>
      <c r="AE3729">
        <f>RAND()</f>
        <v/>
      </c>
      <c r="AF3729">
        <f>RAND()</f>
        <v/>
      </c>
    </row>
    <row r="3730">
      <c r="M3730" s="14">
        <f>_xlfn.BETA.INV($AA3730,1+4*($D$5-$C$5)/($E$5-$C$5),1+4*($E$5-$D$5)/($E$5-$C$5),$C$5,$E$5)</f>
        <v/>
      </c>
      <c r="N3730" s="14">
        <f>IF($AB3730&lt;($D$6-$C$6)/($E$6-$C$6),$C$6+SQRT($AB3730*($E$6-$C$6)*($D$6-$C$6)),$E$6-SQRT((1-$AB3730)*($E$6-$C$6)*($E$6-$D$6)))</f>
        <v/>
      </c>
      <c r="O3730" s="14">
        <f>_xlfn.NORM.INV($AC3730,$C$7,$D$7)</f>
        <v/>
      </c>
      <c r="P3730" s="14">
        <f>$C$8+($D$8-$C$8)*$AD3730</f>
        <v/>
      </c>
      <c r="Q3730" s="14">
        <f>$C$9</f>
        <v/>
      </c>
      <c r="R3730" s="14">
        <f>_xlfn.LOGNORM.INV($AF3730,LN($C$10)-0.5*LN(1+($D$10/$C$10)^2),SQRT(LN(1+($D$10/$C$10)^2)))</f>
        <v/>
      </c>
      <c r="S3730" s="14">
        <f>SUM(M3730:R3730)</f>
        <v/>
      </c>
      <c r="AA3730">
        <f>RAND()</f>
        <v/>
      </c>
      <c r="AB3730">
        <f>RAND()</f>
        <v/>
      </c>
      <c r="AC3730">
        <f>RAND()</f>
        <v/>
      </c>
      <c r="AD3730">
        <f>RAND()</f>
        <v/>
      </c>
      <c r="AE3730">
        <f>RAND()</f>
        <v/>
      </c>
      <c r="AF3730">
        <f>RAND()</f>
        <v/>
      </c>
    </row>
    <row r="3731">
      <c r="M3731" s="14">
        <f>_xlfn.BETA.INV($AA3731,1+4*($D$5-$C$5)/($E$5-$C$5),1+4*($E$5-$D$5)/($E$5-$C$5),$C$5,$E$5)</f>
        <v/>
      </c>
      <c r="N3731" s="14">
        <f>IF($AB3731&lt;($D$6-$C$6)/($E$6-$C$6),$C$6+SQRT($AB3731*($E$6-$C$6)*($D$6-$C$6)),$E$6-SQRT((1-$AB3731)*($E$6-$C$6)*($E$6-$D$6)))</f>
        <v/>
      </c>
      <c r="O3731" s="14">
        <f>_xlfn.NORM.INV($AC3731,$C$7,$D$7)</f>
        <v/>
      </c>
      <c r="P3731" s="14">
        <f>$C$8+($D$8-$C$8)*$AD3731</f>
        <v/>
      </c>
      <c r="Q3731" s="14">
        <f>$C$9</f>
        <v/>
      </c>
      <c r="R3731" s="14">
        <f>_xlfn.LOGNORM.INV($AF3731,LN($C$10)-0.5*LN(1+($D$10/$C$10)^2),SQRT(LN(1+($D$10/$C$10)^2)))</f>
        <v/>
      </c>
      <c r="S3731" s="14">
        <f>SUM(M3731:R3731)</f>
        <v/>
      </c>
      <c r="AA3731">
        <f>RAND()</f>
        <v/>
      </c>
      <c r="AB3731">
        <f>RAND()</f>
        <v/>
      </c>
      <c r="AC3731">
        <f>RAND()</f>
        <v/>
      </c>
      <c r="AD3731">
        <f>RAND()</f>
        <v/>
      </c>
      <c r="AE3731">
        <f>RAND()</f>
        <v/>
      </c>
      <c r="AF3731">
        <f>RAND()</f>
        <v/>
      </c>
    </row>
    <row r="3732">
      <c r="M3732" s="14">
        <f>_xlfn.BETA.INV($AA3732,1+4*($D$5-$C$5)/($E$5-$C$5),1+4*($E$5-$D$5)/($E$5-$C$5),$C$5,$E$5)</f>
        <v/>
      </c>
      <c r="N3732" s="14">
        <f>IF($AB3732&lt;($D$6-$C$6)/($E$6-$C$6),$C$6+SQRT($AB3732*($E$6-$C$6)*($D$6-$C$6)),$E$6-SQRT((1-$AB3732)*($E$6-$C$6)*($E$6-$D$6)))</f>
        <v/>
      </c>
      <c r="O3732" s="14">
        <f>_xlfn.NORM.INV($AC3732,$C$7,$D$7)</f>
        <v/>
      </c>
      <c r="P3732" s="14">
        <f>$C$8+($D$8-$C$8)*$AD3732</f>
        <v/>
      </c>
      <c r="Q3732" s="14">
        <f>$C$9</f>
        <v/>
      </c>
      <c r="R3732" s="14">
        <f>_xlfn.LOGNORM.INV($AF3732,LN($C$10)-0.5*LN(1+($D$10/$C$10)^2),SQRT(LN(1+($D$10/$C$10)^2)))</f>
        <v/>
      </c>
      <c r="S3732" s="14">
        <f>SUM(M3732:R3732)</f>
        <v/>
      </c>
      <c r="AA3732">
        <f>RAND()</f>
        <v/>
      </c>
      <c r="AB3732">
        <f>RAND()</f>
        <v/>
      </c>
      <c r="AC3732">
        <f>RAND()</f>
        <v/>
      </c>
      <c r="AD3732">
        <f>RAND()</f>
        <v/>
      </c>
      <c r="AE3732">
        <f>RAND()</f>
        <v/>
      </c>
      <c r="AF3732">
        <f>RAND()</f>
        <v/>
      </c>
    </row>
    <row r="3733">
      <c r="M3733" s="14">
        <f>_xlfn.BETA.INV($AA3733,1+4*($D$5-$C$5)/($E$5-$C$5),1+4*($E$5-$D$5)/($E$5-$C$5),$C$5,$E$5)</f>
        <v/>
      </c>
      <c r="N3733" s="14">
        <f>IF($AB3733&lt;($D$6-$C$6)/($E$6-$C$6),$C$6+SQRT($AB3733*($E$6-$C$6)*($D$6-$C$6)),$E$6-SQRT((1-$AB3733)*($E$6-$C$6)*($E$6-$D$6)))</f>
        <v/>
      </c>
      <c r="O3733" s="14">
        <f>_xlfn.NORM.INV($AC3733,$C$7,$D$7)</f>
        <v/>
      </c>
      <c r="P3733" s="14">
        <f>$C$8+($D$8-$C$8)*$AD3733</f>
        <v/>
      </c>
      <c r="Q3733" s="14">
        <f>$C$9</f>
        <v/>
      </c>
      <c r="R3733" s="14">
        <f>_xlfn.LOGNORM.INV($AF3733,LN($C$10)-0.5*LN(1+($D$10/$C$10)^2),SQRT(LN(1+($D$10/$C$10)^2)))</f>
        <v/>
      </c>
      <c r="S3733" s="14">
        <f>SUM(M3733:R3733)</f>
        <v/>
      </c>
      <c r="AA3733">
        <f>RAND()</f>
        <v/>
      </c>
      <c r="AB3733">
        <f>RAND()</f>
        <v/>
      </c>
      <c r="AC3733">
        <f>RAND()</f>
        <v/>
      </c>
      <c r="AD3733">
        <f>RAND()</f>
        <v/>
      </c>
      <c r="AE3733">
        <f>RAND()</f>
        <v/>
      </c>
      <c r="AF3733">
        <f>RAND()</f>
        <v/>
      </c>
    </row>
    <row r="3734">
      <c r="M3734" s="14">
        <f>_xlfn.BETA.INV($AA3734,1+4*($D$5-$C$5)/($E$5-$C$5),1+4*($E$5-$D$5)/($E$5-$C$5),$C$5,$E$5)</f>
        <v/>
      </c>
      <c r="N3734" s="14">
        <f>IF($AB3734&lt;($D$6-$C$6)/($E$6-$C$6),$C$6+SQRT($AB3734*($E$6-$C$6)*($D$6-$C$6)),$E$6-SQRT((1-$AB3734)*($E$6-$C$6)*($E$6-$D$6)))</f>
        <v/>
      </c>
      <c r="O3734" s="14">
        <f>_xlfn.NORM.INV($AC3734,$C$7,$D$7)</f>
        <v/>
      </c>
      <c r="P3734" s="14">
        <f>$C$8+($D$8-$C$8)*$AD3734</f>
        <v/>
      </c>
      <c r="Q3734" s="14">
        <f>$C$9</f>
        <v/>
      </c>
      <c r="R3734" s="14">
        <f>_xlfn.LOGNORM.INV($AF3734,LN($C$10)-0.5*LN(1+($D$10/$C$10)^2),SQRT(LN(1+($D$10/$C$10)^2)))</f>
        <v/>
      </c>
      <c r="S3734" s="14">
        <f>SUM(M3734:R3734)</f>
        <v/>
      </c>
      <c r="AA3734">
        <f>RAND()</f>
        <v/>
      </c>
      <c r="AB3734">
        <f>RAND()</f>
        <v/>
      </c>
      <c r="AC3734">
        <f>RAND()</f>
        <v/>
      </c>
      <c r="AD3734">
        <f>RAND()</f>
        <v/>
      </c>
      <c r="AE3734">
        <f>RAND()</f>
        <v/>
      </c>
      <c r="AF3734">
        <f>RAND()</f>
        <v/>
      </c>
    </row>
    <row r="3735">
      <c r="M3735" s="14">
        <f>_xlfn.BETA.INV($AA3735,1+4*($D$5-$C$5)/($E$5-$C$5),1+4*($E$5-$D$5)/($E$5-$C$5),$C$5,$E$5)</f>
        <v/>
      </c>
      <c r="N3735" s="14">
        <f>IF($AB3735&lt;($D$6-$C$6)/($E$6-$C$6),$C$6+SQRT($AB3735*($E$6-$C$6)*($D$6-$C$6)),$E$6-SQRT((1-$AB3735)*($E$6-$C$6)*($E$6-$D$6)))</f>
        <v/>
      </c>
      <c r="O3735" s="14">
        <f>_xlfn.NORM.INV($AC3735,$C$7,$D$7)</f>
        <v/>
      </c>
      <c r="P3735" s="14">
        <f>$C$8+($D$8-$C$8)*$AD3735</f>
        <v/>
      </c>
      <c r="Q3735" s="14">
        <f>$C$9</f>
        <v/>
      </c>
      <c r="R3735" s="14">
        <f>_xlfn.LOGNORM.INV($AF3735,LN($C$10)-0.5*LN(1+($D$10/$C$10)^2),SQRT(LN(1+($D$10/$C$10)^2)))</f>
        <v/>
      </c>
      <c r="S3735" s="14">
        <f>SUM(M3735:R3735)</f>
        <v/>
      </c>
      <c r="AA3735">
        <f>RAND()</f>
        <v/>
      </c>
      <c r="AB3735">
        <f>RAND()</f>
        <v/>
      </c>
      <c r="AC3735">
        <f>RAND()</f>
        <v/>
      </c>
      <c r="AD3735">
        <f>RAND()</f>
        <v/>
      </c>
      <c r="AE3735">
        <f>RAND()</f>
        <v/>
      </c>
      <c r="AF3735">
        <f>RAND()</f>
        <v/>
      </c>
    </row>
    <row r="3736">
      <c r="M3736" s="14">
        <f>_xlfn.BETA.INV($AA3736,1+4*($D$5-$C$5)/($E$5-$C$5),1+4*($E$5-$D$5)/($E$5-$C$5),$C$5,$E$5)</f>
        <v/>
      </c>
      <c r="N3736" s="14">
        <f>IF($AB3736&lt;($D$6-$C$6)/($E$6-$C$6),$C$6+SQRT($AB3736*($E$6-$C$6)*($D$6-$C$6)),$E$6-SQRT((1-$AB3736)*($E$6-$C$6)*($E$6-$D$6)))</f>
        <v/>
      </c>
      <c r="O3736" s="14">
        <f>_xlfn.NORM.INV($AC3736,$C$7,$D$7)</f>
        <v/>
      </c>
      <c r="P3736" s="14">
        <f>$C$8+($D$8-$C$8)*$AD3736</f>
        <v/>
      </c>
      <c r="Q3736" s="14">
        <f>$C$9</f>
        <v/>
      </c>
      <c r="R3736" s="14">
        <f>_xlfn.LOGNORM.INV($AF3736,LN($C$10)-0.5*LN(1+($D$10/$C$10)^2),SQRT(LN(1+($D$10/$C$10)^2)))</f>
        <v/>
      </c>
      <c r="S3736" s="14">
        <f>SUM(M3736:R3736)</f>
        <v/>
      </c>
      <c r="AA3736">
        <f>RAND()</f>
        <v/>
      </c>
      <c r="AB3736">
        <f>RAND()</f>
        <v/>
      </c>
      <c r="AC3736">
        <f>RAND()</f>
        <v/>
      </c>
      <c r="AD3736">
        <f>RAND()</f>
        <v/>
      </c>
      <c r="AE3736">
        <f>RAND()</f>
        <v/>
      </c>
      <c r="AF3736">
        <f>RAND()</f>
        <v/>
      </c>
    </row>
    <row r="3737">
      <c r="M3737" s="14">
        <f>_xlfn.BETA.INV($AA3737,1+4*($D$5-$C$5)/($E$5-$C$5),1+4*($E$5-$D$5)/($E$5-$C$5),$C$5,$E$5)</f>
        <v/>
      </c>
      <c r="N3737" s="14">
        <f>IF($AB3737&lt;($D$6-$C$6)/($E$6-$C$6),$C$6+SQRT($AB3737*($E$6-$C$6)*($D$6-$C$6)),$E$6-SQRT((1-$AB3737)*($E$6-$C$6)*($E$6-$D$6)))</f>
        <v/>
      </c>
      <c r="O3737" s="14">
        <f>_xlfn.NORM.INV($AC3737,$C$7,$D$7)</f>
        <v/>
      </c>
      <c r="P3737" s="14">
        <f>$C$8+($D$8-$C$8)*$AD3737</f>
        <v/>
      </c>
      <c r="Q3737" s="14">
        <f>$C$9</f>
        <v/>
      </c>
      <c r="R3737" s="14">
        <f>_xlfn.LOGNORM.INV($AF3737,LN($C$10)-0.5*LN(1+($D$10/$C$10)^2),SQRT(LN(1+($D$10/$C$10)^2)))</f>
        <v/>
      </c>
      <c r="S3737" s="14">
        <f>SUM(M3737:R3737)</f>
        <v/>
      </c>
      <c r="AA3737">
        <f>RAND()</f>
        <v/>
      </c>
      <c r="AB3737">
        <f>RAND()</f>
        <v/>
      </c>
      <c r="AC3737">
        <f>RAND()</f>
        <v/>
      </c>
      <c r="AD3737">
        <f>RAND()</f>
        <v/>
      </c>
      <c r="AE3737">
        <f>RAND()</f>
        <v/>
      </c>
      <c r="AF3737">
        <f>RAND()</f>
        <v/>
      </c>
    </row>
    <row r="3738">
      <c r="M3738" s="14">
        <f>_xlfn.BETA.INV($AA3738,1+4*($D$5-$C$5)/($E$5-$C$5),1+4*($E$5-$D$5)/($E$5-$C$5),$C$5,$E$5)</f>
        <v/>
      </c>
      <c r="N3738" s="14">
        <f>IF($AB3738&lt;($D$6-$C$6)/($E$6-$C$6),$C$6+SQRT($AB3738*($E$6-$C$6)*($D$6-$C$6)),$E$6-SQRT((1-$AB3738)*($E$6-$C$6)*($E$6-$D$6)))</f>
        <v/>
      </c>
      <c r="O3738" s="14">
        <f>_xlfn.NORM.INV($AC3738,$C$7,$D$7)</f>
        <v/>
      </c>
      <c r="P3738" s="14">
        <f>$C$8+($D$8-$C$8)*$AD3738</f>
        <v/>
      </c>
      <c r="Q3738" s="14">
        <f>$C$9</f>
        <v/>
      </c>
      <c r="R3738" s="14">
        <f>_xlfn.LOGNORM.INV($AF3738,LN($C$10)-0.5*LN(1+($D$10/$C$10)^2),SQRT(LN(1+($D$10/$C$10)^2)))</f>
        <v/>
      </c>
      <c r="S3738" s="14">
        <f>SUM(M3738:R3738)</f>
        <v/>
      </c>
      <c r="AA3738">
        <f>RAND()</f>
        <v/>
      </c>
      <c r="AB3738">
        <f>RAND()</f>
        <v/>
      </c>
      <c r="AC3738">
        <f>RAND()</f>
        <v/>
      </c>
      <c r="AD3738">
        <f>RAND()</f>
        <v/>
      </c>
      <c r="AE3738">
        <f>RAND()</f>
        <v/>
      </c>
      <c r="AF3738">
        <f>RAND()</f>
        <v/>
      </c>
    </row>
    <row r="3739">
      <c r="M3739" s="14">
        <f>_xlfn.BETA.INV($AA3739,1+4*($D$5-$C$5)/($E$5-$C$5),1+4*($E$5-$D$5)/($E$5-$C$5),$C$5,$E$5)</f>
        <v/>
      </c>
      <c r="N3739" s="14">
        <f>IF($AB3739&lt;($D$6-$C$6)/($E$6-$C$6),$C$6+SQRT($AB3739*($E$6-$C$6)*($D$6-$C$6)),$E$6-SQRT((1-$AB3739)*($E$6-$C$6)*($E$6-$D$6)))</f>
        <v/>
      </c>
      <c r="O3739" s="14">
        <f>_xlfn.NORM.INV($AC3739,$C$7,$D$7)</f>
        <v/>
      </c>
      <c r="P3739" s="14">
        <f>$C$8+($D$8-$C$8)*$AD3739</f>
        <v/>
      </c>
      <c r="Q3739" s="14">
        <f>$C$9</f>
        <v/>
      </c>
      <c r="R3739" s="14">
        <f>_xlfn.LOGNORM.INV($AF3739,LN($C$10)-0.5*LN(1+($D$10/$C$10)^2),SQRT(LN(1+($D$10/$C$10)^2)))</f>
        <v/>
      </c>
      <c r="S3739" s="14">
        <f>SUM(M3739:R3739)</f>
        <v/>
      </c>
      <c r="AA3739">
        <f>RAND()</f>
        <v/>
      </c>
      <c r="AB3739">
        <f>RAND()</f>
        <v/>
      </c>
      <c r="AC3739">
        <f>RAND()</f>
        <v/>
      </c>
      <c r="AD3739">
        <f>RAND()</f>
        <v/>
      </c>
      <c r="AE3739">
        <f>RAND()</f>
        <v/>
      </c>
      <c r="AF3739">
        <f>RAND()</f>
        <v/>
      </c>
    </row>
    <row r="3740">
      <c r="M3740" s="14">
        <f>_xlfn.BETA.INV($AA3740,1+4*($D$5-$C$5)/($E$5-$C$5),1+4*($E$5-$D$5)/($E$5-$C$5),$C$5,$E$5)</f>
        <v/>
      </c>
      <c r="N3740" s="14">
        <f>IF($AB3740&lt;($D$6-$C$6)/($E$6-$C$6),$C$6+SQRT($AB3740*($E$6-$C$6)*($D$6-$C$6)),$E$6-SQRT((1-$AB3740)*($E$6-$C$6)*($E$6-$D$6)))</f>
        <v/>
      </c>
      <c r="O3740" s="14">
        <f>_xlfn.NORM.INV($AC3740,$C$7,$D$7)</f>
        <v/>
      </c>
      <c r="P3740" s="14">
        <f>$C$8+($D$8-$C$8)*$AD3740</f>
        <v/>
      </c>
      <c r="Q3740" s="14">
        <f>$C$9</f>
        <v/>
      </c>
      <c r="R3740" s="14">
        <f>_xlfn.LOGNORM.INV($AF3740,LN($C$10)-0.5*LN(1+($D$10/$C$10)^2),SQRT(LN(1+($D$10/$C$10)^2)))</f>
        <v/>
      </c>
      <c r="S3740" s="14">
        <f>SUM(M3740:R3740)</f>
        <v/>
      </c>
      <c r="AA3740">
        <f>RAND()</f>
        <v/>
      </c>
      <c r="AB3740">
        <f>RAND()</f>
        <v/>
      </c>
      <c r="AC3740">
        <f>RAND()</f>
        <v/>
      </c>
      <c r="AD3740">
        <f>RAND()</f>
        <v/>
      </c>
      <c r="AE3740">
        <f>RAND()</f>
        <v/>
      </c>
      <c r="AF3740">
        <f>RAND()</f>
        <v/>
      </c>
    </row>
    <row r="3741">
      <c r="M3741" s="14">
        <f>_xlfn.BETA.INV($AA3741,1+4*($D$5-$C$5)/($E$5-$C$5),1+4*($E$5-$D$5)/($E$5-$C$5),$C$5,$E$5)</f>
        <v/>
      </c>
      <c r="N3741" s="14">
        <f>IF($AB3741&lt;($D$6-$C$6)/($E$6-$C$6),$C$6+SQRT($AB3741*($E$6-$C$6)*($D$6-$C$6)),$E$6-SQRT((1-$AB3741)*($E$6-$C$6)*($E$6-$D$6)))</f>
        <v/>
      </c>
      <c r="O3741" s="14">
        <f>_xlfn.NORM.INV($AC3741,$C$7,$D$7)</f>
        <v/>
      </c>
      <c r="P3741" s="14">
        <f>$C$8+($D$8-$C$8)*$AD3741</f>
        <v/>
      </c>
      <c r="Q3741" s="14">
        <f>$C$9</f>
        <v/>
      </c>
      <c r="R3741" s="14">
        <f>_xlfn.LOGNORM.INV($AF3741,LN($C$10)-0.5*LN(1+($D$10/$C$10)^2),SQRT(LN(1+($D$10/$C$10)^2)))</f>
        <v/>
      </c>
      <c r="S3741" s="14">
        <f>SUM(M3741:R3741)</f>
        <v/>
      </c>
      <c r="AA3741">
        <f>RAND()</f>
        <v/>
      </c>
      <c r="AB3741">
        <f>RAND()</f>
        <v/>
      </c>
      <c r="AC3741">
        <f>RAND()</f>
        <v/>
      </c>
      <c r="AD3741">
        <f>RAND()</f>
        <v/>
      </c>
      <c r="AE3741">
        <f>RAND()</f>
        <v/>
      </c>
      <c r="AF3741">
        <f>RAND()</f>
        <v/>
      </c>
    </row>
    <row r="3742">
      <c r="M3742" s="14">
        <f>_xlfn.BETA.INV($AA3742,1+4*($D$5-$C$5)/($E$5-$C$5),1+4*($E$5-$D$5)/($E$5-$C$5),$C$5,$E$5)</f>
        <v/>
      </c>
      <c r="N3742" s="14">
        <f>IF($AB3742&lt;($D$6-$C$6)/($E$6-$C$6),$C$6+SQRT($AB3742*($E$6-$C$6)*($D$6-$C$6)),$E$6-SQRT((1-$AB3742)*($E$6-$C$6)*($E$6-$D$6)))</f>
        <v/>
      </c>
      <c r="O3742" s="14">
        <f>_xlfn.NORM.INV($AC3742,$C$7,$D$7)</f>
        <v/>
      </c>
      <c r="P3742" s="14">
        <f>$C$8+($D$8-$C$8)*$AD3742</f>
        <v/>
      </c>
      <c r="Q3742" s="14">
        <f>$C$9</f>
        <v/>
      </c>
      <c r="R3742" s="14">
        <f>_xlfn.LOGNORM.INV($AF3742,LN($C$10)-0.5*LN(1+($D$10/$C$10)^2),SQRT(LN(1+($D$10/$C$10)^2)))</f>
        <v/>
      </c>
      <c r="S3742" s="14">
        <f>SUM(M3742:R3742)</f>
        <v/>
      </c>
      <c r="AA3742">
        <f>RAND()</f>
        <v/>
      </c>
      <c r="AB3742">
        <f>RAND()</f>
        <v/>
      </c>
      <c r="AC3742">
        <f>RAND()</f>
        <v/>
      </c>
      <c r="AD3742">
        <f>RAND()</f>
        <v/>
      </c>
      <c r="AE3742">
        <f>RAND()</f>
        <v/>
      </c>
      <c r="AF3742">
        <f>RAND()</f>
        <v/>
      </c>
    </row>
    <row r="3743">
      <c r="M3743" s="14">
        <f>_xlfn.BETA.INV($AA3743,1+4*($D$5-$C$5)/($E$5-$C$5),1+4*($E$5-$D$5)/($E$5-$C$5),$C$5,$E$5)</f>
        <v/>
      </c>
      <c r="N3743" s="14">
        <f>IF($AB3743&lt;($D$6-$C$6)/($E$6-$C$6),$C$6+SQRT($AB3743*($E$6-$C$6)*($D$6-$C$6)),$E$6-SQRT((1-$AB3743)*($E$6-$C$6)*($E$6-$D$6)))</f>
        <v/>
      </c>
      <c r="O3743" s="14">
        <f>_xlfn.NORM.INV($AC3743,$C$7,$D$7)</f>
        <v/>
      </c>
      <c r="P3743" s="14">
        <f>$C$8+($D$8-$C$8)*$AD3743</f>
        <v/>
      </c>
      <c r="Q3743" s="14">
        <f>$C$9</f>
        <v/>
      </c>
      <c r="R3743" s="14">
        <f>_xlfn.LOGNORM.INV($AF3743,LN($C$10)-0.5*LN(1+($D$10/$C$10)^2),SQRT(LN(1+($D$10/$C$10)^2)))</f>
        <v/>
      </c>
      <c r="S3743" s="14">
        <f>SUM(M3743:R3743)</f>
        <v/>
      </c>
      <c r="AA3743">
        <f>RAND()</f>
        <v/>
      </c>
      <c r="AB3743">
        <f>RAND()</f>
        <v/>
      </c>
      <c r="AC3743">
        <f>RAND()</f>
        <v/>
      </c>
      <c r="AD3743">
        <f>RAND()</f>
        <v/>
      </c>
      <c r="AE3743">
        <f>RAND()</f>
        <v/>
      </c>
      <c r="AF3743">
        <f>RAND()</f>
        <v/>
      </c>
    </row>
    <row r="3744">
      <c r="M3744" s="14">
        <f>_xlfn.BETA.INV($AA3744,1+4*($D$5-$C$5)/($E$5-$C$5),1+4*($E$5-$D$5)/($E$5-$C$5),$C$5,$E$5)</f>
        <v/>
      </c>
      <c r="N3744" s="14">
        <f>IF($AB3744&lt;($D$6-$C$6)/($E$6-$C$6),$C$6+SQRT($AB3744*($E$6-$C$6)*($D$6-$C$6)),$E$6-SQRT((1-$AB3744)*($E$6-$C$6)*($E$6-$D$6)))</f>
        <v/>
      </c>
      <c r="O3744" s="14">
        <f>_xlfn.NORM.INV($AC3744,$C$7,$D$7)</f>
        <v/>
      </c>
      <c r="P3744" s="14">
        <f>$C$8+($D$8-$C$8)*$AD3744</f>
        <v/>
      </c>
      <c r="Q3744" s="14">
        <f>$C$9</f>
        <v/>
      </c>
      <c r="R3744" s="14">
        <f>_xlfn.LOGNORM.INV($AF3744,LN($C$10)-0.5*LN(1+($D$10/$C$10)^2),SQRT(LN(1+($D$10/$C$10)^2)))</f>
        <v/>
      </c>
      <c r="S3744" s="14">
        <f>SUM(M3744:R3744)</f>
        <v/>
      </c>
      <c r="AA3744">
        <f>RAND()</f>
        <v/>
      </c>
      <c r="AB3744">
        <f>RAND()</f>
        <v/>
      </c>
      <c r="AC3744">
        <f>RAND()</f>
        <v/>
      </c>
      <c r="AD3744">
        <f>RAND()</f>
        <v/>
      </c>
      <c r="AE3744">
        <f>RAND()</f>
        <v/>
      </c>
      <c r="AF3744">
        <f>RAND()</f>
        <v/>
      </c>
    </row>
    <row r="3745">
      <c r="M3745" s="14">
        <f>_xlfn.BETA.INV($AA3745,1+4*($D$5-$C$5)/($E$5-$C$5),1+4*($E$5-$D$5)/($E$5-$C$5),$C$5,$E$5)</f>
        <v/>
      </c>
      <c r="N3745" s="14">
        <f>IF($AB3745&lt;($D$6-$C$6)/($E$6-$C$6),$C$6+SQRT($AB3745*($E$6-$C$6)*($D$6-$C$6)),$E$6-SQRT((1-$AB3745)*($E$6-$C$6)*($E$6-$D$6)))</f>
        <v/>
      </c>
      <c r="O3745" s="14">
        <f>_xlfn.NORM.INV($AC3745,$C$7,$D$7)</f>
        <v/>
      </c>
      <c r="P3745" s="14">
        <f>$C$8+($D$8-$C$8)*$AD3745</f>
        <v/>
      </c>
      <c r="Q3745" s="14">
        <f>$C$9</f>
        <v/>
      </c>
      <c r="R3745" s="14">
        <f>_xlfn.LOGNORM.INV($AF3745,LN($C$10)-0.5*LN(1+($D$10/$C$10)^2),SQRT(LN(1+($D$10/$C$10)^2)))</f>
        <v/>
      </c>
      <c r="S3745" s="14">
        <f>SUM(M3745:R3745)</f>
        <v/>
      </c>
      <c r="AA3745">
        <f>RAND()</f>
        <v/>
      </c>
      <c r="AB3745">
        <f>RAND()</f>
        <v/>
      </c>
      <c r="AC3745">
        <f>RAND()</f>
        <v/>
      </c>
      <c r="AD3745">
        <f>RAND()</f>
        <v/>
      </c>
      <c r="AE3745">
        <f>RAND()</f>
        <v/>
      </c>
      <c r="AF3745">
        <f>RAND()</f>
        <v/>
      </c>
    </row>
    <row r="3746">
      <c r="M3746" s="14">
        <f>_xlfn.BETA.INV($AA3746,1+4*($D$5-$C$5)/($E$5-$C$5),1+4*($E$5-$D$5)/($E$5-$C$5),$C$5,$E$5)</f>
        <v/>
      </c>
      <c r="N3746" s="14">
        <f>IF($AB3746&lt;($D$6-$C$6)/($E$6-$C$6),$C$6+SQRT($AB3746*($E$6-$C$6)*($D$6-$C$6)),$E$6-SQRT((1-$AB3746)*($E$6-$C$6)*($E$6-$D$6)))</f>
        <v/>
      </c>
      <c r="O3746" s="14">
        <f>_xlfn.NORM.INV($AC3746,$C$7,$D$7)</f>
        <v/>
      </c>
      <c r="P3746" s="14">
        <f>$C$8+($D$8-$C$8)*$AD3746</f>
        <v/>
      </c>
      <c r="Q3746" s="14">
        <f>$C$9</f>
        <v/>
      </c>
      <c r="R3746" s="14">
        <f>_xlfn.LOGNORM.INV($AF3746,LN($C$10)-0.5*LN(1+($D$10/$C$10)^2),SQRT(LN(1+($D$10/$C$10)^2)))</f>
        <v/>
      </c>
      <c r="S3746" s="14">
        <f>SUM(M3746:R3746)</f>
        <v/>
      </c>
      <c r="AA3746">
        <f>RAND()</f>
        <v/>
      </c>
      <c r="AB3746">
        <f>RAND()</f>
        <v/>
      </c>
      <c r="AC3746">
        <f>RAND()</f>
        <v/>
      </c>
      <c r="AD3746">
        <f>RAND()</f>
        <v/>
      </c>
      <c r="AE3746">
        <f>RAND()</f>
        <v/>
      </c>
      <c r="AF3746">
        <f>RAND()</f>
        <v/>
      </c>
    </row>
    <row r="3747">
      <c r="M3747" s="14">
        <f>_xlfn.BETA.INV($AA3747,1+4*($D$5-$C$5)/($E$5-$C$5),1+4*($E$5-$D$5)/($E$5-$C$5),$C$5,$E$5)</f>
        <v/>
      </c>
      <c r="N3747" s="14">
        <f>IF($AB3747&lt;($D$6-$C$6)/($E$6-$C$6),$C$6+SQRT($AB3747*($E$6-$C$6)*($D$6-$C$6)),$E$6-SQRT((1-$AB3747)*($E$6-$C$6)*($E$6-$D$6)))</f>
        <v/>
      </c>
      <c r="O3747" s="14">
        <f>_xlfn.NORM.INV($AC3747,$C$7,$D$7)</f>
        <v/>
      </c>
      <c r="P3747" s="14">
        <f>$C$8+($D$8-$C$8)*$AD3747</f>
        <v/>
      </c>
      <c r="Q3747" s="14">
        <f>$C$9</f>
        <v/>
      </c>
      <c r="R3747" s="14">
        <f>_xlfn.LOGNORM.INV($AF3747,LN($C$10)-0.5*LN(1+($D$10/$C$10)^2),SQRT(LN(1+($D$10/$C$10)^2)))</f>
        <v/>
      </c>
      <c r="S3747" s="14">
        <f>SUM(M3747:R3747)</f>
        <v/>
      </c>
      <c r="AA3747">
        <f>RAND()</f>
        <v/>
      </c>
      <c r="AB3747">
        <f>RAND()</f>
        <v/>
      </c>
      <c r="AC3747">
        <f>RAND()</f>
        <v/>
      </c>
      <c r="AD3747">
        <f>RAND()</f>
        <v/>
      </c>
      <c r="AE3747">
        <f>RAND()</f>
        <v/>
      </c>
      <c r="AF3747">
        <f>RAND()</f>
        <v/>
      </c>
    </row>
    <row r="3748">
      <c r="M3748" s="14">
        <f>_xlfn.BETA.INV($AA3748,1+4*($D$5-$C$5)/($E$5-$C$5),1+4*($E$5-$D$5)/($E$5-$C$5),$C$5,$E$5)</f>
        <v/>
      </c>
      <c r="N3748" s="14">
        <f>IF($AB3748&lt;($D$6-$C$6)/($E$6-$C$6),$C$6+SQRT($AB3748*($E$6-$C$6)*($D$6-$C$6)),$E$6-SQRT((1-$AB3748)*($E$6-$C$6)*($E$6-$D$6)))</f>
        <v/>
      </c>
      <c r="O3748" s="14">
        <f>_xlfn.NORM.INV($AC3748,$C$7,$D$7)</f>
        <v/>
      </c>
      <c r="P3748" s="14">
        <f>$C$8+($D$8-$C$8)*$AD3748</f>
        <v/>
      </c>
      <c r="Q3748" s="14">
        <f>$C$9</f>
        <v/>
      </c>
      <c r="R3748" s="14">
        <f>_xlfn.LOGNORM.INV($AF3748,LN($C$10)-0.5*LN(1+($D$10/$C$10)^2),SQRT(LN(1+($D$10/$C$10)^2)))</f>
        <v/>
      </c>
      <c r="S3748" s="14">
        <f>SUM(M3748:R3748)</f>
        <v/>
      </c>
      <c r="AA3748">
        <f>RAND()</f>
        <v/>
      </c>
      <c r="AB3748">
        <f>RAND()</f>
        <v/>
      </c>
      <c r="AC3748">
        <f>RAND()</f>
        <v/>
      </c>
      <c r="AD3748">
        <f>RAND()</f>
        <v/>
      </c>
      <c r="AE3748">
        <f>RAND()</f>
        <v/>
      </c>
      <c r="AF3748">
        <f>RAND()</f>
        <v/>
      </c>
    </row>
    <row r="3749">
      <c r="M3749" s="14">
        <f>_xlfn.BETA.INV($AA3749,1+4*($D$5-$C$5)/($E$5-$C$5),1+4*($E$5-$D$5)/($E$5-$C$5),$C$5,$E$5)</f>
        <v/>
      </c>
      <c r="N3749" s="14">
        <f>IF($AB3749&lt;($D$6-$C$6)/($E$6-$C$6),$C$6+SQRT($AB3749*($E$6-$C$6)*($D$6-$C$6)),$E$6-SQRT((1-$AB3749)*($E$6-$C$6)*($E$6-$D$6)))</f>
        <v/>
      </c>
      <c r="O3749" s="14">
        <f>_xlfn.NORM.INV($AC3749,$C$7,$D$7)</f>
        <v/>
      </c>
      <c r="P3749" s="14">
        <f>$C$8+($D$8-$C$8)*$AD3749</f>
        <v/>
      </c>
      <c r="Q3749" s="14">
        <f>$C$9</f>
        <v/>
      </c>
      <c r="R3749" s="14">
        <f>_xlfn.LOGNORM.INV($AF3749,LN($C$10)-0.5*LN(1+($D$10/$C$10)^2),SQRT(LN(1+($D$10/$C$10)^2)))</f>
        <v/>
      </c>
      <c r="S3749" s="14">
        <f>SUM(M3749:R3749)</f>
        <v/>
      </c>
      <c r="AA3749">
        <f>RAND()</f>
        <v/>
      </c>
      <c r="AB3749">
        <f>RAND()</f>
        <v/>
      </c>
      <c r="AC3749">
        <f>RAND()</f>
        <v/>
      </c>
      <c r="AD3749">
        <f>RAND()</f>
        <v/>
      </c>
      <c r="AE3749">
        <f>RAND()</f>
        <v/>
      </c>
      <c r="AF3749">
        <f>RAND()</f>
        <v/>
      </c>
    </row>
    <row r="3750">
      <c r="M3750" s="14">
        <f>_xlfn.BETA.INV($AA3750,1+4*($D$5-$C$5)/($E$5-$C$5),1+4*($E$5-$D$5)/($E$5-$C$5),$C$5,$E$5)</f>
        <v/>
      </c>
      <c r="N3750" s="14">
        <f>IF($AB3750&lt;($D$6-$C$6)/($E$6-$C$6),$C$6+SQRT($AB3750*($E$6-$C$6)*($D$6-$C$6)),$E$6-SQRT((1-$AB3750)*($E$6-$C$6)*($E$6-$D$6)))</f>
        <v/>
      </c>
      <c r="O3750" s="14">
        <f>_xlfn.NORM.INV($AC3750,$C$7,$D$7)</f>
        <v/>
      </c>
      <c r="P3750" s="14">
        <f>$C$8+($D$8-$C$8)*$AD3750</f>
        <v/>
      </c>
      <c r="Q3750" s="14">
        <f>$C$9</f>
        <v/>
      </c>
      <c r="R3750" s="14">
        <f>_xlfn.LOGNORM.INV($AF3750,LN($C$10)-0.5*LN(1+($D$10/$C$10)^2),SQRT(LN(1+($D$10/$C$10)^2)))</f>
        <v/>
      </c>
      <c r="S3750" s="14">
        <f>SUM(M3750:R3750)</f>
        <v/>
      </c>
      <c r="AA3750">
        <f>RAND()</f>
        <v/>
      </c>
      <c r="AB3750">
        <f>RAND()</f>
        <v/>
      </c>
      <c r="AC3750">
        <f>RAND()</f>
        <v/>
      </c>
      <c r="AD3750">
        <f>RAND()</f>
        <v/>
      </c>
      <c r="AE3750">
        <f>RAND()</f>
        <v/>
      </c>
      <c r="AF3750">
        <f>RAND()</f>
        <v/>
      </c>
    </row>
    <row r="3751">
      <c r="M3751" s="14">
        <f>_xlfn.BETA.INV($AA3751,1+4*($D$5-$C$5)/($E$5-$C$5),1+4*($E$5-$D$5)/($E$5-$C$5),$C$5,$E$5)</f>
        <v/>
      </c>
      <c r="N3751" s="14">
        <f>IF($AB3751&lt;($D$6-$C$6)/($E$6-$C$6),$C$6+SQRT($AB3751*($E$6-$C$6)*($D$6-$C$6)),$E$6-SQRT((1-$AB3751)*($E$6-$C$6)*($E$6-$D$6)))</f>
        <v/>
      </c>
      <c r="O3751" s="14">
        <f>_xlfn.NORM.INV($AC3751,$C$7,$D$7)</f>
        <v/>
      </c>
      <c r="P3751" s="14">
        <f>$C$8+($D$8-$C$8)*$AD3751</f>
        <v/>
      </c>
      <c r="Q3751" s="14">
        <f>$C$9</f>
        <v/>
      </c>
      <c r="R3751" s="14">
        <f>_xlfn.LOGNORM.INV($AF3751,LN($C$10)-0.5*LN(1+($D$10/$C$10)^2),SQRT(LN(1+($D$10/$C$10)^2)))</f>
        <v/>
      </c>
      <c r="S3751" s="14">
        <f>SUM(M3751:R3751)</f>
        <v/>
      </c>
      <c r="AA3751">
        <f>RAND()</f>
        <v/>
      </c>
      <c r="AB3751">
        <f>RAND()</f>
        <v/>
      </c>
      <c r="AC3751">
        <f>RAND()</f>
        <v/>
      </c>
      <c r="AD3751">
        <f>RAND()</f>
        <v/>
      </c>
      <c r="AE3751">
        <f>RAND()</f>
        <v/>
      </c>
      <c r="AF3751">
        <f>RAND()</f>
        <v/>
      </c>
    </row>
    <row r="3752">
      <c r="M3752" s="14">
        <f>_xlfn.BETA.INV($AA3752,1+4*($D$5-$C$5)/($E$5-$C$5),1+4*($E$5-$D$5)/($E$5-$C$5),$C$5,$E$5)</f>
        <v/>
      </c>
      <c r="N3752" s="14">
        <f>IF($AB3752&lt;($D$6-$C$6)/($E$6-$C$6),$C$6+SQRT($AB3752*($E$6-$C$6)*($D$6-$C$6)),$E$6-SQRT((1-$AB3752)*($E$6-$C$6)*($E$6-$D$6)))</f>
        <v/>
      </c>
      <c r="O3752" s="14">
        <f>_xlfn.NORM.INV($AC3752,$C$7,$D$7)</f>
        <v/>
      </c>
      <c r="P3752" s="14">
        <f>$C$8+($D$8-$C$8)*$AD3752</f>
        <v/>
      </c>
      <c r="Q3752" s="14">
        <f>$C$9</f>
        <v/>
      </c>
      <c r="R3752" s="14">
        <f>_xlfn.LOGNORM.INV($AF3752,LN($C$10)-0.5*LN(1+($D$10/$C$10)^2),SQRT(LN(1+($D$10/$C$10)^2)))</f>
        <v/>
      </c>
      <c r="S3752" s="14">
        <f>SUM(M3752:R3752)</f>
        <v/>
      </c>
      <c r="AA3752">
        <f>RAND()</f>
        <v/>
      </c>
      <c r="AB3752">
        <f>RAND()</f>
        <v/>
      </c>
      <c r="AC3752">
        <f>RAND()</f>
        <v/>
      </c>
      <c r="AD3752">
        <f>RAND()</f>
        <v/>
      </c>
      <c r="AE3752">
        <f>RAND()</f>
        <v/>
      </c>
      <c r="AF3752">
        <f>RAND()</f>
        <v/>
      </c>
    </row>
    <row r="3753">
      <c r="M3753" s="14">
        <f>_xlfn.BETA.INV($AA3753,1+4*($D$5-$C$5)/($E$5-$C$5),1+4*($E$5-$D$5)/($E$5-$C$5),$C$5,$E$5)</f>
        <v/>
      </c>
      <c r="N3753" s="14">
        <f>IF($AB3753&lt;($D$6-$C$6)/($E$6-$C$6),$C$6+SQRT($AB3753*($E$6-$C$6)*($D$6-$C$6)),$E$6-SQRT((1-$AB3753)*($E$6-$C$6)*($E$6-$D$6)))</f>
        <v/>
      </c>
      <c r="O3753" s="14">
        <f>_xlfn.NORM.INV($AC3753,$C$7,$D$7)</f>
        <v/>
      </c>
      <c r="P3753" s="14">
        <f>$C$8+($D$8-$C$8)*$AD3753</f>
        <v/>
      </c>
      <c r="Q3753" s="14">
        <f>$C$9</f>
        <v/>
      </c>
      <c r="R3753" s="14">
        <f>_xlfn.LOGNORM.INV($AF3753,LN($C$10)-0.5*LN(1+($D$10/$C$10)^2),SQRT(LN(1+($D$10/$C$10)^2)))</f>
        <v/>
      </c>
      <c r="S3753" s="14">
        <f>SUM(M3753:R3753)</f>
        <v/>
      </c>
      <c r="AA3753">
        <f>RAND()</f>
        <v/>
      </c>
      <c r="AB3753">
        <f>RAND()</f>
        <v/>
      </c>
      <c r="AC3753">
        <f>RAND()</f>
        <v/>
      </c>
      <c r="AD3753">
        <f>RAND()</f>
        <v/>
      </c>
      <c r="AE3753">
        <f>RAND()</f>
        <v/>
      </c>
      <c r="AF3753">
        <f>RAND()</f>
        <v/>
      </c>
    </row>
    <row r="3754">
      <c r="M3754" s="14">
        <f>_xlfn.BETA.INV($AA3754,1+4*($D$5-$C$5)/($E$5-$C$5),1+4*($E$5-$D$5)/($E$5-$C$5),$C$5,$E$5)</f>
        <v/>
      </c>
      <c r="N3754" s="14">
        <f>IF($AB3754&lt;($D$6-$C$6)/($E$6-$C$6),$C$6+SQRT($AB3754*($E$6-$C$6)*($D$6-$C$6)),$E$6-SQRT((1-$AB3754)*($E$6-$C$6)*($E$6-$D$6)))</f>
        <v/>
      </c>
      <c r="O3754" s="14">
        <f>_xlfn.NORM.INV($AC3754,$C$7,$D$7)</f>
        <v/>
      </c>
      <c r="P3754" s="14">
        <f>$C$8+($D$8-$C$8)*$AD3754</f>
        <v/>
      </c>
      <c r="Q3754" s="14">
        <f>$C$9</f>
        <v/>
      </c>
      <c r="R3754" s="14">
        <f>_xlfn.LOGNORM.INV($AF3754,LN($C$10)-0.5*LN(1+($D$10/$C$10)^2),SQRT(LN(1+($D$10/$C$10)^2)))</f>
        <v/>
      </c>
      <c r="S3754" s="14">
        <f>SUM(M3754:R3754)</f>
        <v/>
      </c>
      <c r="AA3754">
        <f>RAND()</f>
        <v/>
      </c>
      <c r="AB3754">
        <f>RAND()</f>
        <v/>
      </c>
      <c r="AC3754">
        <f>RAND()</f>
        <v/>
      </c>
      <c r="AD3754">
        <f>RAND()</f>
        <v/>
      </c>
      <c r="AE3754">
        <f>RAND()</f>
        <v/>
      </c>
      <c r="AF3754">
        <f>RAND()</f>
        <v/>
      </c>
    </row>
    <row r="3755">
      <c r="M3755" s="14">
        <f>_xlfn.BETA.INV($AA3755,1+4*($D$5-$C$5)/($E$5-$C$5),1+4*($E$5-$D$5)/($E$5-$C$5),$C$5,$E$5)</f>
        <v/>
      </c>
      <c r="N3755" s="14">
        <f>IF($AB3755&lt;($D$6-$C$6)/($E$6-$C$6),$C$6+SQRT($AB3755*($E$6-$C$6)*($D$6-$C$6)),$E$6-SQRT((1-$AB3755)*($E$6-$C$6)*($E$6-$D$6)))</f>
        <v/>
      </c>
      <c r="O3755" s="14">
        <f>_xlfn.NORM.INV($AC3755,$C$7,$D$7)</f>
        <v/>
      </c>
      <c r="P3755" s="14">
        <f>$C$8+($D$8-$C$8)*$AD3755</f>
        <v/>
      </c>
      <c r="Q3755" s="14">
        <f>$C$9</f>
        <v/>
      </c>
      <c r="R3755" s="14">
        <f>_xlfn.LOGNORM.INV($AF3755,LN($C$10)-0.5*LN(1+($D$10/$C$10)^2),SQRT(LN(1+($D$10/$C$10)^2)))</f>
        <v/>
      </c>
      <c r="S3755" s="14">
        <f>SUM(M3755:R3755)</f>
        <v/>
      </c>
      <c r="AA3755">
        <f>RAND()</f>
        <v/>
      </c>
      <c r="AB3755">
        <f>RAND()</f>
        <v/>
      </c>
      <c r="AC3755">
        <f>RAND()</f>
        <v/>
      </c>
      <c r="AD3755">
        <f>RAND()</f>
        <v/>
      </c>
      <c r="AE3755">
        <f>RAND()</f>
        <v/>
      </c>
      <c r="AF3755">
        <f>RAND()</f>
        <v/>
      </c>
    </row>
    <row r="3756">
      <c r="M3756" s="14">
        <f>_xlfn.BETA.INV($AA3756,1+4*($D$5-$C$5)/($E$5-$C$5),1+4*($E$5-$D$5)/($E$5-$C$5),$C$5,$E$5)</f>
        <v/>
      </c>
      <c r="N3756" s="14">
        <f>IF($AB3756&lt;($D$6-$C$6)/($E$6-$C$6),$C$6+SQRT($AB3756*($E$6-$C$6)*($D$6-$C$6)),$E$6-SQRT((1-$AB3756)*($E$6-$C$6)*($E$6-$D$6)))</f>
        <v/>
      </c>
      <c r="O3756" s="14">
        <f>_xlfn.NORM.INV($AC3756,$C$7,$D$7)</f>
        <v/>
      </c>
      <c r="P3756" s="14">
        <f>$C$8+($D$8-$C$8)*$AD3756</f>
        <v/>
      </c>
      <c r="Q3756" s="14">
        <f>$C$9</f>
        <v/>
      </c>
      <c r="R3756" s="14">
        <f>_xlfn.LOGNORM.INV($AF3756,LN($C$10)-0.5*LN(1+($D$10/$C$10)^2),SQRT(LN(1+($D$10/$C$10)^2)))</f>
        <v/>
      </c>
      <c r="S3756" s="14">
        <f>SUM(M3756:R3756)</f>
        <v/>
      </c>
      <c r="AA3756">
        <f>RAND()</f>
        <v/>
      </c>
      <c r="AB3756">
        <f>RAND()</f>
        <v/>
      </c>
      <c r="AC3756">
        <f>RAND()</f>
        <v/>
      </c>
      <c r="AD3756">
        <f>RAND()</f>
        <v/>
      </c>
      <c r="AE3756">
        <f>RAND()</f>
        <v/>
      </c>
      <c r="AF3756">
        <f>RAND()</f>
        <v/>
      </c>
    </row>
    <row r="3757">
      <c r="M3757" s="14">
        <f>_xlfn.BETA.INV($AA3757,1+4*($D$5-$C$5)/($E$5-$C$5),1+4*($E$5-$D$5)/($E$5-$C$5),$C$5,$E$5)</f>
        <v/>
      </c>
      <c r="N3757" s="14">
        <f>IF($AB3757&lt;($D$6-$C$6)/($E$6-$C$6),$C$6+SQRT($AB3757*($E$6-$C$6)*($D$6-$C$6)),$E$6-SQRT((1-$AB3757)*($E$6-$C$6)*($E$6-$D$6)))</f>
        <v/>
      </c>
      <c r="O3757" s="14">
        <f>_xlfn.NORM.INV($AC3757,$C$7,$D$7)</f>
        <v/>
      </c>
      <c r="P3757" s="14">
        <f>$C$8+($D$8-$C$8)*$AD3757</f>
        <v/>
      </c>
      <c r="Q3757" s="14">
        <f>$C$9</f>
        <v/>
      </c>
      <c r="R3757" s="14">
        <f>_xlfn.LOGNORM.INV($AF3757,LN($C$10)-0.5*LN(1+($D$10/$C$10)^2),SQRT(LN(1+($D$10/$C$10)^2)))</f>
        <v/>
      </c>
      <c r="S3757" s="14">
        <f>SUM(M3757:R3757)</f>
        <v/>
      </c>
      <c r="AA3757">
        <f>RAND()</f>
        <v/>
      </c>
      <c r="AB3757">
        <f>RAND()</f>
        <v/>
      </c>
      <c r="AC3757">
        <f>RAND()</f>
        <v/>
      </c>
      <c r="AD3757">
        <f>RAND()</f>
        <v/>
      </c>
      <c r="AE3757">
        <f>RAND()</f>
        <v/>
      </c>
      <c r="AF3757">
        <f>RAND()</f>
        <v/>
      </c>
    </row>
    <row r="3758">
      <c r="M3758" s="14">
        <f>_xlfn.BETA.INV($AA3758,1+4*($D$5-$C$5)/($E$5-$C$5),1+4*($E$5-$D$5)/($E$5-$C$5),$C$5,$E$5)</f>
        <v/>
      </c>
      <c r="N3758" s="14">
        <f>IF($AB3758&lt;($D$6-$C$6)/($E$6-$C$6),$C$6+SQRT($AB3758*($E$6-$C$6)*($D$6-$C$6)),$E$6-SQRT((1-$AB3758)*($E$6-$C$6)*($E$6-$D$6)))</f>
        <v/>
      </c>
      <c r="O3758" s="14">
        <f>_xlfn.NORM.INV($AC3758,$C$7,$D$7)</f>
        <v/>
      </c>
      <c r="P3758" s="14">
        <f>$C$8+($D$8-$C$8)*$AD3758</f>
        <v/>
      </c>
      <c r="Q3758" s="14">
        <f>$C$9</f>
        <v/>
      </c>
      <c r="R3758" s="14">
        <f>_xlfn.LOGNORM.INV($AF3758,LN($C$10)-0.5*LN(1+($D$10/$C$10)^2),SQRT(LN(1+($D$10/$C$10)^2)))</f>
        <v/>
      </c>
      <c r="S3758" s="14">
        <f>SUM(M3758:R3758)</f>
        <v/>
      </c>
      <c r="AA3758">
        <f>RAND()</f>
        <v/>
      </c>
      <c r="AB3758">
        <f>RAND()</f>
        <v/>
      </c>
      <c r="AC3758">
        <f>RAND()</f>
        <v/>
      </c>
      <c r="AD3758">
        <f>RAND()</f>
        <v/>
      </c>
      <c r="AE3758">
        <f>RAND()</f>
        <v/>
      </c>
      <c r="AF3758">
        <f>RAND()</f>
        <v/>
      </c>
    </row>
    <row r="3759">
      <c r="M3759" s="14">
        <f>_xlfn.BETA.INV($AA3759,1+4*($D$5-$C$5)/($E$5-$C$5),1+4*($E$5-$D$5)/($E$5-$C$5),$C$5,$E$5)</f>
        <v/>
      </c>
      <c r="N3759" s="14">
        <f>IF($AB3759&lt;($D$6-$C$6)/($E$6-$C$6),$C$6+SQRT($AB3759*($E$6-$C$6)*($D$6-$C$6)),$E$6-SQRT((1-$AB3759)*($E$6-$C$6)*($E$6-$D$6)))</f>
        <v/>
      </c>
      <c r="O3759" s="14">
        <f>_xlfn.NORM.INV($AC3759,$C$7,$D$7)</f>
        <v/>
      </c>
      <c r="P3759" s="14">
        <f>$C$8+($D$8-$C$8)*$AD3759</f>
        <v/>
      </c>
      <c r="Q3759" s="14">
        <f>$C$9</f>
        <v/>
      </c>
      <c r="R3759" s="14">
        <f>_xlfn.LOGNORM.INV($AF3759,LN($C$10)-0.5*LN(1+($D$10/$C$10)^2),SQRT(LN(1+($D$10/$C$10)^2)))</f>
        <v/>
      </c>
      <c r="S3759" s="14">
        <f>SUM(M3759:R3759)</f>
        <v/>
      </c>
      <c r="AA3759">
        <f>RAND()</f>
        <v/>
      </c>
      <c r="AB3759">
        <f>RAND()</f>
        <v/>
      </c>
      <c r="AC3759">
        <f>RAND()</f>
        <v/>
      </c>
      <c r="AD3759">
        <f>RAND()</f>
        <v/>
      </c>
      <c r="AE3759">
        <f>RAND()</f>
        <v/>
      </c>
      <c r="AF3759">
        <f>RAND()</f>
        <v/>
      </c>
    </row>
    <row r="3760">
      <c r="M3760" s="14">
        <f>_xlfn.BETA.INV($AA3760,1+4*($D$5-$C$5)/($E$5-$C$5),1+4*($E$5-$D$5)/($E$5-$C$5),$C$5,$E$5)</f>
        <v/>
      </c>
      <c r="N3760" s="14">
        <f>IF($AB3760&lt;($D$6-$C$6)/($E$6-$C$6),$C$6+SQRT($AB3760*($E$6-$C$6)*($D$6-$C$6)),$E$6-SQRT((1-$AB3760)*($E$6-$C$6)*($E$6-$D$6)))</f>
        <v/>
      </c>
      <c r="O3760" s="14">
        <f>_xlfn.NORM.INV($AC3760,$C$7,$D$7)</f>
        <v/>
      </c>
      <c r="P3760" s="14">
        <f>$C$8+($D$8-$C$8)*$AD3760</f>
        <v/>
      </c>
      <c r="Q3760" s="14">
        <f>$C$9</f>
        <v/>
      </c>
      <c r="R3760" s="14">
        <f>_xlfn.LOGNORM.INV($AF3760,LN($C$10)-0.5*LN(1+($D$10/$C$10)^2),SQRT(LN(1+($D$10/$C$10)^2)))</f>
        <v/>
      </c>
      <c r="S3760" s="14">
        <f>SUM(M3760:R3760)</f>
        <v/>
      </c>
      <c r="AA3760">
        <f>RAND()</f>
        <v/>
      </c>
      <c r="AB3760">
        <f>RAND()</f>
        <v/>
      </c>
      <c r="AC3760">
        <f>RAND()</f>
        <v/>
      </c>
      <c r="AD3760">
        <f>RAND()</f>
        <v/>
      </c>
      <c r="AE3760">
        <f>RAND()</f>
        <v/>
      </c>
      <c r="AF3760">
        <f>RAND()</f>
        <v/>
      </c>
    </row>
    <row r="3761">
      <c r="M3761" s="14">
        <f>_xlfn.BETA.INV($AA3761,1+4*($D$5-$C$5)/($E$5-$C$5),1+4*($E$5-$D$5)/($E$5-$C$5),$C$5,$E$5)</f>
        <v/>
      </c>
      <c r="N3761" s="14">
        <f>IF($AB3761&lt;($D$6-$C$6)/($E$6-$C$6),$C$6+SQRT($AB3761*($E$6-$C$6)*($D$6-$C$6)),$E$6-SQRT((1-$AB3761)*($E$6-$C$6)*($E$6-$D$6)))</f>
        <v/>
      </c>
      <c r="O3761" s="14">
        <f>_xlfn.NORM.INV($AC3761,$C$7,$D$7)</f>
        <v/>
      </c>
      <c r="P3761" s="14">
        <f>$C$8+($D$8-$C$8)*$AD3761</f>
        <v/>
      </c>
      <c r="Q3761" s="14">
        <f>$C$9</f>
        <v/>
      </c>
      <c r="R3761" s="14">
        <f>_xlfn.LOGNORM.INV($AF3761,LN($C$10)-0.5*LN(1+($D$10/$C$10)^2),SQRT(LN(1+($D$10/$C$10)^2)))</f>
        <v/>
      </c>
      <c r="S3761" s="14">
        <f>SUM(M3761:R3761)</f>
        <v/>
      </c>
      <c r="AA3761">
        <f>RAND()</f>
        <v/>
      </c>
      <c r="AB3761">
        <f>RAND()</f>
        <v/>
      </c>
      <c r="AC3761">
        <f>RAND()</f>
        <v/>
      </c>
      <c r="AD3761">
        <f>RAND()</f>
        <v/>
      </c>
      <c r="AE3761">
        <f>RAND()</f>
        <v/>
      </c>
      <c r="AF3761">
        <f>RAND()</f>
        <v/>
      </c>
    </row>
    <row r="3762">
      <c r="M3762" s="14">
        <f>_xlfn.BETA.INV($AA3762,1+4*($D$5-$C$5)/($E$5-$C$5),1+4*($E$5-$D$5)/($E$5-$C$5),$C$5,$E$5)</f>
        <v/>
      </c>
      <c r="N3762" s="14">
        <f>IF($AB3762&lt;($D$6-$C$6)/($E$6-$C$6),$C$6+SQRT($AB3762*($E$6-$C$6)*($D$6-$C$6)),$E$6-SQRT((1-$AB3762)*($E$6-$C$6)*($E$6-$D$6)))</f>
        <v/>
      </c>
      <c r="O3762" s="14">
        <f>_xlfn.NORM.INV($AC3762,$C$7,$D$7)</f>
        <v/>
      </c>
      <c r="P3762" s="14">
        <f>$C$8+($D$8-$C$8)*$AD3762</f>
        <v/>
      </c>
      <c r="Q3762" s="14">
        <f>$C$9</f>
        <v/>
      </c>
      <c r="R3762" s="14">
        <f>_xlfn.LOGNORM.INV($AF3762,LN($C$10)-0.5*LN(1+($D$10/$C$10)^2),SQRT(LN(1+($D$10/$C$10)^2)))</f>
        <v/>
      </c>
      <c r="S3762" s="14">
        <f>SUM(M3762:R3762)</f>
        <v/>
      </c>
      <c r="AA3762">
        <f>RAND()</f>
        <v/>
      </c>
      <c r="AB3762">
        <f>RAND()</f>
        <v/>
      </c>
      <c r="AC3762">
        <f>RAND()</f>
        <v/>
      </c>
      <c r="AD3762">
        <f>RAND()</f>
        <v/>
      </c>
      <c r="AE3762">
        <f>RAND()</f>
        <v/>
      </c>
      <c r="AF3762">
        <f>RAND()</f>
        <v/>
      </c>
    </row>
    <row r="3763">
      <c r="M3763" s="14">
        <f>_xlfn.BETA.INV($AA3763,1+4*($D$5-$C$5)/($E$5-$C$5),1+4*($E$5-$D$5)/($E$5-$C$5),$C$5,$E$5)</f>
        <v/>
      </c>
      <c r="N3763" s="14">
        <f>IF($AB3763&lt;($D$6-$C$6)/($E$6-$C$6),$C$6+SQRT($AB3763*($E$6-$C$6)*($D$6-$C$6)),$E$6-SQRT((1-$AB3763)*($E$6-$C$6)*($E$6-$D$6)))</f>
        <v/>
      </c>
      <c r="O3763" s="14">
        <f>_xlfn.NORM.INV($AC3763,$C$7,$D$7)</f>
        <v/>
      </c>
      <c r="P3763" s="14">
        <f>$C$8+($D$8-$C$8)*$AD3763</f>
        <v/>
      </c>
      <c r="Q3763" s="14">
        <f>$C$9</f>
        <v/>
      </c>
      <c r="R3763" s="14">
        <f>_xlfn.LOGNORM.INV($AF3763,LN($C$10)-0.5*LN(1+($D$10/$C$10)^2),SQRT(LN(1+($D$10/$C$10)^2)))</f>
        <v/>
      </c>
      <c r="S3763" s="14">
        <f>SUM(M3763:R3763)</f>
        <v/>
      </c>
      <c r="AA3763">
        <f>RAND()</f>
        <v/>
      </c>
      <c r="AB3763">
        <f>RAND()</f>
        <v/>
      </c>
      <c r="AC3763">
        <f>RAND()</f>
        <v/>
      </c>
      <c r="AD3763">
        <f>RAND()</f>
        <v/>
      </c>
      <c r="AE3763">
        <f>RAND()</f>
        <v/>
      </c>
      <c r="AF3763">
        <f>RAND()</f>
        <v/>
      </c>
    </row>
    <row r="3764">
      <c r="M3764" s="14">
        <f>_xlfn.BETA.INV($AA3764,1+4*($D$5-$C$5)/($E$5-$C$5),1+4*($E$5-$D$5)/($E$5-$C$5),$C$5,$E$5)</f>
        <v/>
      </c>
      <c r="N3764" s="14">
        <f>IF($AB3764&lt;($D$6-$C$6)/($E$6-$C$6),$C$6+SQRT($AB3764*($E$6-$C$6)*($D$6-$C$6)),$E$6-SQRT((1-$AB3764)*($E$6-$C$6)*($E$6-$D$6)))</f>
        <v/>
      </c>
      <c r="O3764" s="14">
        <f>_xlfn.NORM.INV($AC3764,$C$7,$D$7)</f>
        <v/>
      </c>
      <c r="P3764" s="14">
        <f>$C$8+($D$8-$C$8)*$AD3764</f>
        <v/>
      </c>
      <c r="Q3764" s="14">
        <f>$C$9</f>
        <v/>
      </c>
      <c r="R3764" s="14">
        <f>_xlfn.LOGNORM.INV($AF3764,LN($C$10)-0.5*LN(1+($D$10/$C$10)^2),SQRT(LN(1+($D$10/$C$10)^2)))</f>
        <v/>
      </c>
      <c r="S3764" s="14">
        <f>SUM(M3764:R3764)</f>
        <v/>
      </c>
      <c r="AA3764">
        <f>RAND()</f>
        <v/>
      </c>
      <c r="AB3764">
        <f>RAND()</f>
        <v/>
      </c>
      <c r="AC3764">
        <f>RAND()</f>
        <v/>
      </c>
      <c r="AD3764">
        <f>RAND()</f>
        <v/>
      </c>
      <c r="AE3764">
        <f>RAND()</f>
        <v/>
      </c>
      <c r="AF3764">
        <f>RAND()</f>
        <v/>
      </c>
    </row>
    <row r="3765">
      <c r="M3765" s="14">
        <f>_xlfn.BETA.INV($AA3765,1+4*($D$5-$C$5)/($E$5-$C$5),1+4*($E$5-$D$5)/($E$5-$C$5),$C$5,$E$5)</f>
        <v/>
      </c>
      <c r="N3765" s="14">
        <f>IF($AB3765&lt;($D$6-$C$6)/($E$6-$C$6),$C$6+SQRT($AB3765*($E$6-$C$6)*($D$6-$C$6)),$E$6-SQRT((1-$AB3765)*($E$6-$C$6)*($E$6-$D$6)))</f>
        <v/>
      </c>
      <c r="O3765" s="14">
        <f>_xlfn.NORM.INV($AC3765,$C$7,$D$7)</f>
        <v/>
      </c>
      <c r="P3765" s="14">
        <f>$C$8+($D$8-$C$8)*$AD3765</f>
        <v/>
      </c>
      <c r="Q3765" s="14">
        <f>$C$9</f>
        <v/>
      </c>
      <c r="R3765" s="14">
        <f>_xlfn.LOGNORM.INV($AF3765,LN($C$10)-0.5*LN(1+($D$10/$C$10)^2),SQRT(LN(1+($D$10/$C$10)^2)))</f>
        <v/>
      </c>
      <c r="S3765" s="14">
        <f>SUM(M3765:R3765)</f>
        <v/>
      </c>
      <c r="AA3765">
        <f>RAND()</f>
        <v/>
      </c>
      <c r="AB3765">
        <f>RAND()</f>
        <v/>
      </c>
      <c r="AC3765">
        <f>RAND()</f>
        <v/>
      </c>
      <c r="AD3765">
        <f>RAND()</f>
        <v/>
      </c>
      <c r="AE3765">
        <f>RAND()</f>
        <v/>
      </c>
      <c r="AF3765">
        <f>RAND()</f>
        <v/>
      </c>
    </row>
    <row r="3766">
      <c r="M3766" s="14">
        <f>_xlfn.BETA.INV($AA3766,1+4*($D$5-$C$5)/($E$5-$C$5),1+4*($E$5-$D$5)/($E$5-$C$5),$C$5,$E$5)</f>
        <v/>
      </c>
      <c r="N3766" s="14">
        <f>IF($AB3766&lt;($D$6-$C$6)/($E$6-$C$6),$C$6+SQRT($AB3766*($E$6-$C$6)*($D$6-$C$6)),$E$6-SQRT((1-$AB3766)*($E$6-$C$6)*($E$6-$D$6)))</f>
        <v/>
      </c>
      <c r="O3766" s="14">
        <f>_xlfn.NORM.INV($AC3766,$C$7,$D$7)</f>
        <v/>
      </c>
      <c r="P3766" s="14">
        <f>$C$8+($D$8-$C$8)*$AD3766</f>
        <v/>
      </c>
      <c r="Q3766" s="14">
        <f>$C$9</f>
        <v/>
      </c>
      <c r="R3766" s="14">
        <f>_xlfn.LOGNORM.INV($AF3766,LN($C$10)-0.5*LN(1+($D$10/$C$10)^2),SQRT(LN(1+($D$10/$C$10)^2)))</f>
        <v/>
      </c>
      <c r="S3766" s="14">
        <f>SUM(M3766:R3766)</f>
        <v/>
      </c>
      <c r="AA3766">
        <f>RAND()</f>
        <v/>
      </c>
      <c r="AB3766">
        <f>RAND()</f>
        <v/>
      </c>
      <c r="AC3766">
        <f>RAND()</f>
        <v/>
      </c>
      <c r="AD3766">
        <f>RAND()</f>
        <v/>
      </c>
      <c r="AE3766">
        <f>RAND()</f>
        <v/>
      </c>
      <c r="AF3766">
        <f>RAND()</f>
        <v/>
      </c>
    </row>
    <row r="3767">
      <c r="M3767" s="14">
        <f>_xlfn.BETA.INV($AA3767,1+4*($D$5-$C$5)/($E$5-$C$5),1+4*($E$5-$D$5)/($E$5-$C$5),$C$5,$E$5)</f>
        <v/>
      </c>
      <c r="N3767" s="14">
        <f>IF($AB3767&lt;($D$6-$C$6)/($E$6-$C$6),$C$6+SQRT($AB3767*($E$6-$C$6)*($D$6-$C$6)),$E$6-SQRT((1-$AB3767)*($E$6-$C$6)*($E$6-$D$6)))</f>
        <v/>
      </c>
      <c r="O3767" s="14">
        <f>_xlfn.NORM.INV($AC3767,$C$7,$D$7)</f>
        <v/>
      </c>
      <c r="P3767" s="14">
        <f>$C$8+($D$8-$C$8)*$AD3767</f>
        <v/>
      </c>
      <c r="Q3767" s="14">
        <f>$C$9</f>
        <v/>
      </c>
      <c r="R3767" s="14">
        <f>_xlfn.LOGNORM.INV($AF3767,LN($C$10)-0.5*LN(1+($D$10/$C$10)^2),SQRT(LN(1+($D$10/$C$10)^2)))</f>
        <v/>
      </c>
      <c r="S3767" s="14">
        <f>SUM(M3767:R3767)</f>
        <v/>
      </c>
      <c r="AA3767">
        <f>RAND()</f>
        <v/>
      </c>
      <c r="AB3767">
        <f>RAND()</f>
        <v/>
      </c>
      <c r="AC3767">
        <f>RAND()</f>
        <v/>
      </c>
      <c r="AD3767">
        <f>RAND()</f>
        <v/>
      </c>
      <c r="AE3767">
        <f>RAND()</f>
        <v/>
      </c>
      <c r="AF3767">
        <f>RAND()</f>
        <v/>
      </c>
    </row>
    <row r="3768">
      <c r="M3768" s="14">
        <f>_xlfn.BETA.INV($AA3768,1+4*($D$5-$C$5)/($E$5-$C$5),1+4*($E$5-$D$5)/($E$5-$C$5),$C$5,$E$5)</f>
        <v/>
      </c>
      <c r="N3768" s="14">
        <f>IF($AB3768&lt;($D$6-$C$6)/($E$6-$C$6),$C$6+SQRT($AB3768*($E$6-$C$6)*($D$6-$C$6)),$E$6-SQRT((1-$AB3768)*($E$6-$C$6)*($E$6-$D$6)))</f>
        <v/>
      </c>
      <c r="O3768" s="14">
        <f>_xlfn.NORM.INV($AC3768,$C$7,$D$7)</f>
        <v/>
      </c>
      <c r="P3768" s="14">
        <f>$C$8+($D$8-$C$8)*$AD3768</f>
        <v/>
      </c>
      <c r="Q3768" s="14">
        <f>$C$9</f>
        <v/>
      </c>
      <c r="R3768" s="14">
        <f>_xlfn.LOGNORM.INV($AF3768,LN($C$10)-0.5*LN(1+($D$10/$C$10)^2),SQRT(LN(1+($D$10/$C$10)^2)))</f>
        <v/>
      </c>
      <c r="S3768" s="14">
        <f>SUM(M3768:R3768)</f>
        <v/>
      </c>
      <c r="AA3768">
        <f>RAND()</f>
        <v/>
      </c>
      <c r="AB3768">
        <f>RAND()</f>
        <v/>
      </c>
      <c r="AC3768">
        <f>RAND()</f>
        <v/>
      </c>
      <c r="AD3768">
        <f>RAND()</f>
        <v/>
      </c>
      <c r="AE3768">
        <f>RAND()</f>
        <v/>
      </c>
      <c r="AF3768">
        <f>RAND()</f>
        <v/>
      </c>
    </row>
    <row r="3769">
      <c r="M3769" s="14">
        <f>_xlfn.BETA.INV($AA3769,1+4*($D$5-$C$5)/($E$5-$C$5),1+4*($E$5-$D$5)/($E$5-$C$5),$C$5,$E$5)</f>
        <v/>
      </c>
      <c r="N3769" s="14">
        <f>IF($AB3769&lt;($D$6-$C$6)/($E$6-$C$6),$C$6+SQRT($AB3769*($E$6-$C$6)*($D$6-$C$6)),$E$6-SQRT((1-$AB3769)*($E$6-$C$6)*($E$6-$D$6)))</f>
        <v/>
      </c>
      <c r="O3769" s="14">
        <f>_xlfn.NORM.INV($AC3769,$C$7,$D$7)</f>
        <v/>
      </c>
      <c r="P3769" s="14">
        <f>$C$8+($D$8-$C$8)*$AD3769</f>
        <v/>
      </c>
      <c r="Q3769" s="14">
        <f>$C$9</f>
        <v/>
      </c>
      <c r="R3769" s="14">
        <f>_xlfn.LOGNORM.INV($AF3769,LN($C$10)-0.5*LN(1+($D$10/$C$10)^2),SQRT(LN(1+($D$10/$C$10)^2)))</f>
        <v/>
      </c>
      <c r="S3769" s="14">
        <f>SUM(M3769:R3769)</f>
        <v/>
      </c>
      <c r="AA3769">
        <f>RAND()</f>
        <v/>
      </c>
      <c r="AB3769">
        <f>RAND()</f>
        <v/>
      </c>
      <c r="AC3769">
        <f>RAND()</f>
        <v/>
      </c>
      <c r="AD3769">
        <f>RAND()</f>
        <v/>
      </c>
      <c r="AE3769">
        <f>RAND()</f>
        <v/>
      </c>
      <c r="AF3769">
        <f>RAND()</f>
        <v/>
      </c>
    </row>
    <row r="3770">
      <c r="M3770" s="14">
        <f>_xlfn.BETA.INV($AA3770,1+4*($D$5-$C$5)/($E$5-$C$5),1+4*($E$5-$D$5)/($E$5-$C$5),$C$5,$E$5)</f>
        <v/>
      </c>
      <c r="N3770" s="14">
        <f>IF($AB3770&lt;($D$6-$C$6)/($E$6-$C$6),$C$6+SQRT($AB3770*($E$6-$C$6)*($D$6-$C$6)),$E$6-SQRT((1-$AB3770)*($E$6-$C$6)*($E$6-$D$6)))</f>
        <v/>
      </c>
      <c r="O3770" s="14">
        <f>_xlfn.NORM.INV($AC3770,$C$7,$D$7)</f>
        <v/>
      </c>
      <c r="P3770" s="14">
        <f>$C$8+($D$8-$C$8)*$AD3770</f>
        <v/>
      </c>
      <c r="Q3770" s="14">
        <f>$C$9</f>
        <v/>
      </c>
      <c r="R3770" s="14">
        <f>_xlfn.LOGNORM.INV($AF3770,LN($C$10)-0.5*LN(1+($D$10/$C$10)^2),SQRT(LN(1+($D$10/$C$10)^2)))</f>
        <v/>
      </c>
      <c r="S3770" s="14">
        <f>SUM(M3770:R3770)</f>
        <v/>
      </c>
      <c r="AA3770">
        <f>RAND()</f>
        <v/>
      </c>
      <c r="AB3770">
        <f>RAND()</f>
        <v/>
      </c>
      <c r="AC3770">
        <f>RAND()</f>
        <v/>
      </c>
      <c r="AD3770">
        <f>RAND()</f>
        <v/>
      </c>
      <c r="AE3770">
        <f>RAND()</f>
        <v/>
      </c>
      <c r="AF3770">
        <f>RAND()</f>
        <v/>
      </c>
    </row>
    <row r="3771">
      <c r="M3771" s="14">
        <f>_xlfn.BETA.INV($AA3771,1+4*($D$5-$C$5)/($E$5-$C$5),1+4*($E$5-$D$5)/($E$5-$C$5),$C$5,$E$5)</f>
        <v/>
      </c>
      <c r="N3771" s="14">
        <f>IF($AB3771&lt;($D$6-$C$6)/($E$6-$C$6),$C$6+SQRT($AB3771*($E$6-$C$6)*($D$6-$C$6)),$E$6-SQRT((1-$AB3771)*($E$6-$C$6)*($E$6-$D$6)))</f>
        <v/>
      </c>
      <c r="O3771" s="14">
        <f>_xlfn.NORM.INV($AC3771,$C$7,$D$7)</f>
        <v/>
      </c>
      <c r="P3771" s="14">
        <f>$C$8+($D$8-$C$8)*$AD3771</f>
        <v/>
      </c>
      <c r="Q3771" s="14">
        <f>$C$9</f>
        <v/>
      </c>
      <c r="R3771" s="14">
        <f>_xlfn.LOGNORM.INV($AF3771,LN($C$10)-0.5*LN(1+($D$10/$C$10)^2),SQRT(LN(1+($D$10/$C$10)^2)))</f>
        <v/>
      </c>
      <c r="S3771" s="14">
        <f>SUM(M3771:R3771)</f>
        <v/>
      </c>
      <c r="AA3771">
        <f>RAND()</f>
        <v/>
      </c>
      <c r="AB3771">
        <f>RAND()</f>
        <v/>
      </c>
      <c r="AC3771">
        <f>RAND()</f>
        <v/>
      </c>
      <c r="AD3771">
        <f>RAND()</f>
        <v/>
      </c>
      <c r="AE3771">
        <f>RAND()</f>
        <v/>
      </c>
      <c r="AF3771">
        <f>RAND()</f>
        <v/>
      </c>
    </row>
    <row r="3772">
      <c r="M3772" s="14">
        <f>_xlfn.BETA.INV($AA3772,1+4*($D$5-$C$5)/($E$5-$C$5),1+4*($E$5-$D$5)/($E$5-$C$5),$C$5,$E$5)</f>
        <v/>
      </c>
      <c r="N3772" s="14">
        <f>IF($AB3772&lt;($D$6-$C$6)/($E$6-$C$6),$C$6+SQRT($AB3772*($E$6-$C$6)*($D$6-$C$6)),$E$6-SQRT((1-$AB3772)*($E$6-$C$6)*($E$6-$D$6)))</f>
        <v/>
      </c>
      <c r="O3772" s="14">
        <f>_xlfn.NORM.INV($AC3772,$C$7,$D$7)</f>
        <v/>
      </c>
      <c r="P3772" s="14">
        <f>$C$8+($D$8-$C$8)*$AD3772</f>
        <v/>
      </c>
      <c r="Q3772" s="14">
        <f>$C$9</f>
        <v/>
      </c>
      <c r="R3772" s="14">
        <f>_xlfn.LOGNORM.INV($AF3772,LN($C$10)-0.5*LN(1+($D$10/$C$10)^2),SQRT(LN(1+($D$10/$C$10)^2)))</f>
        <v/>
      </c>
      <c r="S3772" s="14">
        <f>SUM(M3772:R3772)</f>
        <v/>
      </c>
      <c r="AA3772">
        <f>RAND()</f>
        <v/>
      </c>
      <c r="AB3772">
        <f>RAND()</f>
        <v/>
      </c>
      <c r="AC3772">
        <f>RAND()</f>
        <v/>
      </c>
      <c r="AD3772">
        <f>RAND()</f>
        <v/>
      </c>
      <c r="AE3772">
        <f>RAND()</f>
        <v/>
      </c>
      <c r="AF3772">
        <f>RAND()</f>
        <v/>
      </c>
    </row>
    <row r="3773">
      <c r="M3773" s="14">
        <f>_xlfn.BETA.INV($AA3773,1+4*($D$5-$C$5)/($E$5-$C$5),1+4*($E$5-$D$5)/($E$5-$C$5),$C$5,$E$5)</f>
        <v/>
      </c>
      <c r="N3773" s="14">
        <f>IF($AB3773&lt;($D$6-$C$6)/($E$6-$C$6),$C$6+SQRT($AB3773*($E$6-$C$6)*($D$6-$C$6)),$E$6-SQRT((1-$AB3773)*($E$6-$C$6)*($E$6-$D$6)))</f>
        <v/>
      </c>
      <c r="O3773" s="14">
        <f>_xlfn.NORM.INV($AC3773,$C$7,$D$7)</f>
        <v/>
      </c>
      <c r="P3773" s="14">
        <f>$C$8+($D$8-$C$8)*$AD3773</f>
        <v/>
      </c>
      <c r="Q3773" s="14">
        <f>$C$9</f>
        <v/>
      </c>
      <c r="R3773" s="14">
        <f>_xlfn.LOGNORM.INV($AF3773,LN($C$10)-0.5*LN(1+($D$10/$C$10)^2),SQRT(LN(1+($D$10/$C$10)^2)))</f>
        <v/>
      </c>
      <c r="S3773" s="14">
        <f>SUM(M3773:R3773)</f>
        <v/>
      </c>
      <c r="AA3773">
        <f>RAND()</f>
        <v/>
      </c>
      <c r="AB3773">
        <f>RAND()</f>
        <v/>
      </c>
      <c r="AC3773">
        <f>RAND()</f>
        <v/>
      </c>
      <c r="AD3773">
        <f>RAND()</f>
        <v/>
      </c>
      <c r="AE3773">
        <f>RAND()</f>
        <v/>
      </c>
      <c r="AF3773">
        <f>RAND()</f>
        <v/>
      </c>
    </row>
    <row r="3774">
      <c r="M3774" s="14">
        <f>_xlfn.BETA.INV($AA3774,1+4*($D$5-$C$5)/($E$5-$C$5),1+4*($E$5-$D$5)/($E$5-$C$5),$C$5,$E$5)</f>
        <v/>
      </c>
      <c r="N3774" s="14">
        <f>IF($AB3774&lt;($D$6-$C$6)/($E$6-$C$6),$C$6+SQRT($AB3774*($E$6-$C$6)*($D$6-$C$6)),$E$6-SQRT((1-$AB3774)*($E$6-$C$6)*($E$6-$D$6)))</f>
        <v/>
      </c>
      <c r="O3774" s="14">
        <f>_xlfn.NORM.INV($AC3774,$C$7,$D$7)</f>
        <v/>
      </c>
      <c r="P3774" s="14">
        <f>$C$8+($D$8-$C$8)*$AD3774</f>
        <v/>
      </c>
      <c r="Q3774" s="14">
        <f>$C$9</f>
        <v/>
      </c>
      <c r="R3774" s="14">
        <f>_xlfn.LOGNORM.INV($AF3774,LN($C$10)-0.5*LN(1+($D$10/$C$10)^2),SQRT(LN(1+($D$10/$C$10)^2)))</f>
        <v/>
      </c>
      <c r="S3774" s="14">
        <f>SUM(M3774:R3774)</f>
        <v/>
      </c>
      <c r="AA3774">
        <f>RAND()</f>
        <v/>
      </c>
      <c r="AB3774">
        <f>RAND()</f>
        <v/>
      </c>
      <c r="AC3774">
        <f>RAND()</f>
        <v/>
      </c>
      <c r="AD3774">
        <f>RAND()</f>
        <v/>
      </c>
      <c r="AE3774">
        <f>RAND()</f>
        <v/>
      </c>
      <c r="AF3774">
        <f>RAND()</f>
        <v/>
      </c>
    </row>
    <row r="3775">
      <c r="M3775" s="14">
        <f>_xlfn.BETA.INV($AA3775,1+4*($D$5-$C$5)/($E$5-$C$5),1+4*($E$5-$D$5)/($E$5-$C$5),$C$5,$E$5)</f>
        <v/>
      </c>
      <c r="N3775" s="14">
        <f>IF($AB3775&lt;($D$6-$C$6)/($E$6-$C$6),$C$6+SQRT($AB3775*($E$6-$C$6)*($D$6-$C$6)),$E$6-SQRT((1-$AB3775)*($E$6-$C$6)*($E$6-$D$6)))</f>
        <v/>
      </c>
      <c r="O3775" s="14">
        <f>_xlfn.NORM.INV($AC3775,$C$7,$D$7)</f>
        <v/>
      </c>
      <c r="P3775" s="14">
        <f>$C$8+($D$8-$C$8)*$AD3775</f>
        <v/>
      </c>
      <c r="Q3775" s="14">
        <f>$C$9</f>
        <v/>
      </c>
      <c r="R3775" s="14">
        <f>_xlfn.LOGNORM.INV($AF3775,LN($C$10)-0.5*LN(1+($D$10/$C$10)^2),SQRT(LN(1+($D$10/$C$10)^2)))</f>
        <v/>
      </c>
      <c r="S3775" s="14">
        <f>SUM(M3775:R3775)</f>
        <v/>
      </c>
      <c r="AA3775">
        <f>RAND()</f>
        <v/>
      </c>
      <c r="AB3775">
        <f>RAND()</f>
        <v/>
      </c>
      <c r="AC3775">
        <f>RAND()</f>
        <v/>
      </c>
      <c r="AD3775">
        <f>RAND()</f>
        <v/>
      </c>
      <c r="AE3775">
        <f>RAND()</f>
        <v/>
      </c>
      <c r="AF3775">
        <f>RAND()</f>
        <v/>
      </c>
    </row>
    <row r="3776">
      <c r="M3776" s="14">
        <f>_xlfn.BETA.INV($AA3776,1+4*($D$5-$C$5)/($E$5-$C$5),1+4*($E$5-$D$5)/($E$5-$C$5),$C$5,$E$5)</f>
        <v/>
      </c>
      <c r="N3776" s="14">
        <f>IF($AB3776&lt;($D$6-$C$6)/($E$6-$C$6),$C$6+SQRT($AB3776*($E$6-$C$6)*($D$6-$C$6)),$E$6-SQRT((1-$AB3776)*($E$6-$C$6)*($E$6-$D$6)))</f>
        <v/>
      </c>
      <c r="O3776" s="14">
        <f>_xlfn.NORM.INV($AC3776,$C$7,$D$7)</f>
        <v/>
      </c>
      <c r="P3776" s="14">
        <f>$C$8+($D$8-$C$8)*$AD3776</f>
        <v/>
      </c>
      <c r="Q3776" s="14">
        <f>$C$9</f>
        <v/>
      </c>
      <c r="R3776" s="14">
        <f>_xlfn.LOGNORM.INV($AF3776,LN($C$10)-0.5*LN(1+($D$10/$C$10)^2),SQRT(LN(1+($D$10/$C$10)^2)))</f>
        <v/>
      </c>
      <c r="S3776" s="14">
        <f>SUM(M3776:R3776)</f>
        <v/>
      </c>
      <c r="AA3776">
        <f>RAND()</f>
        <v/>
      </c>
      <c r="AB3776">
        <f>RAND()</f>
        <v/>
      </c>
      <c r="AC3776">
        <f>RAND()</f>
        <v/>
      </c>
      <c r="AD3776">
        <f>RAND()</f>
        <v/>
      </c>
      <c r="AE3776">
        <f>RAND()</f>
        <v/>
      </c>
      <c r="AF3776">
        <f>RAND()</f>
        <v/>
      </c>
    </row>
    <row r="3777">
      <c r="M3777" s="14">
        <f>_xlfn.BETA.INV($AA3777,1+4*($D$5-$C$5)/($E$5-$C$5),1+4*($E$5-$D$5)/($E$5-$C$5),$C$5,$E$5)</f>
        <v/>
      </c>
      <c r="N3777" s="14">
        <f>IF($AB3777&lt;($D$6-$C$6)/($E$6-$C$6),$C$6+SQRT($AB3777*($E$6-$C$6)*($D$6-$C$6)),$E$6-SQRT((1-$AB3777)*($E$6-$C$6)*($E$6-$D$6)))</f>
        <v/>
      </c>
      <c r="O3777" s="14">
        <f>_xlfn.NORM.INV($AC3777,$C$7,$D$7)</f>
        <v/>
      </c>
      <c r="P3777" s="14">
        <f>$C$8+($D$8-$C$8)*$AD3777</f>
        <v/>
      </c>
      <c r="Q3777" s="14">
        <f>$C$9</f>
        <v/>
      </c>
      <c r="R3777" s="14">
        <f>_xlfn.LOGNORM.INV($AF3777,LN($C$10)-0.5*LN(1+($D$10/$C$10)^2),SQRT(LN(1+($D$10/$C$10)^2)))</f>
        <v/>
      </c>
      <c r="S3777" s="14">
        <f>SUM(M3777:R3777)</f>
        <v/>
      </c>
      <c r="AA3777">
        <f>RAND()</f>
        <v/>
      </c>
      <c r="AB3777">
        <f>RAND()</f>
        <v/>
      </c>
      <c r="AC3777">
        <f>RAND()</f>
        <v/>
      </c>
      <c r="AD3777">
        <f>RAND()</f>
        <v/>
      </c>
      <c r="AE3777">
        <f>RAND()</f>
        <v/>
      </c>
      <c r="AF3777">
        <f>RAND()</f>
        <v/>
      </c>
    </row>
    <row r="3778">
      <c r="M3778" s="14">
        <f>_xlfn.BETA.INV($AA3778,1+4*($D$5-$C$5)/($E$5-$C$5),1+4*($E$5-$D$5)/($E$5-$C$5),$C$5,$E$5)</f>
        <v/>
      </c>
      <c r="N3778" s="14">
        <f>IF($AB3778&lt;($D$6-$C$6)/($E$6-$C$6),$C$6+SQRT($AB3778*($E$6-$C$6)*($D$6-$C$6)),$E$6-SQRT((1-$AB3778)*($E$6-$C$6)*($E$6-$D$6)))</f>
        <v/>
      </c>
      <c r="O3778" s="14">
        <f>_xlfn.NORM.INV($AC3778,$C$7,$D$7)</f>
        <v/>
      </c>
      <c r="P3778" s="14">
        <f>$C$8+($D$8-$C$8)*$AD3778</f>
        <v/>
      </c>
      <c r="Q3778" s="14">
        <f>$C$9</f>
        <v/>
      </c>
      <c r="R3778" s="14">
        <f>_xlfn.LOGNORM.INV($AF3778,LN($C$10)-0.5*LN(1+($D$10/$C$10)^2),SQRT(LN(1+($D$10/$C$10)^2)))</f>
        <v/>
      </c>
      <c r="S3778" s="14">
        <f>SUM(M3778:R3778)</f>
        <v/>
      </c>
      <c r="AA3778">
        <f>RAND()</f>
        <v/>
      </c>
      <c r="AB3778">
        <f>RAND()</f>
        <v/>
      </c>
      <c r="AC3778">
        <f>RAND()</f>
        <v/>
      </c>
      <c r="AD3778">
        <f>RAND()</f>
        <v/>
      </c>
      <c r="AE3778">
        <f>RAND()</f>
        <v/>
      </c>
      <c r="AF3778">
        <f>RAND()</f>
        <v/>
      </c>
    </row>
    <row r="3779">
      <c r="M3779" s="14">
        <f>_xlfn.BETA.INV($AA3779,1+4*($D$5-$C$5)/($E$5-$C$5),1+4*($E$5-$D$5)/($E$5-$C$5),$C$5,$E$5)</f>
        <v/>
      </c>
      <c r="N3779" s="14">
        <f>IF($AB3779&lt;($D$6-$C$6)/($E$6-$C$6),$C$6+SQRT($AB3779*($E$6-$C$6)*($D$6-$C$6)),$E$6-SQRT((1-$AB3779)*($E$6-$C$6)*($E$6-$D$6)))</f>
        <v/>
      </c>
      <c r="O3779" s="14">
        <f>_xlfn.NORM.INV($AC3779,$C$7,$D$7)</f>
        <v/>
      </c>
      <c r="P3779" s="14">
        <f>$C$8+($D$8-$C$8)*$AD3779</f>
        <v/>
      </c>
      <c r="Q3779" s="14">
        <f>$C$9</f>
        <v/>
      </c>
      <c r="R3779" s="14">
        <f>_xlfn.LOGNORM.INV($AF3779,LN($C$10)-0.5*LN(1+($D$10/$C$10)^2),SQRT(LN(1+($D$10/$C$10)^2)))</f>
        <v/>
      </c>
      <c r="S3779" s="14">
        <f>SUM(M3779:R3779)</f>
        <v/>
      </c>
      <c r="AA3779">
        <f>RAND()</f>
        <v/>
      </c>
      <c r="AB3779">
        <f>RAND()</f>
        <v/>
      </c>
      <c r="AC3779">
        <f>RAND()</f>
        <v/>
      </c>
      <c r="AD3779">
        <f>RAND()</f>
        <v/>
      </c>
      <c r="AE3779">
        <f>RAND()</f>
        <v/>
      </c>
      <c r="AF3779">
        <f>RAND()</f>
        <v/>
      </c>
    </row>
    <row r="3780">
      <c r="M3780" s="14">
        <f>_xlfn.BETA.INV($AA3780,1+4*($D$5-$C$5)/($E$5-$C$5),1+4*($E$5-$D$5)/($E$5-$C$5),$C$5,$E$5)</f>
        <v/>
      </c>
      <c r="N3780" s="14">
        <f>IF($AB3780&lt;($D$6-$C$6)/($E$6-$C$6),$C$6+SQRT($AB3780*($E$6-$C$6)*($D$6-$C$6)),$E$6-SQRT((1-$AB3780)*($E$6-$C$6)*($E$6-$D$6)))</f>
        <v/>
      </c>
      <c r="O3780" s="14">
        <f>_xlfn.NORM.INV($AC3780,$C$7,$D$7)</f>
        <v/>
      </c>
      <c r="P3780" s="14">
        <f>$C$8+($D$8-$C$8)*$AD3780</f>
        <v/>
      </c>
      <c r="Q3780" s="14">
        <f>$C$9</f>
        <v/>
      </c>
      <c r="R3780" s="14">
        <f>_xlfn.LOGNORM.INV($AF3780,LN($C$10)-0.5*LN(1+($D$10/$C$10)^2),SQRT(LN(1+($D$10/$C$10)^2)))</f>
        <v/>
      </c>
      <c r="S3780" s="14">
        <f>SUM(M3780:R3780)</f>
        <v/>
      </c>
      <c r="AA3780">
        <f>RAND()</f>
        <v/>
      </c>
      <c r="AB3780">
        <f>RAND()</f>
        <v/>
      </c>
      <c r="AC3780">
        <f>RAND()</f>
        <v/>
      </c>
      <c r="AD3780">
        <f>RAND()</f>
        <v/>
      </c>
      <c r="AE3780">
        <f>RAND()</f>
        <v/>
      </c>
      <c r="AF3780">
        <f>RAND()</f>
        <v/>
      </c>
    </row>
    <row r="3781">
      <c r="M3781" s="14">
        <f>_xlfn.BETA.INV($AA3781,1+4*($D$5-$C$5)/($E$5-$C$5),1+4*($E$5-$D$5)/($E$5-$C$5),$C$5,$E$5)</f>
        <v/>
      </c>
      <c r="N3781" s="14">
        <f>IF($AB3781&lt;($D$6-$C$6)/($E$6-$C$6),$C$6+SQRT($AB3781*($E$6-$C$6)*($D$6-$C$6)),$E$6-SQRT((1-$AB3781)*($E$6-$C$6)*($E$6-$D$6)))</f>
        <v/>
      </c>
      <c r="O3781" s="14">
        <f>_xlfn.NORM.INV($AC3781,$C$7,$D$7)</f>
        <v/>
      </c>
      <c r="P3781" s="14">
        <f>$C$8+($D$8-$C$8)*$AD3781</f>
        <v/>
      </c>
      <c r="Q3781" s="14">
        <f>$C$9</f>
        <v/>
      </c>
      <c r="R3781" s="14">
        <f>_xlfn.LOGNORM.INV($AF3781,LN($C$10)-0.5*LN(1+($D$10/$C$10)^2),SQRT(LN(1+($D$10/$C$10)^2)))</f>
        <v/>
      </c>
      <c r="S3781" s="14">
        <f>SUM(M3781:R3781)</f>
        <v/>
      </c>
      <c r="AA3781">
        <f>RAND()</f>
        <v/>
      </c>
      <c r="AB3781">
        <f>RAND()</f>
        <v/>
      </c>
      <c r="AC3781">
        <f>RAND()</f>
        <v/>
      </c>
      <c r="AD3781">
        <f>RAND()</f>
        <v/>
      </c>
      <c r="AE3781">
        <f>RAND()</f>
        <v/>
      </c>
      <c r="AF3781">
        <f>RAND()</f>
        <v/>
      </c>
    </row>
    <row r="3782">
      <c r="M3782" s="14">
        <f>_xlfn.BETA.INV($AA3782,1+4*($D$5-$C$5)/($E$5-$C$5),1+4*($E$5-$D$5)/($E$5-$C$5),$C$5,$E$5)</f>
        <v/>
      </c>
      <c r="N3782" s="14">
        <f>IF($AB3782&lt;($D$6-$C$6)/($E$6-$C$6),$C$6+SQRT($AB3782*($E$6-$C$6)*($D$6-$C$6)),$E$6-SQRT((1-$AB3782)*($E$6-$C$6)*($E$6-$D$6)))</f>
        <v/>
      </c>
      <c r="O3782" s="14">
        <f>_xlfn.NORM.INV($AC3782,$C$7,$D$7)</f>
        <v/>
      </c>
      <c r="P3782" s="14">
        <f>$C$8+($D$8-$C$8)*$AD3782</f>
        <v/>
      </c>
      <c r="Q3782" s="14">
        <f>$C$9</f>
        <v/>
      </c>
      <c r="R3782" s="14">
        <f>_xlfn.LOGNORM.INV($AF3782,LN($C$10)-0.5*LN(1+($D$10/$C$10)^2),SQRT(LN(1+($D$10/$C$10)^2)))</f>
        <v/>
      </c>
      <c r="S3782" s="14">
        <f>SUM(M3782:R3782)</f>
        <v/>
      </c>
      <c r="AA3782">
        <f>RAND()</f>
        <v/>
      </c>
      <c r="AB3782">
        <f>RAND()</f>
        <v/>
      </c>
      <c r="AC3782">
        <f>RAND()</f>
        <v/>
      </c>
      <c r="AD3782">
        <f>RAND()</f>
        <v/>
      </c>
      <c r="AE3782">
        <f>RAND()</f>
        <v/>
      </c>
      <c r="AF3782">
        <f>RAND()</f>
        <v/>
      </c>
    </row>
    <row r="3783">
      <c r="M3783" s="14">
        <f>_xlfn.BETA.INV($AA3783,1+4*($D$5-$C$5)/($E$5-$C$5),1+4*($E$5-$D$5)/($E$5-$C$5),$C$5,$E$5)</f>
        <v/>
      </c>
      <c r="N3783" s="14">
        <f>IF($AB3783&lt;($D$6-$C$6)/($E$6-$C$6),$C$6+SQRT($AB3783*($E$6-$C$6)*($D$6-$C$6)),$E$6-SQRT((1-$AB3783)*($E$6-$C$6)*($E$6-$D$6)))</f>
        <v/>
      </c>
      <c r="O3783" s="14">
        <f>_xlfn.NORM.INV($AC3783,$C$7,$D$7)</f>
        <v/>
      </c>
      <c r="P3783" s="14">
        <f>$C$8+($D$8-$C$8)*$AD3783</f>
        <v/>
      </c>
      <c r="Q3783" s="14">
        <f>$C$9</f>
        <v/>
      </c>
      <c r="R3783" s="14">
        <f>_xlfn.LOGNORM.INV($AF3783,LN($C$10)-0.5*LN(1+($D$10/$C$10)^2),SQRT(LN(1+($D$10/$C$10)^2)))</f>
        <v/>
      </c>
      <c r="S3783" s="14">
        <f>SUM(M3783:R3783)</f>
        <v/>
      </c>
      <c r="AA3783">
        <f>RAND()</f>
        <v/>
      </c>
      <c r="AB3783">
        <f>RAND()</f>
        <v/>
      </c>
      <c r="AC3783">
        <f>RAND()</f>
        <v/>
      </c>
      <c r="AD3783">
        <f>RAND()</f>
        <v/>
      </c>
      <c r="AE3783">
        <f>RAND()</f>
        <v/>
      </c>
      <c r="AF3783">
        <f>RAND()</f>
        <v/>
      </c>
    </row>
    <row r="3784">
      <c r="M3784" s="14">
        <f>_xlfn.BETA.INV($AA3784,1+4*($D$5-$C$5)/($E$5-$C$5),1+4*($E$5-$D$5)/($E$5-$C$5),$C$5,$E$5)</f>
        <v/>
      </c>
      <c r="N3784" s="14">
        <f>IF($AB3784&lt;($D$6-$C$6)/($E$6-$C$6),$C$6+SQRT($AB3784*($E$6-$C$6)*($D$6-$C$6)),$E$6-SQRT((1-$AB3784)*($E$6-$C$6)*($E$6-$D$6)))</f>
        <v/>
      </c>
      <c r="O3784" s="14">
        <f>_xlfn.NORM.INV($AC3784,$C$7,$D$7)</f>
        <v/>
      </c>
      <c r="P3784" s="14">
        <f>$C$8+($D$8-$C$8)*$AD3784</f>
        <v/>
      </c>
      <c r="Q3784" s="14">
        <f>$C$9</f>
        <v/>
      </c>
      <c r="R3784" s="14">
        <f>_xlfn.LOGNORM.INV($AF3784,LN($C$10)-0.5*LN(1+($D$10/$C$10)^2),SQRT(LN(1+($D$10/$C$10)^2)))</f>
        <v/>
      </c>
      <c r="S3784" s="14">
        <f>SUM(M3784:R3784)</f>
        <v/>
      </c>
      <c r="AA3784">
        <f>RAND()</f>
        <v/>
      </c>
      <c r="AB3784">
        <f>RAND()</f>
        <v/>
      </c>
      <c r="AC3784">
        <f>RAND()</f>
        <v/>
      </c>
      <c r="AD3784">
        <f>RAND()</f>
        <v/>
      </c>
      <c r="AE3784">
        <f>RAND()</f>
        <v/>
      </c>
      <c r="AF3784">
        <f>RAND()</f>
        <v/>
      </c>
    </row>
    <row r="3785">
      <c r="M3785" s="14">
        <f>_xlfn.BETA.INV($AA3785,1+4*($D$5-$C$5)/($E$5-$C$5),1+4*($E$5-$D$5)/($E$5-$C$5),$C$5,$E$5)</f>
        <v/>
      </c>
      <c r="N3785" s="14">
        <f>IF($AB3785&lt;($D$6-$C$6)/($E$6-$C$6),$C$6+SQRT($AB3785*($E$6-$C$6)*($D$6-$C$6)),$E$6-SQRT((1-$AB3785)*($E$6-$C$6)*($E$6-$D$6)))</f>
        <v/>
      </c>
      <c r="O3785" s="14">
        <f>_xlfn.NORM.INV($AC3785,$C$7,$D$7)</f>
        <v/>
      </c>
      <c r="P3785" s="14">
        <f>$C$8+($D$8-$C$8)*$AD3785</f>
        <v/>
      </c>
      <c r="Q3785" s="14">
        <f>$C$9</f>
        <v/>
      </c>
      <c r="R3785" s="14">
        <f>_xlfn.LOGNORM.INV($AF3785,LN($C$10)-0.5*LN(1+($D$10/$C$10)^2),SQRT(LN(1+($D$10/$C$10)^2)))</f>
        <v/>
      </c>
      <c r="S3785" s="14">
        <f>SUM(M3785:R3785)</f>
        <v/>
      </c>
      <c r="AA3785">
        <f>RAND()</f>
        <v/>
      </c>
      <c r="AB3785">
        <f>RAND()</f>
        <v/>
      </c>
      <c r="AC3785">
        <f>RAND()</f>
        <v/>
      </c>
      <c r="AD3785">
        <f>RAND()</f>
        <v/>
      </c>
      <c r="AE3785">
        <f>RAND()</f>
        <v/>
      </c>
      <c r="AF3785">
        <f>RAND()</f>
        <v/>
      </c>
    </row>
    <row r="3786">
      <c r="M3786" s="14">
        <f>_xlfn.BETA.INV($AA3786,1+4*($D$5-$C$5)/($E$5-$C$5),1+4*($E$5-$D$5)/($E$5-$C$5),$C$5,$E$5)</f>
        <v/>
      </c>
      <c r="N3786" s="14">
        <f>IF($AB3786&lt;($D$6-$C$6)/($E$6-$C$6),$C$6+SQRT($AB3786*($E$6-$C$6)*($D$6-$C$6)),$E$6-SQRT((1-$AB3786)*($E$6-$C$6)*($E$6-$D$6)))</f>
        <v/>
      </c>
      <c r="O3786" s="14">
        <f>_xlfn.NORM.INV($AC3786,$C$7,$D$7)</f>
        <v/>
      </c>
      <c r="P3786" s="14">
        <f>$C$8+($D$8-$C$8)*$AD3786</f>
        <v/>
      </c>
      <c r="Q3786" s="14">
        <f>$C$9</f>
        <v/>
      </c>
      <c r="R3786" s="14">
        <f>_xlfn.LOGNORM.INV($AF3786,LN($C$10)-0.5*LN(1+($D$10/$C$10)^2),SQRT(LN(1+($D$10/$C$10)^2)))</f>
        <v/>
      </c>
      <c r="S3786" s="14">
        <f>SUM(M3786:R3786)</f>
        <v/>
      </c>
      <c r="AA3786">
        <f>RAND()</f>
        <v/>
      </c>
      <c r="AB3786">
        <f>RAND()</f>
        <v/>
      </c>
      <c r="AC3786">
        <f>RAND()</f>
        <v/>
      </c>
      <c r="AD3786">
        <f>RAND()</f>
        <v/>
      </c>
      <c r="AE3786">
        <f>RAND()</f>
        <v/>
      </c>
      <c r="AF3786">
        <f>RAND()</f>
        <v/>
      </c>
    </row>
    <row r="3787">
      <c r="M3787" s="14">
        <f>_xlfn.BETA.INV($AA3787,1+4*($D$5-$C$5)/($E$5-$C$5),1+4*($E$5-$D$5)/($E$5-$C$5),$C$5,$E$5)</f>
        <v/>
      </c>
      <c r="N3787" s="14">
        <f>IF($AB3787&lt;($D$6-$C$6)/($E$6-$C$6),$C$6+SQRT($AB3787*($E$6-$C$6)*($D$6-$C$6)),$E$6-SQRT((1-$AB3787)*($E$6-$C$6)*($E$6-$D$6)))</f>
        <v/>
      </c>
      <c r="O3787" s="14">
        <f>_xlfn.NORM.INV($AC3787,$C$7,$D$7)</f>
        <v/>
      </c>
      <c r="P3787" s="14">
        <f>$C$8+($D$8-$C$8)*$AD3787</f>
        <v/>
      </c>
      <c r="Q3787" s="14">
        <f>$C$9</f>
        <v/>
      </c>
      <c r="R3787" s="14">
        <f>_xlfn.LOGNORM.INV($AF3787,LN($C$10)-0.5*LN(1+($D$10/$C$10)^2),SQRT(LN(1+($D$10/$C$10)^2)))</f>
        <v/>
      </c>
      <c r="S3787" s="14">
        <f>SUM(M3787:R3787)</f>
        <v/>
      </c>
      <c r="AA3787">
        <f>RAND()</f>
        <v/>
      </c>
      <c r="AB3787">
        <f>RAND()</f>
        <v/>
      </c>
      <c r="AC3787">
        <f>RAND()</f>
        <v/>
      </c>
      <c r="AD3787">
        <f>RAND()</f>
        <v/>
      </c>
      <c r="AE3787">
        <f>RAND()</f>
        <v/>
      </c>
      <c r="AF3787">
        <f>RAND()</f>
        <v/>
      </c>
    </row>
    <row r="3788">
      <c r="M3788" s="14">
        <f>_xlfn.BETA.INV($AA3788,1+4*($D$5-$C$5)/($E$5-$C$5),1+4*($E$5-$D$5)/($E$5-$C$5),$C$5,$E$5)</f>
        <v/>
      </c>
      <c r="N3788" s="14">
        <f>IF($AB3788&lt;($D$6-$C$6)/($E$6-$C$6),$C$6+SQRT($AB3788*($E$6-$C$6)*($D$6-$C$6)),$E$6-SQRT((1-$AB3788)*($E$6-$C$6)*($E$6-$D$6)))</f>
        <v/>
      </c>
      <c r="O3788" s="14">
        <f>_xlfn.NORM.INV($AC3788,$C$7,$D$7)</f>
        <v/>
      </c>
      <c r="P3788" s="14">
        <f>$C$8+($D$8-$C$8)*$AD3788</f>
        <v/>
      </c>
      <c r="Q3788" s="14">
        <f>$C$9</f>
        <v/>
      </c>
      <c r="R3788" s="14">
        <f>_xlfn.LOGNORM.INV($AF3788,LN($C$10)-0.5*LN(1+($D$10/$C$10)^2),SQRT(LN(1+($D$10/$C$10)^2)))</f>
        <v/>
      </c>
      <c r="S3788" s="14">
        <f>SUM(M3788:R3788)</f>
        <v/>
      </c>
      <c r="AA3788">
        <f>RAND()</f>
        <v/>
      </c>
      <c r="AB3788">
        <f>RAND()</f>
        <v/>
      </c>
      <c r="AC3788">
        <f>RAND()</f>
        <v/>
      </c>
      <c r="AD3788">
        <f>RAND()</f>
        <v/>
      </c>
      <c r="AE3788">
        <f>RAND()</f>
        <v/>
      </c>
      <c r="AF3788">
        <f>RAND()</f>
        <v/>
      </c>
    </row>
    <row r="3789">
      <c r="M3789" s="14">
        <f>_xlfn.BETA.INV($AA3789,1+4*($D$5-$C$5)/($E$5-$C$5),1+4*($E$5-$D$5)/($E$5-$C$5),$C$5,$E$5)</f>
        <v/>
      </c>
      <c r="N3789" s="14">
        <f>IF($AB3789&lt;($D$6-$C$6)/($E$6-$C$6),$C$6+SQRT($AB3789*($E$6-$C$6)*($D$6-$C$6)),$E$6-SQRT((1-$AB3789)*($E$6-$C$6)*($E$6-$D$6)))</f>
        <v/>
      </c>
      <c r="O3789" s="14">
        <f>_xlfn.NORM.INV($AC3789,$C$7,$D$7)</f>
        <v/>
      </c>
      <c r="P3789" s="14">
        <f>$C$8+($D$8-$C$8)*$AD3789</f>
        <v/>
      </c>
      <c r="Q3789" s="14">
        <f>$C$9</f>
        <v/>
      </c>
      <c r="R3789" s="14">
        <f>_xlfn.LOGNORM.INV($AF3789,LN($C$10)-0.5*LN(1+($D$10/$C$10)^2),SQRT(LN(1+($D$10/$C$10)^2)))</f>
        <v/>
      </c>
      <c r="S3789" s="14">
        <f>SUM(M3789:R3789)</f>
        <v/>
      </c>
      <c r="AA3789">
        <f>RAND()</f>
        <v/>
      </c>
      <c r="AB3789">
        <f>RAND()</f>
        <v/>
      </c>
      <c r="AC3789">
        <f>RAND()</f>
        <v/>
      </c>
      <c r="AD3789">
        <f>RAND()</f>
        <v/>
      </c>
      <c r="AE3789">
        <f>RAND()</f>
        <v/>
      </c>
      <c r="AF3789">
        <f>RAND()</f>
        <v/>
      </c>
    </row>
    <row r="3790">
      <c r="M3790" s="14">
        <f>_xlfn.BETA.INV($AA3790,1+4*($D$5-$C$5)/($E$5-$C$5),1+4*($E$5-$D$5)/($E$5-$C$5),$C$5,$E$5)</f>
        <v/>
      </c>
      <c r="N3790" s="14">
        <f>IF($AB3790&lt;($D$6-$C$6)/($E$6-$C$6),$C$6+SQRT($AB3790*($E$6-$C$6)*($D$6-$C$6)),$E$6-SQRT((1-$AB3790)*($E$6-$C$6)*($E$6-$D$6)))</f>
        <v/>
      </c>
      <c r="O3790" s="14">
        <f>_xlfn.NORM.INV($AC3790,$C$7,$D$7)</f>
        <v/>
      </c>
      <c r="P3790" s="14">
        <f>$C$8+($D$8-$C$8)*$AD3790</f>
        <v/>
      </c>
      <c r="Q3790" s="14">
        <f>$C$9</f>
        <v/>
      </c>
      <c r="R3790" s="14">
        <f>_xlfn.LOGNORM.INV($AF3790,LN($C$10)-0.5*LN(1+($D$10/$C$10)^2),SQRT(LN(1+($D$10/$C$10)^2)))</f>
        <v/>
      </c>
      <c r="S3790" s="14">
        <f>SUM(M3790:R3790)</f>
        <v/>
      </c>
      <c r="AA3790">
        <f>RAND()</f>
        <v/>
      </c>
      <c r="AB3790">
        <f>RAND()</f>
        <v/>
      </c>
      <c r="AC3790">
        <f>RAND()</f>
        <v/>
      </c>
      <c r="AD3790">
        <f>RAND()</f>
        <v/>
      </c>
      <c r="AE3790">
        <f>RAND()</f>
        <v/>
      </c>
      <c r="AF3790">
        <f>RAND()</f>
        <v/>
      </c>
    </row>
    <row r="3791">
      <c r="M3791" s="14">
        <f>_xlfn.BETA.INV($AA3791,1+4*($D$5-$C$5)/($E$5-$C$5),1+4*($E$5-$D$5)/($E$5-$C$5),$C$5,$E$5)</f>
        <v/>
      </c>
      <c r="N3791" s="14">
        <f>IF($AB3791&lt;($D$6-$C$6)/($E$6-$C$6),$C$6+SQRT($AB3791*($E$6-$C$6)*($D$6-$C$6)),$E$6-SQRT((1-$AB3791)*($E$6-$C$6)*($E$6-$D$6)))</f>
        <v/>
      </c>
      <c r="O3791" s="14">
        <f>_xlfn.NORM.INV($AC3791,$C$7,$D$7)</f>
        <v/>
      </c>
      <c r="P3791" s="14">
        <f>$C$8+($D$8-$C$8)*$AD3791</f>
        <v/>
      </c>
      <c r="Q3791" s="14">
        <f>$C$9</f>
        <v/>
      </c>
      <c r="R3791" s="14">
        <f>_xlfn.LOGNORM.INV($AF3791,LN($C$10)-0.5*LN(1+($D$10/$C$10)^2),SQRT(LN(1+($D$10/$C$10)^2)))</f>
        <v/>
      </c>
      <c r="S3791" s="14">
        <f>SUM(M3791:R3791)</f>
        <v/>
      </c>
      <c r="AA3791">
        <f>RAND()</f>
        <v/>
      </c>
      <c r="AB3791">
        <f>RAND()</f>
        <v/>
      </c>
      <c r="AC3791">
        <f>RAND()</f>
        <v/>
      </c>
      <c r="AD3791">
        <f>RAND()</f>
        <v/>
      </c>
      <c r="AE3791">
        <f>RAND()</f>
        <v/>
      </c>
      <c r="AF3791">
        <f>RAND()</f>
        <v/>
      </c>
    </row>
    <row r="3792">
      <c r="M3792" s="14">
        <f>_xlfn.BETA.INV($AA3792,1+4*($D$5-$C$5)/($E$5-$C$5),1+4*($E$5-$D$5)/($E$5-$C$5),$C$5,$E$5)</f>
        <v/>
      </c>
      <c r="N3792" s="14">
        <f>IF($AB3792&lt;($D$6-$C$6)/($E$6-$C$6),$C$6+SQRT($AB3792*($E$6-$C$6)*($D$6-$C$6)),$E$6-SQRT((1-$AB3792)*($E$6-$C$6)*($E$6-$D$6)))</f>
        <v/>
      </c>
      <c r="O3792" s="14">
        <f>_xlfn.NORM.INV($AC3792,$C$7,$D$7)</f>
        <v/>
      </c>
      <c r="P3792" s="14">
        <f>$C$8+($D$8-$C$8)*$AD3792</f>
        <v/>
      </c>
      <c r="Q3792" s="14">
        <f>$C$9</f>
        <v/>
      </c>
      <c r="R3792" s="14">
        <f>_xlfn.LOGNORM.INV($AF3792,LN($C$10)-0.5*LN(1+($D$10/$C$10)^2),SQRT(LN(1+($D$10/$C$10)^2)))</f>
        <v/>
      </c>
      <c r="S3792" s="14">
        <f>SUM(M3792:R3792)</f>
        <v/>
      </c>
      <c r="AA3792">
        <f>RAND()</f>
        <v/>
      </c>
      <c r="AB3792">
        <f>RAND()</f>
        <v/>
      </c>
      <c r="AC3792">
        <f>RAND()</f>
        <v/>
      </c>
      <c r="AD3792">
        <f>RAND()</f>
        <v/>
      </c>
      <c r="AE3792">
        <f>RAND()</f>
        <v/>
      </c>
      <c r="AF3792">
        <f>RAND()</f>
        <v/>
      </c>
    </row>
    <row r="3793">
      <c r="M3793" s="14">
        <f>_xlfn.BETA.INV($AA3793,1+4*($D$5-$C$5)/($E$5-$C$5),1+4*($E$5-$D$5)/($E$5-$C$5),$C$5,$E$5)</f>
        <v/>
      </c>
      <c r="N3793" s="14">
        <f>IF($AB3793&lt;($D$6-$C$6)/($E$6-$C$6),$C$6+SQRT($AB3793*($E$6-$C$6)*($D$6-$C$6)),$E$6-SQRT((1-$AB3793)*($E$6-$C$6)*($E$6-$D$6)))</f>
        <v/>
      </c>
      <c r="O3793" s="14">
        <f>_xlfn.NORM.INV($AC3793,$C$7,$D$7)</f>
        <v/>
      </c>
      <c r="P3793" s="14">
        <f>$C$8+($D$8-$C$8)*$AD3793</f>
        <v/>
      </c>
      <c r="Q3793" s="14">
        <f>$C$9</f>
        <v/>
      </c>
      <c r="R3793" s="14">
        <f>_xlfn.LOGNORM.INV($AF3793,LN($C$10)-0.5*LN(1+($D$10/$C$10)^2),SQRT(LN(1+($D$10/$C$10)^2)))</f>
        <v/>
      </c>
      <c r="S3793" s="14">
        <f>SUM(M3793:R3793)</f>
        <v/>
      </c>
      <c r="AA3793">
        <f>RAND()</f>
        <v/>
      </c>
      <c r="AB3793">
        <f>RAND()</f>
        <v/>
      </c>
      <c r="AC3793">
        <f>RAND()</f>
        <v/>
      </c>
      <c r="AD3793">
        <f>RAND()</f>
        <v/>
      </c>
      <c r="AE3793">
        <f>RAND()</f>
        <v/>
      </c>
      <c r="AF3793">
        <f>RAND()</f>
        <v/>
      </c>
    </row>
    <row r="3794">
      <c r="M3794" s="14">
        <f>_xlfn.BETA.INV($AA3794,1+4*($D$5-$C$5)/($E$5-$C$5),1+4*($E$5-$D$5)/($E$5-$C$5),$C$5,$E$5)</f>
        <v/>
      </c>
      <c r="N3794" s="14">
        <f>IF($AB3794&lt;($D$6-$C$6)/($E$6-$C$6),$C$6+SQRT($AB3794*($E$6-$C$6)*($D$6-$C$6)),$E$6-SQRT((1-$AB3794)*($E$6-$C$6)*($E$6-$D$6)))</f>
        <v/>
      </c>
      <c r="O3794" s="14">
        <f>_xlfn.NORM.INV($AC3794,$C$7,$D$7)</f>
        <v/>
      </c>
      <c r="P3794" s="14">
        <f>$C$8+($D$8-$C$8)*$AD3794</f>
        <v/>
      </c>
      <c r="Q3794" s="14">
        <f>$C$9</f>
        <v/>
      </c>
      <c r="R3794" s="14">
        <f>_xlfn.LOGNORM.INV($AF3794,LN($C$10)-0.5*LN(1+($D$10/$C$10)^2),SQRT(LN(1+($D$10/$C$10)^2)))</f>
        <v/>
      </c>
      <c r="S3794" s="14">
        <f>SUM(M3794:R3794)</f>
        <v/>
      </c>
      <c r="AA3794">
        <f>RAND()</f>
        <v/>
      </c>
      <c r="AB3794">
        <f>RAND()</f>
        <v/>
      </c>
      <c r="AC3794">
        <f>RAND()</f>
        <v/>
      </c>
      <c r="AD3794">
        <f>RAND()</f>
        <v/>
      </c>
      <c r="AE3794">
        <f>RAND()</f>
        <v/>
      </c>
      <c r="AF3794">
        <f>RAND()</f>
        <v/>
      </c>
    </row>
    <row r="3795">
      <c r="M3795" s="14">
        <f>_xlfn.BETA.INV($AA3795,1+4*($D$5-$C$5)/($E$5-$C$5),1+4*($E$5-$D$5)/($E$5-$C$5),$C$5,$E$5)</f>
        <v/>
      </c>
      <c r="N3795" s="14">
        <f>IF($AB3795&lt;($D$6-$C$6)/($E$6-$C$6),$C$6+SQRT($AB3795*($E$6-$C$6)*($D$6-$C$6)),$E$6-SQRT((1-$AB3795)*($E$6-$C$6)*($E$6-$D$6)))</f>
        <v/>
      </c>
      <c r="O3795" s="14">
        <f>_xlfn.NORM.INV($AC3795,$C$7,$D$7)</f>
        <v/>
      </c>
      <c r="P3795" s="14">
        <f>$C$8+($D$8-$C$8)*$AD3795</f>
        <v/>
      </c>
      <c r="Q3795" s="14">
        <f>$C$9</f>
        <v/>
      </c>
      <c r="R3795" s="14">
        <f>_xlfn.LOGNORM.INV($AF3795,LN($C$10)-0.5*LN(1+($D$10/$C$10)^2),SQRT(LN(1+($D$10/$C$10)^2)))</f>
        <v/>
      </c>
      <c r="S3795" s="14">
        <f>SUM(M3795:R3795)</f>
        <v/>
      </c>
      <c r="AA3795">
        <f>RAND()</f>
        <v/>
      </c>
      <c r="AB3795">
        <f>RAND()</f>
        <v/>
      </c>
      <c r="AC3795">
        <f>RAND()</f>
        <v/>
      </c>
      <c r="AD3795">
        <f>RAND()</f>
        <v/>
      </c>
      <c r="AE3795">
        <f>RAND()</f>
        <v/>
      </c>
      <c r="AF3795">
        <f>RAND()</f>
        <v/>
      </c>
    </row>
    <row r="3796">
      <c r="M3796" s="14">
        <f>_xlfn.BETA.INV($AA3796,1+4*($D$5-$C$5)/($E$5-$C$5),1+4*($E$5-$D$5)/($E$5-$C$5),$C$5,$E$5)</f>
        <v/>
      </c>
      <c r="N3796" s="14">
        <f>IF($AB3796&lt;($D$6-$C$6)/($E$6-$C$6),$C$6+SQRT($AB3796*($E$6-$C$6)*($D$6-$C$6)),$E$6-SQRT((1-$AB3796)*($E$6-$C$6)*($E$6-$D$6)))</f>
        <v/>
      </c>
      <c r="O3796" s="14">
        <f>_xlfn.NORM.INV($AC3796,$C$7,$D$7)</f>
        <v/>
      </c>
      <c r="P3796" s="14">
        <f>$C$8+($D$8-$C$8)*$AD3796</f>
        <v/>
      </c>
      <c r="Q3796" s="14">
        <f>$C$9</f>
        <v/>
      </c>
      <c r="R3796" s="14">
        <f>_xlfn.LOGNORM.INV($AF3796,LN($C$10)-0.5*LN(1+($D$10/$C$10)^2),SQRT(LN(1+($D$10/$C$10)^2)))</f>
        <v/>
      </c>
      <c r="S3796" s="14">
        <f>SUM(M3796:R3796)</f>
        <v/>
      </c>
      <c r="AA3796">
        <f>RAND()</f>
        <v/>
      </c>
      <c r="AB3796">
        <f>RAND()</f>
        <v/>
      </c>
      <c r="AC3796">
        <f>RAND()</f>
        <v/>
      </c>
      <c r="AD3796">
        <f>RAND()</f>
        <v/>
      </c>
      <c r="AE3796">
        <f>RAND()</f>
        <v/>
      </c>
      <c r="AF3796">
        <f>RAND()</f>
        <v/>
      </c>
    </row>
    <row r="3797">
      <c r="M3797" s="14">
        <f>_xlfn.BETA.INV($AA3797,1+4*($D$5-$C$5)/($E$5-$C$5),1+4*($E$5-$D$5)/($E$5-$C$5),$C$5,$E$5)</f>
        <v/>
      </c>
      <c r="N3797" s="14">
        <f>IF($AB3797&lt;($D$6-$C$6)/($E$6-$C$6),$C$6+SQRT($AB3797*($E$6-$C$6)*($D$6-$C$6)),$E$6-SQRT((1-$AB3797)*($E$6-$C$6)*($E$6-$D$6)))</f>
        <v/>
      </c>
      <c r="O3797" s="14">
        <f>_xlfn.NORM.INV($AC3797,$C$7,$D$7)</f>
        <v/>
      </c>
      <c r="P3797" s="14">
        <f>$C$8+($D$8-$C$8)*$AD3797</f>
        <v/>
      </c>
      <c r="Q3797" s="14">
        <f>$C$9</f>
        <v/>
      </c>
      <c r="R3797" s="14">
        <f>_xlfn.LOGNORM.INV($AF3797,LN($C$10)-0.5*LN(1+($D$10/$C$10)^2),SQRT(LN(1+($D$10/$C$10)^2)))</f>
        <v/>
      </c>
      <c r="S3797" s="14">
        <f>SUM(M3797:R3797)</f>
        <v/>
      </c>
      <c r="AA3797">
        <f>RAND()</f>
        <v/>
      </c>
      <c r="AB3797">
        <f>RAND()</f>
        <v/>
      </c>
      <c r="AC3797">
        <f>RAND()</f>
        <v/>
      </c>
      <c r="AD3797">
        <f>RAND()</f>
        <v/>
      </c>
      <c r="AE3797">
        <f>RAND()</f>
        <v/>
      </c>
      <c r="AF3797">
        <f>RAND()</f>
        <v/>
      </c>
    </row>
    <row r="3798">
      <c r="M3798" s="14">
        <f>_xlfn.BETA.INV($AA3798,1+4*($D$5-$C$5)/($E$5-$C$5),1+4*($E$5-$D$5)/($E$5-$C$5),$C$5,$E$5)</f>
        <v/>
      </c>
      <c r="N3798" s="14">
        <f>IF($AB3798&lt;($D$6-$C$6)/($E$6-$C$6),$C$6+SQRT($AB3798*($E$6-$C$6)*($D$6-$C$6)),$E$6-SQRT((1-$AB3798)*($E$6-$C$6)*($E$6-$D$6)))</f>
        <v/>
      </c>
      <c r="O3798" s="14">
        <f>_xlfn.NORM.INV($AC3798,$C$7,$D$7)</f>
        <v/>
      </c>
      <c r="P3798" s="14">
        <f>$C$8+($D$8-$C$8)*$AD3798</f>
        <v/>
      </c>
      <c r="Q3798" s="14">
        <f>$C$9</f>
        <v/>
      </c>
      <c r="R3798" s="14">
        <f>_xlfn.LOGNORM.INV($AF3798,LN($C$10)-0.5*LN(1+($D$10/$C$10)^2),SQRT(LN(1+($D$10/$C$10)^2)))</f>
        <v/>
      </c>
      <c r="S3798" s="14">
        <f>SUM(M3798:R3798)</f>
        <v/>
      </c>
      <c r="AA3798">
        <f>RAND()</f>
        <v/>
      </c>
      <c r="AB3798">
        <f>RAND()</f>
        <v/>
      </c>
      <c r="AC3798">
        <f>RAND()</f>
        <v/>
      </c>
      <c r="AD3798">
        <f>RAND()</f>
        <v/>
      </c>
      <c r="AE3798">
        <f>RAND()</f>
        <v/>
      </c>
      <c r="AF3798">
        <f>RAND()</f>
        <v/>
      </c>
    </row>
    <row r="3799">
      <c r="M3799" s="14">
        <f>_xlfn.BETA.INV($AA3799,1+4*($D$5-$C$5)/($E$5-$C$5),1+4*($E$5-$D$5)/($E$5-$C$5),$C$5,$E$5)</f>
        <v/>
      </c>
      <c r="N3799" s="14">
        <f>IF($AB3799&lt;($D$6-$C$6)/($E$6-$C$6),$C$6+SQRT($AB3799*($E$6-$C$6)*($D$6-$C$6)),$E$6-SQRT((1-$AB3799)*($E$6-$C$6)*($E$6-$D$6)))</f>
        <v/>
      </c>
      <c r="O3799" s="14">
        <f>_xlfn.NORM.INV($AC3799,$C$7,$D$7)</f>
        <v/>
      </c>
      <c r="P3799" s="14">
        <f>$C$8+($D$8-$C$8)*$AD3799</f>
        <v/>
      </c>
      <c r="Q3799" s="14">
        <f>$C$9</f>
        <v/>
      </c>
      <c r="R3799" s="14">
        <f>_xlfn.LOGNORM.INV($AF3799,LN($C$10)-0.5*LN(1+($D$10/$C$10)^2),SQRT(LN(1+($D$10/$C$10)^2)))</f>
        <v/>
      </c>
      <c r="S3799" s="14">
        <f>SUM(M3799:R3799)</f>
        <v/>
      </c>
      <c r="AA3799">
        <f>RAND()</f>
        <v/>
      </c>
      <c r="AB3799">
        <f>RAND()</f>
        <v/>
      </c>
      <c r="AC3799">
        <f>RAND()</f>
        <v/>
      </c>
      <c r="AD3799">
        <f>RAND()</f>
        <v/>
      </c>
      <c r="AE3799">
        <f>RAND()</f>
        <v/>
      </c>
      <c r="AF3799">
        <f>RAND()</f>
        <v/>
      </c>
    </row>
    <row r="3800">
      <c r="M3800" s="14">
        <f>_xlfn.BETA.INV($AA3800,1+4*($D$5-$C$5)/($E$5-$C$5),1+4*($E$5-$D$5)/($E$5-$C$5),$C$5,$E$5)</f>
        <v/>
      </c>
      <c r="N3800" s="14">
        <f>IF($AB3800&lt;($D$6-$C$6)/($E$6-$C$6),$C$6+SQRT($AB3800*($E$6-$C$6)*($D$6-$C$6)),$E$6-SQRT((1-$AB3800)*($E$6-$C$6)*($E$6-$D$6)))</f>
        <v/>
      </c>
      <c r="O3800" s="14">
        <f>_xlfn.NORM.INV($AC3800,$C$7,$D$7)</f>
        <v/>
      </c>
      <c r="P3800" s="14">
        <f>$C$8+($D$8-$C$8)*$AD3800</f>
        <v/>
      </c>
      <c r="Q3800" s="14">
        <f>$C$9</f>
        <v/>
      </c>
      <c r="R3800" s="14">
        <f>_xlfn.LOGNORM.INV($AF3800,LN($C$10)-0.5*LN(1+($D$10/$C$10)^2),SQRT(LN(1+($D$10/$C$10)^2)))</f>
        <v/>
      </c>
      <c r="S3800" s="14">
        <f>SUM(M3800:R3800)</f>
        <v/>
      </c>
      <c r="AA3800">
        <f>RAND()</f>
        <v/>
      </c>
      <c r="AB3800">
        <f>RAND()</f>
        <v/>
      </c>
      <c r="AC3800">
        <f>RAND()</f>
        <v/>
      </c>
      <c r="AD3800">
        <f>RAND()</f>
        <v/>
      </c>
      <c r="AE3800">
        <f>RAND()</f>
        <v/>
      </c>
      <c r="AF3800">
        <f>RAND()</f>
        <v/>
      </c>
    </row>
    <row r="3801">
      <c r="M3801" s="14">
        <f>_xlfn.BETA.INV($AA3801,1+4*($D$5-$C$5)/($E$5-$C$5),1+4*($E$5-$D$5)/($E$5-$C$5),$C$5,$E$5)</f>
        <v/>
      </c>
      <c r="N3801" s="14">
        <f>IF($AB3801&lt;($D$6-$C$6)/($E$6-$C$6),$C$6+SQRT($AB3801*($E$6-$C$6)*($D$6-$C$6)),$E$6-SQRT((1-$AB3801)*($E$6-$C$6)*($E$6-$D$6)))</f>
        <v/>
      </c>
      <c r="O3801" s="14">
        <f>_xlfn.NORM.INV($AC3801,$C$7,$D$7)</f>
        <v/>
      </c>
      <c r="P3801" s="14">
        <f>$C$8+($D$8-$C$8)*$AD3801</f>
        <v/>
      </c>
      <c r="Q3801" s="14">
        <f>$C$9</f>
        <v/>
      </c>
      <c r="R3801" s="14">
        <f>_xlfn.LOGNORM.INV($AF3801,LN($C$10)-0.5*LN(1+($D$10/$C$10)^2),SQRT(LN(1+($D$10/$C$10)^2)))</f>
        <v/>
      </c>
      <c r="S3801" s="14">
        <f>SUM(M3801:R3801)</f>
        <v/>
      </c>
      <c r="AA3801">
        <f>RAND()</f>
        <v/>
      </c>
      <c r="AB3801">
        <f>RAND()</f>
        <v/>
      </c>
      <c r="AC3801">
        <f>RAND()</f>
        <v/>
      </c>
      <c r="AD3801">
        <f>RAND()</f>
        <v/>
      </c>
      <c r="AE3801">
        <f>RAND()</f>
        <v/>
      </c>
      <c r="AF3801">
        <f>RAND()</f>
        <v/>
      </c>
    </row>
    <row r="3802">
      <c r="M3802" s="14">
        <f>_xlfn.BETA.INV($AA3802,1+4*($D$5-$C$5)/($E$5-$C$5),1+4*($E$5-$D$5)/($E$5-$C$5),$C$5,$E$5)</f>
        <v/>
      </c>
      <c r="N3802" s="14">
        <f>IF($AB3802&lt;($D$6-$C$6)/($E$6-$C$6),$C$6+SQRT($AB3802*($E$6-$C$6)*($D$6-$C$6)),$E$6-SQRT((1-$AB3802)*($E$6-$C$6)*($E$6-$D$6)))</f>
        <v/>
      </c>
      <c r="O3802" s="14">
        <f>_xlfn.NORM.INV($AC3802,$C$7,$D$7)</f>
        <v/>
      </c>
      <c r="P3802" s="14">
        <f>$C$8+($D$8-$C$8)*$AD3802</f>
        <v/>
      </c>
      <c r="Q3802" s="14">
        <f>$C$9</f>
        <v/>
      </c>
      <c r="R3802" s="14">
        <f>_xlfn.LOGNORM.INV($AF3802,LN($C$10)-0.5*LN(1+($D$10/$C$10)^2),SQRT(LN(1+($D$10/$C$10)^2)))</f>
        <v/>
      </c>
      <c r="S3802" s="14">
        <f>SUM(M3802:R3802)</f>
        <v/>
      </c>
      <c r="AA3802">
        <f>RAND()</f>
        <v/>
      </c>
      <c r="AB3802">
        <f>RAND()</f>
        <v/>
      </c>
      <c r="AC3802">
        <f>RAND()</f>
        <v/>
      </c>
      <c r="AD3802">
        <f>RAND()</f>
        <v/>
      </c>
      <c r="AE3802">
        <f>RAND()</f>
        <v/>
      </c>
      <c r="AF3802">
        <f>RAND()</f>
        <v/>
      </c>
    </row>
    <row r="3803">
      <c r="M3803" s="14">
        <f>_xlfn.BETA.INV($AA3803,1+4*($D$5-$C$5)/($E$5-$C$5),1+4*($E$5-$D$5)/($E$5-$C$5),$C$5,$E$5)</f>
        <v/>
      </c>
      <c r="N3803" s="14">
        <f>IF($AB3803&lt;($D$6-$C$6)/($E$6-$C$6),$C$6+SQRT($AB3803*($E$6-$C$6)*($D$6-$C$6)),$E$6-SQRT((1-$AB3803)*($E$6-$C$6)*($E$6-$D$6)))</f>
        <v/>
      </c>
      <c r="O3803" s="14">
        <f>_xlfn.NORM.INV($AC3803,$C$7,$D$7)</f>
        <v/>
      </c>
      <c r="P3803" s="14">
        <f>$C$8+($D$8-$C$8)*$AD3803</f>
        <v/>
      </c>
      <c r="Q3803" s="14">
        <f>$C$9</f>
        <v/>
      </c>
      <c r="R3803" s="14">
        <f>_xlfn.LOGNORM.INV($AF3803,LN($C$10)-0.5*LN(1+($D$10/$C$10)^2),SQRT(LN(1+($D$10/$C$10)^2)))</f>
        <v/>
      </c>
      <c r="S3803" s="14">
        <f>SUM(M3803:R3803)</f>
        <v/>
      </c>
      <c r="AA3803">
        <f>RAND()</f>
        <v/>
      </c>
      <c r="AB3803">
        <f>RAND()</f>
        <v/>
      </c>
      <c r="AC3803">
        <f>RAND()</f>
        <v/>
      </c>
      <c r="AD3803">
        <f>RAND()</f>
        <v/>
      </c>
      <c r="AE3803">
        <f>RAND()</f>
        <v/>
      </c>
      <c r="AF3803">
        <f>RAND()</f>
        <v/>
      </c>
    </row>
    <row r="3804">
      <c r="M3804" s="14">
        <f>_xlfn.BETA.INV($AA3804,1+4*($D$5-$C$5)/($E$5-$C$5),1+4*($E$5-$D$5)/($E$5-$C$5),$C$5,$E$5)</f>
        <v/>
      </c>
      <c r="N3804" s="14">
        <f>IF($AB3804&lt;($D$6-$C$6)/($E$6-$C$6),$C$6+SQRT($AB3804*($E$6-$C$6)*($D$6-$C$6)),$E$6-SQRT((1-$AB3804)*($E$6-$C$6)*($E$6-$D$6)))</f>
        <v/>
      </c>
      <c r="O3804" s="14">
        <f>_xlfn.NORM.INV($AC3804,$C$7,$D$7)</f>
        <v/>
      </c>
      <c r="P3804" s="14">
        <f>$C$8+($D$8-$C$8)*$AD3804</f>
        <v/>
      </c>
      <c r="Q3804" s="14">
        <f>$C$9</f>
        <v/>
      </c>
      <c r="R3804" s="14">
        <f>_xlfn.LOGNORM.INV($AF3804,LN($C$10)-0.5*LN(1+($D$10/$C$10)^2),SQRT(LN(1+($D$10/$C$10)^2)))</f>
        <v/>
      </c>
      <c r="S3804" s="14">
        <f>SUM(M3804:R3804)</f>
        <v/>
      </c>
      <c r="AA3804">
        <f>RAND()</f>
        <v/>
      </c>
      <c r="AB3804">
        <f>RAND()</f>
        <v/>
      </c>
      <c r="AC3804">
        <f>RAND()</f>
        <v/>
      </c>
      <c r="AD3804">
        <f>RAND()</f>
        <v/>
      </c>
      <c r="AE3804">
        <f>RAND()</f>
        <v/>
      </c>
      <c r="AF3804">
        <f>RAND()</f>
        <v/>
      </c>
    </row>
    <row r="3805">
      <c r="M3805" s="14">
        <f>_xlfn.BETA.INV($AA3805,1+4*($D$5-$C$5)/($E$5-$C$5),1+4*($E$5-$D$5)/($E$5-$C$5),$C$5,$E$5)</f>
        <v/>
      </c>
      <c r="N3805" s="14">
        <f>IF($AB3805&lt;($D$6-$C$6)/($E$6-$C$6),$C$6+SQRT($AB3805*($E$6-$C$6)*($D$6-$C$6)),$E$6-SQRT((1-$AB3805)*($E$6-$C$6)*($E$6-$D$6)))</f>
        <v/>
      </c>
      <c r="O3805" s="14">
        <f>_xlfn.NORM.INV($AC3805,$C$7,$D$7)</f>
        <v/>
      </c>
      <c r="P3805" s="14">
        <f>$C$8+($D$8-$C$8)*$AD3805</f>
        <v/>
      </c>
      <c r="Q3805" s="14">
        <f>$C$9</f>
        <v/>
      </c>
      <c r="R3805" s="14">
        <f>_xlfn.LOGNORM.INV($AF3805,LN($C$10)-0.5*LN(1+($D$10/$C$10)^2),SQRT(LN(1+($D$10/$C$10)^2)))</f>
        <v/>
      </c>
      <c r="S3805" s="14">
        <f>SUM(M3805:R3805)</f>
        <v/>
      </c>
      <c r="AA3805">
        <f>RAND()</f>
        <v/>
      </c>
      <c r="AB3805">
        <f>RAND()</f>
        <v/>
      </c>
      <c r="AC3805">
        <f>RAND()</f>
        <v/>
      </c>
      <c r="AD3805">
        <f>RAND()</f>
        <v/>
      </c>
      <c r="AE3805">
        <f>RAND()</f>
        <v/>
      </c>
      <c r="AF3805">
        <f>RAND()</f>
        <v/>
      </c>
    </row>
    <row r="3806">
      <c r="M3806" s="14">
        <f>_xlfn.BETA.INV($AA3806,1+4*($D$5-$C$5)/($E$5-$C$5),1+4*($E$5-$D$5)/($E$5-$C$5),$C$5,$E$5)</f>
        <v/>
      </c>
      <c r="N3806" s="14">
        <f>IF($AB3806&lt;($D$6-$C$6)/($E$6-$C$6),$C$6+SQRT($AB3806*($E$6-$C$6)*($D$6-$C$6)),$E$6-SQRT((1-$AB3806)*($E$6-$C$6)*($E$6-$D$6)))</f>
        <v/>
      </c>
      <c r="O3806" s="14">
        <f>_xlfn.NORM.INV($AC3806,$C$7,$D$7)</f>
        <v/>
      </c>
      <c r="P3806" s="14">
        <f>$C$8+($D$8-$C$8)*$AD3806</f>
        <v/>
      </c>
      <c r="Q3806" s="14">
        <f>$C$9</f>
        <v/>
      </c>
      <c r="R3806" s="14">
        <f>_xlfn.LOGNORM.INV($AF3806,LN($C$10)-0.5*LN(1+($D$10/$C$10)^2),SQRT(LN(1+($D$10/$C$10)^2)))</f>
        <v/>
      </c>
      <c r="S3806" s="14">
        <f>SUM(M3806:R3806)</f>
        <v/>
      </c>
      <c r="AA3806">
        <f>RAND()</f>
        <v/>
      </c>
      <c r="AB3806">
        <f>RAND()</f>
        <v/>
      </c>
      <c r="AC3806">
        <f>RAND()</f>
        <v/>
      </c>
      <c r="AD3806">
        <f>RAND()</f>
        <v/>
      </c>
      <c r="AE3806">
        <f>RAND()</f>
        <v/>
      </c>
      <c r="AF3806">
        <f>RAND()</f>
        <v/>
      </c>
    </row>
    <row r="3807">
      <c r="M3807" s="14">
        <f>_xlfn.BETA.INV($AA3807,1+4*($D$5-$C$5)/($E$5-$C$5),1+4*($E$5-$D$5)/($E$5-$C$5),$C$5,$E$5)</f>
        <v/>
      </c>
      <c r="N3807" s="14">
        <f>IF($AB3807&lt;($D$6-$C$6)/($E$6-$C$6),$C$6+SQRT($AB3807*($E$6-$C$6)*($D$6-$C$6)),$E$6-SQRT((1-$AB3807)*($E$6-$C$6)*($E$6-$D$6)))</f>
        <v/>
      </c>
      <c r="O3807" s="14">
        <f>_xlfn.NORM.INV($AC3807,$C$7,$D$7)</f>
        <v/>
      </c>
      <c r="P3807" s="14">
        <f>$C$8+($D$8-$C$8)*$AD3807</f>
        <v/>
      </c>
      <c r="Q3807" s="14">
        <f>$C$9</f>
        <v/>
      </c>
      <c r="R3807" s="14">
        <f>_xlfn.LOGNORM.INV($AF3807,LN($C$10)-0.5*LN(1+($D$10/$C$10)^2),SQRT(LN(1+($D$10/$C$10)^2)))</f>
        <v/>
      </c>
      <c r="S3807" s="14">
        <f>SUM(M3807:R3807)</f>
        <v/>
      </c>
      <c r="AA3807">
        <f>RAND()</f>
        <v/>
      </c>
      <c r="AB3807">
        <f>RAND()</f>
        <v/>
      </c>
      <c r="AC3807">
        <f>RAND()</f>
        <v/>
      </c>
      <c r="AD3807">
        <f>RAND()</f>
        <v/>
      </c>
      <c r="AE3807">
        <f>RAND()</f>
        <v/>
      </c>
      <c r="AF3807">
        <f>RAND()</f>
        <v/>
      </c>
    </row>
    <row r="3808">
      <c r="M3808" s="14">
        <f>_xlfn.BETA.INV($AA3808,1+4*($D$5-$C$5)/($E$5-$C$5),1+4*($E$5-$D$5)/($E$5-$C$5),$C$5,$E$5)</f>
        <v/>
      </c>
      <c r="N3808" s="14">
        <f>IF($AB3808&lt;($D$6-$C$6)/($E$6-$C$6),$C$6+SQRT($AB3808*($E$6-$C$6)*($D$6-$C$6)),$E$6-SQRT((1-$AB3808)*($E$6-$C$6)*($E$6-$D$6)))</f>
        <v/>
      </c>
      <c r="O3808" s="14">
        <f>_xlfn.NORM.INV($AC3808,$C$7,$D$7)</f>
        <v/>
      </c>
      <c r="P3808" s="14">
        <f>$C$8+($D$8-$C$8)*$AD3808</f>
        <v/>
      </c>
      <c r="Q3808" s="14">
        <f>$C$9</f>
        <v/>
      </c>
      <c r="R3808" s="14">
        <f>_xlfn.LOGNORM.INV($AF3808,LN($C$10)-0.5*LN(1+($D$10/$C$10)^2),SQRT(LN(1+($D$10/$C$10)^2)))</f>
        <v/>
      </c>
      <c r="S3808" s="14">
        <f>SUM(M3808:R3808)</f>
        <v/>
      </c>
      <c r="AA3808">
        <f>RAND()</f>
        <v/>
      </c>
      <c r="AB3808">
        <f>RAND()</f>
        <v/>
      </c>
      <c r="AC3808">
        <f>RAND()</f>
        <v/>
      </c>
      <c r="AD3808">
        <f>RAND()</f>
        <v/>
      </c>
      <c r="AE3808">
        <f>RAND()</f>
        <v/>
      </c>
      <c r="AF3808">
        <f>RAND()</f>
        <v/>
      </c>
    </row>
    <row r="3809">
      <c r="M3809" s="14">
        <f>_xlfn.BETA.INV($AA3809,1+4*($D$5-$C$5)/($E$5-$C$5),1+4*($E$5-$D$5)/($E$5-$C$5),$C$5,$E$5)</f>
        <v/>
      </c>
      <c r="N3809" s="14">
        <f>IF($AB3809&lt;($D$6-$C$6)/($E$6-$C$6),$C$6+SQRT($AB3809*($E$6-$C$6)*($D$6-$C$6)),$E$6-SQRT((1-$AB3809)*($E$6-$C$6)*($E$6-$D$6)))</f>
        <v/>
      </c>
      <c r="O3809" s="14">
        <f>_xlfn.NORM.INV($AC3809,$C$7,$D$7)</f>
        <v/>
      </c>
      <c r="P3809" s="14">
        <f>$C$8+($D$8-$C$8)*$AD3809</f>
        <v/>
      </c>
      <c r="Q3809" s="14">
        <f>$C$9</f>
        <v/>
      </c>
      <c r="R3809" s="14">
        <f>_xlfn.LOGNORM.INV($AF3809,LN($C$10)-0.5*LN(1+($D$10/$C$10)^2),SQRT(LN(1+($D$10/$C$10)^2)))</f>
        <v/>
      </c>
      <c r="S3809" s="14">
        <f>SUM(M3809:R3809)</f>
        <v/>
      </c>
      <c r="AA3809">
        <f>RAND()</f>
        <v/>
      </c>
      <c r="AB3809">
        <f>RAND()</f>
        <v/>
      </c>
      <c r="AC3809">
        <f>RAND()</f>
        <v/>
      </c>
      <c r="AD3809">
        <f>RAND()</f>
        <v/>
      </c>
      <c r="AE3809">
        <f>RAND()</f>
        <v/>
      </c>
      <c r="AF3809">
        <f>RAND()</f>
        <v/>
      </c>
    </row>
    <row r="3810">
      <c r="M3810" s="14">
        <f>_xlfn.BETA.INV($AA3810,1+4*($D$5-$C$5)/($E$5-$C$5),1+4*($E$5-$D$5)/($E$5-$C$5),$C$5,$E$5)</f>
        <v/>
      </c>
      <c r="N3810" s="14">
        <f>IF($AB3810&lt;($D$6-$C$6)/($E$6-$C$6),$C$6+SQRT($AB3810*($E$6-$C$6)*($D$6-$C$6)),$E$6-SQRT((1-$AB3810)*($E$6-$C$6)*($E$6-$D$6)))</f>
        <v/>
      </c>
      <c r="O3810" s="14">
        <f>_xlfn.NORM.INV($AC3810,$C$7,$D$7)</f>
        <v/>
      </c>
      <c r="P3810" s="14">
        <f>$C$8+($D$8-$C$8)*$AD3810</f>
        <v/>
      </c>
      <c r="Q3810" s="14">
        <f>$C$9</f>
        <v/>
      </c>
      <c r="R3810" s="14">
        <f>_xlfn.LOGNORM.INV($AF3810,LN($C$10)-0.5*LN(1+($D$10/$C$10)^2),SQRT(LN(1+($D$10/$C$10)^2)))</f>
        <v/>
      </c>
      <c r="S3810" s="14">
        <f>SUM(M3810:R3810)</f>
        <v/>
      </c>
      <c r="AA3810">
        <f>RAND()</f>
        <v/>
      </c>
      <c r="AB3810">
        <f>RAND()</f>
        <v/>
      </c>
      <c r="AC3810">
        <f>RAND()</f>
        <v/>
      </c>
      <c r="AD3810">
        <f>RAND()</f>
        <v/>
      </c>
      <c r="AE3810">
        <f>RAND()</f>
        <v/>
      </c>
      <c r="AF3810">
        <f>RAND()</f>
        <v/>
      </c>
    </row>
    <row r="3811">
      <c r="M3811" s="14">
        <f>_xlfn.BETA.INV($AA3811,1+4*($D$5-$C$5)/($E$5-$C$5),1+4*($E$5-$D$5)/($E$5-$C$5),$C$5,$E$5)</f>
        <v/>
      </c>
      <c r="N3811" s="14">
        <f>IF($AB3811&lt;($D$6-$C$6)/($E$6-$C$6),$C$6+SQRT($AB3811*($E$6-$C$6)*($D$6-$C$6)),$E$6-SQRT((1-$AB3811)*($E$6-$C$6)*($E$6-$D$6)))</f>
        <v/>
      </c>
      <c r="O3811" s="14">
        <f>_xlfn.NORM.INV($AC3811,$C$7,$D$7)</f>
        <v/>
      </c>
      <c r="P3811" s="14">
        <f>$C$8+($D$8-$C$8)*$AD3811</f>
        <v/>
      </c>
      <c r="Q3811" s="14">
        <f>$C$9</f>
        <v/>
      </c>
      <c r="R3811" s="14">
        <f>_xlfn.LOGNORM.INV($AF3811,LN($C$10)-0.5*LN(1+($D$10/$C$10)^2),SQRT(LN(1+($D$10/$C$10)^2)))</f>
        <v/>
      </c>
      <c r="S3811" s="14">
        <f>SUM(M3811:R3811)</f>
        <v/>
      </c>
      <c r="AA3811">
        <f>RAND()</f>
        <v/>
      </c>
      <c r="AB3811">
        <f>RAND()</f>
        <v/>
      </c>
      <c r="AC3811">
        <f>RAND()</f>
        <v/>
      </c>
      <c r="AD3811">
        <f>RAND()</f>
        <v/>
      </c>
      <c r="AE3811">
        <f>RAND()</f>
        <v/>
      </c>
      <c r="AF3811">
        <f>RAND()</f>
        <v/>
      </c>
    </row>
    <row r="3812">
      <c r="M3812" s="14">
        <f>_xlfn.BETA.INV($AA3812,1+4*($D$5-$C$5)/($E$5-$C$5),1+4*($E$5-$D$5)/($E$5-$C$5),$C$5,$E$5)</f>
        <v/>
      </c>
      <c r="N3812" s="14">
        <f>IF($AB3812&lt;($D$6-$C$6)/($E$6-$C$6),$C$6+SQRT($AB3812*($E$6-$C$6)*($D$6-$C$6)),$E$6-SQRT((1-$AB3812)*($E$6-$C$6)*($E$6-$D$6)))</f>
        <v/>
      </c>
      <c r="O3812" s="14">
        <f>_xlfn.NORM.INV($AC3812,$C$7,$D$7)</f>
        <v/>
      </c>
      <c r="P3812" s="14">
        <f>$C$8+($D$8-$C$8)*$AD3812</f>
        <v/>
      </c>
      <c r="Q3812" s="14">
        <f>$C$9</f>
        <v/>
      </c>
      <c r="R3812" s="14">
        <f>_xlfn.LOGNORM.INV($AF3812,LN($C$10)-0.5*LN(1+($D$10/$C$10)^2),SQRT(LN(1+($D$10/$C$10)^2)))</f>
        <v/>
      </c>
      <c r="S3812" s="14">
        <f>SUM(M3812:R3812)</f>
        <v/>
      </c>
      <c r="AA3812">
        <f>RAND()</f>
        <v/>
      </c>
      <c r="AB3812">
        <f>RAND()</f>
        <v/>
      </c>
      <c r="AC3812">
        <f>RAND()</f>
        <v/>
      </c>
      <c r="AD3812">
        <f>RAND()</f>
        <v/>
      </c>
      <c r="AE3812">
        <f>RAND()</f>
        <v/>
      </c>
      <c r="AF3812">
        <f>RAND()</f>
        <v/>
      </c>
    </row>
    <row r="3813">
      <c r="M3813" s="14">
        <f>_xlfn.BETA.INV($AA3813,1+4*($D$5-$C$5)/($E$5-$C$5),1+4*($E$5-$D$5)/($E$5-$C$5),$C$5,$E$5)</f>
        <v/>
      </c>
      <c r="N3813" s="14">
        <f>IF($AB3813&lt;($D$6-$C$6)/($E$6-$C$6),$C$6+SQRT($AB3813*($E$6-$C$6)*($D$6-$C$6)),$E$6-SQRT((1-$AB3813)*($E$6-$C$6)*($E$6-$D$6)))</f>
        <v/>
      </c>
      <c r="O3813" s="14">
        <f>_xlfn.NORM.INV($AC3813,$C$7,$D$7)</f>
        <v/>
      </c>
      <c r="P3813" s="14">
        <f>$C$8+($D$8-$C$8)*$AD3813</f>
        <v/>
      </c>
      <c r="Q3813" s="14">
        <f>$C$9</f>
        <v/>
      </c>
      <c r="R3813" s="14">
        <f>_xlfn.LOGNORM.INV($AF3813,LN($C$10)-0.5*LN(1+($D$10/$C$10)^2),SQRT(LN(1+($D$10/$C$10)^2)))</f>
        <v/>
      </c>
      <c r="S3813" s="14">
        <f>SUM(M3813:R3813)</f>
        <v/>
      </c>
      <c r="AA3813">
        <f>RAND()</f>
        <v/>
      </c>
      <c r="AB3813">
        <f>RAND()</f>
        <v/>
      </c>
      <c r="AC3813">
        <f>RAND()</f>
        <v/>
      </c>
      <c r="AD3813">
        <f>RAND()</f>
        <v/>
      </c>
      <c r="AE3813">
        <f>RAND()</f>
        <v/>
      </c>
      <c r="AF3813">
        <f>RAND()</f>
        <v/>
      </c>
    </row>
    <row r="3814">
      <c r="M3814" s="14">
        <f>_xlfn.BETA.INV($AA3814,1+4*($D$5-$C$5)/($E$5-$C$5),1+4*($E$5-$D$5)/($E$5-$C$5),$C$5,$E$5)</f>
        <v/>
      </c>
      <c r="N3814" s="14">
        <f>IF($AB3814&lt;($D$6-$C$6)/($E$6-$C$6),$C$6+SQRT($AB3814*($E$6-$C$6)*($D$6-$C$6)),$E$6-SQRT((1-$AB3814)*($E$6-$C$6)*($E$6-$D$6)))</f>
        <v/>
      </c>
      <c r="O3814" s="14">
        <f>_xlfn.NORM.INV($AC3814,$C$7,$D$7)</f>
        <v/>
      </c>
      <c r="P3814" s="14">
        <f>$C$8+($D$8-$C$8)*$AD3814</f>
        <v/>
      </c>
      <c r="Q3814" s="14">
        <f>$C$9</f>
        <v/>
      </c>
      <c r="R3814" s="14">
        <f>_xlfn.LOGNORM.INV($AF3814,LN($C$10)-0.5*LN(1+($D$10/$C$10)^2),SQRT(LN(1+($D$10/$C$10)^2)))</f>
        <v/>
      </c>
      <c r="S3814" s="14">
        <f>SUM(M3814:R3814)</f>
        <v/>
      </c>
      <c r="AA3814">
        <f>RAND()</f>
        <v/>
      </c>
      <c r="AB3814">
        <f>RAND()</f>
        <v/>
      </c>
      <c r="AC3814">
        <f>RAND()</f>
        <v/>
      </c>
      <c r="AD3814">
        <f>RAND()</f>
        <v/>
      </c>
      <c r="AE3814">
        <f>RAND()</f>
        <v/>
      </c>
      <c r="AF3814">
        <f>RAND()</f>
        <v/>
      </c>
    </row>
    <row r="3815">
      <c r="M3815" s="14">
        <f>_xlfn.BETA.INV($AA3815,1+4*($D$5-$C$5)/($E$5-$C$5),1+4*($E$5-$D$5)/($E$5-$C$5),$C$5,$E$5)</f>
        <v/>
      </c>
      <c r="N3815" s="14">
        <f>IF($AB3815&lt;($D$6-$C$6)/($E$6-$C$6),$C$6+SQRT($AB3815*($E$6-$C$6)*($D$6-$C$6)),$E$6-SQRT((1-$AB3815)*($E$6-$C$6)*($E$6-$D$6)))</f>
        <v/>
      </c>
      <c r="O3815" s="14">
        <f>_xlfn.NORM.INV($AC3815,$C$7,$D$7)</f>
        <v/>
      </c>
      <c r="P3815" s="14">
        <f>$C$8+($D$8-$C$8)*$AD3815</f>
        <v/>
      </c>
      <c r="Q3815" s="14">
        <f>$C$9</f>
        <v/>
      </c>
      <c r="R3815" s="14">
        <f>_xlfn.LOGNORM.INV($AF3815,LN($C$10)-0.5*LN(1+($D$10/$C$10)^2),SQRT(LN(1+($D$10/$C$10)^2)))</f>
        <v/>
      </c>
      <c r="S3815" s="14">
        <f>SUM(M3815:R3815)</f>
        <v/>
      </c>
      <c r="AA3815">
        <f>RAND()</f>
        <v/>
      </c>
      <c r="AB3815">
        <f>RAND()</f>
        <v/>
      </c>
      <c r="AC3815">
        <f>RAND()</f>
        <v/>
      </c>
      <c r="AD3815">
        <f>RAND()</f>
        <v/>
      </c>
      <c r="AE3815">
        <f>RAND()</f>
        <v/>
      </c>
      <c r="AF3815">
        <f>RAND()</f>
        <v/>
      </c>
    </row>
    <row r="3816">
      <c r="M3816" s="14">
        <f>_xlfn.BETA.INV($AA3816,1+4*($D$5-$C$5)/($E$5-$C$5),1+4*($E$5-$D$5)/($E$5-$C$5),$C$5,$E$5)</f>
        <v/>
      </c>
      <c r="N3816" s="14">
        <f>IF($AB3816&lt;($D$6-$C$6)/($E$6-$C$6),$C$6+SQRT($AB3816*($E$6-$C$6)*($D$6-$C$6)),$E$6-SQRT((1-$AB3816)*($E$6-$C$6)*($E$6-$D$6)))</f>
        <v/>
      </c>
      <c r="O3816" s="14">
        <f>_xlfn.NORM.INV($AC3816,$C$7,$D$7)</f>
        <v/>
      </c>
      <c r="P3816" s="14">
        <f>$C$8+($D$8-$C$8)*$AD3816</f>
        <v/>
      </c>
      <c r="Q3816" s="14">
        <f>$C$9</f>
        <v/>
      </c>
      <c r="R3816" s="14">
        <f>_xlfn.LOGNORM.INV($AF3816,LN($C$10)-0.5*LN(1+($D$10/$C$10)^2),SQRT(LN(1+($D$10/$C$10)^2)))</f>
        <v/>
      </c>
      <c r="S3816" s="14">
        <f>SUM(M3816:R3816)</f>
        <v/>
      </c>
      <c r="AA3816">
        <f>RAND()</f>
        <v/>
      </c>
      <c r="AB3816">
        <f>RAND()</f>
        <v/>
      </c>
      <c r="AC3816">
        <f>RAND()</f>
        <v/>
      </c>
      <c r="AD3816">
        <f>RAND()</f>
        <v/>
      </c>
      <c r="AE3816">
        <f>RAND()</f>
        <v/>
      </c>
      <c r="AF3816">
        <f>RAND()</f>
        <v/>
      </c>
    </row>
    <row r="3817">
      <c r="M3817" s="14">
        <f>_xlfn.BETA.INV($AA3817,1+4*($D$5-$C$5)/($E$5-$C$5),1+4*($E$5-$D$5)/($E$5-$C$5),$C$5,$E$5)</f>
        <v/>
      </c>
      <c r="N3817" s="14">
        <f>IF($AB3817&lt;($D$6-$C$6)/($E$6-$C$6),$C$6+SQRT($AB3817*($E$6-$C$6)*($D$6-$C$6)),$E$6-SQRT((1-$AB3817)*($E$6-$C$6)*($E$6-$D$6)))</f>
        <v/>
      </c>
      <c r="O3817" s="14">
        <f>_xlfn.NORM.INV($AC3817,$C$7,$D$7)</f>
        <v/>
      </c>
      <c r="P3817" s="14">
        <f>$C$8+($D$8-$C$8)*$AD3817</f>
        <v/>
      </c>
      <c r="Q3817" s="14">
        <f>$C$9</f>
        <v/>
      </c>
      <c r="R3817" s="14">
        <f>_xlfn.LOGNORM.INV($AF3817,LN($C$10)-0.5*LN(1+($D$10/$C$10)^2),SQRT(LN(1+($D$10/$C$10)^2)))</f>
        <v/>
      </c>
      <c r="S3817" s="14">
        <f>SUM(M3817:R3817)</f>
        <v/>
      </c>
      <c r="AA3817">
        <f>RAND()</f>
        <v/>
      </c>
      <c r="AB3817">
        <f>RAND()</f>
        <v/>
      </c>
      <c r="AC3817">
        <f>RAND()</f>
        <v/>
      </c>
      <c r="AD3817">
        <f>RAND()</f>
        <v/>
      </c>
      <c r="AE3817">
        <f>RAND()</f>
        <v/>
      </c>
      <c r="AF3817">
        <f>RAND()</f>
        <v/>
      </c>
    </row>
    <row r="3818">
      <c r="M3818" s="14">
        <f>_xlfn.BETA.INV($AA3818,1+4*($D$5-$C$5)/($E$5-$C$5),1+4*($E$5-$D$5)/($E$5-$C$5),$C$5,$E$5)</f>
        <v/>
      </c>
      <c r="N3818" s="14">
        <f>IF($AB3818&lt;($D$6-$C$6)/($E$6-$C$6),$C$6+SQRT($AB3818*($E$6-$C$6)*($D$6-$C$6)),$E$6-SQRT((1-$AB3818)*($E$6-$C$6)*($E$6-$D$6)))</f>
        <v/>
      </c>
      <c r="O3818" s="14">
        <f>_xlfn.NORM.INV($AC3818,$C$7,$D$7)</f>
        <v/>
      </c>
      <c r="P3818" s="14">
        <f>$C$8+($D$8-$C$8)*$AD3818</f>
        <v/>
      </c>
      <c r="Q3818" s="14">
        <f>$C$9</f>
        <v/>
      </c>
      <c r="R3818" s="14">
        <f>_xlfn.LOGNORM.INV($AF3818,LN($C$10)-0.5*LN(1+($D$10/$C$10)^2),SQRT(LN(1+($D$10/$C$10)^2)))</f>
        <v/>
      </c>
      <c r="S3818" s="14">
        <f>SUM(M3818:R3818)</f>
        <v/>
      </c>
      <c r="AA3818">
        <f>RAND()</f>
        <v/>
      </c>
      <c r="AB3818">
        <f>RAND()</f>
        <v/>
      </c>
      <c r="AC3818">
        <f>RAND()</f>
        <v/>
      </c>
      <c r="AD3818">
        <f>RAND()</f>
        <v/>
      </c>
      <c r="AE3818">
        <f>RAND()</f>
        <v/>
      </c>
      <c r="AF3818">
        <f>RAND()</f>
        <v/>
      </c>
    </row>
    <row r="3819">
      <c r="M3819" s="14">
        <f>_xlfn.BETA.INV($AA3819,1+4*($D$5-$C$5)/($E$5-$C$5),1+4*($E$5-$D$5)/($E$5-$C$5),$C$5,$E$5)</f>
        <v/>
      </c>
      <c r="N3819" s="14">
        <f>IF($AB3819&lt;($D$6-$C$6)/($E$6-$C$6),$C$6+SQRT($AB3819*($E$6-$C$6)*($D$6-$C$6)),$E$6-SQRT((1-$AB3819)*($E$6-$C$6)*($E$6-$D$6)))</f>
        <v/>
      </c>
      <c r="O3819" s="14">
        <f>_xlfn.NORM.INV($AC3819,$C$7,$D$7)</f>
        <v/>
      </c>
      <c r="P3819" s="14">
        <f>$C$8+($D$8-$C$8)*$AD3819</f>
        <v/>
      </c>
      <c r="Q3819" s="14">
        <f>$C$9</f>
        <v/>
      </c>
      <c r="R3819" s="14">
        <f>_xlfn.LOGNORM.INV($AF3819,LN($C$10)-0.5*LN(1+($D$10/$C$10)^2),SQRT(LN(1+($D$10/$C$10)^2)))</f>
        <v/>
      </c>
      <c r="S3819" s="14">
        <f>SUM(M3819:R3819)</f>
        <v/>
      </c>
      <c r="AA3819">
        <f>RAND()</f>
        <v/>
      </c>
      <c r="AB3819">
        <f>RAND()</f>
        <v/>
      </c>
      <c r="AC3819">
        <f>RAND()</f>
        <v/>
      </c>
      <c r="AD3819">
        <f>RAND()</f>
        <v/>
      </c>
      <c r="AE3819">
        <f>RAND()</f>
        <v/>
      </c>
      <c r="AF3819">
        <f>RAND()</f>
        <v/>
      </c>
    </row>
    <row r="3820">
      <c r="M3820" s="14">
        <f>_xlfn.BETA.INV($AA3820,1+4*($D$5-$C$5)/($E$5-$C$5),1+4*($E$5-$D$5)/($E$5-$C$5),$C$5,$E$5)</f>
        <v/>
      </c>
      <c r="N3820" s="14">
        <f>IF($AB3820&lt;($D$6-$C$6)/($E$6-$C$6),$C$6+SQRT($AB3820*($E$6-$C$6)*($D$6-$C$6)),$E$6-SQRT((1-$AB3820)*($E$6-$C$6)*($E$6-$D$6)))</f>
        <v/>
      </c>
      <c r="O3820" s="14">
        <f>_xlfn.NORM.INV($AC3820,$C$7,$D$7)</f>
        <v/>
      </c>
      <c r="P3820" s="14">
        <f>$C$8+($D$8-$C$8)*$AD3820</f>
        <v/>
      </c>
      <c r="Q3820" s="14">
        <f>$C$9</f>
        <v/>
      </c>
      <c r="R3820" s="14">
        <f>_xlfn.LOGNORM.INV($AF3820,LN($C$10)-0.5*LN(1+($D$10/$C$10)^2),SQRT(LN(1+($D$10/$C$10)^2)))</f>
        <v/>
      </c>
      <c r="S3820" s="14">
        <f>SUM(M3820:R3820)</f>
        <v/>
      </c>
      <c r="AA3820">
        <f>RAND()</f>
        <v/>
      </c>
      <c r="AB3820">
        <f>RAND()</f>
        <v/>
      </c>
      <c r="AC3820">
        <f>RAND()</f>
        <v/>
      </c>
      <c r="AD3820">
        <f>RAND()</f>
        <v/>
      </c>
      <c r="AE3820">
        <f>RAND()</f>
        <v/>
      </c>
      <c r="AF3820">
        <f>RAND()</f>
        <v/>
      </c>
    </row>
    <row r="3821">
      <c r="M3821" s="14">
        <f>_xlfn.BETA.INV($AA3821,1+4*($D$5-$C$5)/($E$5-$C$5),1+4*($E$5-$D$5)/($E$5-$C$5),$C$5,$E$5)</f>
        <v/>
      </c>
      <c r="N3821" s="14">
        <f>IF($AB3821&lt;($D$6-$C$6)/($E$6-$C$6),$C$6+SQRT($AB3821*($E$6-$C$6)*($D$6-$C$6)),$E$6-SQRT((1-$AB3821)*($E$6-$C$6)*($E$6-$D$6)))</f>
        <v/>
      </c>
      <c r="O3821" s="14">
        <f>_xlfn.NORM.INV($AC3821,$C$7,$D$7)</f>
        <v/>
      </c>
      <c r="P3821" s="14">
        <f>$C$8+($D$8-$C$8)*$AD3821</f>
        <v/>
      </c>
      <c r="Q3821" s="14">
        <f>$C$9</f>
        <v/>
      </c>
      <c r="R3821" s="14">
        <f>_xlfn.LOGNORM.INV($AF3821,LN($C$10)-0.5*LN(1+($D$10/$C$10)^2),SQRT(LN(1+($D$10/$C$10)^2)))</f>
        <v/>
      </c>
      <c r="S3821" s="14">
        <f>SUM(M3821:R3821)</f>
        <v/>
      </c>
      <c r="AA3821">
        <f>RAND()</f>
        <v/>
      </c>
      <c r="AB3821">
        <f>RAND()</f>
        <v/>
      </c>
      <c r="AC3821">
        <f>RAND()</f>
        <v/>
      </c>
      <c r="AD3821">
        <f>RAND()</f>
        <v/>
      </c>
      <c r="AE3821">
        <f>RAND()</f>
        <v/>
      </c>
      <c r="AF3821">
        <f>RAND()</f>
        <v/>
      </c>
    </row>
    <row r="3822">
      <c r="M3822" s="14">
        <f>_xlfn.BETA.INV($AA3822,1+4*($D$5-$C$5)/($E$5-$C$5),1+4*($E$5-$D$5)/($E$5-$C$5),$C$5,$E$5)</f>
        <v/>
      </c>
      <c r="N3822" s="14">
        <f>IF($AB3822&lt;($D$6-$C$6)/($E$6-$C$6),$C$6+SQRT($AB3822*($E$6-$C$6)*($D$6-$C$6)),$E$6-SQRT((1-$AB3822)*($E$6-$C$6)*($E$6-$D$6)))</f>
        <v/>
      </c>
      <c r="O3822" s="14">
        <f>_xlfn.NORM.INV($AC3822,$C$7,$D$7)</f>
        <v/>
      </c>
      <c r="P3822" s="14">
        <f>$C$8+($D$8-$C$8)*$AD3822</f>
        <v/>
      </c>
      <c r="Q3822" s="14">
        <f>$C$9</f>
        <v/>
      </c>
      <c r="R3822" s="14">
        <f>_xlfn.LOGNORM.INV($AF3822,LN($C$10)-0.5*LN(1+($D$10/$C$10)^2),SQRT(LN(1+($D$10/$C$10)^2)))</f>
        <v/>
      </c>
      <c r="S3822" s="14">
        <f>SUM(M3822:R3822)</f>
        <v/>
      </c>
      <c r="AA3822">
        <f>RAND()</f>
        <v/>
      </c>
      <c r="AB3822">
        <f>RAND()</f>
        <v/>
      </c>
      <c r="AC3822">
        <f>RAND()</f>
        <v/>
      </c>
      <c r="AD3822">
        <f>RAND()</f>
        <v/>
      </c>
      <c r="AE3822">
        <f>RAND()</f>
        <v/>
      </c>
      <c r="AF3822">
        <f>RAND()</f>
        <v/>
      </c>
    </row>
    <row r="3823">
      <c r="M3823" s="14">
        <f>_xlfn.BETA.INV($AA3823,1+4*($D$5-$C$5)/($E$5-$C$5),1+4*($E$5-$D$5)/($E$5-$C$5),$C$5,$E$5)</f>
        <v/>
      </c>
      <c r="N3823" s="14">
        <f>IF($AB3823&lt;($D$6-$C$6)/($E$6-$C$6),$C$6+SQRT($AB3823*($E$6-$C$6)*($D$6-$C$6)),$E$6-SQRT((1-$AB3823)*($E$6-$C$6)*($E$6-$D$6)))</f>
        <v/>
      </c>
      <c r="O3823" s="14">
        <f>_xlfn.NORM.INV($AC3823,$C$7,$D$7)</f>
        <v/>
      </c>
      <c r="P3823" s="14">
        <f>$C$8+($D$8-$C$8)*$AD3823</f>
        <v/>
      </c>
      <c r="Q3823" s="14">
        <f>$C$9</f>
        <v/>
      </c>
      <c r="R3823" s="14">
        <f>_xlfn.LOGNORM.INV($AF3823,LN($C$10)-0.5*LN(1+($D$10/$C$10)^2),SQRT(LN(1+($D$10/$C$10)^2)))</f>
        <v/>
      </c>
      <c r="S3823" s="14">
        <f>SUM(M3823:R3823)</f>
        <v/>
      </c>
      <c r="AA3823">
        <f>RAND()</f>
        <v/>
      </c>
      <c r="AB3823">
        <f>RAND()</f>
        <v/>
      </c>
      <c r="AC3823">
        <f>RAND()</f>
        <v/>
      </c>
      <c r="AD3823">
        <f>RAND()</f>
        <v/>
      </c>
      <c r="AE3823">
        <f>RAND()</f>
        <v/>
      </c>
      <c r="AF3823">
        <f>RAND()</f>
        <v/>
      </c>
    </row>
    <row r="3824">
      <c r="M3824" s="14">
        <f>_xlfn.BETA.INV($AA3824,1+4*($D$5-$C$5)/($E$5-$C$5),1+4*($E$5-$D$5)/($E$5-$C$5),$C$5,$E$5)</f>
        <v/>
      </c>
      <c r="N3824" s="14">
        <f>IF($AB3824&lt;($D$6-$C$6)/($E$6-$C$6),$C$6+SQRT($AB3824*($E$6-$C$6)*($D$6-$C$6)),$E$6-SQRT((1-$AB3824)*($E$6-$C$6)*($E$6-$D$6)))</f>
        <v/>
      </c>
      <c r="O3824" s="14">
        <f>_xlfn.NORM.INV($AC3824,$C$7,$D$7)</f>
        <v/>
      </c>
      <c r="P3824" s="14">
        <f>$C$8+($D$8-$C$8)*$AD3824</f>
        <v/>
      </c>
      <c r="Q3824" s="14">
        <f>$C$9</f>
        <v/>
      </c>
      <c r="R3824" s="14">
        <f>_xlfn.LOGNORM.INV($AF3824,LN($C$10)-0.5*LN(1+($D$10/$C$10)^2),SQRT(LN(1+($D$10/$C$10)^2)))</f>
        <v/>
      </c>
      <c r="S3824" s="14">
        <f>SUM(M3824:R3824)</f>
        <v/>
      </c>
      <c r="AA3824">
        <f>RAND()</f>
        <v/>
      </c>
      <c r="AB3824">
        <f>RAND()</f>
        <v/>
      </c>
      <c r="AC3824">
        <f>RAND()</f>
        <v/>
      </c>
      <c r="AD3824">
        <f>RAND()</f>
        <v/>
      </c>
      <c r="AE3824">
        <f>RAND()</f>
        <v/>
      </c>
      <c r="AF3824">
        <f>RAND()</f>
        <v/>
      </c>
    </row>
    <row r="3825">
      <c r="M3825" s="14">
        <f>_xlfn.BETA.INV($AA3825,1+4*($D$5-$C$5)/($E$5-$C$5),1+4*($E$5-$D$5)/($E$5-$C$5),$C$5,$E$5)</f>
        <v/>
      </c>
      <c r="N3825" s="14">
        <f>IF($AB3825&lt;($D$6-$C$6)/($E$6-$C$6),$C$6+SQRT($AB3825*($E$6-$C$6)*($D$6-$C$6)),$E$6-SQRT((1-$AB3825)*($E$6-$C$6)*($E$6-$D$6)))</f>
        <v/>
      </c>
      <c r="O3825" s="14">
        <f>_xlfn.NORM.INV($AC3825,$C$7,$D$7)</f>
        <v/>
      </c>
      <c r="P3825" s="14">
        <f>$C$8+($D$8-$C$8)*$AD3825</f>
        <v/>
      </c>
      <c r="Q3825" s="14">
        <f>$C$9</f>
        <v/>
      </c>
      <c r="R3825" s="14">
        <f>_xlfn.LOGNORM.INV($AF3825,LN($C$10)-0.5*LN(1+($D$10/$C$10)^2),SQRT(LN(1+($D$10/$C$10)^2)))</f>
        <v/>
      </c>
      <c r="S3825" s="14">
        <f>SUM(M3825:R3825)</f>
        <v/>
      </c>
      <c r="AA3825">
        <f>RAND()</f>
        <v/>
      </c>
      <c r="AB3825">
        <f>RAND()</f>
        <v/>
      </c>
      <c r="AC3825">
        <f>RAND()</f>
        <v/>
      </c>
      <c r="AD3825">
        <f>RAND()</f>
        <v/>
      </c>
      <c r="AE3825">
        <f>RAND()</f>
        <v/>
      </c>
      <c r="AF3825">
        <f>RAND()</f>
        <v/>
      </c>
    </row>
    <row r="3826">
      <c r="M3826" s="14">
        <f>_xlfn.BETA.INV($AA3826,1+4*($D$5-$C$5)/($E$5-$C$5),1+4*($E$5-$D$5)/($E$5-$C$5),$C$5,$E$5)</f>
        <v/>
      </c>
      <c r="N3826" s="14">
        <f>IF($AB3826&lt;($D$6-$C$6)/($E$6-$C$6),$C$6+SQRT($AB3826*($E$6-$C$6)*($D$6-$C$6)),$E$6-SQRT((1-$AB3826)*($E$6-$C$6)*($E$6-$D$6)))</f>
        <v/>
      </c>
      <c r="O3826" s="14">
        <f>_xlfn.NORM.INV($AC3826,$C$7,$D$7)</f>
        <v/>
      </c>
      <c r="P3826" s="14">
        <f>$C$8+($D$8-$C$8)*$AD3826</f>
        <v/>
      </c>
      <c r="Q3826" s="14">
        <f>$C$9</f>
        <v/>
      </c>
      <c r="R3826" s="14">
        <f>_xlfn.LOGNORM.INV($AF3826,LN($C$10)-0.5*LN(1+($D$10/$C$10)^2),SQRT(LN(1+($D$10/$C$10)^2)))</f>
        <v/>
      </c>
      <c r="S3826" s="14">
        <f>SUM(M3826:R3826)</f>
        <v/>
      </c>
      <c r="AA3826">
        <f>RAND()</f>
        <v/>
      </c>
      <c r="AB3826">
        <f>RAND()</f>
        <v/>
      </c>
      <c r="AC3826">
        <f>RAND()</f>
        <v/>
      </c>
      <c r="AD3826">
        <f>RAND()</f>
        <v/>
      </c>
      <c r="AE3826">
        <f>RAND()</f>
        <v/>
      </c>
      <c r="AF3826">
        <f>RAND()</f>
        <v/>
      </c>
    </row>
    <row r="3827">
      <c r="M3827" s="14">
        <f>_xlfn.BETA.INV($AA3827,1+4*($D$5-$C$5)/($E$5-$C$5),1+4*($E$5-$D$5)/($E$5-$C$5),$C$5,$E$5)</f>
        <v/>
      </c>
      <c r="N3827" s="14">
        <f>IF($AB3827&lt;($D$6-$C$6)/($E$6-$C$6),$C$6+SQRT($AB3827*($E$6-$C$6)*($D$6-$C$6)),$E$6-SQRT((1-$AB3827)*($E$6-$C$6)*($E$6-$D$6)))</f>
        <v/>
      </c>
      <c r="O3827" s="14">
        <f>_xlfn.NORM.INV($AC3827,$C$7,$D$7)</f>
        <v/>
      </c>
      <c r="P3827" s="14">
        <f>$C$8+($D$8-$C$8)*$AD3827</f>
        <v/>
      </c>
      <c r="Q3827" s="14">
        <f>$C$9</f>
        <v/>
      </c>
      <c r="R3827" s="14">
        <f>_xlfn.LOGNORM.INV($AF3827,LN($C$10)-0.5*LN(1+($D$10/$C$10)^2),SQRT(LN(1+($D$10/$C$10)^2)))</f>
        <v/>
      </c>
      <c r="S3827" s="14">
        <f>SUM(M3827:R3827)</f>
        <v/>
      </c>
      <c r="AA3827">
        <f>RAND()</f>
        <v/>
      </c>
      <c r="AB3827">
        <f>RAND()</f>
        <v/>
      </c>
      <c r="AC3827">
        <f>RAND()</f>
        <v/>
      </c>
      <c r="AD3827">
        <f>RAND()</f>
        <v/>
      </c>
      <c r="AE3827">
        <f>RAND()</f>
        <v/>
      </c>
      <c r="AF3827">
        <f>RAND()</f>
        <v/>
      </c>
    </row>
    <row r="3828">
      <c r="M3828" s="14">
        <f>_xlfn.BETA.INV($AA3828,1+4*($D$5-$C$5)/($E$5-$C$5),1+4*($E$5-$D$5)/($E$5-$C$5),$C$5,$E$5)</f>
        <v/>
      </c>
      <c r="N3828" s="14">
        <f>IF($AB3828&lt;($D$6-$C$6)/($E$6-$C$6),$C$6+SQRT($AB3828*($E$6-$C$6)*($D$6-$C$6)),$E$6-SQRT((1-$AB3828)*($E$6-$C$6)*($E$6-$D$6)))</f>
        <v/>
      </c>
      <c r="O3828" s="14">
        <f>_xlfn.NORM.INV($AC3828,$C$7,$D$7)</f>
        <v/>
      </c>
      <c r="P3828" s="14">
        <f>$C$8+($D$8-$C$8)*$AD3828</f>
        <v/>
      </c>
      <c r="Q3828" s="14">
        <f>$C$9</f>
        <v/>
      </c>
      <c r="R3828" s="14">
        <f>_xlfn.LOGNORM.INV($AF3828,LN($C$10)-0.5*LN(1+($D$10/$C$10)^2),SQRT(LN(1+($D$10/$C$10)^2)))</f>
        <v/>
      </c>
      <c r="S3828" s="14">
        <f>SUM(M3828:R3828)</f>
        <v/>
      </c>
      <c r="AA3828">
        <f>RAND()</f>
        <v/>
      </c>
      <c r="AB3828">
        <f>RAND()</f>
        <v/>
      </c>
      <c r="AC3828">
        <f>RAND()</f>
        <v/>
      </c>
      <c r="AD3828">
        <f>RAND()</f>
        <v/>
      </c>
      <c r="AE3828">
        <f>RAND()</f>
        <v/>
      </c>
      <c r="AF3828">
        <f>RAND()</f>
        <v/>
      </c>
    </row>
    <row r="3829">
      <c r="M3829" s="14">
        <f>_xlfn.BETA.INV($AA3829,1+4*($D$5-$C$5)/($E$5-$C$5),1+4*($E$5-$D$5)/($E$5-$C$5),$C$5,$E$5)</f>
        <v/>
      </c>
      <c r="N3829" s="14">
        <f>IF($AB3829&lt;($D$6-$C$6)/($E$6-$C$6),$C$6+SQRT($AB3829*($E$6-$C$6)*($D$6-$C$6)),$E$6-SQRT((1-$AB3829)*($E$6-$C$6)*($E$6-$D$6)))</f>
        <v/>
      </c>
      <c r="O3829" s="14">
        <f>_xlfn.NORM.INV($AC3829,$C$7,$D$7)</f>
        <v/>
      </c>
      <c r="P3829" s="14">
        <f>$C$8+($D$8-$C$8)*$AD3829</f>
        <v/>
      </c>
      <c r="Q3829" s="14">
        <f>$C$9</f>
        <v/>
      </c>
      <c r="R3829" s="14">
        <f>_xlfn.LOGNORM.INV($AF3829,LN($C$10)-0.5*LN(1+($D$10/$C$10)^2),SQRT(LN(1+($D$10/$C$10)^2)))</f>
        <v/>
      </c>
      <c r="S3829" s="14">
        <f>SUM(M3829:R3829)</f>
        <v/>
      </c>
      <c r="AA3829">
        <f>RAND()</f>
        <v/>
      </c>
      <c r="AB3829">
        <f>RAND()</f>
        <v/>
      </c>
      <c r="AC3829">
        <f>RAND()</f>
        <v/>
      </c>
      <c r="AD3829">
        <f>RAND()</f>
        <v/>
      </c>
      <c r="AE3829">
        <f>RAND()</f>
        <v/>
      </c>
      <c r="AF3829">
        <f>RAND()</f>
        <v/>
      </c>
    </row>
    <row r="3830">
      <c r="M3830" s="14">
        <f>_xlfn.BETA.INV($AA3830,1+4*($D$5-$C$5)/($E$5-$C$5),1+4*($E$5-$D$5)/($E$5-$C$5),$C$5,$E$5)</f>
        <v/>
      </c>
      <c r="N3830" s="14">
        <f>IF($AB3830&lt;($D$6-$C$6)/($E$6-$C$6),$C$6+SQRT($AB3830*($E$6-$C$6)*($D$6-$C$6)),$E$6-SQRT((1-$AB3830)*($E$6-$C$6)*($E$6-$D$6)))</f>
        <v/>
      </c>
      <c r="O3830" s="14">
        <f>_xlfn.NORM.INV($AC3830,$C$7,$D$7)</f>
        <v/>
      </c>
      <c r="P3830" s="14">
        <f>$C$8+($D$8-$C$8)*$AD3830</f>
        <v/>
      </c>
      <c r="Q3830" s="14">
        <f>$C$9</f>
        <v/>
      </c>
      <c r="R3830" s="14">
        <f>_xlfn.LOGNORM.INV($AF3830,LN($C$10)-0.5*LN(1+($D$10/$C$10)^2),SQRT(LN(1+($D$10/$C$10)^2)))</f>
        <v/>
      </c>
      <c r="S3830" s="14">
        <f>SUM(M3830:R3830)</f>
        <v/>
      </c>
      <c r="AA3830">
        <f>RAND()</f>
        <v/>
      </c>
      <c r="AB3830">
        <f>RAND()</f>
        <v/>
      </c>
      <c r="AC3830">
        <f>RAND()</f>
        <v/>
      </c>
      <c r="AD3830">
        <f>RAND()</f>
        <v/>
      </c>
      <c r="AE3830">
        <f>RAND()</f>
        <v/>
      </c>
      <c r="AF3830">
        <f>RAND()</f>
        <v/>
      </c>
    </row>
    <row r="3831">
      <c r="M3831" s="14">
        <f>_xlfn.BETA.INV($AA3831,1+4*($D$5-$C$5)/($E$5-$C$5),1+4*($E$5-$D$5)/($E$5-$C$5),$C$5,$E$5)</f>
        <v/>
      </c>
      <c r="N3831" s="14">
        <f>IF($AB3831&lt;($D$6-$C$6)/($E$6-$C$6),$C$6+SQRT($AB3831*($E$6-$C$6)*($D$6-$C$6)),$E$6-SQRT((1-$AB3831)*($E$6-$C$6)*($E$6-$D$6)))</f>
        <v/>
      </c>
      <c r="O3831" s="14">
        <f>_xlfn.NORM.INV($AC3831,$C$7,$D$7)</f>
        <v/>
      </c>
      <c r="P3831" s="14">
        <f>$C$8+($D$8-$C$8)*$AD3831</f>
        <v/>
      </c>
      <c r="Q3831" s="14">
        <f>$C$9</f>
        <v/>
      </c>
      <c r="R3831" s="14">
        <f>_xlfn.LOGNORM.INV($AF3831,LN($C$10)-0.5*LN(1+($D$10/$C$10)^2),SQRT(LN(1+($D$10/$C$10)^2)))</f>
        <v/>
      </c>
      <c r="S3831" s="14">
        <f>SUM(M3831:R3831)</f>
        <v/>
      </c>
      <c r="AA3831">
        <f>RAND()</f>
        <v/>
      </c>
      <c r="AB3831">
        <f>RAND()</f>
        <v/>
      </c>
      <c r="AC3831">
        <f>RAND()</f>
        <v/>
      </c>
      <c r="AD3831">
        <f>RAND()</f>
        <v/>
      </c>
      <c r="AE3831">
        <f>RAND()</f>
        <v/>
      </c>
      <c r="AF3831">
        <f>RAND()</f>
        <v/>
      </c>
    </row>
    <row r="3832">
      <c r="M3832" s="14">
        <f>_xlfn.BETA.INV($AA3832,1+4*($D$5-$C$5)/($E$5-$C$5),1+4*($E$5-$D$5)/($E$5-$C$5),$C$5,$E$5)</f>
        <v/>
      </c>
      <c r="N3832" s="14">
        <f>IF($AB3832&lt;($D$6-$C$6)/($E$6-$C$6),$C$6+SQRT($AB3832*($E$6-$C$6)*($D$6-$C$6)),$E$6-SQRT((1-$AB3832)*($E$6-$C$6)*($E$6-$D$6)))</f>
        <v/>
      </c>
      <c r="O3832" s="14">
        <f>_xlfn.NORM.INV($AC3832,$C$7,$D$7)</f>
        <v/>
      </c>
      <c r="P3832" s="14">
        <f>$C$8+($D$8-$C$8)*$AD3832</f>
        <v/>
      </c>
      <c r="Q3832" s="14">
        <f>$C$9</f>
        <v/>
      </c>
      <c r="R3832" s="14">
        <f>_xlfn.LOGNORM.INV($AF3832,LN($C$10)-0.5*LN(1+($D$10/$C$10)^2),SQRT(LN(1+($D$10/$C$10)^2)))</f>
        <v/>
      </c>
      <c r="S3832" s="14">
        <f>SUM(M3832:R3832)</f>
        <v/>
      </c>
      <c r="AA3832">
        <f>RAND()</f>
        <v/>
      </c>
      <c r="AB3832">
        <f>RAND()</f>
        <v/>
      </c>
      <c r="AC3832">
        <f>RAND()</f>
        <v/>
      </c>
      <c r="AD3832">
        <f>RAND()</f>
        <v/>
      </c>
      <c r="AE3832">
        <f>RAND()</f>
        <v/>
      </c>
      <c r="AF3832">
        <f>RAND()</f>
        <v/>
      </c>
    </row>
    <row r="3833">
      <c r="M3833" s="14">
        <f>_xlfn.BETA.INV($AA3833,1+4*($D$5-$C$5)/($E$5-$C$5),1+4*($E$5-$D$5)/($E$5-$C$5),$C$5,$E$5)</f>
        <v/>
      </c>
      <c r="N3833" s="14">
        <f>IF($AB3833&lt;($D$6-$C$6)/($E$6-$C$6),$C$6+SQRT($AB3833*($E$6-$C$6)*($D$6-$C$6)),$E$6-SQRT((1-$AB3833)*($E$6-$C$6)*($E$6-$D$6)))</f>
        <v/>
      </c>
      <c r="O3833" s="14">
        <f>_xlfn.NORM.INV($AC3833,$C$7,$D$7)</f>
        <v/>
      </c>
      <c r="P3833" s="14">
        <f>$C$8+($D$8-$C$8)*$AD3833</f>
        <v/>
      </c>
      <c r="Q3833" s="14">
        <f>$C$9</f>
        <v/>
      </c>
      <c r="R3833" s="14">
        <f>_xlfn.LOGNORM.INV($AF3833,LN($C$10)-0.5*LN(1+($D$10/$C$10)^2),SQRT(LN(1+($D$10/$C$10)^2)))</f>
        <v/>
      </c>
      <c r="S3833" s="14">
        <f>SUM(M3833:R3833)</f>
        <v/>
      </c>
      <c r="AA3833">
        <f>RAND()</f>
        <v/>
      </c>
      <c r="AB3833">
        <f>RAND()</f>
        <v/>
      </c>
      <c r="AC3833">
        <f>RAND()</f>
        <v/>
      </c>
      <c r="AD3833">
        <f>RAND()</f>
        <v/>
      </c>
      <c r="AE3833">
        <f>RAND()</f>
        <v/>
      </c>
      <c r="AF3833">
        <f>RAND()</f>
        <v/>
      </c>
    </row>
    <row r="3834">
      <c r="M3834" s="14">
        <f>_xlfn.BETA.INV($AA3834,1+4*($D$5-$C$5)/($E$5-$C$5),1+4*($E$5-$D$5)/($E$5-$C$5),$C$5,$E$5)</f>
        <v/>
      </c>
      <c r="N3834" s="14">
        <f>IF($AB3834&lt;($D$6-$C$6)/($E$6-$C$6),$C$6+SQRT($AB3834*($E$6-$C$6)*($D$6-$C$6)),$E$6-SQRT((1-$AB3834)*($E$6-$C$6)*($E$6-$D$6)))</f>
        <v/>
      </c>
      <c r="O3834" s="14">
        <f>_xlfn.NORM.INV($AC3834,$C$7,$D$7)</f>
        <v/>
      </c>
      <c r="P3834" s="14">
        <f>$C$8+($D$8-$C$8)*$AD3834</f>
        <v/>
      </c>
      <c r="Q3834" s="14">
        <f>$C$9</f>
        <v/>
      </c>
      <c r="R3834" s="14">
        <f>_xlfn.LOGNORM.INV($AF3834,LN($C$10)-0.5*LN(1+($D$10/$C$10)^2),SQRT(LN(1+($D$10/$C$10)^2)))</f>
        <v/>
      </c>
      <c r="S3834" s="14">
        <f>SUM(M3834:R3834)</f>
        <v/>
      </c>
      <c r="AA3834">
        <f>RAND()</f>
        <v/>
      </c>
      <c r="AB3834">
        <f>RAND()</f>
        <v/>
      </c>
      <c r="AC3834">
        <f>RAND()</f>
        <v/>
      </c>
      <c r="AD3834">
        <f>RAND()</f>
        <v/>
      </c>
      <c r="AE3834">
        <f>RAND()</f>
        <v/>
      </c>
      <c r="AF3834">
        <f>RAND()</f>
        <v/>
      </c>
    </row>
    <row r="3835">
      <c r="M3835" s="14">
        <f>_xlfn.BETA.INV($AA3835,1+4*($D$5-$C$5)/($E$5-$C$5),1+4*($E$5-$D$5)/($E$5-$C$5),$C$5,$E$5)</f>
        <v/>
      </c>
      <c r="N3835" s="14">
        <f>IF($AB3835&lt;($D$6-$C$6)/($E$6-$C$6),$C$6+SQRT($AB3835*($E$6-$C$6)*($D$6-$C$6)),$E$6-SQRT((1-$AB3835)*($E$6-$C$6)*($E$6-$D$6)))</f>
        <v/>
      </c>
      <c r="O3835" s="14">
        <f>_xlfn.NORM.INV($AC3835,$C$7,$D$7)</f>
        <v/>
      </c>
      <c r="P3835" s="14">
        <f>$C$8+($D$8-$C$8)*$AD3835</f>
        <v/>
      </c>
      <c r="Q3835" s="14">
        <f>$C$9</f>
        <v/>
      </c>
      <c r="R3835" s="14">
        <f>_xlfn.LOGNORM.INV($AF3835,LN($C$10)-0.5*LN(1+($D$10/$C$10)^2),SQRT(LN(1+($D$10/$C$10)^2)))</f>
        <v/>
      </c>
      <c r="S3835" s="14">
        <f>SUM(M3835:R3835)</f>
        <v/>
      </c>
      <c r="AA3835">
        <f>RAND()</f>
        <v/>
      </c>
      <c r="AB3835">
        <f>RAND()</f>
        <v/>
      </c>
      <c r="AC3835">
        <f>RAND()</f>
        <v/>
      </c>
      <c r="AD3835">
        <f>RAND()</f>
        <v/>
      </c>
      <c r="AE3835">
        <f>RAND()</f>
        <v/>
      </c>
      <c r="AF3835">
        <f>RAND()</f>
        <v/>
      </c>
    </row>
    <row r="3836">
      <c r="M3836" s="14">
        <f>_xlfn.BETA.INV($AA3836,1+4*($D$5-$C$5)/($E$5-$C$5),1+4*($E$5-$D$5)/($E$5-$C$5),$C$5,$E$5)</f>
        <v/>
      </c>
      <c r="N3836" s="14">
        <f>IF($AB3836&lt;($D$6-$C$6)/($E$6-$C$6),$C$6+SQRT($AB3836*($E$6-$C$6)*($D$6-$C$6)),$E$6-SQRT((1-$AB3836)*($E$6-$C$6)*($E$6-$D$6)))</f>
        <v/>
      </c>
      <c r="O3836" s="14">
        <f>_xlfn.NORM.INV($AC3836,$C$7,$D$7)</f>
        <v/>
      </c>
      <c r="P3836" s="14">
        <f>$C$8+($D$8-$C$8)*$AD3836</f>
        <v/>
      </c>
      <c r="Q3836" s="14">
        <f>$C$9</f>
        <v/>
      </c>
      <c r="R3836" s="14">
        <f>_xlfn.LOGNORM.INV($AF3836,LN($C$10)-0.5*LN(1+($D$10/$C$10)^2),SQRT(LN(1+($D$10/$C$10)^2)))</f>
        <v/>
      </c>
      <c r="S3836" s="14">
        <f>SUM(M3836:R3836)</f>
        <v/>
      </c>
      <c r="AA3836">
        <f>RAND()</f>
        <v/>
      </c>
      <c r="AB3836">
        <f>RAND()</f>
        <v/>
      </c>
      <c r="AC3836">
        <f>RAND()</f>
        <v/>
      </c>
      <c r="AD3836">
        <f>RAND()</f>
        <v/>
      </c>
      <c r="AE3836">
        <f>RAND()</f>
        <v/>
      </c>
      <c r="AF3836">
        <f>RAND()</f>
        <v/>
      </c>
    </row>
    <row r="3837">
      <c r="M3837" s="14">
        <f>_xlfn.BETA.INV($AA3837,1+4*($D$5-$C$5)/($E$5-$C$5),1+4*($E$5-$D$5)/($E$5-$C$5),$C$5,$E$5)</f>
        <v/>
      </c>
      <c r="N3837" s="14">
        <f>IF($AB3837&lt;($D$6-$C$6)/($E$6-$C$6),$C$6+SQRT($AB3837*($E$6-$C$6)*($D$6-$C$6)),$E$6-SQRT((1-$AB3837)*($E$6-$C$6)*($E$6-$D$6)))</f>
        <v/>
      </c>
      <c r="O3837" s="14">
        <f>_xlfn.NORM.INV($AC3837,$C$7,$D$7)</f>
        <v/>
      </c>
      <c r="P3837" s="14">
        <f>$C$8+($D$8-$C$8)*$AD3837</f>
        <v/>
      </c>
      <c r="Q3837" s="14">
        <f>$C$9</f>
        <v/>
      </c>
      <c r="R3837" s="14">
        <f>_xlfn.LOGNORM.INV($AF3837,LN($C$10)-0.5*LN(1+($D$10/$C$10)^2),SQRT(LN(1+($D$10/$C$10)^2)))</f>
        <v/>
      </c>
      <c r="S3837" s="14">
        <f>SUM(M3837:R3837)</f>
        <v/>
      </c>
      <c r="AA3837">
        <f>RAND()</f>
        <v/>
      </c>
      <c r="AB3837">
        <f>RAND()</f>
        <v/>
      </c>
      <c r="AC3837">
        <f>RAND()</f>
        <v/>
      </c>
      <c r="AD3837">
        <f>RAND()</f>
        <v/>
      </c>
      <c r="AE3837">
        <f>RAND()</f>
        <v/>
      </c>
      <c r="AF3837">
        <f>RAND()</f>
        <v/>
      </c>
    </row>
    <row r="3838">
      <c r="M3838" s="14">
        <f>_xlfn.BETA.INV($AA3838,1+4*($D$5-$C$5)/($E$5-$C$5),1+4*($E$5-$D$5)/($E$5-$C$5),$C$5,$E$5)</f>
        <v/>
      </c>
      <c r="N3838" s="14">
        <f>IF($AB3838&lt;($D$6-$C$6)/($E$6-$C$6),$C$6+SQRT($AB3838*($E$6-$C$6)*($D$6-$C$6)),$E$6-SQRT((1-$AB3838)*($E$6-$C$6)*($E$6-$D$6)))</f>
        <v/>
      </c>
      <c r="O3838" s="14">
        <f>_xlfn.NORM.INV($AC3838,$C$7,$D$7)</f>
        <v/>
      </c>
      <c r="P3838" s="14">
        <f>$C$8+($D$8-$C$8)*$AD3838</f>
        <v/>
      </c>
      <c r="Q3838" s="14">
        <f>$C$9</f>
        <v/>
      </c>
      <c r="R3838" s="14">
        <f>_xlfn.LOGNORM.INV($AF3838,LN($C$10)-0.5*LN(1+($D$10/$C$10)^2),SQRT(LN(1+($D$10/$C$10)^2)))</f>
        <v/>
      </c>
      <c r="S3838" s="14">
        <f>SUM(M3838:R3838)</f>
        <v/>
      </c>
      <c r="AA3838">
        <f>RAND()</f>
        <v/>
      </c>
      <c r="AB3838">
        <f>RAND()</f>
        <v/>
      </c>
      <c r="AC3838">
        <f>RAND()</f>
        <v/>
      </c>
      <c r="AD3838">
        <f>RAND()</f>
        <v/>
      </c>
      <c r="AE3838">
        <f>RAND()</f>
        <v/>
      </c>
      <c r="AF3838">
        <f>RAND()</f>
        <v/>
      </c>
    </row>
    <row r="3839">
      <c r="M3839" s="14">
        <f>_xlfn.BETA.INV($AA3839,1+4*($D$5-$C$5)/($E$5-$C$5),1+4*($E$5-$D$5)/($E$5-$C$5),$C$5,$E$5)</f>
        <v/>
      </c>
      <c r="N3839" s="14">
        <f>IF($AB3839&lt;($D$6-$C$6)/($E$6-$C$6),$C$6+SQRT($AB3839*($E$6-$C$6)*($D$6-$C$6)),$E$6-SQRT((1-$AB3839)*($E$6-$C$6)*($E$6-$D$6)))</f>
        <v/>
      </c>
      <c r="O3839" s="14">
        <f>_xlfn.NORM.INV($AC3839,$C$7,$D$7)</f>
        <v/>
      </c>
      <c r="P3839" s="14">
        <f>$C$8+($D$8-$C$8)*$AD3839</f>
        <v/>
      </c>
      <c r="Q3839" s="14">
        <f>$C$9</f>
        <v/>
      </c>
      <c r="R3839" s="14">
        <f>_xlfn.LOGNORM.INV($AF3839,LN($C$10)-0.5*LN(1+($D$10/$C$10)^2),SQRT(LN(1+($D$10/$C$10)^2)))</f>
        <v/>
      </c>
      <c r="S3839" s="14">
        <f>SUM(M3839:R3839)</f>
        <v/>
      </c>
      <c r="AA3839">
        <f>RAND()</f>
        <v/>
      </c>
      <c r="AB3839">
        <f>RAND()</f>
        <v/>
      </c>
      <c r="AC3839">
        <f>RAND()</f>
        <v/>
      </c>
      <c r="AD3839">
        <f>RAND()</f>
        <v/>
      </c>
      <c r="AE3839">
        <f>RAND()</f>
        <v/>
      </c>
      <c r="AF3839">
        <f>RAND()</f>
        <v/>
      </c>
    </row>
    <row r="3840">
      <c r="M3840" s="14">
        <f>_xlfn.BETA.INV($AA3840,1+4*($D$5-$C$5)/($E$5-$C$5),1+4*($E$5-$D$5)/($E$5-$C$5),$C$5,$E$5)</f>
        <v/>
      </c>
      <c r="N3840" s="14">
        <f>IF($AB3840&lt;($D$6-$C$6)/($E$6-$C$6),$C$6+SQRT($AB3840*($E$6-$C$6)*($D$6-$C$6)),$E$6-SQRT((1-$AB3840)*($E$6-$C$6)*($E$6-$D$6)))</f>
        <v/>
      </c>
      <c r="O3840" s="14">
        <f>_xlfn.NORM.INV($AC3840,$C$7,$D$7)</f>
        <v/>
      </c>
      <c r="P3840" s="14">
        <f>$C$8+($D$8-$C$8)*$AD3840</f>
        <v/>
      </c>
      <c r="Q3840" s="14">
        <f>$C$9</f>
        <v/>
      </c>
      <c r="R3840" s="14">
        <f>_xlfn.LOGNORM.INV($AF3840,LN($C$10)-0.5*LN(1+($D$10/$C$10)^2),SQRT(LN(1+($D$10/$C$10)^2)))</f>
        <v/>
      </c>
      <c r="S3840" s="14">
        <f>SUM(M3840:R3840)</f>
        <v/>
      </c>
      <c r="AA3840">
        <f>RAND()</f>
        <v/>
      </c>
      <c r="AB3840">
        <f>RAND()</f>
        <v/>
      </c>
      <c r="AC3840">
        <f>RAND()</f>
        <v/>
      </c>
      <c r="AD3840">
        <f>RAND()</f>
        <v/>
      </c>
      <c r="AE3840">
        <f>RAND()</f>
        <v/>
      </c>
      <c r="AF3840">
        <f>RAND()</f>
        <v/>
      </c>
    </row>
    <row r="3841">
      <c r="M3841" s="14">
        <f>_xlfn.BETA.INV($AA3841,1+4*($D$5-$C$5)/($E$5-$C$5),1+4*($E$5-$D$5)/($E$5-$C$5),$C$5,$E$5)</f>
        <v/>
      </c>
      <c r="N3841" s="14">
        <f>IF($AB3841&lt;($D$6-$C$6)/($E$6-$C$6),$C$6+SQRT($AB3841*($E$6-$C$6)*($D$6-$C$6)),$E$6-SQRT((1-$AB3841)*($E$6-$C$6)*($E$6-$D$6)))</f>
        <v/>
      </c>
      <c r="O3841" s="14">
        <f>_xlfn.NORM.INV($AC3841,$C$7,$D$7)</f>
        <v/>
      </c>
      <c r="P3841" s="14">
        <f>$C$8+($D$8-$C$8)*$AD3841</f>
        <v/>
      </c>
      <c r="Q3841" s="14">
        <f>$C$9</f>
        <v/>
      </c>
      <c r="R3841" s="14">
        <f>_xlfn.LOGNORM.INV($AF3841,LN($C$10)-0.5*LN(1+($D$10/$C$10)^2),SQRT(LN(1+($D$10/$C$10)^2)))</f>
        <v/>
      </c>
      <c r="S3841" s="14">
        <f>SUM(M3841:R3841)</f>
        <v/>
      </c>
      <c r="AA3841">
        <f>RAND()</f>
        <v/>
      </c>
      <c r="AB3841">
        <f>RAND()</f>
        <v/>
      </c>
      <c r="AC3841">
        <f>RAND()</f>
        <v/>
      </c>
      <c r="AD3841">
        <f>RAND()</f>
        <v/>
      </c>
      <c r="AE3841">
        <f>RAND()</f>
        <v/>
      </c>
      <c r="AF3841">
        <f>RAND()</f>
        <v/>
      </c>
    </row>
    <row r="3842">
      <c r="M3842" s="14">
        <f>_xlfn.BETA.INV($AA3842,1+4*($D$5-$C$5)/($E$5-$C$5),1+4*($E$5-$D$5)/($E$5-$C$5),$C$5,$E$5)</f>
        <v/>
      </c>
      <c r="N3842" s="14">
        <f>IF($AB3842&lt;($D$6-$C$6)/($E$6-$C$6),$C$6+SQRT($AB3842*($E$6-$C$6)*($D$6-$C$6)),$E$6-SQRT((1-$AB3842)*($E$6-$C$6)*($E$6-$D$6)))</f>
        <v/>
      </c>
      <c r="O3842" s="14">
        <f>_xlfn.NORM.INV($AC3842,$C$7,$D$7)</f>
        <v/>
      </c>
      <c r="P3842" s="14">
        <f>$C$8+($D$8-$C$8)*$AD3842</f>
        <v/>
      </c>
      <c r="Q3842" s="14">
        <f>$C$9</f>
        <v/>
      </c>
      <c r="R3842" s="14">
        <f>_xlfn.LOGNORM.INV($AF3842,LN($C$10)-0.5*LN(1+($D$10/$C$10)^2),SQRT(LN(1+($D$10/$C$10)^2)))</f>
        <v/>
      </c>
      <c r="S3842" s="14">
        <f>SUM(M3842:R3842)</f>
        <v/>
      </c>
      <c r="AA3842">
        <f>RAND()</f>
        <v/>
      </c>
      <c r="AB3842">
        <f>RAND()</f>
        <v/>
      </c>
      <c r="AC3842">
        <f>RAND()</f>
        <v/>
      </c>
      <c r="AD3842">
        <f>RAND()</f>
        <v/>
      </c>
      <c r="AE3842">
        <f>RAND()</f>
        <v/>
      </c>
      <c r="AF3842">
        <f>RAND()</f>
        <v/>
      </c>
    </row>
    <row r="3843">
      <c r="M3843" s="14">
        <f>_xlfn.BETA.INV($AA3843,1+4*($D$5-$C$5)/($E$5-$C$5),1+4*($E$5-$D$5)/($E$5-$C$5),$C$5,$E$5)</f>
        <v/>
      </c>
      <c r="N3843" s="14">
        <f>IF($AB3843&lt;($D$6-$C$6)/($E$6-$C$6),$C$6+SQRT($AB3843*($E$6-$C$6)*($D$6-$C$6)),$E$6-SQRT((1-$AB3843)*($E$6-$C$6)*($E$6-$D$6)))</f>
        <v/>
      </c>
      <c r="O3843" s="14">
        <f>_xlfn.NORM.INV($AC3843,$C$7,$D$7)</f>
        <v/>
      </c>
      <c r="P3843" s="14">
        <f>$C$8+($D$8-$C$8)*$AD3843</f>
        <v/>
      </c>
      <c r="Q3843" s="14">
        <f>$C$9</f>
        <v/>
      </c>
      <c r="R3843" s="14">
        <f>_xlfn.LOGNORM.INV($AF3843,LN($C$10)-0.5*LN(1+($D$10/$C$10)^2),SQRT(LN(1+($D$10/$C$10)^2)))</f>
        <v/>
      </c>
      <c r="S3843" s="14">
        <f>SUM(M3843:R3843)</f>
        <v/>
      </c>
      <c r="AA3843">
        <f>RAND()</f>
        <v/>
      </c>
      <c r="AB3843">
        <f>RAND()</f>
        <v/>
      </c>
      <c r="AC3843">
        <f>RAND()</f>
        <v/>
      </c>
      <c r="AD3843">
        <f>RAND()</f>
        <v/>
      </c>
      <c r="AE3843">
        <f>RAND()</f>
        <v/>
      </c>
      <c r="AF3843">
        <f>RAND()</f>
        <v/>
      </c>
    </row>
    <row r="3844">
      <c r="M3844" s="14">
        <f>_xlfn.BETA.INV($AA3844,1+4*($D$5-$C$5)/($E$5-$C$5),1+4*($E$5-$D$5)/($E$5-$C$5),$C$5,$E$5)</f>
        <v/>
      </c>
      <c r="N3844" s="14">
        <f>IF($AB3844&lt;($D$6-$C$6)/($E$6-$C$6),$C$6+SQRT($AB3844*($E$6-$C$6)*($D$6-$C$6)),$E$6-SQRT((1-$AB3844)*($E$6-$C$6)*($E$6-$D$6)))</f>
        <v/>
      </c>
      <c r="O3844" s="14">
        <f>_xlfn.NORM.INV($AC3844,$C$7,$D$7)</f>
        <v/>
      </c>
      <c r="P3844" s="14">
        <f>$C$8+($D$8-$C$8)*$AD3844</f>
        <v/>
      </c>
      <c r="Q3844" s="14">
        <f>$C$9</f>
        <v/>
      </c>
      <c r="R3844" s="14">
        <f>_xlfn.LOGNORM.INV($AF3844,LN($C$10)-0.5*LN(1+($D$10/$C$10)^2),SQRT(LN(1+($D$10/$C$10)^2)))</f>
        <v/>
      </c>
      <c r="S3844" s="14">
        <f>SUM(M3844:R3844)</f>
        <v/>
      </c>
      <c r="AA3844">
        <f>RAND()</f>
        <v/>
      </c>
      <c r="AB3844">
        <f>RAND()</f>
        <v/>
      </c>
      <c r="AC3844">
        <f>RAND()</f>
        <v/>
      </c>
      <c r="AD3844">
        <f>RAND()</f>
        <v/>
      </c>
      <c r="AE3844">
        <f>RAND()</f>
        <v/>
      </c>
      <c r="AF3844">
        <f>RAND()</f>
        <v/>
      </c>
    </row>
    <row r="3845">
      <c r="M3845" s="14">
        <f>_xlfn.BETA.INV($AA3845,1+4*($D$5-$C$5)/($E$5-$C$5),1+4*($E$5-$D$5)/($E$5-$C$5),$C$5,$E$5)</f>
        <v/>
      </c>
      <c r="N3845" s="14">
        <f>IF($AB3845&lt;($D$6-$C$6)/($E$6-$C$6),$C$6+SQRT($AB3845*($E$6-$C$6)*($D$6-$C$6)),$E$6-SQRT((1-$AB3845)*($E$6-$C$6)*($E$6-$D$6)))</f>
        <v/>
      </c>
      <c r="O3845" s="14">
        <f>_xlfn.NORM.INV($AC3845,$C$7,$D$7)</f>
        <v/>
      </c>
      <c r="P3845" s="14">
        <f>$C$8+($D$8-$C$8)*$AD3845</f>
        <v/>
      </c>
      <c r="Q3845" s="14">
        <f>$C$9</f>
        <v/>
      </c>
      <c r="R3845" s="14">
        <f>_xlfn.LOGNORM.INV($AF3845,LN($C$10)-0.5*LN(1+($D$10/$C$10)^2),SQRT(LN(1+($D$10/$C$10)^2)))</f>
        <v/>
      </c>
      <c r="S3845" s="14">
        <f>SUM(M3845:R3845)</f>
        <v/>
      </c>
      <c r="AA3845">
        <f>RAND()</f>
        <v/>
      </c>
      <c r="AB3845">
        <f>RAND()</f>
        <v/>
      </c>
      <c r="AC3845">
        <f>RAND()</f>
        <v/>
      </c>
      <c r="AD3845">
        <f>RAND()</f>
        <v/>
      </c>
      <c r="AE3845">
        <f>RAND()</f>
        <v/>
      </c>
      <c r="AF3845">
        <f>RAND()</f>
        <v/>
      </c>
    </row>
    <row r="3846">
      <c r="M3846" s="14">
        <f>_xlfn.BETA.INV($AA3846,1+4*($D$5-$C$5)/($E$5-$C$5),1+4*($E$5-$D$5)/($E$5-$C$5),$C$5,$E$5)</f>
        <v/>
      </c>
      <c r="N3846" s="14">
        <f>IF($AB3846&lt;($D$6-$C$6)/($E$6-$C$6),$C$6+SQRT($AB3846*($E$6-$C$6)*($D$6-$C$6)),$E$6-SQRT((1-$AB3846)*($E$6-$C$6)*($E$6-$D$6)))</f>
        <v/>
      </c>
      <c r="O3846" s="14">
        <f>_xlfn.NORM.INV($AC3846,$C$7,$D$7)</f>
        <v/>
      </c>
      <c r="P3846" s="14">
        <f>$C$8+($D$8-$C$8)*$AD3846</f>
        <v/>
      </c>
      <c r="Q3846" s="14">
        <f>$C$9</f>
        <v/>
      </c>
      <c r="R3846" s="14">
        <f>_xlfn.LOGNORM.INV($AF3846,LN($C$10)-0.5*LN(1+($D$10/$C$10)^2),SQRT(LN(1+($D$10/$C$10)^2)))</f>
        <v/>
      </c>
      <c r="S3846" s="14">
        <f>SUM(M3846:R3846)</f>
        <v/>
      </c>
      <c r="AA3846">
        <f>RAND()</f>
        <v/>
      </c>
      <c r="AB3846">
        <f>RAND()</f>
        <v/>
      </c>
      <c r="AC3846">
        <f>RAND()</f>
        <v/>
      </c>
      <c r="AD3846">
        <f>RAND()</f>
        <v/>
      </c>
      <c r="AE3846">
        <f>RAND()</f>
        <v/>
      </c>
      <c r="AF3846">
        <f>RAND()</f>
        <v/>
      </c>
    </row>
    <row r="3847">
      <c r="M3847" s="14">
        <f>_xlfn.BETA.INV($AA3847,1+4*($D$5-$C$5)/($E$5-$C$5),1+4*($E$5-$D$5)/($E$5-$C$5),$C$5,$E$5)</f>
        <v/>
      </c>
      <c r="N3847" s="14">
        <f>IF($AB3847&lt;($D$6-$C$6)/($E$6-$C$6),$C$6+SQRT($AB3847*($E$6-$C$6)*($D$6-$C$6)),$E$6-SQRT((1-$AB3847)*($E$6-$C$6)*($E$6-$D$6)))</f>
        <v/>
      </c>
      <c r="O3847" s="14">
        <f>_xlfn.NORM.INV($AC3847,$C$7,$D$7)</f>
        <v/>
      </c>
      <c r="P3847" s="14">
        <f>$C$8+($D$8-$C$8)*$AD3847</f>
        <v/>
      </c>
      <c r="Q3847" s="14">
        <f>$C$9</f>
        <v/>
      </c>
      <c r="R3847" s="14">
        <f>_xlfn.LOGNORM.INV($AF3847,LN($C$10)-0.5*LN(1+($D$10/$C$10)^2),SQRT(LN(1+($D$10/$C$10)^2)))</f>
        <v/>
      </c>
      <c r="S3847" s="14">
        <f>SUM(M3847:R3847)</f>
        <v/>
      </c>
      <c r="AA3847">
        <f>RAND()</f>
        <v/>
      </c>
      <c r="AB3847">
        <f>RAND()</f>
        <v/>
      </c>
      <c r="AC3847">
        <f>RAND()</f>
        <v/>
      </c>
      <c r="AD3847">
        <f>RAND()</f>
        <v/>
      </c>
      <c r="AE3847">
        <f>RAND()</f>
        <v/>
      </c>
      <c r="AF3847">
        <f>RAND()</f>
        <v/>
      </c>
    </row>
    <row r="3848">
      <c r="M3848" s="14">
        <f>_xlfn.BETA.INV($AA3848,1+4*($D$5-$C$5)/($E$5-$C$5),1+4*($E$5-$D$5)/($E$5-$C$5),$C$5,$E$5)</f>
        <v/>
      </c>
      <c r="N3848" s="14">
        <f>IF($AB3848&lt;($D$6-$C$6)/($E$6-$C$6),$C$6+SQRT($AB3848*($E$6-$C$6)*($D$6-$C$6)),$E$6-SQRT((1-$AB3848)*($E$6-$C$6)*($E$6-$D$6)))</f>
        <v/>
      </c>
      <c r="O3848" s="14">
        <f>_xlfn.NORM.INV($AC3848,$C$7,$D$7)</f>
        <v/>
      </c>
      <c r="P3848" s="14">
        <f>$C$8+($D$8-$C$8)*$AD3848</f>
        <v/>
      </c>
      <c r="Q3848" s="14">
        <f>$C$9</f>
        <v/>
      </c>
      <c r="R3848" s="14">
        <f>_xlfn.LOGNORM.INV($AF3848,LN($C$10)-0.5*LN(1+($D$10/$C$10)^2),SQRT(LN(1+($D$10/$C$10)^2)))</f>
        <v/>
      </c>
      <c r="S3848" s="14">
        <f>SUM(M3848:R3848)</f>
        <v/>
      </c>
      <c r="AA3848">
        <f>RAND()</f>
        <v/>
      </c>
      <c r="AB3848">
        <f>RAND()</f>
        <v/>
      </c>
      <c r="AC3848">
        <f>RAND()</f>
        <v/>
      </c>
      <c r="AD3848">
        <f>RAND()</f>
        <v/>
      </c>
      <c r="AE3848">
        <f>RAND()</f>
        <v/>
      </c>
      <c r="AF3848">
        <f>RAND()</f>
        <v/>
      </c>
    </row>
    <row r="3849">
      <c r="M3849" s="14">
        <f>_xlfn.BETA.INV($AA3849,1+4*($D$5-$C$5)/($E$5-$C$5),1+4*($E$5-$D$5)/($E$5-$C$5),$C$5,$E$5)</f>
        <v/>
      </c>
      <c r="N3849" s="14">
        <f>IF($AB3849&lt;($D$6-$C$6)/($E$6-$C$6),$C$6+SQRT($AB3849*($E$6-$C$6)*($D$6-$C$6)),$E$6-SQRT((1-$AB3849)*($E$6-$C$6)*($E$6-$D$6)))</f>
        <v/>
      </c>
      <c r="O3849" s="14">
        <f>_xlfn.NORM.INV($AC3849,$C$7,$D$7)</f>
        <v/>
      </c>
      <c r="P3849" s="14">
        <f>$C$8+($D$8-$C$8)*$AD3849</f>
        <v/>
      </c>
      <c r="Q3849" s="14">
        <f>$C$9</f>
        <v/>
      </c>
      <c r="R3849" s="14">
        <f>_xlfn.LOGNORM.INV($AF3849,LN($C$10)-0.5*LN(1+($D$10/$C$10)^2),SQRT(LN(1+($D$10/$C$10)^2)))</f>
        <v/>
      </c>
      <c r="S3849" s="14">
        <f>SUM(M3849:R3849)</f>
        <v/>
      </c>
      <c r="AA3849">
        <f>RAND()</f>
        <v/>
      </c>
      <c r="AB3849">
        <f>RAND()</f>
        <v/>
      </c>
      <c r="AC3849">
        <f>RAND()</f>
        <v/>
      </c>
      <c r="AD3849">
        <f>RAND()</f>
        <v/>
      </c>
      <c r="AE3849">
        <f>RAND()</f>
        <v/>
      </c>
      <c r="AF3849">
        <f>RAND()</f>
        <v/>
      </c>
    </row>
    <row r="3850">
      <c r="M3850" s="14">
        <f>_xlfn.BETA.INV($AA3850,1+4*($D$5-$C$5)/($E$5-$C$5),1+4*($E$5-$D$5)/($E$5-$C$5),$C$5,$E$5)</f>
        <v/>
      </c>
      <c r="N3850" s="14">
        <f>IF($AB3850&lt;($D$6-$C$6)/($E$6-$C$6),$C$6+SQRT($AB3850*($E$6-$C$6)*($D$6-$C$6)),$E$6-SQRT((1-$AB3850)*($E$6-$C$6)*($E$6-$D$6)))</f>
        <v/>
      </c>
      <c r="O3850" s="14">
        <f>_xlfn.NORM.INV($AC3850,$C$7,$D$7)</f>
        <v/>
      </c>
      <c r="P3850" s="14">
        <f>$C$8+($D$8-$C$8)*$AD3850</f>
        <v/>
      </c>
      <c r="Q3850" s="14">
        <f>$C$9</f>
        <v/>
      </c>
      <c r="R3850" s="14">
        <f>_xlfn.LOGNORM.INV($AF3850,LN($C$10)-0.5*LN(1+($D$10/$C$10)^2),SQRT(LN(1+($D$10/$C$10)^2)))</f>
        <v/>
      </c>
      <c r="S3850" s="14">
        <f>SUM(M3850:R3850)</f>
        <v/>
      </c>
      <c r="AA3850">
        <f>RAND()</f>
        <v/>
      </c>
      <c r="AB3850">
        <f>RAND()</f>
        <v/>
      </c>
      <c r="AC3850">
        <f>RAND()</f>
        <v/>
      </c>
      <c r="AD3850">
        <f>RAND()</f>
        <v/>
      </c>
      <c r="AE3850">
        <f>RAND()</f>
        <v/>
      </c>
      <c r="AF3850">
        <f>RAND()</f>
        <v/>
      </c>
    </row>
    <row r="3851">
      <c r="M3851" s="14">
        <f>_xlfn.BETA.INV($AA3851,1+4*($D$5-$C$5)/($E$5-$C$5),1+4*($E$5-$D$5)/($E$5-$C$5),$C$5,$E$5)</f>
        <v/>
      </c>
      <c r="N3851" s="14">
        <f>IF($AB3851&lt;($D$6-$C$6)/($E$6-$C$6),$C$6+SQRT($AB3851*($E$6-$C$6)*($D$6-$C$6)),$E$6-SQRT((1-$AB3851)*($E$6-$C$6)*($E$6-$D$6)))</f>
        <v/>
      </c>
      <c r="O3851" s="14">
        <f>_xlfn.NORM.INV($AC3851,$C$7,$D$7)</f>
        <v/>
      </c>
      <c r="P3851" s="14">
        <f>$C$8+($D$8-$C$8)*$AD3851</f>
        <v/>
      </c>
      <c r="Q3851" s="14">
        <f>$C$9</f>
        <v/>
      </c>
      <c r="R3851" s="14">
        <f>_xlfn.LOGNORM.INV($AF3851,LN($C$10)-0.5*LN(1+($D$10/$C$10)^2),SQRT(LN(1+($D$10/$C$10)^2)))</f>
        <v/>
      </c>
      <c r="S3851" s="14">
        <f>SUM(M3851:R3851)</f>
        <v/>
      </c>
      <c r="AA3851">
        <f>RAND()</f>
        <v/>
      </c>
      <c r="AB3851">
        <f>RAND()</f>
        <v/>
      </c>
      <c r="AC3851">
        <f>RAND()</f>
        <v/>
      </c>
      <c r="AD3851">
        <f>RAND()</f>
        <v/>
      </c>
      <c r="AE3851">
        <f>RAND()</f>
        <v/>
      </c>
      <c r="AF3851">
        <f>RAND()</f>
        <v/>
      </c>
    </row>
    <row r="3852">
      <c r="M3852" s="14">
        <f>_xlfn.BETA.INV($AA3852,1+4*($D$5-$C$5)/($E$5-$C$5),1+4*($E$5-$D$5)/($E$5-$C$5),$C$5,$E$5)</f>
        <v/>
      </c>
      <c r="N3852" s="14">
        <f>IF($AB3852&lt;($D$6-$C$6)/($E$6-$C$6),$C$6+SQRT($AB3852*($E$6-$C$6)*($D$6-$C$6)),$E$6-SQRT((1-$AB3852)*($E$6-$C$6)*($E$6-$D$6)))</f>
        <v/>
      </c>
      <c r="O3852" s="14">
        <f>_xlfn.NORM.INV($AC3852,$C$7,$D$7)</f>
        <v/>
      </c>
      <c r="P3852" s="14">
        <f>$C$8+($D$8-$C$8)*$AD3852</f>
        <v/>
      </c>
      <c r="Q3852" s="14">
        <f>$C$9</f>
        <v/>
      </c>
      <c r="R3852" s="14">
        <f>_xlfn.LOGNORM.INV($AF3852,LN($C$10)-0.5*LN(1+($D$10/$C$10)^2),SQRT(LN(1+($D$10/$C$10)^2)))</f>
        <v/>
      </c>
      <c r="S3852" s="14">
        <f>SUM(M3852:R3852)</f>
        <v/>
      </c>
      <c r="AA3852">
        <f>RAND()</f>
        <v/>
      </c>
      <c r="AB3852">
        <f>RAND()</f>
        <v/>
      </c>
      <c r="AC3852">
        <f>RAND()</f>
        <v/>
      </c>
      <c r="AD3852">
        <f>RAND()</f>
        <v/>
      </c>
      <c r="AE3852">
        <f>RAND()</f>
        <v/>
      </c>
      <c r="AF3852">
        <f>RAND()</f>
        <v/>
      </c>
    </row>
    <row r="3853">
      <c r="M3853" s="14">
        <f>_xlfn.BETA.INV($AA3853,1+4*($D$5-$C$5)/($E$5-$C$5),1+4*($E$5-$D$5)/($E$5-$C$5),$C$5,$E$5)</f>
        <v/>
      </c>
      <c r="N3853" s="14">
        <f>IF($AB3853&lt;($D$6-$C$6)/($E$6-$C$6),$C$6+SQRT($AB3853*($E$6-$C$6)*($D$6-$C$6)),$E$6-SQRT((1-$AB3853)*($E$6-$C$6)*($E$6-$D$6)))</f>
        <v/>
      </c>
      <c r="O3853" s="14">
        <f>_xlfn.NORM.INV($AC3853,$C$7,$D$7)</f>
        <v/>
      </c>
      <c r="P3853" s="14">
        <f>$C$8+($D$8-$C$8)*$AD3853</f>
        <v/>
      </c>
      <c r="Q3853" s="14">
        <f>$C$9</f>
        <v/>
      </c>
      <c r="R3853" s="14">
        <f>_xlfn.LOGNORM.INV($AF3853,LN($C$10)-0.5*LN(1+($D$10/$C$10)^2),SQRT(LN(1+($D$10/$C$10)^2)))</f>
        <v/>
      </c>
      <c r="S3853" s="14">
        <f>SUM(M3853:R3853)</f>
        <v/>
      </c>
      <c r="AA3853">
        <f>RAND()</f>
        <v/>
      </c>
      <c r="AB3853">
        <f>RAND()</f>
        <v/>
      </c>
      <c r="AC3853">
        <f>RAND()</f>
        <v/>
      </c>
      <c r="AD3853">
        <f>RAND()</f>
        <v/>
      </c>
      <c r="AE3853">
        <f>RAND()</f>
        <v/>
      </c>
      <c r="AF3853">
        <f>RAND()</f>
        <v/>
      </c>
    </row>
    <row r="3854">
      <c r="M3854" s="14">
        <f>_xlfn.BETA.INV($AA3854,1+4*($D$5-$C$5)/($E$5-$C$5),1+4*($E$5-$D$5)/($E$5-$C$5),$C$5,$E$5)</f>
        <v/>
      </c>
      <c r="N3854" s="14">
        <f>IF($AB3854&lt;($D$6-$C$6)/($E$6-$C$6),$C$6+SQRT($AB3854*($E$6-$C$6)*($D$6-$C$6)),$E$6-SQRT((1-$AB3854)*($E$6-$C$6)*($E$6-$D$6)))</f>
        <v/>
      </c>
      <c r="O3854" s="14">
        <f>_xlfn.NORM.INV($AC3854,$C$7,$D$7)</f>
        <v/>
      </c>
      <c r="P3854" s="14">
        <f>$C$8+($D$8-$C$8)*$AD3854</f>
        <v/>
      </c>
      <c r="Q3854" s="14">
        <f>$C$9</f>
        <v/>
      </c>
      <c r="R3854" s="14">
        <f>_xlfn.LOGNORM.INV($AF3854,LN($C$10)-0.5*LN(1+($D$10/$C$10)^2),SQRT(LN(1+($D$10/$C$10)^2)))</f>
        <v/>
      </c>
      <c r="S3854" s="14">
        <f>SUM(M3854:R3854)</f>
        <v/>
      </c>
      <c r="AA3854">
        <f>RAND()</f>
        <v/>
      </c>
      <c r="AB3854">
        <f>RAND()</f>
        <v/>
      </c>
      <c r="AC3854">
        <f>RAND()</f>
        <v/>
      </c>
      <c r="AD3854">
        <f>RAND()</f>
        <v/>
      </c>
      <c r="AE3854">
        <f>RAND()</f>
        <v/>
      </c>
      <c r="AF3854">
        <f>RAND()</f>
        <v/>
      </c>
    </row>
    <row r="3855">
      <c r="M3855" s="14">
        <f>_xlfn.BETA.INV($AA3855,1+4*($D$5-$C$5)/($E$5-$C$5),1+4*($E$5-$D$5)/($E$5-$C$5),$C$5,$E$5)</f>
        <v/>
      </c>
      <c r="N3855" s="14">
        <f>IF($AB3855&lt;($D$6-$C$6)/($E$6-$C$6),$C$6+SQRT($AB3855*($E$6-$C$6)*($D$6-$C$6)),$E$6-SQRT((1-$AB3855)*($E$6-$C$6)*($E$6-$D$6)))</f>
        <v/>
      </c>
      <c r="O3855" s="14">
        <f>_xlfn.NORM.INV($AC3855,$C$7,$D$7)</f>
        <v/>
      </c>
      <c r="P3855" s="14">
        <f>$C$8+($D$8-$C$8)*$AD3855</f>
        <v/>
      </c>
      <c r="Q3855" s="14">
        <f>$C$9</f>
        <v/>
      </c>
      <c r="R3855" s="14">
        <f>_xlfn.LOGNORM.INV($AF3855,LN($C$10)-0.5*LN(1+($D$10/$C$10)^2),SQRT(LN(1+($D$10/$C$10)^2)))</f>
        <v/>
      </c>
      <c r="S3855" s="14">
        <f>SUM(M3855:R3855)</f>
        <v/>
      </c>
      <c r="AA3855">
        <f>RAND()</f>
        <v/>
      </c>
      <c r="AB3855">
        <f>RAND()</f>
        <v/>
      </c>
      <c r="AC3855">
        <f>RAND()</f>
        <v/>
      </c>
      <c r="AD3855">
        <f>RAND()</f>
        <v/>
      </c>
      <c r="AE3855">
        <f>RAND()</f>
        <v/>
      </c>
      <c r="AF3855">
        <f>RAND()</f>
        <v/>
      </c>
    </row>
    <row r="3856">
      <c r="M3856" s="14">
        <f>_xlfn.BETA.INV($AA3856,1+4*($D$5-$C$5)/($E$5-$C$5),1+4*($E$5-$D$5)/($E$5-$C$5),$C$5,$E$5)</f>
        <v/>
      </c>
      <c r="N3856" s="14">
        <f>IF($AB3856&lt;($D$6-$C$6)/($E$6-$C$6),$C$6+SQRT($AB3856*($E$6-$C$6)*($D$6-$C$6)),$E$6-SQRT((1-$AB3856)*($E$6-$C$6)*($E$6-$D$6)))</f>
        <v/>
      </c>
      <c r="O3856" s="14">
        <f>_xlfn.NORM.INV($AC3856,$C$7,$D$7)</f>
        <v/>
      </c>
      <c r="P3856" s="14">
        <f>$C$8+($D$8-$C$8)*$AD3856</f>
        <v/>
      </c>
      <c r="Q3856" s="14">
        <f>$C$9</f>
        <v/>
      </c>
      <c r="R3856" s="14">
        <f>_xlfn.LOGNORM.INV($AF3856,LN($C$10)-0.5*LN(1+($D$10/$C$10)^2),SQRT(LN(1+($D$10/$C$10)^2)))</f>
        <v/>
      </c>
      <c r="S3856" s="14">
        <f>SUM(M3856:R3856)</f>
        <v/>
      </c>
      <c r="AA3856">
        <f>RAND()</f>
        <v/>
      </c>
      <c r="AB3856">
        <f>RAND()</f>
        <v/>
      </c>
      <c r="AC3856">
        <f>RAND()</f>
        <v/>
      </c>
      <c r="AD3856">
        <f>RAND()</f>
        <v/>
      </c>
      <c r="AE3856">
        <f>RAND()</f>
        <v/>
      </c>
      <c r="AF3856">
        <f>RAND()</f>
        <v/>
      </c>
    </row>
    <row r="3857">
      <c r="M3857" s="14">
        <f>_xlfn.BETA.INV($AA3857,1+4*($D$5-$C$5)/($E$5-$C$5),1+4*($E$5-$D$5)/($E$5-$C$5),$C$5,$E$5)</f>
        <v/>
      </c>
      <c r="N3857" s="14">
        <f>IF($AB3857&lt;($D$6-$C$6)/($E$6-$C$6),$C$6+SQRT($AB3857*($E$6-$C$6)*($D$6-$C$6)),$E$6-SQRT((1-$AB3857)*($E$6-$C$6)*($E$6-$D$6)))</f>
        <v/>
      </c>
      <c r="O3857" s="14">
        <f>_xlfn.NORM.INV($AC3857,$C$7,$D$7)</f>
        <v/>
      </c>
      <c r="P3857" s="14">
        <f>$C$8+($D$8-$C$8)*$AD3857</f>
        <v/>
      </c>
      <c r="Q3857" s="14">
        <f>$C$9</f>
        <v/>
      </c>
      <c r="R3857" s="14">
        <f>_xlfn.LOGNORM.INV($AF3857,LN($C$10)-0.5*LN(1+($D$10/$C$10)^2),SQRT(LN(1+($D$10/$C$10)^2)))</f>
        <v/>
      </c>
      <c r="S3857" s="14">
        <f>SUM(M3857:R3857)</f>
        <v/>
      </c>
      <c r="AA3857">
        <f>RAND()</f>
        <v/>
      </c>
      <c r="AB3857">
        <f>RAND()</f>
        <v/>
      </c>
      <c r="AC3857">
        <f>RAND()</f>
        <v/>
      </c>
      <c r="AD3857">
        <f>RAND()</f>
        <v/>
      </c>
      <c r="AE3857">
        <f>RAND()</f>
        <v/>
      </c>
      <c r="AF3857">
        <f>RAND()</f>
        <v/>
      </c>
    </row>
    <row r="3858">
      <c r="M3858" s="14">
        <f>_xlfn.BETA.INV($AA3858,1+4*($D$5-$C$5)/($E$5-$C$5),1+4*($E$5-$D$5)/($E$5-$C$5),$C$5,$E$5)</f>
        <v/>
      </c>
      <c r="N3858" s="14">
        <f>IF($AB3858&lt;($D$6-$C$6)/($E$6-$C$6),$C$6+SQRT($AB3858*($E$6-$C$6)*($D$6-$C$6)),$E$6-SQRT((1-$AB3858)*($E$6-$C$6)*($E$6-$D$6)))</f>
        <v/>
      </c>
      <c r="O3858" s="14">
        <f>_xlfn.NORM.INV($AC3858,$C$7,$D$7)</f>
        <v/>
      </c>
      <c r="P3858" s="14">
        <f>$C$8+($D$8-$C$8)*$AD3858</f>
        <v/>
      </c>
      <c r="Q3858" s="14">
        <f>$C$9</f>
        <v/>
      </c>
      <c r="R3858" s="14">
        <f>_xlfn.LOGNORM.INV($AF3858,LN($C$10)-0.5*LN(1+($D$10/$C$10)^2),SQRT(LN(1+($D$10/$C$10)^2)))</f>
        <v/>
      </c>
      <c r="S3858" s="14">
        <f>SUM(M3858:R3858)</f>
        <v/>
      </c>
      <c r="AA3858">
        <f>RAND()</f>
        <v/>
      </c>
      <c r="AB3858">
        <f>RAND()</f>
        <v/>
      </c>
      <c r="AC3858">
        <f>RAND()</f>
        <v/>
      </c>
      <c r="AD3858">
        <f>RAND()</f>
        <v/>
      </c>
      <c r="AE3858">
        <f>RAND()</f>
        <v/>
      </c>
      <c r="AF3858">
        <f>RAND()</f>
        <v/>
      </c>
    </row>
    <row r="3859">
      <c r="M3859" s="14">
        <f>_xlfn.BETA.INV($AA3859,1+4*($D$5-$C$5)/($E$5-$C$5),1+4*($E$5-$D$5)/($E$5-$C$5),$C$5,$E$5)</f>
        <v/>
      </c>
      <c r="N3859" s="14">
        <f>IF($AB3859&lt;($D$6-$C$6)/($E$6-$C$6),$C$6+SQRT($AB3859*($E$6-$C$6)*($D$6-$C$6)),$E$6-SQRT((1-$AB3859)*($E$6-$C$6)*($E$6-$D$6)))</f>
        <v/>
      </c>
      <c r="O3859" s="14">
        <f>_xlfn.NORM.INV($AC3859,$C$7,$D$7)</f>
        <v/>
      </c>
      <c r="P3859" s="14">
        <f>$C$8+($D$8-$C$8)*$AD3859</f>
        <v/>
      </c>
      <c r="Q3859" s="14">
        <f>$C$9</f>
        <v/>
      </c>
      <c r="R3859" s="14">
        <f>_xlfn.LOGNORM.INV($AF3859,LN($C$10)-0.5*LN(1+($D$10/$C$10)^2),SQRT(LN(1+($D$10/$C$10)^2)))</f>
        <v/>
      </c>
      <c r="S3859" s="14">
        <f>SUM(M3859:R3859)</f>
        <v/>
      </c>
      <c r="AA3859">
        <f>RAND()</f>
        <v/>
      </c>
      <c r="AB3859">
        <f>RAND()</f>
        <v/>
      </c>
      <c r="AC3859">
        <f>RAND()</f>
        <v/>
      </c>
      <c r="AD3859">
        <f>RAND()</f>
        <v/>
      </c>
      <c r="AE3859">
        <f>RAND()</f>
        <v/>
      </c>
      <c r="AF3859">
        <f>RAND()</f>
        <v/>
      </c>
    </row>
    <row r="3860">
      <c r="M3860" s="14">
        <f>_xlfn.BETA.INV($AA3860,1+4*($D$5-$C$5)/($E$5-$C$5),1+4*($E$5-$D$5)/($E$5-$C$5),$C$5,$E$5)</f>
        <v/>
      </c>
      <c r="N3860" s="14">
        <f>IF($AB3860&lt;($D$6-$C$6)/($E$6-$C$6),$C$6+SQRT($AB3860*($E$6-$C$6)*($D$6-$C$6)),$E$6-SQRT((1-$AB3860)*($E$6-$C$6)*($E$6-$D$6)))</f>
        <v/>
      </c>
      <c r="O3860" s="14">
        <f>_xlfn.NORM.INV($AC3860,$C$7,$D$7)</f>
        <v/>
      </c>
      <c r="P3860" s="14">
        <f>$C$8+($D$8-$C$8)*$AD3860</f>
        <v/>
      </c>
      <c r="Q3860" s="14">
        <f>$C$9</f>
        <v/>
      </c>
      <c r="R3860" s="14">
        <f>_xlfn.LOGNORM.INV($AF3860,LN($C$10)-0.5*LN(1+($D$10/$C$10)^2),SQRT(LN(1+($D$10/$C$10)^2)))</f>
        <v/>
      </c>
      <c r="S3860" s="14">
        <f>SUM(M3860:R3860)</f>
        <v/>
      </c>
      <c r="AA3860">
        <f>RAND()</f>
        <v/>
      </c>
      <c r="AB3860">
        <f>RAND()</f>
        <v/>
      </c>
      <c r="AC3860">
        <f>RAND()</f>
        <v/>
      </c>
      <c r="AD3860">
        <f>RAND()</f>
        <v/>
      </c>
      <c r="AE3860">
        <f>RAND()</f>
        <v/>
      </c>
      <c r="AF3860">
        <f>RAND()</f>
        <v/>
      </c>
    </row>
    <row r="3861">
      <c r="M3861" s="14">
        <f>_xlfn.BETA.INV($AA3861,1+4*($D$5-$C$5)/($E$5-$C$5),1+4*($E$5-$D$5)/($E$5-$C$5),$C$5,$E$5)</f>
        <v/>
      </c>
      <c r="N3861" s="14">
        <f>IF($AB3861&lt;($D$6-$C$6)/($E$6-$C$6),$C$6+SQRT($AB3861*($E$6-$C$6)*($D$6-$C$6)),$E$6-SQRT((1-$AB3861)*($E$6-$C$6)*($E$6-$D$6)))</f>
        <v/>
      </c>
      <c r="O3861" s="14">
        <f>_xlfn.NORM.INV($AC3861,$C$7,$D$7)</f>
        <v/>
      </c>
      <c r="P3861" s="14">
        <f>$C$8+($D$8-$C$8)*$AD3861</f>
        <v/>
      </c>
      <c r="Q3861" s="14">
        <f>$C$9</f>
        <v/>
      </c>
      <c r="R3861" s="14">
        <f>_xlfn.LOGNORM.INV($AF3861,LN($C$10)-0.5*LN(1+($D$10/$C$10)^2),SQRT(LN(1+($D$10/$C$10)^2)))</f>
        <v/>
      </c>
      <c r="S3861" s="14">
        <f>SUM(M3861:R3861)</f>
        <v/>
      </c>
      <c r="AA3861">
        <f>RAND()</f>
        <v/>
      </c>
      <c r="AB3861">
        <f>RAND()</f>
        <v/>
      </c>
      <c r="AC3861">
        <f>RAND()</f>
        <v/>
      </c>
      <c r="AD3861">
        <f>RAND()</f>
        <v/>
      </c>
      <c r="AE3861">
        <f>RAND()</f>
        <v/>
      </c>
      <c r="AF3861">
        <f>RAND()</f>
        <v/>
      </c>
    </row>
    <row r="3862">
      <c r="M3862" s="14">
        <f>_xlfn.BETA.INV($AA3862,1+4*($D$5-$C$5)/($E$5-$C$5),1+4*($E$5-$D$5)/($E$5-$C$5),$C$5,$E$5)</f>
        <v/>
      </c>
      <c r="N3862" s="14">
        <f>IF($AB3862&lt;($D$6-$C$6)/($E$6-$C$6),$C$6+SQRT($AB3862*($E$6-$C$6)*($D$6-$C$6)),$E$6-SQRT((1-$AB3862)*($E$6-$C$6)*($E$6-$D$6)))</f>
        <v/>
      </c>
      <c r="O3862" s="14">
        <f>_xlfn.NORM.INV($AC3862,$C$7,$D$7)</f>
        <v/>
      </c>
      <c r="P3862" s="14">
        <f>$C$8+($D$8-$C$8)*$AD3862</f>
        <v/>
      </c>
      <c r="Q3862" s="14">
        <f>$C$9</f>
        <v/>
      </c>
      <c r="R3862" s="14">
        <f>_xlfn.LOGNORM.INV($AF3862,LN($C$10)-0.5*LN(1+($D$10/$C$10)^2),SQRT(LN(1+($D$10/$C$10)^2)))</f>
        <v/>
      </c>
      <c r="S3862" s="14">
        <f>SUM(M3862:R3862)</f>
        <v/>
      </c>
      <c r="AA3862">
        <f>RAND()</f>
        <v/>
      </c>
      <c r="AB3862">
        <f>RAND()</f>
        <v/>
      </c>
      <c r="AC3862">
        <f>RAND()</f>
        <v/>
      </c>
      <c r="AD3862">
        <f>RAND()</f>
        <v/>
      </c>
      <c r="AE3862">
        <f>RAND()</f>
        <v/>
      </c>
      <c r="AF3862">
        <f>RAND()</f>
        <v/>
      </c>
    </row>
    <row r="3863">
      <c r="M3863" s="14">
        <f>_xlfn.BETA.INV($AA3863,1+4*($D$5-$C$5)/($E$5-$C$5),1+4*($E$5-$D$5)/($E$5-$C$5),$C$5,$E$5)</f>
        <v/>
      </c>
      <c r="N3863" s="14">
        <f>IF($AB3863&lt;($D$6-$C$6)/($E$6-$C$6),$C$6+SQRT($AB3863*($E$6-$C$6)*($D$6-$C$6)),$E$6-SQRT((1-$AB3863)*($E$6-$C$6)*($E$6-$D$6)))</f>
        <v/>
      </c>
      <c r="O3863" s="14">
        <f>_xlfn.NORM.INV($AC3863,$C$7,$D$7)</f>
        <v/>
      </c>
      <c r="P3863" s="14">
        <f>$C$8+($D$8-$C$8)*$AD3863</f>
        <v/>
      </c>
      <c r="Q3863" s="14">
        <f>$C$9</f>
        <v/>
      </c>
      <c r="R3863" s="14">
        <f>_xlfn.LOGNORM.INV($AF3863,LN($C$10)-0.5*LN(1+($D$10/$C$10)^2),SQRT(LN(1+($D$10/$C$10)^2)))</f>
        <v/>
      </c>
      <c r="S3863" s="14">
        <f>SUM(M3863:R3863)</f>
        <v/>
      </c>
      <c r="AA3863">
        <f>RAND()</f>
        <v/>
      </c>
      <c r="AB3863">
        <f>RAND()</f>
        <v/>
      </c>
      <c r="AC3863">
        <f>RAND()</f>
        <v/>
      </c>
      <c r="AD3863">
        <f>RAND()</f>
        <v/>
      </c>
      <c r="AE3863">
        <f>RAND()</f>
        <v/>
      </c>
      <c r="AF3863">
        <f>RAND()</f>
        <v/>
      </c>
    </row>
    <row r="3864">
      <c r="M3864" s="14">
        <f>_xlfn.BETA.INV($AA3864,1+4*($D$5-$C$5)/($E$5-$C$5),1+4*($E$5-$D$5)/($E$5-$C$5),$C$5,$E$5)</f>
        <v/>
      </c>
      <c r="N3864" s="14">
        <f>IF($AB3864&lt;($D$6-$C$6)/($E$6-$C$6),$C$6+SQRT($AB3864*($E$6-$C$6)*($D$6-$C$6)),$E$6-SQRT((1-$AB3864)*($E$6-$C$6)*($E$6-$D$6)))</f>
        <v/>
      </c>
      <c r="O3864" s="14">
        <f>_xlfn.NORM.INV($AC3864,$C$7,$D$7)</f>
        <v/>
      </c>
      <c r="P3864" s="14">
        <f>$C$8+($D$8-$C$8)*$AD3864</f>
        <v/>
      </c>
      <c r="Q3864" s="14">
        <f>$C$9</f>
        <v/>
      </c>
      <c r="R3864" s="14">
        <f>_xlfn.LOGNORM.INV($AF3864,LN($C$10)-0.5*LN(1+($D$10/$C$10)^2),SQRT(LN(1+($D$10/$C$10)^2)))</f>
        <v/>
      </c>
      <c r="S3864" s="14">
        <f>SUM(M3864:R3864)</f>
        <v/>
      </c>
      <c r="AA3864">
        <f>RAND()</f>
        <v/>
      </c>
      <c r="AB3864">
        <f>RAND()</f>
        <v/>
      </c>
      <c r="AC3864">
        <f>RAND()</f>
        <v/>
      </c>
      <c r="AD3864">
        <f>RAND()</f>
        <v/>
      </c>
      <c r="AE3864">
        <f>RAND()</f>
        <v/>
      </c>
      <c r="AF3864">
        <f>RAND()</f>
        <v/>
      </c>
    </row>
    <row r="3865">
      <c r="M3865" s="14">
        <f>_xlfn.BETA.INV($AA3865,1+4*($D$5-$C$5)/($E$5-$C$5),1+4*($E$5-$D$5)/($E$5-$C$5),$C$5,$E$5)</f>
        <v/>
      </c>
      <c r="N3865" s="14">
        <f>IF($AB3865&lt;($D$6-$C$6)/($E$6-$C$6),$C$6+SQRT($AB3865*($E$6-$C$6)*($D$6-$C$6)),$E$6-SQRT((1-$AB3865)*($E$6-$C$6)*($E$6-$D$6)))</f>
        <v/>
      </c>
      <c r="O3865" s="14">
        <f>_xlfn.NORM.INV($AC3865,$C$7,$D$7)</f>
        <v/>
      </c>
      <c r="P3865" s="14">
        <f>$C$8+($D$8-$C$8)*$AD3865</f>
        <v/>
      </c>
      <c r="Q3865" s="14">
        <f>$C$9</f>
        <v/>
      </c>
      <c r="R3865" s="14">
        <f>_xlfn.LOGNORM.INV($AF3865,LN($C$10)-0.5*LN(1+($D$10/$C$10)^2),SQRT(LN(1+($D$10/$C$10)^2)))</f>
        <v/>
      </c>
      <c r="S3865" s="14">
        <f>SUM(M3865:R3865)</f>
        <v/>
      </c>
      <c r="AA3865">
        <f>RAND()</f>
        <v/>
      </c>
      <c r="AB3865">
        <f>RAND()</f>
        <v/>
      </c>
      <c r="AC3865">
        <f>RAND()</f>
        <v/>
      </c>
      <c r="AD3865">
        <f>RAND()</f>
        <v/>
      </c>
      <c r="AE3865">
        <f>RAND()</f>
        <v/>
      </c>
      <c r="AF3865">
        <f>RAND()</f>
        <v/>
      </c>
    </row>
    <row r="3866">
      <c r="M3866" s="14">
        <f>_xlfn.BETA.INV($AA3866,1+4*($D$5-$C$5)/($E$5-$C$5),1+4*($E$5-$D$5)/($E$5-$C$5),$C$5,$E$5)</f>
        <v/>
      </c>
      <c r="N3866" s="14">
        <f>IF($AB3866&lt;($D$6-$C$6)/($E$6-$C$6),$C$6+SQRT($AB3866*($E$6-$C$6)*($D$6-$C$6)),$E$6-SQRT((1-$AB3866)*($E$6-$C$6)*($E$6-$D$6)))</f>
        <v/>
      </c>
      <c r="O3866" s="14">
        <f>_xlfn.NORM.INV($AC3866,$C$7,$D$7)</f>
        <v/>
      </c>
      <c r="P3866" s="14">
        <f>$C$8+($D$8-$C$8)*$AD3866</f>
        <v/>
      </c>
      <c r="Q3866" s="14">
        <f>$C$9</f>
        <v/>
      </c>
      <c r="R3866" s="14">
        <f>_xlfn.LOGNORM.INV($AF3866,LN($C$10)-0.5*LN(1+($D$10/$C$10)^2),SQRT(LN(1+($D$10/$C$10)^2)))</f>
        <v/>
      </c>
      <c r="S3866" s="14">
        <f>SUM(M3866:R3866)</f>
        <v/>
      </c>
      <c r="AA3866">
        <f>RAND()</f>
        <v/>
      </c>
      <c r="AB3866">
        <f>RAND()</f>
        <v/>
      </c>
      <c r="AC3866">
        <f>RAND()</f>
        <v/>
      </c>
      <c r="AD3866">
        <f>RAND()</f>
        <v/>
      </c>
      <c r="AE3866">
        <f>RAND()</f>
        <v/>
      </c>
      <c r="AF3866">
        <f>RAND()</f>
        <v/>
      </c>
    </row>
    <row r="3867">
      <c r="M3867" s="14">
        <f>_xlfn.BETA.INV($AA3867,1+4*($D$5-$C$5)/($E$5-$C$5),1+4*($E$5-$D$5)/($E$5-$C$5),$C$5,$E$5)</f>
        <v/>
      </c>
      <c r="N3867" s="14">
        <f>IF($AB3867&lt;($D$6-$C$6)/($E$6-$C$6),$C$6+SQRT($AB3867*($E$6-$C$6)*($D$6-$C$6)),$E$6-SQRT((1-$AB3867)*($E$6-$C$6)*($E$6-$D$6)))</f>
        <v/>
      </c>
      <c r="O3867" s="14">
        <f>_xlfn.NORM.INV($AC3867,$C$7,$D$7)</f>
        <v/>
      </c>
      <c r="P3867" s="14">
        <f>$C$8+($D$8-$C$8)*$AD3867</f>
        <v/>
      </c>
      <c r="Q3867" s="14">
        <f>$C$9</f>
        <v/>
      </c>
      <c r="R3867" s="14">
        <f>_xlfn.LOGNORM.INV($AF3867,LN($C$10)-0.5*LN(1+($D$10/$C$10)^2),SQRT(LN(1+($D$10/$C$10)^2)))</f>
        <v/>
      </c>
      <c r="S3867" s="14">
        <f>SUM(M3867:R3867)</f>
        <v/>
      </c>
      <c r="AA3867">
        <f>RAND()</f>
        <v/>
      </c>
      <c r="AB3867">
        <f>RAND()</f>
        <v/>
      </c>
      <c r="AC3867">
        <f>RAND()</f>
        <v/>
      </c>
      <c r="AD3867">
        <f>RAND()</f>
        <v/>
      </c>
      <c r="AE3867">
        <f>RAND()</f>
        <v/>
      </c>
      <c r="AF3867">
        <f>RAND()</f>
        <v/>
      </c>
    </row>
    <row r="3868">
      <c r="M3868" s="14">
        <f>_xlfn.BETA.INV($AA3868,1+4*($D$5-$C$5)/($E$5-$C$5),1+4*($E$5-$D$5)/($E$5-$C$5),$C$5,$E$5)</f>
        <v/>
      </c>
      <c r="N3868" s="14">
        <f>IF($AB3868&lt;($D$6-$C$6)/($E$6-$C$6),$C$6+SQRT($AB3868*($E$6-$C$6)*($D$6-$C$6)),$E$6-SQRT((1-$AB3868)*($E$6-$C$6)*($E$6-$D$6)))</f>
        <v/>
      </c>
      <c r="O3868" s="14">
        <f>_xlfn.NORM.INV($AC3868,$C$7,$D$7)</f>
        <v/>
      </c>
      <c r="P3868" s="14">
        <f>$C$8+($D$8-$C$8)*$AD3868</f>
        <v/>
      </c>
      <c r="Q3868" s="14">
        <f>$C$9</f>
        <v/>
      </c>
      <c r="R3868" s="14">
        <f>_xlfn.LOGNORM.INV($AF3868,LN($C$10)-0.5*LN(1+($D$10/$C$10)^2),SQRT(LN(1+($D$10/$C$10)^2)))</f>
        <v/>
      </c>
      <c r="S3868" s="14">
        <f>SUM(M3868:R3868)</f>
        <v/>
      </c>
      <c r="AA3868">
        <f>RAND()</f>
        <v/>
      </c>
      <c r="AB3868">
        <f>RAND()</f>
        <v/>
      </c>
      <c r="AC3868">
        <f>RAND()</f>
        <v/>
      </c>
      <c r="AD3868">
        <f>RAND()</f>
        <v/>
      </c>
      <c r="AE3868">
        <f>RAND()</f>
        <v/>
      </c>
      <c r="AF3868">
        <f>RAND()</f>
        <v/>
      </c>
    </row>
    <row r="3869">
      <c r="M3869" s="14">
        <f>_xlfn.BETA.INV($AA3869,1+4*($D$5-$C$5)/($E$5-$C$5),1+4*($E$5-$D$5)/($E$5-$C$5),$C$5,$E$5)</f>
        <v/>
      </c>
      <c r="N3869" s="14">
        <f>IF($AB3869&lt;($D$6-$C$6)/($E$6-$C$6),$C$6+SQRT($AB3869*($E$6-$C$6)*($D$6-$C$6)),$E$6-SQRT((1-$AB3869)*($E$6-$C$6)*($E$6-$D$6)))</f>
        <v/>
      </c>
      <c r="O3869" s="14">
        <f>_xlfn.NORM.INV($AC3869,$C$7,$D$7)</f>
        <v/>
      </c>
      <c r="P3869" s="14">
        <f>$C$8+($D$8-$C$8)*$AD3869</f>
        <v/>
      </c>
      <c r="Q3869" s="14">
        <f>$C$9</f>
        <v/>
      </c>
      <c r="R3869" s="14">
        <f>_xlfn.LOGNORM.INV($AF3869,LN($C$10)-0.5*LN(1+($D$10/$C$10)^2),SQRT(LN(1+($D$10/$C$10)^2)))</f>
        <v/>
      </c>
      <c r="S3869" s="14">
        <f>SUM(M3869:R3869)</f>
        <v/>
      </c>
      <c r="AA3869">
        <f>RAND()</f>
        <v/>
      </c>
      <c r="AB3869">
        <f>RAND()</f>
        <v/>
      </c>
      <c r="AC3869">
        <f>RAND()</f>
        <v/>
      </c>
      <c r="AD3869">
        <f>RAND()</f>
        <v/>
      </c>
      <c r="AE3869">
        <f>RAND()</f>
        <v/>
      </c>
      <c r="AF3869">
        <f>RAND()</f>
        <v/>
      </c>
    </row>
    <row r="3870">
      <c r="M3870" s="14">
        <f>_xlfn.BETA.INV($AA3870,1+4*($D$5-$C$5)/($E$5-$C$5),1+4*($E$5-$D$5)/($E$5-$C$5),$C$5,$E$5)</f>
        <v/>
      </c>
      <c r="N3870" s="14">
        <f>IF($AB3870&lt;($D$6-$C$6)/($E$6-$C$6),$C$6+SQRT($AB3870*($E$6-$C$6)*($D$6-$C$6)),$E$6-SQRT((1-$AB3870)*($E$6-$C$6)*($E$6-$D$6)))</f>
        <v/>
      </c>
      <c r="O3870" s="14">
        <f>_xlfn.NORM.INV($AC3870,$C$7,$D$7)</f>
        <v/>
      </c>
      <c r="P3870" s="14">
        <f>$C$8+($D$8-$C$8)*$AD3870</f>
        <v/>
      </c>
      <c r="Q3870" s="14">
        <f>$C$9</f>
        <v/>
      </c>
      <c r="R3870" s="14">
        <f>_xlfn.LOGNORM.INV($AF3870,LN($C$10)-0.5*LN(1+($D$10/$C$10)^2),SQRT(LN(1+($D$10/$C$10)^2)))</f>
        <v/>
      </c>
      <c r="S3870" s="14">
        <f>SUM(M3870:R3870)</f>
        <v/>
      </c>
      <c r="AA3870">
        <f>RAND()</f>
        <v/>
      </c>
      <c r="AB3870">
        <f>RAND()</f>
        <v/>
      </c>
      <c r="AC3870">
        <f>RAND()</f>
        <v/>
      </c>
      <c r="AD3870">
        <f>RAND()</f>
        <v/>
      </c>
      <c r="AE3870">
        <f>RAND()</f>
        <v/>
      </c>
      <c r="AF3870">
        <f>RAND()</f>
        <v/>
      </c>
    </row>
    <row r="3871">
      <c r="M3871" s="14">
        <f>_xlfn.BETA.INV($AA3871,1+4*($D$5-$C$5)/($E$5-$C$5),1+4*($E$5-$D$5)/($E$5-$C$5),$C$5,$E$5)</f>
        <v/>
      </c>
      <c r="N3871" s="14">
        <f>IF($AB3871&lt;($D$6-$C$6)/($E$6-$C$6),$C$6+SQRT($AB3871*($E$6-$C$6)*($D$6-$C$6)),$E$6-SQRT((1-$AB3871)*($E$6-$C$6)*($E$6-$D$6)))</f>
        <v/>
      </c>
      <c r="O3871" s="14">
        <f>_xlfn.NORM.INV($AC3871,$C$7,$D$7)</f>
        <v/>
      </c>
      <c r="P3871" s="14">
        <f>$C$8+($D$8-$C$8)*$AD3871</f>
        <v/>
      </c>
      <c r="Q3871" s="14">
        <f>$C$9</f>
        <v/>
      </c>
      <c r="R3871" s="14">
        <f>_xlfn.LOGNORM.INV($AF3871,LN($C$10)-0.5*LN(1+($D$10/$C$10)^2),SQRT(LN(1+($D$10/$C$10)^2)))</f>
        <v/>
      </c>
      <c r="S3871" s="14">
        <f>SUM(M3871:R3871)</f>
        <v/>
      </c>
      <c r="AA3871">
        <f>RAND()</f>
        <v/>
      </c>
      <c r="AB3871">
        <f>RAND()</f>
        <v/>
      </c>
      <c r="AC3871">
        <f>RAND()</f>
        <v/>
      </c>
      <c r="AD3871">
        <f>RAND()</f>
        <v/>
      </c>
      <c r="AE3871">
        <f>RAND()</f>
        <v/>
      </c>
      <c r="AF3871">
        <f>RAND()</f>
        <v/>
      </c>
    </row>
    <row r="3872">
      <c r="M3872" s="14">
        <f>_xlfn.BETA.INV($AA3872,1+4*($D$5-$C$5)/($E$5-$C$5),1+4*($E$5-$D$5)/($E$5-$C$5),$C$5,$E$5)</f>
        <v/>
      </c>
      <c r="N3872" s="14">
        <f>IF($AB3872&lt;($D$6-$C$6)/($E$6-$C$6),$C$6+SQRT($AB3872*($E$6-$C$6)*($D$6-$C$6)),$E$6-SQRT((1-$AB3872)*($E$6-$C$6)*($E$6-$D$6)))</f>
        <v/>
      </c>
      <c r="O3872" s="14">
        <f>_xlfn.NORM.INV($AC3872,$C$7,$D$7)</f>
        <v/>
      </c>
      <c r="P3872" s="14">
        <f>$C$8+($D$8-$C$8)*$AD3872</f>
        <v/>
      </c>
      <c r="Q3872" s="14">
        <f>$C$9</f>
        <v/>
      </c>
      <c r="R3872" s="14">
        <f>_xlfn.LOGNORM.INV($AF3872,LN($C$10)-0.5*LN(1+($D$10/$C$10)^2),SQRT(LN(1+($D$10/$C$10)^2)))</f>
        <v/>
      </c>
      <c r="S3872" s="14">
        <f>SUM(M3872:R3872)</f>
        <v/>
      </c>
      <c r="AA3872">
        <f>RAND()</f>
        <v/>
      </c>
      <c r="AB3872">
        <f>RAND()</f>
        <v/>
      </c>
      <c r="AC3872">
        <f>RAND()</f>
        <v/>
      </c>
      <c r="AD3872">
        <f>RAND()</f>
        <v/>
      </c>
      <c r="AE3872">
        <f>RAND()</f>
        <v/>
      </c>
      <c r="AF3872">
        <f>RAND()</f>
        <v/>
      </c>
    </row>
    <row r="3873">
      <c r="M3873" s="14">
        <f>_xlfn.BETA.INV($AA3873,1+4*($D$5-$C$5)/($E$5-$C$5),1+4*($E$5-$D$5)/($E$5-$C$5),$C$5,$E$5)</f>
        <v/>
      </c>
      <c r="N3873" s="14">
        <f>IF($AB3873&lt;($D$6-$C$6)/($E$6-$C$6),$C$6+SQRT($AB3873*($E$6-$C$6)*($D$6-$C$6)),$E$6-SQRT((1-$AB3873)*($E$6-$C$6)*($E$6-$D$6)))</f>
        <v/>
      </c>
      <c r="O3873" s="14">
        <f>_xlfn.NORM.INV($AC3873,$C$7,$D$7)</f>
        <v/>
      </c>
      <c r="P3873" s="14">
        <f>$C$8+($D$8-$C$8)*$AD3873</f>
        <v/>
      </c>
      <c r="Q3873" s="14">
        <f>$C$9</f>
        <v/>
      </c>
      <c r="R3873" s="14">
        <f>_xlfn.LOGNORM.INV($AF3873,LN($C$10)-0.5*LN(1+($D$10/$C$10)^2),SQRT(LN(1+($D$10/$C$10)^2)))</f>
        <v/>
      </c>
      <c r="S3873" s="14">
        <f>SUM(M3873:R3873)</f>
        <v/>
      </c>
      <c r="AA3873">
        <f>RAND()</f>
        <v/>
      </c>
      <c r="AB3873">
        <f>RAND()</f>
        <v/>
      </c>
      <c r="AC3873">
        <f>RAND()</f>
        <v/>
      </c>
      <c r="AD3873">
        <f>RAND()</f>
        <v/>
      </c>
      <c r="AE3873">
        <f>RAND()</f>
        <v/>
      </c>
      <c r="AF3873">
        <f>RAND()</f>
        <v/>
      </c>
    </row>
    <row r="3874">
      <c r="M3874" s="14">
        <f>_xlfn.BETA.INV($AA3874,1+4*($D$5-$C$5)/($E$5-$C$5),1+4*($E$5-$D$5)/($E$5-$C$5),$C$5,$E$5)</f>
        <v/>
      </c>
      <c r="N3874" s="14">
        <f>IF($AB3874&lt;($D$6-$C$6)/($E$6-$C$6),$C$6+SQRT($AB3874*($E$6-$C$6)*($D$6-$C$6)),$E$6-SQRT((1-$AB3874)*($E$6-$C$6)*($E$6-$D$6)))</f>
        <v/>
      </c>
      <c r="O3874" s="14">
        <f>_xlfn.NORM.INV($AC3874,$C$7,$D$7)</f>
        <v/>
      </c>
      <c r="P3874" s="14">
        <f>$C$8+($D$8-$C$8)*$AD3874</f>
        <v/>
      </c>
      <c r="Q3874" s="14">
        <f>$C$9</f>
        <v/>
      </c>
      <c r="R3874" s="14">
        <f>_xlfn.LOGNORM.INV($AF3874,LN($C$10)-0.5*LN(1+($D$10/$C$10)^2),SQRT(LN(1+($D$10/$C$10)^2)))</f>
        <v/>
      </c>
      <c r="S3874" s="14">
        <f>SUM(M3874:R3874)</f>
        <v/>
      </c>
      <c r="AA3874">
        <f>RAND()</f>
        <v/>
      </c>
      <c r="AB3874">
        <f>RAND()</f>
        <v/>
      </c>
      <c r="AC3874">
        <f>RAND()</f>
        <v/>
      </c>
      <c r="AD3874">
        <f>RAND()</f>
        <v/>
      </c>
      <c r="AE3874">
        <f>RAND()</f>
        <v/>
      </c>
      <c r="AF3874">
        <f>RAND()</f>
        <v/>
      </c>
    </row>
    <row r="3875">
      <c r="M3875" s="14">
        <f>_xlfn.BETA.INV($AA3875,1+4*($D$5-$C$5)/($E$5-$C$5),1+4*($E$5-$D$5)/($E$5-$C$5),$C$5,$E$5)</f>
        <v/>
      </c>
      <c r="N3875" s="14">
        <f>IF($AB3875&lt;($D$6-$C$6)/($E$6-$C$6),$C$6+SQRT($AB3875*($E$6-$C$6)*($D$6-$C$6)),$E$6-SQRT((1-$AB3875)*($E$6-$C$6)*($E$6-$D$6)))</f>
        <v/>
      </c>
      <c r="O3875" s="14">
        <f>_xlfn.NORM.INV($AC3875,$C$7,$D$7)</f>
        <v/>
      </c>
      <c r="P3875" s="14">
        <f>$C$8+($D$8-$C$8)*$AD3875</f>
        <v/>
      </c>
      <c r="Q3875" s="14">
        <f>$C$9</f>
        <v/>
      </c>
      <c r="R3875" s="14">
        <f>_xlfn.LOGNORM.INV($AF3875,LN($C$10)-0.5*LN(1+($D$10/$C$10)^2),SQRT(LN(1+($D$10/$C$10)^2)))</f>
        <v/>
      </c>
      <c r="S3875" s="14">
        <f>SUM(M3875:R3875)</f>
        <v/>
      </c>
      <c r="AA3875">
        <f>RAND()</f>
        <v/>
      </c>
      <c r="AB3875">
        <f>RAND()</f>
        <v/>
      </c>
      <c r="AC3875">
        <f>RAND()</f>
        <v/>
      </c>
      <c r="AD3875">
        <f>RAND()</f>
        <v/>
      </c>
      <c r="AE3875">
        <f>RAND()</f>
        <v/>
      </c>
      <c r="AF3875">
        <f>RAND()</f>
        <v/>
      </c>
    </row>
    <row r="3876">
      <c r="M3876" s="14">
        <f>_xlfn.BETA.INV($AA3876,1+4*($D$5-$C$5)/($E$5-$C$5),1+4*($E$5-$D$5)/($E$5-$C$5),$C$5,$E$5)</f>
        <v/>
      </c>
      <c r="N3876" s="14">
        <f>IF($AB3876&lt;($D$6-$C$6)/($E$6-$C$6),$C$6+SQRT($AB3876*($E$6-$C$6)*($D$6-$C$6)),$E$6-SQRT((1-$AB3876)*($E$6-$C$6)*($E$6-$D$6)))</f>
        <v/>
      </c>
      <c r="O3876" s="14">
        <f>_xlfn.NORM.INV($AC3876,$C$7,$D$7)</f>
        <v/>
      </c>
      <c r="P3876" s="14">
        <f>$C$8+($D$8-$C$8)*$AD3876</f>
        <v/>
      </c>
      <c r="Q3876" s="14">
        <f>$C$9</f>
        <v/>
      </c>
      <c r="R3876" s="14">
        <f>_xlfn.LOGNORM.INV($AF3876,LN($C$10)-0.5*LN(1+($D$10/$C$10)^2),SQRT(LN(1+($D$10/$C$10)^2)))</f>
        <v/>
      </c>
      <c r="S3876" s="14">
        <f>SUM(M3876:R3876)</f>
        <v/>
      </c>
      <c r="AA3876">
        <f>RAND()</f>
        <v/>
      </c>
      <c r="AB3876">
        <f>RAND()</f>
        <v/>
      </c>
      <c r="AC3876">
        <f>RAND()</f>
        <v/>
      </c>
      <c r="AD3876">
        <f>RAND()</f>
        <v/>
      </c>
      <c r="AE3876">
        <f>RAND()</f>
        <v/>
      </c>
      <c r="AF3876">
        <f>RAND()</f>
        <v/>
      </c>
    </row>
    <row r="3877">
      <c r="M3877" s="14">
        <f>_xlfn.BETA.INV($AA3877,1+4*($D$5-$C$5)/($E$5-$C$5),1+4*($E$5-$D$5)/($E$5-$C$5),$C$5,$E$5)</f>
        <v/>
      </c>
      <c r="N3877" s="14">
        <f>IF($AB3877&lt;($D$6-$C$6)/($E$6-$C$6),$C$6+SQRT($AB3877*($E$6-$C$6)*($D$6-$C$6)),$E$6-SQRT((1-$AB3877)*($E$6-$C$6)*($E$6-$D$6)))</f>
        <v/>
      </c>
      <c r="O3877" s="14">
        <f>_xlfn.NORM.INV($AC3877,$C$7,$D$7)</f>
        <v/>
      </c>
      <c r="P3877" s="14">
        <f>$C$8+($D$8-$C$8)*$AD3877</f>
        <v/>
      </c>
      <c r="Q3877" s="14">
        <f>$C$9</f>
        <v/>
      </c>
      <c r="R3877" s="14">
        <f>_xlfn.LOGNORM.INV($AF3877,LN($C$10)-0.5*LN(1+($D$10/$C$10)^2),SQRT(LN(1+($D$10/$C$10)^2)))</f>
        <v/>
      </c>
      <c r="S3877" s="14">
        <f>SUM(M3877:R3877)</f>
        <v/>
      </c>
      <c r="AA3877">
        <f>RAND()</f>
        <v/>
      </c>
      <c r="AB3877">
        <f>RAND()</f>
        <v/>
      </c>
      <c r="AC3877">
        <f>RAND()</f>
        <v/>
      </c>
      <c r="AD3877">
        <f>RAND()</f>
        <v/>
      </c>
      <c r="AE3877">
        <f>RAND()</f>
        <v/>
      </c>
      <c r="AF3877">
        <f>RAND()</f>
        <v/>
      </c>
    </row>
    <row r="3878">
      <c r="M3878" s="14">
        <f>_xlfn.BETA.INV($AA3878,1+4*($D$5-$C$5)/($E$5-$C$5),1+4*($E$5-$D$5)/($E$5-$C$5),$C$5,$E$5)</f>
        <v/>
      </c>
      <c r="N3878" s="14">
        <f>IF($AB3878&lt;($D$6-$C$6)/($E$6-$C$6),$C$6+SQRT($AB3878*($E$6-$C$6)*($D$6-$C$6)),$E$6-SQRT((1-$AB3878)*($E$6-$C$6)*($E$6-$D$6)))</f>
        <v/>
      </c>
      <c r="O3878" s="14">
        <f>_xlfn.NORM.INV($AC3878,$C$7,$D$7)</f>
        <v/>
      </c>
      <c r="P3878" s="14">
        <f>$C$8+($D$8-$C$8)*$AD3878</f>
        <v/>
      </c>
      <c r="Q3878" s="14">
        <f>$C$9</f>
        <v/>
      </c>
      <c r="R3878" s="14">
        <f>_xlfn.LOGNORM.INV($AF3878,LN($C$10)-0.5*LN(1+($D$10/$C$10)^2),SQRT(LN(1+($D$10/$C$10)^2)))</f>
        <v/>
      </c>
      <c r="S3878" s="14">
        <f>SUM(M3878:R3878)</f>
        <v/>
      </c>
      <c r="AA3878">
        <f>RAND()</f>
        <v/>
      </c>
      <c r="AB3878">
        <f>RAND()</f>
        <v/>
      </c>
      <c r="AC3878">
        <f>RAND()</f>
        <v/>
      </c>
      <c r="AD3878">
        <f>RAND()</f>
        <v/>
      </c>
      <c r="AE3878">
        <f>RAND()</f>
        <v/>
      </c>
      <c r="AF3878">
        <f>RAND()</f>
        <v/>
      </c>
    </row>
    <row r="3879">
      <c r="M3879" s="14">
        <f>_xlfn.BETA.INV($AA3879,1+4*($D$5-$C$5)/($E$5-$C$5),1+4*($E$5-$D$5)/($E$5-$C$5),$C$5,$E$5)</f>
        <v/>
      </c>
      <c r="N3879" s="14">
        <f>IF($AB3879&lt;($D$6-$C$6)/($E$6-$C$6),$C$6+SQRT($AB3879*($E$6-$C$6)*($D$6-$C$6)),$E$6-SQRT((1-$AB3879)*($E$6-$C$6)*($E$6-$D$6)))</f>
        <v/>
      </c>
      <c r="O3879" s="14">
        <f>_xlfn.NORM.INV($AC3879,$C$7,$D$7)</f>
        <v/>
      </c>
      <c r="P3879" s="14">
        <f>$C$8+($D$8-$C$8)*$AD3879</f>
        <v/>
      </c>
      <c r="Q3879" s="14">
        <f>$C$9</f>
        <v/>
      </c>
      <c r="R3879" s="14">
        <f>_xlfn.LOGNORM.INV($AF3879,LN($C$10)-0.5*LN(1+($D$10/$C$10)^2),SQRT(LN(1+($D$10/$C$10)^2)))</f>
        <v/>
      </c>
      <c r="S3879" s="14">
        <f>SUM(M3879:R3879)</f>
        <v/>
      </c>
      <c r="AA3879">
        <f>RAND()</f>
        <v/>
      </c>
      <c r="AB3879">
        <f>RAND()</f>
        <v/>
      </c>
      <c r="AC3879">
        <f>RAND()</f>
        <v/>
      </c>
      <c r="AD3879">
        <f>RAND()</f>
        <v/>
      </c>
      <c r="AE3879">
        <f>RAND()</f>
        <v/>
      </c>
      <c r="AF3879">
        <f>RAND()</f>
        <v/>
      </c>
    </row>
    <row r="3880">
      <c r="M3880" s="14">
        <f>_xlfn.BETA.INV($AA3880,1+4*($D$5-$C$5)/($E$5-$C$5),1+4*($E$5-$D$5)/($E$5-$C$5),$C$5,$E$5)</f>
        <v/>
      </c>
      <c r="N3880" s="14">
        <f>IF($AB3880&lt;($D$6-$C$6)/($E$6-$C$6),$C$6+SQRT($AB3880*($E$6-$C$6)*($D$6-$C$6)),$E$6-SQRT((1-$AB3880)*($E$6-$C$6)*($E$6-$D$6)))</f>
        <v/>
      </c>
      <c r="O3880" s="14">
        <f>_xlfn.NORM.INV($AC3880,$C$7,$D$7)</f>
        <v/>
      </c>
      <c r="P3880" s="14">
        <f>$C$8+($D$8-$C$8)*$AD3880</f>
        <v/>
      </c>
      <c r="Q3880" s="14">
        <f>$C$9</f>
        <v/>
      </c>
      <c r="R3880" s="14">
        <f>_xlfn.LOGNORM.INV($AF3880,LN($C$10)-0.5*LN(1+($D$10/$C$10)^2),SQRT(LN(1+($D$10/$C$10)^2)))</f>
        <v/>
      </c>
      <c r="S3880" s="14">
        <f>SUM(M3880:R3880)</f>
        <v/>
      </c>
      <c r="AA3880">
        <f>RAND()</f>
        <v/>
      </c>
      <c r="AB3880">
        <f>RAND()</f>
        <v/>
      </c>
      <c r="AC3880">
        <f>RAND()</f>
        <v/>
      </c>
      <c r="AD3880">
        <f>RAND()</f>
        <v/>
      </c>
      <c r="AE3880">
        <f>RAND()</f>
        <v/>
      </c>
      <c r="AF3880">
        <f>RAND()</f>
        <v/>
      </c>
    </row>
    <row r="3881">
      <c r="M3881" s="14">
        <f>_xlfn.BETA.INV($AA3881,1+4*($D$5-$C$5)/($E$5-$C$5),1+4*($E$5-$D$5)/($E$5-$C$5),$C$5,$E$5)</f>
        <v/>
      </c>
      <c r="N3881" s="14">
        <f>IF($AB3881&lt;($D$6-$C$6)/($E$6-$C$6),$C$6+SQRT($AB3881*($E$6-$C$6)*($D$6-$C$6)),$E$6-SQRT((1-$AB3881)*($E$6-$C$6)*($E$6-$D$6)))</f>
        <v/>
      </c>
      <c r="O3881" s="14">
        <f>_xlfn.NORM.INV($AC3881,$C$7,$D$7)</f>
        <v/>
      </c>
      <c r="P3881" s="14">
        <f>$C$8+($D$8-$C$8)*$AD3881</f>
        <v/>
      </c>
      <c r="Q3881" s="14">
        <f>$C$9</f>
        <v/>
      </c>
      <c r="R3881" s="14">
        <f>_xlfn.LOGNORM.INV($AF3881,LN($C$10)-0.5*LN(1+($D$10/$C$10)^2),SQRT(LN(1+($D$10/$C$10)^2)))</f>
        <v/>
      </c>
      <c r="S3881" s="14">
        <f>SUM(M3881:R3881)</f>
        <v/>
      </c>
      <c r="AA3881">
        <f>RAND()</f>
        <v/>
      </c>
      <c r="AB3881">
        <f>RAND()</f>
        <v/>
      </c>
      <c r="AC3881">
        <f>RAND()</f>
        <v/>
      </c>
      <c r="AD3881">
        <f>RAND()</f>
        <v/>
      </c>
      <c r="AE3881">
        <f>RAND()</f>
        <v/>
      </c>
      <c r="AF3881">
        <f>RAND()</f>
        <v/>
      </c>
    </row>
    <row r="3882">
      <c r="M3882" s="14">
        <f>_xlfn.BETA.INV($AA3882,1+4*($D$5-$C$5)/($E$5-$C$5),1+4*($E$5-$D$5)/($E$5-$C$5),$C$5,$E$5)</f>
        <v/>
      </c>
      <c r="N3882" s="14">
        <f>IF($AB3882&lt;($D$6-$C$6)/($E$6-$C$6),$C$6+SQRT($AB3882*($E$6-$C$6)*($D$6-$C$6)),$E$6-SQRT((1-$AB3882)*($E$6-$C$6)*($E$6-$D$6)))</f>
        <v/>
      </c>
      <c r="O3882" s="14">
        <f>_xlfn.NORM.INV($AC3882,$C$7,$D$7)</f>
        <v/>
      </c>
      <c r="P3882" s="14">
        <f>$C$8+($D$8-$C$8)*$AD3882</f>
        <v/>
      </c>
      <c r="Q3882" s="14">
        <f>$C$9</f>
        <v/>
      </c>
      <c r="R3882" s="14">
        <f>_xlfn.LOGNORM.INV($AF3882,LN($C$10)-0.5*LN(1+($D$10/$C$10)^2),SQRT(LN(1+($D$10/$C$10)^2)))</f>
        <v/>
      </c>
      <c r="S3882" s="14">
        <f>SUM(M3882:R3882)</f>
        <v/>
      </c>
      <c r="AA3882">
        <f>RAND()</f>
        <v/>
      </c>
      <c r="AB3882">
        <f>RAND()</f>
        <v/>
      </c>
      <c r="AC3882">
        <f>RAND()</f>
        <v/>
      </c>
      <c r="AD3882">
        <f>RAND()</f>
        <v/>
      </c>
      <c r="AE3882">
        <f>RAND()</f>
        <v/>
      </c>
      <c r="AF3882">
        <f>RAND()</f>
        <v/>
      </c>
    </row>
    <row r="3883">
      <c r="M3883" s="14">
        <f>_xlfn.BETA.INV($AA3883,1+4*($D$5-$C$5)/($E$5-$C$5),1+4*($E$5-$D$5)/($E$5-$C$5),$C$5,$E$5)</f>
        <v/>
      </c>
      <c r="N3883" s="14">
        <f>IF($AB3883&lt;($D$6-$C$6)/($E$6-$C$6),$C$6+SQRT($AB3883*($E$6-$C$6)*($D$6-$C$6)),$E$6-SQRT((1-$AB3883)*($E$6-$C$6)*($E$6-$D$6)))</f>
        <v/>
      </c>
      <c r="O3883" s="14">
        <f>_xlfn.NORM.INV($AC3883,$C$7,$D$7)</f>
        <v/>
      </c>
      <c r="P3883" s="14">
        <f>$C$8+($D$8-$C$8)*$AD3883</f>
        <v/>
      </c>
      <c r="Q3883" s="14">
        <f>$C$9</f>
        <v/>
      </c>
      <c r="R3883" s="14">
        <f>_xlfn.LOGNORM.INV($AF3883,LN($C$10)-0.5*LN(1+($D$10/$C$10)^2),SQRT(LN(1+($D$10/$C$10)^2)))</f>
        <v/>
      </c>
      <c r="S3883" s="14">
        <f>SUM(M3883:R3883)</f>
        <v/>
      </c>
      <c r="AA3883">
        <f>RAND()</f>
        <v/>
      </c>
      <c r="AB3883">
        <f>RAND()</f>
        <v/>
      </c>
      <c r="AC3883">
        <f>RAND()</f>
        <v/>
      </c>
      <c r="AD3883">
        <f>RAND()</f>
        <v/>
      </c>
      <c r="AE3883">
        <f>RAND()</f>
        <v/>
      </c>
      <c r="AF3883">
        <f>RAND()</f>
        <v/>
      </c>
    </row>
    <row r="3884">
      <c r="M3884" s="14">
        <f>_xlfn.BETA.INV($AA3884,1+4*($D$5-$C$5)/($E$5-$C$5),1+4*($E$5-$D$5)/($E$5-$C$5),$C$5,$E$5)</f>
        <v/>
      </c>
      <c r="N3884" s="14">
        <f>IF($AB3884&lt;($D$6-$C$6)/($E$6-$C$6),$C$6+SQRT($AB3884*($E$6-$C$6)*($D$6-$C$6)),$E$6-SQRT((1-$AB3884)*($E$6-$C$6)*($E$6-$D$6)))</f>
        <v/>
      </c>
      <c r="O3884" s="14">
        <f>_xlfn.NORM.INV($AC3884,$C$7,$D$7)</f>
        <v/>
      </c>
      <c r="P3884" s="14">
        <f>$C$8+($D$8-$C$8)*$AD3884</f>
        <v/>
      </c>
      <c r="Q3884" s="14">
        <f>$C$9</f>
        <v/>
      </c>
      <c r="R3884" s="14">
        <f>_xlfn.LOGNORM.INV($AF3884,LN($C$10)-0.5*LN(1+($D$10/$C$10)^2),SQRT(LN(1+($D$10/$C$10)^2)))</f>
        <v/>
      </c>
      <c r="S3884" s="14">
        <f>SUM(M3884:R3884)</f>
        <v/>
      </c>
      <c r="AA3884">
        <f>RAND()</f>
        <v/>
      </c>
      <c r="AB3884">
        <f>RAND()</f>
        <v/>
      </c>
      <c r="AC3884">
        <f>RAND()</f>
        <v/>
      </c>
      <c r="AD3884">
        <f>RAND()</f>
        <v/>
      </c>
      <c r="AE3884">
        <f>RAND()</f>
        <v/>
      </c>
      <c r="AF3884">
        <f>RAND()</f>
        <v/>
      </c>
    </row>
    <row r="3885">
      <c r="M3885" s="14">
        <f>_xlfn.BETA.INV($AA3885,1+4*($D$5-$C$5)/($E$5-$C$5),1+4*($E$5-$D$5)/($E$5-$C$5),$C$5,$E$5)</f>
        <v/>
      </c>
      <c r="N3885" s="14">
        <f>IF($AB3885&lt;($D$6-$C$6)/($E$6-$C$6),$C$6+SQRT($AB3885*($E$6-$C$6)*($D$6-$C$6)),$E$6-SQRT((1-$AB3885)*($E$6-$C$6)*($E$6-$D$6)))</f>
        <v/>
      </c>
      <c r="O3885" s="14">
        <f>_xlfn.NORM.INV($AC3885,$C$7,$D$7)</f>
        <v/>
      </c>
      <c r="P3885" s="14">
        <f>$C$8+($D$8-$C$8)*$AD3885</f>
        <v/>
      </c>
      <c r="Q3885" s="14">
        <f>$C$9</f>
        <v/>
      </c>
      <c r="R3885" s="14">
        <f>_xlfn.LOGNORM.INV($AF3885,LN($C$10)-0.5*LN(1+($D$10/$C$10)^2),SQRT(LN(1+($D$10/$C$10)^2)))</f>
        <v/>
      </c>
      <c r="S3885" s="14">
        <f>SUM(M3885:R3885)</f>
        <v/>
      </c>
      <c r="AA3885">
        <f>RAND()</f>
        <v/>
      </c>
      <c r="AB3885">
        <f>RAND()</f>
        <v/>
      </c>
      <c r="AC3885">
        <f>RAND()</f>
        <v/>
      </c>
      <c r="AD3885">
        <f>RAND()</f>
        <v/>
      </c>
      <c r="AE3885">
        <f>RAND()</f>
        <v/>
      </c>
      <c r="AF3885">
        <f>RAND()</f>
        <v/>
      </c>
    </row>
    <row r="3886">
      <c r="M3886" s="14">
        <f>_xlfn.BETA.INV($AA3886,1+4*($D$5-$C$5)/($E$5-$C$5),1+4*($E$5-$D$5)/($E$5-$C$5),$C$5,$E$5)</f>
        <v/>
      </c>
      <c r="N3886" s="14">
        <f>IF($AB3886&lt;($D$6-$C$6)/($E$6-$C$6),$C$6+SQRT($AB3886*($E$6-$C$6)*($D$6-$C$6)),$E$6-SQRT((1-$AB3886)*($E$6-$C$6)*($E$6-$D$6)))</f>
        <v/>
      </c>
      <c r="O3886" s="14">
        <f>_xlfn.NORM.INV($AC3886,$C$7,$D$7)</f>
        <v/>
      </c>
      <c r="P3886" s="14">
        <f>$C$8+($D$8-$C$8)*$AD3886</f>
        <v/>
      </c>
      <c r="Q3886" s="14">
        <f>$C$9</f>
        <v/>
      </c>
      <c r="R3886" s="14">
        <f>_xlfn.LOGNORM.INV($AF3886,LN($C$10)-0.5*LN(1+($D$10/$C$10)^2),SQRT(LN(1+($D$10/$C$10)^2)))</f>
        <v/>
      </c>
      <c r="S3886" s="14">
        <f>SUM(M3886:R3886)</f>
        <v/>
      </c>
      <c r="AA3886">
        <f>RAND()</f>
        <v/>
      </c>
      <c r="AB3886">
        <f>RAND()</f>
        <v/>
      </c>
      <c r="AC3886">
        <f>RAND()</f>
        <v/>
      </c>
      <c r="AD3886">
        <f>RAND()</f>
        <v/>
      </c>
      <c r="AE3886">
        <f>RAND()</f>
        <v/>
      </c>
      <c r="AF3886">
        <f>RAND()</f>
        <v/>
      </c>
    </row>
    <row r="3887">
      <c r="M3887" s="14">
        <f>_xlfn.BETA.INV($AA3887,1+4*($D$5-$C$5)/($E$5-$C$5),1+4*($E$5-$D$5)/($E$5-$C$5),$C$5,$E$5)</f>
        <v/>
      </c>
      <c r="N3887" s="14">
        <f>IF($AB3887&lt;($D$6-$C$6)/($E$6-$C$6),$C$6+SQRT($AB3887*($E$6-$C$6)*($D$6-$C$6)),$E$6-SQRT((1-$AB3887)*($E$6-$C$6)*($E$6-$D$6)))</f>
        <v/>
      </c>
      <c r="O3887" s="14">
        <f>_xlfn.NORM.INV($AC3887,$C$7,$D$7)</f>
        <v/>
      </c>
      <c r="P3887" s="14">
        <f>$C$8+($D$8-$C$8)*$AD3887</f>
        <v/>
      </c>
      <c r="Q3887" s="14">
        <f>$C$9</f>
        <v/>
      </c>
      <c r="R3887" s="14">
        <f>_xlfn.LOGNORM.INV($AF3887,LN($C$10)-0.5*LN(1+($D$10/$C$10)^2),SQRT(LN(1+($D$10/$C$10)^2)))</f>
        <v/>
      </c>
      <c r="S3887" s="14">
        <f>SUM(M3887:R3887)</f>
        <v/>
      </c>
      <c r="AA3887">
        <f>RAND()</f>
        <v/>
      </c>
      <c r="AB3887">
        <f>RAND()</f>
        <v/>
      </c>
      <c r="AC3887">
        <f>RAND()</f>
        <v/>
      </c>
      <c r="AD3887">
        <f>RAND()</f>
        <v/>
      </c>
      <c r="AE3887">
        <f>RAND()</f>
        <v/>
      </c>
      <c r="AF3887">
        <f>RAND()</f>
        <v/>
      </c>
    </row>
    <row r="3888">
      <c r="M3888" s="14">
        <f>_xlfn.BETA.INV($AA3888,1+4*($D$5-$C$5)/($E$5-$C$5),1+4*($E$5-$D$5)/($E$5-$C$5),$C$5,$E$5)</f>
        <v/>
      </c>
      <c r="N3888" s="14">
        <f>IF($AB3888&lt;($D$6-$C$6)/($E$6-$C$6),$C$6+SQRT($AB3888*($E$6-$C$6)*($D$6-$C$6)),$E$6-SQRT((1-$AB3888)*($E$6-$C$6)*($E$6-$D$6)))</f>
        <v/>
      </c>
      <c r="O3888" s="14">
        <f>_xlfn.NORM.INV($AC3888,$C$7,$D$7)</f>
        <v/>
      </c>
      <c r="P3888" s="14">
        <f>$C$8+($D$8-$C$8)*$AD3888</f>
        <v/>
      </c>
      <c r="Q3888" s="14">
        <f>$C$9</f>
        <v/>
      </c>
      <c r="R3888" s="14">
        <f>_xlfn.LOGNORM.INV($AF3888,LN($C$10)-0.5*LN(1+($D$10/$C$10)^2),SQRT(LN(1+($D$10/$C$10)^2)))</f>
        <v/>
      </c>
      <c r="S3888" s="14">
        <f>SUM(M3888:R3888)</f>
        <v/>
      </c>
      <c r="AA3888">
        <f>RAND()</f>
        <v/>
      </c>
      <c r="AB3888">
        <f>RAND()</f>
        <v/>
      </c>
      <c r="AC3888">
        <f>RAND()</f>
        <v/>
      </c>
      <c r="AD3888">
        <f>RAND()</f>
        <v/>
      </c>
      <c r="AE3888">
        <f>RAND()</f>
        <v/>
      </c>
      <c r="AF3888">
        <f>RAND()</f>
        <v/>
      </c>
    </row>
    <row r="3889">
      <c r="M3889" s="14">
        <f>_xlfn.BETA.INV($AA3889,1+4*($D$5-$C$5)/($E$5-$C$5),1+4*($E$5-$D$5)/($E$5-$C$5),$C$5,$E$5)</f>
        <v/>
      </c>
      <c r="N3889" s="14">
        <f>IF($AB3889&lt;($D$6-$C$6)/($E$6-$C$6),$C$6+SQRT($AB3889*($E$6-$C$6)*($D$6-$C$6)),$E$6-SQRT((1-$AB3889)*($E$6-$C$6)*($E$6-$D$6)))</f>
        <v/>
      </c>
      <c r="O3889" s="14">
        <f>_xlfn.NORM.INV($AC3889,$C$7,$D$7)</f>
        <v/>
      </c>
      <c r="P3889" s="14">
        <f>$C$8+($D$8-$C$8)*$AD3889</f>
        <v/>
      </c>
      <c r="Q3889" s="14">
        <f>$C$9</f>
        <v/>
      </c>
      <c r="R3889" s="14">
        <f>_xlfn.LOGNORM.INV($AF3889,LN($C$10)-0.5*LN(1+($D$10/$C$10)^2),SQRT(LN(1+($D$10/$C$10)^2)))</f>
        <v/>
      </c>
      <c r="S3889" s="14">
        <f>SUM(M3889:R3889)</f>
        <v/>
      </c>
      <c r="AA3889">
        <f>RAND()</f>
        <v/>
      </c>
      <c r="AB3889">
        <f>RAND()</f>
        <v/>
      </c>
      <c r="AC3889">
        <f>RAND()</f>
        <v/>
      </c>
      <c r="AD3889">
        <f>RAND()</f>
        <v/>
      </c>
      <c r="AE3889">
        <f>RAND()</f>
        <v/>
      </c>
      <c r="AF3889">
        <f>RAND()</f>
        <v/>
      </c>
    </row>
    <row r="3890">
      <c r="M3890" s="14">
        <f>_xlfn.BETA.INV($AA3890,1+4*($D$5-$C$5)/($E$5-$C$5),1+4*($E$5-$D$5)/($E$5-$C$5),$C$5,$E$5)</f>
        <v/>
      </c>
      <c r="N3890" s="14">
        <f>IF($AB3890&lt;($D$6-$C$6)/($E$6-$C$6),$C$6+SQRT($AB3890*($E$6-$C$6)*($D$6-$C$6)),$E$6-SQRT((1-$AB3890)*($E$6-$C$6)*($E$6-$D$6)))</f>
        <v/>
      </c>
      <c r="O3890" s="14">
        <f>_xlfn.NORM.INV($AC3890,$C$7,$D$7)</f>
        <v/>
      </c>
      <c r="P3890" s="14">
        <f>$C$8+($D$8-$C$8)*$AD3890</f>
        <v/>
      </c>
      <c r="Q3890" s="14">
        <f>$C$9</f>
        <v/>
      </c>
      <c r="R3890" s="14">
        <f>_xlfn.LOGNORM.INV($AF3890,LN($C$10)-0.5*LN(1+($D$10/$C$10)^2),SQRT(LN(1+($D$10/$C$10)^2)))</f>
        <v/>
      </c>
      <c r="S3890" s="14">
        <f>SUM(M3890:R3890)</f>
        <v/>
      </c>
      <c r="AA3890">
        <f>RAND()</f>
        <v/>
      </c>
      <c r="AB3890">
        <f>RAND()</f>
        <v/>
      </c>
      <c r="AC3890">
        <f>RAND()</f>
        <v/>
      </c>
      <c r="AD3890">
        <f>RAND()</f>
        <v/>
      </c>
      <c r="AE3890">
        <f>RAND()</f>
        <v/>
      </c>
      <c r="AF3890">
        <f>RAND()</f>
        <v/>
      </c>
    </row>
    <row r="3891">
      <c r="M3891" s="14">
        <f>_xlfn.BETA.INV($AA3891,1+4*($D$5-$C$5)/($E$5-$C$5),1+4*($E$5-$D$5)/($E$5-$C$5),$C$5,$E$5)</f>
        <v/>
      </c>
      <c r="N3891" s="14">
        <f>IF($AB3891&lt;($D$6-$C$6)/($E$6-$C$6),$C$6+SQRT($AB3891*($E$6-$C$6)*($D$6-$C$6)),$E$6-SQRT((1-$AB3891)*($E$6-$C$6)*($E$6-$D$6)))</f>
        <v/>
      </c>
      <c r="O3891" s="14">
        <f>_xlfn.NORM.INV($AC3891,$C$7,$D$7)</f>
        <v/>
      </c>
      <c r="P3891" s="14">
        <f>$C$8+($D$8-$C$8)*$AD3891</f>
        <v/>
      </c>
      <c r="Q3891" s="14">
        <f>$C$9</f>
        <v/>
      </c>
      <c r="R3891" s="14">
        <f>_xlfn.LOGNORM.INV($AF3891,LN($C$10)-0.5*LN(1+($D$10/$C$10)^2),SQRT(LN(1+($D$10/$C$10)^2)))</f>
        <v/>
      </c>
      <c r="S3891" s="14">
        <f>SUM(M3891:R3891)</f>
        <v/>
      </c>
      <c r="AA3891">
        <f>RAND()</f>
        <v/>
      </c>
      <c r="AB3891">
        <f>RAND()</f>
        <v/>
      </c>
      <c r="AC3891">
        <f>RAND()</f>
        <v/>
      </c>
      <c r="AD3891">
        <f>RAND()</f>
        <v/>
      </c>
      <c r="AE3891">
        <f>RAND()</f>
        <v/>
      </c>
      <c r="AF3891">
        <f>RAND()</f>
        <v/>
      </c>
    </row>
    <row r="3892">
      <c r="M3892" s="14">
        <f>_xlfn.BETA.INV($AA3892,1+4*($D$5-$C$5)/($E$5-$C$5),1+4*($E$5-$D$5)/($E$5-$C$5),$C$5,$E$5)</f>
        <v/>
      </c>
      <c r="N3892" s="14">
        <f>IF($AB3892&lt;($D$6-$C$6)/($E$6-$C$6),$C$6+SQRT($AB3892*($E$6-$C$6)*($D$6-$C$6)),$E$6-SQRT((1-$AB3892)*($E$6-$C$6)*($E$6-$D$6)))</f>
        <v/>
      </c>
      <c r="O3892" s="14">
        <f>_xlfn.NORM.INV($AC3892,$C$7,$D$7)</f>
        <v/>
      </c>
      <c r="P3892" s="14">
        <f>$C$8+($D$8-$C$8)*$AD3892</f>
        <v/>
      </c>
      <c r="Q3892" s="14">
        <f>$C$9</f>
        <v/>
      </c>
      <c r="R3892" s="14">
        <f>_xlfn.LOGNORM.INV($AF3892,LN($C$10)-0.5*LN(1+($D$10/$C$10)^2),SQRT(LN(1+($D$10/$C$10)^2)))</f>
        <v/>
      </c>
      <c r="S3892" s="14">
        <f>SUM(M3892:R3892)</f>
        <v/>
      </c>
      <c r="AA3892">
        <f>RAND()</f>
        <v/>
      </c>
      <c r="AB3892">
        <f>RAND()</f>
        <v/>
      </c>
      <c r="AC3892">
        <f>RAND()</f>
        <v/>
      </c>
      <c r="AD3892">
        <f>RAND()</f>
        <v/>
      </c>
      <c r="AE3892">
        <f>RAND()</f>
        <v/>
      </c>
      <c r="AF3892">
        <f>RAND()</f>
        <v/>
      </c>
    </row>
    <row r="3893">
      <c r="M3893" s="14">
        <f>_xlfn.BETA.INV($AA3893,1+4*($D$5-$C$5)/($E$5-$C$5),1+4*($E$5-$D$5)/($E$5-$C$5),$C$5,$E$5)</f>
        <v/>
      </c>
      <c r="N3893" s="14">
        <f>IF($AB3893&lt;($D$6-$C$6)/($E$6-$C$6),$C$6+SQRT($AB3893*($E$6-$C$6)*($D$6-$C$6)),$E$6-SQRT((1-$AB3893)*($E$6-$C$6)*($E$6-$D$6)))</f>
        <v/>
      </c>
      <c r="O3893" s="14">
        <f>_xlfn.NORM.INV($AC3893,$C$7,$D$7)</f>
        <v/>
      </c>
      <c r="P3893" s="14">
        <f>$C$8+($D$8-$C$8)*$AD3893</f>
        <v/>
      </c>
      <c r="Q3893" s="14">
        <f>$C$9</f>
        <v/>
      </c>
      <c r="R3893" s="14">
        <f>_xlfn.LOGNORM.INV($AF3893,LN($C$10)-0.5*LN(1+($D$10/$C$10)^2),SQRT(LN(1+($D$10/$C$10)^2)))</f>
        <v/>
      </c>
      <c r="S3893" s="14">
        <f>SUM(M3893:R3893)</f>
        <v/>
      </c>
      <c r="AA3893">
        <f>RAND()</f>
        <v/>
      </c>
      <c r="AB3893">
        <f>RAND()</f>
        <v/>
      </c>
      <c r="AC3893">
        <f>RAND()</f>
        <v/>
      </c>
      <c r="AD3893">
        <f>RAND()</f>
        <v/>
      </c>
      <c r="AE3893">
        <f>RAND()</f>
        <v/>
      </c>
      <c r="AF3893">
        <f>RAND()</f>
        <v/>
      </c>
    </row>
    <row r="3894">
      <c r="M3894" s="14">
        <f>_xlfn.BETA.INV($AA3894,1+4*($D$5-$C$5)/($E$5-$C$5),1+4*($E$5-$D$5)/($E$5-$C$5),$C$5,$E$5)</f>
        <v/>
      </c>
      <c r="N3894" s="14">
        <f>IF($AB3894&lt;($D$6-$C$6)/($E$6-$C$6),$C$6+SQRT($AB3894*($E$6-$C$6)*($D$6-$C$6)),$E$6-SQRT((1-$AB3894)*($E$6-$C$6)*($E$6-$D$6)))</f>
        <v/>
      </c>
      <c r="O3894" s="14">
        <f>_xlfn.NORM.INV($AC3894,$C$7,$D$7)</f>
        <v/>
      </c>
      <c r="P3894" s="14">
        <f>$C$8+($D$8-$C$8)*$AD3894</f>
        <v/>
      </c>
      <c r="Q3894" s="14">
        <f>$C$9</f>
        <v/>
      </c>
      <c r="R3894" s="14">
        <f>_xlfn.LOGNORM.INV($AF3894,LN($C$10)-0.5*LN(1+($D$10/$C$10)^2),SQRT(LN(1+($D$10/$C$10)^2)))</f>
        <v/>
      </c>
      <c r="S3894" s="14">
        <f>SUM(M3894:R3894)</f>
        <v/>
      </c>
      <c r="AA3894">
        <f>RAND()</f>
        <v/>
      </c>
      <c r="AB3894">
        <f>RAND()</f>
        <v/>
      </c>
      <c r="AC3894">
        <f>RAND()</f>
        <v/>
      </c>
      <c r="AD3894">
        <f>RAND()</f>
        <v/>
      </c>
      <c r="AE3894">
        <f>RAND()</f>
        <v/>
      </c>
      <c r="AF3894">
        <f>RAND()</f>
        <v/>
      </c>
    </row>
    <row r="3895">
      <c r="M3895" s="14">
        <f>_xlfn.BETA.INV($AA3895,1+4*($D$5-$C$5)/($E$5-$C$5),1+4*($E$5-$D$5)/($E$5-$C$5),$C$5,$E$5)</f>
        <v/>
      </c>
      <c r="N3895" s="14">
        <f>IF($AB3895&lt;($D$6-$C$6)/($E$6-$C$6),$C$6+SQRT($AB3895*($E$6-$C$6)*($D$6-$C$6)),$E$6-SQRT((1-$AB3895)*($E$6-$C$6)*($E$6-$D$6)))</f>
        <v/>
      </c>
      <c r="O3895" s="14">
        <f>_xlfn.NORM.INV($AC3895,$C$7,$D$7)</f>
        <v/>
      </c>
      <c r="P3895" s="14">
        <f>$C$8+($D$8-$C$8)*$AD3895</f>
        <v/>
      </c>
      <c r="Q3895" s="14">
        <f>$C$9</f>
        <v/>
      </c>
      <c r="R3895" s="14">
        <f>_xlfn.LOGNORM.INV($AF3895,LN($C$10)-0.5*LN(1+($D$10/$C$10)^2),SQRT(LN(1+($D$10/$C$10)^2)))</f>
        <v/>
      </c>
      <c r="S3895" s="14">
        <f>SUM(M3895:R3895)</f>
        <v/>
      </c>
      <c r="AA3895">
        <f>RAND()</f>
        <v/>
      </c>
      <c r="AB3895">
        <f>RAND()</f>
        <v/>
      </c>
      <c r="AC3895">
        <f>RAND()</f>
        <v/>
      </c>
      <c r="AD3895">
        <f>RAND()</f>
        <v/>
      </c>
      <c r="AE3895">
        <f>RAND()</f>
        <v/>
      </c>
      <c r="AF3895">
        <f>RAND()</f>
        <v/>
      </c>
    </row>
    <row r="3896">
      <c r="M3896" s="14">
        <f>_xlfn.BETA.INV($AA3896,1+4*($D$5-$C$5)/($E$5-$C$5),1+4*($E$5-$D$5)/($E$5-$C$5),$C$5,$E$5)</f>
        <v/>
      </c>
      <c r="N3896" s="14">
        <f>IF($AB3896&lt;($D$6-$C$6)/($E$6-$C$6),$C$6+SQRT($AB3896*($E$6-$C$6)*($D$6-$C$6)),$E$6-SQRT((1-$AB3896)*($E$6-$C$6)*($E$6-$D$6)))</f>
        <v/>
      </c>
      <c r="O3896" s="14">
        <f>_xlfn.NORM.INV($AC3896,$C$7,$D$7)</f>
        <v/>
      </c>
      <c r="P3896" s="14">
        <f>$C$8+($D$8-$C$8)*$AD3896</f>
        <v/>
      </c>
      <c r="Q3896" s="14">
        <f>$C$9</f>
        <v/>
      </c>
      <c r="R3896" s="14">
        <f>_xlfn.LOGNORM.INV($AF3896,LN($C$10)-0.5*LN(1+($D$10/$C$10)^2),SQRT(LN(1+($D$10/$C$10)^2)))</f>
        <v/>
      </c>
      <c r="S3896" s="14">
        <f>SUM(M3896:R3896)</f>
        <v/>
      </c>
      <c r="AA3896">
        <f>RAND()</f>
        <v/>
      </c>
      <c r="AB3896">
        <f>RAND()</f>
        <v/>
      </c>
      <c r="AC3896">
        <f>RAND()</f>
        <v/>
      </c>
      <c r="AD3896">
        <f>RAND()</f>
        <v/>
      </c>
      <c r="AE3896">
        <f>RAND()</f>
        <v/>
      </c>
      <c r="AF3896">
        <f>RAND()</f>
        <v/>
      </c>
    </row>
    <row r="3897">
      <c r="M3897" s="14">
        <f>_xlfn.BETA.INV($AA3897,1+4*($D$5-$C$5)/($E$5-$C$5),1+4*($E$5-$D$5)/($E$5-$C$5),$C$5,$E$5)</f>
        <v/>
      </c>
      <c r="N3897" s="14">
        <f>IF($AB3897&lt;($D$6-$C$6)/($E$6-$C$6),$C$6+SQRT($AB3897*($E$6-$C$6)*($D$6-$C$6)),$E$6-SQRT((1-$AB3897)*($E$6-$C$6)*($E$6-$D$6)))</f>
        <v/>
      </c>
      <c r="O3897" s="14">
        <f>_xlfn.NORM.INV($AC3897,$C$7,$D$7)</f>
        <v/>
      </c>
      <c r="P3897" s="14">
        <f>$C$8+($D$8-$C$8)*$AD3897</f>
        <v/>
      </c>
      <c r="Q3897" s="14">
        <f>$C$9</f>
        <v/>
      </c>
      <c r="R3897" s="14">
        <f>_xlfn.LOGNORM.INV($AF3897,LN($C$10)-0.5*LN(1+($D$10/$C$10)^2),SQRT(LN(1+($D$10/$C$10)^2)))</f>
        <v/>
      </c>
      <c r="S3897" s="14">
        <f>SUM(M3897:R3897)</f>
        <v/>
      </c>
      <c r="AA3897">
        <f>RAND()</f>
        <v/>
      </c>
      <c r="AB3897">
        <f>RAND()</f>
        <v/>
      </c>
      <c r="AC3897">
        <f>RAND()</f>
        <v/>
      </c>
      <c r="AD3897">
        <f>RAND()</f>
        <v/>
      </c>
      <c r="AE3897">
        <f>RAND()</f>
        <v/>
      </c>
      <c r="AF3897">
        <f>RAND()</f>
        <v/>
      </c>
    </row>
    <row r="3898">
      <c r="M3898" s="14">
        <f>_xlfn.BETA.INV($AA3898,1+4*($D$5-$C$5)/($E$5-$C$5),1+4*($E$5-$D$5)/($E$5-$C$5),$C$5,$E$5)</f>
        <v/>
      </c>
      <c r="N3898" s="14">
        <f>IF($AB3898&lt;($D$6-$C$6)/($E$6-$C$6),$C$6+SQRT($AB3898*($E$6-$C$6)*($D$6-$C$6)),$E$6-SQRT((1-$AB3898)*($E$6-$C$6)*($E$6-$D$6)))</f>
        <v/>
      </c>
      <c r="O3898" s="14">
        <f>_xlfn.NORM.INV($AC3898,$C$7,$D$7)</f>
        <v/>
      </c>
      <c r="P3898" s="14">
        <f>$C$8+($D$8-$C$8)*$AD3898</f>
        <v/>
      </c>
      <c r="Q3898" s="14">
        <f>$C$9</f>
        <v/>
      </c>
      <c r="R3898" s="14">
        <f>_xlfn.LOGNORM.INV($AF3898,LN($C$10)-0.5*LN(1+($D$10/$C$10)^2),SQRT(LN(1+($D$10/$C$10)^2)))</f>
        <v/>
      </c>
      <c r="S3898" s="14">
        <f>SUM(M3898:R3898)</f>
        <v/>
      </c>
      <c r="AA3898">
        <f>RAND()</f>
        <v/>
      </c>
      <c r="AB3898">
        <f>RAND()</f>
        <v/>
      </c>
      <c r="AC3898">
        <f>RAND()</f>
        <v/>
      </c>
      <c r="AD3898">
        <f>RAND()</f>
        <v/>
      </c>
      <c r="AE3898">
        <f>RAND()</f>
        <v/>
      </c>
      <c r="AF3898">
        <f>RAND()</f>
        <v/>
      </c>
    </row>
    <row r="3899">
      <c r="M3899" s="14">
        <f>_xlfn.BETA.INV($AA3899,1+4*($D$5-$C$5)/($E$5-$C$5),1+4*($E$5-$D$5)/($E$5-$C$5),$C$5,$E$5)</f>
        <v/>
      </c>
      <c r="N3899" s="14">
        <f>IF($AB3899&lt;($D$6-$C$6)/($E$6-$C$6),$C$6+SQRT($AB3899*($E$6-$C$6)*($D$6-$C$6)),$E$6-SQRT((1-$AB3899)*($E$6-$C$6)*($E$6-$D$6)))</f>
        <v/>
      </c>
      <c r="O3899" s="14">
        <f>_xlfn.NORM.INV($AC3899,$C$7,$D$7)</f>
        <v/>
      </c>
      <c r="P3899" s="14">
        <f>$C$8+($D$8-$C$8)*$AD3899</f>
        <v/>
      </c>
      <c r="Q3899" s="14">
        <f>$C$9</f>
        <v/>
      </c>
      <c r="R3899" s="14">
        <f>_xlfn.LOGNORM.INV($AF3899,LN($C$10)-0.5*LN(1+($D$10/$C$10)^2),SQRT(LN(1+($D$10/$C$10)^2)))</f>
        <v/>
      </c>
      <c r="S3899" s="14">
        <f>SUM(M3899:R3899)</f>
        <v/>
      </c>
      <c r="AA3899">
        <f>RAND()</f>
        <v/>
      </c>
      <c r="AB3899">
        <f>RAND()</f>
        <v/>
      </c>
      <c r="AC3899">
        <f>RAND()</f>
        <v/>
      </c>
      <c r="AD3899">
        <f>RAND()</f>
        <v/>
      </c>
      <c r="AE3899">
        <f>RAND()</f>
        <v/>
      </c>
      <c r="AF3899">
        <f>RAND()</f>
        <v/>
      </c>
    </row>
    <row r="3900">
      <c r="M3900" s="14">
        <f>_xlfn.BETA.INV($AA3900,1+4*($D$5-$C$5)/($E$5-$C$5),1+4*($E$5-$D$5)/($E$5-$C$5),$C$5,$E$5)</f>
        <v/>
      </c>
      <c r="N3900" s="14">
        <f>IF($AB3900&lt;($D$6-$C$6)/($E$6-$C$6),$C$6+SQRT($AB3900*($E$6-$C$6)*($D$6-$C$6)),$E$6-SQRT((1-$AB3900)*($E$6-$C$6)*($E$6-$D$6)))</f>
        <v/>
      </c>
      <c r="O3900" s="14">
        <f>_xlfn.NORM.INV($AC3900,$C$7,$D$7)</f>
        <v/>
      </c>
      <c r="P3900" s="14">
        <f>$C$8+($D$8-$C$8)*$AD3900</f>
        <v/>
      </c>
      <c r="Q3900" s="14">
        <f>$C$9</f>
        <v/>
      </c>
      <c r="R3900" s="14">
        <f>_xlfn.LOGNORM.INV($AF3900,LN($C$10)-0.5*LN(1+($D$10/$C$10)^2),SQRT(LN(1+($D$10/$C$10)^2)))</f>
        <v/>
      </c>
      <c r="S3900" s="14">
        <f>SUM(M3900:R3900)</f>
        <v/>
      </c>
      <c r="AA3900">
        <f>RAND()</f>
        <v/>
      </c>
      <c r="AB3900">
        <f>RAND()</f>
        <v/>
      </c>
      <c r="AC3900">
        <f>RAND()</f>
        <v/>
      </c>
      <c r="AD3900">
        <f>RAND()</f>
        <v/>
      </c>
      <c r="AE3900">
        <f>RAND()</f>
        <v/>
      </c>
      <c r="AF3900">
        <f>RAND()</f>
        <v/>
      </c>
    </row>
    <row r="3901">
      <c r="M3901" s="14">
        <f>_xlfn.BETA.INV($AA3901,1+4*($D$5-$C$5)/($E$5-$C$5),1+4*($E$5-$D$5)/($E$5-$C$5),$C$5,$E$5)</f>
        <v/>
      </c>
      <c r="N3901" s="14">
        <f>IF($AB3901&lt;($D$6-$C$6)/($E$6-$C$6),$C$6+SQRT($AB3901*($E$6-$C$6)*($D$6-$C$6)),$E$6-SQRT((1-$AB3901)*($E$6-$C$6)*($E$6-$D$6)))</f>
        <v/>
      </c>
      <c r="O3901" s="14">
        <f>_xlfn.NORM.INV($AC3901,$C$7,$D$7)</f>
        <v/>
      </c>
      <c r="P3901" s="14">
        <f>$C$8+($D$8-$C$8)*$AD3901</f>
        <v/>
      </c>
      <c r="Q3901" s="14">
        <f>$C$9</f>
        <v/>
      </c>
      <c r="R3901" s="14">
        <f>_xlfn.LOGNORM.INV($AF3901,LN($C$10)-0.5*LN(1+($D$10/$C$10)^2),SQRT(LN(1+($D$10/$C$10)^2)))</f>
        <v/>
      </c>
      <c r="S3901" s="14">
        <f>SUM(M3901:R3901)</f>
        <v/>
      </c>
      <c r="AA3901">
        <f>RAND()</f>
        <v/>
      </c>
      <c r="AB3901">
        <f>RAND()</f>
        <v/>
      </c>
      <c r="AC3901">
        <f>RAND()</f>
        <v/>
      </c>
      <c r="AD3901">
        <f>RAND()</f>
        <v/>
      </c>
      <c r="AE3901">
        <f>RAND()</f>
        <v/>
      </c>
      <c r="AF3901">
        <f>RAND()</f>
        <v/>
      </c>
    </row>
    <row r="3902">
      <c r="M3902" s="14">
        <f>_xlfn.BETA.INV($AA3902,1+4*($D$5-$C$5)/($E$5-$C$5),1+4*($E$5-$D$5)/($E$5-$C$5),$C$5,$E$5)</f>
        <v/>
      </c>
      <c r="N3902" s="14">
        <f>IF($AB3902&lt;($D$6-$C$6)/($E$6-$C$6),$C$6+SQRT($AB3902*($E$6-$C$6)*($D$6-$C$6)),$E$6-SQRT((1-$AB3902)*($E$6-$C$6)*($E$6-$D$6)))</f>
        <v/>
      </c>
      <c r="O3902" s="14">
        <f>_xlfn.NORM.INV($AC3902,$C$7,$D$7)</f>
        <v/>
      </c>
      <c r="P3902" s="14">
        <f>$C$8+($D$8-$C$8)*$AD3902</f>
        <v/>
      </c>
      <c r="Q3902" s="14">
        <f>$C$9</f>
        <v/>
      </c>
      <c r="R3902" s="14">
        <f>_xlfn.LOGNORM.INV($AF3902,LN($C$10)-0.5*LN(1+($D$10/$C$10)^2),SQRT(LN(1+($D$10/$C$10)^2)))</f>
        <v/>
      </c>
      <c r="S3902" s="14">
        <f>SUM(M3902:R3902)</f>
        <v/>
      </c>
      <c r="AA3902">
        <f>RAND()</f>
        <v/>
      </c>
      <c r="AB3902">
        <f>RAND()</f>
        <v/>
      </c>
      <c r="AC3902">
        <f>RAND()</f>
        <v/>
      </c>
      <c r="AD3902">
        <f>RAND()</f>
        <v/>
      </c>
      <c r="AE3902">
        <f>RAND()</f>
        <v/>
      </c>
      <c r="AF3902">
        <f>RAND()</f>
        <v/>
      </c>
    </row>
    <row r="3903">
      <c r="M3903" s="14">
        <f>_xlfn.BETA.INV($AA3903,1+4*($D$5-$C$5)/($E$5-$C$5),1+4*($E$5-$D$5)/($E$5-$C$5),$C$5,$E$5)</f>
        <v/>
      </c>
      <c r="N3903" s="14">
        <f>IF($AB3903&lt;($D$6-$C$6)/($E$6-$C$6),$C$6+SQRT($AB3903*($E$6-$C$6)*($D$6-$C$6)),$E$6-SQRT((1-$AB3903)*($E$6-$C$6)*($E$6-$D$6)))</f>
        <v/>
      </c>
      <c r="O3903" s="14">
        <f>_xlfn.NORM.INV($AC3903,$C$7,$D$7)</f>
        <v/>
      </c>
      <c r="P3903" s="14">
        <f>$C$8+($D$8-$C$8)*$AD3903</f>
        <v/>
      </c>
      <c r="Q3903" s="14">
        <f>$C$9</f>
        <v/>
      </c>
      <c r="R3903" s="14">
        <f>_xlfn.LOGNORM.INV($AF3903,LN($C$10)-0.5*LN(1+($D$10/$C$10)^2),SQRT(LN(1+($D$10/$C$10)^2)))</f>
        <v/>
      </c>
      <c r="S3903" s="14">
        <f>SUM(M3903:R3903)</f>
        <v/>
      </c>
      <c r="AA3903">
        <f>RAND()</f>
        <v/>
      </c>
      <c r="AB3903">
        <f>RAND()</f>
        <v/>
      </c>
      <c r="AC3903">
        <f>RAND()</f>
        <v/>
      </c>
      <c r="AD3903">
        <f>RAND()</f>
        <v/>
      </c>
      <c r="AE3903">
        <f>RAND()</f>
        <v/>
      </c>
      <c r="AF3903">
        <f>RAND()</f>
        <v/>
      </c>
    </row>
    <row r="3904">
      <c r="M3904" s="14">
        <f>_xlfn.BETA.INV($AA3904,1+4*($D$5-$C$5)/($E$5-$C$5),1+4*($E$5-$D$5)/($E$5-$C$5),$C$5,$E$5)</f>
        <v/>
      </c>
      <c r="N3904" s="14">
        <f>IF($AB3904&lt;($D$6-$C$6)/($E$6-$C$6),$C$6+SQRT($AB3904*($E$6-$C$6)*($D$6-$C$6)),$E$6-SQRT((1-$AB3904)*($E$6-$C$6)*($E$6-$D$6)))</f>
        <v/>
      </c>
      <c r="O3904" s="14">
        <f>_xlfn.NORM.INV($AC3904,$C$7,$D$7)</f>
        <v/>
      </c>
      <c r="P3904" s="14">
        <f>$C$8+($D$8-$C$8)*$AD3904</f>
        <v/>
      </c>
      <c r="Q3904" s="14">
        <f>$C$9</f>
        <v/>
      </c>
      <c r="R3904" s="14">
        <f>_xlfn.LOGNORM.INV($AF3904,LN($C$10)-0.5*LN(1+($D$10/$C$10)^2),SQRT(LN(1+($D$10/$C$10)^2)))</f>
        <v/>
      </c>
      <c r="S3904" s="14">
        <f>SUM(M3904:R3904)</f>
        <v/>
      </c>
      <c r="AA3904">
        <f>RAND()</f>
        <v/>
      </c>
      <c r="AB3904">
        <f>RAND()</f>
        <v/>
      </c>
      <c r="AC3904">
        <f>RAND()</f>
        <v/>
      </c>
      <c r="AD3904">
        <f>RAND()</f>
        <v/>
      </c>
      <c r="AE3904">
        <f>RAND()</f>
        <v/>
      </c>
      <c r="AF3904">
        <f>RAND()</f>
        <v/>
      </c>
    </row>
    <row r="3905">
      <c r="M3905" s="14">
        <f>_xlfn.BETA.INV($AA3905,1+4*($D$5-$C$5)/($E$5-$C$5),1+4*($E$5-$D$5)/($E$5-$C$5),$C$5,$E$5)</f>
        <v/>
      </c>
      <c r="N3905" s="14">
        <f>IF($AB3905&lt;($D$6-$C$6)/($E$6-$C$6),$C$6+SQRT($AB3905*($E$6-$C$6)*($D$6-$C$6)),$E$6-SQRT((1-$AB3905)*($E$6-$C$6)*($E$6-$D$6)))</f>
        <v/>
      </c>
      <c r="O3905" s="14">
        <f>_xlfn.NORM.INV($AC3905,$C$7,$D$7)</f>
        <v/>
      </c>
      <c r="P3905" s="14">
        <f>$C$8+($D$8-$C$8)*$AD3905</f>
        <v/>
      </c>
      <c r="Q3905" s="14">
        <f>$C$9</f>
        <v/>
      </c>
      <c r="R3905" s="14">
        <f>_xlfn.LOGNORM.INV($AF3905,LN($C$10)-0.5*LN(1+($D$10/$C$10)^2),SQRT(LN(1+($D$10/$C$10)^2)))</f>
        <v/>
      </c>
      <c r="S3905" s="14">
        <f>SUM(M3905:R3905)</f>
        <v/>
      </c>
      <c r="AA3905">
        <f>RAND()</f>
        <v/>
      </c>
      <c r="AB3905">
        <f>RAND()</f>
        <v/>
      </c>
      <c r="AC3905">
        <f>RAND()</f>
        <v/>
      </c>
      <c r="AD3905">
        <f>RAND()</f>
        <v/>
      </c>
      <c r="AE3905">
        <f>RAND()</f>
        <v/>
      </c>
      <c r="AF3905">
        <f>RAND()</f>
        <v/>
      </c>
    </row>
    <row r="3906">
      <c r="M3906" s="14">
        <f>_xlfn.BETA.INV($AA3906,1+4*($D$5-$C$5)/($E$5-$C$5),1+4*($E$5-$D$5)/($E$5-$C$5),$C$5,$E$5)</f>
        <v/>
      </c>
      <c r="N3906" s="14">
        <f>IF($AB3906&lt;($D$6-$C$6)/($E$6-$C$6),$C$6+SQRT($AB3906*($E$6-$C$6)*($D$6-$C$6)),$E$6-SQRT((1-$AB3906)*($E$6-$C$6)*($E$6-$D$6)))</f>
        <v/>
      </c>
      <c r="O3906" s="14">
        <f>_xlfn.NORM.INV($AC3906,$C$7,$D$7)</f>
        <v/>
      </c>
      <c r="P3906" s="14">
        <f>$C$8+($D$8-$C$8)*$AD3906</f>
        <v/>
      </c>
      <c r="Q3906" s="14">
        <f>$C$9</f>
        <v/>
      </c>
      <c r="R3906" s="14">
        <f>_xlfn.LOGNORM.INV($AF3906,LN($C$10)-0.5*LN(1+($D$10/$C$10)^2),SQRT(LN(1+($D$10/$C$10)^2)))</f>
        <v/>
      </c>
      <c r="S3906" s="14">
        <f>SUM(M3906:R3906)</f>
        <v/>
      </c>
      <c r="AA3906">
        <f>RAND()</f>
        <v/>
      </c>
      <c r="AB3906">
        <f>RAND()</f>
        <v/>
      </c>
      <c r="AC3906">
        <f>RAND()</f>
        <v/>
      </c>
      <c r="AD3906">
        <f>RAND()</f>
        <v/>
      </c>
      <c r="AE3906">
        <f>RAND()</f>
        <v/>
      </c>
      <c r="AF3906">
        <f>RAND()</f>
        <v/>
      </c>
    </row>
    <row r="3907">
      <c r="M3907" s="14">
        <f>_xlfn.BETA.INV($AA3907,1+4*($D$5-$C$5)/($E$5-$C$5),1+4*($E$5-$D$5)/($E$5-$C$5),$C$5,$E$5)</f>
        <v/>
      </c>
      <c r="N3907" s="14">
        <f>IF($AB3907&lt;($D$6-$C$6)/($E$6-$C$6),$C$6+SQRT($AB3907*($E$6-$C$6)*($D$6-$C$6)),$E$6-SQRT((1-$AB3907)*($E$6-$C$6)*($E$6-$D$6)))</f>
        <v/>
      </c>
      <c r="O3907" s="14">
        <f>_xlfn.NORM.INV($AC3907,$C$7,$D$7)</f>
        <v/>
      </c>
      <c r="P3907" s="14">
        <f>$C$8+($D$8-$C$8)*$AD3907</f>
        <v/>
      </c>
      <c r="Q3907" s="14">
        <f>$C$9</f>
        <v/>
      </c>
      <c r="R3907" s="14">
        <f>_xlfn.LOGNORM.INV($AF3907,LN($C$10)-0.5*LN(1+($D$10/$C$10)^2),SQRT(LN(1+($D$10/$C$10)^2)))</f>
        <v/>
      </c>
      <c r="S3907" s="14">
        <f>SUM(M3907:R3907)</f>
        <v/>
      </c>
      <c r="AA3907">
        <f>RAND()</f>
        <v/>
      </c>
      <c r="AB3907">
        <f>RAND()</f>
        <v/>
      </c>
      <c r="AC3907">
        <f>RAND()</f>
        <v/>
      </c>
      <c r="AD3907">
        <f>RAND()</f>
        <v/>
      </c>
      <c r="AE3907">
        <f>RAND()</f>
        <v/>
      </c>
      <c r="AF3907">
        <f>RAND()</f>
        <v/>
      </c>
    </row>
    <row r="3908">
      <c r="M3908" s="14">
        <f>_xlfn.BETA.INV($AA3908,1+4*($D$5-$C$5)/($E$5-$C$5),1+4*($E$5-$D$5)/($E$5-$C$5),$C$5,$E$5)</f>
        <v/>
      </c>
      <c r="N3908" s="14">
        <f>IF($AB3908&lt;($D$6-$C$6)/($E$6-$C$6),$C$6+SQRT($AB3908*($E$6-$C$6)*($D$6-$C$6)),$E$6-SQRT((1-$AB3908)*($E$6-$C$6)*($E$6-$D$6)))</f>
        <v/>
      </c>
      <c r="O3908" s="14">
        <f>_xlfn.NORM.INV($AC3908,$C$7,$D$7)</f>
        <v/>
      </c>
      <c r="P3908" s="14">
        <f>$C$8+($D$8-$C$8)*$AD3908</f>
        <v/>
      </c>
      <c r="Q3908" s="14">
        <f>$C$9</f>
        <v/>
      </c>
      <c r="R3908" s="14">
        <f>_xlfn.LOGNORM.INV($AF3908,LN($C$10)-0.5*LN(1+($D$10/$C$10)^2),SQRT(LN(1+($D$10/$C$10)^2)))</f>
        <v/>
      </c>
      <c r="S3908" s="14">
        <f>SUM(M3908:R3908)</f>
        <v/>
      </c>
      <c r="AA3908">
        <f>RAND()</f>
        <v/>
      </c>
      <c r="AB3908">
        <f>RAND()</f>
        <v/>
      </c>
      <c r="AC3908">
        <f>RAND()</f>
        <v/>
      </c>
      <c r="AD3908">
        <f>RAND()</f>
        <v/>
      </c>
      <c r="AE3908">
        <f>RAND()</f>
        <v/>
      </c>
      <c r="AF3908">
        <f>RAND()</f>
        <v/>
      </c>
    </row>
    <row r="3909">
      <c r="M3909" s="14">
        <f>_xlfn.BETA.INV($AA3909,1+4*($D$5-$C$5)/($E$5-$C$5),1+4*($E$5-$D$5)/($E$5-$C$5),$C$5,$E$5)</f>
        <v/>
      </c>
      <c r="N3909" s="14">
        <f>IF($AB3909&lt;($D$6-$C$6)/($E$6-$C$6),$C$6+SQRT($AB3909*($E$6-$C$6)*($D$6-$C$6)),$E$6-SQRT((1-$AB3909)*($E$6-$C$6)*($E$6-$D$6)))</f>
        <v/>
      </c>
      <c r="O3909" s="14">
        <f>_xlfn.NORM.INV($AC3909,$C$7,$D$7)</f>
        <v/>
      </c>
      <c r="P3909" s="14">
        <f>$C$8+($D$8-$C$8)*$AD3909</f>
        <v/>
      </c>
      <c r="Q3909" s="14">
        <f>$C$9</f>
        <v/>
      </c>
      <c r="R3909" s="14">
        <f>_xlfn.LOGNORM.INV($AF3909,LN($C$10)-0.5*LN(1+($D$10/$C$10)^2),SQRT(LN(1+($D$10/$C$10)^2)))</f>
        <v/>
      </c>
      <c r="S3909" s="14">
        <f>SUM(M3909:R3909)</f>
        <v/>
      </c>
      <c r="AA3909">
        <f>RAND()</f>
        <v/>
      </c>
      <c r="AB3909">
        <f>RAND()</f>
        <v/>
      </c>
      <c r="AC3909">
        <f>RAND()</f>
        <v/>
      </c>
      <c r="AD3909">
        <f>RAND()</f>
        <v/>
      </c>
      <c r="AE3909">
        <f>RAND()</f>
        <v/>
      </c>
      <c r="AF3909">
        <f>RAND()</f>
        <v/>
      </c>
    </row>
    <row r="3910">
      <c r="M3910" s="14">
        <f>_xlfn.BETA.INV($AA3910,1+4*($D$5-$C$5)/($E$5-$C$5),1+4*($E$5-$D$5)/($E$5-$C$5),$C$5,$E$5)</f>
        <v/>
      </c>
      <c r="N3910" s="14">
        <f>IF($AB3910&lt;($D$6-$C$6)/($E$6-$C$6),$C$6+SQRT($AB3910*($E$6-$C$6)*($D$6-$C$6)),$E$6-SQRT((1-$AB3910)*($E$6-$C$6)*($E$6-$D$6)))</f>
        <v/>
      </c>
      <c r="O3910" s="14">
        <f>_xlfn.NORM.INV($AC3910,$C$7,$D$7)</f>
        <v/>
      </c>
      <c r="P3910" s="14">
        <f>$C$8+($D$8-$C$8)*$AD3910</f>
        <v/>
      </c>
      <c r="Q3910" s="14">
        <f>$C$9</f>
        <v/>
      </c>
      <c r="R3910" s="14">
        <f>_xlfn.LOGNORM.INV($AF3910,LN($C$10)-0.5*LN(1+($D$10/$C$10)^2),SQRT(LN(1+($D$10/$C$10)^2)))</f>
        <v/>
      </c>
      <c r="S3910" s="14">
        <f>SUM(M3910:R3910)</f>
        <v/>
      </c>
      <c r="AA3910">
        <f>RAND()</f>
        <v/>
      </c>
      <c r="AB3910">
        <f>RAND()</f>
        <v/>
      </c>
      <c r="AC3910">
        <f>RAND()</f>
        <v/>
      </c>
      <c r="AD3910">
        <f>RAND()</f>
        <v/>
      </c>
      <c r="AE3910">
        <f>RAND()</f>
        <v/>
      </c>
      <c r="AF3910">
        <f>RAND()</f>
        <v/>
      </c>
    </row>
    <row r="3911">
      <c r="M3911" s="14">
        <f>_xlfn.BETA.INV($AA3911,1+4*($D$5-$C$5)/($E$5-$C$5),1+4*($E$5-$D$5)/($E$5-$C$5),$C$5,$E$5)</f>
        <v/>
      </c>
      <c r="N3911" s="14">
        <f>IF($AB3911&lt;($D$6-$C$6)/($E$6-$C$6),$C$6+SQRT($AB3911*($E$6-$C$6)*($D$6-$C$6)),$E$6-SQRT((1-$AB3911)*($E$6-$C$6)*($E$6-$D$6)))</f>
        <v/>
      </c>
      <c r="O3911" s="14">
        <f>_xlfn.NORM.INV($AC3911,$C$7,$D$7)</f>
        <v/>
      </c>
      <c r="P3911" s="14">
        <f>$C$8+($D$8-$C$8)*$AD3911</f>
        <v/>
      </c>
      <c r="Q3911" s="14">
        <f>$C$9</f>
        <v/>
      </c>
      <c r="R3911" s="14">
        <f>_xlfn.LOGNORM.INV($AF3911,LN($C$10)-0.5*LN(1+($D$10/$C$10)^2),SQRT(LN(1+($D$10/$C$10)^2)))</f>
        <v/>
      </c>
      <c r="S3911" s="14">
        <f>SUM(M3911:R3911)</f>
        <v/>
      </c>
      <c r="AA3911">
        <f>RAND()</f>
        <v/>
      </c>
      <c r="AB3911">
        <f>RAND()</f>
        <v/>
      </c>
      <c r="AC3911">
        <f>RAND()</f>
        <v/>
      </c>
      <c r="AD3911">
        <f>RAND()</f>
        <v/>
      </c>
      <c r="AE3911">
        <f>RAND()</f>
        <v/>
      </c>
      <c r="AF3911">
        <f>RAND()</f>
        <v/>
      </c>
    </row>
    <row r="3912">
      <c r="M3912" s="14">
        <f>_xlfn.BETA.INV($AA3912,1+4*($D$5-$C$5)/($E$5-$C$5),1+4*($E$5-$D$5)/($E$5-$C$5),$C$5,$E$5)</f>
        <v/>
      </c>
      <c r="N3912" s="14">
        <f>IF($AB3912&lt;($D$6-$C$6)/($E$6-$C$6),$C$6+SQRT($AB3912*($E$6-$C$6)*($D$6-$C$6)),$E$6-SQRT((1-$AB3912)*($E$6-$C$6)*($E$6-$D$6)))</f>
        <v/>
      </c>
      <c r="O3912" s="14">
        <f>_xlfn.NORM.INV($AC3912,$C$7,$D$7)</f>
        <v/>
      </c>
      <c r="P3912" s="14">
        <f>$C$8+($D$8-$C$8)*$AD3912</f>
        <v/>
      </c>
      <c r="Q3912" s="14">
        <f>$C$9</f>
        <v/>
      </c>
      <c r="R3912" s="14">
        <f>_xlfn.LOGNORM.INV($AF3912,LN($C$10)-0.5*LN(1+($D$10/$C$10)^2),SQRT(LN(1+($D$10/$C$10)^2)))</f>
        <v/>
      </c>
      <c r="S3912" s="14">
        <f>SUM(M3912:R3912)</f>
        <v/>
      </c>
      <c r="AA3912">
        <f>RAND()</f>
        <v/>
      </c>
      <c r="AB3912">
        <f>RAND()</f>
        <v/>
      </c>
      <c r="AC3912">
        <f>RAND()</f>
        <v/>
      </c>
      <c r="AD3912">
        <f>RAND()</f>
        <v/>
      </c>
      <c r="AE3912">
        <f>RAND()</f>
        <v/>
      </c>
      <c r="AF3912">
        <f>RAND()</f>
        <v/>
      </c>
    </row>
    <row r="3913">
      <c r="M3913" s="14">
        <f>_xlfn.BETA.INV($AA3913,1+4*($D$5-$C$5)/($E$5-$C$5),1+4*($E$5-$D$5)/($E$5-$C$5),$C$5,$E$5)</f>
        <v/>
      </c>
      <c r="N3913" s="14">
        <f>IF($AB3913&lt;($D$6-$C$6)/($E$6-$C$6),$C$6+SQRT($AB3913*($E$6-$C$6)*($D$6-$C$6)),$E$6-SQRT((1-$AB3913)*($E$6-$C$6)*($E$6-$D$6)))</f>
        <v/>
      </c>
      <c r="O3913" s="14">
        <f>_xlfn.NORM.INV($AC3913,$C$7,$D$7)</f>
        <v/>
      </c>
      <c r="P3913" s="14">
        <f>$C$8+($D$8-$C$8)*$AD3913</f>
        <v/>
      </c>
      <c r="Q3913" s="14">
        <f>$C$9</f>
        <v/>
      </c>
      <c r="R3913" s="14">
        <f>_xlfn.LOGNORM.INV($AF3913,LN($C$10)-0.5*LN(1+($D$10/$C$10)^2),SQRT(LN(1+($D$10/$C$10)^2)))</f>
        <v/>
      </c>
      <c r="S3913" s="14">
        <f>SUM(M3913:R3913)</f>
        <v/>
      </c>
      <c r="AA3913">
        <f>RAND()</f>
        <v/>
      </c>
      <c r="AB3913">
        <f>RAND()</f>
        <v/>
      </c>
      <c r="AC3913">
        <f>RAND()</f>
        <v/>
      </c>
      <c r="AD3913">
        <f>RAND()</f>
        <v/>
      </c>
      <c r="AE3913">
        <f>RAND()</f>
        <v/>
      </c>
      <c r="AF3913">
        <f>RAND()</f>
        <v/>
      </c>
    </row>
    <row r="3914">
      <c r="M3914" s="14">
        <f>_xlfn.BETA.INV($AA3914,1+4*($D$5-$C$5)/($E$5-$C$5),1+4*($E$5-$D$5)/($E$5-$C$5),$C$5,$E$5)</f>
        <v/>
      </c>
      <c r="N3914" s="14">
        <f>IF($AB3914&lt;($D$6-$C$6)/($E$6-$C$6),$C$6+SQRT($AB3914*($E$6-$C$6)*($D$6-$C$6)),$E$6-SQRT((1-$AB3914)*($E$6-$C$6)*($E$6-$D$6)))</f>
        <v/>
      </c>
      <c r="O3914" s="14">
        <f>_xlfn.NORM.INV($AC3914,$C$7,$D$7)</f>
        <v/>
      </c>
      <c r="P3914" s="14">
        <f>$C$8+($D$8-$C$8)*$AD3914</f>
        <v/>
      </c>
      <c r="Q3914" s="14">
        <f>$C$9</f>
        <v/>
      </c>
      <c r="R3914" s="14">
        <f>_xlfn.LOGNORM.INV($AF3914,LN($C$10)-0.5*LN(1+($D$10/$C$10)^2),SQRT(LN(1+($D$10/$C$10)^2)))</f>
        <v/>
      </c>
      <c r="S3914" s="14">
        <f>SUM(M3914:R3914)</f>
        <v/>
      </c>
      <c r="AA3914">
        <f>RAND()</f>
        <v/>
      </c>
      <c r="AB3914">
        <f>RAND()</f>
        <v/>
      </c>
      <c r="AC3914">
        <f>RAND()</f>
        <v/>
      </c>
      <c r="AD3914">
        <f>RAND()</f>
        <v/>
      </c>
      <c r="AE3914">
        <f>RAND()</f>
        <v/>
      </c>
      <c r="AF3914">
        <f>RAND()</f>
        <v/>
      </c>
    </row>
    <row r="3915">
      <c r="M3915" s="14">
        <f>_xlfn.BETA.INV($AA3915,1+4*($D$5-$C$5)/($E$5-$C$5),1+4*($E$5-$D$5)/($E$5-$C$5),$C$5,$E$5)</f>
        <v/>
      </c>
      <c r="N3915" s="14">
        <f>IF($AB3915&lt;($D$6-$C$6)/($E$6-$C$6),$C$6+SQRT($AB3915*($E$6-$C$6)*($D$6-$C$6)),$E$6-SQRT((1-$AB3915)*($E$6-$C$6)*($E$6-$D$6)))</f>
        <v/>
      </c>
      <c r="O3915" s="14">
        <f>_xlfn.NORM.INV($AC3915,$C$7,$D$7)</f>
        <v/>
      </c>
      <c r="P3915" s="14">
        <f>$C$8+($D$8-$C$8)*$AD3915</f>
        <v/>
      </c>
      <c r="Q3915" s="14">
        <f>$C$9</f>
        <v/>
      </c>
      <c r="R3915" s="14">
        <f>_xlfn.LOGNORM.INV($AF3915,LN($C$10)-0.5*LN(1+($D$10/$C$10)^2),SQRT(LN(1+($D$10/$C$10)^2)))</f>
        <v/>
      </c>
      <c r="S3915" s="14">
        <f>SUM(M3915:R3915)</f>
        <v/>
      </c>
      <c r="AA3915">
        <f>RAND()</f>
        <v/>
      </c>
      <c r="AB3915">
        <f>RAND()</f>
        <v/>
      </c>
      <c r="AC3915">
        <f>RAND()</f>
        <v/>
      </c>
      <c r="AD3915">
        <f>RAND()</f>
        <v/>
      </c>
      <c r="AE3915">
        <f>RAND()</f>
        <v/>
      </c>
      <c r="AF3915">
        <f>RAND()</f>
        <v/>
      </c>
    </row>
    <row r="3916">
      <c r="M3916" s="14">
        <f>_xlfn.BETA.INV($AA3916,1+4*($D$5-$C$5)/($E$5-$C$5),1+4*($E$5-$D$5)/($E$5-$C$5),$C$5,$E$5)</f>
        <v/>
      </c>
      <c r="N3916" s="14">
        <f>IF($AB3916&lt;($D$6-$C$6)/($E$6-$C$6),$C$6+SQRT($AB3916*($E$6-$C$6)*($D$6-$C$6)),$E$6-SQRT((1-$AB3916)*($E$6-$C$6)*($E$6-$D$6)))</f>
        <v/>
      </c>
      <c r="O3916" s="14">
        <f>_xlfn.NORM.INV($AC3916,$C$7,$D$7)</f>
        <v/>
      </c>
      <c r="P3916" s="14">
        <f>$C$8+($D$8-$C$8)*$AD3916</f>
        <v/>
      </c>
      <c r="Q3916" s="14">
        <f>$C$9</f>
        <v/>
      </c>
      <c r="R3916" s="14">
        <f>_xlfn.LOGNORM.INV($AF3916,LN($C$10)-0.5*LN(1+($D$10/$C$10)^2),SQRT(LN(1+($D$10/$C$10)^2)))</f>
        <v/>
      </c>
      <c r="S3916" s="14">
        <f>SUM(M3916:R3916)</f>
        <v/>
      </c>
      <c r="AA3916">
        <f>RAND()</f>
        <v/>
      </c>
      <c r="AB3916">
        <f>RAND()</f>
        <v/>
      </c>
      <c r="AC3916">
        <f>RAND()</f>
        <v/>
      </c>
      <c r="AD3916">
        <f>RAND()</f>
        <v/>
      </c>
      <c r="AE3916">
        <f>RAND()</f>
        <v/>
      </c>
      <c r="AF3916">
        <f>RAND()</f>
        <v/>
      </c>
    </row>
    <row r="3917">
      <c r="M3917" s="14">
        <f>_xlfn.BETA.INV($AA3917,1+4*($D$5-$C$5)/($E$5-$C$5),1+4*($E$5-$D$5)/($E$5-$C$5),$C$5,$E$5)</f>
        <v/>
      </c>
      <c r="N3917" s="14">
        <f>IF($AB3917&lt;($D$6-$C$6)/($E$6-$C$6),$C$6+SQRT($AB3917*($E$6-$C$6)*($D$6-$C$6)),$E$6-SQRT((1-$AB3917)*($E$6-$C$6)*($E$6-$D$6)))</f>
        <v/>
      </c>
      <c r="O3917" s="14">
        <f>_xlfn.NORM.INV($AC3917,$C$7,$D$7)</f>
        <v/>
      </c>
      <c r="P3917" s="14">
        <f>$C$8+($D$8-$C$8)*$AD3917</f>
        <v/>
      </c>
      <c r="Q3917" s="14">
        <f>$C$9</f>
        <v/>
      </c>
      <c r="R3917" s="14">
        <f>_xlfn.LOGNORM.INV($AF3917,LN($C$10)-0.5*LN(1+($D$10/$C$10)^2),SQRT(LN(1+($D$10/$C$10)^2)))</f>
        <v/>
      </c>
      <c r="S3917" s="14">
        <f>SUM(M3917:R3917)</f>
        <v/>
      </c>
      <c r="AA3917">
        <f>RAND()</f>
        <v/>
      </c>
      <c r="AB3917">
        <f>RAND()</f>
        <v/>
      </c>
      <c r="AC3917">
        <f>RAND()</f>
        <v/>
      </c>
      <c r="AD3917">
        <f>RAND()</f>
        <v/>
      </c>
      <c r="AE3917">
        <f>RAND()</f>
        <v/>
      </c>
      <c r="AF3917">
        <f>RAND()</f>
        <v/>
      </c>
    </row>
    <row r="3918">
      <c r="M3918" s="14">
        <f>_xlfn.BETA.INV($AA3918,1+4*($D$5-$C$5)/($E$5-$C$5),1+4*($E$5-$D$5)/($E$5-$C$5),$C$5,$E$5)</f>
        <v/>
      </c>
      <c r="N3918" s="14">
        <f>IF($AB3918&lt;($D$6-$C$6)/($E$6-$C$6),$C$6+SQRT($AB3918*($E$6-$C$6)*($D$6-$C$6)),$E$6-SQRT((1-$AB3918)*($E$6-$C$6)*($E$6-$D$6)))</f>
        <v/>
      </c>
      <c r="O3918" s="14">
        <f>_xlfn.NORM.INV($AC3918,$C$7,$D$7)</f>
        <v/>
      </c>
      <c r="P3918" s="14">
        <f>$C$8+($D$8-$C$8)*$AD3918</f>
        <v/>
      </c>
      <c r="Q3918" s="14">
        <f>$C$9</f>
        <v/>
      </c>
      <c r="R3918" s="14">
        <f>_xlfn.LOGNORM.INV($AF3918,LN($C$10)-0.5*LN(1+($D$10/$C$10)^2),SQRT(LN(1+($D$10/$C$10)^2)))</f>
        <v/>
      </c>
      <c r="S3918" s="14">
        <f>SUM(M3918:R3918)</f>
        <v/>
      </c>
      <c r="AA3918">
        <f>RAND()</f>
        <v/>
      </c>
      <c r="AB3918">
        <f>RAND()</f>
        <v/>
      </c>
      <c r="AC3918">
        <f>RAND()</f>
        <v/>
      </c>
      <c r="AD3918">
        <f>RAND()</f>
        <v/>
      </c>
      <c r="AE3918">
        <f>RAND()</f>
        <v/>
      </c>
      <c r="AF3918">
        <f>RAND()</f>
        <v/>
      </c>
    </row>
    <row r="3919">
      <c r="M3919" s="14">
        <f>_xlfn.BETA.INV($AA3919,1+4*($D$5-$C$5)/($E$5-$C$5),1+4*($E$5-$D$5)/($E$5-$C$5),$C$5,$E$5)</f>
        <v/>
      </c>
      <c r="N3919" s="14">
        <f>IF($AB3919&lt;($D$6-$C$6)/($E$6-$C$6),$C$6+SQRT($AB3919*($E$6-$C$6)*($D$6-$C$6)),$E$6-SQRT((1-$AB3919)*($E$6-$C$6)*($E$6-$D$6)))</f>
        <v/>
      </c>
      <c r="O3919" s="14">
        <f>_xlfn.NORM.INV($AC3919,$C$7,$D$7)</f>
        <v/>
      </c>
      <c r="P3919" s="14">
        <f>$C$8+($D$8-$C$8)*$AD3919</f>
        <v/>
      </c>
      <c r="Q3919" s="14">
        <f>$C$9</f>
        <v/>
      </c>
      <c r="R3919" s="14">
        <f>_xlfn.LOGNORM.INV($AF3919,LN($C$10)-0.5*LN(1+($D$10/$C$10)^2),SQRT(LN(1+($D$10/$C$10)^2)))</f>
        <v/>
      </c>
      <c r="S3919" s="14">
        <f>SUM(M3919:R3919)</f>
        <v/>
      </c>
      <c r="AA3919">
        <f>RAND()</f>
        <v/>
      </c>
      <c r="AB3919">
        <f>RAND()</f>
        <v/>
      </c>
      <c r="AC3919">
        <f>RAND()</f>
        <v/>
      </c>
      <c r="AD3919">
        <f>RAND()</f>
        <v/>
      </c>
      <c r="AE3919">
        <f>RAND()</f>
        <v/>
      </c>
      <c r="AF3919">
        <f>RAND()</f>
        <v/>
      </c>
    </row>
    <row r="3920">
      <c r="M3920" s="14">
        <f>_xlfn.BETA.INV($AA3920,1+4*($D$5-$C$5)/($E$5-$C$5),1+4*($E$5-$D$5)/($E$5-$C$5),$C$5,$E$5)</f>
        <v/>
      </c>
      <c r="N3920" s="14">
        <f>IF($AB3920&lt;($D$6-$C$6)/($E$6-$C$6),$C$6+SQRT($AB3920*($E$6-$C$6)*($D$6-$C$6)),$E$6-SQRT((1-$AB3920)*($E$6-$C$6)*($E$6-$D$6)))</f>
        <v/>
      </c>
      <c r="O3920" s="14">
        <f>_xlfn.NORM.INV($AC3920,$C$7,$D$7)</f>
        <v/>
      </c>
      <c r="P3920" s="14">
        <f>$C$8+($D$8-$C$8)*$AD3920</f>
        <v/>
      </c>
      <c r="Q3920" s="14">
        <f>$C$9</f>
        <v/>
      </c>
      <c r="R3920" s="14">
        <f>_xlfn.LOGNORM.INV($AF3920,LN($C$10)-0.5*LN(1+($D$10/$C$10)^2),SQRT(LN(1+($D$10/$C$10)^2)))</f>
        <v/>
      </c>
      <c r="S3920" s="14">
        <f>SUM(M3920:R3920)</f>
        <v/>
      </c>
      <c r="AA3920">
        <f>RAND()</f>
        <v/>
      </c>
      <c r="AB3920">
        <f>RAND()</f>
        <v/>
      </c>
      <c r="AC3920">
        <f>RAND()</f>
        <v/>
      </c>
      <c r="AD3920">
        <f>RAND()</f>
        <v/>
      </c>
      <c r="AE3920">
        <f>RAND()</f>
        <v/>
      </c>
      <c r="AF3920">
        <f>RAND()</f>
        <v/>
      </c>
    </row>
    <row r="3921">
      <c r="M3921" s="14">
        <f>_xlfn.BETA.INV($AA3921,1+4*($D$5-$C$5)/($E$5-$C$5),1+4*($E$5-$D$5)/($E$5-$C$5),$C$5,$E$5)</f>
        <v/>
      </c>
      <c r="N3921" s="14">
        <f>IF($AB3921&lt;($D$6-$C$6)/($E$6-$C$6),$C$6+SQRT($AB3921*($E$6-$C$6)*($D$6-$C$6)),$E$6-SQRT((1-$AB3921)*($E$6-$C$6)*($E$6-$D$6)))</f>
        <v/>
      </c>
      <c r="O3921" s="14">
        <f>_xlfn.NORM.INV($AC3921,$C$7,$D$7)</f>
        <v/>
      </c>
      <c r="P3921" s="14">
        <f>$C$8+($D$8-$C$8)*$AD3921</f>
        <v/>
      </c>
      <c r="Q3921" s="14">
        <f>$C$9</f>
        <v/>
      </c>
      <c r="R3921" s="14">
        <f>_xlfn.LOGNORM.INV($AF3921,LN($C$10)-0.5*LN(1+($D$10/$C$10)^2),SQRT(LN(1+($D$10/$C$10)^2)))</f>
        <v/>
      </c>
      <c r="S3921" s="14">
        <f>SUM(M3921:R3921)</f>
        <v/>
      </c>
      <c r="AA3921">
        <f>RAND()</f>
        <v/>
      </c>
      <c r="AB3921">
        <f>RAND()</f>
        <v/>
      </c>
      <c r="AC3921">
        <f>RAND()</f>
        <v/>
      </c>
      <c r="AD3921">
        <f>RAND()</f>
        <v/>
      </c>
      <c r="AE3921">
        <f>RAND()</f>
        <v/>
      </c>
      <c r="AF3921">
        <f>RAND()</f>
        <v/>
      </c>
    </row>
    <row r="3922">
      <c r="M3922" s="14">
        <f>_xlfn.BETA.INV($AA3922,1+4*($D$5-$C$5)/($E$5-$C$5),1+4*($E$5-$D$5)/($E$5-$C$5),$C$5,$E$5)</f>
        <v/>
      </c>
      <c r="N3922" s="14">
        <f>IF($AB3922&lt;($D$6-$C$6)/($E$6-$C$6),$C$6+SQRT($AB3922*($E$6-$C$6)*($D$6-$C$6)),$E$6-SQRT((1-$AB3922)*($E$6-$C$6)*($E$6-$D$6)))</f>
        <v/>
      </c>
      <c r="O3922" s="14">
        <f>_xlfn.NORM.INV($AC3922,$C$7,$D$7)</f>
        <v/>
      </c>
      <c r="P3922" s="14">
        <f>$C$8+($D$8-$C$8)*$AD3922</f>
        <v/>
      </c>
      <c r="Q3922" s="14">
        <f>$C$9</f>
        <v/>
      </c>
      <c r="R3922" s="14">
        <f>_xlfn.LOGNORM.INV($AF3922,LN($C$10)-0.5*LN(1+($D$10/$C$10)^2),SQRT(LN(1+($D$10/$C$10)^2)))</f>
        <v/>
      </c>
      <c r="S3922" s="14">
        <f>SUM(M3922:R3922)</f>
        <v/>
      </c>
      <c r="AA3922">
        <f>RAND()</f>
        <v/>
      </c>
      <c r="AB3922">
        <f>RAND()</f>
        <v/>
      </c>
      <c r="AC3922">
        <f>RAND()</f>
        <v/>
      </c>
      <c r="AD3922">
        <f>RAND()</f>
        <v/>
      </c>
      <c r="AE3922">
        <f>RAND()</f>
        <v/>
      </c>
      <c r="AF3922">
        <f>RAND()</f>
        <v/>
      </c>
    </row>
    <row r="3923">
      <c r="M3923" s="14">
        <f>_xlfn.BETA.INV($AA3923,1+4*($D$5-$C$5)/($E$5-$C$5),1+4*($E$5-$D$5)/($E$5-$C$5),$C$5,$E$5)</f>
        <v/>
      </c>
      <c r="N3923" s="14">
        <f>IF($AB3923&lt;($D$6-$C$6)/($E$6-$C$6),$C$6+SQRT($AB3923*($E$6-$C$6)*($D$6-$C$6)),$E$6-SQRT((1-$AB3923)*($E$6-$C$6)*($E$6-$D$6)))</f>
        <v/>
      </c>
      <c r="O3923" s="14">
        <f>_xlfn.NORM.INV($AC3923,$C$7,$D$7)</f>
        <v/>
      </c>
      <c r="P3923" s="14">
        <f>$C$8+($D$8-$C$8)*$AD3923</f>
        <v/>
      </c>
      <c r="Q3923" s="14">
        <f>$C$9</f>
        <v/>
      </c>
      <c r="R3923" s="14">
        <f>_xlfn.LOGNORM.INV($AF3923,LN($C$10)-0.5*LN(1+($D$10/$C$10)^2),SQRT(LN(1+($D$10/$C$10)^2)))</f>
        <v/>
      </c>
      <c r="S3923" s="14">
        <f>SUM(M3923:R3923)</f>
        <v/>
      </c>
      <c r="AA3923">
        <f>RAND()</f>
        <v/>
      </c>
      <c r="AB3923">
        <f>RAND()</f>
        <v/>
      </c>
      <c r="AC3923">
        <f>RAND()</f>
        <v/>
      </c>
      <c r="AD3923">
        <f>RAND()</f>
        <v/>
      </c>
      <c r="AE3923">
        <f>RAND()</f>
        <v/>
      </c>
      <c r="AF3923">
        <f>RAND()</f>
        <v/>
      </c>
    </row>
    <row r="3924">
      <c r="M3924" s="14">
        <f>_xlfn.BETA.INV($AA3924,1+4*($D$5-$C$5)/($E$5-$C$5),1+4*($E$5-$D$5)/($E$5-$C$5),$C$5,$E$5)</f>
        <v/>
      </c>
      <c r="N3924" s="14">
        <f>IF($AB3924&lt;($D$6-$C$6)/($E$6-$C$6),$C$6+SQRT($AB3924*($E$6-$C$6)*($D$6-$C$6)),$E$6-SQRT((1-$AB3924)*($E$6-$C$6)*($E$6-$D$6)))</f>
        <v/>
      </c>
      <c r="O3924" s="14">
        <f>_xlfn.NORM.INV($AC3924,$C$7,$D$7)</f>
        <v/>
      </c>
      <c r="P3924" s="14">
        <f>$C$8+($D$8-$C$8)*$AD3924</f>
        <v/>
      </c>
      <c r="Q3924" s="14">
        <f>$C$9</f>
        <v/>
      </c>
      <c r="R3924" s="14">
        <f>_xlfn.LOGNORM.INV($AF3924,LN($C$10)-0.5*LN(1+($D$10/$C$10)^2),SQRT(LN(1+($D$10/$C$10)^2)))</f>
        <v/>
      </c>
      <c r="S3924" s="14">
        <f>SUM(M3924:R3924)</f>
        <v/>
      </c>
      <c r="AA3924">
        <f>RAND()</f>
        <v/>
      </c>
      <c r="AB3924">
        <f>RAND()</f>
        <v/>
      </c>
      <c r="AC3924">
        <f>RAND()</f>
        <v/>
      </c>
      <c r="AD3924">
        <f>RAND()</f>
        <v/>
      </c>
      <c r="AE3924">
        <f>RAND()</f>
        <v/>
      </c>
      <c r="AF3924">
        <f>RAND()</f>
        <v/>
      </c>
    </row>
    <row r="3925">
      <c r="M3925" s="14">
        <f>_xlfn.BETA.INV($AA3925,1+4*($D$5-$C$5)/($E$5-$C$5),1+4*($E$5-$D$5)/($E$5-$C$5),$C$5,$E$5)</f>
        <v/>
      </c>
      <c r="N3925" s="14">
        <f>IF($AB3925&lt;($D$6-$C$6)/($E$6-$C$6),$C$6+SQRT($AB3925*($E$6-$C$6)*($D$6-$C$6)),$E$6-SQRT((1-$AB3925)*($E$6-$C$6)*($E$6-$D$6)))</f>
        <v/>
      </c>
      <c r="O3925" s="14">
        <f>_xlfn.NORM.INV($AC3925,$C$7,$D$7)</f>
        <v/>
      </c>
      <c r="P3925" s="14">
        <f>$C$8+($D$8-$C$8)*$AD3925</f>
        <v/>
      </c>
      <c r="Q3925" s="14">
        <f>$C$9</f>
        <v/>
      </c>
      <c r="R3925" s="14">
        <f>_xlfn.LOGNORM.INV($AF3925,LN($C$10)-0.5*LN(1+($D$10/$C$10)^2),SQRT(LN(1+($D$10/$C$10)^2)))</f>
        <v/>
      </c>
      <c r="S3925" s="14">
        <f>SUM(M3925:R3925)</f>
        <v/>
      </c>
      <c r="AA3925">
        <f>RAND()</f>
        <v/>
      </c>
      <c r="AB3925">
        <f>RAND()</f>
        <v/>
      </c>
      <c r="AC3925">
        <f>RAND()</f>
        <v/>
      </c>
      <c r="AD3925">
        <f>RAND()</f>
        <v/>
      </c>
      <c r="AE3925">
        <f>RAND()</f>
        <v/>
      </c>
      <c r="AF3925">
        <f>RAND()</f>
        <v/>
      </c>
    </row>
    <row r="3926">
      <c r="M3926" s="14">
        <f>_xlfn.BETA.INV($AA3926,1+4*($D$5-$C$5)/($E$5-$C$5),1+4*($E$5-$D$5)/($E$5-$C$5),$C$5,$E$5)</f>
        <v/>
      </c>
      <c r="N3926" s="14">
        <f>IF($AB3926&lt;($D$6-$C$6)/($E$6-$C$6),$C$6+SQRT($AB3926*($E$6-$C$6)*($D$6-$C$6)),$E$6-SQRT((1-$AB3926)*($E$6-$C$6)*($E$6-$D$6)))</f>
        <v/>
      </c>
      <c r="O3926" s="14">
        <f>_xlfn.NORM.INV($AC3926,$C$7,$D$7)</f>
        <v/>
      </c>
      <c r="P3926" s="14">
        <f>$C$8+($D$8-$C$8)*$AD3926</f>
        <v/>
      </c>
      <c r="Q3926" s="14">
        <f>$C$9</f>
        <v/>
      </c>
      <c r="R3926" s="14">
        <f>_xlfn.LOGNORM.INV($AF3926,LN($C$10)-0.5*LN(1+($D$10/$C$10)^2),SQRT(LN(1+($D$10/$C$10)^2)))</f>
        <v/>
      </c>
      <c r="S3926" s="14">
        <f>SUM(M3926:R3926)</f>
        <v/>
      </c>
      <c r="AA3926">
        <f>RAND()</f>
        <v/>
      </c>
      <c r="AB3926">
        <f>RAND()</f>
        <v/>
      </c>
      <c r="AC3926">
        <f>RAND()</f>
        <v/>
      </c>
      <c r="AD3926">
        <f>RAND()</f>
        <v/>
      </c>
      <c r="AE3926">
        <f>RAND()</f>
        <v/>
      </c>
      <c r="AF3926">
        <f>RAND()</f>
        <v/>
      </c>
    </row>
    <row r="3927">
      <c r="M3927" s="14">
        <f>_xlfn.BETA.INV($AA3927,1+4*($D$5-$C$5)/($E$5-$C$5),1+4*($E$5-$D$5)/($E$5-$C$5),$C$5,$E$5)</f>
        <v/>
      </c>
      <c r="N3927" s="14">
        <f>IF($AB3927&lt;($D$6-$C$6)/($E$6-$C$6),$C$6+SQRT($AB3927*($E$6-$C$6)*($D$6-$C$6)),$E$6-SQRT((1-$AB3927)*($E$6-$C$6)*($E$6-$D$6)))</f>
        <v/>
      </c>
      <c r="O3927" s="14">
        <f>_xlfn.NORM.INV($AC3927,$C$7,$D$7)</f>
        <v/>
      </c>
      <c r="P3927" s="14">
        <f>$C$8+($D$8-$C$8)*$AD3927</f>
        <v/>
      </c>
      <c r="Q3927" s="14">
        <f>$C$9</f>
        <v/>
      </c>
      <c r="R3927" s="14">
        <f>_xlfn.LOGNORM.INV($AF3927,LN($C$10)-0.5*LN(1+($D$10/$C$10)^2),SQRT(LN(1+($D$10/$C$10)^2)))</f>
        <v/>
      </c>
      <c r="S3927" s="14">
        <f>SUM(M3927:R3927)</f>
        <v/>
      </c>
      <c r="AA3927">
        <f>RAND()</f>
        <v/>
      </c>
      <c r="AB3927">
        <f>RAND()</f>
        <v/>
      </c>
      <c r="AC3927">
        <f>RAND()</f>
        <v/>
      </c>
      <c r="AD3927">
        <f>RAND()</f>
        <v/>
      </c>
      <c r="AE3927">
        <f>RAND()</f>
        <v/>
      </c>
      <c r="AF3927">
        <f>RAND()</f>
        <v/>
      </c>
    </row>
    <row r="3928">
      <c r="M3928" s="14">
        <f>_xlfn.BETA.INV($AA3928,1+4*($D$5-$C$5)/($E$5-$C$5),1+4*($E$5-$D$5)/($E$5-$C$5),$C$5,$E$5)</f>
        <v/>
      </c>
      <c r="N3928" s="14">
        <f>IF($AB3928&lt;($D$6-$C$6)/($E$6-$C$6),$C$6+SQRT($AB3928*($E$6-$C$6)*($D$6-$C$6)),$E$6-SQRT((1-$AB3928)*($E$6-$C$6)*($E$6-$D$6)))</f>
        <v/>
      </c>
      <c r="O3928" s="14">
        <f>_xlfn.NORM.INV($AC3928,$C$7,$D$7)</f>
        <v/>
      </c>
      <c r="P3928" s="14">
        <f>$C$8+($D$8-$C$8)*$AD3928</f>
        <v/>
      </c>
      <c r="Q3928" s="14">
        <f>$C$9</f>
        <v/>
      </c>
      <c r="R3928" s="14">
        <f>_xlfn.LOGNORM.INV($AF3928,LN($C$10)-0.5*LN(1+($D$10/$C$10)^2),SQRT(LN(1+($D$10/$C$10)^2)))</f>
        <v/>
      </c>
      <c r="S3928" s="14">
        <f>SUM(M3928:R3928)</f>
        <v/>
      </c>
      <c r="AA3928">
        <f>RAND()</f>
        <v/>
      </c>
      <c r="AB3928">
        <f>RAND()</f>
        <v/>
      </c>
      <c r="AC3928">
        <f>RAND()</f>
        <v/>
      </c>
      <c r="AD3928">
        <f>RAND()</f>
        <v/>
      </c>
      <c r="AE3928">
        <f>RAND()</f>
        <v/>
      </c>
      <c r="AF3928">
        <f>RAND()</f>
        <v/>
      </c>
    </row>
    <row r="3929">
      <c r="M3929" s="14">
        <f>_xlfn.BETA.INV($AA3929,1+4*($D$5-$C$5)/($E$5-$C$5),1+4*($E$5-$D$5)/($E$5-$C$5),$C$5,$E$5)</f>
        <v/>
      </c>
      <c r="N3929" s="14">
        <f>IF($AB3929&lt;($D$6-$C$6)/($E$6-$C$6),$C$6+SQRT($AB3929*($E$6-$C$6)*($D$6-$C$6)),$E$6-SQRT((1-$AB3929)*($E$6-$C$6)*($E$6-$D$6)))</f>
        <v/>
      </c>
      <c r="O3929" s="14">
        <f>_xlfn.NORM.INV($AC3929,$C$7,$D$7)</f>
        <v/>
      </c>
      <c r="P3929" s="14">
        <f>$C$8+($D$8-$C$8)*$AD3929</f>
        <v/>
      </c>
      <c r="Q3929" s="14">
        <f>$C$9</f>
        <v/>
      </c>
      <c r="R3929" s="14">
        <f>_xlfn.LOGNORM.INV($AF3929,LN($C$10)-0.5*LN(1+($D$10/$C$10)^2),SQRT(LN(1+($D$10/$C$10)^2)))</f>
        <v/>
      </c>
      <c r="S3929" s="14">
        <f>SUM(M3929:R3929)</f>
        <v/>
      </c>
      <c r="AA3929">
        <f>RAND()</f>
        <v/>
      </c>
      <c r="AB3929">
        <f>RAND()</f>
        <v/>
      </c>
      <c r="AC3929">
        <f>RAND()</f>
        <v/>
      </c>
      <c r="AD3929">
        <f>RAND()</f>
        <v/>
      </c>
      <c r="AE3929">
        <f>RAND()</f>
        <v/>
      </c>
      <c r="AF3929">
        <f>RAND()</f>
        <v/>
      </c>
    </row>
    <row r="3930">
      <c r="M3930" s="14">
        <f>_xlfn.BETA.INV($AA3930,1+4*($D$5-$C$5)/($E$5-$C$5),1+4*($E$5-$D$5)/($E$5-$C$5),$C$5,$E$5)</f>
        <v/>
      </c>
      <c r="N3930" s="14">
        <f>IF($AB3930&lt;($D$6-$C$6)/($E$6-$C$6),$C$6+SQRT($AB3930*($E$6-$C$6)*($D$6-$C$6)),$E$6-SQRT((1-$AB3930)*($E$6-$C$6)*($E$6-$D$6)))</f>
        <v/>
      </c>
      <c r="O3930" s="14">
        <f>_xlfn.NORM.INV($AC3930,$C$7,$D$7)</f>
        <v/>
      </c>
      <c r="P3930" s="14">
        <f>$C$8+($D$8-$C$8)*$AD3930</f>
        <v/>
      </c>
      <c r="Q3930" s="14">
        <f>$C$9</f>
        <v/>
      </c>
      <c r="R3930" s="14">
        <f>_xlfn.LOGNORM.INV($AF3930,LN($C$10)-0.5*LN(1+($D$10/$C$10)^2),SQRT(LN(1+($D$10/$C$10)^2)))</f>
        <v/>
      </c>
      <c r="S3930" s="14">
        <f>SUM(M3930:R3930)</f>
        <v/>
      </c>
      <c r="AA3930">
        <f>RAND()</f>
        <v/>
      </c>
      <c r="AB3930">
        <f>RAND()</f>
        <v/>
      </c>
      <c r="AC3930">
        <f>RAND()</f>
        <v/>
      </c>
      <c r="AD3930">
        <f>RAND()</f>
        <v/>
      </c>
      <c r="AE3930">
        <f>RAND()</f>
        <v/>
      </c>
      <c r="AF3930">
        <f>RAND()</f>
        <v/>
      </c>
    </row>
    <row r="3931">
      <c r="M3931" s="14">
        <f>_xlfn.BETA.INV($AA3931,1+4*($D$5-$C$5)/($E$5-$C$5),1+4*($E$5-$D$5)/($E$5-$C$5),$C$5,$E$5)</f>
        <v/>
      </c>
      <c r="N3931" s="14">
        <f>IF($AB3931&lt;($D$6-$C$6)/($E$6-$C$6),$C$6+SQRT($AB3931*($E$6-$C$6)*($D$6-$C$6)),$E$6-SQRT((1-$AB3931)*($E$6-$C$6)*($E$6-$D$6)))</f>
        <v/>
      </c>
      <c r="O3931" s="14">
        <f>_xlfn.NORM.INV($AC3931,$C$7,$D$7)</f>
        <v/>
      </c>
      <c r="P3931" s="14">
        <f>$C$8+($D$8-$C$8)*$AD3931</f>
        <v/>
      </c>
      <c r="Q3931" s="14">
        <f>$C$9</f>
        <v/>
      </c>
      <c r="R3931" s="14">
        <f>_xlfn.LOGNORM.INV($AF3931,LN($C$10)-0.5*LN(1+($D$10/$C$10)^2),SQRT(LN(1+($D$10/$C$10)^2)))</f>
        <v/>
      </c>
      <c r="S3931" s="14">
        <f>SUM(M3931:R3931)</f>
        <v/>
      </c>
      <c r="AA3931">
        <f>RAND()</f>
        <v/>
      </c>
      <c r="AB3931">
        <f>RAND()</f>
        <v/>
      </c>
      <c r="AC3931">
        <f>RAND()</f>
        <v/>
      </c>
      <c r="AD3931">
        <f>RAND()</f>
        <v/>
      </c>
      <c r="AE3931">
        <f>RAND()</f>
        <v/>
      </c>
      <c r="AF3931">
        <f>RAND()</f>
        <v/>
      </c>
    </row>
    <row r="3932">
      <c r="M3932" s="14">
        <f>_xlfn.BETA.INV($AA3932,1+4*($D$5-$C$5)/($E$5-$C$5),1+4*($E$5-$D$5)/($E$5-$C$5),$C$5,$E$5)</f>
        <v/>
      </c>
      <c r="N3932" s="14">
        <f>IF($AB3932&lt;($D$6-$C$6)/($E$6-$C$6),$C$6+SQRT($AB3932*($E$6-$C$6)*($D$6-$C$6)),$E$6-SQRT((1-$AB3932)*($E$6-$C$6)*($E$6-$D$6)))</f>
        <v/>
      </c>
      <c r="O3932" s="14">
        <f>_xlfn.NORM.INV($AC3932,$C$7,$D$7)</f>
        <v/>
      </c>
      <c r="P3932" s="14">
        <f>$C$8+($D$8-$C$8)*$AD3932</f>
        <v/>
      </c>
      <c r="Q3932" s="14">
        <f>$C$9</f>
        <v/>
      </c>
      <c r="R3932" s="14">
        <f>_xlfn.LOGNORM.INV($AF3932,LN($C$10)-0.5*LN(1+($D$10/$C$10)^2),SQRT(LN(1+($D$10/$C$10)^2)))</f>
        <v/>
      </c>
      <c r="S3932" s="14">
        <f>SUM(M3932:R3932)</f>
        <v/>
      </c>
      <c r="AA3932">
        <f>RAND()</f>
        <v/>
      </c>
      <c r="AB3932">
        <f>RAND()</f>
        <v/>
      </c>
      <c r="AC3932">
        <f>RAND()</f>
        <v/>
      </c>
      <c r="AD3932">
        <f>RAND()</f>
        <v/>
      </c>
      <c r="AE3932">
        <f>RAND()</f>
        <v/>
      </c>
      <c r="AF3932">
        <f>RAND()</f>
        <v/>
      </c>
    </row>
    <row r="3933">
      <c r="M3933" s="14">
        <f>_xlfn.BETA.INV($AA3933,1+4*($D$5-$C$5)/($E$5-$C$5),1+4*($E$5-$D$5)/($E$5-$C$5),$C$5,$E$5)</f>
        <v/>
      </c>
      <c r="N3933" s="14">
        <f>IF($AB3933&lt;($D$6-$C$6)/($E$6-$C$6),$C$6+SQRT($AB3933*($E$6-$C$6)*($D$6-$C$6)),$E$6-SQRT((1-$AB3933)*($E$6-$C$6)*($E$6-$D$6)))</f>
        <v/>
      </c>
      <c r="O3933" s="14">
        <f>_xlfn.NORM.INV($AC3933,$C$7,$D$7)</f>
        <v/>
      </c>
      <c r="P3933" s="14">
        <f>$C$8+($D$8-$C$8)*$AD3933</f>
        <v/>
      </c>
      <c r="Q3933" s="14">
        <f>$C$9</f>
        <v/>
      </c>
      <c r="R3933" s="14">
        <f>_xlfn.LOGNORM.INV($AF3933,LN($C$10)-0.5*LN(1+($D$10/$C$10)^2),SQRT(LN(1+($D$10/$C$10)^2)))</f>
        <v/>
      </c>
      <c r="S3933" s="14">
        <f>SUM(M3933:R3933)</f>
        <v/>
      </c>
      <c r="AA3933">
        <f>RAND()</f>
        <v/>
      </c>
      <c r="AB3933">
        <f>RAND()</f>
        <v/>
      </c>
      <c r="AC3933">
        <f>RAND()</f>
        <v/>
      </c>
      <c r="AD3933">
        <f>RAND()</f>
        <v/>
      </c>
      <c r="AE3933">
        <f>RAND()</f>
        <v/>
      </c>
      <c r="AF3933">
        <f>RAND()</f>
        <v/>
      </c>
    </row>
    <row r="3934">
      <c r="M3934" s="14">
        <f>_xlfn.BETA.INV($AA3934,1+4*($D$5-$C$5)/($E$5-$C$5),1+4*($E$5-$D$5)/($E$5-$C$5),$C$5,$E$5)</f>
        <v/>
      </c>
      <c r="N3934" s="14">
        <f>IF($AB3934&lt;($D$6-$C$6)/($E$6-$C$6),$C$6+SQRT($AB3934*($E$6-$C$6)*($D$6-$C$6)),$E$6-SQRT((1-$AB3934)*($E$6-$C$6)*($E$6-$D$6)))</f>
        <v/>
      </c>
      <c r="O3934" s="14">
        <f>_xlfn.NORM.INV($AC3934,$C$7,$D$7)</f>
        <v/>
      </c>
      <c r="P3934" s="14">
        <f>$C$8+($D$8-$C$8)*$AD3934</f>
        <v/>
      </c>
      <c r="Q3934" s="14">
        <f>$C$9</f>
        <v/>
      </c>
      <c r="R3934" s="14">
        <f>_xlfn.LOGNORM.INV($AF3934,LN($C$10)-0.5*LN(1+($D$10/$C$10)^2),SQRT(LN(1+($D$10/$C$10)^2)))</f>
        <v/>
      </c>
      <c r="S3934" s="14">
        <f>SUM(M3934:R3934)</f>
        <v/>
      </c>
      <c r="AA3934">
        <f>RAND()</f>
        <v/>
      </c>
      <c r="AB3934">
        <f>RAND()</f>
        <v/>
      </c>
      <c r="AC3934">
        <f>RAND()</f>
        <v/>
      </c>
      <c r="AD3934">
        <f>RAND()</f>
        <v/>
      </c>
      <c r="AE3934">
        <f>RAND()</f>
        <v/>
      </c>
      <c r="AF3934">
        <f>RAND()</f>
        <v/>
      </c>
    </row>
    <row r="3935">
      <c r="M3935" s="14">
        <f>_xlfn.BETA.INV($AA3935,1+4*($D$5-$C$5)/($E$5-$C$5),1+4*($E$5-$D$5)/($E$5-$C$5),$C$5,$E$5)</f>
        <v/>
      </c>
      <c r="N3935" s="14">
        <f>IF($AB3935&lt;($D$6-$C$6)/($E$6-$C$6),$C$6+SQRT($AB3935*($E$6-$C$6)*($D$6-$C$6)),$E$6-SQRT((1-$AB3935)*($E$6-$C$6)*($E$6-$D$6)))</f>
        <v/>
      </c>
      <c r="O3935" s="14">
        <f>_xlfn.NORM.INV($AC3935,$C$7,$D$7)</f>
        <v/>
      </c>
      <c r="P3935" s="14">
        <f>$C$8+($D$8-$C$8)*$AD3935</f>
        <v/>
      </c>
      <c r="Q3935" s="14">
        <f>$C$9</f>
        <v/>
      </c>
      <c r="R3935" s="14">
        <f>_xlfn.LOGNORM.INV($AF3935,LN($C$10)-0.5*LN(1+($D$10/$C$10)^2),SQRT(LN(1+($D$10/$C$10)^2)))</f>
        <v/>
      </c>
      <c r="S3935" s="14">
        <f>SUM(M3935:R3935)</f>
        <v/>
      </c>
      <c r="AA3935">
        <f>RAND()</f>
        <v/>
      </c>
      <c r="AB3935">
        <f>RAND()</f>
        <v/>
      </c>
      <c r="AC3935">
        <f>RAND()</f>
        <v/>
      </c>
      <c r="AD3935">
        <f>RAND()</f>
        <v/>
      </c>
      <c r="AE3935">
        <f>RAND()</f>
        <v/>
      </c>
      <c r="AF3935">
        <f>RAND()</f>
        <v/>
      </c>
    </row>
    <row r="3936">
      <c r="M3936" s="14">
        <f>_xlfn.BETA.INV($AA3936,1+4*($D$5-$C$5)/($E$5-$C$5),1+4*($E$5-$D$5)/($E$5-$C$5),$C$5,$E$5)</f>
        <v/>
      </c>
      <c r="N3936" s="14">
        <f>IF($AB3936&lt;($D$6-$C$6)/($E$6-$C$6),$C$6+SQRT($AB3936*($E$6-$C$6)*($D$6-$C$6)),$E$6-SQRT((1-$AB3936)*($E$6-$C$6)*($E$6-$D$6)))</f>
        <v/>
      </c>
      <c r="O3936" s="14">
        <f>_xlfn.NORM.INV($AC3936,$C$7,$D$7)</f>
        <v/>
      </c>
      <c r="P3936" s="14">
        <f>$C$8+($D$8-$C$8)*$AD3936</f>
        <v/>
      </c>
      <c r="Q3936" s="14">
        <f>$C$9</f>
        <v/>
      </c>
      <c r="R3936" s="14">
        <f>_xlfn.LOGNORM.INV($AF3936,LN($C$10)-0.5*LN(1+($D$10/$C$10)^2),SQRT(LN(1+($D$10/$C$10)^2)))</f>
        <v/>
      </c>
      <c r="S3936" s="14">
        <f>SUM(M3936:R3936)</f>
        <v/>
      </c>
      <c r="AA3936">
        <f>RAND()</f>
        <v/>
      </c>
      <c r="AB3936">
        <f>RAND()</f>
        <v/>
      </c>
      <c r="AC3936">
        <f>RAND()</f>
        <v/>
      </c>
      <c r="AD3936">
        <f>RAND()</f>
        <v/>
      </c>
      <c r="AE3936">
        <f>RAND()</f>
        <v/>
      </c>
      <c r="AF3936">
        <f>RAND()</f>
        <v/>
      </c>
    </row>
    <row r="3937">
      <c r="M3937" s="14">
        <f>_xlfn.BETA.INV($AA3937,1+4*($D$5-$C$5)/($E$5-$C$5),1+4*($E$5-$D$5)/($E$5-$C$5),$C$5,$E$5)</f>
        <v/>
      </c>
      <c r="N3937" s="14">
        <f>IF($AB3937&lt;($D$6-$C$6)/($E$6-$C$6),$C$6+SQRT($AB3937*($E$6-$C$6)*($D$6-$C$6)),$E$6-SQRT((1-$AB3937)*($E$6-$C$6)*($E$6-$D$6)))</f>
        <v/>
      </c>
      <c r="O3937" s="14">
        <f>_xlfn.NORM.INV($AC3937,$C$7,$D$7)</f>
        <v/>
      </c>
      <c r="P3937" s="14">
        <f>$C$8+($D$8-$C$8)*$AD3937</f>
        <v/>
      </c>
      <c r="Q3937" s="14">
        <f>$C$9</f>
        <v/>
      </c>
      <c r="R3937" s="14">
        <f>_xlfn.LOGNORM.INV($AF3937,LN($C$10)-0.5*LN(1+($D$10/$C$10)^2),SQRT(LN(1+($D$10/$C$10)^2)))</f>
        <v/>
      </c>
      <c r="S3937" s="14">
        <f>SUM(M3937:R3937)</f>
        <v/>
      </c>
      <c r="AA3937">
        <f>RAND()</f>
        <v/>
      </c>
      <c r="AB3937">
        <f>RAND()</f>
        <v/>
      </c>
      <c r="AC3937">
        <f>RAND()</f>
        <v/>
      </c>
      <c r="AD3937">
        <f>RAND()</f>
        <v/>
      </c>
      <c r="AE3937">
        <f>RAND()</f>
        <v/>
      </c>
      <c r="AF3937">
        <f>RAND()</f>
        <v/>
      </c>
    </row>
    <row r="3938">
      <c r="M3938" s="14">
        <f>_xlfn.BETA.INV($AA3938,1+4*($D$5-$C$5)/($E$5-$C$5),1+4*($E$5-$D$5)/($E$5-$C$5),$C$5,$E$5)</f>
        <v/>
      </c>
      <c r="N3938" s="14">
        <f>IF($AB3938&lt;($D$6-$C$6)/($E$6-$C$6),$C$6+SQRT($AB3938*($E$6-$C$6)*($D$6-$C$6)),$E$6-SQRT((1-$AB3938)*($E$6-$C$6)*($E$6-$D$6)))</f>
        <v/>
      </c>
      <c r="O3938" s="14">
        <f>_xlfn.NORM.INV($AC3938,$C$7,$D$7)</f>
        <v/>
      </c>
      <c r="P3938" s="14">
        <f>$C$8+($D$8-$C$8)*$AD3938</f>
        <v/>
      </c>
      <c r="Q3938" s="14">
        <f>$C$9</f>
        <v/>
      </c>
      <c r="R3938" s="14">
        <f>_xlfn.LOGNORM.INV($AF3938,LN($C$10)-0.5*LN(1+($D$10/$C$10)^2),SQRT(LN(1+($D$10/$C$10)^2)))</f>
        <v/>
      </c>
      <c r="S3938" s="14">
        <f>SUM(M3938:R3938)</f>
        <v/>
      </c>
      <c r="AA3938">
        <f>RAND()</f>
        <v/>
      </c>
      <c r="AB3938">
        <f>RAND()</f>
        <v/>
      </c>
      <c r="AC3938">
        <f>RAND()</f>
        <v/>
      </c>
      <c r="AD3938">
        <f>RAND()</f>
        <v/>
      </c>
      <c r="AE3938">
        <f>RAND()</f>
        <v/>
      </c>
      <c r="AF3938">
        <f>RAND()</f>
        <v/>
      </c>
    </row>
    <row r="3939">
      <c r="M3939" s="14">
        <f>_xlfn.BETA.INV($AA3939,1+4*($D$5-$C$5)/($E$5-$C$5),1+4*($E$5-$D$5)/($E$5-$C$5),$C$5,$E$5)</f>
        <v/>
      </c>
      <c r="N3939" s="14">
        <f>IF($AB3939&lt;($D$6-$C$6)/($E$6-$C$6),$C$6+SQRT($AB3939*($E$6-$C$6)*($D$6-$C$6)),$E$6-SQRT((1-$AB3939)*($E$6-$C$6)*($E$6-$D$6)))</f>
        <v/>
      </c>
      <c r="O3939" s="14">
        <f>_xlfn.NORM.INV($AC3939,$C$7,$D$7)</f>
        <v/>
      </c>
      <c r="P3939" s="14">
        <f>$C$8+($D$8-$C$8)*$AD3939</f>
        <v/>
      </c>
      <c r="Q3939" s="14">
        <f>$C$9</f>
        <v/>
      </c>
      <c r="R3939" s="14">
        <f>_xlfn.LOGNORM.INV($AF3939,LN($C$10)-0.5*LN(1+($D$10/$C$10)^2),SQRT(LN(1+($D$10/$C$10)^2)))</f>
        <v/>
      </c>
      <c r="S3939" s="14">
        <f>SUM(M3939:R3939)</f>
        <v/>
      </c>
      <c r="AA3939">
        <f>RAND()</f>
        <v/>
      </c>
      <c r="AB3939">
        <f>RAND()</f>
        <v/>
      </c>
      <c r="AC3939">
        <f>RAND()</f>
        <v/>
      </c>
      <c r="AD3939">
        <f>RAND()</f>
        <v/>
      </c>
      <c r="AE3939">
        <f>RAND()</f>
        <v/>
      </c>
      <c r="AF3939">
        <f>RAND()</f>
        <v/>
      </c>
    </row>
    <row r="3940">
      <c r="M3940" s="14">
        <f>_xlfn.BETA.INV($AA3940,1+4*($D$5-$C$5)/($E$5-$C$5),1+4*($E$5-$D$5)/($E$5-$C$5),$C$5,$E$5)</f>
        <v/>
      </c>
      <c r="N3940" s="14">
        <f>IF($AB3940&lt;($D$6-$C$6)/($E$6-$C$6),$C$6+SQRT($AB3940*($E$6-$C$6)*($D$6-$C$6)),$E$6-SQRT((1-$AB3940)*($E$6-$C$6)*($E$6-$D$6)))</f>
        <v/>
      </c>
      <c r="O3940" s="14">
        <f>_xlfn.NORM.INV($AC3940,$C$7,$D$7)</f>
        <v/>
      </c>
      <c r="P3940" s="14">
        <f>$C$8+($D$8-$C$8)*$AD3940</f>
        <v/>
      </c>
      <c r="Q3940" s="14">
        <f>$C$9</f>
        <v/>
      </c>
      <c r="R3940" s="14">
        <f>_xlfn.LOGNORM.INV($AF3940,LN($C$10)-0.5*LN(1+($D$10/$C$10)^2),SQRT(LN(1+($D$10/$C$10)^2)))</f>
        <v/>
      </c>
      <c r="S3940" s="14">
        <f>SUM(M3940:R3940)</f>
        <v/>
      </c>
      <c r="AA3940">
        <f>RAND()</f>
        <v/>
      </c>
      <c r="AB3940">
        <f>RAND()</f>
        <v/>
      </c>
      <c r="AC3940">
        <f>RAND()</f>
        <v/>
      </c>
      <c r="AD3940">
        <f>RAND()</f>
        <v/>
      </c>
      <c r="AE3940">
        <f>RAND()</f>
        <v/>
      </c>
      <c r="AF3940">
        <f>RAND()</f>
        <v/>
      </c>
    </row>
    <row r="3941">
      <c r="M3941" s="14">
        <f>_xlfn.BETA.INV($AA3941,1+4*($D$5-$C$5)/($E$5-$C$5),1+4*($E$5-$D$5)/($E$5-$C$5),$C$5,$E$5)</f>
        <v/>
      </c>
      <c r="N3941" s="14">
        <f>IF($AB3941&lt;($D$6-$C$6)/($E$6-$C$6),$C$6+SQRT($AB3941*($E$6-$C$6)*($D$6-$C$6)),$E$6-SQRT((1-$AB3941)*($E$6-$C$6)*($E$6-$D$6)))</f>
        <v/>
      </c>
      <c r="O3941" s="14">
        <f>_xlfn.NORM.INV($AC3941,$C$7,$D$7)</f>
        <v/>
      </c>
      <c r="P3941" s="14">
        <f>$C$8+($D$8-$C$8)*$AD3941</f>
        <v/>
      </c>
      <c r="Q3941" s="14">
        <f>$C$9</f>
        <v/>
      </c>
      <c r="R3941" s="14">
        <f>_xlfn.LOGNORM.INV($AF3941,LN($C$10)-0.5*LN(1+($D$10/$C$10)^2),SQRT(LN(1+($D$10/$C$10)^2)))</f>
        <v/>
      </c>
      <c r="S3941" s="14">
        <f>SUM(M3941:R3941)</f>
        <v/>
      </c>
      <c r="AA3941">
        <f>RAND()</f>
        <v/>
      </c>
      <c r="AB3941">
        <f>RAND()</f>
        <v/>
      </c>
      <c r="AC3941">
        <f>RAND()</f>
        <v/>
      </c>
      <c r="AD3941">
        <f>RAND()</f>
        <v/>
      </c>
      <c r="AE3941">
        <f>RAND()</f>
        <v/>
      </c>
      <c r="AF3941">
        <f>RAND()</f>
        <v/>
      </c>
    </row>
    <row r="3942">
      <c r="M3942" s="14">
        <f>_xlfn.BETA.INV($AA3942,1+4*($D$5-$C$5)/($E$5-$C$5),1+4*($E$5-$D$5)/($E$5-$C$5),$C$5,$E$5)</f>
        <v/>
      </c>
      <c r="N3942" s="14">
        <f>IF($AB3942&lt;($D$6-$C$6)/($E$6-$C$6),$C$6+SQRT($AB3942*($E$6-$C$6)*($D$6-$C$6)),$E$6-SQRT((1-$AB3942)*($E$6-$C$6)*($E$6-$D$6)))</f>
        <v/>
      </c>
      <c r="O3942" s="14">
        <f>_xlfn.NORM.INV($AC3942,$C$7,$D$7)</f>
        <v/>
      </c>
      <c r="P3942" s="14">
        <f>$C$8+($D$8-$C$8)*$AD3942</f>
        <v/>
      </c>
      <c r="Q3942" s="14">
        <f>$C$9</f>
        <v/>
      </c>
      <c r="R3942" s="14">
        <f>_xlfn.LOGNORM.INV($AF3942,LN($C$10)-0.5*LN(1+($D$10/$C$10)^2),SQRT(LN(1+($D$10/$C$10)^2)))</f>
        <v/>
      </c>
      <c r="S3942" s="14">
        <f>SUM(M3942:R3942)</f>
        <v/>
      </c>
      <c r="AA3942">
        <f>RAND()</f>
        <v/>
      </c>
      <c r="AB3942">
        <f>RAND()</f>
        <v/>
      </c>
      <c r="AC3942">
        <f>RAND()</f>
        <v/>
      </c>
      <c r="AD3942">
        <f>RAND()</f>
        <v/>
      </c>
      <c r="AE3942">
        <f>RAND()</f>
        <v/>
      </c>
      <c r="AF3942">
        <f>RAND()</f>
        <v/>
      </c>
    </row>
    <row r="3943">
      <c r="M3943" s="14">
        <f>_xlfn.BETA.INV($AA3943,1+4*($D$5-$C$5)/($E$5-$C$5),1+4*($E$5-$D$5)/($E$5-$C$5),$C$5,$E$5)</f>
        <v/>
      </c>
      <c r="N3943" s="14">
        <f>IF($AB3943&lt;($D$6-$C$6)/($E$6-$C$6),$C$6+SQRT($AB3943*($E$6-$C$6)*($D$6-$C$6)),$E$6-SQRT((1-$AB3943)*($E$6-$C$6)*($E$6-$D$6)))</f>
        <v/>
      </c>
      <c r="O3943" s="14">
        <f>_xlfn.NORM.INV($AC3943,$C$7,$D$7)</f>
        <v/>
      </c>
      <c r="P3943" s="14">
        <f>$C$8+($D$8-$C$8)*$AD3943</f>
        <v/>
      </c>
      <c r="Q3943" s="14">
        <f>$C$9</f>
        <v/>
      </c>
      <c r="R3943" s="14">
        <f>_xlfn.LOGNORM.INV($AF3943,LN($C$10)-0.5*LN(1+($D$10/$C$10)^2),SQRT(LN(1+($D$10/$C$10)^2)))</f>
        <v/>
      </c>
      <c r="S3943" s="14">
        <f>SUM(M3943:R3943)</f>
        <v/>
      </c>
      <c r="AA3943">
        <f>RAND()</f>
        <v/>
      </c>
      <c r="AB3943">
        <f>RAND()</f>
        <v/>
      </c>
      <c r="AC3943">
        <f>RAND()</f>
        <v/>
      </c>
      <c r="AD3943">
        <f>RAND()</f>
        <v/>
      </c>
      <c r="AE3943">
        <f>RAND()</f>
        <v/>
      </c>
      <c r="AF3943">
        <f>RAND()</f>
        <v/>
      </c>
    </row>
    <row r="3944">
      <c r="M3944" s="14">
        <f>_xlfn.BETA.INV($AA3944,1+4*($D$5-$C$5)/($E$5-$C$5),1+4*($E$5-$D$5)/($E$5-$C$5),$C$5,$E$5)</f>
        <v/>
      </c>
      <c r="N3944" s="14">
        <f>IF($AB3944&lt;($D$6-$C$6)/($E$6-$C$6),$C$6+SQRT($AB3944*($E$6-$C$6)*($D$6-$C$6)),$E$6-SQRT((1-$AB3944)*($E$6-$C$6)*($E$6-$D$6)))</f>
        <v/>
      </c>
      <c r="O3944" s="14">
        <f>_xlfn.NORM.INV($AC3944,$C$7,$D$7)</f>
        <v/>
      </c>
      <c r="P3944" s="14">
        <f>$C$8+($D$8-$C$8)*$AD3944</f>
        <v/>
      </c>
      <c r="Q3944" s="14">
        <f>$C$9</f>
        <v/>
      </c>
      <c r="R3944" s="14">
        <f>_xlfn.LOGNORM.INV($AF3944,LN($C$10)-0.5*LN(1+($D$10/$C$10)^2),SQRT(LN(1+($D$10/$C$10)^2)))</f>
        <v/>
      </c>
      <c r="S3944" s="14">
        <f>SUM(M3944:R3944)</f>
        <v/>
      </c>
      <c r="AA3944">
        <f>RAND()</f>
        <v/>
      </c>
      <c r="AB3944">
        <f>RAND()</f>
        <v/>
      </c>
      <c r="AC3944">
        <f>RAND()</f>
        <v/>
      </c>
      <c r="AD3944">
        <f>RAND()</f>
        <v/>
      </c>
      <c r="AE3944">
        <f>RAND()</f>
        <v/>
      </c>
      <c r="AF3944">
        <f>RAND()</f>
        <v/>
      </c>
    </row>
    <row r="3945">
      <c r="M3945" s="14">
        <f>_xlfn.BETA.INV($AA3945,1+4*($D$5-$C$5)/($E$5-$C$5),1+4*($E$5-$D$5)/($E$5-$C$5),$C$5,$E$5)</f>
        <v/>
      </c>
      <c r="N3945" s="14">
        <f>IF($AB3945&lt;($D$6-$C$6)/($E$6-$C$6),$C$6+SQRT($AB3945*($E$6-$C$6)*($D$6-$C$6)),$E$6-SQRT((1-$AB3945)*($E$6-$C$6)*($E$6-$D$6)))</f>
        <v/>
      </c>
      <c r="O3945" s="14">
        <f>_xlfn.NORM.INV($AC3945,$C$7,$D$7)</f>
        <v/>
      </c>
      <c r="P3945" s="14">
        <f>$C$8+($D$8-$C$8)*$AD3945</f>
        <v/>
      </c>
      <c r="Q3945" s="14">
        <f>$C$9</f>
        <v/>
      </c>
      <c r="R3945" s="14">
        <f>_xlfn.LOGNORM.INV($AF3945,LN($C$10)-0.5*LN(1+($D$10/$C$10)^2),SQRT(LN(1+($D$10/$C$10)^2)))</f>
        <v/>
      </c>
      <c r="S3945" s="14">
        <f>SUM(M3945:R3945)</f>
        <v/>
      </c>
      <c r="AA3945">
        <f>RAND()</f>
        <v/>
      </c>
      <c r="AB3945">
        <f>RAND()</f>
        <v/>
      </c>
      <c r="AC3945">
        <f>RAND()</f>
        <v/>
      </c>
      <c r="AD3945">
        <f>RAND()</f>
        <v/>
      </c>
      <c r="AE3945">
        <f>RAND()</f>
        <v/>
      </c>
      <c r="AF3945">
        <f>RAND()</f>
        <v/>
      </c>
    </row>
    <row r="3946">
      <c r="M3946" s="14">
        <f>_xlfn.BETA.INV($AA3946,1+4*($D$5-$C$5)/($E$5-$C$5),1+4*($E$5-$D$5)/($E$5-$C$5),$C$5,$E$5)</f>
        <v/>
      </c>
      <c r="N3946" s="14">
        <f>IF($AB3946&lt;($D$6-$C$6)/($E$6-$C$6),$C$6+SQRT($AB3946*($E$6-$C$6)*($D$6-$C$6)),$E$6-SQRT((1-$AB3946)*($E$6-$C$6)*($E$6-$D$6)))</f>
        <v/>
      </c>
      <c r="O3946" s="14">
        <f>_xlfn.NORM.INV($AC3946,$C$7,$D$7)</f>
        <v/>
      </c>
      <c r="P3946" s="14">
        <f>$C$8+($D$8-$C$8)*$AD3946</f>
        <v/>
      </c>
      <c r="Q3946" s="14">
        <f>$C$9</f>
        <v/>
      </c>
      <c r="R3946" s="14">
        <f>_xlfn.LOGNORM.INV($AF3946,LN($C$10)-0.5*LN(1+($D$10/$C$10)^2),SQRT(LN(1+($D$10/$C$10)^2)))</f>
        <v/>
      </c>
      <c r="S3946" s="14">
        <f>SUM(M3946:R3946)</f>
        <v/>
      </c>
      <c r="AA3946">
        <f>RAND()</f>
        <v/>
      </c>
      <c r="AB3946">
        <f>RAND()</f>
        <v/>
      </c>
      <c r="AC3946">
        <f>RAND()</f>
        <v/>
      </c>
      <c r="AD3946">
        <f>RAND()</f>
        <v/>
      </c>
      <c r="AE3946">
        <f>RAND()</f>
        <v/>
      </c>
      <c r="AF3946">
        <f>RAND()</f>
        <v/>
      </c>
    </row>
    <row r="3947">
      <c r="M3947" s="14">
        <f>_xlfn.BETA.INV($AA3947,1+4*($D$5-$C$5)/($E$5-$C$5),1+4*($E$5-$D$5)/($E$5-$C$5),$C$5,$E$5)</f>
        <v/>
      </c>
      <c r="N3947" s="14">
        <f>IF($AB3947&lt;($D$6-$C$6)/($E$6-$C$6),$C$6+SQRT($AB3947*($E$6-$C$6)*($D$6-$C$6)),$E$6-SQRT((1-$AB3947)*($E$6-$C$6)*($E$6-$D$6)))</f>
        <v/>
      </c>
      <c r="O3947" s="14">
        <f>_xlfn.NORM.INV($AC3947,$C$7,$D$7)</f>
        <v/>
      </c>
      <c r="P3947" s="14">
        <f>$C$8+($D$8-$C$8)*$AD3947</f>
        <v/>
      </c>
      <c r="Q3947" s="14">
        <f>$C$9</f>
        <v/>
      </c>
      <c r="R3947" s="14">
        <f>_xlfn.LOGNORM.INV($AF3947,LN($C$10)-0.5*LN(1+($D$10/$C$10)^2),SQRT(LN(1+($D$10/$C$10)^2)))</f>
        <v/>
      </c>
      <c r="S3947" s="14">
        <f>SUM(M3947:R3947)</f>
        <v/>
      </c>
      <c r="AA3947">
        <f>RAND()</f>
        <v/>
      </c>
      <c r="AB3947">
        <f>RAND()</f>
        <v/>
      </c>
      <c r="AC3947">
        <f>RAND()</f>
        <v/>
      </c>
      <c r="AD3947">
        <f>RAND()</f>
        <v/>
      </c>
      <c r="AE3947">
        <f>RAND()</f>
        <v/>
      </c>
      <c r="AF3947">
        <f>RAND()</f>
        <v/>
      </c>
    </row>
    <row r="3948">
      <c r="M3948" s="14">
        <f>_xlfn.BETA.INV($AA3948,1+4*($D$5-$C$5)/($E$5-$C$5),1+4*($E$5-$D$5)/($E$5-$C$5),$C$5,$E$5)</f>
        <v/>
      </c>
      <c r="N3948" s="14">
        <f>IF($AB3948&lt;($D$6-$C$6)/($E$6-$C$6),$C$6+SQRT($AB3948*($E$6-$C$6)*($D$6-$C$6)),$E$6-SQRT((1-$AB3948)*($E$6-$C$6)*($E$6-$D$6)))</f>
        <v/>
      </c>
      <c r="O3948" s="14">
        <f>_xlfn.NORM.INV($AC3948,$C$7,$D$7)</f>
        <v/>
      </c>
      <c r="P3948" s="14">
        <f>$C$8+($D$8-$C$8)*$AD3948</f>
        <v/>
      </c>
      <c r="Q3948" s="14">
        <f>$C$9</f>
        <v/>
      </c>
      <c r="R3948" s="14">
        <f>_xlfn.LOGNORM.INV($AF3948,LN($C$10)-0.5*LN(1+($D$10/$C$10)^2),SQRT(LN(1+($D$10/$C$10)^2)))</f>
        <v/>
      </c>
      <c r="S3948" s="14">
        <f>SUM(M3948:R3948)</f>
        <v/>
      </c>
      <c r="AA3948">
        <f>RAND()</f>
        <v/>
      </c>
      <c r="AB3948">
        <f>RAND()</f>
        <v/>
      </c>
      <c r="AC3948">
        <f>RAND()</f>
        <v/>
      </c>
      <c r="AD3948">
        <f>RAND()</f>
        <v/>
      </c>
      <c r="AE3948">
        <f>RAND()</f>
        <v/>
      </c>
      <c r="AF3948">
        <f>RAND()</f>
        <v/>
      </c>
    </row>
    <row r="3949">
      <c r="M3949" s="14">
        <f>_xlfn.BETA.INV($AA3949,1+4*($D$5-$C$5)/($E$5-$C$5),1+4*($E$5-$D$5)/($E$5-$C$5),$C$5,$E$5)</f>
        <v/>
      </c>
      <c r="N3949" s="14">
        <f>IF($AB3949&lt;($D$6-$C$6)/($E$6-$C$6),$C$6+SQRT($AB3949*($E$6-$C$6)*($D$6-$C$6)),$E$6-SQRT((1-$AB3949)*($E$6-$C$6)*($E$6-$D$6)))</f>
        <v/>
      </c>
      <c r="O3949" s="14">
        <f>_xlfn.NORM.INV($AC3949,$C$7,$D$7)</f>
        <v/>
      </c>
      <c r="P3949" s="14">
        <f>$C$8+($D$8-$C$8)*$AD3949</f>
        <v/>
      </c>
      <c r="Q3949" s="14">
        <f>$C$9</f>
        <v/>
      </c>
      <c r="R3949" s="14">
        <f>_xlfn.LOGNORM.INV($AF3949,LN($C$10)-0.5*LN(1+($D$10/$C$10)^2),SQRT(LN(1+($D$10/$C$10)^2)))</f>
        <v/>
      </c>
      <c r="S3949" s="14">
        <f>SUM(M3949:R3949)</f>
        <v/>
      </c>
      <c r="AA3949">
        <f>RAND()</f>
        <v/>
      </c>
      <c r="AB3949">
        <f>RAND()</f>
        <v/>
      </c>
      <c r="AC3949">
        <f>RAND()</f>
        <v/>
      </c>
      <c r="AD3949">
        <f>RAND()</f>
        <v/>
      </c>
      <c r="AE3949">
        <f>RAND()</f>
        <v/>
      </c>
      <c r="AF3949">
        <f>RAND()</f>
        <v/>
      </c>
    </row>
    <row r="3950">
      <c r="M3950" s="14">
        <f>_xlfn.BETA.INV($AA3950,1+4*($D$5-$C$5)/($E$5-$C$5),1+4*($E$5-$D$5)/($E$5-$C$5),$C$5,$E$5)</f>
        <v/>
      </c>
      <c r="N3950" s="14">
        <f>IF($AB3950&lt;($D$6-$C$6)/($E$6-$C$6),$C$6+SQRT($AB3950*($E$6-$C$6)*($D$6-$C$6)),$E$6-SQRT((1-$AB3950)*($E$6-$C$6)*($E$6-$D$6)))</f>
        <v/>
      </c>
      <c r="O3950" s="14">
        <f>_xlfn.NORM.INV($AC3950,$C$7,$D$7)</f>
        <v/>
      </c>
      <c r="P3950" s="14">
        <f>$C$8+($D$8-$C$8)*$AD3950</f>
        <v/>
      </c>
      <c r="Q3950" s="14">
        <f>$C$9</f>
        <v/>
      </c>
      <c r="R3950" s="14">
        <f>_xlfn.LOGNORM.INV($AF3950,LN($C$10)-0.5*LN(1+($D$10/$C$10)^2),SQRT(LN(1+($D$10/$C$10)^2)))</f>
        <v/>
      </c>
      <c r="S3950" s="14">
        <f>SUM(M3950:R3950)</f>
        <v/>
      </c>
      <c r="AA3950">
        <f>RAND()</f>
        <v/>
      </c>
      <c r="AB3950">
        <f>RAND()</f>
        <v/>
      </c>
      <c r="AC3950">
        <f>RAND()</f>
        <v/>
      </c>
      <c r="AD3950">
        <f>RAND()</f>
        <v/>
      </c>
      <c r="AE3950">
        <f>RAND()</f>
        <v/>
      </c>
      <c r="AF3950">
        <f>RAND()</f>
        <v/>
      </c>
    </row>
    <row r="3951">
      <c r="M3951" s="14">
        <f>_xlfn.BETA.INV($AA3951,1+4*($D$5-$C$5)/($E$5-$C$5),1+4*($E$5-$D$5)/($E$5-$C$5),$C$5,$E$5)</f>
        <v/>
      </c>
      <c r="N3951" s="14">
        <f>IF($AB3951&lt;($D$6-$C$6)/($E$6-$C$6),$C$6+SQRT($AB3951*($E$6-$C$6)*($D$6-$C$6)),$E$6-SQRT((1-$AB3951)*($E$6-$C$6)*($E$6-$D$6)))</f>
        <v/>
      </c>
      <c r="O3951" s="14">
        <f>_xlfn.NORM.INV($AC3951,$C$7,$D$7)</f>
        <v/>
      </c>
      <c r="P3951" s="14">
        <f>$C$8+($D$8-$C$8)*$AD3951</f>
        <v/>
      </c>
      <c r="Q3951" s="14">
        <f>$C$9</f>
        <v/>
      </c>
      <c r="R3951" s="14">
        <f>_xlfn.LOGNORM.INV($AF3951,LN($C$10)-0.5*LN(1+($D$10/$C$10)^2),SQRT(LN(1+($D$10/$C$10)^2)))</f>
        <v/>
      </c>
      <c r="S3951" s="14">
        <f>SUM(M3951:R3951)</f>
        <v/>
      </c>
      <c r="AA3951">
        <f>RAND()</f>
        <v/>
      </c>
      <c r="AB3951">
        <f>RAND()</f>
        <v/>
      </c>
      <c r="AC3951">
        <f>RAND()</f>
        <v/>
      </c>
      <c r="AD3951">
        <f>RAND()</f>
        <v/>
      </c>
      <c r="AE3951">
        <f>RAND()</f>
        <v/>
      </c>
      <c r="AF3951">
        <f>RAND()</f>
        <v/>
      </c>
    </row>
    <row r="3952">
      <c r="M3952" s="14">
        <f>_xlfn.BETA.INV($AA3952,1+4*($D$5-$C$5)/($E$5-$C$5),1+4*($E$5-$D$5)/($E$5-$C$5),$C$5,$E$5)</f>
        <v/>
      </c>
      <c r="N3952" s="14">
        <f>IF($AB3952&lt;($D$6-$C$6)/($E$6-$C$6),$C$6+SQRT($AB3952*($E$6-$C$6)*($D$6-$C$6)),$E$6-SQRT((1-$AB3952)*($E$6-$C$6)*($E$6-$D$6)))</f>
        <v/>
      </c>
      <c r="O3952" s="14">
        <f>_xlfn.NORM.INV($AC3952,$C$7,$D$7)</f>
        <v/>
      </c>
      <c r="P3952" s="14">
        <f>$C$8+($D$8-$C$8)*$AD3952</f>
        <v/>
      </c>
      <c r="Q3952" s="14">
        <f>$C$9</f>
        <v/>
      </c>
      <c r="R3952" s="14">
        <f>_xlfn.LOGNORM.INV($AF3952,LN($C$10)-0.5*LN(1+($D$10/$C$10)^2),SQRT(LN(1+($D$10/$C$10)^2)))</f>
        <v/>
      </c>
      <c r="S3952" s="14">
        <f>SUM(M3952:R3952)</f>
        <v/>
      </c>
      <c r="AA3952">
        <f>RAND()</f>
        <v/>
      </c>
      <c r="AB3952">
        <f>RAND()</f>
        <v/>
      </c>
      <c r="AC3952">
        <f>RAND()</f>
        <v/>
      </c>
      <c r="AD3952">
        <f>RAND()</f>
        <v/>
      </c>
      <c r="AE3952">
        <f>RAND()</f>
        <v/>
      </c>
      <c r="AF3952">
        <f>RAND()</f>
        <v/>
      </c>
    </row>
    <row r="3953">
      <c r="M3953" s="14">
        <f>_xlfn.BETA.INV($AA3953,1+4*($D$5-$C$5)/($E$5-$C$5),1+4*($E$5-$D$5)/($E$5-$C$5),$C$5,$E$5)</f>
        <v/>
      </c>
      <c r="N3953" s="14">
        <f>IF($AB3953&lt;($D$6-$C$6)/($E$6-$C$6),$C$6+SQRT($AB3953*($E$6-$C$6)*($D$6-$C$6)),$E$6-SQRT((1-$AB3953)*($E$6-$C$6)*($E$6-$D$6)))</f>
        <v/>
      </c>
      <c r="O3953" s="14">
        <f>_xlfn.NORM.INV($AC3953,$C$7,$D$7)</f>
        <v/>
      </c>
      <c r="P3953" s="14">
        <f>$C$8+($D$8-$C$8)*$AD3953</f>
        <v/>
      </c>
      <c r="Q3953" s="14">
        <f>$C$9</f>
        <v/>
      </c>
      <c r="R3953" s="14">
        <f>_xlfn.LOGNORM.INV($AF3953,LN($C$10)-0.5*LN(1+($D$10/$C$10)^2),SQRT(LN(1+($D$10/$C$10)^2)))</f>
        <v/>
      </c>
      <c r="S3953" s="14">
        <f>SUM(M3953:R3953)</f>
        <v/>
      </c>
      <c r="AA3953">
        <f>RAND()</f>
        <v/>
      </c>
      <c r="AB3953">
        <f>RAND()</f>
        <v/>
      </c>
      <c r="AC3953">
        <f>RAND()</f>
        <v/>
      </c>
      <c r="AD3953">
        <f>RAND()</f>
        <v/>
      </c>
      <c r="AE3953">
        <f>RAND()</f>
        <v/>
      </c>
      <c r="AF3953">
        <f>RAND()</f>
        <v/>
      </c>
    </row>
    <row r="3954">
      <c r="M3954" s="14">
        <f>_xlfn.BETA.INV($AA3954,1+4*($D$5-$C$5)/($E$5-$C$5),1+4*($E$5-$D$5)/($E$5-$C$5),$C$5,$E$5)</f>
        <v/>
      </c>
      <c r="N3954" s="14">
        <f>IF($AB3954&lt;($D$6-$C$6)/($E$6-$C$6),$C$6+SQRT($AB3954*($E$6-$C$6)*($D$6-$C$6)),$E$6-SQRT((1-$AB3954)*($E$6-$C$6)*($E$6-$D$6)))</f>
        <v/>
      </c>
      <c r="O3954" s="14">
        <f>_xlfn.NORM.INV($AC3954,$C$7,$D$7)</f>
        <v/>
      </c>
      <c r="P3954" s="14">
        <f>$C$8+($D$8-$C$8)*$AD3954</f>
        <v/>
      </c>
      <c r="Q3954" s="14">
        <f>$C$9</f>
        <v/>
      </c>
      <c r="R3954" s="14">
        <f>_xlfn.LOGNORM.INV($AF3954,LN($C$10)-0.5*LN(1+($D$10/$C$10)^2),SQRT(LN(1+($D$10/$C$10)^2)))</f>
        <v/>
      </c>
      <c r="S3954" s="14">
        <f>SUM(M3954:R3954)</f>
        <v/>
      </c>
      <c r="AA3954">
        <f>RAND()</f>
        <v/>
      </c>
      <c r="AB3954">
        <f>RAND()</f>
        <v/>
      </c>
      <c r="AC3954">
        <f>RAND()</f>
        <v/>
      </c>
      <c r="AD3954">
        <f>RAND()</f>
        <v/>
      </c>
      <c r="AE3954">
        <f>RAND()</f>
        <v/>
      </c>
      <c r="AF3954">
        <f>RAND()</f>
        <v/>
      </c>
    </row>
    <row r="3955">
      <c r="M3955" s="14">
        <f>_xlfn.BETA.INV($AA3955,1+4*($D$5-$C$5)/($E$5-$C$5),1+4*($E$5-$D$5)/($E$5-$C$5),$C$5,$E$5)</f>
        <v/>
      </c>
      <c r="N3955" s="14">
        <f>IF($AB3955&lt;($D$6-$C$6)/($E$6-$C$6),$C$6+SQRT($AB3955*($E$6-$C$6)*($D$6-$C$6)),$E$6-SQRT((1-$AB3955)*($E$6-$C$6)*($E$6-$D$6)))</f>
        <v/>
      </c>
      <c r="O3955" s="14">
        <f>_xlfn.NORM.INV($AC3955,$C$7,$D$7)</f>
        <v/>
      </c>
      <c r="P3955" s="14">
        <f>$C$8+($D$8-$C$8)*$AD3955</f>
        <v/>
      </c>
      <c r="Q3955" s="14">
        <f>$C$9</f>
        <v/>
      </c>
      <c r="R3955" s="14">
        <f>_xlfn.LOGNORM.INV($AF3955,LN($C$10)-0.5*LN(1+($D$10/$C$10)^2),SQRT(LN(1+($D$10/$C$10)^2)))</f>
        <v/>
      </c>
      <c r="S3955" s="14">
        <f>SUM(M3955:R3955)</f>
        <v/>
      </c>
      <c r="AA3955">
        <f>RAND()</f>
        <v/>
      </c>
      <c r="AB3955">
        <f>RAND()</f>
        <v/>
      </c>
      <c r="AC3955">
        <f>RAND()</f>
        <v/>
      </c>
      <c r="AD3955">
        <f>RAND()</f>
        <v/>
      </c>
      <c r="AE3955">
        <f>RAND()</f>
        <v/>
      </c>
      <c r="AF3955">
        <f>RAND()</f>
        <v/>
      </c>
    </row>
    <row r="3956">
      <c r="M3956" s="14">
        <f>_xlfn.BETA.INV($AA3956,1+4*($D$5-$C$5)/($E$5-$C$5),1+4*($E$5-$D$5)/($E$5-$C$5),$C$5,$E$5)</f>
        <v/>
      </c>
      <c r="N3956" s="14">
        <f>IF($AB3956&lt;($D$6-$C$6)/($E$6-$C$6),$C$6+SQRT($AB3956*($E$6-$C$6)*($D$6-$C$6)),$E$6-SQRT((1-$AB3956)*($E$6-$C$6)*($E$6-$D$6)))</f>
        <v/>
      </c>
      <c r="O3956" s="14">
        <f>_xlfn.NORM.INV($AC3956,$C$7,$D$7)</f>
        <v/>
      </c>
      <c r="P3956" s="14">
        <f>$C$8+($D$8-$C$8)*$AD3956</f>
        <v/>
      </c>
      <c r="Q3956" s="14">
        <f>$C$9</f>
        <v/>
      </c>
      <c r="R3956" s="14">
        <f>_xlfn.LOGNORM.INV($AF3956,LN($C$10)-0.5*LN(1+($D$10/$C$10)^2),SQRT(LN(1+($D$10/$C$10)^2)))</f>
        <v/>
      </c>
      <c r="S3956" s="14">
        <f>SUM(M3956:R3956)</f>
        <v/>
      </c>
      <c r="AA3956">
        <f>RAND()</f>
        <v/>
      </c>
      <c r="AB3956">
        <f>RAND()</f>
        <v/>
      </c>
      <c r="AC3956">
        <f>RAND()</f>
        <v/>
      </c>
      <c r="AD3956">
        <f>RAND()</f>
        <v/>
      </c>
      <c r="AE3956">
        <f>RAND()</f>
        <v/>
      </c>
      <c r="AF3956">
        <f>RAND()</f>
        <v/>
      </c>
    </row>
    <row r="3957">
      <c r="M3957" s="14">
        <f>_xlfn.BETA.INV($AA3957,1+4*($D$5-$C$5)/($E$5-$C$5),1+4*($E$5-$D$5)/($E$5-$C$5),$C$5,$E$5)</f>
        <v/>
      </c>
      <c r="N3957" s="14">
        <f>IF($AB3957&lt;($D$6-$C$6)/($E$6-$C$6),$C$6+SQRT($AB3957*($E$6-$C$6)*($D$6-$C$6)),$E$6-SQRT((1-$AB3957)*($E$6-$C$6)*($E$6-$D$6)))</f>
        <v/>
      </c>
      <c r="O3957" s="14">
        <f>_xlfn.NORM.INV($AC3957,$C$7,$D$7)</f>
        <v/>
      </c>
      <c r="P3957" s="14">
        <f>$C$8+($D$8-$C$8)*$AD3957</f>
        <v/>
      </c>
      <c r="Q3957" s="14">
        <f>$C$9</f>
        <v/>
      </c>
      <c r="R3957" s="14">
        <f>_xlfn.LOGNORM.INV($AF3957,LN($C$10)-0.5*LN(1+($D$10/$C$10)^2),SQRT(LN(1+($D$10/$C$10)^2)))</f>
        <v/>
      </c>
      <c r="S3957" s="14">
        <f>SUM(M3957:R3957)</f>
        <v/>
      </c>
      <c r="AA3957">
        <f>RAND()</f>
        <v/>
      </c>
      <c r="AB3957">
        <f>RAND()</f>
        <v/>
      </c>
      <c r="AC3957">
        <f>RAND()</f>
        <v/>
      </c>
      <c r="AD3957">
        <f>RAND()</f>
        <v/>
      </c>
      <c r="AE3957">
        <f>RAND()</f>
        <v/>
      </c>
      <c r="AF3957">
        <f>RAND()</f>
        <v/>
      </c>
    </row>
    <row r="3958">
      <c r="M3958" s="14">
        <f>_xlfn.BETA.INV($AA3958,1+4*($D$5-$C$5)/($E$5-$C$5),1+4*($E$5-$D$5)/($E$5-$C$5),$C$5,$E$5)</f>
        <v/>
      </c>
      <c r="N3958" s="14">
        <f>IF($AB3958&lt;($D$6-$C$6)/($E$6-$C$6),$C$6+SQRT($AB3958*($E$6-$C$6)*($D$6-$C$6)),$E$6-SQRT((1-$AB3958)*($E$6-$C$6)*($E$6-$D$6)))</f>
        <v/>
      </c>
      <c r="O3958" s="14">
        <f>_xlfn.NORM.INV($AC3958,$C$7,$D$7)</f>
        <v/>
      </c>
      <c r="P3958" s="14">
        <f>$C$8+($D$8-$C$8)*$AD3958</f>
        <v/>
      </c>
      <c r="Q3958" s="14">
        <f>$C$9</f>
        <v/>
      </c>
      <c r="R3958" s="14">
        <f>_xlfn.LOGNORM.INV($AF3958,LN($C$10)-0.5*LN(1+($D$10/$C$10)^2),SQRT(LN(1+($D$10/$C$10)^2)))</f>
        <v/>
      </c>
      <c r="S3958" s="14">
        <f>SUM(M3958:R3958)</f>
        <v/>
      </c>
      <c r="AA3958">
        <f>RAND()</f>
        <v/>
      </c>
      <c r="AB3958">
        <f>RAND()</f>
        <v/>
      </c>
      <c r="AC3958">
        <f>RAND()</f>
        <v/>
      </c>
      <c r="AD3958">
        <f>RAND()</f>
        <v/>
      </c>
      <c r="AE3958">
        <f>RAND()</f>
        <v/>
      </c>
      <c r="AF3958">
        <f>RAND()</f>
        <v/>
      </c>
    </row>
    <row r="3959">
      <c r="M3959" s="14">
        <f>_xlfn.BETA.INV($AA3959,1+4*($D$5-$C$5)/($E$5-$C$5),1+4*($E$5-$D$5)/($E$5-$C$5),$C$5,$E$5)</f>
        <v/>
      </c>
      <c r="N3959" s="14">
        <f>IF($AB3959&lt;($D$6-$C$6)/($E$6-$C$6),$C$6+SQRT($AB3959*($E$6-$C$6)*($D$6-$C$6)),$E$6-SQRT((1-$AB3959)*($E$6-$C$6)*($E$6-$D$6)))</f>
        <v/>
      </c>
      <c r="O3959" s="14">
        <f>_xlfn.NORM.INV($AC3959,$C$7,$D$7)</f>
        <v/>
      </c>
      <c r="P3959" s="14">
        <f>$C$8+($D$8-$C$8)*$AD3959</f>
        <v/>
      </c>
      <c r="Q3959" s="14">
        <f>$C$9</f>
        <v/>
      </c>
      <c r="R3959" s="14">
        <f>_xlfn.LOGNORM.INV($AF3959,LN($C$10)-0.5*LN(1+($D$10/$C$10)^2),SQRT(LN(1+($D$10/$C$10)^2)))</f>
        <v/>
      </c>
      <c r="S3959" s="14">
        <f>SUM(M3959:R3959)</f>
        <v/>
      </c>
      <c r="AA3959">
        <f>RAND()</f>
        <v/>
      </c>
      <c r="AB3959">
        <f>RAND()</f>
        <v/>
      </c>
      <c r="AC3959">
        <f>RAND()</f>
        <v/>
      </c>
      <c r="AD3959">
        <f>RAND()</f>
        <v/>
      </c>
      <c r="AE3959">
        <f>RAND()</f>
        <v/>
      </c>
      <c r="AF3959">
        <f>RAND()</f>
        <v/>
      </c>
    </row>
    <row r="3960">
      <c r="M3960" s="14">
        <f>_xlfn.BETA.INV($AA3960,1+4*($D$5-$C$5)/($E$5-$C$5),1+4*($E$5-$D$5)/($E$5-$C$5),$C$5,$E$5)</f>
        <v/>
      </c>
      <c r="N3960" s="14">
        <f>IF($AB3960&lt;($D$6-$C$6)/($E$6-$C$6),$C$6+SQRT($AB3960*($E$6-$C$6)*($D$6-$C$6)),$E$6-SQRT((1-$AB3960)*($E$6-$C$6)*($E$6-$D$6)))</f>
        <v/>
      </c>
      <c r="O3960" s="14">
        <f>_xlfn.NORM.INV($AC3960,$C$7,$D$7)</f>
        <v/>
      </c>
      <c r="P3960" s="14">
        <f>$C$8+($D$8-$C$8)*$AD3960</f>
        <v/>
      </c>
      <c r="Q3960" s="14">
        <f>$C$9</f>
        <v/>
      </c>
      <c r="R3960" s="14">
        <f>_xlfn.LOGNORM.INV($AF3960,LN($C$10)-0.5*LN(1+($D$10/$C$10)^2),SQRT(LN(1+($D$10/$C$10)^2)))</f>
        <v/>
      </c>
      <c r="S3960" s="14">
        <f>SUM(M3960:R3960)</f>
        <v/>
      </c>
      <c r="AA3960">
        <f>RAND()</f>
        <v/>
      </c>
      <c r="AB3960">
        <f>RAND()</f>
        <v/>
      </c>
      <c r="AC3960">
        <f>RAND()</f>
        <v/>
      </c>
      <c r="AD3960">
        <f>RAND()</f>
        <v/>
      </c>
      <c r="AE3960">
        <f>RAND()</f>
        <v/>
      </c>
      <c r="AF3960">
        <f>RAND()</f>
        <v/>
      </c>
    </row>
    <row r="3961">
      <c r="M3961" s="14">
        <f>_xlfn.BETA.INV($AA3961,1+4*($D$5-$C$5)/($E$5-$C$5),1+4*($E$5-$D$5)/($E$5-$C$5),$C$5,$E$5)</f>
        <v/>
      </c>
      <c r="N3961" s="14">
        <f>IF($AB3961&lt;($D$6-$C$6)/($E$6-$C$6),$C$6+SQRT($AB3961*($E$6-$C$6)*($D$6-$C$6)),$E$6-SQRT((1-$AB3961)*($E$6-$C$6)*($E$6-$D$6)))</f>
        <v/>
      </c>
      <c r="O3961" s="14">
        <f>_xlfn.NORM.INV($AC3961,$C$7,$D$7)</f>
        <v/>
      </c>
      <c r="P3961" s="14">
        <f>$C$8+($D$8-$C$8)*$AD3961</f>
        <v/>
      </c>
      <c r="Q3961" s="14">
        <f>$C$9</f>
        <v/>
      </c>
      <c r="R3961" s="14">
        <f>_xlfn.LOGNORM.INV($AF3961,LN($C$10)-0.5*LN(1+($D$10/$C$10)^2),SQRT(LN(1+($D$10/$C$10)^2)))</f>
        <v/>
      </c>
      <c r="S3961" s="14">
        <f>SUM(M3961:R3961)</f>
        <v/>
      </c>
      <c r="AA3961">
        <f>RAND()</f>
        <v/>
      </c>
      <c r="AB3961">
        <f>RAND()</f>
        <v/>
      </c>
      <c r="AC3961">
        <f>RAND()</f>
        <v/>
      </c>
      <c r="AD3961">
        <f>RAND()</f>
        <v/>
      </c>
      <c r="AE3961">
        <f>RAND()</f>
        <v/>
      </c>
      <c r="AF3961">
        <f>RAND()</f>
        <v/>
      </c>
    </row>
    <row r="3962">
      <c r="M3962" s="14">
        <f>_xlfn.BETA.INV($AA3962,1+4*($D$5-$C$5)/($E$5-$C$5),1+4*($E$5-$D$5)/($E$5-$C$5),$C$5,$E$5)</f>
        <v/>
      </c>
      <c r="N3962" s="14">
        <f>IF($AB3962&lt;($D$6-$C$6)/($E$6-$C$6),$C$6+SQRT($AB3962*($E$6-$C$6)*($D$6-$C$6)),$E$6-SQRT((1-$AB3962)*($E$6-$C$6)*($E$6-$D$6)))</f>
        <v/>
      </c>
      <c r="O3962" s="14">
        <f>_xlfn.NORM.INV($AC3962,$C$7,$D$7)</f>
        <v/>
      </c>
      <c r="P3962" s="14">
        <f>$C$8+($D$8-$C$8)*$AD3962</f>
        <v/>
      </c>
      <c r="Q3962" s="14">
        <f>$C$9</f>
        <v/>
      </c>
      <c r="R3962" s="14">
        <f>_xlfn.LOGNORM.INV($AF3962,LN($C$10)-0.5*LN(1+($D$10/$C$10)^2),SQRT(LN(1+($D$10/$C$10)^2)))</f>
        <v/>
      </c>
      <c r="S3962" s="14">
        <f>SUM(M3962:R3962)</f>
        <v/>
      </c>
      <c r="AA3962">
        <f>RAND()</f>
        <v/>
      </c>
      <c r="AB3962">
        <f>RAND()</f>
        <v/>
      </c>
      <c r="AC3962">
        <f>RAND()</f>
        <v/>
      </c>
      <c r="AD3962">
        <f>RAND()</f>
        <v/>
      </c>
      <c r="AE3962">
        <f>RAND()</f>
        <v/>
      </c>
      <c r="AF3962">
        <f>RAND()</f>
        <v/>
      </c>
    </row>
    <row r="3963">
      <c r="M3963" s="14">
        <f>_xlfn.BETA.INV($AA3963,1+4*($D$5-$C$5)/($E$5-$C$5),1+4*($E$5-$D$5)/($E$5-$C$5),$C$5,$E$5)</f>
        <v/>
      </c>
      <c r="N3963" s="14">
        <f>IF($AB3963&lt;($D$6-$C$6)/($E$6-$C$6),$C$6+SQRT($AB3963*($E$6-$C$6)*($D$6-$C$6)),$E$6-SQRT((1-$AB3963)*($E$6-$C$6)*($E$6-$D$6)))</f>
        <v/>
      </c>
      <c r="O3963" s="14">
        <f>_xlfn.NORM.INV($AC3963,$C$7,$D$7)</f>
        <v/>
      </c>
      <c r="P3963" s="14">
        <f>$C$8+($D$8-$C$8)*$AD3963</f>
        <v/>
      </c>
      <c r="Q3963" s="14">
        <f>$C$9</f>
        <v/>
      </c>
      <c r="R3963" s="14">
        <f>_xlfn.LOGNORM.INV($AF3963,LN($C$10)-0.5*LN(1+($D$10/$C$10)^2),SQRT(LN(1+($D$10/$C$10)^2)))</f>
        <v/>
      </c>
      <c r="S3963" s="14">
        <f>SUM(M3963:R3963)</f>
        <v/>
      </c>
      <c r="AA3963">
        <f>RAND()</f>
        <v/>
      </c>
      <c r="AB3963">
        <f>RAND()</f>
        <v/>
      </c>
      <c r="AC3963">
        <f>RAND()</f>
        <v/>
      </c>
      <c r="AD3963">
        <f>RAND()</f>
        <v/>
      </c>
      <c r="AE3963">
        <f>RAND()</f>
        <v/>
      </c>
      <c r="AF3963">
        <f>RAND()</f>
        <v/>
      </c>
    </row>
    <row r="3964">
      <c r="M3964" s="14">
        <f>_xlfn.BETA.INV($AA3964,1+4*($D$5-$C$5)/($E$5-$C$5),1+4*($E$5-$D$5)/($E$5-$C$5),$C$5,$E$5)</f>
        <v/>
      </c>
      <c r="N3964" s="14">
        <f>IF($AB3964&lt;($D$6-$C$6)/($E$6-$C$6),$C$6+SQRT($AB3964*($E$6-$C$6)*($D$6-$C$6)),$E$6-SQRT((1-$AB3964)*($E$6-$C$6)*($E$6-$D$6)))</f>
        <v/>
      </c>
      <c r="O3964" s="14">
        <f>_xlfn.NORM.INV($AC3964,$C$7,$D$7)</f>
        <v/>
      </c>
      <c r="P3964" s="14">
        <f>$C$8+($D$8-$C$8)*$AD3964</f>
        <v/>
      </c>
      <c r="Q3964" s="14">
        <f>$C$9</f>
        <v/>
      </c>
      <c r="R3964" s="14">
        <f>_xlfn.LOGNORM.INV($AF3964,LN($C$10)-0.5*LN(1+($D$10/$C$10)^2),SQRT(LN(1+($D$10/$C$10)^2)))</f>
        <v/>
      </c>
      <c r="S3964" s="14">
        <f>SUM(M3964:R3964)</f>
        <v/>
      </c>
      <c r="AA3964">
        <f>RAND()</f>
        <v/>
      </c>
      <c r="AB3964">
        <f>RAND()</f>
        <v/>
      </c>
      <c r="AC3964">
        <f>RAND()</f>
        <v/>
      </c>
      <c r="AD3964">
        <f>RAND()</f>
        <v/>
      </c>
      <c r="AE3964">
        <f>RAND()</f>
        <v/>
      </c>
      <c r="AF3964">
        <f>RAND()</f>
        <v/>
      </c>
    </row>
    <row r="3965">
      <c r="M3965" s="14">
        <f>_xlfn.BETA.INV($AA3965,1+4*($D$5-$C$5)/($E$5-$C$5),1+4*($E$5-$D$5)/($E$5-$C$5),$C$5,$E$5)</f>
        <v/>
      </c>
      <c r="N3965" s="14">
        <f>IF($AB3965&lt;($D$6-$C$6)/($E$6-$C$6),$C$6+SQRT($AB3965*($E$6-$C$6)*($D$6-$C$6)),$E$6-SQRT((1-$AB3965)*($E$6-$C$6)*($E$6-$D$6)))</f>
        <v/>
      </c>
      <c r="O3965" s="14">
        <f>_xlfn.NORM.INV($AC3965,$C$7,$D$7)</f>
        <v/>
      </c>
      <c r="P3965" s="14">
        <f>$C$8+($D$8-$C$8)*$AD3965</f>
        <v/>
      </c>
      <c r="Q3965" s="14">
        <f>$C$9</f>
        <v/>
      </c>
      <c r="R3965" s="14">
        <f>_xlfn.LOGNORM.INV($AF3965,LN($C$10)-0.5*LN(1+($D$10/$C$10)^2),SQRT(LN(1+($D$10/$C$10)^2)))</f>
        <v/>
      </c>
      <c r="S3965" s="14">
        <f>SUM(M3965:R3965)</f>
        <v/>
      </c>
      <c r="AA3965">
        <f>RAND()</f>
        <v/>
      </c>
      <c r="AB3965">
        <f>RAND()</f>
        <v/>
      </c>
      <c r="AC3965">
        <f>RAND()</f>
        <v/>
      </c>
      <c r="AD3965">
        <f>RAND()</f>
        <v/>
      </c>
      <c r="AE3965">
        <f>RAND()</f>
        <v/>
      </c>
      <c r="AF3965">
        <f>RAND()</f>
        <v/>
      </c>
    </row>
    <row r="3966">
      <c r="M3966" s="14">
        <f>_xlfn.BETA.INV($AA3966,1+4*($D$5-$C$5)/($E$5-$C$5),1+4*($E$5-$D$5)/($E$5-$C$5),$C$5,$E$5)</f>
        <v/>
      </c>
      <c r="N3966" s="14">
        <f>IF($AB3966&lt;($D$6-$C$6)/($E$6-$C$6),$C$6+SQRT($AB3966*($E$6-$C$6)*($D$6-$C$6)),$E$6-SQRT((1-$AB3966)*($E$6-$C$6)*($E$6-$D$6)))</f>
        <v/>
      </c>
      <c r="O3966" s="14">
        <f>_xlfn.NORM.INV($AC3966,$C$7,$D$7)</f>
        <v/>
      </c>
      <c r="P3966" s="14">
        <f>$C$8+($D$8-$C$8)*$AD3966</f>
        <v/>
      </c>
      <c r="Q3966" s="14">
        <f>$C$9</f>
        <v/>
      </c>
      <c r="R3966" s="14">
        <f>_xlfn.LOGNORM.INV($AF3966,LN($C$10)-0.5*LN(1+($D$10/$C$10)^2),SQRT(LN(1+($D$10/$C$10)^2)))</f>
        <v/>
      </c>
      <c r="S3966" s="14">
        <f>SUM(M3966:R3966)</f>
        <v/>
      </c>
      <c r="AA3966">
        <f>RAND()</f>
        <v/>
      </c>
      <c r="AB3966">
        <f>RAND()</f>
        <v/>
      </c>
      <c r="AC3966">
        <f>RAND()</f>
        <v/>
      </c>
      <c r="AD3966">
        <f>RAND()</f>
        <v/>
      </c>
      <c r="AE3966">
        <f>RAND()</f>
        <v/>
      </c>
      <c r="AF3966">
        <f>RAND()</f>
        <v/>
      </c>
    </row>
    <row r="3967">
      <c r="M3967" s="14">
        <f>_xlfn.BETA.INV($AA3967,1+4*($D$5-$C$5)/($E$5-$C$5),1+4*($E$5-$D$5)/($E$5-$C$5),$C$5,$E$5)</f>
        <v/>
      </c>
      <c r="N3967" s="14">
        <f>IF($AB3967&lt;($D$6-$C$6)/($E$6-$C$6),$C$6+SQRT($AB3967*($E$6-$C$6)*($D$6-$C$6)),$E$6-SQRT((1-$AB3967)*($E$6-$C$6)*($E$6-$D$6)))</f>
        <v/>
      </c>
      <c r="O3967" s="14">
        <f>_xlfn.NORM.INV($AC3967,$C$7,$D$7)</f>
        <v/>
      </c>
      <c r="P3967" s="14">
        <f>$C$8+($D$8-$C$8)*$AD3967</f>
        <v/>
      </c>
      <c r="Q3967" s="14">
        <f>$C$9</f>
        <v/>
      </c>
      <c r="R3967" s="14">
        <f>_xlfn.LOGNORM.INV($AF3967,LN($C$10)-0.5*LN(1+($D$10/$C$10)^2),SQRT(LN(1+($D$10/$C$10)^2)))</f>
        <v/>
      </c>
      <c r="S3967" s="14">
        <f>SUM(M3967:R3967)</f>
        <v/>
      </c>
      <c r="AA3967">
        <f>RAND()</f>
        <v/>
      </c>
      <c r="AB3967">
        <f>RAND()</f>
        <v/>
      </c>
      <c r="AC3967">
        <f>RAND()</f>
        <v/>
      </c>
      <c r="AD3967">
        <f>RAND()</f>
        <v/>
      </c>
      <c r="AE3967">
        <f>RAND()</f>
        <v/>
      </c>
      <c r="AF3967">
        <f>RAND()</f>
        <v/>
      </c>
    </row>
    <row r="3968">
      <c r="M3968" s="14">
        <f>_xlfn.BETA.INV($AA3968,1+4*($D$5-$C$5)/($E$5-$C$5),1+4*($E$5-$D$5)/($E$5-$C$5),$C$5,$E$5)</f>
        <v/>
      </c>
      <c r="N3968" s="14">
        <f>IF($AB3968&lt;($D$6-$C$6)/($E$6-$C$6),$C$6+SQRT($AB3968*($E$6-$C$6)*($D$6-$C$6)),$E$6-SQRT((1-$AB3968)*($E$6-$C$6)*($E$6-$D$6)))</f>
        <v/>
      </c>
      <c r="O3968" s="14">
        <f>_xlfn.NORM.INV($AC3968,$C$7,$D$7)</f>
        <v/>
      </c>
      <c r="P3968" s="14">
        <f>$C$8+($D$8-$C$8)*$AD3968</f>
        <v/>
      </c>
      <c r="Q3968" s="14">
        <f>$C$9</f>
        <v/>
      </c>
      <c r="R3968" s="14">
        <f>_xlfn.LOGNORM.INV($AF3968,LN($C$10)-0.5*LN(1+($D$10/$C$10)^2),SQRT(LN(1+($D$10/$C$10)^2)))</f>
        <v/>
      </c>
      <c r="S3968" s="14">
        <f>SUM(M3968:R3968)</f>
        <v/>
      </c>
      <c r="AA3968">
        <f>RAND()</f>
        <v/>
      </c>
      <c r="AB3968">
        <f>RAND()</f>
        <v/>
      </c>
      <c r="AC3968">
        <f>RAND()</f>
        <v/>
      </c>
      <c r="AD3968">
        <f>RAND()</f>
        <v/>
      </c>
      <c r="AE3968">
        <f>RAND()</f>
        <v/>
      </c>
      <c r="AF3968">
        <f>RAND()</f>
        <v/>
      </c>
    </row>
    <row r="3969">
      <c r="M3969" s="14">
        <f>_xlfn.BETA.INV($AA3969,1+4*($D$5-$C$5)/($E$5-$C$5),1+4*($E$5-$D$5)/($E$5-$C$5),$C$5,$E$5)</f>
        <v/>
      </c>
      <c r="N3969" s="14">
        <f>IF($AB3969&lt;($D$6-$C$6)/($E$6-$C$6),$C$6+SQRT($AB3969*($E$6-$C$6)*($D$6-$C$6)),$E$6-SQRT((1-$AB3969)*($E$6-$C$6)*($E$6-$D$6)))</f>
        <v/>
      </c>
      <c r="O3969" s="14">
        <f>_xlfn.NORM.INV($AC3969,$C$7,$D$7)</f>
        <v/>
      </c>
      <c r="P3969" s="14">
        <f>$C$8+($D$8-$C$8)*$AD3969</f>
        <v/>
      </c>
      <c r="Q3969" s="14">
        <f>$C$9</f>
        <v/>
      </c>
      <c r="R3969" s="14">
        <f>_xlfn.LOGNORM.INV($AF3969,LN($C$10)-0.5*LN(1+($D$10/$C$10)^2),SQRT(LN(1+($D$10/$C$10)^2)))</f>
        <v/>
      </c>
      <c r="S3969" s="14">
        <f>SUM(M3969:R3969)</f>
        <v/>
      </c>
      <c r="AA3969">
        <f>RAND()</f>
        <v/>
      </c>
      <c r="AB3969">
        <f>RAND()</f>
        <v/>
      </c>
      <c r="AC3969">
        <f>RAND()</f>
        <v/>
      </c>
      <c r="AD3969">
        <f>RAND()</f>
        <v/>
      </c>
      <c r="AE3969">
        <f>RAND()</f>
        <v/>
      </c>
      <c r="AF3969">
        <f>RAND()</f>
        <v/>
      </c>
    </row>
    <row r="3970">
      <c r="M3970" s="14">
        <f>_xlfn.BETA.INV($AA3970,1+4*($D$5-$C$5)/($E$5-$C$5),1+4*($E$5-$D$5)/($E$5-$C$5),$C$5,$E$5)</f>
        <v/>
      </c>
      <c r="N3970" s="14">
        <f>IF($AB3970&lt;($D$6-$C$6)/($E$6-$C$6),$C$6+SQRT($AB3970*($E$6-$C$6)*($D$6-$C$6)),$E$6-SQRT((1-$AB3970)*($E$6-$C$6)*($E$6-$D$6)))</f>
        <v/>
      </c>
      <c r="O3970" s="14">
        <f>_xlfn.NORM.INV($AC3970,$C$7,$D$7)</f>
        <v/>
      </c>
      <c r="P3970" s="14">
        <f>$C$8+($D$8-$C$8)*$AD3970</f>
        <v/>
      </c>
      <c r="Q3970" s="14">
        <f>$C$9</f>
        <v/>
      </c>
      <c r="R3970" s="14">
        <f>_xlfn.LOGNORM.INV($AF3970,LN($C$10)-0.5*LN(1+($D$10/$C$10)^2),SQRT(LN(1+($D$10/$C$10)^2)))</f>
        <v/>
      </c>
      <c r="S3970" s="14">
        <f>SUM(M3970:R3970)</f>
        <v/>
      </c>
      <c r="AA3970">
        <f>RAND()</f>
        <v/>
      </c>
      <c r="AB3970">
        <f>RAND()</f>
        <v/>
      </c>
      <c r="AC3970">
        <f>RAND()</f>
        <v/>
      </c>
      <c r="AD3970">
        <f>RAND()</f>
        <v/>
      </c>
      <c r="AE3970">
        <f>RAND()</f>
        <v/>
      </c>
      <c r="AF3970">
        <f>RAND()</f>
        <v/>
      </c>
    </row>
    <row r="3971">
      <c r="M3971" s="14">
        <f>_xlfn.BETA.INV($AA3971,1+4*($D$5-$C$5)/($E$5-$C$5),1+4*($E$5-$D$5)/($E$5-$C$5),$C$5,$E$5)</f>
        <v/>
      </c>
      <c r="N3971" s="14">
        <f>IF($AB3971&lt;($D$6-$C$6)/($E$6-$C$6),$C$6+SQRT($AB3971*($E$6-$C$6)*($D$6-$C$6)),$E$6-SQRT((1-$AB3971)*($E$6-$C$6)*($E$6-$D$6)))</f>
        <v/>
      </c>
      <c r="O3971" s="14">
        <f>_xlfn.NORM.INV($AC3971,$C$7,$D$7)</f>
        <v/>
      </c>
      <c r="P3971" s="14">
        <f>$C$8+($D$8-$C$8)*$AD3971</f>
        <v/>
      </c>
      <c r="Q3971" s="14">
        <f>$C$9</f>
        <v/>
      </c>
      <c r="R3971" s="14">
        <f>_xlfn.LOGNORM.INV($AF3971,LN($C$10)-0.5*LN(1+($D$10/$C$10)^2),SQRT(LN(1+($D$10/$C$10)^2)))</f>
        <v/>
      </c>
      <c r="S3971" s="14">
        <f>SUM(M3971:R3971)</f>
        <v/>
      </c>
      <c r="AA3971">
        <f>RAND()</f>
        <v/>
      </c>
      <c r="AB3971">
        <f>RAND()</f>
        <v/>
      </c>
      <c r="AC3971">
        <f>RAND()</f>
        <v/>
      </c>
      <c r="AD3971">
        <f>RAND()</f>
        <v/>
      </c>
      <c r="AE3971">
        <f>RAND()</f>
        <v/>
      </c>
      <c r="AF3971">
        <f>RAND()</f>
        <v/>
      </c>
    </row>
    <row r="3972">
      <c r="M3972" s="14">
        <f>_xlfn.BETA.INV($AA3972,1+4*($D$5-$C$5)/($E$5-$C$5),1+4*($E$5-$D$5)/($E$5-$C$5),$C$5,$E$5)</f>
        <v/>
      </c>
      <c r="N3972" s="14">
        <f>IF($AB3972&lt;($D$6-$C$6)/($E$6-$C$6),$C$6+SQRT($AB3972*($E$6-$C$6)*($D$6-$C$6)),$E$6-SQRT((1-$AB3972)*($E$6-$C$6)*($E$6-$D$6)))</f>
        <v/>
      </c>
      <c r="O3972" s="14">
        <f>_xlfn.NORM.INV($AC3972,$C$7,$D$7)</f>
        <v/>
      </c>
      <c r="P3972" s="14">
        <f>$C$8+($D$8-$C$8)*$AD3972</f>
        <v/>
      </c>
      <c r="Q3972" s="14">
        <f>$C$9</f>
        <v/>
      </c>
      <c r="R3972" s="14">
        <f>_xlfn.LOGNORM.INV($AF3972,LN($C$10)-0.5*LN(1+($D$10/$C$10)^2),SQRT(LN(1+($D$10/$C$10)^2)))</f>
        <v/>
      </c>
      <c r="S3972" s="14">
        <f>SUM(M3972:R3972)</f>
        <v/>
      </c>
      <c r="AA3972">
        <f>RAND()</f>
        <v/>
      </c>
      <c r="AB3972">
        <f>RAND()</f>
        <v/>
      </c>
      <c r="AC3972">
        <f>RAND()</f>
        <v/>
      </c>
      <c r="AD3972">
        <f>RAND()</f>
        <v/>
      </c>
      <c r="AE3972">
        <f>RAND()</f>
        <v/>
      </c>
      <c r="AF3972">
        <f>RAND()</f>
        <v/>
      </c>
    </row>
    <row r="3973">
      <c r="M3973" s="14">
        <f>_xlfn.BETA.INV($AA3973,1+4*($D$5-$C$5)/($E$5-$C$5),1+4*($E$5-$D$5)/($E$5-$C$5),$C$5,$E$5)</f>
        <v/>
      </c>
      <c r="N3973" s="14">
        <f>IF($AB3973&lt;($D$6-$C$6)/($E$6-$C$6),$C$6+SQRT($AB3973*($E$6-$C$6)*($D$6-$C$6)),$E$6-SQRT((1-$AB3973)*($E$6-$C$6)*($E$6-$D$6)))</f>
        <v/>
      </c>
      <c r="O3973" s="14">
        <f>_xlfn.NORM.INV($AC3973,$C$7,$D$7)</f>
        <v/>
      </c>
      <c r="P3973" s="14">
        <f>$C$8+($D$8-$C$8)*$AD3973</f>
        <v/>
      </c>
      <c r="Q3973" s="14">
        <f>$C$9</f>
        <v/>
      </c>
      <c r="R3973" s="14">
        <f>_xlfn.LOGNORM.INV($AF3973,LN($C$10)-0.5*LN(1+($D$10/$C$10)^2),SQRT(LN(1+($D$10/$C$10)^2)))</f>
        <v/>
      </c>
      <c r="S3973" s="14">
        <f>SUM(M3973:R3973)</f>
        <v/>
      </c>
      <c r="AA3973">
        <f>RAND()</f>
        <v/>
      </c>
      <c r="AB3973">
        <f>RAND()</f>
        <v/>
      </c>
      <c r="AC3973">
        <f>RAND()</f>
        <v/>
      </c>
      <c r="AD3973">
        <f>RAND()</f>
        <v/>
      </c>
      <c r="AE3973">
        <f>RAND()</f>
        <v/>
      </c>
      <c r="AF3973">
        <f>RAND()</f>
        <v/>
      </c>
    </row>
    <row r="3974">
      <c r="M3974" s="14">
        <f>_xlfn.BETA.INV($AA3974,1+4*($D$5-$C$5)/($E$5-$C$5),1+4*($E$5-$D$5)/($E$5-$C$5),$C$5,$E$5)</f>
        <v/>
      </c>
      <c r="N3974" s="14">
        <f>IF($AB3974&lt;($D$6-$C$6)/($E$6-$C$6),$C$6+SQRT($AB3974*($E$6-$C$6)*($D$6-$C$6)),$E$6-SQRT((1-$AB3974)*($E$6-$C$6)*($E$6-$D$6)))</f>
        <v/>
      </c>
      <c r="O3974" s="14">
        <f>_xlfn.NORM.INV($AC3974,$C$7,$D$7)</f>
        <v/>
      </c>
      <c r="P3974" s="14">
        <f>$C$8+($D$8-$C$8)*$AD3974</f>
        <v/>
      </c>
      <c r="Q3974" s="14">
        <f>$C$9</f>
        <v/>
      </c>
      <c r="R3974" s="14">
        <f>_xlfn.LOGNORM.INV($AF3974,LN($C$10)-0.5*LN(1+($D$10/$C$10)^2),SQRT(LN(1+($D$10/$C$10)^2)))</f>
        <v/>
      </c>
      <c r="S3974" s="14">
        <f>SUM(M3974:R3974)</f>
        <v/>
      </c>
      <c r="AA3974">
        <f>RAND()</f>
        <v/>
      </c>
      <c r="AB3974">
        <f>RAND()</f>
        <v/>
      </c>
      <c r="AC3974">
        <f>RAND()</f>
        <v/>
      </c>
      <c r="AD3974">
        <f>RAND()</f>
        <v/>
      </c>
      <c r="AE3974">
        <f>RAND()</f>
        <v/>
      </c>
      <c r="AF3974">
        <f>RAND()</f>
        <v/>
      </c>
    </row>
    <row r="3975">
      <c r="M3975" s="14">
        <f>_xlfn.BETA.INV($AA3975,1+4*($D$5-$C$5)/($E$5-$C$5),1+4*($E$5-$D$5)/($E$5-$C$5),$C$5,$E$5)</f>
        <v/>
      </c>
      <c r="N3975" s="14">
        <f>IF($AB3975&lt;($D$6-$C$6)/($E$6-$C$6),$C$6+SQRT($AB3975*($E$6-$C$6)*($D$6-$C$6)),$E$6-SQRT((1-$AB3975)*($E$6-$C$6)*($E$6-$D$6)))</f>
        <v/>
      </c>
      <c r="O3975" s="14">
        <f>_xlfn.NORM.INV($AC3975,$C$7,$D$7)</f>
        <v/>
      </c>
      <c r="P3975" s="14">
        <f>$C$8+($D$8-$C$8)*$AD3975</f>
        <v/>
      </c>
      <c r="Q3975" s="14">
        <f>$C$9</f>
        <v/>
      </c>
      <c r="R3975" s="14">
        <f>_xlfn.LOGNORM.INV($AF3975,LN($C$10)-0.5*LN(1+($D$10/$C$10)^2),SQRT(LN(1+($D$10/$C$10)^2)))</f>
        <v/>
      </c>
      <c r="S3975" s="14">
        <f>SUM(M3975:R3975)</f>
        <v/>
      </c>
      <c r="AA3975">
        <f>RAND()</f>
        <v/>
      </c>
      <c r="AB3975">
        <f>RAND()</f>
        <v/>
      </c>
      <c r="AC3975">
        <f>RAND()</f>
        <v/>
      </c>
      <c r="AD3975">
        <f>RAND()</f>
        <v/>
      </c>
      <c r="AE3975">
        <f>RAND()</f>
        <v/>
      </c>
      <c r="AF3975">
        <f>RAND()</f>
        <v/>
      </c>
    </row>
    <row r="3976">
      <c r="M3976" s="14">
        <f>_xlfn.BETA.INV($AA3976,1+4*($D$5-$C$5)/($E$5-$C$5),1+4*($E$5-$D$5)/($E$5-$C$5),$C$5,$E$5)</f>
        <v/>
      </c>
      <c r="N3976" s="14">
        <f>IF($AB3976&lt;($D$6-$C$6)/($E$6-$C$6),$C$6+SQRT($AB3976*($E$6-$C$6)*($D$6-$C$6)),$E$6-SQRT((1-$AB3976)*($E$6-$C$6)*($E$6-$D$6)))</f>
        <v/>
      </c>
      <c r="O3976" s="14">
        <f>_xlfn.NORM.INV($AC3976,$C$7,$D$7)</f>
        <v/>
      </c>
      <c r="P3976" s="14">
        <f>$C$8+($D$8-$C$8)*$AD3976</f>
        <v/>
      </c>
      <c r="Q3976" s="14">
        <f>$C$9</f>
        <v/>
      </c>
      <c r="R3976" s="14">
        <f>_xlfn.LOGNORM.INV($AF3976,LN($C$10)-0.5*LN(1+($D$10/$C$10)^2),SQRT(LN(1+($D$10/$C$10)^2)))</f>
        <v/>
      </c>
      <c r="S3976" s="14">
        <f>SUM(M3976:R3976)</f>
        <v/>
      </c>
      <c r="AA3976">
        <f>RAND()</f>
        <v/>
      </c>
      <c r="AB3976">
        <f>RAND()</f>
        <v/>
      </c>
      <c r="AC3976">
        <f>RAND()</f>
        <v/>
      </c>
      <c r="AD3976">
        <f>RAND()</f>
        <v/>
      </c>
      <c r="AE3976">
        <f>RAND()</f>
        <v/>
      </c>
      <c r="AF3976">
        <f>RAND()</f>
        <v/>
      </c>
    </row>
    <row r="3977">
      <c r="M3977" s="14">
        <f>_xlfn.BETA.INV($AA3977,1+4*($D$5-$C$5)/($E$5-$C$5),1+4*($E$5-$D$5)/($E$5-$C$5),$C$5,$E$5)</f>
        <v/>
      </c>
      <c r="N3977" s="14">
        <f>IF($AB3977&lt;($D$6-$C$6)/($E$6-$C$6),$C$6+SQRT($AB3977*($E$6-$C$6)*($D$6-$C$6)),$E$6-SQRT((1-$AB3977)*($E$6-$C$6)*($E$6-$D$6)))</f>
        <v/>
      </c>
      <c r="O3977" s="14">
        <f>_xlfn.NORM.INV($AC3977,$C$7,$D$7)</f>
        <v/>
      </c>
      <c r="P3977" s="14">
        <f>$C$8+($D$8-$C$8)*$AD3977</f>
        <v/>
      </c>
      <c r="Q3977" s="14">
        <f>$C$9</f>
        <v/>
      </c>
      <c r="R3977" s="14">
        <f>_xlfn.LOGNORM.INV($AF3977,LN($C$10)-0.5*LN(1+($D$10/$C$10)^2),SQRT(LN(1+($D$10/$C$10)^2)))</f>
        <v/>
      </c>
      <c r="S3977" s="14">
        <f>SUM(M3977:R3977)</f>
        <v/>
      </c>
      <c r="AA3977">
        <f>RAND()</f>
        <v/>
      </c>
      <c r="AB3977">
        <f>RAND()</f>
        <v/>
      </c>
      <c r="AC3977">
        <f>RAND()</f>
        <v/>
      </c>
      <c r="AD3977">
        <f>RAND()</f>
        <v/>
      </c>
      <c r="AE3977">
        <f>RAND()</f>
        <v/>
      </c>
      <c r="AF3977">
        <f>RAND()</f>
        <v/>
      </c>
    </row>
    <row r="3978">
      <c r="M3978" s="14">
        <f>_xlfn.BETA.INV($AA3978,1+4*($D$5-$C$5)/($E$5-$C$5),1+4*($E$5-$D$5)/($E$5-$C$5),$C$5,$E$5)</f>
        <v/>
      </c>
      <c r="N3978" s="14">
        <f>IF($AB3978&lt;($D$6-$C$6)/($E$6-$C$6),$C$6+SQRT($AB3978*($E$6-$C$6)*($D$6-$C$6)),$E$6-SQRT((1-$AB3978)*($E$6-$C$6)*($E$6-$D$6)))</f>
        <v/>
      </c>
      <c r="O3978" s="14">
        <f>_xlfn.NORM.INV($AC3978,$C$7,$D$7)</f>
        <v/>
      </c>
      <c r="P3978" s="14">
        <f>$C$8+($D$8-$C$8)*$AD3978</f>
        <v/>
      </c>
      <c r="Q3978" s="14">
        <f>$C$9</f>
        <v/>
      </c>
      <c r="R3978" s="14">
        <f>_xlfn.LOGNORM.INV($AF3978,LN($C$10)-0.5*LN(1+($D$10/$C$10)^2),SQRT(LN(1+($D$10/$C$10)^2)))</f>
        <v/>
      </c>
      <c r="S3978" s="14">
        <f>SUM(M3978:R3978)</f>
        <v/>
      </c>
      <c r="AA3978">
        <f>RAND()</f>
        <v/>
      </c>
      <c r="AB3978">
        <f>RAND()</f>
        <v/>
      </c>
      <c r="AC3978">
        <f>RAND()</f>
        <v/>
      </c>
      <c r="AD3978">
        <f>RAND()</f>
        <v/>
      </c>
      <c r="AE3978">
        <f>RAND()</f>
        <v/>
      </c>
      <c r="AF3978">
        <f>RAND()</f>
        <v/>
      </c>
    </row>
    <row r="3979">
      <c r="M3979" s="14">
        <f>_xlfn.BETA.INV($AA3979,1+4*($D$5-$C$5)/($E$5-$C$5),1+4*($E$5-$D$5)/($E$5-$C$5),$C$5,$E$5)</f>
        <v/>
      </c>
      <c r="N3979" s="14">
        <f>IF($AB3979&lt;($D$6-$C$6)/($E$6-$C$6),$C$6+SQRT($AB3979*($E$6-$C$6)*($D$6-$C$6)),$E$6-SQRT((1-$AB3979)*($E$6-$C$6)*($E$6-$D$6)))</f>
        <v/>
      </c>
      <c r="O3979" s="14">
        <f>_xlfn.NORM.INV($AC3979,$C$7,$D$7)</f>
        <v/>
      </c>
      <c r="P3979" s="14">
        <f>$C$8+($D$8-$C$8)*$AD3979</f>
        <v/>
      </c>
      <c r="Q3979" s="14">
        <f>$C$9</f>
        <v/>
      </c>
      <c r="R3979" s="14">
        <f>_xlfn.LOGNORM.INV($AF3979,LN($C$10)-0.5*LN(1+($D$10/$C$10)^2),SQRT(LN(1+($D$10/$C$10)^2)))</f>
        <v/>
      </c>
      <c r="S3979" s="14">
        <f>SUM(M3979:R3979)</f>
        <v/>
      </c>
      <c r="AA3979">
        <f>RAND()</f>
        <v/>
      </c>
      <c r="AB3979">
        <f>RAND()</f>
        <v/>
      </c>
      <c r="AC3979">
        <f>RAND()</f>
        <v/>
      </c>
      <c r="AD3979">
        <f>RAND()</f>
        <v/>
      </c>
      <c r="AE3979">
        <f>RAND()</f>
        <v/>
      </c>
      <c r="AF3979">
        <f>RAND()</f>
        <v/>
      </c>
    </row>
    <row r="3980">
      <c r="M3980" s="14">
        <f>_xlfn.BETA.INV($AA3980,1+4*($D$5-$C$5)/($E$5-$C$5),1+4*($E$5-$D$5)/($E$5-$C$5),$C$5,$E$5)</f>
        <v/>
      </c>
      <c r="N3980" s="14">
        <f>IF($AB3980&lt;($D$6-$C$6)/($E$6-$C$6),$C$6+SQRT($AB3980*($E$6-$C$6)*($D$6-$C$6)),$E$6-SQRT((1-$AB3980)*($E$6-$C$6)*($E$6-$D$6)))</f>
        <v/>
      </c>
      <c r="O3980" s="14">
        <f>_xlfn.NORM.INV($AC3980,$C$7,$D$7)</f>
        <v/>
      </c>
      <c r="P3980" s="14">
        <f>$C$8+($D$8-$C$8)*$AD3980</f>
        <v/>
      </c>
      <c r="Q3980" s="14">
        <f>$C$9</f>
        <v/>
      </c>
      <c r="R3980" s="14">
        <f>_xlfn.LOGNORM.INV($AF3980,LN($C$10)-0.5*LN(1+($D$10/$C$10)^2),SQRT(LN(1+($D$10/$C$10)^2)))</f>
        <v/>
      </c>
      <c r="S3980" s="14">
        <f>SUM(M3980:R3980)</f>
        <v/>
      </c>
      <c r="AA3980">
        <f>RAND()</f>
        <v/>
      </c>
      <c r="AB3980">
        <f>RAND()</f>
        <v/>
      </c>
      <c r="AC3980">
        <f>RAND()</f>
        <v/>
      </c>
      <c r="AD3980">
        <f>RAND()</f>
        <v/>
      </c>
      <c r="AE3980">
        <f>RAND()</f>
        <v/>
      </c>
      <c r="AF3980">
        <f>RAND()</f>
        <v/>
      </c>
    </row>
    <row r="3981">
      <c r="M3981" s="14">
        <f>_xlfn.BETA.INV($AA3981,1+4*($D$5-$C$5)/($E$5-$C$5),1+4*($E$5-$D$5)/($E$5-$C$5),$C$5,$E$5)</f>
        <v/>
      </c>
      <c r="N3981" s="14">
        <f>IF($AB3981&lt;($D$6-$C$6)/($E$6-$C$6),$C$6+SQRT($AB3981*($E$6-$C$6)*($D$6-$C$6)),$E$6-SQRT((1-$AB3981)*($E$6-$C$6)*($E$6-$D$6)))</f>
        <v/>
      </c>
      <c r="O3981" s="14">
        <f>_xlfn.NORM.INV($AC3981,$C$7,$D$7)</f>
        <v/>
      </c>
      <c r="P3981" s="14">
        <f>$C$8+($D$8-$C$8)*$AD3981</f>
        <v/>
      </c>
      <c r="Q3981" s="14">
        <f>$C$9</f>
        <v/>
      </c>
      <c r="R3981" s="14">
        <f>_xlfn.LOGNORM.INV($AF3981,LN($C$10)-0.5*LN(1+($D$10/$C$10)^2),SQRT(LN(1+($D$10/$C$10)^2)))</f>
        <v/>
      </c>
      <c r="S3981" s="14">
        <f>SUM(M3981:R3981)</f>
        <v/>
      </c>
      <c r="AA3981">
        <f>RAND()</f>
        <v/>
      </c>
      <c r="AB3981">
        <f>RAND()</f>
        <v/>
      </c>
      <c r="AC3981">
        <f>RAND()</f>
        <v/>
      </c>
      <c r="AD3981">
        <f>RAND()</f>
        <v/>
      </c>
      <c r="AE3981">
        <f>RAND()</f>
        <v/>
      </c>
      <c r="AF3981">
        <f>RAND()</f>
        <v/>
      </c>
    </row>
    <row r="3982">
      <c r="M3982" s="14">
        <f>_xlfn.BETA.INV($AA3982,1+4*($D$5-$C$5)/($E$5-$C$5),1+4*($E$5-$D$5)/($E$5-$C$5),$C$5,$E$5)</f>
        <v/>
      </c>
      <c r="N3982" s="14">
        <f>IF($AB3982&lt;($D$6-$C$6)/($E$6-$C$6),$C$6+SQRT($AB3982*($E$6-$C$6)*($D$6-$C$6)),$E$6-SQRT((1-$AB3982)*($E$6-$C$6)*($E$6-$D$6)))</f>
        <v/>
      </c>
      <c r="O3982" s="14">
        <f>_xlfn.NORM.INV($AC3982,$C$7,$D$7)</f>
        <v/>
      </c>
      <c r="P3982" s="14">
        <f>$C$8+($D$8-$C$8)*$AD3982</f>
        <v/>
      </c>
      <c r="Q3982" s="14">
        <f>$C$9</f>
        <v/>
      </c>
      <c r="R3982" s="14">
        <f>_xlfn.LOGNORM.INV($AF3982,LN($C$10)-0.5*LN(1+($D$10/$C$10)^2),SQRT(LN(1+($D$10/$C$10)^2)))</f>
        <v/>
      </c>
      <c r="S3982" s="14">
        <f>SUM(M3982:R3982)</f>
        <v/>
      </c>
      <c r="AA3982">
        <f>RAND()</f>
        <v/>
      </c>
      <c r="AB3982">
        <f>RAND()</f>
        <v/>
      </c>
      <c r="AC3982">
        <f>RAND()</f>
        <v/>
      </c>
      <c r="AD3982">
        <f>RAND()</f>
        <v/>
      </c>
      <c r="AE3982">
        <f>RAND()</f>
        <v/>
      </c>
      <c r="AF3982">
        <f>RAND()</f>
        <v/>
      </c>
    </row>
    <row r="3983">
      <c r="M3983" s="14">
        <f>_xlfn.BETA.INV($AA3983,1+4*($D$5-$C$5)/($E$5-$C$5),1+4*($E$5-$D$5)/($E$5-$C$5),$C$5,$E$5)</f>
        <v/>
      </c>
      <c r="N3983" s="14">
        <f>IF($AB3983&lt;($D$6-$C$6)/($E$6-$C$6),$C$6+SQRT($AB3983*($E$6-$C$6)*($D$6-$C$6)),$E$6-SQRT((1-$AB3983)*($E$6-$C$6)*($E$6-$D$6)))</f>
        <v/>
      </c>
      <c r="O3983" s="14">
        <f>_xlfn.NORM.INV($AC3983,$C$7,$D$7)</f>
        <v/>
      </c>
      <c r="P3983" s="14">
        <f>$C$8+($D$8-$C$8)*$AD3983</f>
        <v/>
      </c>
      <c r="Q3983" s="14">
        <f>$C$9</f>
        <v/>
      </c>
      <c r="R3983" s="14">
        <f>_xlfn.LOGNORM.INV($AF3983,LN($C$10)-0.5*LN(1+($D$10/$C$10)^2),SQRT(LN(1+($D$10/$C$10)^2)))</f>
        <v/>
      </c>
      <c r="S3983" s="14">
        <f>SUM(M3983:R3983)</f>
        <v/>
      </c>
      <c r="AA3983">
        <f>RAND()</f>
        <v/>
      </c>
      <c r="AB3983">
        <f>RAND()</f>
        <v/>
      </c>
      <c r="AC3983">
        <f>RAND()</f>
        <v/>
      </c>
      <c r="AD3983">
        <f>RAND()</f>
        <v/>
      </c>
      <c r="AE3983">
        <f>RAND()</f>
        <v/>
      </c>
      <c r="AF3983">
        <f>RAND()</f>
        <v/>
      </c>
    </row>
    <row r="3984">
      <c r="M3984" s="14">
        <f>_xlfn.BETA.INV($AA3984,1+4*($D$5-$C$5)/($E$5-$C$5),1+4*($E$5-$D$5)/($E$5-$C$5),$C$5,$E$5)</f>
        <v/>
      </c>
      <c r="N3984" s="14">
        <f>IF($AB3984&lt;($D$6-$C$6)/($E$6-$C$6),$C$6+SQRT($AB3984*($E$6-$C$6)*($D$6-$C$6)),$E$6-SQRT((1-$AB3984)*($E$6-$C$6)*($E$6-$D$6)))</f>
        <v/>
      </c>
      <c r="O3984" s="14">
        <f>_xlfn.NORM.INV($AC3984,$C$7,$D$7)</f>
        <v/>
      </c>
      <c r="P3984" s="14">
        <f>$C$8+($D$8-$C$8)*$AD3984</f>
        <v/>
      </c>
      <c r="Q3984" s="14">
        <f>$C$9</f>
        <v/>
      </c>
      <c r="R3984" s="14">
        <f>_xlfn.LOGNORM.INV($AF3984,LN($C$10)-0.5*LN(1+($D$10/$C$10)^2),SQRT(LN(1+($D$10/$C$10)^2)))</f>
        <v/>
      </c>
      <c r="S3984" s="14">
        <f>SUM(M3984:R3984)</f>
        <v/>
      </c>
      <c r="AA3984">
        <f>RAND()</f>
        <v/>
      </c>
      <c r="AB3984">
        <f>RAND()</f>
        <v/>
      </c>
      <c r="AC3984">
        <f>RAND()</f>
        <v/>
      </c>
      <c r="AD3984">
        <f>RAND()</f>
        <v/>
      </c>
      <c r="AE3984">
        <f>RAND()</f>
        <v/>
      </c>
      <c r="AF3984">
        <f>RAND()</f>
        <v/>
      </c>
    </row>
    <row r="3985">
      <c r="M3985" s="14">
        <f>_xlfn.BETA.INV($AA3985,1+4*($D$5-$C$5)/($E$5-$C$5),1+4*($E$5-$D$5)/($E$5-$C$5),$C$5,$E$5)</f>
        <v/>
      </c>
      <c r="N3985" s="14">
        <f>IF($AB3985&lt;($D$6-$C$6)/($E$6-$C$6),$C$6+SQRT($AB3985*($E$6-$C$6)*($D$6-$C$6)),$E$6-SQRT((1-$AB3985)*($E$6-$C$6)*($E$6-$D$6)))</f>
        <v/>
      </c>
      <c r="O3985" s="14">
        <f>_xlfn.NORM.INV($AC3985,$C$7,$D$7)</f>
        <v/>
      </c>
      <c r="P3985" s="14">
        <f>$C$8+($D$8-$C$8)*$AD3985</f>
        <v/>
      </c>
      <c r="Q3985" s="14">
        <f>$C$9</f>
        <v/>
      </c>
      <c r="R3985" s="14">
        <f>_xlfn.LOGNORM.INV($AF3985,LN($C$10)-0.5*LN(1+($D$10/$C$10)^2),SQRT(LN(1+($D$10/$C$10)^2)))</f>
        <v/>
      </c>
      <c r="S3985" s="14">
        <f>SUM(M3985:R3985)</f>
        <v/>
      </c>
      <c r="AA3985">
        <f>RAND()</f>
        <v/>
      </c>
      <c r="AB3985">
        <f>RAND()</f>
        <v/>
      </c>
      <c r="AC3985">
        <f>RAND()</f>
        <v/>
      </c>
      <c r="AD3985">
        <f>RAND()</f>
        <v/>
      </c>
      <c r="AE3985">
        <f>RAND()</f>
        <v/>
      </c>
      <c r="AF3985">
        <f>RAND()</f>
        <v/>
      </c>
    </row>
    <row r="3986">
      <c r="M3986" s="14">
        <f>_xlfn.BETA.INV($AA3986,1+4*($D$5-$C$5)/($E$5-$C$5),1+4*($E$5-$D$5)/($E$5-$C$5),$C$5,$E$5)</f>
        <v/>
      </c>
      <c r="N3986" s="14">
        <f>IF($AB3986&lt;($D$6-$C$6)/($E$6-$C$6),$C$6+SQRT($AB3986*($E$6-$C$6)*($D$6-$C$6)),$E$6-SQRT((1-$AB3986)*($E$6-$C$6)*($E$6-$D$6)))</f>
        <v/>
      </c>
      <c r="O3986" s="14">
        <f>_xlfn.NORM.INV($AC3986,$C$7,$D$7)</f>
        <v/>
      </c>
      <c r="P3986" s="14">
        <f>$C$8+($D$8-$C$8)*$AD3986</f>
        <v/>
      </c>
      <c r="Q3986" s="14">
        <f>$C$9</f>
        <v/>
      </c>
      <c r="R3986" s="14">
        <f>_xlfn.LOGNORM.INV($AF3986,LN($C$10)-0.5*LN(1+($D$10/$C$10)^2),SQRT(LN(1+($D$10/$C$10)^2)))</f>
        <v/>
      </c>
      <c r="S3986" s="14">
        <f>SUM(M3986:R3986)</f>
        <v/>
      </c>
      <c r="AA3986">
        <f>RAND()</f>
        <v/>
      </c>
      <c r="AB3986">
        <f>RAND()</f>
        <v/>
      </c>
      <c r="AC3986">
        <f>RAND()</f>
        <v/>
      </c>
      <c r="AD3986">
        <f>RAND()</f>
        <v/>
      </c>
      <c r="AE3986">
        <f>RAND()</f>
        <v/>
      </c>
      <c r="AF3986">
        <f>RAND()</f>
        <v/>
      </c>
    </row>
    <row r="3987">
      <c r="M3987" s="14">
        <f>_xlfn.BETA.INV($AA3987,1+4*($D$5-$C$5)/($E$5-$C$5),1+4*($E$5-$D$5)/($E$5-$C$5),$C$5,$E$5)</f>
        <v/>
      </c>
      <c r="N3987" s="14">
        <f>IF($AB3987&lt;($D$6-$C$6)/($E$6-$C$6),$C$6+SQRT($AB3987*($E$6-$C$6)*($D$6-$C$6)),$E$6-SQRT((1-$AB3987)*($E$6-$C$6)*($E$6-$D$6)))</f>
        <v/>
      </c>
      <c r="O3987" s="14">
        <f>_xlfn.NORM.INV($AC3987,$C$7,$D$7)</f>
        <v/>
      </c>
      <c r="P3987" s="14">
        <f>$C$8+($D$8-$C$8)*$AD3987</f>
        <v/>
      </c>
      <c r="Q3987" s="14">
        <f>$C$9</f>
        <v/>
      </c>
      <c r="R3987" s="14">
        <f>_xlfn.LOGNORM.INV($AF3987,LN($C$10)-0.5*LN(1+($D$10/$C$10)^2),SQRT(LN(1+($D$10/$C$10)^2)))</f>
        <v/>
      </c>
      <c r="S3987" s="14">
        <f>SUM(M3987:R3987)</f>
        <v/>
      </c>
      <c r="AA3987">
        <f>RAND()</f>
        <v/>
      </c>
      <c r="AB3987">
        <f>RAND()</f>
        <v/>
      </c>
      <c r="AC3987">
        <f>RAND()</f>
        <v/>
      </c>
      <c r="AD3987">
        <f>RAND()</f>
        <v/>
      </c>
      <c r="AE3987">
        <f>RAND()</f>
        <v/>
      </c>
      <c r="AF3987">
        <f>RAND()</f>
        <v/>
      </c>
    </row>
    <row r="3988">
      <c r="M3988" s="14">
        <f>_xlfn.BETA.INV($AA3988,1+4*($D$5-$C$5)/($E$5-$C$5),1+4*($E$5-$D$5)/($E$5-$C$5),$C$5,$E$5)</f>
        <v/>
      </c>
      <c r="N3988" s="14">
        <f>IF($AB3988&lt;($D$6-$C$6)/($E$6-$C$6),$C$6+SQRT($AB3988*($E$6-$C$6)*($D$6-$C$6)),$E$6-SQRT((1-$AB3988)*($E$6-$C$6)*($E$6-$D$6)))</f>
        <v/>
      </c>
      <c r="O3988" s="14">
        <f>_xlfn.NORM.INV($AC3988,$C$7,$D$7)</f>
        <v/>
      </c>
      <c r="P3988" s="14">
        <f>$C$8+($D$8-$C$8)*$AD3988</f>
        <v/>
      </c>
      <c r="Q3988" s="14">
        <f>$C$9</f>
        <v/>
      </c>
      <c r="R3988" s="14">
        <f>_xlfn.LOGNORM.INV($AF3988,LN($C$10)-0.5*LN(1+($D$10/$C$10)^2),SQRT(LN(1+($D$10/$C$10)^2)))</f>
        <v/>
      </c>
      <c r="S3988" s="14">
        <f>SUM(M3988:R3988)</f>
        <v/>
      </c>
      <c r="AA3988">
        <f>RAND()</f>
        <v/>
      </c>
      <c r="AB3988">
        <f>RAND()</f>
        <v/>
      </c>
      <c r="AC3988">
        <f>RAND()</f>
        <v/>
      </c>
      <c r="AD3988">
        <f>RAND()</f>
        <v/>
      </c>
      <c r="AE3988">
        <f>RAND()</f>
        <v/>
      </c>
      <c r="AF3988">
        <f>RAND()</f>
        <v/>
      </c>
    </row>
    <row r="3989">
      <c r="M3989" s="14">
        <f>_xlfn.BETA.INV($AA3989,1+4*($D$5-$C$5)/($E$5-$C$5),1+4*($E$5-$D$5)/($E$5-$C$5),$C$5,$E$5)</f>
        <v/>
      </c>
      <c r="N3989" s="14">
        <f>IF($AB3989&lt;($D$6-$C$6)/($E$6-$C$6),$C$6+SQRT($AB3989*($E$6-$C$6)*($D$6-$C$6)),$E$6-SQRT((1-$AB3989)*($E$6-$C$6)*($E$6-$D$6)))</f>
        <v/>
      </c>
      <c r="O3989" s="14">
        <f>_xlfn.NORM.INV($AC3989,$C$7,$D$7)</f>
        <v/>
      </c>
      <c r="P3989" s="14">
        <f>$C$8+($D$8-$C$8)*$AD3989</f>
        <v/>
      </c>
      <c r="Q3989" s="14">
        <f>$C$9</f>
        <v/>
      </c>
      <c r="R3989" s="14">
        <f>_xlfn.LOGNORM.INV($AF3989,LN($C$10)-0.5*LN(1+($D$10/$C$10)^2),SQRT(LN(1+($D$10/$C$10)^2)))</f>
        <v/>
      </c>
      <c r="S3989" s="14">
        <f>SUM(M3989:R3989)</f>
        <v/>
      </c>
      <c r="AA3989">
        <f>RAND()</f>
        <v/>
      </c>
      <c r="AB3989">
        <f>RAND()</f>
        <v/>
      </c>
      <c r="AC3989">
        <f>RAND()</f>
        <v/>
      </c>
      <c r="AD3989">
        <f>RAND()</f>
        <v/>
      </c>
      <c r="AE3989">
        <f>RAND()</f>
        <v/>
      </c>
      <c r="AF3989">
        <f>RAND()</f>
        <v/>
      </c>
    </row>
    <row r="3990">
      <c r="M3990" s="14">
        <f>_xlfn.BETA.INV($AA3990,1+4*($D$5-$C$5)/($E$5-$C$5),1+4*($E$5-$D$5)/($E$5-$C$5),$C$5,$E$5)</f>
        <v/>
      </c>
      <c r="N3990" s="14">
        <f>IF($AB3990&lt;($D$6-$C$6)/($E$6-$C$6),$C$6+SQRT($AB3990*($E$6-$C$6)*($D$6-$C$6)),$E$6-SQRT((1-$AB3990)*($E$6-$C$6)*($E$6-$D$6)))</f>
        <v/>
      </c>
      <c r="O3990" s="14">
        <f>_xlfn.NORM.INV($AC3990,$C$7,$D$7)</f>
        <v/>
      </c>
      <c r="P3990" s="14">
        <f>$C$8+($D$8-$C$8)*$AD3990</f>
        <v/>
      </c>
      <c r="Q3990" s="14">
        <f>$C$9</f>
        <v/>
      </c>
      <c r="R3990" s="14">
        <f>_xlfn.LOGNORM.INV($AF3990,LN($C$10)-0.5*LN(1+($D$10/$C$10)^2),SQRT(LN(1+($D$10/$C$10)^2)))</f>
        <v/>
      </c>
      <c r="S3990" s="14">
        <f>SUM(M3990:R3990)</f>
        <v/>
      </c>
      <c r="AA3990">
        <f>RAND()</f>
        <v/>
      </c>
      <c r="AB3990">
        <f>RAND()</f>
        <v/>
      </c>
      <c r="AC3990">
        <f>RAND()</f>
        <v/>
      </c>
      <c r="AD3990">
        <f>RAND()</f>
        <v/>
      </c>
      <c r="AE3990">
        <f>RAND()</f>
        <v/>
      </c>
      <c r="AF3990">
        <f>RAND()</f>
        <v/>
      </c>
    </row>
    <row r="3991">
      <c r="M3991" s="14">
        <f>_xlfn.BETA.INV($AA3991,1+4*($D$5-$C$5)/($E$5-$C$5),1+4*($E$5-$D$5)/($E$5-$C$5),$C$5,$E$5)</f>
        <v/>
      </c>
      <c r="N3991" s="14">
        <f>IF($AB3991&lt;($D$6-$C$6)/($E$6-$C$6),$C$6+SQRT($AB3991*($E$6-$C$6)*($D$6-$C$6)),$E$6-SQRT((1-$AB3991)*($E$6-$C$6)*($E$6-$D$6)))</f>
        <v/>
      </c>
      <c r="O3991" s="14">
        <f>_xlfn.NORM.INV($AC3991,$C$7,$D$7)</f>
        <v/>
      </c>
      <c r="P3991" s="14">
        <f>$C$8+($D$8-$C$8)*$AD3991</f>
        <v/>
      </c>
      <c r="Q3991" s="14">
        <f>$C$9</f>
        <v/>
      </c>
      <c r="R3991" s="14">
        <f>_xlfn.LOGNORM.INV($AF3991,LN($C$10)-0.5*LN(1+($D$10/$C$10)^2),SQRT(LN(1+($D$10/$C$10)^2)))</f>
        <v/>
      </c>
      <c r="S3991" s="14">
        <f>SUM(M3991:R3991)</f>
        <v/>
      </c>
      <c r="AA3991">
        <f>RAND()</f>
        <v/>
      </c>
      <c r="AB3991">
        <f>RAND()</f>
        <v/>
      </c>
      <c r="AC3991">
        <f>RAND()</f>
        <v/>
      </c>
      <c r="AD3991">
        <f>RAND()</f>
        <v/>
      </c>
      <c r="AE3991">
        <f>RAND()</f>
        <v/>
      </c>
      <c r="AF3991">
        <f>RAND()</f>
        <v/>
      </c>
    </row>
    <row r="3992">
      <c r="M3992" s="14">
        <f>_xlfn.BETA.INV($AA3992,1+4*($D$5-$C$5)/($E$5-$C$5),1+4*($E$5-$D$5)/($E$5-$C$5),$C$5,$E$5)</f>
        <v/>
      </c>
      <c r="N3992" s="14">
        <f>IF($AB3992&lt;($D$6-$C$6)/($E$6-$C$6),$C$6+SQRT($AB3992*($E$6-$C$6)*($D$6-$C$6)),$E$6-SQRT((1-$AB3992)*($E$6-$C$6)*($E$6-$D$6)))</f>
        <v/>
      </c>
      <c r="O3992" s="14">
        <f>_xlfn.NORM.INV($AC3992,$C$7,$D$7)</f>
        <v/>
      </c>
      <c r="P3992" s="14">
        <f>$C$8+($D$8-$C$8)*$AD3992</f>
        <v/>
      </c>
      <c r="Q3992" s="14">
        <f>$C$9</f>
        <v/>
      </c>
      <c r="R3992" s="14">
        <f>_xlfn.LOGNORM.INV($AF3992,LN($C$10)-0.5*LN(1+($D$10/$C$10)^2),SQRT(LN(1+($D$10/$C$10)^2)))</f>
        <v/>
      </c>
      <c r="S3992" s="14">
        <f>SUM(M3992:R3992)</f>
        <v/>
      </c>
      <c r="AA3992">
        <f>RAND()</f>
        <v/>
      </c>
      <c r="AB3992">
        <f>RAND()</f>
        <v/>
      </c>
      <c r="AC3992">
        <f>RAND()</f>
        <v/>
      </c>
      <c r="AD3992">
        <f>RAND()</f>
        <v/>
      </c>
      <c r="AE3992">
        <f>RAND()</f>
        <v/>
      </c>
      <c r="AF3992">
        <f>RAND()</f>
        <v/>
      </c>
    </row>
    <row r="3993">
      <c r="M3993" s="14">
        <f>_xlfn.BETA.INV($AA3993,1+4*($D$5-$C$5)/($E$5-$C$5),1+4*($E$5-$D$5)/($E$5-$C$5),$C$5,$E$5)</f>
        <v/>
      </c>
      <c r="N3993" s="14">
        <f>IF($AB3993&lt;($D$6-$C$6)/($E$6-$C$6),$C$6+SQRT($AB3993*($E$6-$C$6)*($D$6-$C$6)),$E$6-SQRT((1-$AB3993)*($E$6-$C$6)*($E$6-$D$6)))</f>
        <v/>
      </c>
      <c r="O3993" s="14">
        <f>_xlfn.NORM.INV($AC3993,$C$7,$D$7)</f>
        <v/>
      </c>
      <c r="P3993" s="14">
        <f>$C$8+($D$8-$C$8)*$AD3993</f>
        <v/>
      </c>
      <c r="Q3993" s="14">
        <f>$C$9</f>
        <v/>
      </c>
      <c r="R3993" s="14">
        <f>_xlfn.LOGNORM.INV($AF3993,LN($C$10)-0.5*LN(1+($D$10/$C$10)^2),SQRT(LN(1+($D$10/$C$10)^2)))</f>
        <v/>
      </c>
      <c r="S3993" s="14">
        <f>SUM(M3993:R3993)</f>
        <v/>
      </c>
      <c r="AA3993">
        <f>RAND()</f>
        <v/>
      </c>
      <c r="AB3993">
        <f>RAND()</f>
        <v/>
      </c>
      <c r="AC3993">
        <f>RAND()</f>
        <v/>
      </c>
      <c r="AD3993">
        <f>RAND()</f>
        <v/>
      </c>
      <c r="AE3993">
        <f>RAND()</f>
        <v/>
      </c>
      <c r="AF3993">
        <f>RAND()</f>
        <v/>
      </c>
    </row>
    <row r="3994">
      <c r="M3994" s="14">
        <f>_xlfn.BETA.INV($AA3994,1+4*($D$5-$C$5)/($E$5-$C$5),1+4*($E$5-$D$5)/($E$5-$C$5),$C$5,$E$5)</f>
        <v/>
      </c>
      <c r="N3994" s="14">
        <f>IF($AB3994&lt;($D$6-$C$6)/($E$6-$C$6),$C$6+SQRT($AB3994*($E$6-$C$6)*($D$6-$C$6)),$E$6-SQRT((1-$AB3994)*($E$6-$C$6)*($E$6-$D$6)))</f>
        <v/>
      </c>
      <c r="O3994" s="14">
        <f>_xlfn.NORM.INV($AC3994,$C$7,$D$7)</f>
        <v/>
      </c>
      <c r="P3994" s="14">
        <f>$C$8+($D$8-$C$8)*$AD3994</f>
        <v/>
      </c>
      <c r="Q3994" s="14">
        <f>$C$9</f>
        <v/>
      </c>
      <c r="R3994" s="14">
        <f>_xlfn.LOGNORM.INV($AF3994,LN($C$10)-0.5*LN(1+($D$10/$C$10)^2),SQRT(LN(1+($D$10/$C$10)^2)))</f>
        <v/>
      </c>
      <c r="S3994" s="14">
        <f>SUM(M3994:R3994)</f>
        <v/>
      </c>
      <c r="AA3994">
        <f>RAND()</f>
        <v/>
      </c>
      <c r="AB3994">
        <f>RAND()</f>
        <v/>
      </c>
      <c r="AC3994">
        <f>RAND()</f>
        <v/>
      </c>
      <c r="AD3994">
        <f>RAND()</f>
        <v/>
      </c>
      <c r="AE3994">
        <f>RAND()</f>
        <v/>
      </c>
      <c r="AF3994">
        <f>RAND()</f>
        <v/>
      </c>
    </row>
    <row r="3995">
      <c r="M3995" s="14">
        <f>_xlfn.BETA.INV($AA3995,1+4*($D$5-$C$5)/($E$5-$C$5),1+4*($E$5-$D$5)/($E$5-$C$5),$C$5,$E$5)</f>
        <v/>
      </c>
      <c r="N3995" s="14">
        <f>IF($AB3995&lt;($D$6-$C$6)/($E$6-$C$6),$C$6+SQRT($AB3995*($E$6-$C$6)*($D$6-$C$6)),$E$6-SQRT((1-$AB3995)*($E$6-$C$6)*($E$6-$D$6)))</f>
        <v/>
      </c>
      <c r="O3995" s="14">
        <f>_xlfn.NORM.INV($AC3995,$C$7,$D$7)</f>
        <v/>
      </c>
      <c r="P3995" s="14">
        <f>$C$8+($D$8-$C$8)*$AD3995</f>
        <v/>
      </c>
      <c r="Q3995" s="14">
        <f>$C$9</f>
        <v/>
      </c>
      <c r="R3995" s="14">
        <f>_xlfn.LOGNORM.INV($AF3995,LN($C$10)-0.5*LN(1+($D$10/$C$10)^2),SQRT(LN(1+($D$10/$C$10)^2)))</f>
        <v/>
      </c>
      <c r="S3995" s="14">
        <f>SUM(M3995:R3995)</f>
        <v/>
      </c>
      <c r="AA3995">
        <f>RAND()</f>
        <v/>
      </c>
      <c r="AB3995">
        <f>RAND()</f>
        <v/>
      </c>
      <c r="AC3995">
        <f>RAND()</f>
        <v/>
      </c>
      <c r="AD3995">
        <f>RAND()</f>
        <v/>
      </c>
      <c r="AE3995">
        <f>RAND()</f>
        <v/>
      </c>
      <c r="AF3995">
        <f>RAND()</f>
        <v/>
      </c>
    </row>
    <row r="3996">
      <c r="M3996" s="14">
        <f>_xlfn.BETA.INV($AA3996,1+4*($D$5-$C$5)/($E$5-$C$5),1+4*($E$5-$D$5)/($E$5-$C$5),$C$5,$E$5)</f>
        <v/>
      </c>
      <c r="N3996" s="14">
        <f>IF($AB3996&lt;($D$6-$C$6)/($E$6-$C$6),$C$6+SQRT($AB3996*($E$6-$C$6)*($D$6-$C$6)),$E$6-SQRT((1-$AB3996)*($E$6-$C$6)*($E$6-$D$6)))</f>
        <v/>
      </c>
      <c r="O3996" s="14">
        <f>_xlfn.NORM.INV($AC3996,$C$7,$D$7)</f>
        <v/>
      </c>
      <c r="P3996" s="14">
        <f>$C$8+($D$8-$C$8)*$AD3996</f>
        <v/>
      </c>
      <c r="Q3996" s="14">
        <f>$C$9</f>
        <v/>
      </c>
      <c r="R3996" s="14">
        <f>_xlfn.LOGNORM.INV($AF3996,LN($C$10)-0.5*LN(1+($D$10/$C$10)^2),SQRT(LN(1+($D$10/$C$10)^2)))</f>
        <v/>
      </c>
      <c r="S3996" s="14">
        <f>SUM(M3996:R3996)</f>
        <v/>
      </c>
      <c r="AA3996">
        <f>RAND()</f>
        <v/>
      </c>
      <c r="AB3996">
        <f>RAND()</f>
        <v/>
      </c>
      <c r="AC3996">
        <f>RAND()</f>
        <v/>
      </c>
      <c r="AD3996">
        <f>RAND()</f>
        <v/>
      </c>
      <c r="AE3996">
        <f>RAND()</f>
        <v/>
      </c>
      <c r="AF3996">
        <f>RAND()</f>
        <v/>
      </c>
    </row>
    <row r="3997">
      <c r="M3997" s="14">
        <f>_xlfn.BETA.INV($AA3997,1+4*($D$5-$C$5)/($E$5-$C$5),1+4*($E$5-$D$5)/($E$5-$C$5),$C$5,$E$5)</f>
        <v/>
      </c>
      <c r="N3997" s="14">
        <f>IF($AB3997&lt;($D$6-$C$6)/($E$6-$C$6),$C$6+SQRT($AB3997*($E$6-$C$6)*($D$6-$C$6)),$E$6-SQRT((1-$AB3997)*($E$6-$C$6)*($E$6-$D$6)))</f>
        <v/>
      </c>
      <c r="O3997" s="14">
        <f>_xlfn.NORM.INV($AC3997,$C$7,$D$7)</f>
        <v/>
      </c>
      <c r="P3997" s="14">
        <f>$C$8+($D$8-$C$8)*$AD3997</f>
        <v/>
      </c>
      <c r="Q3997" s="14">
        <f>$C$9</f>
        <v/>
      </c>
      <c r="R3997" s="14">
        <f>_xlfn.LOGNORM.INV($AF3997,LN($C$10)-0.5*LN(1+($D$10/$C$10)^2),SQRT(LN(1+($D$10/$C$10)^2)))</f>
        <v/>
      </c>
      <c r="S3997" s="14">
        <f>SUM(M3997:R3997)</f>
        <v/>
      </c>
      <c r="AA3997">
        <f>RAND()</f>
        <v/>
      </c>
      <c r="AB3997">
        <f>RAND()</f>
        <v/>
      </c>
      <c r="AC3997">
        <f>RAND()</f>
        <v/>
      </c>
      <c r="AD3997">
        <f>RAND()</f>
        <v/>
      </c>
      <c r="AE3997">
        <f>RAND()</f>
        <v/>
      </c>
      <c r="AF3997">
        <f>RAND()</f>
        <v/>
      </c>
    </row>
    <row r="3998">
      <c r="M3998" s="14">
        <f>_xlfn.BETA.INV($AA3998,1+4*($D$5-$C$5)/($E$5-$C$5),1+4*($E$5-$D$5)/($E$5-$C$5),$C$5,$E$5)</f>
        <v/>
      </c>
      <c r="N3998" s="14">
        <f>IF($AB3998&lt;($D$6-$C$6)/($E$6-$C$6),$C$6+SQRT($AB3998*($E$6-$C$6)*($D$6-$C$6)),$E$6-SQRT((1-$AB3998)*($E$6-$C$6)*($E$6-$D$6)))</f>
        <v/>
      </c>
      <c r="O3998" s="14">
        <f>_xlfn.NORM.INV($AC3998,$C$7,$D$7)</f>
        <v/>
      </c>
      <c r="P3998" s="14">
        <f>$C$8+($D$8-$C$8)*$AD3998</f>
        <v/>
      </c>
      <c r="Q3998" s="14">
        <f>$C$9</f>
        <v/>
      </c>
      <c r="R3998" s="14">
        <f>_xlfn.LOGNORM.INV($AF3998,LN($C$10)-0.5*LN(1+($D$10/$C$10)^2),SQRT(LN(1+($D$10/$C$10)^2)))</f>
        <v/>
      </c>
      <c r="S3998" s="14">
        <f>SUM(M3998:R3998)</f>
        <v/>
      </c>
      <c r="AA3998">
        <f>RAND()</f>
        <v/>
      </c>
      <c r="AB3998">
        <f>RAND()</f>
        <v/>
      </c>
      <c r="AC3998">
        <f>RAND()</f>
        <v/>
      </c>
      <c r="AD3998">
        <f>RAND()</f>
        <v/>
      </c>
      <c r="AE3998">
        <f>RAND()</f>
        <v/>
      </c>
      <c r="AF3998">
        <f>RAND()</f>
        <v/>
      </c>
    </row>
    <row r="3999">
      <c r="M3999" s="14">
        <f>_xlfn.BETA.INV($AA3999,1+4*($D$5-$C$5)/($E$5-$C$5),1+4*($E$5-$D$5)/($E$5-$C$5),$C$5,$E$5)</f>
        <v/>
      </c>
      <c r="N3999" s="14">
        <f>IF($AB3999&lt;($D$6-$C$6)/($E$6-$C$6),$C$6+SQRT($AB3999*($E$6-$C$6)*($D$6-$C$6)),$E$6-SQRT((1-$AB3999)*($E$6-$C$6)*($E$6-$D$6)))</f>
        <v/>
      </c>
      <c r="O3999" s="14">
        <f>_xlfn.NORM.INV($AC3999,$C$7,$D$7)</f>
        <v/>
      </c>
      <c r="P3999" s="14">
        <f>$C$8+($D$8-$C$8)*$AD3999</f>
        <v/>
      </c>
      <c r="Q3999" s="14">
        <f>$C$9</f>
        <v/>
      </c>
      <c r="R3999" s="14">
        <f>_xlfn.LOGNORM.INV($AF3999,LN($C$10)-0.5*LN(1+($D$10/$C$10)^2),SQRT(LN(1+($D$10/$C$10)^2)))</f>
        <v/>
      </c>
      <c r="S3999" s="14">
        <f>SUM(M3999:R3999)</f>
        <v/>
      </c>
      <c r="AA3999">
        <f>RAND()</f>
        <v/>
      </c>
      <c r="AB3999">
        <f>RAND()</f>
        <v/>
      </c>
      <c r="AC3999">
        <f>RAND()</f>
        <v/>
      </c>
      <c r="AD3999">
        <f>RAND()</f>
        <v/>
      </c>
      <c r="AE3999">
        <f>RAND()</f>
        <v/>
      </c>
      <c r="AF3999">
        <f>RAND()</f>
        <v/>
      </c>
    </row>
    <row r="4000">
      <c r="M4000" s="14">
        <f>_xlfn.BETA.INV($AA4000,1+4*($D$5-$C$5)/($E$5-$C$5),1+4*($E$5-$D$5)/($E$5-$C$5),$C$5,$E$5)</f>
        <v/>
      </c>
      <c r="N4000" s="14">
        <f>IF($AB4000&lt;($D$6-$C$6)/($E$6-$C$6),$C$6+SQRT($AB4000*($E$6-$C$6)*($D$6-$C$6)),$E$6-SQRT((1-$AB4000)*($E$6-$C$6)*($E$6-$D$6)))</f>
        <v/>
      </c>
      <c r="O4000" s="14">
        <f>_xlfn.NORM.INV($AC4000,$C$7,$D$7)</f>
        <v/>
      </c>
      <c r="P4000" s="14">
        <f>$C$8+($D$8-$C$8)*$AD4000</f>
        <v/>
      </c>
      <c r="Q4000" s="14">
        <f>$C$9</f>
        <v/>
      </c>
      <c r="R4000" s="14">
        <f>_xlfn.LOGNORM.INV($AF4000,LN($C$10)-0.5*LN(1+($D$10/$C$10)^2),SQRT(LN(1+($D$10/$C$10)^2)))</f>
        <v/>
      </c>
      <c r="S4000" s="14">
        <f>SUM(M4000:R4000)</f>
        <v/>
      </c>
      <c r="AA4000">
        <f>RAND()</f>
        <v/>
      </c>
      <c r="AB4000">
        <f>RAND()</f>
        <v/>
      </c>
      <c r="AC4000">
        <f>RAND()</f>
        <v/>
      </c>
      <c r="AD4000">
        <f>RAND()</f>
        <v/>
      </c>
      <c r="AE4000">
        <f>RAND()</f>
        <v/>
      </c>
      <c r="AF4000">
        <f>RAND()</f>
        <v/>
      </c>
    </row>
    <row r="4001">
      <c r="M4001" s="14">
        <f>_xlfn.BETA.INV($AA4001,1+4*($D$5-$C$5)/($E$5-$C$5),1+4*($E$5-$D$5)/($E$5-$C$5),$C$5,$E$5)</f>
        <v/>
      </c>
      <c r="N4001" s="14">
        <f>IF($AB4001&lt;($D$6-$C$6)/($E$6-$C$6),$C$6+SQRT($AB4001*($E$6-$C$6)*($D$6-$C$6)),$E$6-SQRT((1-$AB4001)*($E$6-$C$6)*($E$6-$D$6)))</f>
        <v/>
      </c>
      <c r="O4001" s="14">
        <f>_xlfn.NORM.INV($AC4001,$C$7,$D$7)</f>
        <v/>
      </c>
      <c r="P4001" s="14">
        <f>$C$8+($D$8-$C$8)*$AD4001</f>
        <v/>
      </c>
      <c r="Q4001" s="14">
        <f>$C$9</f>
        <v/>
      </c>
      <c r="R4001" s="14">
        <f>_xlfn.LOGNORM.INV($AF4001,LN($C$10)-0.5*LN(1+($D$10/$C$10)^2),SQRT(LN(1+($D$10/$C$10)^2)))</f>
        <v/>
      </c>
      <c r="S4001" s="14">
        <f>SUM(M4001:R4001)</f>
        <v/>
      </c>
      <c r="AA4001">
        <f>RAND()</f>
        <v/>
      </c>
      <c r="AB4001">
        <f>RAND()</f>
        <v/>
      </c>
      <c r="AC4001">
        <f>RAND()</f>
        <v/>
      </c>
      <c r="AD4001">
        <f>RAND()</f>
        <v/>
      </c>
      <c r="AE4001">
        <f>RAND()</f>
        <v/>
      </c>
      <c r="AF4001">
        <f>RAND()</f>
        <v/>
      </c>
    </row>
    <row r="4002">
      <c r="M4002" s="14">
        <f>_xlfn.BETA.INV($AA4002,1+4*($D$5-$C$5)/($E$5-$C$5),1+4*($E$5-$D$5)/($E$5-$C$5),$C$5,$E$5)</f>
        <v/>
      </c>
      <c r="N4002" s="14">
        <f>IF($AB4002&lt;($D$6-$C$6)/($E$6-$C$6),$C$6+SQRT($AB4002*($E$6-$C$6)*($D$6-$C$6)),$E$6-SQRT((1-$AB4002)*($E$6-$C$6)*($E$6-$D$6)))</f>
        <v/>
      </c>
      <c r="O4002" s="14">
        <f>_xlfn.NORM.INV($AC4002,$C$7,$D$7)</f>
        <v/>
      </c>
      <c r="P4002" s="14">
        <f>$C$8+($D$8-$C$8)*$AD4002</f>
        <v/>
      </c>
      <c r="Q4002" s="14">
        <f>$C$9</f>
        <v/>
      </c>
      <c r="R4002" s="14">
        <f>_xlfn.LOGNORM.INV($AF4002,LN($C$10)-0.5*LN(1+($D$10/$C$10)^2),SQRT(LN(1+($D$10/$C$10)^2)))</f>
        <v/>
      </c>
      <c r="S4002" s="14">
        <f>SUM(M4002:R4002)</f>
        <v/>
      </c>
      <c r="AA4002">
        <f>RAND()</f>
        <v/>
      </c>
      <c r="AB4002">
        <f>RAND()</f>
        <v/>
      </c>
      <c r="AC4002">
        <f>RAND()</f>
        <v/>
      </c>
      <c r="AD4002">
        <f>RAND()</f>
        <v/>
      </c>
      <c r="AE4002">
        <f>RAND()</f>
        <v/>
      </c>
      <c r="AF4002">
        <f>RAND()</f>
        <v/>
      </c>
    </row>
    <row r="4003">
      <c r="M4003" s="14">
        <f>_xlfn.BETA.INV($AA4003,1+4*($D$5-$C$5)/($E$5-$C$5),1+4*($E$5-$D$5)/($E$5-$C$5),$C$5,$E$5)</f>
        <v/>
      </c>
      <c r="N4003" s="14">
        <f>IF($AB4003&lt;($D$6-$C$6)/($E$6-$C$6),$C$6+SQRT($AB4003*($E$6-$C$6)*($D$6-$C$6)),$E$6-SQRT((1-$AB4003)*($E$6-$C$6)*($E$6-$D$6)))</f>
        <v/>
      </c>
      <c r="O4003" s="14">
        <f>_xlfn.NORM.INV($AC4003,$C$7,$D$7)</f>
        <v/>
      </c>
      <c r="P4003" s="14">
        <f>$C$8+($D$8-$C$8)*$AD4003</f>
        <v/>
      </c>
      <c r="Q4003" s="14">
        <f>$C$9</f>
        <v/>
      </c>
      <c r="R4003" s="14">
        <f>_xlfn.LOGNORM.INV($AF4003,LN($C$10)-0.5*LN(1+($D$10/$C$10)^2),SQRT(LN(1+($D$10/$C$10)^2)))</f>
        <v/>
      </c>
      <c r="S4003" s="14">
        <f>SUM(M4003:R4003)</f>
        <v/>
      </c>
      <c r="AA4003">
        <f>RAND()</f>
        <v/>
      </c>
      <c r="AB4003">
        <f>RAND()</f>
        <v/>
      </c>
      <c r="AC4003">
        <f>RAND()</f>
        <v/>
      </c>
      <c r="AD4003">
        <f>RAND()</f>
        <v/>
      </c>
      <c r="AE4003">
        <f>RAND()</f>
        <v/>
      </c>
      <c r="AF4003">
        <f>RAND()</f>
        <v/>
      </c>
    </row>
    <row r="4004">
      <c r="M4004" s="14">
        <f>_xlfn.BETA.INV($AA4004,1+4*($D$5-$C$5)/($E$5-$C$5),1+4*($E$5-$D$5)/($E$5-$C$5),$C$5,$E$5)</f>
        <v/>
      </c>
      <c r="N4004" s="14">
        <f>IF($AB4004&lt;($D$6-$C$6)/($E$6-$C$6),$C$6+SQRT($AB4004*($E$6-$C$6)*($D$6-$C$6)),$E$6-SQRT((1-$AB4004)*($E$6-$C$6)*($E$6-$D$6)))</f>
        <v/>
      </c>
      <c r="O4004" s="14">
        <f>_xlfn.NORM.INV($AC4004,$C$7,$D$7)</f>
        <v/>
      </c>
      <c r="P4004" s="14">
        <f>$C$8+($D$8-$C$8)*$AD4004</f>
        <v/>
      </c>
      <c r="Q4004" s="14">
        <f>$C$9</f>
        <v/>
      </c>
      <c r="R4004" s="14">
        <f>_xlfn.LOGNORM.INV($AF4004,LN($C$10)-0.5*LN(1+($D$10/$C$10)^2),SQRT(LN(1+($D$10/$C$10)^2)))</f>
        <v/>
      </c>
      <c r="S4004" s="14">
        <f>SUM(M4004:R4004)</f>
        <v/>
      </c>
      <c r="AA4004">
        <f>RAND()</f>
        <v/>
      </c>
      <c r="AB4004">
        <f>RAND()</f>
        <v/>
      </c>
      <c r="AC4004">
        <f>RAND()</f>
        <v/>
      </c>
      <c r="AD4004">
        <f>RAND()</f>
        <v/>
      </c>
      <c r="AE4004">
        <f>RAND()</f>
        <v/>
      </c>
      <c r="AF4004">
        <f>RAND()</f>
        <v/>
      </c>
    </row>
    <row r="4005">
      <c r="M4005" s="14">
        <f>_xlfn.BETA.INV($AA4005,1+4*($D$5-$C$5)/($E$5-$C$5),1+4*($E$5-$D$5)/($E$5-$C$5),$C$5,$E$5)</f>
        <v/>
      </c>
      <c r="N4005" s="14">
        <f>IF($AB4005&lt;($D$6-$C$6)/($E$6-$C$6),$C$6+SQRT($AB4005*($E$6-$C$6)*($D$6-$C$6)),$E$6-SQRT((1-$AB4005)*($E$6-$C$6)*($E$6-$D$6)))</f>
        <v/>
      </c>
      <c r="O4005" s="14">
        <f>_xlfn.NORM.INV($AC4005,$C$7,$D$7)</f>
        <v/>
      </c>
      <c r="P4005" s="14">
        <f>$C$8+($D$8-$C$8)*$AD4005</f>
        <v/>
      </c>
      <c r="Q4005" s="14">
        <f>$C$9</f>
        <v/>
      </c>
      <c r="R4005" s="14">
        <f>_xlfn.LOGNORM.INV($AF4005,LN($C$10)-0.5*LN(1+($D$10/$C$10)^2),SQRT(LN(1+($D$10/$C$10)^2)))</f>
        <v/>
      </c>
      <c r="S4005" s="14">
        <f>SUM(M4005:R4005)</f>
        <v/>
      </c>
      <c r="AA4005">
        <f>RAND()</f>
        <v/>
      </c>
      <c r="AB4005">
        <f>RAND()</f>
        <v/>
      </c>
      <c r="AC4005">
        <f>RAND()</f>
        <v/>
      </c>
      <c r="AD4005">
        <f>RAND()</f>
        <v/>
      </c>
      <c r="AE4005">
        <f>RAND()</f>
        <v/>
      </c>
      <c r="AF4005">
        <f>RAND()</f>
        <v/>
      </c>
    </row>
    <row r="4006">
      <c r="M4006" s="14">
        <f>_xlfn.BETA.INV($AA4006,1+4*($D$5-$C$5)/($E$5-$C$5),1+4*($E$5-$D$5)/($E$5-$C$5),$C$5,$E$5)</f>
        <v/>
      </c>
      <c r="N4006" s="14">
        <f>IF($AB4006&lt;($D$6-$C$6)/($E$6-$C$6),$C$6+SQRT($AB4006*($E$6-$C$6)*($D$6-$C$6)),$E$6-SQRT((1-$AB4006)*($E$6-$C$6)*($E$6-$D$6)))</f>
        <v/>
      </c>
      <c r="O4006" s="14">
        <f>_xlfn.NORM.INV($AC4006,$C$7,$D$7)</f>
        <v/>
      </c>
      <c r="P4006" s="14">
        <f>$C$8+($D$8-$C$8)*$AD4006</f>
        <v/>
      </c>
      <c r="Q4006" s="14">
        <f>$C$9</f>
        <v/>
      </c>
      <c r="R4006" s="14">
        <f>_xlfn.LOGNORM.INV($AF4006,LN($C$10)-0.5*LN(1+($D$10/$C$10)^2),SQRT(LN(1+($D$10/$C$10)^2)))</f>
        <v/>
      </c>
      <c r="S4006" s="14">
        <f>SUM(M4006:R4006)</f>
        <v/>
      </c>
      <c r="AA4006">
        <f>RAND()</f>
        <v/>
      </c>
      <c r="AB4006">
        <f>RAND()</f>
        <v/>
      </c>
      <c r="AC4006">
        <f>RAND()</f>
        <v/>
      </c>
      <c r="AD4006">
        <f>RAND()</f>
        <v/>
      </c>
      <c r="AE4006">
        <f>RAND()</f>
        <v/>
      </c>
      <c r="AF4006">
        <f>RAND()</f>
        <v/>
      </c>
    </row>
    <row r="4007">
      <c r="M4007" s="14">
        <f>_xlfn.BETA.INV($AA4007,1+4*($D$5-$C$5)/($E$5-$C$5),1+4*($E$5-$D$5)/($E$5-$C$5),$C$5,$E$5)</f>
        <v/>
      </c>
      <c r="N4007" s="14">
        <f>IF($AB4007&lt;($D$6-$C$6)/($E$6-$C$6),$C$6+SQRT($AB4007*($E$6-$C$6)*($D$6-$C$6)),$E$6-SQRT((1-$AB4007)*($E$6-$C$6)*($E$6-$D$6)))</f>
        <v/>
      </c>
      <c r="O4007" s="14">
        <f>_xlfn.NORM.INV($AC4007,$C$7,$D$7)</f>
        <v/>
      </c>
      <c r="P4007" s="14">
        <f>$C$8+($D$8-$C$8)*$AD4007</f>
        <v/>
      </c>
      <c r="Q4007" s="14">
        <f>$C$9</f>
        <v/>
      </c>
      <c r="R4007" s="14">
        <f>_xlfn.LOGNORM.INV($AF4007,LN($C$10)-0.5*LN(1+($D$10/$C$10)^2),SQRT(LN(1+($D$10/$C$10)^2)))</f>
        <v/>
      </c>
      <c r="S4007" s="14">
        <f>SUM(M4007:R4007)</f>
        <v/>
      </c>
      <c r="AA4007">
        <f>RAND()</f>
        <v/>
      </c>
      <c r="AB4007">
        <f>RAND()</f>
        <v/>
      </c>
      <c r="AC4007">
        <f>RAND()</f>
        <v/>
      </c>
      <c r="AD4007">
        <f>RAND()</f>
        <v/>
      </c>
      <c r="AE4007">
        <f>RAND()</f>
        <v/>
      </c>
      <c r="AF4007">
        <f>RAND()</f>
        <v/>
      </c>
    </row>
    <row r="4008">
      <c r="M4008" s="14">
        <f>_xlfn.BETA.INV($AA4008,1+4*($D$5-$C$5)/($E$5-$C$5),1+4*($E$5-$D$5)/($E$5-$C$5),$C$5,$E$5)</f>
        <v/>
      </c>
      <c r="N4008" s="14">
        <f>IF($AB4008&lt;($D$6-$C$6)/($E$6-$C$6),$C$6+SQRT($AB4008*($E$6-$C$6)*($D$6-$C$6)),$E$6-SQRT((1-$AB4008)*($E$6-$C$6)*($E$6-$D$6)))</f>
        <v/>
      </c>
      <c r="O4008" s="14">
        <f>_xlfn.NORM.INV($AC4008,$C$7,$D$7)</f>
        <v/>
      </c>
      <c r="P4008" s="14">
        <f>$C$8+($D$8-$C$8)*$AD4008</f>
        <v/>
      </c>
      <c r="Q4008" s="14">
        <f>$C$9</f>
        <v/>
      </c>
      <c r="R4008" s="14">
        <f>_xlfn.LOGNORM.INV($AF4008,LN($C$10)-0.5*LN(1+($D$10/$C$10)^2),SQRT(LN(1+($D$10/$C$10)^2)))</f>
        <v/>
      </c>
      <c r="S4008" s="14">
        <f>SUM(M4008:R4008)</f>
        <v/>
      </c>
      <c r="AA4008">
        <f>RAND()</f>
        <v/>
      </c>
      <c r="AB4008">
        <f>RAND()</f>
        <v/>
      </c>
      <c r="AC4008">
        <f>RAND()</f>
        <v/>
      </c>
      <c r="AD4008">
        <f>RAND()</f>
        <v/>
      </c>
      <c r="AE4008">
        <f>RAND()</f>
        <v/>
      </c>
      <c r="AF4008">
        <f>RAND()</f>
        <v/>
      </c>
    </row>
    <row r="4009">
      <c r="M4009" s="14">
        <f>_xlfn.BETA.INV($AA4009,1+4*($D$5-$C$5)/($E$5-$C$5),1+4*($E$5-$D$5)/($E$5-$C$5),$C$5,$E$5)</f>
        <v/>
      </c>
      <c r="N4009" s="14">
        <f>IF($AB4009&lt;($D$6-$C$6)/($E$6-$C$6),$C$6+SQRT($AB4009*($E$6-$C$6)*($D$6-$C$6)),$E$6-SQRT((1-$AB4009)*($E$6-$C$6)*($E$6-$D$6)))</f>
        <v/>
      </c>
      <c r="O4009" s="14">
        <f>_xlfn.NORM.INV($AC4009,$C$7,$D$7)</f>
        <v/>
      </c>
      <c r="P4009" s="14">
        <f>$C$8+($D$8-$C$8)*$AD4009</f>
        <v/>
      </c>
      <c r="Q4009" s="14">
        <f>$C$9</f>
        <v/>
      </c>
      <c r="R4009" s="14">
        <f>_xlfn.LOGNORM.INV($AF4009,LN($C$10)-0.5*LN(1+($D$10/$C$10)^2),SQRT(LN(1+($D$10/$C$10)^2)))</f>
        <v/>
      </c>
      <c r="S4009" s="14">
        <f>SUM(M4009:R4009)</f>
        <v/>
      </c>
      <c r="AA4009">
        <f>RAND()</f>
        <v/>
      </c>
      <c r="AB4009">
        <f>RAND()</f>
        <v/>
      </c>
      <c r="AC4009">
        <f>RAND()</f>
        <v/>
      </c>
      <c r="AD4009">
        <f>RAND()</f>
        <v/>
      </c>
      <c r="AE4009">
        <f>RAND()</f>
        <v/>
      </c>
      <c r="AF4009">
        <f>RAND()</f>
        <v/>
      </c>
    </row>
    <row r="4010">
      <c r="M4010" s="14">
        <f>_xlfn.BETA.INV($AA4010,1+4*($D$5-$C$5)/($E$5-$C$5),1+4*($E$5-$D$5)/($E$5-$C$5),$C$5,$E$5)</f>
        <v/>
      </c>
      <c r="N4010" s="14">
        <f>IF($AB4010&lt;($D$6-$C$6)/($E$6-$C$6),$C$6+SQRT($AB4010*($E$6-$C$6)*($D$6-$C$6)),$E$6-SQRT((1-$AB4010)*($E$6-$C$6)*($E$6-$D$6)))</f>
        <v/>
      </c>
      <c r="O4010" s="14">
        <f>_xlfn.NORM.INV($AC4010,$C$7,$D$7)</f>
        <v/>
      </c>
      <c r="P4010" s="14">
        <f>$C$8+($D$8-$C$8)*$AD4010</f>
        <v/>
      </c>
      <c r="Q4010" s="14">
        <f>$C$9</f>
        <v/>
      </c>
      <c r="R4010" s="14">
        <f>_xlfn.LOGNORM.INV($AF4010,LN($C$10)-0.5*LN(1+($D$10/$C$10)^2),SQRT(LN(1+($D$10/$C$10)^2)))</f>
        <v/>
      </c>
      <c r="S4010" s="14">
        <f>SUM(M4010:R4010)</f>
        <v/>
      </c>
      <c r="AA4010">
        <f>RAND()</f>
        <v/>
      </c>
      <c r="AB4010">
        <f>RAND()</f>
        <v/>
      </c>
      <c r="AC4010">
        <f>RAND()</f>
        <v/>
      </c>
      <c r="AD4010">
        <f>RAND()</f>
        <v/>
      </c>
      <c r="AE4010">
        <f>RAND()</f>
        <v/>
      </c>
      <c r="AF4010">
        <f>RAND()</f>
        <v/>
      </c>
    </row>
    <row r="4011">
      <c r="M4011" s="14">
        <f>_xlfn.BETA.INV($AA4011,1+4*($D$5-$C$5)/($E$5-$C$5),1+4*($E$5-$D$5)/($E$5-$C$5),$C$5,$E$5)</f>
        <v/>
      </c>
      <c r="N4011" s="14">
        <f>IF($AB4011&lt;($D$6-$C$6)/($E$6-$C$6),$C$6+SQRT($AB4011*($E$6-$C$6)*($D$6-$C$6)),$E$6-SQRT((1-$AB4011)*($E$6-$C$6)*($E$6-$D$6)))</f>
        <v/>
      </c>
      <c r="O4011" s="14">
        <f>_xlfn.NORM.INV($AC4011,$C$7,$D$7)</f>
        <v/>
      </c>
      <c r="P4011" s="14">
        <f>$C$8+($D$8-$C$8)*$AD4011</f>
        <v/>
      </c>
      <c r="Q4011" s="14">
        <f>$C$9</f>
        <v/>
      </c>
      <c r="R4011" s="14">
        <f>_xlfn.LOGNORM.INV($AF4011,LN($C$10)-0.5*LN(1+($D$10/$C$10)^2),SQRT(LN(1+($D$10/$C$10)^2)))</f>
        <v/>
      </c>
      <c r="S4011" s="14">
        <f>SUM(M4011:R4011)</f>
        <v/>
      </c>
      <c r="AA4011">
        <f>RAND()</f>
        <v/>
      </c>
      <c r="AB4011">
        <f>RAND()</f>
        <v/>
      </c>
      <c r="AC4011">
        <f>RAND()</f>
        <v/>
      </c>
      <c r="AD4011">
        <f>RAND()</f>
        <v/>
      </c>
      <c r="AE4011">
        <f>RAND()</f>
        <v/>
      </c>
      <c r="AF4011">
        <f>RAND()</f>
        <v/>
      </c>
    </row>
    <row r="4012">
      <c r="M4012" s="14">
        <f>_xlfn.BETA.INV($AA4012,1+4*($D$5-$C$5)/($E$5-$C$5),1+4*($E$5-$D$5)/($E$5-$C$5),$C$5,$E$5)</f>
        <v/>
      </c>
      <c r="N4012" s="14">
        <f>IF($AB4012&lt;($D$6-$C$6)/($E$6-$C$6),$C$6+SQRT($AB4012*($E$6-$C$6)*($D$6-$C$6)),$E$6-SQRT((1-$AB4012)*($E$6-$C$6)*($E$6-$D$6)))</f>
        <v/>
      </c>
      <c r="O4012" s="14">
        <f>_xlfn.NORM.INV($AC4012,$C$7,$D$7)</f>
        <v/>
      </c>
      <c r="P4012" s="14">
        <f>$C$8+($D$8-$C$8)*$AD4012</f>
        <v/>
      </c>
      <c r="Q4012" s="14">
        <f>$C$9</f>
        <v/>
      </c>
      <c r="R4012" s="14">
        <f>_xlfn.LOGNORM.INV($AF4012,LN($C$10)-0.5*LN(1+($D$10/$C$10)^2),SQRT(LN(1+($D$10/$C$10)^2)))</f>
        <v/>
      </c>
      <c r="S4012" s="14">
        <f>SUM(M4012:R4012)</f>
        <v/>
      </c>
      <c r="AA4012">
        <f>RAND()</f>
        <v/>
      </c>
      <c r="AB4012">
        <f>RAND()</f>
        <v/>
      </c>
      <c r="AC4012">
        <f>RAND()</f>
        <v/>
      </c>
      <c r="AD4012">
        <f>RAND()</f>
        <v/>
      </c>
      <c r="AE4012">
        <f>RAND()</f>
        <v/>
      </c>
      <c r="AF4012">
        <f>RAND()</f>
        <v/>
      </c>
    </row>
    <row r="4013">
      <c r="M4013" s="14">
        <f>_xlfn.BETA.INV($AA4013,1+4*($D$5-$C$5)/($E$5-$C$5),1+4*($E$5-$D$5)/($E$5-$C$5),$C$5,$E$5)</f>
        <v/>
      </c>
      <c r="N4013" s="14">
        <f>IF($AB4013&lt;($D$6-$C$6)/($E$6-$C$6),$C$6+SQRT($AB4013*($E$6-$C$6)*($D$6-$C$6)),$E$6-SQRT((1-$AB4013)*($E$6-$C$6)*($E$6-$D$6)))</f>
        <v/>
      </c>
      <c r="O4013" s="14">
        <f>_xlfn.NORM.INV($AC4013,$C$7,$D$7)</f>
        <v/>
      </c>
      <c r="P4013" s="14">
        <f>$C$8+($D$8-$C$8)*$AD4013</f>
        <v/>
      </c>
      <c r="Q4013" s="14">
        <f>$C$9</f>
        <v/>
      </c>
      <c r="R4013" s="14">
        <f>_xlfn.LOGNORM.INV($AF4013,LN($C$10)-0.5*LN(1+($D$10/$C$10)^2),SQRT(LN(1+($D$10/$C$10)^2)))</f>
        <v/>
      </c>
      <c r="S4013" s="14">
        <f>SUM(M4013:R4013)</f>
        <v/>
      </c>
      <c r="AA4013">
        <f>RAND()</f>
        <v/>
      </c>
      <c r="AB4013">
        <f>RAND()</f>
        <v/>
      </c>
      <c r="AC4013">
        <f>RAND()</f>
        <v/>
      </c>
      <c r="AD4013">
        <f>RAND()</f>
        <v/>
      </c>
      <c r="AE4013">
        <f>RAND()</f>
        <v/>
      </c>
      <c r="AF4013">
        <f>RAND()</f>
        <v/>
      </c>
    </row>
    <row r="4014">
      <c r="M4014" s="14">
        <f>_xlfn.BETA.INV($AA4014,1+4*($D$5-$C$5)/($E$5-$C$5),1+4*($E$5-$D$5)/($E$5-$C$5),$C$5,$E$5)</f>
        <v/>
      </c>
      <c r="N4014" s="14">
        <f>IF($AB4014&lt;($D$6-$C$6)/($E$6-$C$6),$C$6+SQRT($AB4014*($E$6-$C$6)*($D$6-$C$6)),$E$6-SQRT((1-$AB4014)*($E$6-$C$6)*($E$6-$D$6)))</f>
        <v/>
      </c>
      <c r="O4014" s="14">
        <f>_xlfn.NORM.INV($AC4014,$C$7,$D$7)</f>
        <v/>
      </c>
      <c r="P4014" s="14">
        <f>$C$8+($D$8-$C$8)*$AD4014</f>
        <v/>
      </c>
      <c r="Q4014" s="14">
        <f>$C$9</f>
        <v/>
      </c>
      <c r="R4014" s="14">
        <f>_xlfn.LOGNORM.INV($AF4014,LN($C$10)-0.5*LN(1+($D$10/$C$10)^2),SQRT(LN(1+($D$10/$C$10)^2)))</f>
        <v/>
      </c>
      <c r="S4014" s="14">
        <f>SUM(M4014:R4014)</f>
        <v/>
      </c>
      <c r="AA4014">
        <f>RAND()</f>
        <v/>
      </c>
      <c r="AB4014">
        <f>RAND()</f>
        <v/>
      </c>
      <c r="AC4014">
        <f>RAND()</f>
        <v/>
      </c>
      <c r="AD4014">
        <f>RAND()</f>
        <v/>
      </c>
      <c r="AE4014">
        <f>RAND()</f>
        <v/>
      </c>
      <c r="AF4014">
        <f>RAND()</f>
        <v/>
      </c>
    </row>
    <row r="4015">
      <c r="M4015" s="14">
        <f>_xlfn.BETA.INV($AA4015,1+4*($D$5-$C$5)/($E$5-$C$5),1+4*($E$5-$D$5)/($E$5-$C$5),$C$5,$E$5)</f>
        <v/>
      </c>
      <c r="N4015" s="14">
        <f>IF($AB4015&lt;($D$6-$C$6)/($E$6-$C$6),$C$6+SQRT($AB4015*($E$6-$C$6)*($D$6-$C$6)),$E$6-SQRT((1-$AB4015)*($E$6-$C$6)*($E$6-$D$6)))</f>
        <v/>
      </c>
      <c r="O4015" s="14">
        <f>_xlfn.NORM.INV($AC4015,$C$7,$D$7)</f>
        <v/>
      </c>
      <c r="P4015" s="14">
        <f>$C$8+($D$8-$C$8)*$AD4015</f>
        <v/>
      </c>
      <c r="Q4015" s="14">
        <f>$C$9</f>
        <v/>
      </c>
      <c r="R4015" s="14">
        <f>_xlfn.LOGNORM.INV($AF4015,LN($C$10)-0.5*LN(1+($D$10/$C$10)^2),SQRT(LN(1+($D$10/$C$10)^2)))</f>
        <v/>
      </c>
      <c r="S4015" s="14">
        <f>SUM(M4015:R4015)</f>
        <v/>
      </c>
      <c r="AA4015">
        <f>RAND()</f>
        <v/>
      </c>
      <c r="AB4015">
        <f>RAND()</f>
        <v/>
      </c>
      <c r="AC4015">
        <f>RAND()</f>
        <v/>
      </c>
      <c r="AD4015">
        <f>RAND()</f>
        <v/>
      </c>
      <c r="AE4015">
        <f>RAND()</f>
        <v/>
      </c>
      <c r="AF4015">
        <f>RAND()</f>
        <v/>
      </c>
    </row>
    <row r="4016">
      <c r="M4016" s="14">
        <f>_xlfn.BETA.INV($AA4016,1+4*($D$5-$C$5)/($E$5-$C$5),1+4*($E$5-$D$5)/($E$5-$C$5),$C$5,$E$5)</f>
        <v/>
      </c>
      <c r="N4016" s="14">
        <f>IF($AB4016&lt;($D$6-$C$6)/($E$6-$C$6),$C$6+SQRT($AB4016*($E$6-$C$6)*($D$6-$C$6)),$E$6-SQRT((1-$AB4016)*($E$6-$C$6)*($E$6-$D$6)))</f>
        <v/>
      </c>
      <c r="O4016" s="14">
        <f>_xlfn.NORM.INV($AC4016,$C$7,$D$7)</f>
        <v/>
      </c>
      <c r="P4016" s="14">
        <f>$C$8+($D$8-$C$8)*$AD4016</f>
        <v/>
      </c>
      <c r="Q4016" s="14">
        <f>$C$9</f>
        <v/>
      </c>
      <c r="R4016" s="14">
        <f>_xlfn.LOGNORM.INV($AF4016,LN($C$10)-0.5*LN(1+($D$10/$C$10)^2),SQRT(LN(1+($D$10/$C$10)^2)))</f>
        <v/>
      </c>
      <c r="S4016" s="14">
        <f>SUM(M4016:R4016)</f>
        <v/>
      </c>
      <c r="AA4016">
        <f>RAND()</f>
        <v/>
      </c>
      <c r="AB4016">
        <f>RAND()</f>
        <v/>
      </c>
      <c r="AC4016">
        <f>RAND()</f>
        <v/>
      </c>
      <c r="AD4016">
        <f>RAND()</f>
        <v/>
      </c>
      <c r="AE4016">
        <f>RAND()</f>
        <v/>
      </c>
      <c r="AF4016">
        <f>RAND()</f>
        <v/>
      </c>
    </row>
    <row r="4017">
      <c r="M4017" s="14">
        <f>_xlfn.BETA.INV($AA4017,1+4*($D$5-$C$5)/($E$5-$C$5),1+4*($E$5-$D$5)/($E$5-$C$5),$C$5,$E$5)</f>
        <v/>
      </c>
      <c r="N4017" s="14">
        <f>IF($AB4017&lt;($D$6-$C$6)/($E$6-$C$6),$C$6+SQRT($AB4017*($E$6-$C$6)*($D$6-$C$6)),$E$6-SQRT((1-$AB4017)*($E$6-$C$6)*($E$6-$D$6)))</f>
        <v/>
      </c>
      <c r="O4017" s="14">
        <f>_xlfn.NORM.INV($AC4017,$C$7,$D$7)</f>
        <v/>
      </c>
      <c r="P4017" s="14">
        <f>$C$8+($D$8-$C$8)*$AD4017</f>
        <v/>
      </c>
      <c r="Q4017" s="14">
        <f>$C$9</f>
        <v/>
      </c>
      <c r="R4017" s="14">
        <f>_xlfn.LOGNORM.INV($AF4017,LN($C$10)-0.5*LN(1+($D$10/$C$10)^2),SQRT(LN(1+($D$10/$C$10)^2)))</f>
        <v/>
      </c>
      <c r="S4017" s="14">
        <f>SUM(M4017:R4017)</f>
        <v/>
      </c>
      <c r="AA4017">
        <f>RAND()</f>
        <v/>
      </c>
      <c r="AB4017">
        <f>RAND()</f>
        <v/>
      </c>
      <c r="AC4017">
        <f>RAND()</f>
        <v/>
      </c>
      <c r="AD4017">
        <f>RAND()</f>
        <v/>
      </c>
      <c r="AE4017">
        <f>RAND()</f>
        <v/>
      </c>
      <c r="AF4017">
        <f>RAND()</f>
        <v/>
      </c>
    </row>
    <row r="4018">
      <c r="M4018" s="14">
        <f>_xlfn.BETA.INV($AA4018,1+4*($D$5-$C$5)/($E$5-$C$5),1+4*($E$5-$D$5)/($E$5-$C$5),$C$5,$E$5)</f>
        <v/>
      </c>
      <c r="N4018" s="14">
        <f>IF($AB4018&lt;($D$6-$C$6)/($E$6-$C$6),$C$6+SQRT($AB4018*($E$6-$C$6)*($D$6-$C$6)),$E$6-SQRT((1-$AB4018)*($E$6-$C$6)*($E$6-$D$6)))</f>
        <v/>
      </c>
      <c r="O4018" s="14">
        <f>_xlfn.NORM.INV($AC4018,$C$7,$D$7)</f>
        <v/>
      </c>
      <c r="P4018" s="14">
        <f>$C$8+($D$8-$C$8)*$AD4018</f>
        <v/>
      </c>
      <c r="Q4018" s="14">
        <f>$C$9</f>
        <v/>
      </c>
      <c r="R4018" s="14">
        <f>_xlfn.LOGNORM.INV($AF4018,LN($C$10)-0.5*LN(1+($D$10/$C$10)^2),SQRT(LN(1+($D$10/$C$10)^2)))</f>
        <v/>
      </c>
      <c r="S4018" s="14">
        <f>SUM(M4018:R4018)</f>
        <v/>
      </c>
      <c r="AA4018">
        <f>RAND()</f>
        <v/>
      </c>
      <c r="AB4018">
        <f>RAND()</f>
        <v/>
      </c>
      <c r="AC4018">
        <f>RAND()</f>
        <v/>
      </c>
      <c r="AD4018">
        <f>RAND()</f>
        <v/>
      </c>
      <c r="AE4018">
        <f>RAND()</f>
        <v/>
      </c>
      <c r="AF4018">
        <f>RAND()</f>
        <v/>
      </c>
    </row>
    <row r="4019">
      <c r="M4019" s="14">
        <f>_xlfn.BETA.INV($AA4019,1+4*($D$5-$C$5)/($E$5-$C$5),1+4*($E$5-$D$5)/($E$5-$C$5),$C$5,$E$5)</f>
        <v/>
      </c>
      <c r="N4019" s="14">
        <f>IF($AB4019&lt;($D$6-$C$6)/($E$6-$C$6),$C$6+SQRT($AB4019*($E$6-$C$6)*($D$6-$C$6)),$E$6-SQRT((1-$AB4019)*($E$6-$C$6)*($E$6-$D$6)))</f>
        <v/>
      </c>
      <c r="O4019" s="14">
        <f>_xlfn.NORM.INV($AC4019,$C$7,$D$7)</f>
        <v/>
      </c>
      <c r="P4019" s="14">
        <f>$C$8+($D$8-$C$8)*$AD4019</f>
        <v/>
      </c>
      <c r="Q4019" s="14">
        <f>$C$9</f>
        <v/>
      </c>
      <c r="R4019" s="14">
        <f>_xlfn.LOGNORM.INV($AF4019,LN($C$10)-0.5*LN(1+($D$10/$C$10)^2),SQRT(LN(1+($D$10/$C$10)^2)))</f>
        <v/>
      </c>
      <c r="S4019" s="14">
        <f>SUM(M4019:R4019)</f>
        <v/>
      </c>
      <c r="AA4019">
        <f>RAND()</f>
        <v/>
      </c>
      <c r="AB4019">
        <f>RAND()</f>
        <v/>
      </c>
      <c r="AC4019">
        <f>RAND()</f>
        <v/>
      </c>
      <c r="AD4019">
        <f>RAND()</f>
        <v/>
      </c>
      <c r="AE4019">
        <f>RAND()</f>
        <v/>
      </c>
      <c r="AF4019">
        <f>RAND()</f>
        <v/>
      </c>
    </row>
    <row r="4020">
      <c r="M4020" s="14">
        <f>_xlfn.BETA.INV($AA4020,1+4*($D$5-$C$5)/($E$5-$C$5),1+4*($E$5-$D$5)/($E$5-$C$5),$C$5,$E$5)</f>
        <v/>
      </c>
      <c r="N4020" s="14">
        <f>IF($AB4020&lt;($D$6-$C$6)/($E$6-$C$6),$C$6+SQRT($AB4020*($E$6-$C$6)*($D$6-$C$6)),$E$6-SQRT((1-$AB4020)*($E$6-$C$6)*($E$6-$D$6)))</f>
        <v/>
      </c>
      <c r="O4020" s="14">
        <f>_xlfn.NORM.INV($AC4020,$C$7,$D$7)</f>
        <v/>
      </c>
      <c r="P4020" s="14">
        <f>$C$8+($D$8-$C$8)*$AD4020</f>
        <v/>
      </c>
      <c r="Q4020" s="14">
        <f>$C$9</f>
        <v/>
      </c>
      <c r="R4020" s="14">
        <f>_xlfn.LOGNORM.INV($AF4020,LN($C$10)-0.5*LN(1+($D$10/$C$10)^2),SQRT(LN(1+($D$10/$C$10)^2)))</f>
        <v/>
      </c>
      <c r="S4020" s="14">
        <f>SUM(M4020:R4020)</f>
        <v/>
      </c>
      <c r="AA4020">
        <f>RAND()</f>
        <v/>
      </c>
      <c r="AB4020">
        <f>RAND()</f>
        <v/>
      </c>
      <c r="AC4020">
        <f>RAND()</f>
        <v/>
      </c>
      <c r="AD4020">
        <f>RAND()</f>
        <v/>
      </c>
      <c r="AE4020">
        <f>RAND()</f>
        <v/>
      </c>
      <c r="AF4020">
        <f>RAND()</f>
        <v/>
      </c>
    </row>
    <row r="4021">
      <c r="M4021" s="14">
        <f>_xlfn.BETA.INV($AA4021,1+4*($D$5-$C$5)/($E$5-$C$5),1+4*($E$5-$D$5)/($E$5-$C$5),$C$5,$E$5)</f>
        <v/>
      </c>
      <c r="N4021" s="14">
        <f>IF($AB4021&lt;($D$6-$C$6)/($E$6-$C$6),$C$6+SQRT($AB4021*($E$6-$C$6)*($D$6-$C$6)),$E$6-SQRT((1-$AB4021)*($E$6-$C$6)*($E$6-$D$6)))</f>
        <v/>
      </c>
      <c r="O4021" s="14">
        <f>_xlfn.NORM.INV($AC4021,$C$7,$D$7)</f>
        <v/>
      </c>
      <c r="P4021" s="14">
        <f>$C$8+($D$8-$C$8)*$AD4021</f>
        <v/>
      </c>
      <c r="Q4021" s="14">
        <f>$C$9</f>
        <v/>
      </c>
      <c r="R4021" s="14">
        <f>_xlfn.LOGNORM.INV($AF4021,LN($C$10)-0.5*LN(1+($D$10/$C$10)^2),SQRT(LN(1+($D$10/$C$10)^2)))</f>
        <v/>
      </c>
      <c r="S4021" s="14">
        <f>SUM(M4021:R4021)</f>
        <v/>
      </c>
      <c r="AA4021">
        <f>RAND()</f>
        <v/>
      </c>
      <c r="AB4021">
        <f>RAND()</f>
        <v/>
      </c>
      <c r="AC4021">
        <f>RAND()</f>
        <v/>
      </c>
      <c r="AD4021">
        <f>RAND()</f>
        <v/>
      </c>
      <c r="AE4021">
        <f>RAND()</f>
        <v/>
      </c>
      <c r="AF4021">
        <f>RAND()</f>
        <v/>
      </c>
    </row>
    <row r="4022">
      <c r="M4022" s="14">
        <f>_xlfn.BETA.INV($AA4022,1+4*($D$5-$C$5)/($E$5-$C$5),1+4*($E$5-$D$5)/($E$5-$C$5),$C$5,$E$5)</f>
        <v/>
      </c>
      <c r="N4022" s="14">
        <f>IF($AB4022&lt;($D$6-$C$6)/($E$6-$C$6),$C$6+SQRT($AB4022*($E$6-$C$6)*($D$6-$C$6)),$E$6-SQRT((1-$AB4022)*($E$6-$C$6)*($E$6-$D$6)))</f>
        <v/>
      </c>
      <c r="O4022" s="14">
        <f>_xlfn.NORM.INV($AC4022,$C$7,$D$7)</f>
        <v/>
      </c>
      <c r="P4022" s="14">
        <f>$C$8+($D$8-$C$8)*$AD4022</f>
        <v/>
      </c>
      <c r="Q4022" s="14">
        <f>$C$9</f>
        <v/>
      </c>
      <c r="R4022" s="14">
        <f>_xlfn.LOGNORM.INV($AF4022,LN($C$10)-0.5*LN(1+($D$10/$C$10)^2),SQRT(LN(1+($D$10/$C$10)^2)))</f>
        <v/>
      </c>
      <c r="S4022" s="14">
        <f>SUM(M4022:R4022)</f>
        <v/>
      </c>
      <c r="AA4022">
        <f>RAND()</f>
        <v/>
      </c>
      <c r="AB4022">
        <f>RAND()</f>
        <v/>
      </c>
      <c r="AC4022">
        <f>RAND()</f>
        <v/>
      </c>
      <c r="AD4022">
        <f>RAND()</f>
        <v/>
      </c>
      <c r="AE4022">
        <f>RAND()</f>
        <v/>
      </c>
      <c r="AF4022">
        <f>RAND()</f>
        <v/>
      </c>
    </row>
    <row r="4023">
      <c r="M4023" s="14">
        <f>_xlfn.BETA.INV($AA4023,1+4*($D$5-$C$5)/($E$5-$C$5),1+4*($E$5-$D$5)/($E$5-$C$5),$C$5,$E$5)</f>
        <v/>
      </c>
      <c r="N4023" s="14">
        <f>IF($AB4023&lt;($D$6-$C$6)/($E$6-$C$6),$C$6+SQRT($AB4023*($E$6-$C$6)*($D$6-$C$6)),$E$6-SQRT((1-$AB4023)*($E$6-$C$6)*($E$6-$D$6)))</f>
        <v/>
      </c>
      <c r="O4023" s="14">
        <f>_xlfn.NORM.INV($AC4023,$C$7,$D$7)</f>
        <v/>
      </c>
      <c r="P4023" s="14">
        <f>$C$8+($D$8-$C$8)*$AD4023</f>
        <v/>
      </c>
      <c r="Q4023" s="14">
        <f>$C$9</f>
        <v/>
      </c>
      <c r="R4023" s="14">
        <f>_xlfn.LOGNORM.INV($AF4023,LN($C$10)-0.5*LN(1+($D$10/$C$10)^2),SQRT(LN(1+($D$10/$C$10)^2)))</f>
        <v/>
      </c>
      <c r="S4023" s="14">
        <f>SUM(M4023:R4023)</f>
        <v/>
      </c>
      <c r="AA4023">
        <f>RAND()</f>
        <v/>
      </c>
      <c r="AB4023">
        <f>RAND()</f>
        <v/>
      </c>
      <c r="AC4023">
        <f>RAND()</f>
        <v/>
      </c>
      <c r="AD4023">
        <f>RAND()</f>
        <v/>
      </c>
      <c r="AE4023">
        <f>RAND()</f>
        <v/>
      </c>
      <c r="AF4023">
        <f>RAND()</f>
        <v/>
      </c>
    </row>
    <row r="4024">
      <c r="M4024" s="14">
        <f>_xlfn.BETA.INV($AA4024,1+4*($D$5-$C$5)/($E$5-$C$5),1+4*($E$5-$D$5)/($E$5-$C$5),$C$5,$E$5)</f>
        <v/>
      </c>
      <c r="N4024" s="14">
        <f>IF($AB4024&lt;($D$6-$C$6)/($E$6-$C$6),$C$6+SQRT($AB4024*($E$6-$C$6)*($D$6-$C$6)),$E$6-SQRT((1-$AB4024)*($E$6-$C$6)*($E$6-$D$6)))</f>
        <v/>
      </c>
      <c r="O4024" s="14">
        <f>_xlfn.NORM.INV($AC4024,$C$7,$D$7)</f>
        <v/>
      </c>
      <c r="P4024" s="14">
        <f>$C$8+($D$8-$C$8)*$AD4024</f>
        <v/>
      </c>
      <c r="Q4024" s="14">
        <f>$C$9</f>
        <v/>
      </c>
      <c r="R4024" s="14">
        <f>_xlfn.LOGNORM.INV($AF4024,LN($C$10)-0.5*LN(1+($D$10/$C$10)^2),SQRT(LN(1+($D$10/$C$10)^2)))</f>
        <v/>
      </c>
      <c r="S4024" s="14">
        <f>SUM(M4024:R4024)</f>
        <v/>
      </c>
      <c r="AA4024">
        <f>RAND()</f>
        <v/>
      </c>
      <c r="AB4024">
        <f>RAND()</f>
        <v/>
      </c>
      <c r="AC4024">
        <f>RAND()</f>
        <v/>
      </c>
      <c r="AD4024">
        <f>RAND()</f>
        <v/>
      </c>
      <c r="AE4024">
        <f>RAND()</f>
        <v/>
      </c>
      <c r="AF4024">
        <f>RAND()</f>
        <v/>
      </c>
    </row>
    <row r="4025">
      <c r="M4025" s="14">
        <f>_xlfn.BETA.INV($AA4025,1+4*($D$5-$C$5)/($E$5-$C$5),1+4*($E$5-$D$5)/($E$5-$C$5),$C$5,$E$5)</f>
        <v/>
      </c>
      <c r="N4025" s="14">
        <f>IF($AB4025&lt;($D$6-$C$6)/($E$6-$C$6),$C$6+SQRT($AB4025*($E$6-$C$6)*($D$6-$C$6)),$E$6-SQRT((1-$AB4025)*($E$6-$C$6)*($E$6-$D$6)))</f>
        <v/>
      </c>
      <c r="O4025" s="14">
        <f>_xlfn.NORM.INV($AC4025,$C$7,$D$7)</f>
        <v/>
      </c>
      <c r="P4025" s="14">
        <f>$C$8+($D$8-$C$8)*$AD4025</f>
        <v/>
      </c>
      <c r="Q4025" s="14">
        <f>$C$9</f>
        <v/>
      </c>
      <c r="R4025" s="14">
        <f>_xlfn.LOGNORM.INV($AF4025,LN($C$10)-0.5*LN(1+($D$10/$C$10)^2),SQRT(LN(1+($D$10/$C$10)^2)))</f>
        <v/>
      </c>
      <c r="S4025" s="14">
        <f>SUM(M4025:R4025)</f>
        <v/>
      </c>
      <c r="AA4025">
        <f>RAND()</f>
        <v/>
      </c>
      <c r="AB4025">
        <f>RAND()</f>
        <v/>
      </c>
      <c r="AC4025">
        <f>RAND()</f>
        <v/>
      </c>
      <c r="AD4025">
        <f>RAND()</f>
        <v/>
      </c>
      <c r="AE4025">
        <f>RAND()</f>
        <v/>
      </c>
      <c r="AF4025">
        <f>RAND()</f>
        <v/>
      </c>
    </row>
    <row r="4026">
      <c r="M4026" s="14">
        <f>_xlfn.BETA.INV($AA4026,1+4*($D$5-$C$5)/($E$5-$C$5),1+4*($E$5-$D$5)/($E$5-$C$5),$C$5,$E$5)</f>
        <v/>
      </c>
      <c r="N4026" s="14">
        <f>IF($AB4026&lt;($D$6-$C$6)/($E$6-$C$6),$C$6+SQRT($AB4026*($E$6-$C$6)*($D$6-$C$6)),$E$6-SQRT((1-$AB4026)*($E$6-$C$6)*($E$6-$D$6)))</f>
        <v/>
      </c>
      <c r="O4026" s="14">
        <f>_xlfn.NORM.INV($AC4026,$C$7,$D$7)</f>
        <v/>
      </c>
      <c r="P4026" s="14">
        <f>$C$8+($D$8-$C$8)*$AD4026</f>
        <v/>
      </c>
      <c r="Q4026" s="14">
        <f>$C$9</f>
        <v/>
      </c>
      <c r="R4026" s="14">
        <f>_xlfn.LOGNORM.INV($AF4026,LN($C$10)-0.5*LN(1+($D$10/$C$10)^2),SQRT(LN(1+($D$10/$C$10)^2)))</f>
        <v/>
      </c>
      <c r="S4026" s="14">
        <f>SUM(M4026:R4026)</f>
        <v/>
      </c>
      <c r="AA4026">
        <f>RAND()</f>
        <v/>
      </c>
      <c r="AB4026">
        <f>RAND()</f>
        <v/>
      </c>
      <c r="AC4026">
        <f>RAND()</f>
        <v/>
      </c>
      <c r="AD4026">
        <f>RAND()</f>
        <v/>
      </c>
      <c r="AE4026">
        <f>RAND()</f>
        <v/>
      </c>
      <c r="AF4026">
        <f>RAND()</f>
        <v/>
      </c>
    </row>
    <row r="4027">
      <c r="M4027" s="14">
        <f>_xlfn.BETA.INV($AA4027,1+4*($D$5-$C$5)/($E$5-$C$5),1+4*($E$5-$D$5)/($E$5-$C$5),$C$5,$E$5)</f>
        <v/>
      </c>
      <c r="N4027" s="14">
        <f>IF($AB4027&lt;($D$6-$C$6)/($E$6-$C$6),$C$6+SQRT($AB4027*($E$6-$C$6)*($D$6-$C$6)),$E$6-SQRT((1-$AB4027)*($E$6-$C$6)*($E$6-$D$6)))</f>
        <v/>
      </c>
      <c r="O4027" s="14">
        <f>_xlfn.NORM.INV($AC4027,$C$7,$D$7)</f>
        <v/>
      </c>
      <c r="P4027" s="14">
        <f>$C$8+($D$8-$C$8)*$AD4027</f>
        <v/>
      </c>
      <c r="Q4027" s="14">
        <f>$C$9</f>
        <v/>
      </c>
      <c r="R4027" s="14">
        <f>_xlfn.LOGNORM.INV($AF4027,LN($C$10)-0.5*LN(1+($D$10/$C$10)^2),SQRT(LN(1+($D$10/$C$10)^2)))</f>
        <v/>
      </c>
      <c r="S4027" s="14">
        <f>SUM(M4027:R4027)</f>
        <v/>
      </c>
      <c r="AA4027">
        <f>RAND()</f>
        <v/>
      </c>
      <c r="AB4027">
        <f>RAND()</f>
        <v/>
      </c>
      <c r="AC4027">
        <f>RAND()</f>
        <v/>
      </c>
      <c r="AD4027">
        <f>RAND()</f>
        <v/>
      </c>
      <c r="AE4027">
        <f>RAND()</f>
        <v/>
      </c>
      <c r="AF4027">
        <f>RAND()</f>
        <v/>
      </c>
    </row>
    <row r="4028">
      <c r="M4028" s="14">
        <f>_xlfn.BETA.INV($AA4028,1+4*($D$5-$C$5)/($E$5-$C$5),1+4*($E$5-$D$5)/($E$5-$C$5),$C$5,$E$5)</f>
        <v/>
      </c>
      <c r="N4028" s="14">
        <f>IF($AB4028&lt;($D$6-$C$6)/($E$6-$C$6),$C$6+SQRT($AB4028*($E$6-$C$6)*($D$6-$C$6)),$E$6-SQRT((1-$AB4028)*($E$6-$C$6)*($E$6-$D$6)))</f>
        <v/>
      </c>
      <c r="O4028" s="14">
        <f>_xlfn.NORM.INV($AC4028,$C$7,$D$7)</f>
        <v/>
      </c>
      <c r="P4028" s="14">
        <f>$C$8+($D$8-$C$8)*$AD4028</f>
        <v/>
      </c>
      <c r="Q4028" s="14">
        <f>$C$9</f>
        <v/>
      </c>
      <c r="R4028" s="14">
        <f>_xlfn.LOGNORM.INV($AF4028,LN($C$10)-0.5*LN(1+($D$10/$C$10)^2),SQRT(LN(1+($D$10/$C$10)^2)))</f>
        <v/>
      </c>
      <c r="S4028" s="14">
        <f>SUM(M4028:R4028)</f>
        <v/>
      </c>
      <c r="AA4028">
        <f>RAND()</f>
        <v/>
      </c>
      <c r="AB4028">
        <f>RAND()</f>
        <v/>
      </c>
      <c r="AC4028">
        <f>RAND()</f>
        <v/>
      </c>
      <c r="AD4028">
        <f>RAND()</f>
        <v/>
      </c>
      <c r="AE4028">
        <f>RAND()</f>
        <v/>
      </c>
      <c r="AF4028">
        <f>RAND()</f>
        <v/>
      </c>
    </row>
    <row r="4029">
      <c r="M4029" s="14">
        <f>_xlfn.BETA.INV($AA4029,1+4*($D$5-$C$5)/($E$5-$C$5),1+4*($E$5-$D$5)/($E$5-$C$5),$C$5,$E$5)</f>
        <v/>
      </c>
      <c r="N4029" s="14">
        <f>IF($AB4029&lt;($D$6-$C$6)/($E$6-$C$6),$C$6+SQRT($AB4029*($E$6-$C$6)*($D$6-$C$6)),$E$6-SQRT((1-$AB4029)*($E$6-$C$6)*($E$6-$D$6)))</f>
        <v/>
      </c>
      <c r="O4029" s="14">
        <f>_xlfn.NORM.INV($AC4029,$C$7,$D$7)</f>
        <v/>
      </c>
      <c r="P4029" s="14">
        <f>$C$8+($D$8-$C$8)*$AD4029</f>
        <v/>
      </c>
      <c r="Q4029" s="14">
        <f>$C$9</f>
        <v/>
      </c>
      <c r="R4029" s="14">
        <f>_xlfn.LOGNORM.INV($AF4029,LN($C$10)-0.5*LN(1+($D$10/$C$10)^2),SQRT(LN(1+($D$10/$C$10)^2)))</f>
        <v/>
      </c>
      <c r="S4029" s="14">
        <f>SUM(M4029:R4029)</f>
        <v/>
      </c>
      <c r="AA4029">
        <f>RAND()</f>
        <v/>
      </c>
      <c r="AB4029">
        <f>RAND()</f>
        <v/>
      </c>
      <c r="AC4029">
        <f>RAND()</f>
        <v/>
      </c>
      <c r="AD4029">
        <f>RAND()</f>
        <v/>
      </c>
      <c r="AE4029">
        <f>RAND()</f>
        <v/>
      </c>
      <c r="AF4029">
        <f>RAND()</f>
        <v/>
      </c>
    </row>
    <row r="4030">
      <c r="M4030" s="14">
        <f>_xlfn.BETA.INV($AA4030,1+4*($D$5-$C$5)/($E$5-$C$5),1+4*($E$5-$D$5)/($E$5-$C$5),$C$5,$E$5)</f>
        <v/>
      </c>
      <c r="N4030" s="14">
        <f>IF($AB4030&lt;($D$6-$C$6)/($E$6-$C$6),$C$6+SQRT($AB4030*($E$6-$C$6)*($D$6-$C$6)),$E$6-SQRT((1-$AB4030)*($E$6-$C$6)*($E$6-$D$6)))</f>
        <v/>
      </c>
      <c r="O4030" s="14">
        <f>_xlfn.NORM.INV($AC4030,$C$7,$D$7)</f>
        <v/>
      </c>
      <c r="P4030" s="14">
        <f>$C$8+($D$8-$C$8)*$AD4030</f>
        <v/>
      </c>
      <c r="Q4030" s="14">
        <f>$C$9</f>
        <v/>
      </c>
      <c r="R4030" s="14">
        <f>_xlfn.LOGNORM.INV($AF4030,LN($C$10)-0.5*LN(1+($D$10/$C$10)^2),SQRT(LN(1+($D$10/$C$10)^2)))</f>
        <v/>
      </c>
      <c r="S4030" s="14">
        <f>SUM(M4030:R4030)</f>
        <v/>
      </c>
      <c r="AA4030">
        <f>RAND()</f>
        <v/>
      </c>
      <c r="AB4030">
        <f>RAND()</f>
        <v/>
      </c>
      <c r="AC4030">
        <f>RAND()</f>
        <v/>
      </c>
      <c r="AD4030">
        <f>RAND()</f>
        <v/>
      </c>
      <c r="AE4030">
        <f>RAND()</f>
        <v/>
      </c>
      <c r="AF4030">
        <f>RAND()</f>
        <v/>
      </c>
    </row>
    <row r="4031">
      <c r="M4031" s="14">
        <f>_xlfn.BETA.INV($AA4031,1+4*($D$5-$C$5)/($E$5-$C$5),1+4*($E$5-$D$5)/($E$5-$C$5),$C$5,$E$5)</f>
        <v/>
      </c>
      <c r="N4031" s="14">
        <f>IF($AB4031&lt;($D$6-$C$6)/($E$6-$C$6),$C$6+SQRT($AB4031*($E$6-$C$6)*($D$6-$C$6)),$E$6-SQRT((1-$AB4031)*($E$6-$C$6)*($E$6-$D$6)))</f>
        <v/>
      </c>
      <c r="O4031" s="14">
        <f>_xlfn.NORM.INV($AC4031,$C$7,$D$7)</f>
        <v/>
      </c>
      <c r="P4031" s="14">
        <f>$C$8+($D$8-$C$8)*$AD4031</f>
        <v/>
      </c>
      <c r="Q4031" s="14">
        <f>$C$9</f>
        <v/>
      </c>
      <c r="R4031" s="14">
        <f>_xlfn.LOGNORM.INV($AF4031,LN($C$10)-0.5*LN(1+($D$10/$C$10)^2),SQRT(LN(1+($D$10/$C$10)^2)))</f>
        <v/>
      </c>
      <c r="S4031" s="14">
        <f>SUM(M4031:R4031)</f>
        <v/>
      </c>
      <c r="AA4031">
        <f>RAND()</f>
        <v/>
      </c>
      <c r="AB4031">
        <f>RAND()</f>
        <v/>
      </c>
      <c r="AC4031">
        <f>RAND()</f>
        <v/>
      </c>
      <c r="AD4031">
        <f>RAND()</f>
        <v/>
      </c>
      <c r="AE4031">
        <f>RAND()</f>
        <v/>
      </c>
      <c r="AF4031">
        <f>RAND()</f>
        <v/>
      </c>
    </row>
    <row r="4032">
      <c r="M4032" s="14">
        <f>_xlfn.BETA.INV($AA4032,1+4*($D$5-$C$5)/($E$5-$C$5),1+4*($E$5-$D$5)/($E$5-$C$5),$C$5,$E$5)</f>
        <v/>
      </c>
      <c r="N4032" s="14">
        <f>IF($AB4032&lt;($D$6-$C$6)/($E$6-$C$6),$C$6+SQRT($AB4032*($E$6-$C$6)*($D$6-$C$6)),$E$6-SQRT((1-$AB4032)*($E$6-$C$6)*($E$6-$D$6)))</f>
        <v/>
      </c>
      <c r="O4032" s="14">
        <f>_xlfn.NORM.INV($AC4032,$C$7,$D$7)</f>
        <v/>
      </c>
      <c r="P4032" s="14">
        <f>$C$8+($D$8-$C$8)*$AD4032</f>
        <v/>
      </c>
      <c r="Q4032" s="14">
        <f>$C$9</f>
        <v/>
      </c>
      <c r="R4032" s="14">
        <f>_xlfn.LOGNORM.INV($AF4032,LN($C$10)-0.5*LN(1+($D$10/$C$10)^2),SQRT(LN(1+($D$10/$C$10)^2)))</f>
        <v/>
      </c>
      <c r="S4032" s="14">
        <f>SUM(M4032:R4032)</f>
        <v/>
      </c>
      <c r="AA4032">
        <f>RAND()</f>
        <v/>
      </c>
      <c r="AB4032">
        <f>RAND()</f>
        <v/>
      </c>
      <c r="AC4032">
        <f>RAND()</f>
        <v/>
      </c>
      <c r="AD4032">
        <f>RAND()</f>
        <v/>
      </c>
      <c r="AE4032">
        <f>RAND()</f>
        <v/>
      </c>
      <c r="AF4032">
        <f>RAND()</f>
        <v/>
      </c>
    </row>
    <row r="4033">
      <c r="M4033" s="14">
        <f>_xlfn.BETA.INV($AA4033,1+4*($D$5-$C$5)/($E$5-$C$5),1+4*($E$5-$D$5)/($E$5-$C$5),$C$5,$E$5)</f>
        <v/>
      </c>
      <c r="N4033" s="14">
        <f>IF($AB4033&lt;($D$6-$C$6)/($E$6-$C$6),$C$6+SQRT($AB4033*($E$6-$C$6)*($D$6-$C$6)),$E$6-SQRT((1-$AB4033)*($E$6-$C$6)*($E$6-$D$6)))</f>
        <v/>
      </c>
      <c r="O4033" s="14">
        <f>_xlfn.NORM.INV($AC4033,$C$7,$D$7)</f>
        <v/>
      </c>
      <c r="P4033" s="14">
        <f>$C$8+($D$8-$C$8)*$AD4033</f>
        <v/>
      </c>
      <c r="Q4033" s="14">
        <f>$C$9</f>
        <v/>
      </c>
      <c r="R4033" s="14">
        <f>_xlfn.LOGNORM.INV($AF4033,LN($C$10)-0.5*LN(1+($D$10/$C$10)^2),SQRT(LN(1+($D$10/$C$10)^2)))</f>
        <v/>
      </c>
      <c r="S4033" s="14">
        <f>SUM(M4033:R4033)</f>
        <v/>
      </c>
      <c r="AA4033">
        <f>RAND()</f>
        <v/>
      </c>
      <c r="AB4033">
        <f>RAND()</f>
        <v/>
      </c>
      <c r="AC4033">
        <f>RAND()</f>
        <v/>
      </c>
      <c r="AD4033">
        <f>RAND()</f>
        <v/>
      </c>
      <c r="AE4033">
        <f>RAND()</f>
        <v/>
      </c>
      <c r="AF4033">
        <f>RAND()</f>
        <v/>
      </c>
    </row>
    <row r="4034">
      <c r="M4034" s="14">
        <f>_xlfn.BETA.INV($AA4034,1+4*($D$5-$C$5)/($E$5-$C$5),1+4*($E$5-$D$5)/($E$5-$C$5),$C$5,$E$5)</f>
        <v/>
      </c>
      <c r="N4034" s="14">
        <f>IF($AB4034&lt;($D$6-$C$6)/($E$6-$C$6),$C$6+SQRT($AB4034*($E$6-$C$6)*($D$6-$C$6)),$E$6-SQRT((1-$AB4034)*($E$6-$C$6)*($E$6-$D$6)))</f>
        <v/>
      </c>
      <c r="O4034" s="14">
        <f>_xlfn.NORM.INV($AC4034,$C$7,$D$7)</f>
        <v/>
      </c>
      <c r="P4034" s="14">
        <f>$C$8+($D$8-$C$8)*$AD4034</f>
        <v/>
      </c>
      <c r="Q4034" s="14">
        <f>$C$9</f>
        <v/>
      </c>
      <c r="R4034" s="14">
        <f>_xlfn.LOGNORM.INV($AF4034,LN($C$10)-0.5*LN(1+($D$10/$C$10)^2),SQRT(LN(1+($D$10/$C$10)^2)))</f>
        <v/>
      </c>
      <c r="S4034" s="14">
        <f>SUM(M4034:R4034)</f>
        <v/>
      </c>
      <c r="AA4034">
        <f>RAND()</f>
        <v/>
      </c>
      <c r="AB4034">
        <f>RAND()</f>
        <v/>
      </c>
      <c r="AC4034">
        <f>RAND()</f>
        <v/>
      </c>
      <c r="AD4034">
        <f>RAND()</f>
        <v/>
      </c>
      <c r="AE4034">
        <f>RAND()</f>
        <v/>
      </c>
      <c r="AF4034">
        <f>RAND()</f>
        <v/>
      </c>
    </row>
    <row r="4035">
      <c r="M4035" s="14">
        <f>_xlfn.BETA.INV($AA4035,1+4*($D$5-$C$5)/($E$5-$C$5),1+4*($E$5-$D$5)/($E$5-$C$5),$C$5,$E$5)</f>
        <v/>
      </c>
      <c r="N4035" s="14">
        <f>IF($AB4035&lt;($D$6-$C$6)/($E$6-$C$6),$C$6+SQRT($AB4035*($E$6-$C$6)*($D$6-$C$6)),$E$6-SQRT((1-$AB4035)*($E$6-$C$6)*($E$6-$D$6)))</f>
        <v/>
      </c>
      <c r="O4035" s="14">
        <f>_xlfn.NORM.INV($AC4035,$C$7,$D$7)</f>
        <v/>
      </c>
      <c r="P4035" s="14">
        <f>$C$8+($D$8-$C$8)*$AD4035</f>
        <v/>
      </c>
      <c r="Q4035" s="14">
        <f>$C$9</f>
        <v/>
      </c>
      <c r="R4035" s="14">
        <f>_xlfn.LOGNORM.INV($AF4035,LN($C$10)-0.5*LN(1+($D$10/$C$10)^2),SQRT(LN(1+($D$10/$C$10)^2)))</f>
        <v/>
      </c>
      <c r="S4035" s="14">
        <f>SUM(M4035:R4035)</f>
        <v/>
      </c>
      <c r="AA4035">
        <f>RAND()</f>
        <v/>
      </c>
      <c r="AB4035">
        <f>RAND()</f>
        <v/>
      </c>
      <c r="AC4035">
        <f>RAND()</f>
        <v/>
      </c>
      <c r="AD4035">
        <f>RAND()</f>
        <v/>
      </c>
      <c r="AE4035">
        <f>RAND()</f>
        <v/>
      </c>
      <c r="AF4035">
        <f>RAND()</f>
        <v/>
      </c>
    </row>
    <row r="4036">
      <c r="M4036" s="14">
        <f>_xlfn.BETA.INV($AA4036,1+4*($D$5-$C$5)/($E$5-$C$5),1+4*($E$5-$D$5)/($E$5-$C$5),$C$5,$E$5)</f>
        <v/>
      </c>
      <c r="N4036" s="14">
        <f>IF($AB4036&lt;($D$6-$C$6)/($E$6-$C$6),$C$6+SQRT($AB4036*($E$6-$C$6)*($D$6-$C$6)),$E$6-SQRT((1-$AB4036)*($E$6-$C$6)*($E$6-$D$6)))</f>
        <v/>
      </c>
      <c r="O4036" s="14">
        <f>_xlfn.NORM.INV($AC4036,$C$7,$D$7)</f>
        <v/>
      </c>
      <c r="P4036" s="14">
        <f>$C$8+($D$8-$C$8)*$AD4036</f>
        <v/>
      </c>
      <c r="Q4036" s="14">
        <f>$C$9</f>
        <v/>
      </c>
      <c r="R4036" s="14">
        <f>_xlfn.LOGNORM.INV($AF4036,LN($C$10)-0.5*LN(1+($D$10/$C$10)^2),SQRT(LN(1+($D$10/$C$10)^2)))</f>
        <v/>
      </c>
      <c r="S4036" s="14">
        <f>SUM(M4036:R4036)</f>
        <v/>
      </c>
      <c r="AA4036">
        <f>RAND()</f>
        <v/>
      </c>
      <c r="AB4036">
        <f>RAND()</f>
        <v/>
      </c>
      <c r="AC4036">
        <f>RAND()</f>
        <v/>
      </c>
      <c r="AD4036">
        <f>RAND()</f>
        <v/>
      </c>
      <c r="AE4036">
        <f>RAND()</f>
        <v/>
      </c>
      <c r="AF4036">
        <f>RAND()</f>
        <v/>
      </c>
    </row>
    <row r="4037">
      <c r="M4037" s="14">
        <f>_xlfn.BETA.INV($AA4037,1+4*($D$5-$C$5)/($E$5-$C$5),1+4*($E$5-$D$5)/($E$5-$C$5),$C$5,$E$5)</f>
        <v/>
      </c>
      <c r="N4037" s="14">
        <f>IF($AB4037&lt;($D$6-$C$6)/($E$6-$C$6),$C$6+SQRT($AB4037*($E$6-$C$6)*($D$6-$C$6)),$E$6-SQRT((1-$AB4037)*($E$6-$C$6)*($E$6-$D$6)))</f>
        <v/>
      </c>
      <c r="O4037" s="14">
        <f>_xlfn.NORM.INV($AC4037,$C$7,$D$7)</f>
        <v/>
      </c>
      <c r="P4037" s="14">
        <f>$C$8+($D$8-$C$8)*$AD4037</f>
        <v/>
      </c>
      <c r="Q4037" s="14">
        <f>$C$9</f>
        <v/>
      </c>
      <c r="R4037" s="14">
        <f>_xlfn.LOGNORM.INV($AF4037,LN($C$10)-0.5*LN(1+($D$10/$C$10)^2),SQRT(LN(1+($D$10/$C$10)^2)))</f>
        <v/>
      </c>
      <c r="S4037" s="14">
        <f>SUM(M4037:R4037)</f>
        <v/>
      </c>
      <c r="AA4037">
        <f>RAND()</f>
        <v/>
      </c>
      <c r="AB4037">
        <f>RAND()</f>
        <v/>
      </c>
      <c r="AC4037">
        <f>RAND()</f>
        <v/>
      </c>
      <c r="AD4037">
        <f>RAND()</f>
        <v/>
      </c>
      <c r="AE4037">
        <f>RAND()</f>
        <v/>
      </c>
      <c r="AF4037">
        <f>RAND()</f>
        <v/>
      </c>
    </row>
    <row r="4038">
      <c r="M4038" s="14">
        <f>_xlfn.BETA.INV($AA4038,1+4*($D$5-$C$5)/($E$5-$C$5),1+4*($E$5-$D$5)/($E$5-$C$5),$C$5,$E$5)</f>
        <v/>
      </c>
      <c r="N4038" s="14">
        <f>IF($AB4038&lt;($D$6-$C$6)/($E$6-$C$6),$C$6+SQRT($AB4038*($E$6-$C$6)*($D$6-$C$6)),$E$6-SQRT((1-$AB4038)*($E$6-$C$6)*($E$6-$D$6)))</f>
        <v/>
      </c>
      <c r="O4038" s="14">
        <f>_xlfn.NORM.INV($AC4038,$C$7,$D$7)</f>
        <v/>
      </c>
      <c r="P4038" s="14">
        <f>$C$8+($D$8-$C$8)*$AD4038</f>
        <v/>
      </c>
      <c r="Q4038" s="14">
        <f>$C$9</f>
        <v/>
      </c>
      <c r="R4038" s="14">
        <f>_xlfn.LOGNORM.INV($AF4038,LN($C$10)-0.5*LN(1+($D$10/$C$10)^2),SQRT(LN(1+($D$10/$C$10)^2)))</f>
        <v/>
      </c>
      <c r="S4038" s="14">
        <f>SUM(M4038:R4038)</f>
        <v/>
      </c>
      <c r="AA4038">
        <f>RAND()</f>
        <v/>
      </c>
      <c r="AB4038">
        <f>RAND()</f>
        <v/>
      </c>
      <c r="AC4038">
        <f>RAND()</f>
        <v/>
      </c>
      <c r="AD4038">
        <f>RAND()</f>
        <v/>
      </c>
      <c r="AE4038">
        <f>RAND()</f>
        <v/>
      </c>
      <c r="AF4038">
        <f>RAND()</f>
        <v/>
      </c>
    </row>
    <row r="4039">
      <c r="M4039" s="14">
        <f>_xlfn.BETA.INV($AA4039,1+4*($D$5-$C$5)/($E$5-$C$5),1+4*($E$5-$D$5)/($E$5-$C$5),$C$5,$E$5)</f>
        <v/>
      </c>
      <c r="N4039" s="14">
        <f>IF($AB4039&lt;($D$6-$C$6)/($E$6-$C$6),$C$6+SQRT($AB4039*($E$6-$C$6)*($D$6-$C$6)),$E$6-SQRT((1-$AB4039)*($E$6-$C$6)*($E$6-$D$6)))</f>
        <v/>
      </c>
      <c r="O4039" s="14">
        <f>_xlfn.NORM.INV($AC4039,$C$7,$D$7)</f>
        <v/>
      </c>
      <c r="P4039" s="14">
        <f>$C$8+($D$8-$C$8)*$AD4039</f>
        <v/>
      </c>
      <c r="Q4039" s="14">
        <f>$C$9</f>
        <v/>
      </c>
      <c r="R4039" s="14">
        <f>_xlfn.LOGNORM.INV($AF4039,LN($C$10)-0.5*LN(1+($D$10/$C$10)^2),SQRT(LN(1+($D$10/$C$10)^2)))</f>
        <v/>
      </c>
      <c r="S4039" s="14">
        <f>SUM(M4039:R4039)</f>
        <v/>
      </c>
      <c r="AA4039">
        <f>RAND()</f>
        <v/>
      </c>
      <c r="AB4039">
        <f>RAND()</f>
        <v/>
      </c>
      <c r="AC4039">
        <f>RAND()</f>
        <v/>
      </c>
      <c r="AD4039">
        <f>RAND()</f>
        <v/>
      </c>
      <c r="AE4039">
        <f>RAND()</f>
        <v/>
      </c>
      <c r="AF4039">
        <f>RAND()</f>
        <v/>
      </c>
    </row>
    <row r="4040">
      <c r="M4040" s="14">
        <f>_xlfn.BETA.INV($AA4040,1+4*($D$5-$C$5)/($E$5-$C$5),1+4*($E$5-$D$5)/($E$5-$C$5),$C$5,$E$5)</f>
        <v/>
      </c>
      <c r="N4040" s="14">
        <f>IF($AB4040&lt;($D$6-$C$6)/($E$6-$C$6),$C$6+SQRT($AB4040*($E$6-$C$6)*($D$6-$C$6)),$E$6-SQRT((1-$AB4040)*($E$6-$C$6)*($E$6-$D$6)))</f>
        <v/>
      </c>
      <c r="O4040" s="14">
        <f>_xlfn.NORM.INV($AC4040,$C$7,$D$7)</f>
        <v/>
      </c>
      <c r="P4040" s="14">
        <f>$C$8+($D$8-$C$8)*$AD4040</f>
        <v/>
      </c>
      <c r="Q4040" s="14">
        <f>$C$9</f>
        <v/>
      </c>
      <c r="R4040" s="14">
        <f>_xlfn.LOGNORM.INV($AF4040,LN($C$10)-0.5*LN(1+($D$10/$C$10)^2),SQRT(LN(1+($D$10/$C$10)^2)))</f>
        <v/>
      </c>
      <c r="S4040" s="14">
        <f>SUM(M4040:R4040)</f>
        <v/>
      </c>
      <c r="AA4040">
        <f>RAND()</f>
        <v/>
      </c>
      <c r="AB4040">
        <f>RAND()</f>
        <v/>
      </c>
      <c r="AC4040">
        <f>RAND()</f>
        <v/>
      </c>
      <c r="AD4040">
        <f>RAND()</f>
        <v/>
      </c>
      <c r="AE4040">
        <f>RAND()</f>
        <v/>
      </c>
      <c r="AF4040">
        <f>RAND()</f>
        <v/>
      </c>
    </row>
    <row r="4041">
      <c r="M4041" s="14">
        <f>_xlfn.BETA.INV($AA4041,1+4*($D$5-$C$5)/($E$5-$C$5),1+4*($E$5-$D$5)/($E$5-$C$5),$C$5,$E$5)</f>
        <v/>
      </c>
      <c r="N4041" s="14">
        <f>IF($AB4041&lt;($D$6-$C$6)/($E$6-$C$6),$C$6+SQRT($AB4041*($E$6-$C$6)*($D$6-$C$6)),$E$6-SQRT((1-$AB4041)*($E$6-$C$6)*($E$6-$D$6)))</f>
        <v/>
      </c>
      <c r="O4041" s="14">
        <f>_xlfn.NORM.INV($AC4041,$C$7,$D$7)</f>
        <v/>
      </c>
      <c r="P4041" s="14">
        <f>$C$8+($D$8-$C$8)*$AD4041</f>
        <v/>
      </c>
      <c r="Q4041" s="14">
        <f>$C$9</f>
        <v/>
      </c>
      <c r="R4041" s="14">
        <f>_xlfn.LOGNORM.INV($AF4041,LN($C$10)-0.5*LN(1+($D$10/$C$10)^2),SQRT(LN(1+($D$10/$C$10)^2)))</f>
        <v/>
      </c>
      <c r="S4041" s="14">
        <f>SUM(M4041:R4041)</f>
        <v/>
      </c>
      <c r="AA4041">
        <f>RAND()</f>
        <v/>
      </c>
      <c r="AB4041">
        <f>RAND()</f>
        <v/>
      </c>
      <c r="AC4041">
        <f>RAND()</f>
        <v/>
      </c>
      <c r="AD4041">
        <f>RAND()</f>
        <v/>
      </c>
      <c r="AE4041">
        <f>RAND()</f>
        <v/>
      </c>
      <c r="AF4041">
        <f>RAND()</f>
        <v/>
      </c>
    </row>
    <row r="4042">
      <c r="M4042" s="14">
        <f>_xlfn.BETA.INV($AA4042,1+4*($D$5-$C$5)/($E$5-$C$5),1+4*($E$5-$D$5)/($E$5-$C$5),$C$5,$E$5)</f>
        <v/>
      </c>
      <c r="N4042" s="14">
        <f>IF($AB4042&lt;($D$6-$C$6)/($E$6-$C$6),$C$6+SQRT($AB4042*($E$6-$C$6)*($D$6-$C$6)),$E$6-SQRT((1-$AB4042)*($E$6-$C$6)*($E$6-$D$6)))</f>
        <v/>
      </c>
      <c r="O4042" s="14">
        <f>_xlfn.NORM.INV($AC4042,$C$7,$D$7)</f>
        <v/>
      </c>
      <c r="P4042" s="14">
        <f>$C$8+($D$8-$C$8)*$AD4042</f>
        <v/>
      </c>
      <c r="Q4042" s="14">
        <f>$C$9</f>
        <v/>
      </c>
      <c r="R4042" s="14">
        <f>_xlfn.LOGNORM.INV($AF4042,LN($C$10)-0.5*LN(1+($D$10/$C$10)^2),SQRT(LN(1+($D$10/$C$10)^2)))</f>
        <v/>
      </c>
      <c r="S4042" s="14">
        <f>SUM(M4042:R4042)</f>
        <v/>
      </c>
      <c r="AA4042">
        <f>RAND()</f>
        <v/>
      </c>
      <c r="AB4042">
        <f>RAND()</f>
        <v/>
      </c>
      <c r="AC4042">
        <f>RAND()</f>
        <v/>
      </c>
      <c r="AD4042">
        <f>RAND()</f>
        <v/>
      </c>
      <c r="AE4042">
        <f>RAND()</f>
        <v/>
      </c>
      <c r="AF4042">
        <f>RAND()</f>
        <v/>
      </c>
    </row>
    <row r="4043">
      <c r="M4043" s="14">
        <f>_xlfn.BETA.INV($AA4043,1+4*($D$5-$C$5)/($E$5-$C$5),1+4*($E$5-$D$5)/($E$5-$C$5),$C$5,$E$5)</f>
        <v/>
      </c>
      <c r="N4043" s="14">
        <f>IF($AB4043&lt;($D$6-$C$6)/($E$6-$C$6),$C$6+SQRT($AB4043*($E$6-$C$6)*($D$6-$C$6)),$E$6-SQRT((1-$AB4043)*($E$6-$C$6)*($E$6-$D$6)))</f>
        <v/>
      </c>
      <c r="O4043" s="14">
        <f>_xlfn.NORM.INV($AC4043,$C$7,$D$7)</f>
        <v/>
      </c>
      <c r="P4043" s="14">
        <f>$C$8+($D$8-$C$8)*$AD4043</f>
        <v/>
      </c>
      <c r="Q4043" s="14">
        <f>$C$9</f>
        <v/>
      </c>
      <c r="R4043" s="14">
        <f>_xlfn.LOGNORM.INV($AF4043,LN($C$10)-0.5*LN(1+($D$10/$C$10)^2),SQRT(LN(1+($D$10/$C$10)^2)))</f>
        <v/>
      </c>
      <c r="S4043" s="14">
        <f>SUM(M4043:R4043)</f>
        <v/>
      </c>
      <c r="AA4043">
        <f>RAND()</f>
        <v/>
      </c>
      <c r="AB4043">
        <f>RAND()</f>
        <v/>
      </c>
      <c r="AC4043">
        <f>RAND()</f>
        <v/>
      </c>
      <c r="AD4043">
        <f>RAND()</f>
        <v/>
      </c>
      <c r="AE4043">
        <f>RAND()</f>
        <v/>
      </c>
      <c r="AF4043">
        <f>RAND()</f>
        <v/>
      </c>
    </row>
    <row r="4044">
      <c r="M4044" s="14">
        <f>_xlfn.BETA.INV($AA4044,1+4*($D$5-$C$5)/($E$5-$C$5),1+4*($E$5-$D$5)/($E$5-$C$5),$C$5,$E$5)</f>
        <v/>
      </c>
      <c r="N4044" s="14">
        <f>IF($AB4044&lt;($D$6-$C$6)/($E$6-$C$6),$C$6+SQRT($AB4044*($E$6-$C$6)*($D$6-$C$6)),$E$6-SQRT((1-$AB4044)*($E$6-$C$6)*($E$6-$D$6)))</f>
        <v/>
      </c>
      <c r="O4044" s="14">
        <f>_xlfn.NORM.INV($AC4044,$C$7,$D$7)</f>
        <v/>
      </c>
      <c r="P4044" s="14">
        <f>$C$8+($D$8-$C$8)*$AD4044</f>
        <v/>
      </c>
      <c r="Q4044" s="14">
        <f>$C$9</f>
        <v/>
      </c>
      <c r="R4044" s="14">
        <f>_xlfn.LOGNORM.INV($AF4044,LN($C$10)-0.5*LN(1+($D$10/$C$10)^2),SQRT(LN(1+($D$10/$C$10)^2)))</f>
        <v/>
      </c>
      <c r="S4044" s="14">
        <f>SUM(M4044:R4044)</f>
        <v/>
      </c>
      <c r="AA4044">
        <f>RAND()</f>
        <v/>
      </c>
      <c r="AB4044">
        <f>RAND()</f>
        <v/>
      </c>
      <c r="AC4044">
        <f>RAND()</f>
        <v/>
      </c>
      <c r="AD4044">
        <f>RAND()</f>
        <v/>
      </c>
      <c r="AE4044">
        <f>RAND()</f>
        <v/>
      </c>
      <c r="AF4044">
        <f>RAND()</f>
        <v/>
      </c>
    </row>
    <row r="4045">
      <c r="M4045" s="14">
        <f>_xlfn.BETA.INV($AA4045,1+4*($D$5-$C$5)/($E$5-$C$5),1+4*($E$5-$D$5)/($E$5-$C$5),$C$5,$E$5)</f>
        <v/>
      </c>
      <c r="N4045" s="14">
        <f>IF($AB4045&lt;($D$6-$C$6)/($E$6-$C$6),$C$6+SQRT($AB4045*($E$6-$C$6)*($D$6-$C$6)),$E$6-SQRT((1-$AB4045)*($E$6-$C$6)*($E$6-$D$6)))</f>
        <v/>
      </c>
      <c r="O4045" s="14">
        <f>_xlfn.NORM.INV($AC4045,$C$7,$D$7)</f>
        <v/>
      </c>
      <c r="P4045" s="14">
        <f>$C$8+($D$8-$C$8)*$AD4045</f>
        <v/>
      </c>
      <c r="Q4045" s="14">
        <f>$C$9</f>
        <v/>
      </c>
      <c r="R4045" s="14">
        <f>_xlfn.LOGNORM.INV($AF4045,LN($C$10)-0.5*LN(1+($D$10/$C$10)^2),SQRT(LN(1+($D$10/$C$10)^2)))</f>
        <v/>
      </c>
      <c r="S4045" s="14">
        <f>SUM(M4045:R4045)</f>
        <v/>
      </c>
      <c r="AA4045">
        <f>RAND()</f>
        <v/>
      </c>
      <c r="AB4045">
        <f>RAND()</f>
        <v/>
      </c>
      <c r="AC4045">
        <f>RAND()</f>
        <v/>
      </c>
      <c r="AD4045">
        <f>RAND()</f>
        <v/>
      </c>
      <c r="AE4045">
        <f>RAND()</f>
        <v/>
      </c>
      <c r="AF4045">
        <f>RAND()</f>
        <v/>
      </c>
    </row>
    <row r="4046">
      <c r="M4046" s="14">
        <f>_xlfn.BETA.INV($AA4046,1+4*($D$5-$C$5)/($E$5-$C$5),1+4*($E$5-$D$5)/($E$5-$C$5),$C$5,$E$5)</f>
        <v/>
      </c>
      <c r="N4046" s="14">
        <f>IF($AB4046&lt;($D$6-$C$6)/($E$6-$C$6),$C$6+SQRT($AB4046*($E$6-$C$6)*($D$6-$C$6)),$E$6-SQRT((1-$AB4046)*($E$6-$C$6)*($E$6-$D$6)))</f>
        <v/>
      </c>
      <c r="O4046" s="14">
        <f>_xlfn.NORM.INV($AC4046,$C$7,$D$7)</f>
        <v/>
      </c>
      <c r="P4046" s="14">
        <f>$C$8+($D$8-$C$8)*$AD4046</f>
        <v/>
      </c>
      <c r="Q4046" s="14">
        <f>$C$9</f>
        <v/>
      </c>
      <c r="R4046" s="14">
        <f>_xlfn.LOGNORM.INV($AF4046,LN($C$10)-0.5*LN(1+($D$10/$C$10)^2),SQRT(LN(1+($D$10/$C$10)^2)))</f>
        <v/>
      </c>
      <c r="S4046" s="14">
        <f>SUM(M4046:R4046)</f>
        <v/>
      </c>
      <c r="AA4046">
        <f>RAND()</f>
        <v/>
      </c>
      <c r="AB4046">
        <f>RAND()</f>
        <v/>
      </c>
      <c r="AC4046">
        <f>RAND()</f>
        <v/>
      </c>
      <c r="AD4046">
        <f>RAND()</f>
        <v/>
      </c>
      <c r="AE4046">
        <f>RAND()</f>
        <v/>
      </c>
      <c r="AF4046">
        <f>RAND()</f>
        <v/>
      </c>
    </row>
    <row r="4047">
      <c r="M4047" s="14">
        <f>_xlfn.BETA.INV($AA4047,1+4*($D$5-$C$5)/($E$5-$C$5),1+4*($E$5-$D$5)/($E$5-$C$5),$C$5,$E$5)</f>
        <v/>
      </c>
      <c r="N4047" s="14">
        <f>IF($AB4047&lt;($D$6-$C$6)/($E$6-$C$6),$C$6+SQRT($AB4047*($E$6-$C$6)*($D$6-$C$6)),$E$6-SQRT((1-$AB4047)*($E$6-$C$6)*($E$6-$D$6)))</f>
        <v/>
      </c>
      <c r="O4047" s="14">
        <f>_xlfn.NORM.INV($AC4047,$C$7,$D$7)</f>
        <v/>
      </c>
      <c r="P4047" s="14">
        <f>$C$8+($D$8-$C$8)*$AD4047</f>
        <v/>
      </c>
      <c r="Q4047" s="14">
        <f>$C$9</f>
        <v/>
      </c>
      <c r="R4047" s="14">
        <f>_xlfn.LOGNORM.INV($AF4047,LN($C$10)-0.5*LN(1+($D$10/$C$10)^2),SQRT(LN(1+($D$10/$C$10)^2)))</f>
        <v/>
      </c>
      <c r="S4047" s="14">
        <f>SUM(M4047:R4047)</f>
        <v/>
      </c>
      <c r="AA4047">
        <f>RAND()</f>
        <v/>
      </c>
      <c r="AB4047">
        <f>RAND()</f>
        <v/>
      </c>
      <c r="AC4047">
        <f>RAND()</f>
        <v/>
      </c>
      <c r="AD4047">
        <f>RAND()</f>
        <v/>
      </c>
      <c r="AE4047">
        <f>RAND()</f>
        <v/>
      </c>
      <c r="AF4047">
        <f>RAND()</f>
        <v/>
      </c>
    </row>
    <row r="4048">
      <c r="M4048" s="14">
        <f>_xlfn.BETA.INV($AA4048,1+4*($D$5-$C$5)/($E$5-$C$5),1+4*($E$5-$D$5)/($E$5-$C$5),$C$5,$E$5)</f>
        <v/>
      </c>
      <c r="N4048" s="14">
        <f>IF($AB4048&lt;($D$6-$C$6)/($E$6-$C$6),$C$6+SQRT($AB4048*($E$6-$C$6)*($D$6-$C$6)),$E$6-SQRT((1-$AB4048)*($E$6-$C$6)*($E$6-$D$6)))</f>
        <v/>
      </c>
      <c r="O4048" s="14">
        <f>_xlfn.NORM.INV($AC4048,$C$7,$D$7)</f>
        <v/>
      </c>
      <c r="P4048" s="14">
        <f>$C$8+($D$8-$C$8)*$AD4048</f>
        <v/>
      </c>
      <c r="Q4048" s="14">
        <f>$C$9</f>
        <v/>
      </c>
      <c r="R4048" s="14">
        <f>_xlfn.LOGNORM.INV($AF4048,LN($C$10)-0.5*LN(1+($D$10/$C$10)^2),SQRT(LN(1+($D$10/$C$10)^2)))</f>
        <v/>
      </c>
      <c r="S4048" s="14">
        <f>SUM(M4048:R4048)</f>
        <v/>
      </c>
      <c r="AA4048">
        <f>RAND()</f>
        <v/>
      </c>
      <c r="AB4048">
        <f>RAND()</f>
        <v/>
      </c>
      <c r="AC4048">
        <f>RAND()</f>
        <v/>
      </c>
      <c r="AD4048">
        <f>RAND()</f>
        <v/>
      </c>
      <c r="AE4048">
        <f>RAND()</f>
        <v/>
      </c>
      <c r="AF4048">
        <f>RAND()</f>
        <v/>
      </c>
    </row>
    <row r="4049">
      <c r="M4049" s="14">
        <f>_xlfn.BETA.INV($AA4049,1+4*($D$5-$C$5)/($E$5-$C$5),1+4*($E$5-$D$5)/($E$5-$C$5),$C$5,$E$5)</f>
        <v/>
      </c>
      <c r="N4049" s="14">
        <f>IF($AB4049&lt;($D$6-$C$6)/($E$6-$C$6),$C$6+SQRT($AB4049*($E$6-$C$6)*($D$6-$C$6)),$E$6-SQRT((1-$AB4049)*($E$6-$C$6)*($E$6-$D$6)))</f>
        <v/>
      </c>
      <c r="O4049" s="14">
        <f>_xlfn.NORM.INV($AC4049,$C$7,$D$7)</f>
        <v/>
      </c>
      <c r="P4049" s="14">
        <f>$C$8+($D$8-$C$8)*$AD4049</f>
        <v/>
      </c>
      <c r="Q4049" s="14">
        <f>$C$9</f>
        <v/>
      </c>
      <c r="R4049" s="14">
        <f>_xlfn.LOGNORM.INV($AF4049,LN($C$10)-0.5*LN(1+($D$10/$C$10)^2),SQRT(LN(1+($D$10/$C$10)^2)))</f>
        <v/>
      </c>
      <c r="S4049" s="14">
        <f>SUM(M4049:R4049)</f>
        <v/>
      </c>
      <c r="AA4049">
        <f>RAND()</f>
        <v/>
      </c>
      <c r="AB4049">
        <f>RAND()</f>
        <v/>
      </c>
      <c r="AC4049">
        <f>RAND()</f>
        <v/>
      </c>
      <c r="AD4049">
        <f>RAND()</f>
        <v/>
      </c>
      <c r="AE4049">
        <f>RAND()</f>
        <v/>
      </c>
      <c r="AF4049">
        <f>RAND()</f>
        <v/>
      </c>
    </row>
    <row r="4050">
      <c r="M4050" s="14">
        <f>_xlfn.BETA.INV($AA4050,1+4*($D$5-$C$5)/($E$5-$C$5),1+4*($E$5-$D$5)/($E$5-$C$5),$C$5,$E$5)</f>
        <v/>
      </c>
      <c r="N4050" s="14">
        <f>IF($AB4050&lt;($D$6-$C$6)/($E$6-$C$6),$C$6+SQRT($AB4050*($E$6-$C$6)*($D$6-$C$6)),$E$6-SQRT((1-$AB4050)*($E$6-$C$6)*($E$6-$D$6)))</f>
        <v/>
      </c>
      <c r="O4050" s="14">
        <f>_xlfn.NORM.INV($AC4050,$C$7,$D$7)</f>
        <v/>
      </c>
      <c r="P4050" s="14">
        <f>$C$8+($D$8-$C$8)*$AD4050</f>
        <v/>
      </c>
      <c r="Q4050" s="14">
        <f>$C$9</f>
        <v/>
      </c>
      <c r="R4050" s="14">
        <f>_xlfn.LOGNORM.INV($AF4050,LN($C$10)-0.5*LN(1+($D$10/$C$10)^2),SQRT(LN(1+($D$10/$C$10)^2)))</f>
        <v/>
      </c>
      <c r="S4050" s="14">
        <f>SUM(M4050:R4050)</f>
        <v/>
      </c>
      <c r="AA4050">
        <f>RAND()</f>
        <v/>
      </c>
      <c r="AB4050">
        <f>RAND()</f>
        <v/>
      </c>
      <c r="AC4050">
        <f>RAND()</f>
        <v/>
      </c>
      <c r="AD4050">
        <f>RAND()</f>
        <v/>
      </c>
      <c r="AE4050">
        <f>RAND()</f>
        <v/>
      </c>
      <c r="AF4050">
        <f>RAND()</f>
        <v/>
      </c>
    </row>
    <row r="4051">
      <c r="M4051" s="14">
        <f>_xlfn.BETA.INV($AA4051,1+4*($D$5-$C$5)/($E$5-$C$5),1+4*($E$5-$D$5)/($E$5-$C$5),$C$5,$E$5)</f>
        <v/>
      </c>
      <c r="N4051" s="14">
        <f>IF($AB4051&lt;($D$6-$C$6)/($E$6-$C$6),$C$6+SQRT($AB4051*($E$6-$C$6)*($D$6-$C$6)),$E$6-SQRT((1-$AB4051)*($E$6-$C$6)*($E$6-$D$6)))</f>
        <v/>
      </c>
      <c r="O4051" s="14">
        <f>_xlfn.NORM.INV($AC4051,$C$7,$D$7)</f>
        <v/>
      </c>
      <c r="P4051" s="14">
        <f>$C$8+($D$8-$C$8)*$AD4051</f>
        <v/>
      </c>
      <c r="Q4051" s="14">
        <f>$C$9</f>
        <v/>
      </c>
      <c r="R4051" s="14">
        <f>_xlfn.LOGNORM.INV($AF4051,LN($C$10)-0.5*LN(1+($D$10/$C$10)^2),SQRT(LN(1+($D$10/$C$10)^2)))</f>
        <v/>
      </c>
      <c r="S4051" s="14">
        <f>SUM(M4051:R4051)</f>
        <v/>
      </c>
      <c r="AA4051">
        <f>RAND()</f>
        <v/>
      </c>
      <c r="AB4051">
        <f>RAND()</f>
        <v/>
      </c>
      <c r="AC4051">
        <f>RAND()</f>
        <v/>
      </c>
      <c r="AD4051">
        <f>RAND()</f>
        <v/>
      </c>
      <c r="AE4051">
        <f>RAND()</f>
        <v/>
      </c>
      <c r="AF4051">
        <f>RAND()</f>
        <v/>
      </c>
    </row>
    <row r="4052">
      <c r="M4052" s="14">
        <f>_xlfn.BETA.INV($AA4052,1+4*($D$5-$C$5)/($E$5-$C$5),1+4*($E$5-$D$5)/($E$5-$C$5),$C$5,$E$5)</f>
        <v/>
      </c>
      <c r="N4052" s="14">
        <f>IF($AB4052&lt;($D$6-$C$6)/($E$6-$C$6),$C$6+SQRT($AB4052*($E$6-$C$6)*($D$6-$C$6)),$E$6-SQRT((1-$AB4052)*($E$6-$C$6)*($E$6-$D$6)))</f>
        <v/>
      </c>
      <c r="O4052" s="14">
        <f>_xlfn.NORM.INV($AC4052,$C$7,$D$7)</f>
        <v/>
      </c>
      <c r="P4052" s="14">
        <f>$C$8+($D$8-$C$8)*$AD4052</f>
        <v/>
      </c>
      <c r="Q4052" s="14">
        <f>$C$9</f>
        <v/>
      </c>
      <c r="R4052" s="14">
        <f>_xlfn.LOGNORM.INV($AF4052,LN($C$10)-0.5*LN(1+($D$10/$C$10)^2),SQRT(LN(1+($D$10/$C$10)^2)))</f>
        <v/>
      </c>
      <c r="S4052" s="14">
        <f>SUM(M4052:R4052)</f>
        <v/>
      </c>
      <c r="AA4052">
        <f>RAND()</f>
        <v/>
      </c>
      <c r="AB4052">
        <f>RAND()</f>
        <v/>
      </c>
      <c r="AC4052">
        <f>RAND()</f>
        <v/>
      </c>
      <c r="AD4052">
        <f>RAND()</f>
        <v/>
      </c>
      <c r="AE4052">
        <f>RAND()</f>
        <v/>
      </c>
      <c r="AF4052">
        <f>RAND()</f>
        <v/>
      </c>
    </row>
    <row r="4053">
      <c r="M4053" s="14">
        <f>_xlfn.BETA.INV($AA4053,1+4*($D$5-$C$5)/($E$5-$C$5),1+4*($E$5-$D$5)/($E$5-$C$5),$C$5,$E$5)</f>
        <v/>
      </c>
      <c r="N4053" s="14">
        <f>IF($AB4053&lt;($D$6-$C$6)/($E$6-$C$6),$C$6+SQRT($AB4053*($E$6-$C$6)*($D$6-$C$6)),$E$6-SQRT((1-$AB4053)*($E$6-$C$6)*($E$6-$D$6)))</f>
        <v/>
      </c>
      <c r="O4053" s="14">
        <f>_xlfn.NORM.INV($AC4053,$C$7,$D$7)</f>
        <v/>
      </c>
      <c r="P4053" s="14">
        <f>$C$8+($D$8-$C$8)*$AD4053</f>
        <v/>
      </c>
      <c r="Q4053" s="14">
        <f>$C$9</f>
        <v/>
      </c>
      <c r="R4053" s="14">
        <f>_xlfn.LOGNORM.INV($AF4053,LN($C$10)-0.5*LN(1+($D$10/$C$10)^2),SQRT(LN(1+($D$10/$C$10)^2)))</f>
        <v/>
      </c>
      <c r="S4053" s="14">
        <f>SUM(M4053:R4053)</f>
        <v/>
      </c>
      <c r="AA4053">
        <f>RAND()</f>
        <v/>
      </c>
      <c r="AB4053">
        <f>RAND()</f>
        <v/>
      </c>
      <c r="AC4053">
        <f>RAND()</f>
        <v/>
      </c>
      <c r="AD4053">
        <f>RAND()</f>
        <v/>
      </c>
      <c r="AE4053">
        <f>RAND()</f>
        <v/>
      </c>
      <c r="AF4053">
        <f>RAND()</f>
        <v/>
      </c>
    </row>
    <row r="4054">
      <c r="M4054" s="14">
        <f>_xlfn.BETA.INV($AA4054,1+4*($D$5-$C$5)/($E$5-$C$5),1+4*($E$5-$D$5)/($E$5-$C$5),$C$5,$E$5)</f>
        <v/>
      </c>
      <c r="N4054" s="14">
        <f>IF($AB4054&lt;($D$6-$C$6)/($E$6-$C$6),$C$6+SQRT($AB4054*($E$6-$C$6)*($D$6-$C$6)),$E$6-SQRT((1-$AB4054)*($E$6-$C$6)*($E$6-$D$6)))</f>
        <v/>
      </c>
      <c r="O4054" s="14">
        <f>_xlfn.NORM.INV($AC4054,$C$7,$D$7)</f>
        <v/>
      </c>
      <c r="P4054" s="14">
        <f>$C$8+($D$8-$C$8)*$AD4054</f>
        <v/>
      </c>
      <c r="Q4054" s="14">
        <f>$C$9</f>
        <v/>
      </c>
      <c r="R4054" s="14">
        <f>_xlfn.LOGNORM.INV($AF4054,LN($C$10)-0.5*LN(1+($D$10/$C$10)^2),SQRT(LN(1+($D$10/$C$10)^2)))</f>
        <v/>
      </c>
      <c r="S4054" s="14">
        <f>SUM(M4054:R4054)</f>
        <v/>
      </c>
      <c r="AA4054">
        <f>RAND()</f>
        <v/>
      </c>
      <c r="AB4054">
        <f>RAND()</f>
        <v/>
      </c>
      <c r="AC4054">
        <f>RAND()</f>
        <v/>
      </c>
      <c r="AD4054">
        <f>RAND()</f>
        <v/>
      </c>
      <c r="AE4054">
        <f>RAND()</f>
        <v/>
      </c>
      <c r="AF4054">
        <f>RAND()</f>
        <v/>
      </c>
    </row>
    <row r="4055">
      <c r="M4055" s="14">
        <f>_xlfn.BETA.INV($AA4055,1+4*($D$5-$C$5)/($E$5-$C$5),1+4*($E$5-$D$5)/($E$5-$C$5),$C$5,$E$5)</f>
        <v/>
      </c>
      <c r="N4055" s="14">
        <f>IF($AB4055&lt;($D$6-$C$6)/($E$6-$C$6),$C$6+SQRT($AB4055*($E$6-$C$6)*($D$6-$C$6)),$E$6-SQRT((1-$AB4055)*($E$6-$C$6)*($E$6-$D$6)))</f>
        <v/>
      </c>
      <c r="O4055" s="14">
        <f>_xlfn.NORM.INV($AC4055,$C$7,$D$7)</f>
        <v/>
      </c>
      <c r="P4055" s="14">
        <f>$C$8+($D$8-$C$8)*$AD4055</f>
        <v/>
      </c>
      <c r="Q4055" s="14">
        <f>$C$9</f>
        <v/>
      </c>
      <c r="R4055" s="14">
        <f>_xlfn.LOGNORM.INV($AF4055,LN($C$10)-0.5*LN(1+($D$10/$C$10)^2),SQRT(LN(1+($D$10/$C$10)^2)))</f>
        <v/>
      </c>
      <c r="S4055" s="14">
        <f>SUM(M4055:R4055)</f>
        <v/>
      </c>
      <c r="AA4055">
        <f>RAND()</f>
        <v/>
      </c>
      <c r="AB4055">
        <f>RAND()</f>
        <v/>
      </c>
      <c r="AC4055">
        <f>RAND()</f>
        <v/>
      </c>
      <c r="AD4055">
        <f>RAND()</f>
        <v/>
      </c>
      <c r="AE4055">
        <f>RAND()</f>
        <v/>
      </c>
      <c r="AF4055">
        <f>RAND()</f>
        <v/>
      </c>
    </row>
    <row r="4056">
      <c r="M4056" s="14">
        <f>_xlfn.BETA.INV($AA4056,1+4*($D$5-$C$5)/($E$5-$C$5),1+4*($E$5-$D$5)/($E$5-$C$5),$C$5,$E$5)</f>
        <v/>
      </c>
      <c r="N4056" s="14">
        <f>IF($AB4056&lt;($D$6-$C$6)/($E$6-$C$6),$C$6+SQRT($AB4056*($E$6-$C$6)*($D$6-$C$6)),$E$6-SQRT((1-$AB4056)*($E$6-$C$6)*($E$6-$D$6)))</f>
        <v/>
      </c>
      <c r="O4056" s="14">
        <f>_xlfn.NORM.INV($AC4056,$C$7,$D$7)</f>
        <v/>
      </c>
      <c r="P4056" s="14">
        <f>$C$8+($D$8-$C$8)*$AD4056</f>
        <v/>
      </c>
      <c r="Q4056" s="14">
        <f>$C$9</f>
        <v/>
      </c>
      <c r="R4056" s="14">
        <f>_xlfn.LOGNORM.INV($AF4056,LN($C$10)-0.5*LN(1+($D$10/$C$10)^2),SQRT(LN(1+($D$10/$C$10)^2)))</f>
        <v/>
      </c>
      <c r="S4056" s="14">
        <f>SUM(M4056:R4056)</f>
        <v/>
      </c>
      <c r="AA4056">
        <f>RAND()</f>
        <v/>
      </c>
      <c r="AB4056">
        <f>RAND()</f>
        <v/>
      </c>
      <c r="AC4056">
        <f>RAND()</f>
        <v/>
      </c>
      <c r="AD4056">
        <f>RAND()</f>
        <v/>
      </c>
      <c r="AE4056">
        <f>RAND()</f>
        <v/>
      </c>
      <c r="AF4056">
        <f>RAND()</f>
        <v/>
      </c>
    </row>
    <row r="4057">
      <c r="M4057" s="14">
        <f>_xlfn.BETA.INV($AA4057,1+4*($D$5-$C$5)/($E$5-$C$5),1+4*($E$5-$D$5)/($E$5-$C$5),$C$5,$E$5)</f>
        <v/>
      </c>
      <c r="N4057" s="14">
        <f>IF($AB4057&lt;($D$6-$C$6)/($E$6-$C$6),$C$6+SQRT($AB4057*($E$6-$C$6)*($D$6-$C$6)),$E$6-SQRT((1-$AB4057)*($E$6-$C$6)*($E$6-$D$6)))</f>
        <v/>
      </c>
      <c r="O4057" s="14">
        <f>_xlfn.NORM.INV($AC4057,$C$7,$D$7)</f>
        <v/>
      </c>
      <c r="P4057" s="14">
        <f>$C$8+($D$8-$C$8)*$AD4057</f>
        <v/>
      </c>
      <c r="Q4057" s="14">
        <f>$C$9</f>
        <v/>
      </c>
      <c r="R4057" s="14">
        <f>_xlfn.LOGNORM.INV($AF4057,LN($C$10)-0.5*LN(1+($D$10/$C$10)^2),SQRT(LN(1+($D$10/$C$10)^2)))</f>
        <v/>
      </c>
      <c r="S4057" s="14">
        <f>SUM(M4057:R4057)</f>
        <v/>
      </c>
      <c r="AA4057">
        <f>RAND()</f>
        <v/>
      </c>
      <c r="AB4057">
        <f>RAND()</f>
        <v/>
      </c>
      <c r="AC4057">
        <f>RAND()</f>
        <v/>
      </c>
      <c r="AD4057">
        <f>RAND()</f>
        <v/>
      </c>
      <c r="AE4057">
        <f>RAND()</f>
        <v/>
      </c>
      <c r="AF4057">
        <f>RAND()</f>
        <v/>
      </c>
    </row>
    <row r="4058">
      <c r="M4058" s="14">
        <f>_xlfn.BETA.INV($AA4058,1+4*($D$5-$C$5)/($E$5-$C$5),1+4*($E$5-$D$5)/($E$5-$C$5),$C$5,$E$5)</f>
        <v/>
      </c>
      <c r="N4058" s="14">
        <f>IF($AB4058&lt;($D$6-$C$6)/($E$6-$C$6),$C$6+SQRT($AB4058*($E$6-$C$6)*($D$6-$C$6)),$E$6-SQRT((1-$AB4058)*($E$6-$C$6)*($E$6-$D$6)))</f>
        <v/>
      </c>
      <c r="O4058" s="14">
        <f>_xlfn.NORM.INV($AC4058,$C$7,$D$7)</f>
        <v/>
      </c>
      <c r="P4058" s="14">
        <f>$C$8+($D$8-$C$8)*$AD4058</f>
        <v/>
      </c>
      <c r="Q4058" s="14">
        <f>$C$9</f>
        <v/>
      </c>
      <c r="R4058" s="14">
        <f>_xlfn.LOGNORM.INV($AF4058,LN($C$10)-0.5*LN(1+($D$10/$C$10)^2),SQRT(LN(1+($D$10/$C$10)^2)))</f>
        <v/>
      </c>
      <c r="S4058" s="14">
        <f>SUM(M4058:R4058)</f>
        <v/>
      </c>
      <c r="AA4058">
        <f>RAND()</f>
        <v/>
      </c>
      <c r="AB4058">
        <f>RAND()</f>
        <v/>
      </c>
      <c r="AC4058">
        <f>RAND()</f>
        <v/>
      </c>
      <c r="AD4058">
        <f>RAND()</f>
        <v/>
      </c>
      <c r="AE4058">
        <f>RAND()</f>
        <v/>
      </c>
      <c r="AF4058">
        <f>RAND()</f>
        <v/>
      </c>
    </row>
    <row r="4059">
      <c r="M4059" s="14">
        <f>_xlfn.BETA.INV($AA4059,1+4*($D$5-$C$5)/($E$5-$C$5),1+4*($E$5-$D$5)/($E$5-$C$5),$C$5,$E$5)</f>
        <v/>
      </c>
      <c r="N4059" s="14">
        <f>IF($AB4059&lt;($D$6-$C$6)/($E$6-$C$6),$C$6+SQRT($AB4059*($E$6-$C$6)*($D$6-$C$6)),$E$6-SQRT((1-$AB4059)*($E$6-$C$6)*($E$6-$D$6)))</f>
        <v/>
      </c>
      <c r="O4059" s="14">
        <f>_xlfn.NORM.INV($AC4059,$C$7,$D$7)</f>
        <v/>
      </c>
      <c r="P4059" s="14">
        <f>$C$8+($D$8-$C$8)*$AD4059</f>
        <v/>
      </c>
      <c r="Q4059" s="14">
        <f>$C$9</f>
        <v/>
      </c>
      <c r="R4059" s="14">
        <f>_xlfn.LOGNORM.INV($AF4059,LN($C$10)-0.5*LN(1+($D$10/$C$10)^2),SQRT(LN(1+($D$10/$C$10)^2)))</f>
        <v/>
      </c>
      <c r="S4059" s="14">
        <f>SUM(M4059:R4059)</f>
        <v/>
      </c>
      <c r="AA4059">
        <f>RAND()</f>
        <v/>
      </c>
      <c r="AB4059">
        <f>RAND()</f>
        <v/>
      </c>
      <c r="AC4059">
        <f>RAND()</f>
        <v/>
      </c>
      <c r="AD4059">
        <f>RAND()</f>
        <v/>
      </c>
      <c r="AE4059">
        <f>RAND()</f>
        <v/>
      </c>
      <c r="AF4059">
        <f>RAND()</f>
        <v/>
      </c>
    </row>
    <row r="4060">
      <c r="M4060" s="14">
        <f>_xlfn.BETA.INV($AA4060,1+4*($D$5-$C$5)/($E$5-$C$5),1+4*($E$5-$D$5)/($E$5-$C$5),$C$5,$E$5)</f>
        <v/>
      </c>
      <c r="N4060" s="14">
        <f>IF($AB4060&lt;($D$6-$C$6)/($E$6-$C$6),$C$6+SQRT($AB4060*($E$6-$C$6)*($D$6-$C$6)),$E$6-SQRT((1-$AB4060)*($E$6-$C$6)*($E$6-$D$6)))</f>
        <v/>
      </c>
      <c r="O4060" s="14">
        <f>_xlfn.NORM.INV($AC4060,$C$7,$D$7)</f>
        <v/>
      </c>
      <c r="P4060" s="14">
        <f>$C$8+($D$8-$C$8)*$AD4060</f>
        <v/>
      </c>
      <c r="Q4060" s="14">
        <f>$C$9</f>
        <v/>
      </c>
      <c r="R4060" s="14">
        <f>_xlfn.LOGNORM.INV($AF4060,LN($C$10)-0.5*LN(1+($D$10/$C$10)^2),SQRT(LN(1+($D$10/$C$10)^2)))</f>
        <v/>
      </c>
      <c r="S4060" s="14">
        <f>SUM(M4060:R4060)</f>
        <v/>
      </c>
      <c r="AA4060">
        <f>RAND()</f>
        <v/>
      </c>
      <c r="AB4060">
        <f>RAND()</f>
        <v/>
      </c>
      <c r="AC4060">
        <f>RAND()</f>
        <v/>
      </c>
      <c r="AD4060">
        <f>RAND()</f>
        <v/>
      </c>
      <c r="AE4060">
        <f>RAND()</f>
        <v/>
      </c>
      <c r="AF4060">
        <f>RAND()</f>
        <v/>
      </c>
    </row>
    <row r="4061">
      <c r="M4061" s="14">
        <f>_xlfn.BETA.INV($AA4061,1+4*($D$5-$C$5)/($E$5-$C$5),1+4*($E$5-$D$5)/($E$5-$C$5),$C$5,$E$5)</f>
        <v/>
      </c>
      <c r="N4061" s="14">
        <f>IF($AB4061&lt;($D$6-$C$6)/($E$6-$C$6),$C$6+SQRT($AB4061*($E$6-$C$6)*($D$6-$C$6)),$E$6-SQRT((1-$AB4061)*($E$6-$C$6)*($E$6-$D$6)))</f>
        <v/>
      </c>
      <c r="O4061" s="14">
        <f>_xlfn.NORM.INV($AC4061,$C$7,$D$7)</f>
        <v/>
      </c>
      <c r="P4061" s="14">
        <f>$C$8+($D$8-$C$8)*$AD4061</f>
        <v/>
      </c>
      <c r="Q4061" s="14">
        <f>$C$9</f>
        <v/>
      </c>
      <c r="R4061" s="14">
        <f>_xlfn.LOGNORM.INV($AF4061,LN($C$10)-0.5*LN(1+($D$10/$C$10)^2),SQRT(LN(1+($D$10/$C$10)^2)))</f>
        <v/>
      </c>
      <c r="S4061" s="14">
        <f>SUM(M4061:R4061)</f>
        <v/>
      </c>
      <c r="AA4061">
        <f>RAND()</f>
        <v/>
      </c>
      <c r="AB4061">
        <f>RAND()</f>
        <v/>
      </c>
      <c r="AC4061">
        <f>RAND()</f>
        <v/>
      </c>
      <c r="AD4061">
        <f>RAND()</f>
        <v/>
      </c>
      <c r="AE4061">
        <f>RAND()</f>
        <v/>
      </c>
      <c r="AF4061">
        <f>RAND()</f>
        <v/>
      </c>
    </row>
    <row r="4062">
      <c r="M4062" s="14">
        <f>_xlfn.BETA.INV($AA4062,1+4*($D$5-$C$5)/($E$5-$C$5),1+4*($E$5-$D$5)/($E$5-$C$5),$C$5,$E$5)</f>
        <v/>
      </c>
      <c r="N4062" s="14">
        <f>IF($AB4062&lt;($D$6-$C$6)/($E$6-$C$6),$C$6+SQRT($AB4062*($E$6-$C$6)*($D$6-$C$6)),$E$6-SQRT((1-$AB4062)*($E$6-$C$6)*($E$6-$D$6)))</f>
        <v/>
      </c>
      <c r="O4062" s="14">
        <f>_xlfn.NORM.INV($AC4062,$C$7,$D$7)</f>
        <v/>
      </c>
      <c r="P4062" s="14">
        <f>$C$8+($D$8-$C$8)*$AD4062</f>
        <v/>
      </c>
      <c r="Q4062" s="14">
        <f>$C$9</f>
        <v/>
      </c>
      <c r="R4062" s="14">
        <f>_xlfn.LOGNORM.INV($AF4062,LN($C$10)-0.5*LN(1+($D$10/$C$10)^2),SQRT(LN(1+($D$10/$C$10)^2)))</f>
        <v/>
      </c>
      <c r="S4062" s="14">
        <f>SUM(M4062:R4062)</f>
        <v/>
      </c>
      <c r="AA4062">
        <f>RAND()</f>
        <v/>
      </c>
      <c r="AB4062">
        <f>RAND()</f>
        <v/>
      </c>
      <c r="AC4062">
        <f>RAND()</f>
        <v/>
      </c>
      <c r="AD4062">
        <f>RAND()</f>
        <v/>
      </c>
      <c r="AE4062">
        <f>RAND()</f>
        <v/>
      </c>
      <c r="AF4062">
        <f>RAND()</f>
        <v/>
      </c>
    </row>
    <row r="4063">
      <c r="M4063" s="14">
        <f>_xlfn.BETA.INV($AA4063,1+4*($D$5-$C$5)/($E$5-$C$5),1+4*($E$5-$D$5)/($E$5-$C$5),$C$5,$E$5)</f>
        <v/>
      </c>
      <c r="N4063" s="14">
        <f>IF($AB4063&lt;($D$6-$C$6)/($E$6-$C$6),$C$6+SQRT($AB4063*($E$6-$C$6)*($D$6-$C$6)),$E$6-SQRT((1-$AB4063)*($E$6-$C$6)*($E$6-$D$6)))</f>
        <v/>
      </c>
      <c r="O4063" s="14">
        <f>_xlfn.NORM.INV($AC4063,$C$7,$D$7)</f>
        <v/>
      </c>
      <c r="P4063" s="14">
        <f>$C$8+($D$8-$C$8)*$AD4063</f>
        <v/>
      </c>
      <c r="Q4063" s="14">
        <f>$C$9</f>
        <v/>
      </c>
      <c r="R4063" s="14">
        <f>_xlfn.LOGNORM.INV($AF4063,LN($C$10)-0.5*LN(1+($D$10/$C$10)^2),SQRT(LN(1+($D$10/$C$10)^2)))</f>
        <v/>
      </c>
      <c r="S4063" s="14">
        <f>SUM(M4063:R4063)</f>
        <v/>
      </c>
      <c r="AA4063">
        <f>RAND()</f>
        <v/>
      </c>
      <c r="AB4063">
        <f>RAND()</f>
        <v/>
      </c>
      <c r="AC4063">
        <f>RAND()</f>
        <v/>
      </c>
      <c r="AD4063">
        <f>RAND()</f>
        <v/>
      </c>
      <c r="AE4063">
        <f>RAND()</f>
        <v/>
      </c>
      <c r="AF4063">
        <f>RAND()</f>
        <v/>
      </c>
    </row>
    <row r="4064">
      <c r="M4064" s="14">
        <f>_xlfn.BETA.INV($AA4064,1+4*($D$5-$C$5)/($E$5-$C$5),1+4*($E$5-$D$5)/($E$5-$C$5),$C$5,$E$5)</f>
        <v/>
      </c>
      <c r="N4064" s="14">
        <f>IF($AB4064&lt;($D$6-$C$6)/($E$6-$C$6),$C$6+SQRT($AB4064*($E$6-$C$6)*($D$6-$C$6)),$E$6-SQRT((1-$AB4064)*($E$6-$C$6)*($E$6-$D$6)))</f>
        <v/>
      </c>
      <c r="O4064" s="14">
        <f>_xlfn.NORM.INV($AC4064,$C$7,$D$7)</f>
        <v/>
      </c>
      <c r="P4064" s="14">
        <f>$C$8+($D$8-$C$8)*$AD4064</f>
        <v/>
      </c>
      <c r="Q4064" s="14">
        <f>$C$9</f>
        <v/>
      </c>
      <c r="R4064" s="14">
        <f>_xlfn.LOGNORM.INV($AF4064,LN($C$10)-0.5*LN(1+($D$10/$C$10)^2),SQRT(LN(1+($D$10/$C$10)^2)))</f>
        <v/>
      </c>
      <c r="S4064" s="14">
        <f>SUM(M4064:R4064)</f>
        <v/>
      </c>
      <c r="AA4064">
        <f>RAND()</f>
        <v/>
      </c>
      <c r="AB4064">
        <f>RAND()</f>
        <v/>
      </c>
      <c r="AC4064">
        <f>RAND()</f>
        <v/>
      </c>
      <c r="AD4064">
        <f>RAND()</f>
        <v/>
      </c>
      <c r="AE4064">
        <f>RAND()</f>
        <v/>
      </c>
      <c r="AF4064">
        <f>RAND()</f>
        <v/>
      </c>
    </row>
    <row r="4065">
      <c r="M4065" s="14">
        <f>_xlfn.BETA.INV($AA4065,1+4*($D$5-$C$5)/($E$5-$C$5),1+4*($E$5-$D$5)/($E$5-$C$5),$C$5,$E$5)</f>
        <v/>
      </c>
      <c r="N4065" s="14">
        <f>IF($AB4065&lt;($D$6-$C$6)/($E$6-$C$6),$C$6+SQRT($AB4065*($E$6-$C$6)*($D$6-$C$6)),$E$6-SQRT((1-$AB4065)*($E$6-$C$6)*($E$6-$D$6)))</f>
        <v/>
      </c>
      <c r="O4065" s="14">
        <f>_xlfn.NORM.INV($AC4065,$C$7,$D$7)</f>
        <v/>
      </c>
      <c r="P4065" s="14">
        <f>$C$8+($D$8-$C$8)*$AD4065</f>
        <v/>
      </c>
      <c r="Q4065" s="14">
        <f>$C$9</f>
        <v/>
      </c>
      <c r="R4065" s="14">
        <f>_xlfn.LOGNORM.INV($AF4065,LN($C$10)-0.5*LN(1+($D$10/$C$10)^2),SQRT(LN(1+($D$10/$C$10)^2)))</f>
        <v/>
      </c>
      <c r="S4065" s="14">
        <f>SUM(M4065:R4065)</f>
        <v/>
      </c>
      <c r="AA4065">
        <f>RAND()</f>
        <v/>
      </c>
      <c r="AB4065">
        <f>RAND()</f>
        <v/>
      </c>
      <c r="AC4065">
        <f>RAND()</f>
        <v/>
      </c>
      <c r="AD4065">
        <f>RAND()</f>
        <v/>
      </c>
      <c r="AE4065">
        <f>RAND()</f>
        <v/>
      </c>
      <c r="AF4065">
        <f>RAND()</f>
        <v/>
      </c>
    </row>
    <row r="4066">
      <c r="M4066" s="14">
        <f>_xlfn.BETA.INV($AA4066,1+4*($D$5-$C$5)/($E$5-$C$5),1+4*($E$5-$D$5)/($E$5-$C$5),$C$5,$E$5)</f>
        <v/>
      </c>
      <c r="N4066" s="14">
        <f>IF($AB4066&lt;($D$6-$C$6)/($E$6-$C$6),$C$6+SQRT($AB4066*($E$6-$C$6)*($D$6-$C$6)),$E$6-SQRT((1-$AB4066)*($E$6-$C$6)*($E$6-$D$6)))</f>
        <v/>
      </c>
      <c r="O4066" s="14">
        <f>_xlfn.NORM.INV($AC4066,$C$7,$D$7)</f>
        <v/>
      </c>
      <c r="P4066" s="14">
        <f>$C$8+($D$8-$C$8)*$AD4066</f>
        <v/>
      </c>
      <c r="Q4066" s="14">
        <f>$C$9</f>
        <v/>
      </c>
      <c r="R4066" s="14">
        <f>_xlfn.LOGNORM.INV($AF4066,LN($C$10)-0.5*LN(1+($D$10/$C$10)^2),SQRT(LN(1+($D$10/$C$10)^2)))</f>
        <v/>
      </c>
      <c r="S4066" s="14">
        <f>SUM(M4066:R4066)</f>
        <v/>
      </c>
      <c r="AA4066">
        <f>RAND()</f>
        <v/>
      </c>
      <c r="AB4066">
        <f>RAND()</f>
        <v/>
      </c>
      <c r="AC4066">
        <f>RAND()</f>
        <v/>
      </c>
      <c r="AD4066">
        <f>RAND()</f>
        <v/>
      </c>
      <c r="AE4066">
        <f>RAND()</f>
        <v/>
      </c>
      <c r="AF4066">
        <f>RAND()</f>
        <v/>
      </c>
    </row>
    <row r="4067">
      <c r="M4067" s="14">
        <f>_xlfn.BETA.INV($AA4067,1+4*($D$5-$C$5)/($E$5-$C$5),1+4*($E$5-$D$5)/($E$5-$C$5),$C$5,$E$5)</f>
        <v/>
      </c>
      <c r="N4067" s="14">
        <f>IF($AB4067&lt;($D$6-$C$6)/($E$6-$C$6),$C$6+SQRT($AB4067*($E$6-$C$6)*($D$6-$C$6)),$E$6-SQRT((1-$AB4067)*($E$6-$C$6)*($E$6-$D$6)))</f>
        <v/>
      </c>
      <c r="O4067" s="14">
        <f>_xlfn.NORM.INV($AC4067,$C$7,$D$7)</f>
        <v/>
      </c>
      <c r="P4067" s="14">
        <f>$C$8+($D$8-$C$8)*$AD4067</f>
        <v/>
      </c>
      <c r="Q4067" s="14">
        <f>$C$9</f>
        <v/>
      </c>
      <c r="R4067" s="14">
        <f>_xlfn.LOGNORM.INV($AF4067,LN($C$10)-0.5*LN(1+($D$10/$C$10)^2),SQRT(LN(1+($D$10/$C$10)^2)))</f>
        <v/>
      </c>
      <c r="S4067" s="14">
        <f>SUM(M4067:R4067)</f>
        <v/>
      </c>
      <c r="AA4067">
        <f>RAND()</f>
        <v/>
      </c>
      <c r="AB4067">
        <f>RAND()</f>
        <v/>
      </c>
      <c r="AC4067">
        <f>RAND()</f>
        <v/>
      </c>
      <c r="AD4067">
        <f>RAND()</f>
        <v/>
      </c>
      <c r="AE4067">
        <f>RAND()</f>
        <v/>
      </c>
      <c r="AF4067">
        <f>RAND()</f>
        <v/>
      </c>
    </row>
    <row r="4068">
      <c r="M4068" s="14">
        <f>_xlfn.BETA.INV($AA4068,1+4*($D$5-$C$5)/($E$5-$C$5),1+4*($E$5-$D$5)/($E$5-$C$5),$C$5,$E$5)</f>
        <v/>
      </c>
      <c r="N4068" s="14">
        <f>IF($AB4068&lt;($D$6-$C$6)/($E$6-$C$6),$C$6+SQRT($AB4068*($E$6-$C$6)*($D$6-$C$6)),$E$6-SQRT((1-$AB4068)*($E$6-$C$6)*($E$6-$D$6)))</f>
        <v/>
      </c>
      <c r="O4068" s="14">
        <f>_xlfn.NORM.INV($AC4068,$C$7,$D$7)</f>
        <v/>
      </c>
      <c r="P4068" s="14">
        <f>$C$8+($D$8-$C$8)*$AD4068</f>
        <v/>
      </c>
      <c r="Q4068" s="14">
        <f>$C$9</f>
        <v/>
      </c>
      <c r="R4068" s="14">
        <f>_xlfn.LOGNORM.INV($AF4068,LN($C$10)-0.5*LN(1+($D$10/$C$10)^2),SQRT(LN(1+($D$10/$C$10)^2)))</f>
        <v/>
      </c>
      <c r="S4068" s="14">
        <f>SUM(M4068:R4068)</f>
        <v/>
      </c>
      <c r="AA4068">
        <f>RAND()</f>
        <v/>
      </c>
      <c r="AB4068">
        <f>RAND()</f>
        <v/>
      </c>
      <c r="AC4068">
        <f>RAND()</f>
        <v/>
      </c>
      <c r="AD4068">
        <f>RAND()</f>
        <v/>
      </c>
      <c r="AE4068">
        <f>RAND()</f>
        <v/>
      </c>
      <c r="AF4068">
        <f>RAND()</f>
        <v/>
      </c>
    </row>
    <row r="4069">
      <c r="M4069" s="14">
        <f>_xlfn.BETA.INV($AA4069,1+4*($D$5-$C$5)/($E$5-$C$5),1+4*($E$5-$D$5)/($E$5-$C$5),$C$5,$E$5)</f>
        <v/>
      </c>
      <c r="N4069" s="14">
        <f>IF($AB4069&lt;($D$6-$C$6)/($E$6-$C$6),$C$6+SQRT($AB4069*($E$6-$C$6)*($D$6-$C$6)),$E$6-SQRT((1-$AB4069)*($E$6-$C$6)*($E$6-$D$6)))</f>
        <v/>
      </c>
      <c r="O4069" s="14">
        <f>_xlfn.NORM.INV($AC4069,$C$7,$D$7)</f>
        <v/>
      </c>
      <c r="P4069" s="14">
        <f>$C$8+($D$8-$C$8)*$AD4069</f>
        <v/>
      </c>
      <c r="Q4069" s="14">
        <f>$C$9</f>
        <v/>
      </c>
      <c r="R4069" s="14">
        <f>_xlfn.LOGNORM.INV($AF4069,LN($C$10)-0.5*LN(1+($D$10/$C$10)^2),SQRT(LN(1+($D$10/$C$10)^2)))</f>
        <v/>
      </c>
      <c r="S4069" s="14">
        <f>SUM(M4069:R4069)</f>
        <v/>
      </c>
      <c r="AA4069">
        <f>RAND()</f>
        <v/>
      </c>
      <c r="AB4069">
        <f>RAND()</f>
        <v/>
      </c>
      <c r="AC4069">
        <f>RAND()</f>
        <v/>
      </c>
      <c r="AD4069">
        <f>RAND()</f>
        <v/>
      </c>
      <c r="AE4069">
        <f>RAND()</f>
        <v/>
      </c>
      <c r="AF4069">
        <f>RAND()</f>
        <v/>
      </c>
    </row>
    <row r="4070">
      <c r="M4070" s="14">
        <f>_xlfn.BETA.INV($AA4070,1+4*($D$5-$C$5)/($E$5-$C$5),1+4*($E$5-$D$5)/($E$5-$C$5),$C$5,$E$5)</f>
        <v/>
      </c>
      <c r="N4070" s="14">
        <f>IF($AB4070&lt;($D$6-$C$6)/($E$6-$C$6),$C$6+SQRT($AB4070*($E$6-$C$6)*($D$6-$C$6)),$E$6-SQRT((1-$AB4070)*($E$6-$C$6)*($E$6-$D$6)))</f>
        <v/>
      </c>
      <c r="O4070" s="14">
        <f>_xlfn.NORM.INV($AC4070,$C$7,$D$7)</f>
        <v/>
      </c>
      <c r="P4070" s="14">
        <f>$C$8+($D$8-$C$8)*$AD4070</f>
        <v/>
      </c>
      <c r="Q4070" s="14">
        <f>$C$9</f>
        <v/>
      </c>
      <c r="R4070" s="14">
        <f>_xlfn.LOGNORM.INV($AF4070,LN($C$10)-0.5*LN(1+($D$10/$C$10)^2),SQRT(LN(1+($D$10/$C$10)^2)))</f>
        <v/>
      </c>
      <c r="S4070" s="14">
        <f>SUM(M4070:R4070)</f>
        <v/>
      </c>
      <c r="AA4070">
        <f>RAND()</f>
        <v/>
      </c>
      <c r="AB4070">
        <f>RAND()</f>
        <v/>
      </c>
      <c r="AC4070">
        <f>RAND()</f>
        <v/>
      </c>
      <c r="AD4070">
        <f>RAND()</f>
        <v/>
      </c>
      <c r="AE4070">
        <f>RAND()</f>
        <v/>
      </c>
      <c r="AF4070">
        <f>RAND()</f>
        <v/>
      </c>
    </row>
    <row r="4071">
      <c r="M4071" s="14">
        <f>_xlfn.BETA.INV($AA4071,1+4*($D$5-$C$5)/($E$5-$C$5),1+4*($E$5-$D$5)/($E$5-$C$5),$C$5,$E$5)</f>
        <v/>
      </c>
      <c r="N4071" s="14">
        <f>IF($AB4071&lt;($D$6-$C$6)/($E$6-$C$6),$C$6+SQRT($AB4071*($E$6-$C$6)*($D$6-$C$6)),$E$6-SQRT((1-$AB4071)*($E$6-$C$6)*($E$6-$D$6)))</f>
        <v/>
      </c>
      <c r="O4071" s="14">
        <f>_xlfn.NORM.INV($AC4071,$C$7,$D$7)</f>
        <v/>
      </c>
      <c r="P4071" s="14">
        <f>$C$8+($D$8-$C$8)*$AD4071</f>
        <v/>
      </c>
      <c r="Q4071" s="14">
        <f>$C$9</f>
        <v/>
      </c>
      <c r="R4071" s="14">
        <f>_xlfn.LOGNORM.INV($AF4071,LN($C$10)-0.5*LN(1+($D$10/$C$10)^2),SQRT(LN(1+($D$10/$C$10)^2)))</f>
        <v/>
      </c>
      <c r="S4071" s="14">
        <f>SUM(M4071:R4071)</f>
        <v/>
      </c>
      <c r="AA4071">
        <f>RAND()</f>
        <v/>
      </c>
      <c r="AB4071">
        <f>RAND()</f>
        <v/>
      </c>
      <c r="AC4071">
        <f>RAND()</f>
        <v/>
      </c>
      <c r="AD4071">
        <f>RAND()</f>
        <v/>
      </c>
      <c r="AE4071">
        <f>RAND()</f>
        <v/>
      </c>
      <c r="AF4071">
        <f>RAND()</f>
        <v/>
      </c>
    </row>
    <row r="4072">
      <c r="M4072" s="14">
        <f>_xlfn.BETA.INV($AA4072,1+4*($D$5-$C$5)/($E$5-$C$5),1+4*($E$5-$D$5)/($E$5-$C$5),$C$5,$E$5)</f>
        <v/>
      </c>
      <c r="N4072" s="14">
        <f>IF($AB4072&lt;($D$6-$C$6)/($E$6-$C$6),$C$6+SQRT($AB4072*($E$6-$C$6)*($D$6-$C$6)),$E$6-SQRT((1-$AB4072)*($E$6-$C$6)*($E$6-$D$6)))</f>
        <v/>
      </c>
      <c r="O4072" s="14">
        <f>_xlfn.NORM.INV($AC4072,$C$7,$D$7)</f>
        <v/>
      </c>
      <c r="P4072" s="14">
        <f>$C$8+($D$8-$C$8)*$AD4072</f>
        <v/>
      </c>
      <c r="Q4072" s="14">
        <f>$C$9</f>
        <v/>
      </c>
      <c r="R4072" s="14">
        <f>_xlfn.LOGNORM.INV($AF4072,LN($C$10)-0.5*LN(1+($D$10/$C$10)^2),SQRT(LN(1+($D$10/$C$10)^2)))</f>
        <v/>
      </c>
      <c r="S4072" s="14">
        <f>SUM(M4072:R4072)</f>
        <v/>
      </c>
      <c r="AA4072">
        <f>RAND()</f>
        <v/>
      </c>
      <c r="AB4072">
        <f>RAND()</f>
        <v/>
      </c>
      <c r="AC4072">
        <f>RAND()</f>
        <v/>
      </c>
      <c r="AD4072">
        <f>RAND()</f>
        <v/>
      </c>
      <c r="AE4072">
        <f>RAND()</f>
        <v/>
      </c>
      <c r="AF4072">
        <f>RAND()</f>
        <v/>
      </c>
    </row>
    <row r="4073">
      <c r="M4073" s="14">
        <f>_xlfn.BETA.INV($AA4073,1+4*($D$5-$C$5)/($E$5-$C$5),1+4*($E$5-$D$5)/($E$5-$C$5),$C$5,$E$5)</f>
        <v/>
      </c>
      <c r="N4073" s="14">
        <f>IF($AB4073&lt;($D$6-$C$6)/($E$6-$C$6),$C$6+SQRT($AB4073*($E$6-$C$6)*($D$6-$C$6)),$E$6-SQRT((1-$AB4073)*($E$6-$C$6)*($E$6-$D$6)))</f>
        <v/>
      </c>
      <c r="O4073" s="14">
        <f>_xlfn.NORM.INV($AC4073,$C$7,$D$7)</f>
        <v/>
      </c>
      <c r="P4073" s="14">
        <f>$C$8+($D$8-$C$8)*$AD4073</f>
        <v/>
      </c>
      <c r="Q4073" s="14">
        <f>$C$9</f>
        <v/>
      </c>
      <c r="R4073" s="14">
        <f>_xlfn.LOGNORM.INV($AF4073,LN($C$10)-0.5*LN(1+($D$10/$C$10)^2),SQRT(LN(1+($D$10/$C$10)^2)))</f>
        <v/>
      </c>
      <c r="S4073" s="14">
        <f>SUM(M4073:R4073)</f>
        <v/>
      </c>
      <c r="AA4073">
        <f>RAND()</f>
        <v/>
      </c>
      <c r="AB4073">
        <f>RAND()</f>
        <v/>
      </c>
      <c r="AC4073">
        <f>RAND()</f>
        <v/>
      </c>
      <c r="AD4073">
        <f>RAND()</f>
        <v/>
      </c>
      <c r="AE4073">
        <f>RAND()</f>
        <v/>
      </c>
      <c r="AF4073">
        <f>RAND()</f>
        <v/>
      </c>
    </row>
    <row r="4074">
      <c r="M4074" s="14">
        <f>_xlfn.BETA.INV($AA4074,1+4*($D$5-$C$5)/($E$5-$C$5),1+4*($E$5-$D$5)/($E$5-$C$5),$C$5,$E$5)</f>
        <v/>
      </c>
      <c r="N4074" s="14">
        <f>IF($AB4074&lt;($D$6-$C$6)/($E$6-$C$6),$C$6+SQRT($AB4074*($E$6-$C$6)*($D$6-$C$6)),$E$6-SQRT((1-$AB4074)*($E$6-$C$6)*($E$6-$D$6)))</f>
        <v/>
      </c>
      <c r="O4074" s="14">
        <f>_xlfn.NORM.INV($AC4074,$C$7,$D$7)</f>
        <v/>
      </c>
      <c r="P4074" s="14">
        <f>$C$8+($D$8-$C$8)*$AD4074</f>
        <v/>
      </c>
      <c r="Q4074" s="14">
        <f>$C$9</f>
        <v/>
      </c>
      <c r="R4074" s="14">
        <f>_xlfn.LOGNORM.INV($AF4074,LN($C$10)-0.5*LN(1+($D$10/$C$10)^2),SQRT(LN(1+($D$10/$C$10)^2)))</f>
        <v/>
      </c>
      <c r="S4074" s="14">
        <f>SUM(M4074:R4074)</f>
        <v/>
      </c>
      <c r="AA4074">
        <f>RAND()</f>
        <v/>
      </c>
      <c r="AB4074">
        <f>RAND()</f>
        <v/>
      </c>
      <c r="AC4074">
        <f>RAND()</f>
        <v/>
      </c>
      <c r="AD4074">
        <f>RAND()</f>
        <v/>
      </c>
      <c r="AE4074">
        <f>RAND()</f>
        <v/>
      </c>
      <c r="AF4074">
        <f>RAND()</f>
        <v/>
      </c>
    </row>
    <row r="4075">
      <c r="M4075" s="14">
        <f>_xlfn.BETA.INV($AA4075,1+4*($D$5-$C$5)/($E$5-$C$5),1+4*($E$5-$D$5)/($E$5-$C$5),$C$5,$E$5)</f>
        <v/>
      </c>
      <c r="N4075" s="14">
        <f>IF($AB4075&lt;($D$6-$C$6)/($E$6-$C$6),$C$6+SQRT($AB4075*($E$6-$C$6)*($D$6-$C$6)),$E$6-SQRT((1-$AB4075)*($E$6-$C$6)*($E$6-$D$6)))</f>
        <v/>
      </c>
      <c r="O4075" s="14">
        <f>_xlfn.NORM.INV($AC4075,$C$7,$D$7)</f>
        <v/>
      </c>
      <c r="P4075" s="14">
        <f>$C$8+($D$8-$C$8)*$AD4075</f>
        <v/>
      </c>
      <c r="Q4075" s="14">
        <f>$C$9</f>
        <v/>
      </c>
      <c r="R4075" s="14">
        <f>_xlfn.LOGNORM.INV($AF4075,LN($C$10)-0.5*LN(1+($D$10/$C$10)^2),SQRT(LN(1+($D$10/$C$10)^2)))</f>
        <v/>
      </c>
      <c r="S4075" s="14">
        <f>SUM(M4075:R4075)</f>
        <v/>
      </c>
      <c r="AA4075">
        <f>RAND()</f>
        <v/>
      </c>
      <c r="AB4075">
        <f>RAND()</f>
        <v/>
      </c>
      <c r="AC4075">
        <f>RAND()</f>
        <v/>
      </c>
      <c r="AD4075">
        <f>RAND()</f>
        <v/>
      </c>
      <c r="AE4075">
        <f>RAND()</f>
        <v/>
      </c>
      <c r="AF4075">
        <f>RAND()</f>
        <v/>
      </c>
    </row>
    <row r="4076">
      <c r="M4076" s="14">
        <f>_xlfn.BETA.INV($AA4076,1+4*($D$5-$C$5)/($E$5-$C$5),1+4*($E$5-$D$5)/($E$5-$C$5),$C$5,$E$5)</f>
        <v/>
      </c>
      <c r="N4076" s="14">
        <f>IF($AB4076&lt;($D$6-$C$6)/($E$6-$C$6),$C$6+SQRT($AB4076*($E$6-$C$6)*($D$6-$C$6)),$E$6-SQRT((1-$AB4076)*($E$6-$C$6)*($E$6-$D$6)))</f>
        <v/>
      </c>
      <c r="O4076" s="14">
        <f>_xlfn.NORM.INV($AC4076,$C$7,$D$7)</f>
        <v/>
      </c>
      <c r="P4076" s="14">
        <f>$C$8+($D$8-$C$8)*$AD4076</f>
        <v/>
      </c>
      <c r="Q4076" s="14">
        <f>$C$9</f>
        <v/>
      </c>
      <c r="R4076" s="14">
        <f>_xlfn.LOGNORM.INV($AF4076,LN($C$10)-0.5*LN(1+($D$10/$C$10)^2),SQRT(LN(1+($D$10/$C$10)^2)))</f>
        <v/>
      </c>
      <c r="S4076" s="14">
        <f>SUM(M4076:R4076)</f>
        <v/>
      </c>
      <c r="AA4076">
        <f>RAND()</f>
        <v/>
      </c>
      <c r="AB4076">
        <f>RAND()</f>
        <v/>
      </c>
      <c r="AC4076">
        <f>RAND()</f>
        <v/>
      </c>
      <c r="AD4076">
        <f>RAND()</f>
        <v/>
      </c>
      <c r="AE4076">
        <f>RAND()</f>
        <v/>
      </c>
      <c r="AF4076">
        <f>RAND()</f>
        <v/>
      </c>
    </row>
    <row r="4077">
      <c r="M4077" s="14">
        <f>_xlfn.BETA.INV($AA4077,1+4*($D$5-$C$5)/($E$5-$C$5),1+4*($E$5-$D$5)/($E$5-$C$5),$C$5,$E$5)</f>
        <v/>
      </c>
      <c r="N4077" s="14">
        <f>IF($AB4077&lt;($D$6-$C$6)/($E$6-$C$6),$C$6+SQRT($AB4077*($E$6-$C$6)*($D$6-$C$6)),$E$6-SQRT((1-$AB4077)*($E$6-$C$6)*($E$6-$D$6)))</f>
        <v/>
      </c>
      <c r="O4077" s="14">
        <f>_xlfn.NORM.INV($AC4077,$C$7,$D$7)</f>
        <v/>
      </c>
      <c r="P4077" s="14">
        <f>$C$8+($D$8-$C$8)*$AD4077</f>
        <v/>
      </c>
      <c r="Q4077" s="14">
        <f>$C$9</f>
        <v/>
      </c>
      <c r="R4077" s="14">
        <f>_xlfn.LOGNORM.INV($AF4077,LN($C$10)-0.5*LN(1+($D$10/$C$10)^2),SQRT(LN(1+($D$10/$C$10)^2)))</f>
        <v/>
      </c>
      <c r="S4077" s="14">
        <f>SUM(M4077:R4077)</f>
        <v/>
      </c>
      <c r="AA4077">
        <f>RAND()</f>
        <v/>
      </c>
      <c r="AB4077">
        <f>RAND()</f>
        <v/>
      </c>
      <c r="AC4077">
        <f>RAND()</f>
        <v/>
      </c>
      <c r="AD4077">
        <f>RAND()</f>
        <v/>
      </c>
      <c r="AE4077">
        <f>RAND()</f>
        <v/>
      </c>
      <c r="AF4077">
        <f>RAND()</f>
        <v/>
      </c>
    </row>
    <row r="4078">
      <c r="M4078" s="14">
        <f>_xlfn.BETA.INV($AA4078,1+4*($D$5-$C$5)/($E$5-$C$5),1+4*($E$5-$D$5)/($E$5-$C$5),$C$5,$E$5)</f>
        <v/>
      </c>
      <c r="N4078" s="14">
        <f>IF($AB4078&lt;($D$6-$C$6)/($E$6-$C$6),$C$6+SQRT($AB4078*($E$6-$C$6)*($D$6-$C$6)),$E$6-SQRT((1-$AB4078)*($E$6-$C$6)*($E$6-$D$6)))</f>
        <v/>
      </c>
      <c r="O4078" s="14">
        <f>_xlfn.NORM.INV($AC4078,$C$7,$D$7)</f>
        <v/>
      </c>
      <c r="P4078" s="14">
        <f>$C$8+($D$8-$C$8)*$AD4078</f>
        <v/>
      </c>
      <c r="Q4078" s="14">
        <f>$C$9</f>
        <v/>
      </c>
      <c r="R4078" s="14">
        <f>_xlfn.LOGNORM.INV($AF4078,LN($C$10)-0.5*LN(1+($D$10/$C$10)^2),SQRT(LN(1+($D$10/$C$10)^2)))</f>
        <v/>
      </c>
      <c r="S4078" s="14">
        <f>SUM(M4078:R4078)</f>
        <v/>
      </c>
      <c r="AA4078">
        <f>RAND()</f>
        <v/>
      </c>
      <c r="AB4078">
        <f>RAND()</f>
        <v/>
      </c>
      <c r="AC4078">
        <f>RAND()</f>
        <v/>
      </c>
      <c r="AD4078">
        <f>RAND()</f>
        <v/>
      </c>
      <c r="AE4078">
        <f>RAND()</f>
        <v/>
      </c>
      <c r="AF4078">
        <f>RAND()</f>
        <v/>
      </c>
    </row>
    <row r="4079">
      <c r="M4079" s="14">
        <f>_xlfn.BETA.INV($AA4079,1+4*($D$5-$C$5)/($E$5-$C$5),1+4*($E$5-$D$5)/($E$5-$C$5),$C$5,$E$5)</f>
        <v/>
      </c>
      <c r="N4079" s="14">
        <f>IF($AB4079&lt;($D$6-$C$6)/($E$6-$C$6),$C$6+SQRT($AB4079*($E$6-$C$6)*($D$6-$C$6)),$E$6-SQRT((1-$AB4079)*($E$6-$C$6)*($E$6-$D$6)))</f>
        <v/>
      </c>
      <c r="O4079" s="14">
        <f>_xlfn.NORM.INV($AC4079,$C$7,$D$7)</f>
        <v/>
      </c>
      <c r="P4079" s="14">
        <f>$C$8+($D$8-$C$8)*$AD4079</f>
        <v/>
      </c>
      <c r="Q4079" s="14">
        <f>$C$9</f>
        <v/>
      </c>
      <c r="R4079" s="14">
        <f>_xlfn.LOGNORM.INV($AF4079,LN($C$10)-0.5*LN(1+($D$10/$C$10)^2),SQRT(LN(1+($D$10/$C$10)^2)))</f>
        <v/>
      </c>
      <c r="S4079" s="14">
        <f>SUM(M4079:R4079)</f>
        <v/>
      </c>
      <c r="AA4079">
        <f>RAND()</f>
        <v/>
      </c>
      <c r="AB4079">
        <f>RAND()</f>
        <v/>
      </c>
      <c r="AC4079">
        <f>RAND()</f>
        <v/>
      </c>
      <c r="AD4079">
        <f>RAND()</f>
        <v/>
      </c>
      <c r="AE4079">
        <f>RAND()</f>
        <v/>
      </c>
      <c r="AF4079">
        <f>RAND()</f>
        <v/>
      </c>
    </row>
    <row r="4080">
      <c r="M4080" s="14">
        <f>_xlfn.BETA.INV($AA4080,1+4*($D$5-$C$5)/($E$5-$C$5),1+4*($E$5-$D$5)/($E$5-$C$5),$C$5,$E$5)</f>
        <v/>
      </c>
      <c r="N4080" s="14">
        <f>IF($AB4080&lt;($D$6-$C$6)/($E$6-$C$6),$C$6+SQRT($AB4080*($E$6-$C$6)*($D$6-$C$6)),$E$6-SQRT((1-$AB4080)*($E$6-$C$6)*($E$6-$D$6)))</f>
        <v/>
      </c>
      <c r="O4080" s="14">
        <f>_xlfn.NORM.INV($AC4080,$C$7,$D$7)</f>
        <v/>
      </c>
      <c r="P4080" s="14">
        <f>$C$8+($D$8-$C$8)*$AD4080</f>
        <v/>
      </c>
      <c r="Q4080" s="14">
        <f>$C$9</f>
        <v/>
      </c>
      <c r="R4080" s="14">
        <f>_xlfn.LOGNORM.INV($AF4080,LN($C$10)-0.5*LN(1+($D$10/$C$10)^2),SQRT(LN(1+($D$10/$C$10)^2)))</f>
        <v/>
      </c>
      <c r="S4080" s="14">
        <f>SUM(M4080:R4080)</f>
        <v/>
      </c>
      <c r="AA4080">
        <f>RAND()</f>
        <v/>
      </c>
      <c r="AB4080">
        <f>RAND()</f>
        <v/>
      </c>
      <c r="AC4080">
        <f>RAND()</f>
        <v/>
      </c>
      <c r="AD4080">
        <f>RAND()</f>
        <v/>
      </c>
      <c r="AE4080">
        <f>RAND()</f>
        <v/>
      </c>
      <c r="AF4080">
        <f>RAND()</f>
        <v/>
      </c>
    </row>
    <row r="4081">
      <c r="M4081" s="14">
        <f>_xlfn.BETA.INV($AA4081,1+4*($D$5-$C$5)/($E$5-$C$5),1+4*($E$5-$D$5)/($E$5-$C$5),$C$5,$E$5)</f>
        <v/>
      </c>
      <c r="N4081" s="14">
        <f>IF($AB4081&lt;($D$6-$C$6)/($E$6-$C$6),$C$6+SQRT($AB4081*($E$6-$C$6)*($D$6-$C$6)),$E$6-SQRT((1-$AB4081)*($E$6-$C$6)*($E$6-$D$6)))</f>
        <v/>
      </c>
      <c r="O4081" s="14">
        <f>_xlfn.NORM.INV($AC4081,$C$7,$D$7)</f>
        <v/>
      </c>
      <c r="P4081" s="14">
        <f>$C$8+($D$8-$C$8)*$AD4081</f>
        <v/>
      </c>
      <c r="Q4081" s="14">
        <f>$C$9</f>
        <v/>
      </c>
      <c r="R4081" s="14">
        <f>_xlfn.LOGNORM.INV($AF4081,LN($C$10)-0.5*LN(1+($D$10/$C$10)^2),SQRT(LN(1+($D$10/$C$10)^2)))</f>
        <v/>
      </c>
      <c r="S4081" s="14">
        <f>SUM(M4081:R4081)</f>
        <v/>
      </c>
      <c r="AA4081">
        <f>RAND()</f>
        <v/>
      </c>
      <c r="AB4081">
        <f>RAND()</f>
        <v/>
      </c>
      <c r="AC4081">
        <f>RAND()</f>
        <v/>
      </c>
      <c r="AD4081">
        <f>RAND()</f>
        <v/>
      </c>
      <c r="AE4081">
        <f>RAND()</f>
        <v/>
      </c>
      <c r="AF4081">
        <f>RAND()</f>
        <v/>
      </c>
    </row>
    <row r="4082">
      <c r="M4082" s="14">
        <f>_xlfn.BETA.INV($AA4082,1+4*($D$5-$C$5)/($E$5-$C$5),1+4*($E$5-$D$5)/($E$5-$C$5),$C$5,$E$5)</f>
        <v/>
      </c>
      <c r="N4082" s="14">
        <f>IF($AB4082&lt;($D$6-$C$6)/($E$6-$C$6),$C$6+SQRT($AB4082*($E$6-$C$6)*($D$6-$C$6)),$E$6-SQRT((1-$AB4082)*($E$6-$C$6)*($E$6-$D$6)))</f>
        <v/>
      </c>
      <c r="O4082" s="14">
        <f>_xlfn.NORM.INV($AC4082,$C$7,$D$7)</f>
        <v/>
      </c>
      <c r="P4082" s="14">
        <f>$C$8+($D$8-$C$8)*$AD4082</f>
        <v/>
      </c>
      <c r="Q4082" s="14">
        <f>$C$9</f>
        <v/>
      </c>
      <c r="R4082" s="14">
        <f>_xlfn.LOGNORM.INV($AF4082,LN($C$10)-0.5*LN(1+($D$10/$C$10)^2),SQRT(LN(1+($D$10/$C$10)^2)))</f>
        <v/>
      </c>
      <c r="S4082" s="14">
        <f>SUM(M4082:R4082)</f>
        <v/>
      </c>
      <c r="AA4082">
        <f>RAND()</f>
        <v/>
      </c>
      <c r="AB4082">
        <f>RAND()</f>
        <v/>
      </c>
      <c r="AC4082">
        <f>RAND()</f>
        <v/>
      </c>
      <c r="AD4082">
        <f>RAND()</f>
        <v/>
      </c>
      <c r="AE4082">
        <f>RAND()</f>
        <v/>
      </c>
      <c r="AF4082">
        <f>RAND()</f>
        <v/>
      </c>
    </row>
    <row r="4083">
      <c r="M4083" s="14">
        <f>_xlfn.BETA.INV($AA4083,1+4*($D$5-$C$5)/($E$5-$C$5),1+4*($E$5-$D$5)/($E$5-$C$5),$C$5,$E$5)</f>
        <v/>
      </c>
      <c r="N4083" s="14">
        <f>IF($AB4083&lt;($D$6-$C$6)/($E$6-$C$6),$C$6+SQRT($AB4083*($E$6-$C$6)*($D$6-$C$6)),$E$6-SQRT((1-$AB4083)*($E$6-$C$6)*($E$6-$D$6)))</f>
        <v/>
      </c>
      <c r="O4083" s="14">
        <f>_xlfn.NORM.INV($AC4083,$C$7,$D$7)</f>
        <v/>
      </c>
      <c r="P4083" s="14">
        <f>$C$8+($D$8-$C$8)*$AD4083</f>
        <v/>
      </c>
      <c r="Q4083" s="14">
        <f>$C$9</f>
        <v/>
      </c>
      <c r="R4083" s="14">
        <f>_xlfn.LOGNORM.INV($AF4083,LN($C$10)-0.5*LN(1+($D$10/$C$10)^2),SQRT(LN(1+($D$10/$C$10)^2)))</f>
        <v/>
      </c>
      <c r="S4083" s="14">
        <f>SUM(M4083:R4083)</f>
        <v/>
      </c>
      <c r="AA4083">
        <f>RAND()</f>
        <v/>
      </c>
      <c r="AB4083">
        <f>RAND()</f>
        <v/>
      </c>
      <c r="AC4083">
        <f>RAND()</f>
        <v/>
      </c>
      <c r="AD4083">
        <f>RAND()</f>
        <v/>
      </c>
      <c r="AE4083">
        <f>RAND()</f>
        <v/>
      </c>
      <c r="AF4083">
        <f>RAND()</f>
        <v/>
      </c>
    </row>
    <row r="4084">
      <c r="M4084" s="14">
        <f>_xlfn.BETA.INV($AA4084,1+4*($D$5-$C$5)/($E$5-$C$5),1+4*($E$5-$D$5)/($E$5-$C$5),$C$5,$E$5)</f>
        <v/>
      </c>
      <c r="N4084" s="14">
        <f>IF($AB4084&lt;($D$6-$C$6)/($E$6-$C$6),$C$6+SQRT($AB4084*($E$6-$C$6)*($D$6-$C$6)),$E$6-SQRT((1-$AB4084)*($E$6-$C$6)*($E$6-$D$6)))</f>
        <v/>
      </c>
      <c r="O4084" s="14">
        <f>_xlfn.NORM.INV($AC4084,$C$7,$D$7)</f>
        <v/>
      </c>
      <c r="P4084" s="14">
        <f>$C$8+($D$8-$C$8)*$AD4084</f>
        <v/>
      </c>
      <c r="Q4084" s="14">
        <f>$C$9</f>
        <v/>
      </c>
      <c r="R4084" s="14">
        <f>_xlfn.LOGNORM.INV($AF4084,LN($C$10)-0.5*LN(1+($D$10/$C$10)^2),SQRT(LN(1+($D$10/$C$10)^2)))</f>
        <v/>
      </c>
      <c r="S4084" s="14">
        <f>SUM(M4084:R4084)</f>
        <v/>
      </c>
      <c r="AA4084">
        <f>RAND()</f>
        <v/>
      </c>
      <c r="AB4084">
        <f>RAND()</f>
        <v/>
      </c>
      <c r="AC4084">
        <f>RAND()</f>
        <v/>
      </c>
      <c r="AD4084">
        <f>RAND()</f>
        <v/>
      </c>
      <c r="AE4084">
        <f>RAND()</f>
        <v/>
      </c>
      <c r="AF4084">
        <f>RAND()</f>
        <v/>
      </c>
    </row>
    <row r="4085">
      <c r="M4085" s="14">
        <f>_xlfn.BETA.INV($AA4085,1+4*($D$5-$C$5)/($E$5-$C$5),1+4*($E$5-$D$5)/($E$5-$C$5),$C$5,$E$5)</f>
        <v/>
      </c>
      <c r="N4085" s="14">
        <f>IF($AB4085&lt;($D$6-$C$6)/($E$6-$C$6),$C$6+SQRT($AB4085*($E$6-$C$6)*($D$6-$C$6)),$E$6-SQRT((1-$AB4085)*($E$6-$C$6)*($E$6-$D$6)))</f>
        <v/>
      </c>
      <c r="O4085" s="14">
        <f>_xlfn.NORM.INV($AC4085,$C$7,$D$7)</f>
        <v/>
      </c>
      <c r="P4085" s="14">
        <f>$C$8+($D$8-$C$8)*$AD4085</f>
        <v/>
      </c>
      <c r="Q4085" s="14">
        <f>$C$9</f>
        <v/>
      </c>
      <c r="R4085" s="14">
        <f>_xlfn.LOGNORM.INV($AF4085,LN($C$10)-0.5*LN(1+($D$10/$C$10)^2),SQRT(LN(1+($D$10/$C$10)^2)))</f>
        <v/>
      </c>
      <c r="S4085" s="14">
        <f>SUM(M4085:R4085)</f>
        <v/>
      </c>
      <c r="AA4085">
        <f>RAND()</f>
        <v/>
      </c>
      <c r="AB4085">
        <f>RAND()</f>
        <v/>
      </c>
      <c r="AC4085">
        <f>RAND()</f>
        <v/>
      </c>
      <c r="AD4085">
        <f>RAND()</f>
        <v/>
      </c>
      <c r="AE4085">
        <f>RAND()</f>
        <v/>
      </c>
      <c r="AF4085">
        <f>RAND()</f>
        <v/>
      </c>
    </row>
    <row r="4086">
      <c r="M4086" s="14">
        <f>_xlfn.BETA.INV($AA4086,1+4*($D$5-$C$5)/($E$5-$C$5),1+4*($E$5-$D$5)/($E$5-$C$5),$C$5,$E$5)</f>
        <v/>
      </c>
      <c r="N4086" s="14">
        <f>IF($AB4086&lt;($D$6-$C$6)/($E$6-$C$6),$C$6+SQRT($AB4086*($E$6-$C$6)*($D$6-$C$6)),$E$6-SQRT((1-$AB4086)*($E$6-$C$6)*($E$6-$D$6)))</f>
        <v/>
      </c>
      <c r="O4086" s="14">
        <f>_xlfn.NORM.INV($AC4086,$C$7,$D$7)</f>
        <v/>
      </c>
      <c r="P4086" s="14">
        <f>$C$8+($D$8-$C$8)*$AD4086</f>
        <v/>
      </c>
      <c r="Q4086" s="14">
        <f>$C$9</f>
        <v/>
      </c>
      <c r="R4086" s="14">
        <f>_xlfn.LOGNORM.INV($AF4086,LN($C$10)-0.5*LN(1+($D$10/$C$10)^2),SQRT(LN(1+($D$10/$C$10)^2)))</f>
        <v/>
      </c>
      <c r="S4086" s="14">
        <f>SUM(M4086:R4086)</f>
        <v/>
      </c>
      <c r="AA4086">
        <f>RAND()</f>
        <v/>
      </c>
      <c r="AB4086">
        <f>RAND()</f>
        <v/>
      </c>
      <c r="AC4086">
        <f>RAND()</f>
        <v/>
      </c>
      <c r="AD4086">
        <f>RAND()</f>
        <v/>
      </c>
      <c r="AE4086">
        <f>RAND()</f>
        <v/>
      </c>
      <c r="AF4086">
        <f>RAND()</f>
        <v/>
      </c>
    </row>
    <row r="4087">
      <c r="M4087" s="14">
        <f>_xlfn.BETA.INV($AA4087,1+4*($D$5-$C$5)/($E$5-$C$5),1+4*($E$5-$D$5)/($E$5-$C$5),$C$5,$E$5)</f>
        <v/>
      </c>
      <c r="N4087" s="14">
        <f>IF($AB4087&lt;($D$6-$C$6)/($E$6-$C$6),$C$6+SQRT($AB4087*($E$6-$C$6)*($D$6-$C$6)),$E$6-SQRT((1-$AB4087)*($E$6-$C$6)*($E$6-$D$6)))</f>
        <v/>
      </c>
      <c r="O4087" s="14">
        <f>_xlfn.NORM.INV($AC4087,$C$7,$D$7)</f>
        <v/>
      </c>
      <c r="P4087" s="14">
        <f>$C$8+($D$8-$C$8)*$AD4087</f>
        <v/>
      </c>
      <c r="Q4087" s="14">
        <f>$C$9</f>
        <v/>
      </c>
      <c r="R4087" s="14">
        <f>_xlfn.LOGNORM.INV($AF4087,LN($C$10)-0.5*LN(1+($D$10/$C$10)^2),SQRT(LN(1+($D$10/$C$10)^2)))</f>
        <v/>
      </c>
      <c r="S4087" s="14">
        <f>SUM(M4087:R4087)</f>
        <v/>
      </c>
      <c r="AA4087">
        <f>RAND()</f>
        <v/>
      </c>
      <c r="AB4087">
        <f>RAND()</f>
        <v/>
      </c>
      <c r="AC4087">
        <f>RAND()</f>
        <v/>
      </c>
      <c r="AD4087">
        <f>RAND()</f>
        <v/>
      </c>
      <c r="AE4087">
        <f>RAND()</f>
        <v/>
      </c>
      <c r="AF4087">
        <f>RAND()</f>
        <v/>
      </c>
    </row>
    <row r="4088">
      <c r="M4088" s="14">
        <f>_xlfn.BETA.INV($AA4088,1+4*($D$5-$C$5)/($E$5-$C$5),1+4*($E$5-$D$5)/($E$5-$C$5),$C$5,$E$5)</f>
        <v/>
      </c>
      <c r="N4088" s="14">
        <f>IF($AB4088&lt;($D$6-$C$6)/($E$6-$C$6),$C$6+SQRT($AB4088*($E$6-$C$6)*($D$6-$C$6)),$E$6-SQRT((1-$AB4088)*($E$6-$C$6)*($E$6-$D$6)))</f>
        <v/>
      </c>
      <c r="O4088" s="14">
        <f>_xlfn.NORM.INV($AC4088,$C$7,$D$7)</f>
        <v/>
      </c>
      <c r="P4088" s="14">
        <f>$C$8+($D$8-$C$8)*$AD4088</f>
        <v/>
      </c>
      <c r="Q4088" s="14">
        <f>$C$9</f>
        <v/>
      </c>
      <c r="R4088" s="14">
        <f>_xlfn.LOGNORM.INV($AF4088,LN($C$10)-0.5*LN(1+($D$10/$C$10)^2),SQRT(LN(1+($D$10/$C$10)^2)))</f>
        <v/>
      </c>
      <c r="S4088" s="14">
        <f>SUM(M4088:R4088)</f>
        <v/>
      </c>
      <c r="AA4088">
        <f>RAND()</f>
        <v/>
      </c>
      <c r="AB4088">
        <f>RAND()</f>
        <v/>
      </c>
      <c r="AC4088">
        <f>RAND()</f>
        <v/>
      </c>
      <c r="AD4088">
        <f>RAND()</f>
        <v/>
      </c>
      <c r="AE4088">
        <f>RAND()</f>
        <v/>
      </c>
      <c r="AF4088">
        <f>RAND()</f>
        <v/>
      </c>
    </row>
    <row r="4089">
      <c r="M4089" s="14">
        <f>_xlfn.BETA.INV($AA4089,1+4*($D$5-$C$5)/($E$5-$C$5),1+4*($E$5-$D$5)/($E$5-$C$5),$C$5,$E$5)</f>
        <v/>
      </c>
      <c r="N4089" s="14">
        <f>IF($AB4089&lt;($D$6-$C$6)/($E$6-$C$6),$C$6+SQRT($AB4089*($E$6-$C$6)*($D$6-$C$6)),$E$6-SQRT((1-$AB4089)*($E$6-$C$6)*($E$6-$D$6)))</f>
        <v/>
      </c>
      <c r="O4089" s="14">
        <f>_xlfn.NORM.INV($AC4089,$C$7,$D$7)</f>
        <v/>
      </c>
      <c r="P4089" s="14">
        <f>$C$8+($D$8-$C$8)*$AD4089</f>
        <v/>
      </c>
      <c r="Q4089" s="14">
        <f>$C$9</f>
        <v/>
      </c>
      <c r="R4089" s="14">
        <f>_xlfn.LOGNORM.INV($AF4089,LN($C$10)-0.5*LN(1+($D$10/$C$10)^2),SQRT(LN(1+($D$10/$C$10)^2)))</f>
        <v/>
      </c>
      <c r="S4089" s="14">
        <f>SUM(M4089:R4089)</f>
        <v/>
      </c>
      <c r="AA4089">
        <f>RAND()</f>
        <v/>
      </c>
      <c r="AB4089">
        <f>RAND()</f>
        <v/>
      </c>
      <c r="AC4089">
        <f>RAND()</f>
        <v/>
      </c>
      <c r="AD4089">
        <f>RAND()</f>
        <v/>
      </c>
      <c r="AE4089">
        <f>RAND()</f>
        <v/>
      </c>
      <c r="AF4089">
        <f>RAND()</f>
        <v/>
      </c>
    </row>
    <row r="4090">
      <c r="M4090" s="14">
        <f>_xlfn.BETA.INV($AA4090,1+4*($D$5-$C$5)/($E$5-$C$5),1+4*($E$5-$D$5)/($E$5-$C$5),$C$5,$E$5)</f>
        <v/>
      </c>
      <c r="N4090" s="14">
        <f>IF($AB4090&lt;($D$6-$C$6)/($E$6-$C$6),$C$6+SQRT($AB4090*($E$6-$C$6)*($D$6-$C$6)),$E$6-SQRT((1-$AB4090)*($E$6-$C$6)*($E$6-$D$6)))</f>
        <v/>
      </c>
      <c r="O4090" s="14">
        <f>_xlfn.NORM.INV($AC4090,$C$7,$D$7)</f>
        <v/>
      </c>
      <c r="P4090" s="14">
        <f>$C$8+($D$8-$C$8)*$AD4090</f>
        <v/>
      </c>
      <c r="Q4090" s="14">
        <f>$C$9</f>
        <v/>
      </c>
      <c r="R4090" s="14">
        <f>_xlfn.LOGNORM.INV($AF4090,LN($C$10)-0.5*LN(1+($D$10/$C$10)^2),SQRT(LN(1+($D$10/$C$10)^2)))</f>
        <v/>
      </c>
      <c r="S4090" s="14">
        <f>SUM(M4090:R4090)</f>
        <v/>
      </c>
      <c r="AA4090">
        <f>RAND()</f>
        <v/>
      </c>
      <c r="AB4090">
        <f>RAND()</f>
        <v/>
      </c>
      <c r="AC4090">
        <f>RAND()</f>
        <v/>
      </c>
      <c r="AD4090">
        <f>RAND()</f>
        <v/>
      </c>
      <c r="AE4090">
        <f>RAND()</f>
        <v/>
      </c>
      <c r="AF4090">
        <f>RAND()</f>
        <v/>
      </c>
    </row>
    <row r="4091">
      <c r="M4091" s="14">
        <f>_xlfn.BETA.INV($AA4091,1+4*($D$5-$C$5)/($E$5-$C$5),1+4*($E$5-$D$5)/($E$5-$C$5),$C$5,$E$5)</f>
        <v/>
      </c>
      <c r="N4091" s="14">
        <f>IF($AB4091&lt;($D$6-$C$6)/($E$6-$C$6),$C$6+SQRT($AB4091*($E$6-$C$6)*($D$6-$C$6)),$E$6-SQRT((1-$AB4091)*($E$6-$C$6)*($E$6-$D$6)))</f>
        <v/>
      </c>
      <c r="O4091" s="14">
        <f>_xlfn.NORM.INV($AC4091,$C$7,$D$7)</f>
        <v/>
      </c>
      <c r="P4091" s="14">
        <f>$C$8+($D$8-$C$8)*$AD4091</f>
        <v/>
      </c>
      <c r="Q4091" s="14">
        <f>$C$9</f>
        <v/>
      </c>
      <c r="R4091" s="14">
        <f>_xlfn.LOGNORM.INV($AF4091,LN($C$10)-0.5*LN(1+($D$10/$C$10)^2),SQRT(LN(1+($D$10/$C$10)^2)))</f>
        <v/>
      </c>
      <c r="S4091" s="14">
        <f>SUM(M4091:R4091)</f>
        <v/>
      </c>
      <c r="AA4091">
        <f>RAND()</f>
        <v/>
      </c>
      <c r="AB4091">
        <f>RAND()</f>
        <v/>
      </c>
      <c r="AC4091">
        <f>RAND()</f>
        <v/>
      </c>
      <c r="AD4091">
        <f>RAND()</f>
        <v/>
      </c>
      <c r="AE4091">
        <f>RAND()</f>
        <v/>
      </c>
      <c r="AF4091">
        <f>RAND()</f>
        <v/>
      </c>
    </row>
    <row r="4092">
      <c r="M4092" s="14">
        <f>_xlfn.BETA.INV($AA4092,1+4*($D$5-$C$5)/($E$5-$C$5),1+4*($E$5-$D$5)/($E$5-$C$5),$C$5,$E$5)</f>
        <v/>
      </c>
      <c r="N4092" s="14">
        <f>IF($AB4092&lt;($D$6-$C$6)/($E$6-$C$6),$C$6+SQRT($AB4092*($E$6-$C$6)*($D$6-$C$6)),$E$6-SQRT((1-$AB4092)*($E$6-$C$6)*($E$6-$D$6)))</f>
        <v/>
      </c>
      <c r="O4092" s="14">
        <f>_xlfn.NORM.INV($AC4092,$C$7,$D$7)</f>
        <v/>
      </c>
      <c r="P4092" s="14">
        <f>$C$8+($D$8-$C$8)*$AD4092</f>
        <v/>
      </c>
      <c r="Q4092" s="14">
        <f>$C$9</f>
        <v/>
      </c>
      <c r="R4092" s="14">
        <f>_xlfn.LOGNORM.INV($AF4092,LN($C$10)-0.5*LN(1+($D$10/$C$10)^2),SQRT(LN(1+($D$10/$C$10)^2)))</f>
        <v/>
      </c>
      <c r="S4092" s="14">
        <f>SUM(M4092:R4092)</f>
        <v/>
      </c>
      <c r="AA4092">
        <f>RAND()</f>
        <v/>
      </c>
      <c r="AB4092">
        <f>RAND()</f>
        <v/>
      </c>
      <c r="AC4092">
        <f>RAND()</f>
        <v/>
      </c>
      <c r="AD4092">
        <f>RAND()</f>
        <v/>
      </c>
      <c r="AE4092">
        <f>RAND()</f>
        <v/>
      </c>
      <c r="AF4092">
        <f>RAND()</f>
        <v/>
      </c>
    </row>
    <row r="4093">
      <c r="M4093" s="14">
        <f>_xlfn.BETA.INV($AA4093,1+4*($D$5-$C$5)/($E$5-$C$5),1+4*($E$5-$D$5)/($E$5-$C$5),$C$5,$E$5)</f>
        <v/>
      </c>
      <c r="N4093" s="14">
        <f>IF($AB4093&lt;($D$6-$C$6)/($E$6-$C$6),$C$6+SQRT($AB4093*($E$6-$C$6)*($D$6-$C$6)),$E$6-SQRT((1-$AB4093)*($E$6-$C$6)*($E$6-$D$6)))</f>
        <v/>
      </c>
      <c r="O4093" s="14">
        <f>_xlfn.NORM.INV($AC4093,$C$7,$D$7)</f>
        <v/>
      </c>
      <c r="P4093" s="14">
        <f>$C$8+($D$8-$C$8)*$AD4093</f>
        <v/>
      </c>
      <c r="Q4093" s="14">
        <f>$C$9</f>
        <v/>
      </c>
      <c r="R4093" s="14">
        <f>_xlfn.LOGNORM.INV($AF4093,LN($C$10)-0.5*LN(1+($D$10/$C$10)^2),SQRT(LN(1+($D$10/$C$10)^2)))</f>
        <v/>
      </c>
      <c r="S4093" s="14">
        <f>SUM(M4093:R4093)</f>
        <v/>
      </c>
      <c r="AA4093">
        <f>RAND()</f>
        <v/>
      </c>
      <c r="AB4093">
        <f>RAND()</f>
        <v/>
      </c>
      <c r="AC4093">
        <f>RAND()</f>
        <v/>
      </c>
      <c r="AD4093">
        <f>RAND()</f>
        <v/>
      </c>
      <c r="AE4093">
        <f>RAND()</f>
        <v/>
      </c>
      <c r="AF4093">
        <f>RAND()</f>
        <v/>
      </c>
    </row>
    <row r="4094">
      <c r="M4094" s="14">
        <f>_xlfn.BETA.INV($AA4094,1+4*($D$5-$C$5)/($E$5-$C$5),1+4*($E$5-$D$5)/($E$5-$C$5),$C$5,$E$5)</f>
        <v/>
      </c>
      <c r="N4094" s="14">
        <f>IF($AB4094&lt;($D$6-$C$6)/($E$6-$C$6),$C$6+SQRT($AB4094*($E$6-$C$6)*($D$6-$C$6)),$E$6-SQRT((1-$AB4094)*($E$6-$C$6)*($E$6-$D$6)))</f>
        <v/>
      </c>
      <c r="O4094" s="14">
        <f>_xlfn.NORM.INV($AC4094,$C$7,$D$7)</f>
        <v/>
      </c>
      <c r="P4094" s="14">
        <f>$C$8+($D$8-$C$8)*$AD4094</f>
        <v/>
      </c>
      <c r="Q4094" s="14">
        <f>$C$9</f>
        <v/>
      </c>
      <c r="R4094" s="14">
        <f>_xlfn.LOGNORM.INV($AF4094,LN($C$10)-0.5*LN(1+($D$10/$C$10)^2),SQRT(LN(1+($D$10/$C$10)^2)))</f>
        <v/>
      </c>
      <c r="S4094" s="14">
        <f>SUM(M4094:R4094)</f>
        <v/>
      </c>
      <c r="AA4094">
        <f>RAND()</f>
        <v/>
      </c>
      <c r="AB4094">
        <f>RAND()</f>
        <v/>
      </c>
      <c r="AC4094">
        <f>RAND()</f>
        <v/>
      </c>
      <c r="AD4094">
        <f>RAND()</f>
        <v/>
      </c>
      <c r="AE4094">
        <f>RAND()</f>
        <v/>
      </c>
      <c r="AF4094">
        <f>RAND()</f>
        <v/>
      </c>
    </row>
    <row r="4095">
      <c r="M4095" s="14">
        <f>_xlfn.BETA.INV($AA4095,1+4*($D$5-$C$5)/($E$5-$C$5),1+4*($E$5-$D$5)/($E$5-$C$5),$C$5,$E$5)</f>
        <v/>
      </c>
      <c r="N4095" s="14">
        <f>IF($AB4095&lt;($D$6-$C$6)/($E$6-$C$6),$C$6+SQRT($AB4095*($E$6-$C$6)*($D$6-$C$6)),$E$6-SQRT((1-$AB4095)*($E$6-$C$6)*($E$6-$D$6)))</f>
        <v/>
      </c>
      <c r="O4095" s="14">
        <f>_xlfn.NORM.INV($AC4095,$C$7,$D$7)</f>
        <v/>
      </c>
      <c r="P4095" s="14">
        <f>$C$8+($D$8-$C$8)*$AD4095</f>
        <v/>
      </c>
      <c r="Q4095" s="14">
        <f>$C$9</f>
        <v/>
      </c>
      <c r="R4095" s="14">
        <f>_xlfn.LOGNORM.INV($AF4095,LN($C$10)-0.5*LN(1+($D$10/$C$10)^2),SQRT(LN(1+($D$10/$C$10)^2)))</f>
        <v/>
      </c>
      <c r="S4095" s="14">
        <f>SUM(M4095:R4095)</f>
        <v/>
      </c>
      <c r="AA4095">
        <f>RAND()</f>
        <v/>
      </c>
      <c r="AB4095">
        <f>RAND()</f>
        <v/>
      </c>
      <c r="AC4095">
        <f>RAND()</f>
        <v/>
      </c>
      <c r="AD4095">
        <f>RAND()</f>
        <v/>
      </c>
      <c r="AE4095">
        <f>RAND()</f>
        <v/>
      </c>
      <c r="AF4095">
        <f>RAND()</f>
        <v/>
      </c>
    </row>
    <row r="4096">
      <c r="M4096" s="14">
        <f>_xlfn.BETA.INV($AA4096,1+4*($D$5-$C$5)/($E$5-$C$5),1+4*($E$5-$D$5)/($E$5-$C$5),$C$5,$E$5)</f>
        <v/>
      </c>
      <c r="N4096" s="14">
        <f>IF($AB4096&lt;($D$6-$C$6)/($E$6-$C$6),$C$6+SQRT($AB4096*($E$6-$C$6)*($D$6-$C$6)),$E$6-SQRT((1-$AB4096)*($E$6-$C$6)*($E$6-$D$6)))</f>
        <v/>
      </c>
      <c r="O4096" s="14">
        <f>_xlfn.NORM.INV($AC4096,$C$7,$D$7)</f>
        <v/>
      </c>
      <c r="P4096" s="14">
        <f>$C$8+($D$8-$C$8)*$AD4096</f>
        <v/>
      </c>
      <c r="Q4096" s="14">
        <f>$C$9</f>
        <v/>
      </c>
      <c r="R4096" s="14">
        <f>_xlfn.LOGNORM.INV($AF4096,LN($C$10)-0.5*LN(1+($D$10/$C$10)^2),SQRT(LN(1+($D$10/$C$10)^2)))</f>
        <v/>
      </c>
      <c r="S4096" s="14">
        <f>SUM(M4096:R4096)</f>
        <v/>
      </c>
      <c r="AA4096">
        <f>RAND()</f>
        <v/>
      </c>
      <c r="AB4096">
        <f>RAND()</f>
        <v/>
      </c>
      <c r="AC4096">
        <f>RAND()</f>
        <v/>
      </c>
      <c r="AD4096">
        <f>RAND()</f>
        <v/>
      </c>
      <c r="AE4096">
        <f>RAND()</f>
        <v/>
      </c>
      <c r="AF4096">
        <f>RAND()</f>
        <v/>
      </c>
    </row>
    <row r="4097">
      <c r="M4097" s="14">
        <f>_xlfn.BETA.INV($AA4097,1+4*($D$5-$C$5)/($E$5-$C$5),1+4*($E$5-$D$5)/($E$5-$C$5),$C$5,$E$5)</f>
        <v/>
      </c>
      <c r="N4097" s="14">
        <f>IF($AB4097&lt;($D$6-$C$6)/($E$6-$C$6),$C$6+SQRT($AB4097*($E$6-$C$6)*($D$6-$C$6)),$E$6-SQRT((1-$AB4097)*($E$6-$C$6)*($E$6-$D$6)))</f>
        <v/>
      </c>
      <c r="O4097" s="14">
        <f>_xlfn.NORM.INV($AC4097,$C$7,$D$7)</f>
        <v/>
      </c>
      <c r="P4097" s="14">
        <f>$C$8+($D$8-$C$8)*$AD4097</f>
        <v/>
      </c>
      <c r="Q4097" s="14">
        <f>$C$9</f>
        <v/>
      </c>
      <c r="R4097" s="14">
        <f>_xlfn.LOGNORM.INV($AF4097,LN($C$10)-0.5*LN(1+($D$10/$C$10)^2),SQRT(LN(1+($D$10/$C$10)^2)))</f>
        <v/>
      </c>
      <c r="S4097" s="14">
        <f>SUM(M4097:R4097)</f>
        <v/>
      </c>
      <c r="AA4097">
        <f>RAND()</f>
        <v/>
      </c>
      <c r="AB4097">
        <f>RAND()</f>
        <v/>
      </c>
      <c r="AC4097">
        <f>RAND()</f>
        <v/>
      </c>
      <c r="AD4097">
        <f>RAND()</f>
        <v/>
      </c>
      <c r="AE4097">
        <f>RAND()</f>
        <v/>
      </c>
      <c r="AF4097">
        <f>RAND()</f>
        <v/>
      </c>
    </row>
    <row r="4098">
      <c r="M4098" s="14">
        <f>_xlfn.BETA.INV($AA4098,1+4*($D$5-$C$5)/($E$5-$C$5),1+4*($E$5-$D$5)/($E$5-$C$5),$C$5,$E$5)</f>
        <v/>
      </c>
      <c r="N4098" s="14">
        <f>IF($AB4098&lt;($D$6-$C$6)/($E$6-$C$6),$C$6+SQRT($AB4098*($E$6-$C$6)*($D$6-$C$6)),$E$6-SQRT((1-$AB4098)*($E$6-$C$6)*($E$6-$D$6)))</f>
        <v/>
      </c>
      <c r="O4098" s="14">
        <f>_xlfn.NORM.INV($AC4098,$C$7,$D$7)</f>
        <v/>
      </c>
      <c r="P4098" s="14">
        <f>$C$8+($D$8-$C$8)*$AD4098</f>
        <v/>
      </c>
      <c r="Q4098" s="14">
        <f>$C$9</f>
        <v/>
      </c>
      <c r="R4098" s="14">
        <f>_xlfn.LOGNORM.INV($AF4098,LN($C$10)-0.5*LN(1+($D$10/$C$10)^2),SQRT(LN(1+($D$10/$C$10)^2)))</f>
        <v/>
      </c>
      <c r="S4098" s="14">
        <f>SUM(M4098:R4098)</f>
        <v/>
      </c>
      <c r="AA4098">
        <f>RAND()</f>
        <v/>
      </c>
      <c r="AB4098">
        <f>RAND()</f>
        <v/>
      </c>
      <c r="AC4098">
        <f>RAND()</f>
        <v/>
      </c>
      <c r="AD4098">
        <f>RAND()</f>
        <v/>
      </c>
      <c r="AE4098">
        <f>RAND()</f>
        <v/>
      </c>
      <c r="AF4098">
        <f>RAND()</f>
        <v/>
      </c>
    </row>
    <row r="4099">
      <c r="M4099" s="14">
        <f>_xlfn.BETA.INV($AA4099,1+4*($D$5-$C$5)/($E$5-$C$5),1+4*($E$5-$D$5)/($E$5-$C$5),$C$5,$E$5)</f>
        <v/>
      </c>
      <c r="N4099" s="14">
        <f>IF($AB4099&lt;($D$6-$C$6)/($E$6-$C$6),$C$6+SQRT($AB4099*($E$6-$C$6)*($D$6-$C$6)),$E$6-SQRT((1-$AB4099)*($E$6-$C$6)*($E$6-$D$6)))</f>
        <v/>
      </c>
      <c r="O4099" s="14">
        <f>_xlfn.NORM.INV($AC4099,$C$7,$D$7)</f>
        <v/>
      </c>
      <c r="P4099" s="14">
        <f>$C$8+($D$8-$C$8)*$AD4099</f>
        <v/>
      </c>
      <c r="Q4099" s="14">
        <f>$C$9</f>
        <v/>
      </c>
      <c r="R4099" s="14">
        <f>_xlfn.LOGNORM.INV($AF4099,LN($C$10)-0.5*LN(1+($D$10/$C$10)^2),SQRT(LN(1+($D$10/$C$10)^2)))</f>
        <v/>
      </c>
      <c r="S4099" s="14">
        <f>SUM(M4099:R4099)</f>
        <v/>
      </c>
      <c r="AA4099">
        <f>RAND()</f>
        <v/>
      </c>
      <c r="AB4099">
        <f>RAND()</f>
        <v/>
      </c>
      <c r="AC4099">
        <f>RAND()</f>
        <v/>
      </c>
      <c r="AD4099">
        <f>RAND()</f>
        <v/>
      </c>
      <c r="AE4099">
        <f>RAND()</f>
        <v/>
      </c>
      <c r="AF4099">
        <f>RAND()</f>
        <v/>
      </c>
    </row>
    <row r="4100">
      <c r="M4100" s="14">
        <f>_xlfn.BETA.INV($AA4100,1+4*($D$5-$C$5)/($E$5-$C$5),1+4*($E$5-$D$5)/($E$5-$C$5),$C$5,$E$5)</f>
        <v/>
      </c>
      <c r="N4100" s="14">
        <f>IF($AB4100&lt;($D$6-$C$6)/($E$6-$C$6),$C$6+SQRT($AB4100*($E$6-$C$6)*($D$6-$C$6)),$E$6-SQRT((1-$AB4100)*($E$6-$C$6)*($E$6-$D$6)))</f>
        <v/>
      </c>
      <c r="O4100" s="14">
        <f>_xlfn.NORM.INV($AC4100,$C$7,$D$7)</f>
        <v/>
      </c>
      <c r="P4100" s="14">
        <f>$C$8+($D$8-$C$8)*$AD4100</f>
        <v/>
      </c>
      <c r="Q4100" s="14">
        <f>$C$9</f>
        <v/>
      </c>
      <c r="R4100" s="14">
        <f>_xlfn.LOGNORM.INV($AF4100,LN($C$10)-0.5*LN(1+($D$10/$C$10)^2),SQRT(LN(1+($D$10/$C$10)^2)))</f>
        <v/>
      </c>
      <c r="S4100" s="14">
        <f>SUM(M4100:R4100)</f>
        <v/>
      </c>
      <c r="AA4100">
        <f>RAND()</f>
        <v/>
      </c>
      <c r="AB4100">
        <f>RAND()</f>
        <v/>
      </c>
      <c r="AC4100">
        <f>RAND()</f>
        <v/>
      </c>
      <c r="AD4100">
        <f>RAND()</f>
        <v/>
      </c>
      <c r="AE4100">
        <f>RAND()</f>
        <v/>
      </c>
      <c r="AF4100">
        <f>RAND()</f>
        <v/>
      </c>
    </row>
    <row r="4101">
      <c r="M4101" s="14">
        <f>_xlfn.BETA.INV($AA4101,1+4*($D$5-$C$5)/($E$5-$C$5),1+4*($E$5-$D$5)/($E$5-$C$5),$C$5,$E$5)</f>
        <v/>
      </c>
      <c r="N4101" s="14">
        <f>IF($AB4101&lt;($D$6-$C$6)/($E$6-$C$6),$C$6+SQRT($AB4101*($E$6-$C$6)*($D$6-$C$6)),$E$6-SQRT((1-$AB4101)*($E$6-$C$6)*($E$6-$D$6)))</f>
        <v/>
      </c>
      <c r="O4101" s="14">
        <f>_xlfn.NORM.INV($AC4101,$C$7,$D$7)</f>
        <v/>
      </c>
      <c r="P4101" s="14">
        <f>$C$8+($D$8-$C$8)*$AD4101</f>
        <v/>
      </c>
      <c r="Q4101" s="14">
        <f>$C$9</f>
        <v/>
      </c>
      <c r="R4101" s="14">
        <f>_xlfn.LOGNORM.INV($AF4101,LN($C$10)-0.5*LN(1+($D$10/$C$10)^2),SQRT(LN(1+($D$10/$C$10)^2)))</f>
        <v/>
      </c>
      <c r="S4101" s="14">
        <f>SUM(M4101:R4101)</f>
        <v/>
      </c>
      <c r="AA4101">
        <f>RAND()</f>
        <v/>
      </c>
      <c r="AB4101">
        <f>RAND()</f>
        <v/>
      </c>
      <c r="AC4101">
        <f>RAND()</f>
        <v/>
      </c>
      <c r="AD4101">
        <f>RAND()</f>
        <v/>
      </c>
      <c r="AE4101">
        <f>RAND()</f>
        <v/>
      </c>
      <c r="AF4101">
        <f>RAND()</f>
        <v/>
      </c>
    </row>
    <row r="4102">
      <c r="M4102" s="14">
        <f>_xlfn.BETA.INV($AA4102,1+4*($D$5-$C$5)/($E$5-$C$5),1+4*($E$5-$D$5)/($E$5-$C$5),$C$5,$E$5)</f>
        <v/>
      </c>
      <c r="N4102" s="14">
        <f>IF($AB4102&lt;($D$6-$C$6)/($E$6-$C$6),$C$6+SQRT($AB4102*($E$6-$C$6)*($D$6-$C$6)),$E$6-SQRT((1-$AB4102)*($E$6-$C$6)*($E$6-$D$6)))</f>
        <v/>
      </c>
      <c r="O4102" s="14">
        <f>_xlfn.NORM.INV($AC4102,$C$7,$D$7)</f>
        <v/>
      </c>
      <c r="P4102" s="14">
        <f>$C$8+($D$8-$C$8)*$AD4102</f>
        <v/>
      </c>
      <c r="Q4102" s="14">
        <f>$C$9</f>
        <v/>
      </c>
      <c r="R4102" s="14">
        <f>_xlfn.LOGNORM.INV($AF4102,LN($C$10)-0.5*LN(1+($D$10/$C$10)^2),SQRT(LN(1+($D$10/$C$10)^2)))</f>
        <v/>
      </c>
      <c r="S4102" s="14">
        <f>SUM(M4102:R4102)</f>
        <v/>
      </c>
      <c r="AA4102">
        <f>RAND()</f>
        <v/>
      </c>
      <c r="AB4102">
        <f>RAND()</f>
        <v/>
      </c>
      <c r="AC4102">
        <f>RAND()</f>
        <v/>
      </c>
      <c r="AD4102">
        <f>RAND()</f>
        <v/>
      </c>
      <c r="AE4102">
        <f>RAND()</f>
        <v/>
      </c>
      <c r="AF4102">
        <f>RAND()</f>
        <v/>
      </c>
    </row>
    <row r="4103">
      <c r="M4103" s="14">
        <f>_xlfn.BETA.INV($AA4103,1+4*($D$5-$C$5)/($E$5-$C$5),1+4*($E$5-$D$5)/($E$5-$C$5),$C$5,$E$5)</f>
        <v/>
      </c>
      <c r="N4103" s="14">
        <f>IF($AB4103&lt;($D$6-$C$6)/($E$6-$C$6),$C$6+SQRT($AB4103*($E$6-$C$6)*($D$6-$C$6)),$E$6-SQRT((1-$AB4103)*($E$6-$C$6)*($E$6-$D$6)))</f>
        <v/>
      </c>
      <c r="O4103" s="14">
        <f>_xlfn.NORM.INV($AC4103,$C$7,$D$7)</f>
        <v/>
      </c>
      <c r="P4103" s="14">
        <f>$C$8+($D$8-$C$8)*$AD4103</f>
        <v/>
      </c>
      <c r="Q4103" s="14">
        <f>$C$9</f>
        <v/>
      </c>
      <c r="R4103" s="14">
        <f>_xlfn.LOGNORM.INV($AF4103,LN($C$10)-0.5*LN(1+($D$10/$C$10)^2),SQRT(LN(1+($D$10/$C$10)^2)))</f>
        <v/>
      </c>
      <c r="S4103" s="14">
        <f>SUM(M4103:R4103)</f>
        <v/>
      </c>
      <c r="AA4103">
        <f>RAND()</f>
        <v/>
      </c>
      <c r="AB4103">
        <f>RAND()</f>
        <v/>
      </c>
      <c r="AC4103">
        <f>RAND()</f>
        <v/>
      </c>
      <c r="AD4103">
        <f>RAND()</f>
        <v/>
      </c>
      <c r="AE4103">
        <f>RAND()</f>
        <v/>
      </c>
      <c r="AF4103">
        <f>RAND()</f>
        <v/>
      </c>
    </row>
    <row r="4104">
      <c r="M4104" s="14">
        <f>_xlfn.BETA.INV($AA4104,1+4*($D$5-$C$5)/($E$5-$C$5),1+4*($E$5-$D$5)/($E$5-$C$5),$C$5,$E$5)</f>
        <v/>
      </c>
      <c r="N4104" s="14">
        <f>IF($AB4104&lt;($D$6-$C$6)/($E$6-$C$6),$C$6+SQRT($AB4104*($E$6-$C$6)*($D$6-$C$6)),$E$6-SQRT((1-$AB4104)*($E$6-$C$6)*($E$6-$D$6)))</f>
        <v/>
      </c>
      <c r="O4104" s="14">
        <f>_xlfn.NORM.INV($AC4104,$C$7,$D$7)</f>
        <v/>
      </c>
      <c r="P4104" s="14">
        <f>$C$8+($D$8-$C$8)*$AD4104</f>
        <v/>
      </c>
      <c r="Q4104" s="14">
        <f>$C$9</f>
        <v/>
      </c>
      <c r="R4104" s="14">
        <f>_xlfn.LOGNORM.INV($AF4104,LN($C$10)-0.5*LN(1+($D$10/$C$10)^2),SQRT(LN(1+($D$10/$C$10)^2)))</f>
        <v/>
      </c>
      <c r="S4104" s="14">
        <f>SUM(M4104:R4104)</f>
        <v/>
      </c>
      <c r="AA4104">
        <f>RAND()</f>
        <v/>
      </c>
      <c r="AB4104">
        <f>RAND()</f>
        <v/>
      </c>
      <c r="AC4104">
        <f>RAND()</f>
        <v/>
      </c>
      <c r="AD4104">
        <f>RAND()</f>
        <v/>
      </c>
      <c r="AE4104">
        <f>RAND()</f>
        <v/>
      </c>
      <c r="AF4104">
        <f>RAND()</f>
        <v/>
      </c>
    </row>
    <row r="4105">
      <c r="M4105" s="14">
        <f>_xlfn.BETA.INV($AA4105,1+4*($D$5-$C$5)/($E$5-$C$5),1+4*($E$5-$D$5)/($E$5-$C$5),$C$5,$E$5)</f>
        <v/>
      </c>
      <c r="N4105" s="14">
        <f>IF($AB4105&lt;($D$6-$C$6)/($E$6-$C$6),$C$6+SQRT($AB4105*($E$6-$C$6)*($D$6-$C$6)),$E$6-SQRT((1-$AB4105)*($E$6-$C$6)*($E$6-$D$6)))</f>
        <v/>
      </c>
      <c r="O4105" s="14">
        <f>_xlfn.NORM.INV($AC4105,$C$7,$D$7)</f>
        <v/>
      </c>
      <c r="P4105" s="14">
        <f>$C$8+($D$8-$C$8)*$AD4105</f>
        <v/>
      </c>
      <c r="Q4105" s="14">
        <f>$C$9</f>
        <v/>
      </c>
      <c r="R4105" s="14">
        <f>_xlfn.LOGNORM.INV($AF4105,LN($C$10)-0.5*LN(1+($D$10/$C$10)^2),SQRT(LN(1+($D$10/$C$10)^2)))</f>
        <v/>
      </c>
      <c r="S4105" s="14">
        <f>SUM(M4105:R4105)</f>
        <v/>
      </c>
      <c r="AA4105">
        <f>RAND()</f>
        <v/>
      </c>
      <c r="AB4105">
        <f>RAND()</f>
        <v/>
      </c>
      <c r="AC4105">
        <f>RAND()</f>
        <v/>
      </c>
      <c r="AD4105">
        <f>RAND()</f>
        <v/>
      </c>
      <c r="AE4105">
        <f>RAND()</f>
        <v/>
      </c>
      <c r="AF4105">
        <f>RAND()</f>
        <v/>
      </c>
    </row>
    <row r="4106">
      <c r="M4106" s="14">
        <f>_xlfn.BETA.INV($AA4106,1+4*($D$5-$C$5)/($E$5-$C$5),1+4*($E$5-$D$5)/($E$5-$C$5),$C$5,$E$5)</f>
        <v/>
      </c>
      <c r="N4106" s="14">
        <f>IF($AB4106&lt;($D$6-$C$6)/($E$6-$C$6),$C$6+SQRT($AB4106*($E$6-$C$6)*($D$6-$C$6)),$E$6-SQRT((1-$AB4106)*($E$6-$C$6)*($E$6-$D$6)))</f>
        <v/>
      </c>
      <c r="O4106" s="14">
        <f>_xlfn.NORM.INV($AC4106,$C$7,$D$7)</f>
        <v/>
      </c>
      <c r="P4106" s="14">
        <f>$C$8+($D$8-$C$8)*$AD4106</f>
        <v/>
      </c>
      <c r="Q4106" s="14">
        <f>$C$9</f>
        <v/>
      </c>
      <c r="R4106" s="14">
        <f>_xlfn.LOGNORM.INV($AF4106,LN($C$10)-0.5*LN(1+($D$10/$C$10)^2),SQRT(LN(1+($D$10/$C$10)^2)))</f>
        <v/>
      </c>
      <c r="S4106" s="14">
        <f>SUM(M4106:R4106)</f>
        <v/>
      </c>
      <c r="AA4106">
        <f>RAND()</f>
        <v/>
      </c>
      <c r="AB4106">
        <f>RAND()</f>
        <v/>
      </c>
      <c r="AC4106">
        <f>RAND()</f>
        <v/>
      </c>
      <c r="AD4106">
        <f>RAND()</f>
        <v/>
      </c>
      <c r="AE4106">
        <f>RAND()</f>
        <v/>
      </c>
      <c r="AF4106">
        <f>RAND()</f>
        <v/>
      </c>
    </row>
    <row r="4107">
      <c r="M4107" s="14">
        <f>_xlfn.BETA.INV($AA4107,1+4*($D$5-$C$5)/($E$5-$C$5),1+4*($E$5-$D$5)/($E$5-$C$5),$C$5,$E$5)</f>
        <v/>
      </c>
      <c r="N4107" s="14">
        <f>IF($AB4107&lt;($D$6-$C$6)/($E$6-$C$6),$C$6+SQRT($AB4107*($E$6-$C$6)*($D$6-$C$6)),$E$6-SQRT((1-$AB4107)*($E$6-$C$6)*($E$6-$D$6)))</f>
        <v/>
      </c>
      <c r="O4107" s="14">
        <f>_xlfn.NORM.INV($AC4107,$C$7,$D$7)</f>
        <v/>
      </c>
      <c r="P4107" s="14">
        <f>$C$8+($D$8-$C$8)*$AD4107</f>
        <v/>
      </c>
      <c r="Q4107" s="14">
        <f>$C$9</f>
        <v/>
      </c>
      <c r="R4107" s="14">
        <f>_xlfn.LOGNORM.INV($AF4107,LN($C$10)-0.5*LN(1+($D$10/$C$10)^2),SQRT(LN(1+($D$10/$C$10)^2)))</f>
        <v/>
      </c>
      <c r="S4107" s="14">
        <f>SUM(M4107:R4107)</f>
        <v/>
      </c>
      <c r="AA4107">
        <f>RAND()</f>
        <v/>
      </c>
      <c r="AB4107">
        <f>RAND()</f>
        <v/>
      </c>
      <c r="AC4107">
        <f>RAND()</f>
        <v/>
      </c>
      <c r="AD4107">
        <f>RAND()</f>
        <v/>
      </c>
      <c r="AE4107">
        <f>RAND()</f>
        <v/>
      </c>
      <c r="AF4107">
        <f>RAND()</f>
        <v/>
      </c>
    </row>
    <row r="4108">
      <c r="M4108" s="14">
        <f>_xlfn.BETA.INV($AA4108,1+4*($D$5-$C$5)/($E$5-$C$5),1+4*($E$5-$D$5)/($E$5-$C$5),$C$5,$E$5)</f>
        <v/>
      </c>
      <c r="N4108" s="14">
        <f>IF($AB4108&lt;($D$6-$C$6)/($E$6-$C$6),$C$6+SQRT($AB4108*($E$6-$C$6)*($D$6-$C$6)),$E$6-SQRT((1-$AB4108)*($E$6-$C$6)*($E$6-$D$6)))</f>
        <v/>
      </c>
      <c r="O4108" s="14">
        <f>_xlfn.NORM.INV($AC4108,$C$7,$D$7)</f>
        <v/>
      </c>
      <c r="P4108" s="14">
        <f>$C$8+($D$8-$C$8)*$AD4108</f>
        <v/>
      </c>
      <c r="Q4108" s="14">
        <f>$C$9</f>
        <v/>
      </c>
      <c r="R4108" s="14">
        <f>_xlfn.LOGNORM.INV($AF4108,LN($C$10)-0.5*LN(1+($D$10/$C$10)^2),SQRT(LN(1+($D$10/$C$10)^2)))</f>
        <v/>
      </c>
      <c r="S4108" s="14">
        <f>SUM(M4108:R4108)</f>
        <v/>
      </c>
      <c r="AA4108">
        <f>RAND()</f>
        <v/>
      </c>
      <c r="AB4108">
        <f>RAND()</f>
        <v/>
      </c>
      <c r="AC4108">
        <f>RAND()</f>
        <v/>
      </c>
      <c r="AD4108">
        <f>RAND()</f>
        <v/>
      </c>
      <c r="AE4108">
        <f>RAND()</f>
        <v/>
      </c>
      <c r="AF4108">
        <f>RAND()</f>
        <v/>
      </c>
    </row>
    <row r="4109">
      <c r="M4109" s="14">
        <f>_xlfn.BETA.INV($AA4109,1+4*($D$5-$C$5)/($E$5-$C$5),1+4*($E$5-$D$5)/($E$5-$C$5),$C$5,$E$5)</f>
        <v/>
      </c>
      <c r="N4109" s="14">
        <f>IF($AB4109&lt;($D$6-$C$6)/($E$6-$C$6),$C$6+SQRT($AB4109*($E$6-$C$6)*($D$6-$C$6)),$E$6-SQRT((1-$AB4109)*($E$6-$C$6)*($E$6-$D$6)))</f>
        <v/>
      </c>
      <c r="O4109" s="14">
        <f>_xlfn.NORM.INV($AC4109,$C$7,$D$7)</f>
        <v/>
      </c>
      <c r="P4109" s="14">
        <f>$C$8+($D$8-$C$8)*$AD4109</f>
        <v/>
      </c>
      <c r="Q4109" s="14">
        <f>$C$9</f>
        <v/>
      </c>
      <c r="R4109" s="14">
        <f>_xlfn.LOGNORM.INV($AF4109,LN($C$10)-0.5*LN(1+($D$10/$C$10)^2),SQRT(LN(1+($D$10/$C$10)^2)))</f>
        <v/>
      </c>
      <c r="S4109" s="14">
        <f>SUM(M4109:R4109)</f>
        <v/>
      </c>
      <c r="AA4109">
        <f>RAND()</f>
        <v/>
      </c>
      <c r="AB4109">
        <f>RAND()</f>
        <v/>
      </c>
      <c r="AC4109">
        <f>RAND()</f>
        <v/>
      </c>
      <c r="AD4109">
        <f>RAND()</f>
        <v/>
      </c>
      <c r="AE4109">
        <f>RAND()</f>
        <v/>
      </c>
      <c r="AF4109">
        <f>RAND()</f>
        <v/>
      </c>
    </row>
    <row r="4110">
      <c r="M4110" s="14">
        <f>_xlfn.BETA.INV($AA4110,1+4*($D$5-$C$5)/($E$5-$C$5),1+4*($E$5-$D$5)/($E$5-$C$5),$C$5,$E$5)</f>
        <v/>
      </c>
      <c r="N4110" s="14">
        <f>IF($AB4110&lt;($D$6-$C$6)/($E$6-$C$6),$C$6+SQRT($AB4110*($E$6-$C$6)*($D$6-$C$6)),$E$6-SQRT((1-$AB4110)*($E$6-$C$6)*($E$6-$D$6)))</f>
        <v/>
      </c>
      <c r="O4110" s="14">
        <f>_xlfn.NORM.INV($AC4110,$C$7,$D$7)</f>
        <v/>
      </c>
      <c r="P4110" s="14">
        <f>$C$8+($D$8-$C$8)*$AD4110</f>
        <v/>
      </c>
      <c r="Q4110" s="14">
        <f>$C$9</f>
        <v/>
      </c>
      <c r="R4110" s="14">
        <f>_xlfn.LOGNORM.INV($AF4110,LN($C$10)-0.5*LN(1+($D$10/$C$10)^2),SQRT(LN(1+($D$10/$C$10)^2)))</f>
        <v/>
      </c>
      <c r="S4110" s="14">
        <f>SUM(M4110:R4110)</f>
        <v/>
      </c>
      <c r="AA4110">
        <f>RAND()</f>
        <v/>
      </c>
      <c r="AB4110">
        <f>RAND()</f>
        <v/>
      </c>
      <c r="AC4110">
        <f>RAND()</f>
        <v/>
      </c>
      <c r="AD4110">
        <f>RAND()</f>
        <v/>
      </c>
      <c r="AE4110">
        <f>RAND()</f>
        <v/>
      </c>
      <c r="AF4110">
        <f>RAND()</f>
        <v/>
      </c>
    </row>
    <row r="4111">
      <c r="M4111" s="14">
        <f>_xlfn.BETA.INV($AA4111,1+4*($D$5-$C$5)/($E$5-$C$5),1+4*($E$5-$D$5)/($E$5-$C$5),$C$5,$E$5)</f>
        <v/>
      </c>
      <c r="N4111" s="14">
        <f>IF($AB4111&lt;($D$6-$C$6)/($E$6-$C$6),$C$6+SQRT($AB4111*($E$6-$C$6)*($D$6-$C$6)),$E$6-SQRT((1-$AB4111)*($E$6-$C$6)*($E$6-$D$6)))</f>
        <v/>
      </c>
      <c r="O4111" s="14">
        <f>_xlfn.NORM.INV($AC4111,$C$7,$D$7)</f>
        <v/>
      </c>
      <c r="P4111" s="14">
        <f>$C$8+($D$8-$C$8)*$AD4111</f>
        <v/>
      </c>
      <c r="Q4111" s="14">
        <f>$C$9</f>
        <v/>
      </c>
      <c r="R4111" s="14">
        <f>_xlfn.LOGNORM.INV($AF4111,LN($C$10)-0.5*LN(1+($D$10/$C$10)^2),SQRT(LN(1+($D$10/$C$10)^2)))</f>
        <v/>
      </c>
      <c r="S4111" s="14">
        <f>SUM(M4111:R4111)</f>
        <v/>
      </c>
      <c r="AA4111">
        <f>RAND()</f>
        <v/>
      </c>
      <c r="AB4111">
        <f>RAND()</f>
        <v/>
      </c>
      <c r="AC4111">
        <f>RAND()</f>
        <v/>
      </c>
      <c r="AD4111">
        <f>RAND()</f>
        <v/>
      </c>
      <c r="AE4111">
        <f>RAND()</f>
        <v/>
      </c>
      <c r="AF4111">
        <f>RAND()</f>
        <v/>
      </c>
    </row>
    <row r="4112">
      <c r="M4112" s="14">
        <f>_xlfn.BETA.INV($AA4112,1+4*($D$5-$C$5)/($E$5-$C$5),1+4*($E$5-$D$5)/($E$5-$C$5),$C$5,$E$5)</f>
        <v/>
      </c>
      <c r="N4112" s="14">
        <f>IF($AB4112&lt;($D$6-$C$6)/($E$6-$C$6),$C$6+SQRT($AB4112*($E$6-$C$6)*($D$6-$C$6)),$E$6-SQRT((1-$AB4112)*($E$6-$C$6)*($E$6-$D$6)))</f>
        <v/>
      </c>
      <c r="O4112" s="14">
        <f>_xlfn.NORM.INV($AC4112,$C$7,$D$7)</f>
        <v/>
      </c>
      <c r="P4112" s="14">
        <f>$C$8+($D$8-$C$8)*$AD4112</f>
        <v/>
      </c>
      <c r="Q4112" s="14">
        <f>$C$9</f>
        <v/>
      </c>
      <c r="R4112" s="14">
        <f>_xlfn.LOGNORM.INV($AF4112,LN($C$10)-0.5*LN(1+($D$10/$C$10)^2),SQRT(LN(1+($D$10/$C$10)^2)))</f>
        <v/>
      </c>
      <c r="S4112" s="14">
        <f>SUM(M4112:R4112)</f>
        <v/>
      </c>
      <c r="AA4112">
        <f>RAND()</f>
        <v/>
      </c>
      <c r="AB4112">
        <f>RAND()</f>
        <v/>
      </c>
      <c r="AC4112">
        <f>RAND()</f>
        <v/>
      </c>
      <c r="AD4112">
        <f>RAND()</f>
        <v/>
      </c>
      <c r="AE4112">
        <f>RAND()</f>
        <v/>
      </c>
      <c r="AF4112">
        <f>RAND()</f>
        <v/>
      </c>
    </row>
    <row r="4113">
      <c r="M4113" s="14">
        <f>_xlfn.BETA.INV($AA4113,1+4*($D$5-$C$5)/($E$5-$C$5),1+4*($E$5-$D$5)/($E$5-$C$5),$C$5,$E$5)</f>
        <v/>
      </c>
      <c r="N4113" s="14">
        <f>IF($AB4113&lt;($D$6-$C$6)/($E$6-$C$6),$C$6+SQRT($AB4113*($E$6-$C$6)*($D$6-$C$6)),$E$6-SQRT((1-$AB4113)*($E$6-$C$6)*($E$6-$D$6)))</f>
        <v/>
      </c>
      <c r="O4113" s="14">
        <f>_xlfn.NORM.INV($AC4113,$C$7,$D$7)</f>
        <v/>
      </c>
      <c r="P4113" s="14">
        <f>$C$8+($D$8-$C$8)*$AD4113</f>
        <v/>
      </c>
      <c r="Q4113" s="14">
        <f>$C$9</f>
        <v/>
      </c>
      <c r="R4113" s="14">
        <f>_xlfn.LOGNORM.INV($AF4113,LN($C$10)-0.5*LN(1+($D$10/$C$10)^2),SQRT(LN(1+($D$10/$C$10)^2)))</f>
        <v/>
      </c>
      <c r="S4113" s="14">
        <f>SUM(M4113:R4113)</f>
        <v/>
      </c>
      <c r="AA4113">
        <f>RAND()</f>
        <v/>
      </c>
      <c r="AB4113">
        <f>RAND()</f>
        <v/>
      </c>
      <c r="AC4113">
        <f>RAND()</f>
        <v/>
      </c>
      <c r="AD4113">
        <f>RAND()</f>
        <v/>
      </c>
      <c r="AE4113">
        <f>RAND()</f>
        <v/>
      </c>
      <c r="AF4113">
        <f>RAND()</f>
        <v/>
      </c>
    </row>
    <row r="4114">
      <c r="M4114" s="14">
        <f>_xlfn.BETA.INV($AA4114,1+4*($D$5-$C$5)/($E$5-$C$5),1+4*($E$5-$D$5)/($E$5-$C$5),$C$5,$E$5)</f>
        <v/>
      </c>
      <c r="N4114" s="14">
        <f>IF($AB4114&lt;($D$6-$C$6)/($E$6-$C$6),$C$6+SQRT($AB4114*($E$6-$C$6)*($D$6-$C$6)),$E$6-SQRT((1-$AB4114)*($E$6-$C$6)*($E$6-$D$6)))</f>
        <v/>
      </c>
      <c r="O4114" s="14">
        <f>_xlfn.NORM.INV($AC4114,$C$7,$D$7)</f>
        <v/>
      </c>
      <c r="P4114" s="14">
        <f>$C$8+($D$8-$C$8)*$AD4114</f>
        <v/>
      </c>
      <c r="Q4114" s="14">
        <f>$C$9</f>
        <v/>
      </c>
      <c r="R4114" s="14">
        <f>_xlfn.LOGNORM.INV($AF4114,LN($C$10)-0.5*LN(1+($D$10/$C$10)^2),SQRT(LN(1+($D$10/$C$10)^2)))</f>
        <v/>
      </c>
      <c r="S4114" s="14">
        <f>SUM(M4114:R4114)</f>
        <v/>
      </c>
      <c r="AA4114">
        <f>RAND()</f>
        <v/>
      </c>
      <c r="AB4114">
        <f>RAND()</f>
        <v/>
      </c>
      <c r="AC4114">
        <f>RAND()</f>
        <v/>
      </c>
      <c r="AD4114">
        <f>RAND()</f>
        <v/>
      </c>
      <c r="AE4114">
        <f>RAND()</f>
        <v/>
      </c>
      <c r="AF4114">
        <f>RAND()</f>
        <v/>
      </c>
    </row>
    <row r="4115">
      <c r="M4115" s="14">
        <f>_xlfn.BETA.INV($AA4115,1+4*($D$5-$C$5)/($E$5-$C$5),1+4*($E$5-$D$5)/($E$5-$C$5),$C$5,$E$5)</f>
        <v/>
      </c>
      <c r="N4115" s="14">
        <f>IF($AB4115&lt;($D$6-$C$6)/($E$6-$C$6),$C$6+SQRT($AB4115*($E$6-$C$6)*($D$6-$C$6)),$E$6-SQRT((1-$AB4115)*($E$6-$C$6)*($E$6-$D$6)))</f>
        <v/>
      </c>
      <c r="O4115" s="14">
        <f>_xlfn.NORM.INV($AC4115,$C$7,$D$7)</f>
        <v/>
      </c>
      <c r="P4115" s="14">
        <f>$C$8+($D$8-$C$8)*$AD4115</f>
        <v/>
      </c>
      <c r="Q4115" s="14">
        <f>$C$9</f>
        <v/>
      </c>
      <c r="R4115" s="14">
        <f>_xlfn.LOGNORM.INV($AF4115,LN($C$10)-0.5*LN(1+($D$10/$C$10)^2),SQRT(LN(1+($D$10/$C$10)^2)))</f>
        <v/>
      </c>
      <c r="S4115" s="14">
        <f>SUM(M4115:R4115)</f>
        <v/>
      </c>
      <c r="AA4115">
        <f>RAND()</f>
        <v/>
      </c>
      <c r="AB4115">
        <f>RAND()</f>
        <v/>
      </c>
      <c r="AC4115">
        <f>RAND()</f>
        <v/>
      </c>
      <c r="AD4115">
        <f>RAND()</f>
        <v/>
      </c>
      <c r="AE4115">
        <f>RAND()</f>
        <v/>
      </c>
      <c r="AF4115">
        <f>RAND()</f>
        <v/>
      </c>
    </row>
    <row r="4116">
      <c r="M4116" s="14">
        <f>_xlfn.BETA.INV($AA4116,1+4*($D$5-$C$5)/($E$5-$C$5),1+4*($E$5-$D$5)/($E$5-$C$5),$C$5,$E$5)</f>
        <v/>
      </c>
      <c r="N4116" s="14">
        <f>IF($AB4116&lt;($D$6-$C$6)/($E$6-$C$6),$C$6+SQRT($AB4116*($E$6-$C$6)*($D$6-$C$6)),$E$6-SQRT((1-$AB4116)*($E$6-$C$6)*($E$6-$D$6)))</f>
        <v/>
      </c>
      <c r="O4116" s="14">
        <f>_xlfn.NORM.INV($AC4116,$C$7,$D$7)</f>
        <v/>
      </c>
      <c r="P4116" s="14">
        <f>$C$8+($D$8-$C$8)*$AD4116</f>
        <v/>
      </c>
      <c r="Q4116" s="14">
        <f>$C$9</f>
        <v/>
      </c>
      <c r="R4116" s="14">
        <f>_xlfn.LOGNORM.INV($AF4116,LN($C$10)-0.5*LN(1+($D$10/$C$10)^2),SQRT(LN(1+($D$10/$C$10)^2)))</f>
        <v/>
      </c>
      <c r="S4116" s="14">
        <f>SUM(M4116:R4116)</f>
        <v/>
      </c>
      <c r="AA4116">
        <f>RAND()</f>
        <v/>
      </c>
      <c r="AB4116">
        <f>RAND()</f>
        <v/>
      </c>
      <c r="AC4116">
        <f>RAND()</f>
        <v/>
      </c>
      <c r="AD4116">
        <f>RAND()</f>
        <v/>
      </c>
      <c r="AE4116">
        <f>RAND()</f>
        <v/>
      </c>
      <c r="AF4116">
        <f>RAND()</f>
        <v/>
      </c>
    </row>
    <row r="4117">
      <c r="M4117" s="14">
        <f>_xlfn.BETA.INV($AA4117,1+4*($D$5-$C$5)/($E$5-$C$5),1+4*($E$5-$D$5)/($E$5-$C$5),$C$5,$E$5)</f>
        <v/>
      </c>
      <c r="N4117" s="14">
        <f>IF($AB4117&lt;($D$6-$C$6)/($E$6-$C$6),$C$6+SQRT($AB4117*($E$6-$C$6)*($D$6-$C$6)),$E$6-SQRT((1-$AB4117)*($E$6-$C$6)*($E$6-$D$6)))</f>
        <v/>
      </c>
      <c r="O4117" s="14">
        <f>_xlfn.NORM.INV($AC4117,$C$7,$D$7)</f>
        <v/>
      </c>
      <c r="P4117" s="14">
        <f>$C$8+($D$8-$C$8)*$AD4117</f>
        <v/>
      </c>
      <c r="Q4117" s="14">
        <f>$C$9</f>
        <v/>
      </c>
      <c r="R4117" s="14">
        <f>_xlfn.LOGNORM.INV($AF4117,LN($C$10)-0.5*LN(1+($D$10/$C$10)^2),SQRT(LN(1+($D$10/$C$10)^2)))</f>
        <v/>
      </c>
      <c r="S4117" s="14">
        <f>SUM(M4117:R4117)</f>
        <v/>
      </c>
      <c r="AA4117">
        <f>RAND()</f>
        <v/>
      </c>
      <c r="AB4117">
        <f>RAND()</f>
        <v/>
      </c>
      <c r="AC4117">
        <f>RAND()</f>
        <v/>
      </c>
      <c r="AD4117">
        <f>RAND()</f>
        <v/>
      </c>
      <c r="AE4117">
        <f>RAND()</f>
        <v/>
      </c>
      <c r="AF4117">
        <f>RAND()</f>
        <v/>
      </c>
    </row>
    <row r="4118">
      <c r="M4118" s="14">
        <f>_xlfn.BETA.INV($AA4118,1+4*($D$5-$C$5)/($E$5-$C$5),1+4*($E$5-$D$5)/($E$5-$C$5),$C$5,$E$5)</f>
        <v/>
      </c>
      <c r="N4118" s="14">
        <f>IF($AB4118&lt;($D$6-$C$6)/($E$6-$C$6),$C$6+SQRT($AB4118*($E$6-$C$6)*($D$6-$C$6)),$E$6-SQRT((1-$AB4118)*($E$6-$C$6)*($E$6-$D$6)))</f>
        <v/>
      </c>
      <c r="O4118" s="14">
        <f>_xlfn.NORM.INV($AC4118,$C$7,$D$7)</f>
        <v/>
      </c>
      <c r="P4118" s="14">
        <f>$C$8+($D$8-$C$8)*$AD4118</f>
        <v/>
      </c>
      <c r="Q4118" s="14">
        <f>$C$9</f>
        <v/>
      </c>
      <c r="R4118" s="14">
        <f>_xlfn.LOGNORM.INV($AF4118,LN($C$10)-0.5*LN(1+($D$10/$C$10)^2),SQRT(LN(1+($D$10/$C$10)^2)))</f>
        <v/>
      </c>
      <c r="S4118" s="14">
        <f>SUM(M4118:R4118)</f>
        <v/>
      </c>
      <c r="AA4118">
        <f>RAND()</f>
        <v/>
      </c>
      <c r="AB4118">
        <f>RAND()</f>
        <v/>
      </c>
      <c r="AC4118">
        <f>RAND()</f>
        <v/>
      </c>
      <c r="AD4118">
        <f>RAND()</f>
        <v/>
      </c>
      <c r="AE4118">
        <f>RAND()</f>
        <v/>
      </c>
      <c r="AF4118">
        <f>RAND()</f>
        <v/>
      </c>
    </row>
    <row r="4119">
      <c r="M4119" s="14">
        <f>_xlfn.BETA.INV($AA4119,1+4*($D$5-$C$5)/($E$5-$C$5),1+4*($E$5-$D$5)/($E$5-$C$5),$C$5,$E$5)</f>
        <v/>
      </c>
      <c r="N4119" s="14">
        <f>IF($AB4119&lt;($D$6-$C$6)/($E$6-$C$6),$C$6+SQRT($AB4119*($E$6-$C$6)*($D$6-$C$6)),$E$6-SQRT((1-$AB4119)*($E$6-$C$6)*($E$6-$D$6)))</f>
        <v/>
      </c>
      <c r="O4119" s="14">
        <f>_xlfn.NORM.INV($AC4119,$C$7,$D$7)</f>
        <v/>
      </c>
      <c r="P4119" s="14">
        <f>$C$8+($D$8-$C$8)*$AD4119</f>
        <v/>
      </c>
      <c r="Q4119" s="14">
        <f>$C$9</f>
        <v/>
      </c>
      <c r="R4119" s="14">
        <f>_xlfn.LOGNORM.INV($AF4119,LN($C$10)-0.5*LN(1+($D$10/$C$10)^2),SQRT(LN(1+($D$10/$C$10)^2)))</f>
        <v/>
      </c>
      <c r="S4119" s="14">
        <f>SUM(M4119:R4119)</f>
        <v/>
      </c>
      <c r="AA4119">
        <f>RAND()</f>
        <v/>
      </c>
      <c r="AB4119">
        <f>RAND()</f>
        <v/>
      </c>
      <c r="AC4119">
        <f>RAND()</f>
        <v/>
      </c>
      <c r="AD4119">
        <f>RAND()</f>
        <v/>
      </c>
      <c r="AE4119">
        <f>RAND()</f>
        <v/>
      </c>
      <c r="AF4119">
        <f>RAND()</f>
        <v/>
      </c>
    </row>
    <row r="4120">
      <c r="M4120" s="14">
        <f>_xlfn.BETA.INV($AA4120,1+4*($D$5-$C$5)/($E$5-$C$5),1+4*($E$5-$D$5)/($E$5-$C$5),$C$5,$E$5)</f>
        <v/>
      </c>
      <c r="N4120" s="14">
        <f>IF($AB4120&lt;($D$6-$C$6)/($E$6-$C$6),$C$6+SQRT($AB4120*($E$6-$C$6)*($D$6-$C$6)),$E$6-SQRT((1-$AB4120)*($E$6-$C$6)*($E$6-$D$6)))</f>
        <v/>
      </c>
      <c r="O4120" s="14">
        <f>_xlfn.NORM.INV($AC4120,$C$7,$D$7)</f>
        <v/>
      </c>
      <c r="P4120" s="14">
        <f>$C$8+($D$8-$C$8)*$AD4120</f>
        <v/>
      </c>
      <c r="Q4120" s="14">
        <f>$C$9</f>
        <v/>
      </c>
      <c r="R4120" s="14">
        <f>_xlfn.LOGNORM.INV($AF4120,LN($C$10)-0.5*LN(1+($D$10/$C$10)^2),SQRT(LN(1+($D$10/$C$10)^2)))</f>
        <v/>
      </c>
      <c r="S4120" s="14">
        <f>SUM(M4120:R4120)</f>
        <v/>
      </c>
      <c r="AA4120">
        <f>RAND()</f>
        <v/>
      </c>
      <c r="AB4120">
        <f>RAND()</f>
        <v/>
      </c>
      <c r="AC4120">
        <f>RAND()</f>
        <v/>
      </c>
      <c r="AD4120">
        <f>RAND()</f>
        <v/>
      </c>
      <c r="AE4120">
        <f>RAND()</f>
        <v/>
      </c>
      <c r="AF4120">
        <f>RAND()</f>
        <v/>
      </c>
    </row>
    <row r="4121">
      <c r="M4121" s="14">
        <f>_xlfn.BETA.INV($AA4121,1+4*($D$5-$C$5)/($E$5-$C$5),1+4*($E$5-$D$5)/($E$5-$C$5),$C$5,$E$5)</f>
        <v/>
      </c>
      <c r="N4121" s="14">
        <f>IF($AB4121&lt;($D$6-$C$6)/($E$6-$C$6),$C$6+SQRT($AB4121*($E$6-$C$6)*($D$6-$C$6)),$E$6-SQRT((1-$AB4121)*($E$6-$C$6)*($E$6-$D$6)))</f>
        <v/>
      </c>
      <c r="O4121" s="14">
        <f>_xlfn.NORM.INV($AC4121,$C$7,$D$7)</f>
        <v/>
      </c>
      <c r="P4121" s="14">
        <f>$C$8+($D$8-$C$8)*$AD4121</f>
        <v/>
      </c>
      <c r="Q4121" s="14">
        <f>$C$9</f>
        <v/>
      </c>
      <c r="R4121" s="14">
        <f>_xlfn.LOGNORM.INV($AF4121,LN($C$10)-0.5*LN(1+($D$10/$C$10)^2),SQRT(LN(1+($D$10/$C$10)^2)))</f>
        <v/>
      </c>
      <c r="S4121" s="14">
        <f>SUM(M4121:R4121)</f>
        <v/>
      </c>
      <c r="AA4121">
        <f>RAND()</f>
        <v/>
      </c>
      <c r="AB4121">
        <f>RAND()</f>
        <v/>
      </c>
      <c r="AC4121">
        <f>RAND()</f>
        <v/>
      </c>
      <c r="AD4121">
        <f>RAND()</f>
        <v/>
      </c>
      <c r="AE4121">
        <f>RAND()</f>
        <v/>
      </c>
      <c r="AF4121">
        <f>RAND()</f>
        <v/>
      </c>
    </row>
    <row r="4122">
      <c r="M4122" s="14">
        <f>_xlfn.BETA.INV($AA4122,1+4*($D$5-$C$5)/($E$5-$C$5),1+4*($E$5-$D$5)/($E$5-$C$5),$C$5,$E$5)</f>
        <v/>
      </c>
      <c r="N4122" s="14">
        <f>IF($AB4122&lt;($D$6-$C$6)/($E$6-$C$6),$C$6+SQRT($AB4122*($E$6-$C$6)*($D$6-$C$6)),$E$6-SQRT((1-$AB4122)*($E$6-$C$6)*($E$6-$D$6)))</f>
        <v/>
      </c>
      <c r="O4122" s="14">
        <f>_xlfn.NORM.INV($AC4122,$C$7,$D$7)</f>
        <v/>
      </c>
      <c r="P4122" s="14">
        <f>$C$8+($D$8-$C$8)*$AD4122</f>
        <v/>
      </c>
      <c r="Q4122" s="14">
        <f>$C$9</f>
        <v/>
      </c>
      <c r="R4122" s="14">
        <f>_xlfn.LOGNORM.INV($AF4122,LN($C$10)-0.5*LN(1+($D$10/$C$10)^2),SQRT(LN(1+($D$10/$C$10)^2)))</f>
        <v/>
      </c>
      <c r="S4122" s="14">
        <f>SUM(M4122:R4122)</f>
        <v/>
      </c>
      <c r="AA4122">
        <f>RAND()</f>
        <v/>
      </c>
      <c r="AB4122">
        <f>RAND()</f>
        <v/>
      </c>
      <c r="AC4122">
        <f>RAND()</f>
        <v/>
      </c>
      <c r="AD4122">
        <f>RAND()</f>
        <v/>
      </c>
      <c r="AE4122">
        <f>RAND()</f>
        <v/>
      </c>
      <c r="AF4122">
        <f>RAND()</f>
        <v/>
      </c>
    </row>
    <row r="4123">
      <c r="M4123" s="14">
        <f>_xlfn.BETA.INV($AA4123,1+4*($D$5-$C$5)/($E$5-$C$5),1+4*($E$5-$D$5)/($E$5-$C$5),$C$5,$E$5)</f>
        <v/>
      </c>
      <c r="N4123" s="14">
        <f>IF($AB4123&lt;($D$6-$C$6)/($E$6-$C$6),$C$6+SQRT($AB4123*($E$6-$C$6)*($D$6-$C$6)),$E$6-SQRT((1-$AB4123)*($E$6-$C$6)*($E$6-$D$6)))</f>
        <v/>
      </c>
      <c r="O4123" s="14">
        <f>_xlfn.NORM.INV($AC4123,$C$7,$D$7)</f>
        <v/>
      </c>
      <c r="P4123" s="14">
        <f>$C$8+($D$8-$C$8)*$AD4123</f>
        <v/>
      </c>
      <c r="Q4123" s="14">
        <f>$C$9</f>
        <v/>
      </c>
      <c r="R4123" s="14">
        <f>_xlfn.LOGNORM.INV($AF4123,LN($C$10)-0.5*LN(1+($D$10/$C$10)^2),SQRT(LN(1+($D$10/$C$10)^2)))</f>
        <v/>
      </c>
      <c r="S4123" s="14">
        <f>SUM(M4123:R4123)</f>
        <v/>
      </c>
      <c r="AA4123">
        <f>RAND()</f>
        <v/>
      </c>
      <c r="AB4123">
        <f>RAND()</f>
        <v/>
      </c>
      <c r="AC4123">
        <f>RAND()</f>
        <v/>
      </c>
      <c r="AD4123">
        <f>RAND()</f>
        <v/>
      </c>
      <c r="AE4123">
        <f>RAND()</f>
        <v/>
      </c>
      <c r="AF4123">
        <f>RAND()</f>
        <v/>
      </c>
    </row>
    <row r="4124">
      <c r="M4124" s="14">
        <f>_xlfn.BETA.INV($AA4124,1+4*($D$5-$C$5)/($E$5-$C$5),1+4*($E$5-$D$5)/($E$5-$C$5),$C$5,$E$5)</f>
        <v/>
      </c>
      <c r="N4124" s="14">
        <f>IF($AB4124&lt;($D$6-$C$6)/($E$6-$C$6),$C$6+SQRT($AB4124*($E$6-$C$6)*($D$6-$C$6)),$E$6-SQRT((1-$AB4124)*($E$6-$C$6)*($E$6-$D$6)))</f>
        <v/>
      </c>
      <c r="O4124" s="14">
        <f>_xlfn.NORM.INV($AC4124,$C$7,$D$7)</f>
        <v/>
      </c>
      <c r="P4124" s="14">
        <f>$C$8+($D$8-$C$8)*$AD4124</f>
        <v/>
      </c>
      <c r="Q4124" s="14">
        <f>$C$9</f>
        <v/>
      </c>
      <c r="R4124" s="14">
        <f>_xlfn.LOGNORM.INV($AF4124,LN($C$10)-0.5*LN(1+($D$10/$C$10)^2),SQRT(LN(1+($D$10/$C$10)^2)))</f>
        <v/>
      </c>
      <c r="S4124" s="14">
        <f>SUM(M4124:R4124)</f>
        <v/>
      </c>
      <c r="AA4124">
        <f>RAND()</f>
        <v/>
      </c>
      <c r="AB4124">
        <f>RAND()</f>
        <v/>
      </c>
      <c r="AC4124">
        <f>RAND()</f>
        <v/>
      </c>
      <c r="AD4124">
        <f>RAND()</f>
        <v/>
      </c>
      <c r="AE4124">
        <f>RAND()</f>
        <v/>
      </c>
      <c r="AF4124">
        <f>RAND()</f>
        <v/>
      </c>
    </row>
    <row r="4125">
      <c r="M4125" s="14">
        <f>_xlfn.BETA.INV($AA4125,1+4*($D$5-$C$5)/($E$5-$C$5),1+4*($E$5-$D$5)/($E$5-$C$5),$C$5,$E$5)</f>
        <v/>
      </c>
      <c r="N4125" s="14">
        <f>IF($AB4125&lt;($D$6-$C$6)/($E$6-$C$6),$C$6+SQRT($AB4125*($E$6-$C$6)*($D$6-$C$6)),$E$6-SQRT((1-$AB4125)*($E$6-$C$6)*($E$6-$D$6)))</f>
        <v/>
      </c>
      <c r="O4125" s="14">
        <f>_xlfn.NORM.INV($AC4125,$C$7,$D$7)</f>
        <v/>
      </c>
      <c r="P4125" s="14">
        <f>$C$8+($D$8-$C$8)*$AD4125</f>
        <v/>
      </c>
      <c r="Q4125" s="14">
        <f>$C$9</f>
        <v/>
      </c>
      <c r="R4125" s="14">
        <f>_xlfn.LOGNORM.INV($AF4125,LN($C$10)-0.5*LN(1+($D$10/$C$10)^2),SQRT(LN(1+($D$10/$C$10)^2)))</f>
        <v/>
      </c>
      <c r="S4125" s="14">
        <f>SUM(M4125:R4125)</f>
        <v/>
      </c>
      <c r="AA4125">
        <f>RAND()</f>
        <v/>
      </c>
      <c r="AB4125">
        <f>RAND()</f>
        <v/>
      </c>
      <c r="AC4125">
        <f>RAND()</f>
        <v/>
      </c>
      <c r="AD4125">
        <f>RAND()</f>
        <v/>
      </c>
      <c r="AE4125">
        <f>RAND()</f>
        <v/>
      </c>
      <c r="AF4125">
        <f>RAND()</f>
        <v/>
      </c>
    </row>
    <row r="4126">
      <c r="M4126" s="14">
        <f>_xlfn.BETA.INV($AA4126,1+4*($D$5-$C$5)/($E$5-$C$5),1+4*($E$5-$D$5)/($E$5-$C$5),$C$5,$E$5)</f>
        <v/>
      </c>
      <c r="N4126" s="14">
        <f>IF($AB4126&lt;($D$6-$C$6)/($E$6-$C$6),$C$6+SQRT($AB4126*($E$6-$C$6)*($D$6-$C$6)),$E$6-SQRT((1-$AB4126)*($E$6-$C$6)*($E$6-$D$6)))</f>
        <v/>
      </c>
      <c r="O4126" s="14">
        <f>_xlfn.NORM.INV($AC4126,$C$7,$D$7)</f>
        <v/>
      </c>
      <c r="P4126" s="14">
        <f>$C$8+($D$8-$C$8)*$AD4126</f>
        <v/>
      </c>
      <c r="Q4126" s="14">
        <f>$C$9</f>
        <v/>
      </c>
      <c r="R4126" s="14">
        <f>_xlfn.LOGNORM.INV($AF4126,LN($C$10)-0.5*LN(1+($D$10/$C$10)^2),SQRT(LN(1+($D$10/$C$10)^2)))</f>
        <v/>
      </c>
      <c r="S4126" s="14">
        <f>SUM(M4126:R4126)</f>
        <v/>
      </c>
      <c r="AA4126">
        <f>RAND()</f>
        <v/>
      </c>
      <c r="AB4126">
        <f>RAND()</f>
        <v/>
      </c>
      <c r="AC4126">
        <f>RAND()</f>
        <v/>
      </c>
      <c r="AD4126">
        <f>RAND()</f>
        <v/>
      </c>
      <c r="AE4126">
        <f>RAND()</f>
        <v/>
      </c>
      <c r="AF4126">
        <f>RAND()</f>
        <v/>
      </c>
    </row>
    <row r="4127">
      <c r="M4127" s="14">
        <f>_xlfn.BETA.INV($AA4127,1+4*($D$5-$C$5)/($E$5-$C$5),1+4*($E$5-$D$5)/($E$5-$C$5),$C$5,$E$5)</f>
        <v/>
      </c>
      <c r="N4127" s="14">
        <f>IF($AB4127&lt;($D$6-$C$6)/($E$6-$C$6),$C$6+SQRT($AB4127*($E$6-$C$6)*($D$6-$C$6)),$E$6-SQRT((1-$AB4127)*($E$6-$C$6)*($E$6-$D$6)))</f>
        <v/>
      </c>
      <c r="O4127" s="14">
        <f>_xlfn.NORM.INV($AC4127,$C$7,$D$7)</f>
        <v/>
      </c>
      <c r="P4127" s="14">
        <f>$C$8+($D$8-$C$8)*$AD4127</f>
        <v/>
      </c>
      <c r="Q4127" s="14">
        <f>$C$9</f>
        <v/>
      </c>
      <c r="R4127" s="14">
        <f>_xlfn.LOGNORM.INV($AF4127,LN($C$10)-0.5*LN(1+($D$10/$C$10)^2),SQRT(LN(1+($D$10/$C$10)^2)))</f>
        <v/>
      </c>
      <c r="S4127" s="14">
        <f>SUM(M4127:R4127)</f>
        <v/>
      </c>
      <c r="AA4127">
        <f>RAND()</f>
        <v/>
      </c>
      <c r="AB4127">
        <f>RAND()</f>
        <v/>
      </c>
      <c r="AC4127">
        <f>RAND()</f>
        <v/>
      </c>
      <c r="AD4127">
        <f>RAND()</f>
        <v/>
      </c>
      <c r="AE4127">
        <f>RAND()</f>
        <v/>
      </c>
      <c r="AF4127">
        <f>RAND()</f>
        <v/>
      </c>
    </row>
    <row r="4128">
      <c r="M4128" s="14">
        <f>_xlfn.BETA.INV($AA4128,1+4*($D$5-$C$5)/($E$5-$C$5),1+4*($E$5-$D$5)/($E$5-$C$5),$C$5,$E$5)</f>
        <v/>
      </c>
      <c r="N4128" s="14">
        <f>IF($AB4128&lt;($D$6-$C$6)/($E$6-$C$6),$C$6+SQRT($AB4128*($E$6-$C$6)*($D$6-$C$6)),$E$6-SQRT((1-$AB4128)*($E$6-$C$6)*($E$6-$D$6)))</f>
        <v/>
      </c>
      <c r="O4128" s="14">
        <f>_xlfn.NORM.INV($AC4128,$C$7,$D$7)</f>
        <v/>
      </c>
      <c r="P4128" s="14">
        <f>$C$8+($D$8-$C$8)*$AD4128</f>
        <v/>
      </c>
      <c r="Q4128" s="14">
        <f>$C$9</f>
        <v/>
      </c>
      <c r="R4128" s="14">
        <f>_xlfn.LOGNORM.INV($AF4128,LN($C$10)-0.5*LN(1+($D$10/$C$10)^2),SQRT(LN(1+($D$10/$C$10)^2)))</f>
        <v/>
      </c>
      <c r="S4128" s="14">
        <f>SUM(M4128:R4128)</f>
        <v/>
      </c>
      <c r="AA4128">
        <f>RAND()</f>
        <v/>
      </c>
      <c r="AB4128">
        <f>RAND()</f>
        <v/>
      </c>
      <c r="AC4128">
        <f>RAND()</f>
        <v/>
      </c>
      <c r="AD4128">
        <f>RAND()</f>
        <v/>
      </c>
      <c r="AE4128">
        <f>RAND()</f>
        <v/>
      </c>
      <c r="AF4128">
        <f>RAND()</f>
        <v/>
      </c>
    </row>
    <row r="4129">
      <c r="M4129" s="14">
        <f>_xlfn.BETA.INV($AA4129,1+4*($D$5-$C$5)/($E$5-$C$5),1+4*($E$5-$D$5)/($E$5-$C$5),$C$5,$E$5)</f>
        <v/>
      </c>
      <c r="N4129" s="14">
        <f>IF($AB4129&lt;($D$6-$C$6)/($E$6-$C$6),$C$6+SQRT($AB4129*($E$6-$C$6)*($D$6-$C$6)),$E$6-SQRT((1-$AB4129)*($E$6-$C$6)*($E$6-$D$6)))</f>
        <v/>
      </c>
      <c r="O4129" s="14">
        <f>_xlfn.NORM.INV($AC4129,$C$7,$D$7)</f>
        <v/>
      </c>
      <c r="P4129" s="14">
        <f>$C$8+($D$8-$C$8)*$AD4129</f>
        <v/>
      </c>
      <c r="Q4129" s="14">
        <f>$C$9</f>
        <v/>
      </c>
      <c r="R4129" s="14">
        <f>_xlfn.LOGNORM.INV($AF4129,LN($C$10)-0.5*LN(1+($D$10/$C$10)^2),SQRT(LN(1+($D$10/$C$10)^2)))</f>
        <v/>
      </c>
      <c r="S4129" s="14">
        <f>SUM(M4129:R4129)</f>
        <v/>
      </c>
      <c r="AA4129">
        <f>RAND()</f>
        <v/>
      </c>
      <c r="AB4129">
        <f>RAND()</f>
        <v/>
      </c>
      <c r="AC4129">
        <f>RAND()</f>
        <v/>
      </c>
      <c r="AD4129">
        <f>RAND()</f>
        <v/>
      </c>
      <c r="AE4129">
        <f>RAND()</f>
        <v/>
      </c>
      <c r="AF4129">
        <f>RAND()</f>
        <v/>
      </c>
    </row>
    <row r="4130">
      <c r="M4130" s="14">
        <f>_xlfn.BETA.INV($AA4130,1+4*($D$5-$C$5)/($E$5-$C$5),1+4*($E$5-$D$5)/($E$5-$C$5),$C$5,$E$5)</f>
        <v/>
      </c>
      <c r="N4130" s="14">
        <f>IF($AB4130&lt;($D$6-$C$6)/($E$6-$C$6),$C$6+SQRT($AB4130*($E$6-$C$6)*($D$6-$C$6)),$E$6-SQRT((1-$AB4130)*($E$6-$C$6)*($E$6-$D$6)))</f>
        <v/>
      </c>
      <c r="O4130" s="14">
        <f>_xlfn.NORM.INV($AC4130,$C$7,$D$7)</f>
        <v/>
      </c>
      <c r="P4130" s="14">
        <f>$C$8+($D$8-$C$8)*$AD4130</f>
        <v/>
      </c>
      <c r="Q4130" s="14">
        <f>$C$9</f>
        <v/>
      </c>
      <c r="R4130" s="14">
        <f>_xlfn.LOGNORM.INV($AF4130,LN($C$10)-0.5*LN(1+($D$10/$C$10)^2),SQRT(LN(1+($D$10/$C$10)^2)))</f>
        <v/>
      </c>
      <c r="S4130" s="14">
        <f>SUM(M4130:R4130)</f>
        <v/>
      </c>
      <c r="AA4130">
        <f>RAND()</f>
        <v/>
      </c>
      <c r="AB4130">
        <f>RAND()</f>
        <v/>
      </c>
      <c r="AC4130">
        <f>RAND()</f>
        <v/>
      </c>
      <c r="AD4130">
        <f>RAND()</f>
        <v/>
      </c>
      <c r="AE4130">
        <f>RAND()</f>
        <v/>
      </c>
      <c r="AF4130">
        <f>RAND()</f>
        <v/>
      </c>
    </row>
    <row r="4131">
      <c r="M4131" s="14">
        <f>_xlfn.BETA.INV($AA4131,1+4*($D$5-$C$5)/($E$5-$C$5),1+4*($E$5-$D$5)/($E$5-$C$5),$C$5,$E$5)</f>
        <v/>
      </c>
      <c r="N4131" s="14">
        <f>IF($AB4131&lt;($D$6-$C$6)/($E$6-$C$6),$C$6+SQRT($AB4131*($E$6-$C$6)*($D$6-$C$6)),$E$6-SQRT((1-$AB4131)*($E$6-$C$6)*($E$6-$D$6)))</f>
        <v/>
      </c>
      <c r="O4131" s="14">
        <f>_xlfn.NORM.INV($AC4131,$C$7,$D$7)</f>
        <v/>
      </c>
      <c r="P4131" s="14">
        <f>$C$8+($D$8-$C$8)*$AD4131</f>
        <v/>
      </c>
      <c r="Q4131" s="14">
        <f>$C$9</f>
        <v/>
      </c>
      <c r="R4131" s="14">
        <f>_xlfn.LOGNORM.INV($AF4131,LN($C$10)-0.5*LN(1+($D$10/$C$10)^2),SQRT(LN(1+($D$10/$C$10)^2)))</f>
        <v/>
      </c>
      <c r="S4131" s="14">
        <f>SUM(M4131:R4131)</f>
        <v/>
      </c>
      <c r="AA4131">
        <f>RAND()</f>
        <v/>
      </c>
      <c r="AB4131">
        <f>RAND()</f>
        <v/>
      </c>
      <c r="AC4131">
        <f>RAND()</f>
        <v/>
      </c>
      <c r="AD4131">
        <f>RAND()</f>
        <v/>
      </c>
      <c r="AE4131">
        <f>RAND()</f>
        <v/>
      </c>
      <c r="AF4131">
        <f>RAND()</f>
        <v/>
      </c>
    </row>
    <row r="4132">
      <c r="M4132" s="14">
        <f>_xlfn.BETA.INV($AA4132,1+4*($D$5-$C$5)/($E$5-$C$5),1+4*($E$5-$D$5)/($E$5-$C$5),$C$5,$E$5)</f>
        <v/>
      </c>
      <c r="N4132" s="14">
        <f>IF($AB4132&lt;($D$6-$C$6)/($E$6-$C$6),$C$6+SQRT($AB4132*($E$6-$C$6)*($D$6-$C$6)),$E$6-SQRT((1-$AB4132)*($E$6-$C$6)*($E$6-$D$6)))</f>
        <v/>
      </c>
      <c r="O4132" s="14">
        <f>_xlfn.NORM.INV($AC4132,$C$7,$D$7)</f>
        <v/>
      </c>
      <c r="P4132" s="14">
        <f>$C$8+($D$8-$C$8)*$AD4132</f>
        <v/>
      </c>
      <c r="Q4132" s="14">
        <f>$C$9</f>
        <v/>
      </c>
      <c r="R4132" s="14">
        <f>_xlfn.LOGNORM.INV($AF4132,LN($C$10)-0.5*LN(1+($D$10/$C$10)^2),SQRT(LN(1+($D$10/$C$10)^2)))</f>
        <v/>
      </c>
      <c r="S4132" s="14">
        <f>SUM(M4132:R4132)</f>
        <v/>
      </c>
      <c r="AA4132">
        <f>RAND()</f>
        <v/>
      </c>
      <c r="AB4132">
        <f>RAND()</f>
        <v/>
      </c>
      <c r="AC4132">
        <f>RAND()</f>
        <v/>
      </c>
      <c r="AD4132">
        <f>RAND()</f>
        <v/>
      </c>
      <c r="AE4132">
        <f>RAND()</f>
        <v/>
      </c>
      <c r="AF4132">
        <f>RAND()</f>
        <v/>
      </c>
    </row>
    <row r="4133">
      <c r="M4133" s="14">
        <f>_xlfn.BETA.INV($AA4133,1+4*($D$5-$C$5)/($E$5-$C$5),1+4*($E$5-$D$5)/($E$5-$C$5),$C$5,$E$5)</f>
        <v/>
      </c>
      <c r="N4133" s="14">
        <f>IF($AB4133&lt;($D$6-$C$6)/($E$6-$C$6),$C$6+SQRT($AB4133*($E$6-$C$6)*($D$6-$C$6)),$E$6-SQRT((1-$AB4133)*($E$6-$C$6)*($E$6-$D$6)))</f>
        <v/>
      </c>
      <c r="O4133" s="14">
        <f>_xlfn.NORM.INV($AC4133,$C$7,$D$7)</f>
        <v/>
      </c>
      <c r="P4133" s="14">
        <f>$C$8+($D$8-$C$8)*$AD4133</f>
        <v/>
      </c>
      <c r="Q4133" s="14">
        <f>$C$9</f>
        <v/>
      </c>
      <c r="R4133" s="14">
        <f>_xlfn.LOGNORM.INV($AF4133,LN($C$10)-0.5*LN(1+($D$10/$C$10)^2),SQRT(LN(1+($D$10/$C$10)^2)))</f>
        <v/>
      </c>
      <c r="S4133" s="14">
        <f>SUM(M4133:R4133)</f>
        <v/>
      </c>
      <c r="AA4133">
        <f>RAND()</f>
        <v/>
      </c>
      <c r="AB4133">
        <f>RAND()</f>
        <v/>
      </c>
      <c r="AC4133">
        <f>RAND()</f>
        <v/>
      </c>
      <c r="AD4133">
        <f>RAND()</f>
        <v/>
      </c>
      <c r="AE4133">
        <f>RAND()</f>
        <v/>
      </c>
      <c r="AF4133">
        <f>RAND()</f>
        <v/>
      </c>
    </row>
    <row r="4134">
      <c r="M4134" s="14">
        <f>_xlfn.BETA.INV($AA4134,1+4*($D$5-$C$5)/($E$5-$C$5),1+4*($E$5-$D$5)/($E$5-$C$5),$C$5,$E$5)</f>
        <v/>
      </c>
      <c r="N4134" s="14">
        <f>IF($AB4134&lt;($D$6-$C$6)/($E$6-$C$6),$C$6+SQRT($AB4134*($E$6-$C$6)*($D$6-$C$6)),$E$6-SQRT((1-$AB4134)*($E$6-$C$6)*($E$6-$D$6)))</f>
        <v/>
      </c>
      <c r="O4134" s="14">
        <f>_xlfn.NORM.INV($AC4134,$C$7,$D$7)</f>
        <v/>
      </c>
      <c r="P4134" s="14">
        <f>$C$8+($D$8-$C$8)*$AD4134</f>
        <v/>
      </c>
      <c r="Q4134" s="14">
        <f>$C$9</f>
        <v/>
      </c>
      <c r="R4134" s="14">
        <f>_xlfn.LOGNORM.INV($AF4134,LN($C$10)-0.5*LN(1+($D$10/$C$10)^2),SQRT(LN(1+($D$10/$C$10)^2)))</f>
        <v/>
      </c>
      <c r="S4134" s="14">
        <f>SUM(M4134:R4134)</f>
        <v/>
      </c>
      <c r="AA4134">
        <f>RAND()</f>
        <v/>
      </c>
      <c r="AB4134">
        <f>RAND()</f>
        <v/>
      </c>
      <c r="AC4134">
        <f>RAND()</f>
        <v/>
      </c>
      <c r="AD4134">
        <f>RAND()</f>
        <v/>
      </c>
      <c r="AE4134">
        <f>RAND()</f>
        <v/>
      </c>
      <c r="AF4134">
        <f>RAND()</f>
        <v/>
      </c>
    </row>
    <row r="4135">
      <c r="M4135" s="14">
        <f>_xlfn.BETA.INV($AA4135,1+4*($D$5-$C$5)/($E$5-$C$5),1+4*($E$5-$D$5)/($E$5-$C$5),$C$5,$E$5)</f>
        <v/>
      </c>
      <c r="N4135" s="14">
        <f>IF($AB4135&lt;($D$6-$C$6)/($E$6-$C$6),$C$6+SQRT($AB4135*($E$6-$C$6)*($D$6-$C$6)),$E$6-SQRT((1-$AB4135)*($E$6-$C$6)*($E$6-$D$6)))</f>
        <v/>
      </c>
      <c r="O4135" s="14">
        <f>_xlfn.NORM.INV($AC4135,$C$7,$D$7)</f>
        <v/>
      </c>
      <c r="P4135" s="14">
        <f>$C$8+($D$8-$C$8)*$AD4135</f>
        <v/>
      </c>
      <c r="Q4135" s="14">
        <f>$C$9</f>
        <v/>
      </c>
      <c r="R4135" s="14">
        <f>_xlfn.LOGNORM.INV($AF4135,LN($C$10)-0.5*LN(1+($D$10/$C$10)^2),SQRT(LN(1+($D$10/$C$10)^2)))</f>
        <v/>
      </c>
      <c r="S4135" s="14">
        <f>SUM(M4135:R4135)</f>
        <v/>
      </c>
      <c r="AA4135">
        <f>RAND()</f>
        <v/>
      </c>
      <c r="AB4135">
        <f>RAND()</f>
        <v/>
      </c>
      <c r="AC4135">
        <f>RAND()</f>
        <v/>
      </c>
      <c r="AD4135">
        <f>RAND()</f>
        <v/>
      </c>
      <c r="AE4135">
        <f>RAND()</f>
        <v/>
      </c>
      <c r="AF4135">
        <f>RAND()</f>
        <v/>
      </c>
    </row>
    <row r="4136">
      <c r="M4136" s="14">
        <f>_xlfn.BETA.INV($AA4136,1+4*($D$5-$C$5)/($E$5-$C$5),1+4*($E$5-$D$5)/($E$5-$C$5),$C$5,$E$5)</f>
        <v/>
      </c>
      <c r="N4136" s="14">
        <f>IF($AB4136&lt;($D$6-$C$6)/($E$6-$C$6),$C$6+SQRT($AB4136*($E$6-$C$6)*($D$6-$C$6)),$E$6-SQRT((1-$AB4136)*($E$6-$C$6)*($E$6-$D$6)))</f>
        <v/>
      </c>
      <c r="O4136" s="14">
        <f>_xlfn.NORM.INV($AC4136,$C$7,$D$7)</f>
        <v/>
      </c>
      <c r="P4136" s="14">
        <f>$C$8+($D$8-$C$8)*$AD4136</f>
        <v/>
      </c>
      <c r="Q4136" s="14">
        <f>$C$9</f>
        <v/>
      </c>
      <c r="R4136" s="14">
        <f>_xlfn.LOGNORM.INV($AF4136,LN($C$10)-0.5*LN(1+($D$10/$C$10)^2),SQRT(LN(1+($D$10/$C$10)^2)))</f>
        <v/>
      </c>
      <c r="S4136" s="14">
        <f>SUM(M4136:R4136)</f>
        <v/>
      </c>
      <c r="AA4136">
        <f>RAND()</f>
        <v/>
      </c>
      <c r="AB4136">
        <f>RAND()</f>
        <v/>
      </c>
      <c r="AC4136">
        <f>RAND()</f>
        <v/>
      </c>
      <c r="AD4136">
        <f>RAND()</f>
        <v/>
      </c>
      <c r="AE4136">
        <f>RAND()</f>
        <v/>
      </c>
      <c r="AF4136">
        <f>RAND()</f>
        <v/>
      </c>
    </row>
    <row r="4137">
      <c r="M4137" s="14">
        <f>_xlfn.BETA.INV($AA4137,1+4*($D$5-$C$5)/($E$5-$C$5),1+4*($E$5-$D$5)/($E$5-$C$5),$C$5,$E$5)</f>
        <v/>
      </c>
      <c r="N4137" s="14">
        <f>IF($AB4137&lt;($D$6-$C$6)/($E$6-$C$6),$C$6+SQRT($AB4137*($E$6-$C$6)*($D$6-$C$6)),$E$6-SQRT((1-$AB4137)*($E$6-$C$6)*($E$6-$D$6)))</f>
        <v/>
      </c>
      <c r="O4137" s="14">
        <f>_xlfn.NORM.INV($AC4137,$C$7,$D$7)</f>
        <v/>
      </c>
      <c r="P4137" s="14">
        <f>$C$8+($D$8-$C$8)*$AD4137</f>
        <v/>
      </c>
      <c r="Q4137" s="14">
        <f>$C$9</f>
        <v/>
      </c>
      <c r="R4137" s="14">
        <f>_xlfn.LOGNORM.INV($AF4137,LN($C$10)-0.5*LN(1+($D$10/$C$10)^2),SQRT(LN(1+($D$10/$C$10)^2)))</f>
        <v/>
      </c>
      <c r="S4137" s="14">
        <f>SUM(M4137:R4137)</f>
        <v/>
      </c>
      <c r="AA4137">
        <f>RAND()</f>
        <v/>
      </c>
      <c r="AB4137">
        <f>RAND()</f>
        <v/>
      </c>
      <c r="AC4137">
        <f>RAND()</f>
        <v/>
      </c>
      <c r="AD4137">
        <f>RAND()</f>
        <v/>
      </c>
      <c r="AE4137">
        <f>RAND()</f>
        <v/>
      </c>
      <c r="AF4137">
        <f>RAND()</f>
        <v/>
      </c>
    </row>
    <row r="4138">
      <c r="M4138" s="14">
        <f>_xlfn.BETA.INV($AA4138,1+4*($D$5-$C$5)/($E$5-$C$5),1+4*($E$5-$D$5)/($E$5-$C$5),$C$5,$E$5)</f>
        <v/>
      </c>
      <c r="N4138" s="14">
        <f>IF($AB4138&lt;($D$6-$C$6)/($E$6-$C$6),$C$6+SQRT($AB4138*($E$6-$C$6)*($D$6-$C$6)),$E$6-SQRT((1-$AB4138)*($E$6-$C$6)*($E$6-$D$6)))</f>
        <v/>
      </c>
      <c r="O4138" s="14">
        <f>_xlfn.NORM.INV($AC4138,$C$7,$D$7)</f>
        <v/>
      </c>
      <c r="P4138" s="14">
        <f>$C$8+($D$8-$C$8)*$AD4138</f>
        <v/>
      </c>
      <c r="Q4138" s="14">
        <f>$C$9</f>
        <v/>
      </c>
      <c r="R4138" s="14">
        <f>_xlfn.LOGNORM.INV($AF4138,LN($C$10)-0.5*LN(1+($D$10/$C$10)^2),SQRT(LN(1+($D$10/$C$10)^2)))</f>
        <v/>
      </c>
      <c r="S4138" s="14">
        <f>SUM(M4138:R4138)</f>
        <v/>
      </c>
      <c r="AA4138">
        <f>RAND()</f>
        <v/>
      </c>
      <c r="AB4138">
        <f>RAND()</f>
        <v/>
      </c>
      <c r="AC4138">
        <f>RAND()</f>
        <v/>
      </c>
      <c r="AD4138">
        <f>RAND()</f>
        <v/>
      </c>
      <c r="AE4138">
        <f>RAND()</f>
        <v/>
      </c>
      <c r="AF4138">
        <f>RAND()</f>
        <v/>
      </c>
    </row>
    <row r="4139">
      <c r="M4139" s="14">
        <f>_xlfn.BETA.INV($AA4139,1+4*($D$5-$C$5)/($E$5-$C$5),1+4*($E$5-$D$5)/($E$5-$C$5),$C$5,$E$5)</f>
        <v/>
      </c>
      <c r="N4139" s="14">
        <f>IF($AB4139&lt;($D$6-$C$6)/($E$6-$C$6),$C$6+SQRT($AB4139*($E$6-$C$6)*($D$6-$C$6)),$E$6-SQRT((1-$AB4139)*($E$6-$C$6)*($E$6-$D$6)))</f>
        <v/>
      </c>
      <c r="O4139" s="14">
        <f>_xlfn.NORM.INV($AC4139,$C$7,$D$7)</f>
        <v/>
      </c>
      <c r="P4139" s="14">
        <f>$C$8+($D$8-$C$8)*$AD4139</f>
        <v/>
      </c>
      <c r="Q4139" s="14">
        <f>$C$9</f>
        <v/>
      </c>
      <c r="R4139" s="14">
        <f>_xlfn.LOGNORM.INV($AF4139,LN($C$10)-0.5*LN(1+($D$10/$C$10)^2),SQRT(LN(1+($D$10/$C$10)^2)))</f>
        <v/>
      </c>
      <c r="S4139" s="14">
        <f>SUM(M4139:R4139)</f>
        <v/>
      </c>
      <c r="AA4139">
        <f>RAND()</f>
        <v/>
      </c>
      <c r="AB4139">
        <f>RAND()</f>
        <v/>
      </c>
      <c r="AC4139">
        <f>RAND()</f>
        <v/>
      </c>
      <c r="AD4139">
        <f>RAND()</f>
        <v/>
      </c>
      <c r="AE4139">
        <f>RAND()</f>
        <v/>
      </c>
      <c r="AF4139">
        <f>RAND()</f>
        <v/>
      </c>
    </row>
    <row r="4140">
      <c r="M4140" s="14">
        <f>_xlfn.BETA.INV($AA4140,1+4*($D$5-$C$5)/($E$5-$C$5),1+4*($E$5-$D$5)/($E$5-$C$5),$C$5,$E$5)</f>
        <v/>
      </c>
      <c r="N4140" s="14">
        <f>IF($AB4140&lt;($D$6-$C$6)/($E$6-$C$6),$C$6+SQRT($AB4140*($E$6-$C$6)*($D$6-$C$6)),$E$6-SQRT((1-$AB4140)*($E$6-$C$6)*($E$6-$D$6)))</f>
        <v/>
      </c>
      <c r="O4140" s="14">
        <f>_xlfn.NORM.INV($AC4140,$C$7,$D$7)</f>
        <v/>
      </c>
      <c r="P4140" s="14">
        <f>$C$8+($D$8-$C$8)*$AD4140</f>
        <v/>
      </c>
      <c r="Q4140" s="14">
        <f>$C$9</f>
        <v/>
      </c>
      <c r="R4140" s="14">
        <f>_xlfn.LOGNORM.INV($AF4140,LN($C$10)-0.5*LN(1+($D$10/$C$10)^2),SQRT(LN(1+($D$10/$C$10)^2)))</f>
        <v/>
      </c>
      <c r="S4140" s="14">
        <f>SUM(M4140:R4140)</f>
        <v/>
      </c>
      <c r="AA4140">
        <f>RAND()</f>
        <v/>
      </c>
      <c r="AB4140">
        <f>RAND()</f>
        <v/>
      </c>
      <c r="AC4140">
        <f>RAND()</f>
        <v/>
      </c>
      <c r="AD4140">
        <f>RAND()</f>
        <v/>
      </c>
      <c r="AE4140">
        <f>RAND()</f>
        <v/>
      </c>
      <c r="AF4140">
        <f>RAND()</f>
        <v/>
      </c>
    </row>
    <row r="4141">
      <c r="M4141" s="14">
        <f>_xlfn.BETA.INV($AA4141,1+4*($D$5-$C$5)/($E$5-$C$5),1+4*($E$5-$D$5)/($E$5-$C$5),$C$5,$E$5)</f>
        <v/>
      </c>
      <c r="N4141" s="14">
        <f>IF($AB4141&lt;($D$6-$C$6)/($E$6-$C$6),$C$6+SQRT($AB4141*($E$6-$C$6)*($D$6-$C$6)),$E$6-SQRT((1-$AB4141)*($E$6-$C$6)*($E$6-$D$6)))</f>
        <v/>
      </c>
      <c r="O4141" s="14">
        <f>_xlfn.NORM.INV($AC4141,$C$7,$D$7)</f>
        <v/>
      </c>
      <c r="P4141" s="14">
        <f>$C$8+($D$8-$C$8)*$AD4141</f>
        <v/>
      </c>
      <c r="Q4141" s="14">
        <f>$C$9</f>
        <v/>
      </c>
      <c r="R4141" s="14">
        <f>_xlfn.LOGNORM.INV($AF4141,LN($C$10)-0.5*LN(1+($D$10/$C$10)^2),SQRT(LN(1+($D$10/$C$10)^2)))</f>
        <v/>
      </c>
      <c r="S4141" s="14">
        <f>SUM(M4141:R4141)</f>
        <v/>
      </c>
      <c r="AA4141">
        <f>RAND()</f>
        <v/>
      </c>
      <c r="AB4141">
        <f>RAND()</f>
        <v/>
      </c>
      <c r="AC4141">
        <f>RAND()</f>
        <v/>
      </c>
      <c r="AD4141">
        <f>RAND()</f>
        <v/>
      </c>
      <c r="AE4141">
        <f>RAND()</f>
        <v/>
      </c>
      <c r="AF4141">
        <f>RAND()</f>
        <v/>
      </c>
    </row>
    <row r="4142">
      <c r="M4142" s="14">
        <f>_xlfn.BETA.INV($AA4142,1+4*($D$5-$C$5)/($E$5-$C$5),1+4*($E$5-$D$5)/($E$5-$C$5),$C$5,$E$5)</f>
        <v/>
      </c>
      <c r="N4142" s="14">
        <f>IF($AB4142&lt;($D$6-$C$6)/($E$6-$C$6),$C$6+SQRT($AB4142*($E$6-$C$6)*($D$6-$C$6)),$E$6-SQRT((1-$AB4142)*($E$6-$C$6)*($E$6-$D$6)))</f>
        <v/>
      </c>
      <c r="O4142" s="14">
        <f>_xlfn.NORM.INV($AC4142,$C$7,$D$7)</f>
        <v/>
      </c>
      <c r="P4142" s="14">
        <f>$C$8+($D$8-$C$8)*$AD4142</f>
        <v/>
      </c>
      <c r="Q4142" s="14">
        <f>$C$9</f>
        <v/>
      </c>
      <c r="R4142" s="14">
        <f>_xlfn.LOGNORM.INV($AF4142,LN($C$10)-0.5*LN(1+($D$10/$C$10)^2),SQRT(LN(1+($D$10/$C$10)^2)))</f>
        <v/>
      </c>
      <c r="S4142" s="14">
        <f>SUM(M4142:R4142)</f>
        <v/>
      </c>
      <c r="AA4142">
        <f>RAND()</f>
        <v/>
      </c>
      <c r="AB4142">
        <f>RAND()</f>
        <v/>
      </c>
      <c r="AC4142">
        <f>RAND()</f>
        <v/>
      </c>
      <c r="AD4142">
        <f>RAND()</f>
        <v/>
      </c>
      <c r="AE4142">
        <f>RAND()</f>
        <v/>
      </c>
      <c r="AF4142">
        <f>RAND()</f>
        <v/>
      </c>
    </row>
    <row r="4143">
      <c r="M4143" s="14">
        <f>_xlfn.BETA.INV($AA4143,1+4*($D$5-$C$5)/($E$5-$C$5),1+4*($E$5-$D$5)/($E$5-$C$5),$C$5,$E$5)</f>
        <v/>
      </c>
      <c r="N4143" s="14">
        <f>IF($AB4143&lt;($D$6-$C$6)/($E$6-$C$6),$C$6+SQRT($AB4143*($E$6-$C$6)*($D$6-$C$6)),$E$6-SQRT((1-$AB4143)*($E$6-$C$6)*($E$6-$D$6)))</f>
        <v/>
      </c>
      <c r="O4143" s="14">
        <f>_xlfn.NORM.INV($AC4143,$C$7,$D$7)</f>
        <v/>
      </c>
      <c r="P4143" s="14">
        <f>$C$8+($D$8-$C$8)*$AD4143</f>
        <v/>
      </c>
      <c r="Q4143" s="14">
        <f>$C$9</f>
        <v/>
      </c>
      <c r="R4143" s="14">
        <f>_xlfn.LOGNORM.INV($AF4143,LN($C$10)-0.5*LN(1+($D$10/$C$10)^2),SQRT(LN(1+($D$10/$C$10)^2)))</f>
        <v/>
      </c>
      <c r="S4143" s="14">
        <f>SUM(M4143:R4143)</f>
        <v/>
      </c>
      <c r="AA4143">
        <f>RAND()</f>
        <v/>
      </c>
      <c r="AB4143">
        <f>RAND()</f>
        <v/>
      </c>
      <c r="AC4143">
        <f>RAND()</f>
        <v/>
      </c>
      <c r="AD4143">
        <f>RAND()</f>
        <v/>
      </c>
      <c r="AE4143">
        <f>RAND()</f>
        <v/>
      </c>
      <c r="AF4143">
        <f>RAND()</f>
        <v/>
      </c>
    </row>
    <row r="4144">
      <c r="M4144" s="14">
        <f>_xlfn.BETA.INV($AA4144,1+4*($D$5-$C$5)/($E$5-$C$5),1+4*($E$5-$D$5)/($E$5-$C$5),$C$5,$E$5)</f>
        <v/>
      </c>
      <c r="N4144" s="14">
        <f>IF($AB4144&lt;($D$6-$C$6)/($E$6-$C$6),$C$6+SQRT($AB4144*($E$6-$C$6)*($D$6-$C$6)),$E$6-SQRT((1-$AB4144)*($E$6-$C$6)*($E$6-$D$6)))</f>
        <v/>
      </c>
      <c r="O4144" s="14">
        <f>_xlfn.NORM.INV($AC4144,$C$7,$D$7)</f>
        <v/>
      </c>
      <c r="P4144" s="14">
        <f>$C$8+($D$8-$C$8)*$AD4144</f>
        <v/>
      </c>
      <c r="Q4144" s="14">
        <f>$C$9</f>
        <v/>
      </c>
      <c r="R4144" s="14">
        <f>_xlfn.LOGNORM.INV($AF4144,LN($C$10)-0.5*LN(1+($D$10/$C$10)^2),SQRT(LN(1+($D$10/$C$10)^2)))</f>
        <v/>
      </c>
      <c r="S4144" s="14">
        <f>SUM(M4144:R4144)</f>
        <v/>
      </c>
      <c r="AA4144">
        <f>RAND()</f>
        <v/>
      </c>
      <c r="AB4144">
        <f>RAND()</f>
        <v/>
      </c>
      <c r="AC4144">
        <f>RAND()</f>
        <v/>
      </c>
      <c r="AD4144">
        <f>RAND()</f>
        <v/>
      </c>
      <c r="AE4144">
        <f>RAND()</f>
        <v/>
      </c>
      <c r="AF4144">
        <f>RAND()</f>
        <v/>
      </c>
    </row>
    <row r="4145">
      <c r="M4145" s="14">
        <f>_xlfn.BETA.INV($AA4145,1+4*($D$5-$C$5)/($E$5-$C$5),1+4*($E$5-$D$5)/($E$5-$C$5),$C$5,$E$5)</f>
        <v/>
      </c>
      <c r="N4145" s="14">
        <f>IF($AB4145&lt;($D$6-$C$6)/($E$6-$C$6),$C$6+SQRT($AB4145*($E$6-$C$6)*($D$6-$C$6)),$E$6-SQRT((1-$AB4145)*($E$6-$C$6)*($E$6-$D$6)))</f>
        <v/>
      </c>
      <c r="O4145" s="14">
        <f>_xlfn.NORM.INV($AC4145,$C$7,$D$7)</f>
        <v/>
      </c>
      <c r="P4145" s="14">
        <f>$C$8+($D$8-$C$8)*$AD4145</f>
        <v/>
      </c>
      <c r="Q4145" s="14">
        <f>$C$9</f>
        <v/>
      </c>
      <c r="R4145" s="14">
        <f>_xlfn.LOGNORM.INV($AF4145,LN($C$10)-0.5*LN(1+($D$10/$C$10)^2),SQRT(LN(1+($D$10/$C$10)^2)))</f>
        <v/>
      </c>
      <c r="S4145" s="14">
        <f>SUM(M4145:R4145)</f>
        <v/>
      </c>
      <c r="AA4145">
        <f>RAND()</f>
        <v/>
      </c>
      <c r="AB4145">
        <f>RAND()</f>
        <v/>
      </c>
      <c r="AC4145">
        <f>RAND()</f>
        <v/>
      </c>
      <c r="AD4145">
        <f>RAND()</f>
        <v/>
      </c>
      <c r="AE4145">
        <f>RAND()</f>
        <v/>
      </c>
      <c r="AF4145">
        <f>RAND()</f>
        <v/>
      </c>
    </row>
    <row r="4146">
      <c r="M4146" s="14">
        <f>_xlfn.BETA.INV($AA4146,1+4*($D$5-$C$5)/($E$5-$C$5),1+4*($E$5-$D$5)/($E$5-$C$5),$C$5,$E$5)</f>
        <v/>
      </c>
      <c r="N4146" s="14">
        <f>IF($AB4146&lt;($D$6-$C$6)/($E$6-$C$6),$C$6+SQRT($AB4146*($E$6-$C$6)*($D$6-$C$6)),$E$6-SQRT((1-$AB4146)*($E$6-$C$6)*($E$6-$D$6)))</f>
        <v/>
      </c>
      <c r="O4146" s="14">
        <f>_xlfn.NORM.INV($AC4146,$C$7,$D$7)</f>
        <v/>
      </c>
      <c r="P4146" s="14">
        <f>$C$8+($D$8-$C$8)*$AD4146</f>
        <v/>
      </c>
      <c r="Q4146" s="14">
        <f>$C$9</f>
        <v/>
      </c>
      <c r="R4146" s="14">
        <f>_xlfn.LOGNORM.INV($AF4146,LN($C$10)-0.5*LN(1+($D$10/$C$10)^2),SQRT(LN(1+($D$10/$C$10)^2)))</f>
        <v/>
      </c>
      <c r="S4146" s="14">
        <f>SUM(M4146:R4146)</f>
        <v/>
      </c>
      <c r="AA4146">
        <f>RAND()</f>
        <v/>
      </c>
      <c r="AB4146">
        <f>RAND()</f>
        <v/>
      </c>
      <c r="AC4146">
        <f>RAND()</f>
        <v/>
      </c>
      <c r="AD4146">
        <f>RAND()</f>
        <v/>
      </c>
      <c r="AE4146">
        <f>RAND()</f>
        <v/>
      </c>
      <c r="AF4146">
        <f>RAND()</f>
        <v/>
      </c>
    </row>
    <row r="4147">
      <c r="M4147" s="14">
        <f>_xlfn.BETA.INV($AA4147,1+4*($D$5-$C$5)/($E$5-$C$5),1+4*($E$5-$D$5)/($E$5-$C$5),$C$5,$E$5)</f>
        <v/>
      </c>
      <c r="N4147" s="14">
        <f>IF($AB4147&lt;($D$6-$C$6)/($E$6-$C$6),$C$6+SQRT($AB4147*($E$6-$C$6)*($D$6-$C$6)),$E$6-SQRT((1-$AB4147)*($E$6-$C$6)*($E$6-$D$6)))</f>
        <v/>
      </c>
      <c r="O4147" s="14">
        <f>_xlfn.NORM.INV($AC4147,$C$7,$D$7)</f>
        <v/>
      </c>
      <c r="P4147" s="14">
        <f>$C$8+($D$8-$C$8)*$AD4147</f>
        <v/>
      </c>
      <c r="Q4147" s="14">
        <f>$C$9</f>
        <v/>
      </c>
      <c r="R4147" s="14">
        <f>_xlfn.LOGNORM.INV($AF4147,LN($C$10)-0.5*LN(1+($D$10/$C$10)^2),SQRT(LN(1+($D$10/$C$10)^2)))</f>
        <v/>
      </c>
      <c r="S4147" s="14">
        <f>SUM(M4147:R4147)</f>
        <v/>
      </c>
      <c r="AA4147">
        <f>RAND()</f>
        <v/>
      </c>
      <c r="AB4147">
        <f>RAND()</f>
        <v/>
      </c>
      <c r="AC4147">
        <f>RAND()</f>
        <v/>
      </c>
      <c r="AD4147">
        <f>RAND()</f>
        <v/>
      </c>
      <c r="AE4147">
        <f>RAND()</f>
        <v/>
      </c>
      <c r="AF4147">
        <f>RAND()</f>
        <v/>
      </c>
    </row>
    <row r="4148">
      <c r="M4148" s="14">
        <f>_xlfn.BETA.INV($AA4148,1+4*($D$5-$C$5)/($E$5-$C$5),1+4*($E$5-$D$5)/($E$5-$C$5),$C$5,$E$5)</f>
        <v/>
      </c>
      <c r="N4148" s="14">
        <f>IF($AB4148&lt;($D$6-$C$6)/($E$6-$C$6),$C$6+SQRT($AB4148*($E$6-$C$6)*($D$6-$C$6)),$E$6-SQRT((1-$AB4148)*($E$6-$C$6)*($E$6-$D$6)))</f>
        <v/>
      </c>
      <c r="O4148" s="14">
        <f>_xlfn.NORM.INV($AC4148,$C$7,$D$7)</f>
        <v/>
      </c>
      <c r="P4148" s="14">
        <f>$C$8+($D$8-$C$8)*$AD4148</f>
        <v/>
      </c>
      <c r="Q4148" s="14">
        <f>$C$9</f>
        <v/>
      </c>
      <c r="R4148" s="14">
        <f>_xlfn.LOGNORM.INV($AF4148,LN($C$10)-0.5*LN(1+($D$10/$C$10)^2),SQRT(LN(1+($D$10/$C$10)^2)))</f>
        <v/>
      </c>
      <c r="S4148" s="14">
        <f>SUM(M4148:R4148)</f>
        <v/>
      </c>
      <c r="AA4148">
        <f>RAND()</f>
        <v/>
      </c>
      <c r="AB4148">
        <f>RAND()</f>
        <v/>
      </c>
      <c r="AC4148">
        <f>RAND()</f>
        <v/>
      </c>
      <c r="AD4148">
        <f>RAND()</f>
        <v/>
      </c>
      <c r="AE4148">
        <f>RAND()</f>
        <v/>
      </c>
      <c r="AF4148">
        <f>RAND()</f>
        <v/>
      </c>
    </row>
    <row r="4149">
      <c r="M4149" s="14">
        <f>_xlfn.BETA.INV($AA4149,1+4*($D$5-$C$5)/($E$5-$C$5),1+4*($E$5-$D$5)/($E$5-$C$5),$C$5,$E$5)</f>
        <v/>
      </c>
      <c r="N4149" s="14">
        <f>IF($AB4149&lt;($D$6-$C$6)/($E$6-$C$6),$C$6+SQRT($AB4149*($E$6-$C$6)*($D$6-$C$6)),$E$6-SQRT((1-$AB4149)*($E$6-$C$6)*($E$6-$D$6)))</f>
        <v/>
      </c>
      <c r="O4149" s="14">
        <f>_xlfn.NORM.INV($AC4149,$C$7,$D$7)</f>
        <v/>
      </c>
      <c r="P4149" s="14">
        <f>$C$8+($D$8-$C$8)*$AD4149</f>
        <v/>
      </c>
      <c r="Q4149" s="14">
        <f>$C$9</f>
        <v/>
      </c>
      <c r="R4149" s="14">
        <f>_xlfn.LOGNORM.INV($AF4149,LN($C$10)-0.5*LN(1+($D$10/$C$10)^2),SQRT(LN(1+($D$10/$C$10)^2)))</f>
        <v/>
      </c>
      <c r="S4149" s="14">
        <f>SUM(M4149:R4149)</f>
        <v/>
      </c>
      <c r="AA4149">
        <f>RAND()</f>
        <v/>
      </c>
      <c r="AB4149">
        <f>RAND()</f>
        <v/>
      </c>
      <c r="AC4149">
        <f>RAND()</f>
        <v/>
      </c>
      <c r="AD4149">
        <f>RAND()</f>
        <v/>
      </c>
      <c r="AE4149">
        <f>RAND()</f>
        <v/>
      </c>
      <c r="AF4149">
        <f>RAND()</f>
        <v/>
      </c>
    </row>
    <row r="4150">
      <c r="M4150" s="14">
        <f>_xlfn.BETA.INV($AA4150,1+4*($D$5-$C$5)/($E$5-$C$5),1+4*($E$5-$D$5)/($E$5-$C$5),$C$5,$E$5)</f>
        <v/>
      </c>
      <c r="N4150" s="14">
        <f>IF($AB4150&lt;($D$6-$C$6)/($E$6-$C$6),$C$6+SQRT($AB4150*($E$6-$C$6)*($D$6-$C$6)),$E$6-SQRT((1-$AB4150)*($E$6-$C$6)*($E$6-$D$6)))</f>
        <v/>
      </c>
      <c r="O4150" s="14">
        <f>_xlfn.NORM.INV($AC4150,$C$7,$D$7)</f>
        <v/>
      </c>
      <c r="P4150" s="14">
        <f>$C$8+($D$8-$C$8)*$AD4150</f>
        <v/>
      </c>
      <c r="Q4150" s="14">
        <f>$C$9</f>
        <v/>
      </c>
      <c r="R4150" s="14">
        <f>_xlfn.LOGNORM.INV($AF4150,LN($C$10)-0.5*LN(1+($D$10/$C$10)^2),SQRT(LN(1+($D$10/$C$10)^2)))</f>
        <v/>
      </c>
      <c r="S4150" s="14">
        <f>SUM(M4150:R4150)</f>
        <v/>
      </c>
      <c r="AA4150">
        <f>RAND()</f>
        <v/>
      </c>
      <c r="AB4150">
        <f>RAND()</f>
        <v/>
      </c>
      <c r="AC4150">
        <f>RAND()</f>
        <v/>
      </c>
      <c r="AD4150">
        <f>RAND()</f>
        <v/>
      </c>
      <c r="AE4150">
        <f>RAND()</f>
        <v/>
      </c>
      <c r="AF4150">
        <f>RAND()</f>
        <v/>
      </c>
    </row>
    <row r="4151">
      <c r="M4151" s="14">
        <f>_xlfn.BETA.INV($AA4151,1+4*($D$5-$C$5)/($E$5-$C$5),1+4*($E$5-$D$5)/($E$5-$C$5),$C$5,$E$5)</f>
        <v/>
      </c>
      <c r="N4151" s="14">
        <f>IF($AB4151&lt;($D$6-$C$6)/($E$6-$C$6),$C$6+SQRT($AB4151*($E$6-$C$6)*($D$6-$C$6)),$E$6-SQRT((1-$AB4151)*($E$6-$C$6)*($E$6-$D$6)))</f>
        <v/>
      </c>
      <c r="O4151" s="14">
        <f>_xlfn.NORM.INV($AC4151,$C$7,$D$7)</f>
        <v/>
      </c>
      <c r="P4151" s="14">
        <f>$C$8+($D$8-$C$8)*$AD4151</f>
        <v/>
      </c>
      <c r="Q4151" s="14">
        <f>$C$9</f>
        <v/>
      </c>
      <c r="R4151" s="14">
        <f>_xlfn.LOGNORM.INV($AF4151,LN($C$10)-0.5*LN(1+($D$10/$C$10)^2),SQRT(LN(1+($D$10/$C$10)^2)))</f>
        <v/>
      </c>
      <c r="S4151" s="14">
        <f>SUM(M4151:R4151)</f>
        <v/>
      </c>
      <c r="AA4151">
        <f>RAND()</f>
        <v/>
      </c>
      <c r="AB4151">
        <f>RAND()</f>
        <v/>
      </c>
      <c r="AC4151">
        <f>RAND()</f>
        <v/>
      </c>
      <c r="AD4151">
        <f>RAND()</f>
        <v/>
      </c>
      <c r="AE4151">
        <f>RAND()</f>
        <v/>
      </c>
      <c r="AF4151">
        <f>RAND()</f>
        <v/>
      </c>
    </row>
    <row r="4152">
      <c r="M4152" s="14">
        <f>_xlfn.BETA.INV($AA4152,1+4*($D$5-$C$5)/($E$5-$C$5),1+4*($E$5-$D$5)/($E$5-$C$5),$C$5,$E$5)</f>
        <v/>
      </c>
      <c r="N4152" s="14">
        <f>IF($AB4152&lt;($D$6-$C$6)/($E$6-$C$6),$C$6+SQRT($AB4152*($E$6-$C$6)*($D$6-$C$6)),$E$6-SQRT((1-$AB4152)*($E$6-$C$6)*($E$6-$D$6)))</f>
        <v/>
      </c>
      <c r="O4152" s="14">
        <f>_xlfn.NORM.INV($AC4152,$C$7,$D$7)</f>
        <v/>
      </c>
      <c r="P4152" s="14">
        <f>$C$8+($D$8-$C$8)*$AD4152</f>
        <v/>
      </c>
      <c r="Q4152" s="14">
        <f>$C$9</f>
        <v/>
      </c>
      <c r="R4152" s="14">
        <f>_xlfn.LOGNORM.INV($AF4152,LN($C$10)-0.5*LN(1+($D$10/$C$10)^2),SQRT(LN(1+($D$10/$C$10)^2)))</f>
        <v/>
      </c>
      <c r="S4152" s="14">
        <f>SUM(M4152:R4152)</f>
        <v/>
      </c>
      <c r="AA4152">
        <f>RAND()</f>
        <v/>
      </c>
      <c r="AB4152">
        <f>RAND()</f>
        <v/>
      </c>
      <c r="AC4152">
        <f>RAND()</f>
        <v/>
      </c>
      <c r="AD4152">
        <f>RAND()</f>
        <v/>
      </c>
      <c r="AE4152">
        <f>RAND()</f>
        <v/>
      </c>
      <c r="AF4152">
        <f>RAND()</f>
        <v/>
      </c>
    </row>
    <row r="4153">
      <c r="M4153" s="14">
        <f>_xlfn.BETA.INV($AA4153,1+4*($D$5-$C$5)/($E$5-$C$5),1+4*($E$5-$D$5)/($E$5-$C$5),$C$5,$E$5)</f>
        <v/>
      </c>
      <c r="N4153" s="14">
        <f>IF($AB4153&lt;($D$6-$C$6)/($E$6-$C$6),$C$6+SQRT($AB4153*($E$6-$C$6)*($D$6-$C$6)),$E$6-SQRT((1-$AB4153)*($E$6-$C$6)*($E$6-$D$6)))</f>
        <v/>
      </c>
      <c r="O4153" s="14">
        <f>_xlfn.NORM.INV($AC4153,$C$7,$D$7)</f>
        <v/>
      </c>
      <c r="P4153" s="14">
        <f>$C$8+($D$8-$C$8)*$AD4153</f>
        <v/>
      </c>
      <c r="Q4153" s="14">
        <f>$C$9</f>
        <v/>
      </c>
      <c r="R4153" s="14">
        <f>_xlfn.LOGNORM.INV($AF4153,LN($C$10)-0.5*LN(1+($D$10/$C$10)^2),SQRT(LN(1+($D$10/$C$10)^2)))</f>
        <v/>
      </c>
      <c r="S4153" s="14">
        <f>SUM(M4153:R4153)</f>
        <v/>
      </c>
      <c r="AA4153">
        <f>RAND()</f>
        <v/>
      </c>
      <c r="AB4153">
        <f>RAND()</f>
        <v/>
      </c>
      <c r="AC4153">
        <f>RAND()</f>
        <v/>
      </c>
      <c r="AD4153">
        <f>RAND()</f>
        <v/>
      </c>
      <c r="AE4153">
        <f>RAND()</f>
        <v/>
      </c>
      <c r="AF4153">
        <f>RAND()</f>
        <v/>
      </c>
    </row>
    <row r="4154">
      <c r="M4154" s="14">
        <f>_xlfn.BETA.INV($AA4154,1+4*($D$5-$C$5)/($E$5-$C$5),1+4*($E$5-$D$5)/($E$5-$C$5),$C$5,$E$5)</f>
        <v/>
      </c>
      <c r="N4154" s="14">
        <f>IF($AB4154&lt;($D$6-$C$6)/($E$6-$C$6),$C$6+SQRT($AB4154*($E$6-$C$6)*($D$6-$C$6)),$E$6-SQRT((1-$AB4154)*($E$6-$C$6)*($E$6-$D$6)))</f>
        <v/>
      </c>
      <c r="O4154" s="14">
        <f>_xlfn.NORM.INV($AC4154,$C$7,$D$7)</f>
        <v/>
      </c>
      <c r="P4154" s="14">
        <f>$C$8+($D$8-$C$8)*$AD4154</f>
        <v/>
      </c>
      <c r="Q4154" s="14">
        <f>$C$9</f>
        <v/>
      </c>
      <c r="R4154" s="14">
        <f>_xlfn.LOGNORM.INV($AF4154,LN($C$10)-0.5*LN(1+($D$10/$C$10)^2),SQRT(LN(1+($D$10/$C$10)^2)))</f>
        <v/>
      </c>
      <c r="S4154" s="14">
        <f>SUM(M4154:R4154)</f>
        <v/>
      </c>
      <c r="AA4154">
        <f>RAND()</f>
        <v/>
      </c>
      <c r="AB4154">
        <f>RAND()</f>
        <v/>
      </c>
      <c r="AC4154">
        <f>RAND()</f>
        <v/>
      </c>
      <c r="AD4154">
        <f>RAND()</f>
        <v/>
      </c>
      <c r="AE4154">
        <f>RAND()</f>
        <v/>
      </c>
      <c r="AF4154">
        <f>RAND()</f>
        <v/>
      </c>
    </row>
    <row r="4155">
      <c r="M4155" s="14">
        <f>_xlfn.BETA.INV($AA4155,1+4*($D$5-$C$5)/($E$5-$C$5),1+4*($E$5-$D$5)/($E$5-$C$5),$C$5,$E$5)</f>
        <v/>
      </c>
      <c r="N4155" s="14">
        <f>IF($AB4155&lt;($D$6-$C$6)/($E$6-$C$6),$C$6+SQRT($AB4155*($E$6-$C$6)*($D$6-$C$6)),$E$6-SQRT((1-$AB4155)*($E$6-$C$6)*($E$6-$D$6)))</f>
        <v/>
      </c>
      <c r="O4155" s="14">
        <f>_xlfn.NORM.INV($AC4155,$C$7,$D$7)</f>
        <v/>
      </c>
      <c r="P4155" s="14">
        <f>$C$8+($D$8-$C$8)*$AD4155</f>
        <v/>
      </c>
      <c r="Q4155" s="14">
        <f>$C$9</f>
        <v/>
      </c>
      <c r="R4155" s="14">
        <f>_xlfn.LOGNORM.INV($AF4155,LN($C$10)-0.5*LN(1+($D$10/$C$10)^2),SQRT(LN(1+($D$10/$C$10)^2)))</f>
        <v/>
      </c>
      <c r="S4155" s="14">
        <f>SUM(M4155:R4155)</f>
        <v/>
      </c>
      <c r="AA4155">
        <f>RAND()</f>
        <v/>
      </c>
      <c r="AB4155">
        <f>RAND()</f>
        <v/>
      </c>
      <c r="AC4155">
        <f>RAND()</f>
        <v/>
      </c>
      <c r="AD4155">
        <f>RAND()</f>
        <v/>
      </c>
      <c r="AE4155">
        <f>RAND()</f>
        <v/>
      </c>
      <c r="AF4155">
        <f>RAND()</f>
        <v/>
      </c>
    </row>
    <row r="4156">
      <c r="M4156" s="14">
        <f>_xlfn.BETA.INV($AA4156,1+4*($D$5-$C$5)/($E$5-$C$5),1+4*($E$5-$D$5)/($E$5-$C$5),$C$5,$E$5)</f>
        <v/>
      </c>
      <c r="N4156" s="14">
        <f>IF($AB4156&lt;($D$6-$C$6)/($E$6-$C$6),$C$6+SQRT($AB4156*($E$6-$C$6)*($D$6-$C$6)),$E$6-SQRT((1-$AB4156)*($E$6-$C$6)*($E$6-$D$6)))</f>
        <v/>
      </c>
      <c r="O4156" s="14">
        <f>_xlfn.NORM.INV($AC4156,$C$7,$D$7)</f>
        <v/>
      </c>
      <c r="P4156" s="14">
        <f>$C$8+($D$8-$C$8)*$AD4156</f>
        <v/>
      </c>
      <c r="Q4156" s="14">
        <f>$C$9</f>
        <v/>
      </c>
      <c r="R4156" s="14">
        <f>_xlfn.LOGNORM.INV($AF4156,LN($C$10)-0.5*LN(1+($D$10/$C$10)^2),SQRT(LN(1+($D$10/$C$10)^2)))</f>
        <v/>
      </c>
      <c r="S4156" s="14">
        <f>SUM(M4156:R4156)</f>
        <v/>
      </c>
      <c r="AA4156">
        <f>RAND()</f>
        <v/>
      </c>
      <c r="AB4156">
        <f>RAND()</f>
        <v/>
      </c>
      <c r="AC4156">
        <f>RAND()</f>
        <v/>
      </c>
      <c r="AD4156">
        <f>RAND()</f>
        <v/>
      </c>
      <c r="AE4156">
        <f>RAND()</f>
        <v/>
      </c>
      <c r="AF4156">
        <f>RAND()</f>
        <v/>
      </c>
    </row>
    <row r="4157">
      <c r="M4157" s="14">
        <f>_xlfn.BETA.INV($AA4157,1+4*($D$5-$C$5)/($E$5-$C$5),1+4*($E$5-$D$5)/($E$5-$C$5),$C$5,$E$5)</f>
        <v/>
      </c>
      <c r="N4157" s="14">
        <f>IF($AB4157&lt;($D$6-$C$6)/($E$6-$C$6),$C$6+SQRT($AB4157*($E$6-$C$6)*($D$6-$C$6)),$E$6-SQRT((1-$AB4157)*($E$6-$C$6)*($E$6-$D$6)))</f>
        <v/>
      </c>
      <c r="O4157" s="14">
        <f>_xlfn.NORM.INV($AC4157,$C$7,$D$7)</f>
        <v/>
      </c>
      <c r="P4157" s="14">
        <f>$C$8+($D$8-$C$8)*$AD4157</f>
        <v/>
      </c>
      <c r="Q4157" s="14">
        <f>$C$9</f>
        <v/>
      </c>
      <c r="R4157" s="14">
        <f>_xlfn.LOGNORM.INV($AF4157,LN($C$10)-0.5*LN(1+($D$10/$C$10)^2),SQRT(LN(1+($D$10/$C$10)^2)))</f>
        <v/>
      </c>
      <c r="S4157" s="14">
        <f>SUM(M4157:R4157)</f>
        <v/>
      </c>
      <c r="AA4157">
        <f>RAND()</f>
        <v/>
      </c>
      <c r="AB4157">
        <f>RAND()</f>
        <v/>
      </c>
      <c r="AC4157">
        <f>RAND()</f>
        <v/>
      </c>
      <c r="AD4157">
        <f>RAND()</f>
        <v/>
      </c>
      <c r="AE4157">
        <f>RAND()</f>
        <v/>
      </c>
      <c r="AF4157">
        <f>RAND()</f>
        <v/>
      </c>
    </row>
    <row r="4158">
      <c r="M4158" s="14">
        <f>_xlfn.BETA.INV($AA4158,1+4*($D$5-$C$5)/($E$5-$C$5),1+4*($E$5-$D$5)/($E$5-$C$5),$C$5,$E$5)</f>
        <v/>
      </c>
      <c r="N4158" s="14">
        <f>IF($AB4158&lt;($D$6-$C$6)/($E$6-$C$6),$C$6+SQRT($AB4158*($E$6-$C$6)*($D$6-$C$6)),$E$6-SQRT((1-$AB4158)*($E$6-$C$6)*($E$6-$D$6)))</f>
        <v/>
      </c>
      <c r="O4158" s="14">
        <f>_xlfn.NORM.INV($AC4158,$C$7,$D$7)</f>
        <v/>
      </c>
      <c r="P4158" s="14">
        <f>$C$8+($D$8-$C$8)*$AD4158</f>
        <v/>
      </c>
      <c r="Q4158" s="14">
        <f>$C$9</f>
        <v/>
      </c>
      <c r="R4158" s="14">
        <f>_xlfn.LOGNORM.INV($AF4158,LN($C$10)-0.5*LN(1+($D$10/$C$10)^2),SQRT(LN(1+($D$10/$C$10)^2)))</f>
        <v/>
      </c>
      <c r="S4158" s="14">
        <f>SUM(M4158:R4158)</f>
        <v/>
      </c>
      <c r="AA4158">
        <f>RAND()</f>
        <v/>
      </c>
      <c r="AB4158">
        <f>RAND()</f>
        <v/>
      </c>
      <c r="AC4158">
        <f>RAND()</f>
        <v/>
      </c>
      <c r="AD4158">
        <f>RAND()</f>
        <v/>
      </c>
      <c r="AE4158">
        <f>RAND()</f>
        <v/>
      </c>
      <c r="AF4158">
        <f>RAND()</f>
        <v/>
      </c>
    </row>
    <row r="4159">
      <c r="M4159" s="14">
        <f>_xlfn.BETA.INV($AA4159,1+4*($D$5-$C$5)/($E$5-$C$5),1+4*($E$5-$D$5)/($E$5-$C$5),$C$5,$E$5)</f>
        <v/>
      </c>
      <c r="N4159" s="14">
        <f>IF($AB4159&lt;($D$6-$C$6)/($E$6-$C$6),$C$6+SQRT($AB4159*($E$6-$C$6)*($D$6-$C$6)),$E$6-SQRT((1-$AB4159)*($E$6-$C$6)*($E$6-$D$6)))</f>
        <v/>
      </c>
      <c r="O4159" s="14">
        <f>_xlfn.NORM.INV($AC4159,$C$7,$D$7)</f>
        <v/>
      </c>
      <c r="P4159" s="14">
        <f>$C$8+($D$8-$C$8)*$AD4159</f>
        <v/>
      </c>
      <c r="Q4159" s="14">
        <f>$C$9</f>
        <v/>
      </c>
      <c r="R4159" s="14">
        <f>_xlfn.LOGNORM.INV($AF4159,LN($C$10)-0.5*LN(1+($D$10/$C$10)^2),SQRT(LN(1+($D$10/$C$10)^2)))</f>
        <v/>
      </c>
      <c r="S4159" s="14">
        <f>SUM(M4159:R4159)</f>
        <v/>
      </c>
      <c r="AA4159">
        <f>RAND()</f>
        <v/>
      </c>
      <c r="AB4159">
        <f>RAND()</f>
        <v/>
      </c>
      <c r="AC4159">
        <f>RAND()</f>
        <v/>
      </c>
      <c r="AD4159">
        <f>RAND()</f>
        <v/>
      </c>
      <c r="AE4159">
        <f>RAND()</f>
        <v/>
      </c>
      <c r="AF4159">
        <f>RAND()</f>
        <v/>
      </c>
    </row>
    <row r="4160">
      <c r="M4160" s="14">
        <f>_xlfn.BETA.INV($AA4160,1+4*($D$5-$C$5)/($E$5-$C$5),1+4*($E$5-$D$5)/($E$5-$C$5),$C$5,$E$5)</f>
        <v/>
      </c>
      <c r="N4160" s="14">
        <f>IF($AB4160&lt;($D$6-$C$6)/($E$6-$C$6),$C$6+SQRT($AB4160*($E$6-$C$6)*($D$6-$C$6)),$E$6-SQRT((1-$AB4160)*($E$6-$C$6)*($E$6-$D$6)))</f>
        <v/>
      </c>
      <c r="O4160" s="14">
        <f>_xlfn.NORM.INV($AC4160,$C$7,$D$7)</f>
        <v/>
      </c>
      <c r="P4160" s="14">
        <f>$C$8+($D$8-$C$8)*$AD4160</f>
        <v/>
      </c>
      <c r="Q4160" s="14">
        <f>$C$9</f>
        <v/>
      </c>
      <c r="R4160" s="14">
        <f>_xlfn.LOGNORM.INV($AF4160,LN($C$10)-0.5*LN(1+($D$10/$C$10)^2),SQRT(LN(1+($D$10/$C$10)^2)))</f>
        <v/>
      </c>
      <c r="S4160" s="14">
        <f>SUM(M4160:R4160)</f>
        <v/>
      </c>
      <c r="AA4160">
        <f>RAND()</f>
        <v/>
      </c>
      <c r="AB4160">
        <f>RAND()</f>
        <v/>
      </c>
      <c r="AC4160">
        <f>RAND()</f>
        <v/>
      </c>
      <c r="AD4160">
        <f>RAND()</f>
        <v/>
      </c>
      <c r="AE4160">
        <f>RAND()</f>
        <v/>
      </c>
      <c r="AF4160">
        <f>RAND()</f>
        <v/>
      </c>
    </row>
    <row r="4161">
      <c r="M4161" s="14">
        <f>_xlfn.BETA.INV($AA4161,1+4*($D$5-$C$5)/($E$5-$C$5),1+4*($E$5-$D$5)/($E$5-$C$5),$C$5,$E$5)</f>
        <v/>
      </c>
      <c r="N4161" s="14">
        <f>IF($AB4161&lt;($D$6-$C$6)/($E$6-$C$6),$C$6+SQRT($AB4161*($E$6-$C$6)*($D$6-$C$6)),$E$6-SQRT((1-$AB4161)*($E$6-$C$6)*($E$6-$D$6)))</f>
        <v/>
      </c>
      <c r="O4161" s="14">
        <f>_xlfn.NORM.INV($AC4161,$C$7,$D$7)</f>
        <v/>
      </c>
      <c r="P4161" s="14">
        <f>$C$8+($D$8-$C$8)*$AD4161</f>
        <v/>
      </c>
      <c r="Q4161" s="14">
        <f>$C$9</f>
        <v/>
      </c>
      <c r="R4161" s="14">
        <f>_xlfn.LOGNORM.INV($AF4161,LN($C$10)-0.5*LN(1+($D$10/$C$10)^2),SQRT(LN(1+($D$10/$C$10)^2)))</f>
        <v/>
      </c>
      <c r="S4161" s="14">
        <f>SUM(M4161:R4161)</f>
        <v/>
      </c>
      <c r="AA4161">
        <f>RAND()</f>
        <v/>
      </c>
      <c r="AB4161">
        <f>RAND()</f>
        <v/>
      </c>
      <c r="AC4161">
        <f>RAND()</f>
        <v/>
      </c>
      <c r="AD4161">
        <f>RAND()</f>
        <v/>
      </c>
      <c r="AE4161">
        <f>RAND()</f>
        <v/>
      </c>
      <c r="AF4161">
        <f>RAND()</f>
        <v/>
      </c>
    </row>
    <row r="4162">
      <c r="M4162" s="14">
        <f>_xlfn.BETA.INV($AA4162,1+4*($D$5-$C$5)/($E$5-$C$5),1+4*($E$5-$D$5)/($E$5-$C$5),$C$5,$E$5)</f>
        <v/>
      </c>
      <c r="N4162" s="14">
        <f>IF($AB4162&lt;($D$6-$C$6)/($E$6-$C$6),$C$6+SQRT($AB4162*($E$6-$C$6)*($D$6-$C$6)),$E$6-SQRT((1-$AB4162)*($E$6-$C$6)*($E$6-$D$6)))</f>
        <v/>
      </c>
      <c r="O4162" s="14">
        <f>_xlfn.NORM.INV($AC4162,$C$7,$D$7)</f>
        <v/>
      </c>
      <c r="P4162" s="14">
        <f>$C$8+($D$8-$C$8)*$AD4162</f>
        <v/>
      </c>
      <c r="Q4162" s="14">
        <f>$C$9</f>
        <v/>
      </c>
      <c r="R4162" s="14">
        <f>_xlfn.LOGNORM.INV($AF4162,LN($C$10)-0.5*LN(1+($D$10/$C$10)^2),SQRT(LN(1+($D$10/$C$10)^2)))</f>
        <v/>
      </c>
      <c r="S4162" s="14">
        <f>SUM(M4162:R4162)</f>
        <v/>
      </c>
      <c r="AA4162">
        <f>RAND()</f>
        <v/>
      </c>
      <c r="AB4162">
        <f>RAND()</f>
        <v/>
      </c>
      <c r="AC4162">
        <f>RAND()</f>
        <v/>
      </c>
      <c r="AD4162">
        <f>RAND()</f>
        <v/>
      </c>
      <c r="AE4162">
        <f>RAND()</f>
        <v/>
      </c>
      <c r="AF4162">
        <f>RAND()</f>
        <v/>
      </c>
    </row>
    <row r="4163">
      <c r="M4163" s="14">
        <f>_xlfn.BETA.INV($AA4163,1+4*($D$5-$C$5)/($E$5-$C$5),1+4*($E$5-$D$5)/($E$5-$C$5),$C$5,$E$5)</f>
        <v/>
      </c>
      <c r="N4163" s="14">
        <f>IF($AB4163&lt;($D$6-$C$6)/($E$6-$C$6),$C$6+SQRT($AB4163*($E$6-$C$6)*($D$6-$C$6)),$E$6-SQRT((1-$AB4163)*($E$6-$C$6)*($E$6-$D$6)))</f>
        <v/>
      </c>
      <c r="O4163" s="14">
        <f>_xlfn.NORM.INV($AC4163,$C$7,$D$7)</f>
        <v/>
      </c>
      <c r="P4163" s="14">
        <f>$C$8+($D$8-$C$8)*$AD4163</f>
        <v/>
      </c>
      <c r="Q4163" s="14">
        <f>$C$9</f>
        <v/>
      </c>
      <c r="R4163" s="14">
        <f>_xlfn.LOGNORM.INV($AF4163,LN($C$10)-0.5*LN(1+($D$10/$C$10)^2),SQRT(LN(1+($D$10/$C$10)^2)))</f>
        <v/>
      </c>
      <c r="S4163" s="14">
        <f>SUM(M4163:R4163)</f>
        <v/>
      </c>
      <c r="AA4163">
        <f>RAND()</f>
        <v/>
      </c>
      <c r="AB4163">
        <f>RAND()</f>
        <v/>
      </c>
      <c r="AC4163">
        <f>RAND()</f>
        <v/>
      </c>
      <c r="AD4163">
        <f>RAND()</f>
        <v/>
      </c>
      <c r="AE4163">
        <f>RAND()</f>
        <v/>
      </c>
      <c r="AF4163">
        <f>RAND()</f>
        <v/>
      </c>
    </row>
    <row r="4164">
      <c r="M4164" s="14">
        <f>_xlfn.BETA.INV($AA4164,1+4*($D$5-$C$5)/($E$5-$C$5),1+4*($E$5-$D$5)/($E$5-$C$5),$C$5,$E$5)</f>
        <v/>
      </c>
      <c r="N4164" s="14">
        <f>IF($AB4164&lt;($D$6-$C$6)/($E$6-$C$6),$C$6+SQRT($AB4164*($E$6-$C$6)*($D$6-$C$6)),$E$6-SQRT((1-$AB4164)*($E$6-$C$6)*($E$6-$D$6)))</f>
        <v/>
      </c>
      <c r="O4164" s="14">
        <f>_xlfn.NORM.INV($AC4164,$C$7,$D$7)</f>
        <v/>
      </c>
      <c r="P4164" s="14">
        <f>$C$8+($D$8-$C$8)*$AD4164</f>
        <v/>
      </c>
      <c r="Q4164" s="14">
        <f>$C$9</f>
        <v/>
      </c>
      <c r="R4164" s="14">
        <f>_xlfn.LOGNORM.INV($AF4164,LN($C$10)-0.5*LN(1+($D$10/$C$10)^2),SQRT(LN(1+($D$10/$C$10)^2)))</f>
        <v/>
      </c>
      <c r="S4164" s="14">
        <f>SUM(M4164:R4164)</f>
        <v/>
      </c>
      <c r="AA4164">
        <f>RAND()</f>
        <v/>
      </c>
      <c r="AB4164">
        <f>RAND()</f>
        <v/>
      </c>
      <c r="AC4164">
        <f>RAND()</f>
        <v/>
      </c>
      <c r="AD4164">
        <f>RAND()</f>
        <v/>
      </c>
      <c r="AE4164">
        <f>RAND()</f>
        <v/>
      </c>
      <c r="AF4164">
        <f>RAND()</f>
        <v/>
      </c>
    </row>
    <row r="4165">
      <c r="M4165" s="14">
        <f>_xlfn.BETA.INV($AA4165,1+4*($D$5-$C$5)/($E$5-$C$5),1+4*($E$5-$D$5)/($E$5-$C$5),$C$5,$E$5)</f>
        <v/>
      </c>
      <c r="N4165" s="14">
        <f>IF($AB4165&lt;($D$6-$C$6)/($E$6-$C$6),$C$6+SQRT($AB4165*($E$6-$C$6)*($D$6-$C$6)),$E$6-SQRT((1-$AB4165)*($E$6-$C$6)*($E$6-$D$6)))</f>
        <v/>
      </c>
      <c r="O4165" s="14">
        <f>_xlfn.NORM.INV($AC4165,$C$7,$D$7)</f>
        <v/>
      </c>
      <c r="P4165" s="14">
        <f>$C$8+($D$8-$C$8)*$AD4165</f>
        <v/>
      </c>
      <c r="Q4165" s="14">
        <f>$C$9</f>
        <v/>
      </c>
      <c r="R4165" s="14">
        <f>_xlfn.LOGNORM.INV($AF4165,LN($C$10)-0.5*LN(1+($D$10/$C$10)^2),SQRT(LN(1+($D$10/$C$10)^2)))</f>
        <v/>
      </c>
      <c r="S4165" s="14">
        <f>SUM(M4165:R4165)</f>
        <v/>
      </c>
      <c r="AA4165">
        <f>RAND()</f>
        <v/>
      </c>
      <c r="AB4165">
        <f>RAND()</f>
        <v/>
      </c>
      <c r="AC4165">
        <f>RAND()</f>
        <v/>
      </c>
      <c r="AD4165">
        <f>RAND()</f>
        <v/>
      </c>
      <c r="AE4165">
        <f>RAND()</f>
        <v/>
      </c>
      <c r="AF4165">
        <f>RAND()</f>
        <v/>
      </c>
    </row>
    <row r="4166">
      <c r="M4166" s="14">
        <f>_xlfn.BETA.INV($AA4166,1+4*($D$5-$C$5)/($E$5-$C$5),1+4*($E$5-$D$5)/($E$5-$C$5),$C$5,$E$5)</f>
        <v/>
      </c>
      <c r="N4166" s="14">
        <f>IF($AB4166&lt;($D$6-$C$6)/($E$6-$C$6),$C$6+SQRT($AB4166*($E$6-$C$6)*($D$6-$C$6)),$E$6-SQRT((1-$AB4166)*($E$6-$C$6)*($E$6-$D$6)))</f>
        <v/>
      </c>
      <c r="O4166" s="14">
        <f>_xlfn.NORM.INV($AC4166,$C$7,$D$7)</f>
        <v/>
      </c>
      <c r="P4166" s="14">
        <f>$C$8+($D$8-$C$8)*$AD4166</f>
        <v/>
      </c>
      <c r="Q4166" s="14">
        <f>$C$9</f>
        <v/>
      </c>
      <c r="R4166" s="14">
        <f>_xlfn.LOGNORM.INV($AF4166,LN($C$10)-0.5*LN(1+($D$10/$C$10)^2),SQRT(LN(1+($D$10/$C$10)^2)))</f>
        <v/>
      </c>
      <c r="S4166" s="14">
        <f>SUM(M4166:R4166)</f>
        <v/>
      </c>
      <c r="AA4166">
        <f>RAND()</f>
        <v/>
      </c>
      <c r="AB4166">
        <f>RAND()</f>
        <v/>
      </c>
      <c r="AC4166">
        <f>RAND()</f>
        <v/>
      </c>
      <c r="AD4166">
        <f>RAND()</f>
        <v/>
      </c>
      <c r="AE4166">
        <f>RAND()</f>
        <v/>
      </c>
      <c r="AF4166">
        <f>RAND()</f>
        <v/>
      </c>
    </row>
    <row r="4167">
      <c r="M4167" s="14">
        <f>_xlfn.BETA.INV($AA4167,1+4*($D$5-$C$5)/($E$5-$C$5),1+4*($E$5-$D$5)/($E$5-$C$5),$C$5,$E$5)</f>
        <v/>
      </c>
      <c r="N4167" s="14">
        <f>IF($AB4167&lt;($D$6-$C$6)/($E$6-$C$6),$C$6+SQRT($AB4167*($E$6-$C$6)*($D$6-$C$6)),$E$6-SQRT((1-$AB4167)*($E$6-$C$6)*($E$6-$D$6)))</f>
        <v/>
      </c>
      <c r="O4167" s="14">
        <f>_xlfn.NORM.INV($AC4167,$C$7,$D$7)</f>
        <v/>
      </c>
      <c r="P4167" s="14">
        <f>$C$8+($D$8-$C$8)*$AD4167</f>
        <v/>
      </c>
      <c r="Q4167" s="14">
        <f>$C$9</f>
        <v/>
      </c>
      <c r="R4167" s="14">
        <f>_xlfn.LOGNORM.INV($AF4167,LN($C$10)-0.5*LN(1+($D$10/$C$10)^2),SQRT(LN(1+($D$10/$C$10)^2)))</f>
        <v/>
      </c>
      <c r="S4167" s="14">
        <f>SUM(M4167:R4167)</f>
        <v/>
      </c>
      <c r="AA4167">
        <f>RAND()</f>
        <v/>
      </c>
      <c r="AB4167">
        <f>RAND()</f>
        <v/>
      </c>
      <c r="AC4167">
        <f>RAND()</f>
        <v/>
      </c>
      <c r="AD4167">
        <f>RAND()</f>
        <v/>
      </c>
      <c r="AE4167">
        <f>RAND()</f>
        <v/>
      </c>
      <c r="AF4167">
        <f>RAND()</f>
        <v/>
      </c>
    </row>
    <row r="4168">
      <c r="M4168" s="14">
        <f>_xlfn.BETA.INV($AA4168,1+4*($D$5-$C$5)/($E$5-$C$5),1+4*($E$5-$D$5)/($E$5-$C$5),$C$5,$E$5)</f>
        <v/>
      </c>
      <c r="N4168" s="14">
        <f>IF($AB4168&lt;($D$6-$C$6)/($E$6-$C$6),$C$6+SQRT($AB4168*($E$6-$C$6)*($D$6-$C$6)),$E$6-SQRT((1-$AB4168)*($E$6-$C$6)*($E$6-$D$6)))</f>
        <v/>
      </c>
      <c r="O4168" s="14">
        <f>_xlfn.NORM.INV($AC4168,$C$7,$D$7)</f>
        <v/>
      </c>
      <c r="P4168" s="14">
        <f>$C$8+($D$8-$C$8)*$AD4168</f>
        <v/>
      </c>
      <c r="Q4168" s="14">
        <f>$C$9</f>
        <v/>
      </c>
      <c r="R4168" s="14">
        <f>_xlfn.LOGNORM.INV($AF4168,LN($C$10)-0.5*LN(1+($D$10/$C$10)^2),SQRT(LN(1+($D$10/$C$10)^2)))</f>
        <v/>
      </c>
      <c r="S4168" s="14">
        <f>SUM(M4168:R4168)</f>
        <v/>
      </c>
      <c r="AA4168">
        <f>RAND()</f>
        <v/>
      </c>
      <c r="AB4168">
        <f>RAND()</f>
        <v/>
      </c>
      <c r="AC4168">
        <f>RAND()</f>
        <v/>
      </c>
      <c r="AD4168">
        <f>RAND()</f>
        <v/>
      </c>
      <c r="AE4168">
        <f>RAND()</f>
        <v/>
      </c>
      <c r="AF4168">
        <f>RAND()</f>
        <v/>
      </c>
    </row>
    <row r="4169">
      <c r="M4169" s="14">
        <f>_xlfn.BETA.INV($AA4169,1+4*($D$5-$C$5)/($E$5-$C$5),1+4*($E$5-$D$5)/($E$5-$C$5),$C$5,$E$5)</f>
        <v/>
      </c>
      <c r="N4169" s="14">
        <f>IF($AB4169&lt;($D$6-$C$6)/($E$6-$C$6),$C$6+SQRT($AB4169*($E$6-$C$6)*($D$6-$C$6)),$E$6-SQRT((1-$AB4169)*($E$6-$C$6)*($E$6-$D$6)))</f>
        <v/>
      </c>
      <c r="O4169" s="14">
        <f>_xlfn.NORM.INV($AC4169,$C$7,$D$7)</f>
        <v/>
      </c>
      <c r="P4169" s="14">
        <f>$C$8+($D$8-$C$8)*$AD4169</f>
        <v/>
      </c>
      <c r="Q4169" s="14">
        <f>$C$9</f>
        <v/>
      </c>
      <c r="R4169" s="14">
        <f>_xlfn.LOGNORM.INV($AF4169,LN($C$10)-0.5*LN(1+($D$10/$C$10)^2),SQRT(LN(1+($D$10/$C$10)^2)))</f>
        <v/>
      </c>
      <c r="S4169" s="14">
        <f>SUM(M4169:R4169)</f>
        <v/>
      </c>
      <c r="AA4169">
        <f>RAND()</f>
        <v/>
      </c>
      <c r="AB4169">
        <f>RAND()</f>
        <v/>
      </c>
      <c r="AC4169">
        <f>RAND()</f>
        <v/>
      </c>
      <c r="AD4169">
        <f>RAND()</f>
        <v/>
      </c>
      <c r="AE4169">
        <f>RAND()</f>
        <v/>
      </c>
      <c r="AF4169">
        <f>RAND()</f>
        <v/>
      </c>
    </row>
    <row r="4170">
      <c r="M4170" s="14">
        <f>_xlfn.BETA.INV($AA4170,1+4*($D$5-$C$5)/($E$5-$C$5),1+4*($E$5-$D$5)/($E$5-$C$5),$C$5,$E$5)</f>
        <v/>
      </c>
      <c r="N4170" s="14">
        <f>IF($AB4170&lt;($D$6-$C$6)/($E$6-$C$6),$C$6+SQRT($AB4170*($E$6-$C$6)*($D$6-$C$6)),$E$6-SQRT((1-$AB4170)*($E$6-$C$6)*($E$6-$D$6)))</f>
        <v/>
      </c>
      <c r="O4170" s="14">
        <f>_xlfn.NORM.INV($AC4170,$C$7,$D$7)</f>
        <v/>
      </c>
      <c r="P4170" s="14">
        <f>$C$8+($D$8-$C$8)*$AD4170</f>
        <v/>
      </c>
      <c r="Q4170" s="14">
        <f>$C$9</f>
        <v/>
      </c>
      <c r="R4170" s="14">
        <f>_xlfn.LOGNORM.INV($AF4170,LN($C$10)-0.5*LN(1+($D$10/$C$10)^2),SQRT(LN(1+($D$10/$C$10)^2)))</f>
        <v/>
      </c>
      <c r="S4170" s="14">
        <f>SUM(M4170:R4170)</f>
        <v/>
      </c>
      <c r="AA4170">
        <f>RAND()</f>
        <v/>
      </c>
      <c r="AB4170">
        <f>RAND()</f>
        <v/>
      </c>
      <c r="AC4170">
        <f>RAND()</f>
        <v/>
      </c>
      <c r="AD4170">
        <f>RAND()</f>
        <v/>
      </c>
      <c r="AE4170">
        <f>RAND()</f>
        <v/>
      </c>
      <c r="AF4170">
        <f>RAND()</f>
        <v/>
      </c>
    </row>
    <row r="4171">
      <c r="M4171" s="14">
        <f>_xlfn.BETA.INV($AA4171,1+4*($D$5-$C$5)/($E$5-$C$5),1+4*($E$5-$D$5)/($E$5-$C$5),$C$5,$E$5)</f>
        <v/>
      </c>
      <c r="N4171" s="14">
        <f>IF($AB4171&lt;($D$6-$C$6)/($E$6-$C$6),$C$6+SQRT($AB4171*($E$6-$C$6)*($D$6-$C$6)),$E$6-SQRT((1-$AB4171)*($E$6-$C$6)*($E$6-$D$6)))</f>
        <v/>
      </c>
      <c r="O4171" s="14">
        <f>_xlfn.NORM.INV($AC4171,$C$7,$D$7)</f>
        <v/>
      </c>
      <c r="P4171" s="14">
        <f>$C$8+($D$8-$C$8)*$AD4171</f>
        <v/>
      </c>
      <c r="Q4171" s="14">
        <f>$C$9</f>
        <v/>
      </c>
      <c r="R4171" s="14">
        <f>_xlfn.LOGNORM.INV($AF4171,LN($C$10)-0.5*LN(1+($D$10/$C$10)^2),SQRT(LN(1+($D$10/$C$10)^2)))</f>
        <v/>
      </c>
      <c r="S4171" s="14">
        <f>SUM(M4171:R4171)</f>
        <v/>
      </c>
      <c r="AA4171">
        <f>RAND()</f>
        <v/>
      </c>
      <c r="AB4171">
        <f>RAND()</f>
        <v/>
      </c>
      <c r="AC4171">
        <f>RAND()</f>
        <v/>
      </c>
      <c r="AD4171">
        <f>RAND()</f>
        <v/>
      </c>
      <c r="AE4171">
        <f>RAND()</f>
        <v/>
      </c>
      <c r="AF4171">
        <f>RAND()</f>
        <v/>
      </c>
    </row>
    <row r="4172">
      <c r="M4172" s="14">
        <f>_xlfn.BETA.INV($AA4172,1+4*($D$5-$C$5)/($E$5-$C$5),1+4*($E$5-$D$5)/($E$5-$C$5),$C$5,$E$5)</f>
        <v/>
      </c>
      <c r="N4172" s="14">
        <f>IF($AB4172&lt;($D$6-$C$6)/($E$6-$C$6),$C$6+SQRT($AB4172*($E$6-$C$6)*($D$6-$C$6)),$E$6-SQRT((1-$AB4172)*($E$6-$C$6)*($E$6-$D$6)))</f>
        <v/>
      </c>
      <c r="O4172" s="14">
        <f>_xlfn.NORM.INV($AC4172,$C$7,$D$7)</f>
        <v/>
      </c>
      <c r="P4172" s="14">
        <f>$C$8+($D$8-$C$8)*$AD4172</f>
        <v/>
      </c>
      <c r="Q4172" s="14">
        <f>$C$9</f>
        <v/>
      </c>
      <c r="R4172" s="14">
        <f>_xlfn.LOGNORM.INV($AF4172,LN($C$10)-0.5*LN(1+($D$10/$C$10)^2),SQRT(LN(1+($D$10/$C$10)^2)))</f>
        <v/>
      </c>
      <c r="S4172" s="14">
        <f>SUM(M4172:R4172)</f>
        <v/>
      </c>
      <c r="AA4172">
        <f>RAND()</f>
        <v/>
      </c>
      <c r="AB4172">
        <f>RAND()</f>
        <v/>
      </c>
      <c r="AC4172">
        <f>RAND()</f>
        <v/>
      </c>
      <c r="AD4172">
        <f>RAND()</f>
        <v/>
      </c>
      <c r="AE4172">
        <f>RAND()</f>
        <v/>
      </c>
      <c r="AF4172">
        <f>RAND()</f>
        <v/>
      </c>
    </row>
    <row r="4173">
      <c r="M4173" s="14">
        <f>_xlfn.BETA.INV($AA4173,1+4*($D$5-$C$5)/($E$5-$C$5),1+4*($E$5-$D$5)/($E$5-$C$5),$C$5,$E$5)</f>
        <v/>
      </c>
      <c r="N4173" s="14">
        <f>IF($AB4173&lt;($D$6-$C$6)/($E$6-$C$6),$C$6+SQRT($AB4173*($E$6-$C$6)*($D$6-$C$6)),$E$6-SQRT((1-$AB4173)*($E$6-$C$6)*($E$6-$D$6)))</f>
        <v/>
      </c>
      <c r="O4173" s="14">
        <f>_xlfn.NORM.INV($AC4173,$C$7,$D$7)</f>
        <v/>
      </c>
      <c r="P4173" s="14">
        <f>$C$8+($D$8-$C$8)*$AD4173</f>
        <v/>
      </c>
      <c r="Q4173" s="14">
        <f>$C$9</f>
        <v/>
      </c>
      <c r="R4173" s="14">
        <f>_xlfn.LOGNORM.INV($AF4173,LN($C$10)-0.5*LN(1+($D$10/$C$10)^2),SQRT(LN(1+($D$10/$C$10)^2)))</f>
        <v/>
      </c>
      <c r="S4173" s="14">
        <f>SUM(M4173:R4173)</f>
        <v/>
      </c>
      <c r="AA4173">
        <f>RAND()</f>
        <v/>
      </c>
      <c r="AB4173">
        <f>RAND()</f>
        <v/>
      </c>
      <c r="AC4173">
        <f>RAND()</f>
        <v/>
      </c>
      <c r="AD4173">
        <f>RAND()</f>
        <v/>
      </c>
      <c r="AE4173">
        <f>RAND()</f>
        <v/>
      </c>
      <c r="AF4173">
        <f>RAND()</f>
        <v/>
      </c>
    </row>
    <row r="4174">
      <c r="M4174" s="14">
        <f>_xlfn.BETA.INV($AA4174,1+4*($D$5-$C$5)/($E$5-$C$5),1+4*($E$5-$D$5)/($E$5-$C$5),$C$5,$E$5)</f>
        <v/>
      </c>
      <c r="N4174" s="14">
        <f>IF($AB4174&lt;($D$6-$C$6)/($E$6-$C$6),$C$6+SQRT($AB4174*($E$6-$C$6)*($D$6-$C$6)),$E$6-SQRT((1-$AB4174)*($E$6-$C$6)*($E$6-$D$6)))</f>
        <v/>
      </c>
      <c r="O4174" s="14">
        <f>_xlfn.NORM.INV($AC4174,$C$7,$D$7)</f>
        <v/>
      </c>
      <c r="P4174" s="14">
        <f>$C$8+($D$8-$C$8)*$AD4174</f>
        <v/>
      </c>
      <c r="Q4174" s="14">
        <f>$C$9</f>
        <v/>
      </c>
      <c r="R4174" s="14">
        <f>_xlfn.LOGNORM.INV($AF4174,LN($C$10)-0.5*LN(1+($D$10/$C$10)^2),SQRT(LN(1+($D$10/$C$10)^2)))</f>
        <v/>
      </c>
      <c r="S4174" s="14">
        <f>SUM(M4174:R4174)</f>
        <v/>
      </c>
      <c r="AA4174">
        <f>RAND()</f>
        <v/>
      </c>
      <c r="AB4174">
        <f>RAND()</f>
        <v/>
      </c>
      <c r="AC4174">
        <f>RAND()</f>
        <v/>
      </c>
      <c r="AD4174">
        <f>RAND()</f>
        <v/>
      </c>
      <c r="AE4174">
        <f>RAND()</f>
        <v/>
      </c>
      <c r="AF4174">
        <f>RAND()</f>
        <v/>
      </c>
    </row>
    <row r="4175">
      <c r="M4175" s="14">
        <f>_xlfn.BETA.INV($AA4175,1+4*($D$5-$C$5)/($E$5-$C$5),1+4*($E$5-$D$5)/($E$5-$C$5),$C$5,$E$5)</f>
        <v/>
      </c>
      <c r="N4175" s="14">
        <f>IF($AB4175&lt;($D$6-$C$6)/($E$6-$C$6),$C$6+SQRT($AB4175*($E$6-$C$6)*($D$6-$C$6)),$E$6-SQRT((1-$AB4175)*($E$6-$C$6)*($E$6-$D$6)))</f>
        <v/>
      </c>
      <c r="O4175" s="14">
        <f>_xlfn.NORM.INV($AC4175,$C$7,$D$7)</f>
        <v/>
      </c>
      <c r="P4175" s="14">
        <f>$C$8+($D$8-$C$8)*$AD4175</f>
        <v/>
      </c>
      <c r="Q4175" s="14">
        <f>$C$9</f>
        <v/>
      </c>
      <c r="R4175" s="14">
        <f>_xlfn.LOGNORM.INV($AF4175,LN($C$10)-0.5*LN(1+($D$10/$C$10)^2),SQRT(LN(1+($D$10/$C$10)^2)))</f>
        <v/>
      </c>
      <c r="S4175" s="14">
        <f>SUM(M4175:R4175)</f>
        <v/>
      </c>
      <c r="AA4175">
        <f>RAND()</f>
        <v/>
      </c>
      <c r="AB4175">
        <f>RAND()</f>
        <v/>
      </c>
      <c r="AC4175">
        <f>RAND()</f>
        <v/>
      </c>
      <c r="AD4175">
        <f>RAND()</f>
        <v/>
      </c>
      <c r="AE4175">
        <f>RAND()</f>
        <v/>
      </c>
      <c r="AF4175">
        <f>RAND()</f>
        <v/>
      </c>
    </row>
    <row r="4176">
      <c r="M4176" s="14">
        <f>_xlfn.BETA.INV($AA4176,1+4*($D$5-$C$5)/($E$5-$C$5),1+4*($E$5-$D$5)/($E$5-$C$5),$C$5,$E$5)</f>
        <v/>
      </c>
      <c r="N4176" s="14">
        <f>IF($AB4176&lt;($D$6-$C$6)/($E$6-$C$6),$C$6+SQRT($AB4176*($E$6-$C$6)*($D$6-$C$6)),$E$6-SQRT((1-$AB4176)*($E$6-$C$6)*($E$6-$D$6)))</f>
        <v/>
      </c>
      <c r="O4176" s="14">
        <f>_xlfn.NORM.INV($AC4176,$C$7,$D$7)</f>
        <v/>
      </c>
      <c r="P4176" s="14">
        <f>$C$8+($D$8-$C$8)*$AD4176</f>
        <v/>
      </c>
      <c r="Q4176" s="14">
        <f>$C$9</f>
        <v/>
      </c>
      <c r="R4176" s="14">
        <f>_xlfn.LOGNORM.INV($AF4176,LN($C$10)-0.5*LN(1+($D$10/$C$10)^2),SQRT(LN(1+($D$10/$C$10)^2)))</f>
        <v/>
      </c>
      <c r="S4176" s="14">
        <f>SUM(M4176:R4176)</f>
        <v/>
      </c>
      <c r="AA4176">
        <f>RAND()</f>
        <v/>
      </c>
      <c r="AB4176">
        <f>RAND()</f>
        <v/>
      </c>
      <c r="AC4176">
        <f>RAND()</f>
        <v/>
      </c>
      <c r="AD4176">
        <f>RAND()</f>
        <v/>
      </c>
      <c r="AE4176">
        <f>RAND()</f>
        <v/>
      </c>
      <c r="AF4176">
        <f>RAND()</f>
        <v/>
      </c>
    </row>
    <row r="4177">
      <c r="M4177" s="14">
        <f>_xlfn.BETA.INV($AA4177,1+4*($D$5-$C$5)/($E$5-$C$5),1+4*($E$5-$D$5)/($E$5-$C$5),$C$5,$E$5)</f>
        <v/>
      </c>
      <c r="N4177" s="14">
        <f>IF($AB4177&lt;($D$6-$C$6)/($E$6-$C$6),$C$6+SQRT($AB4177*($E$6-$C$6)*($D$6-$C$6)),$E$6-SQRT((1-$AB4177)*($E$6-$C$6)*($E$6-$D$6)))</f>
        <v/>
      </c>
      <c r="O4177" s="14">
        <f>_xlfn.NORM.INV($AC4177,$C$7,$D$7)</f>
        <v/>
      </c>
      <c r="P4177" s="14">
        <f>$C$8+($D$8-$C$8)*$AD4177</f>
        <v/>
      </c>
      <c r="Q4177" s="14">
        <f>$C$9</f>
        <v/>
      </c>
      <c r="R4177" s="14">
        <f>_xlfn.LOGNORM.INV($AF4177,LN($C$10)-0.5*LN(1+($D$10/$C$10)^2),SQRT(LN(1+($D$10/$C$10)^2)))</f>
        <v/>
      </c>
      <c r="S4177" s="14">
        <f>SUM(M4177:R4177)</f>
        <v/>
      </c>
      <c r="AA4177">
        <f>RAND()</f>
        <v/>
      </c>
      <c r="AB4177">
        <f>RAND()</f>
        <v/>
      </c>
      <c r="AC4177">
        <f>RAND()</f>
        <v/>
      </c>
      <c r="AD4177">
        <f>RAND()</f>
        <v/>
      </c>
      <c r="AE4177">
        <f>RAND()</f>
        <v/>
      </c>
      <c r="AF4177">
        <f>RAND()</f>
        <v/>
      </c>
    </row>
    <row r="4178">
      <c r="M4178" s="14">
        <f>_xlfn.BETA.INV($AA4178,1+4*($D$5-$C$5)/($E$5-$C$5),1+4*($E$5-$D$5)/($E$5-$C$5),$C$5,$E$5)</f>
        <v/>
      </c>
      <c r="N4178" s="14">
        <f>IF($AB4178&lt;($D$6-$C$6)/($E$6-$C$6),$C$6+SQRT($AB4178*($E$6-$C$6)*($D$6-$C$6)),$E$6-SQRT((1-$AB4178)*($E$6-$C$6)*($E$6-$D$6)))</f>
        <v/>
      </c>
      <c r="O4178" s="14">
        <f>_xlfn.NORM.INV($AC4178,$C$7,$D$7)</f>
        <v/>
      </c>
      <c r="P4178" s="14">
        <f>$C$8+($D$8-$C$8)*$AD4178</f>
        <v/>
      </c>
      <c r="Q4178" s="14">
        <f>$C$9</f>
        <v/>
      </c>
      <c r="R4178" s="14">
        <f>_xlfn.LOGNORM.INV($AF4178,LN($C$10)-0.5*LN(1+($D$10/$C$10)^2),SQRT(LN(1+($D$10/$C$10)^2)))</f>
        <v/>
      </c>
      <c r="S4178" s="14">
        <f>SUM(M4178:R4178)</f>
        <v/>
      </c>
      <c r="AA4178">
        <f>RAND()</f>
        <v/>
      </c>
      <c r="AB4178">
        <f>RAND()</f>
        <v/>
      </c>
      <c r="AC4178">
        <f>RAND()</f>
        <v/>
      </c>
      <c r="AD4178">
        <f>RAND()</f>
        <v/>
      </c>
      <c r="AE4178">
        <f>RAND()</f>
        <v/>
      </c>
      <c r="AF4178">
        <f>RAND()</f>
        <v/>
      </c>
    </row>
    <row r="4179">
      <c r="M4179" s="14">
        <f>_xlfn.BETA.INV($AA4179,1+4*($D$5-$C$5)/($E$5-$C$5),1+4*($E$5-$D$5)/($E$5-$C$5),$C$5,$E$5)</f>
        <v/>
      </c>
      <c r="N4179" s="14">
        <f>IF($AB4179&lt;($D$6-$C$6)/($E$6-$C$6),$C$6+SQRT($AB4179*($E$6-$C$6)*($D$6-$C$6)),$E$6-SQRT((1-$AB4179)*($E$6-$C$6)*($E$6-$D$6)))</f>
        <v/>
      </c>
      <c r="O4179" s="14">
        <f>_xlfn.NORM.INV($AC4179,$C$7,$D$7)</f>
        <v/>
      </c>
      <c r="P4179" s="14">
        <f>$C$8+($D$8-$C$8)*$AD4179</f>
        <v/>
      </c>
      <c r="Q4179" s="14">
        <f>$C$9</f>
        <v/>
      </c>
      <c r="R4179" s="14">
        <f>_xlfn.LOGNORM.INV($AF4179,LN($C$10)-0.5*LN(1+($D$10/$C$10)^2),SQRT(LN(1+($D$10/$C$10)^2)))</f>
        <v/>
      </c>
      <c r="S4179" s="14">
        <f>SUM(M4179:R4179)</f>
        <v/>
      </c>
      <c r="AA4179">
        <f>RAND()</f>
        <v/>
      </c>
      <c r="AB4179">
        <f>RAND()</f>
        <v/>
      </c>
      <c r="AC4179">
        <f>RAND()</f>
        <v/>
      </c>
      <c r="AD4179">
        <f>RAND()</f>
        <v/>
      </c>
      <c r="AE4179">
        <f>RAND()</f>
        <v/>
      </c>
      <c r="AF4179">
        <f>RAND()</f>
        <v/>
      </c>
    </row>
    <row r="4180">
      <c r="M4180" s="14">
        <f>_xlfn.BETA.INV($AA4180,1+4*($D$5-$C$5)/($E$5-$C$5),1+4*($E$5-$D$5)/($E$5-$C$5),$C$5,$E$5)</f>
        <v/>
      </c>
      <c r="N4180" s="14">
        <f>IF($AB4180&lt;($D$6-$C$6)/($E$6-$C$6),$C$6+SQRT($AB4180*($E$6-$C$6)*($D$6-$C$6)),$E$6-SQRT((1-$AB4180)*($E$6-$C$6)*($E$6-$D$6)))</f>
        <v/>
      </c>
      <c r="O4180" s="14">
        <f>_xlfn.NORM.INV($AC4180,$C$7,$D$7)</f>
        <v/>
      </c>
      <c r="P4180" s="14">
        <f>$C$8+($D$8-$C$8)*$AD4180</f>
        <v/>
      </c>
      <c r="Q4180" s="14">
        <f>$C$9</f>
        <v/>
      </c>
      <c r="R4180" s="14">
        <f>_xlfn.LOGNORM.INV($AF4180,LN($C$10)-0.5*LN(1+($D$10/$C$10)^2),SQRT(LN(1+($D$10/$C$10)^2)))</f>
        <v/>
      </c>
      <c r="S4180" s="14">
        <f>SUM(M4180:R4180)</f>
        <v/>
      </c>
      <c r="AA4180">
        <f>RAND()</f>
        <v/>
      </c>
      <c r="AB4180">
        <f>RAND()</f>
        <v/>
      </c>
      <c r="AC4180">
        <f>RAND()</f>
        <v/>
      </c>
      <c r="AD4180">
        <f>RAND()</f>
        <v/>
      </c>
      <c r="AE4180">
        <f>RAND()</f>
        <v/>
      </c>
      <c r="AF4180">
        <f>RAND()</f>
        <v/>
      </c>
    </row>
    <row r="4181">
      <c r="M4181" s="14">
        <f>_xlfn.BETA.INV($AA4181,1+4*($D$5-$C$5)/($E$5-$C$5),1+4*($E$5-$D$5)/($E$5-$C$5),$C$5,$E$5)</f>
        <v/>
      </c>
      <c r="N4181" s="14">
        <f>IF($AB4181&lt;($D$6-$C$6)/($E$6-$C$6),$C$6+SQRT($AB4181*($E$6-$C$6)*($D$6-$C$6)),$E$6-SQRT((1-$AB4181)*($E$6-$C$6)*($E$6-$D$6)))</f>
        <v/>
      </c>
      <c r="O4181" s="14">
        <f>_xlfn.NORM.INV($AC4181,$C$7,$D$7)</f>
        <v/>
      </c>
      <c r="P4181" s="14">
        <f>$C$8+($D$8-$C$8)*$AD4181</f>
        <v/>
      </c>
      <c r="Q4181" s="14">
        <f>$C$9</f>
        <v/>
      </c>
      <c r="R4181" s="14">
        <f>_xlfn.LOGNORM.INV($AF4181,LN($C$10)-0.5*LN(1+($D$10/$C$10)^2),SQRT(LN(1+($D$10/$C$10)^2)))</f>
        <v/>
      </c>
      <c r="S4181" s="14">
        <f>SUM(M4181:R4181)</f>
        <v/>
      </c>
      <c r="AA4181">
        <f>RAND()</f>
        <v/>
      </c>
      <c r="AB4181">
        <f>RAND()</f>
        <v/>
      </c>
      <c r="AC4181">
        <f>RAND()</f>
        <v/>
      </c>
      <c r="AD4181">
        <f>RAND()</f>
        <v/>
      </c>
      <c r="AE4181">
        <f>RAND()</f>
        <v/>
      </c>
      <c r="AF4181">
        <f>RAND()</f>
        <v/>
      </c>
    </row>
    <row r="4182">
      <c r="M4182" s="14">
        <f>_xlfn.BETA.INV($AA4182,1+4*($D$5-$C$5)/($E$5-$C$5),1+4*($E$5-$D$5)/($E$5-$C$5),$C$5,$E$5)</f>
        <v/>
      </c>
      <c r="N4182" s="14">
        <f>IF($AB4182&lt;($D$6-$C$6)/($E$6-$C$6),$C$6+SQRT($AB4182*($E$6-$C$6)*($D$6-$C$6)),$E$6-SQRT((1-$AB4182)*($E$6-$C$6)*($E$6-$D$6)))</f>
        <v/>
      </c>
      <c r="O4182" s="14">
        <f>_xlfn.NORM.INV($AC4182,$C$7,$D$7)</f>
        <v/>
      </c>
      <c r="P4182" s="14">
        <f>$C$8+($D$8-$C$8)*$AD4182</f>
        <v/>
      </c>
      <c r="Q4182" s="14">
        <f>$C$9</f>
        <v/>
      </c>
      <c r="R4182" s="14">
        <f>_xlfn.LOGNORM.INV($AF4182,LN($C$10)-0.5*LN(1+($D$10/$C$10)^2),SQRT(LN(1+($D$10/$C$10)^2)))</f>
        <v/>
      </c>
      <c r="S4182" s="14">
        <f>SUM(M4182:R4182)</f>
        <v/>
      </c>
      <c r="AA4182">
        <f>RAND()</f>
        <v/>
      </c>
      <c r="AB4182">
        <f>RAND()</f>
        <v/>
      </c>
      <c r="AC4182">
        <f>RAND()</f>
        <v/>
      </c>
      <c r="AD4182">
        <f>RAND()</f>
        <v/>
      </c>
      <c r="AE4182">
        <f>RAND()</f>
        <v/>
      </c>
      <c r="AF4182">
        <f>RAND()</f>
        <v/>
      </c>
    </row>
    <row r="4183">
      <c r="M4183" s="14">
        <f>_xlfn.BETA.INV($AA4183,1+4*($D$5-$C$5)/($E$5-$C$5),1+4*($E$5-$D$5)/($E$5-$C$5),$C$5,$E$5)</f>
        <v/>
      </c>
      <c r="N4183" s="14">
        <f>IF($AB4183&lt;($D$6-$C$6)/($E$6-$C$6),$C$6+SQRT($AB4183*($E$6-$C$6)*($D$6-$C$6)),$E$6-SQRT((1-$AB4183)*($E$6-$C$6)*($E$6-$D$6)))</f>
        <v/>
      </c>
      <c r="O4183" s="14">
        <f>_xlfn.NORM.INV($AC4183,$C$7,$D$7)</f>
        <v/>
      </c>
      <c r="P4183" s="14">
        <f>$C$8+($D$8-$C$8)*$AD4183</f>
        <v/>
      </c>
      <c r="Q4183" s="14">
        <f>$C$9</f>
        <v/>
      </c>
      <c r="R4183" s="14">
        <f>_xlfn.LOGNORM.INV($AF4183,LN($C$10)-0.5*LN(1+($D$10/$C$10)^2),SQRT(LN(1+($D$10/$C$10)^2)))</f>
        <v/>
      </c>
      <c r="S4183" s="14">
        <f>SUM(M4183:R4183)</f>
        <v/>
      </c>
      <c r="AA4183">
        <f>RAND()</f>
        <v/>
      </c>
      <c r="AB4183">
        <f>RAND()</f>
        <v/>
      </c>
      <c r="AC4183">
        <f>RAND()</f>
        <v/>
      </c>
      <c r="AD4183">
        <f>RAND()</f>
        <v/>
      </c>
      <c r="AE4183">
        <f>RAND()</f>
        <v/>
      </c>
      <c r="AF4183">
        <f>RAND()</f>
        <v/>
      </c>
    </row>
    <row r="4184">
      <c r="M4184" s="14">
        <f>_xlfn.BETA.INV($AA4184,1+4*($D$5-$C$5)/($E$5-$C$5),1+4*($E$5-$D$5)/($E$5-$C$5),$C$5,$E$5)</f>
        <v/>
      </c>
      <c r="N4184" s="14">
        <f>IF($AB4184&lt;($D$6-$C$6)/($E$6-$C$6),$C$6+SQRT($AB4184*($E$6-$C$6)*($D$6-$C$6)),$E$6-SQRT((1-$AB4184)*($E$6-$C$6)*($E$6-$D$6)))</f>
        <v/>
      </c>
      <c r="O4184" s="14">
        <f>_xlfn.NORM.INV($AC4184,$C$7,$D$7)</f>
        <v/>
      </c>
      <c r="P4184" s="14">
        <f>$C$8+($D$8-$C$8)*$AD4184</f>
        <v/>
      </c>
      <c r="Q4184" s="14">
        <f>$C$9</f>
        <v/>
      </c>
      <c r="R4184" s="14">
        <f>_xlfn.LOGNORM.INV($AF4184,LN($C$10)-0.5*LN(1+($D$10/$C$10)^2),SQRT(LN(1+($D$10/$C$10)^2)))</f>
        <v/>
      </c>
      <c r="S4184" s="14">
        <f>SUM(M4184:R4184)</f>
        <v/>
      </c>
      <c r="AA4184">
        <f>RAND()</f>
        <v/>
      </c>
      <c r="AB4184">
        <f>RAND()</f>
        <v/>
      </c>
      <c r="AC4184">
        <f>RAND()</f>
        <v/>
      </c>
      <c r="AD4184">
        <f>RAND()</f>
        <v/>
      </c>
      <c r="AE4184">
        <f>RAND()</f>
        <v/>
      </c>
      <c r="AF4184">
        <f>RAND()</f>
        <v/>
      </c>
    </row>
    <row r="4185">
      <c r="M4185" s="14">
        <f>_xlfn.BETA.INV($AA4185,1+4*($D$5-$C$5)/($E$5-$C$5),1+4*($E$5-$D$5)/($E$5-$C$5),$C$5,$E$5)</f>
        <v/>
      </c>
      <c r="N4185" s="14">
        <f>IF($AB4185&lt;($D$6-$C$6)/($E$6-$C$6),$C$6+SQRT($AB4185*($E$6-$C$6)*($D$6-$C$6)),$E$6-SQRT((1-$AB4185)*($E$6-$C$6)*($E$6-$D$6)))</f>
        <v/>
      </c>
      <c r="O4185" s="14">
        <f>_xlfn.NORM.INV($AC4185,$C$7,$D$7)</f>
        <v/>
      </c>
      <c r="P4185" s="14">
        <f>$C$8+($D$8-$C$8)*$AD4185</f>
        <v/>
      </c>
      <c r="Q4185" s="14">
        <f>$C$9</f>
        <v/>
      </c>
      <c r="R4185" s="14">
        <f>_xlfn.LOGNORM.INV($AF4185,LN($C$10)-0.5*LN(1+($D$10/$C$10)^2),SQRT(LN(1+($D$10/$C$10)^2)))</f>
        <v/>
      </c>
      <c r="S4185" s="14">
        <f>SUM(M4185:R4185)</f>
        <v/>
      </c>
      <c r="AA4185">
        <f>RAND()</f>
        <v/>
      </c>
      <c r="AB4185">
        <f>RAND()</f>
        <v/>
      </c>
      <c r="AC4185">
        <f>RAND()</f>
        <v/>
      </c>
      <c r="AD4185">
        <f>RAND()</f>
        <v/>
      </c>
      <c r="AE4185">
        <f>RAND()</f>
        <v/>
      </c>
      <c r="AF4185">
        <f>RAND()</f>
        <v/>
      </c>
    </row>
    <row r="4186">
      <c r="M4186" s="14">
        <f>_xlfn.BETA.INV($AA4186,1+4*($D$5-$C$5)/($E$5-$C$5),1+4*($E$5-$D$5)/($E$5-$C$5),$C$5,$E$5)</f>
        <v/>
      </c>
      <c r="N4186" s="14">
        <f>IF($AB4186&lt;($D$6-$C$6)/($E$6-$C$6),$C$6+SQRT($AB4186*($E$6-$C$6)*($D$6-$C$6)),$E$6-SQRT((1-$AB4186)*($E$6-$C$6)*($E$6-$D$6)))</f>
        <v/>
      </c>
      <c r="O4186" s="14">
        <f>_xlfn.NORM.INV($AC4186,$C$7,$D$7)</f>
        <v/>
      </c>
      <c r="P4186" s="14">
        <f>$C$8+($D$8-$C$8)*$AD4186</f>
        <v/>
      </c>
      <c r="Q4186" s="14">
        <f>$C$9</f>
        <v/>
      </c>
      <c r="R4186" s="14">
        <f>_xlfn.LOGNORM.INV($AF4186,LN($C$10)-0.5*LN(1+($D$10/$C$10)^2),SQRT(LN(1+($D$10/$C$10)^2)))</f>
        <v/>
      </c>
      <c r="S4186" s="14">
        <f>SUM(M4186:R4186)</f>
        <v/>
      </c>
      <c r="AA4186">
        <f>RAND()</f>
        <v/>
      </c>
      <c r="AB4186">
        <f>RAND()</f>
        <v/>
      </c>
      <c r="AC4186">
        <f>RAND()</f>
        <v/>
      </c>
      <c r="AD4186">
        <f>RAND()</f>
        <v/>
      </c>
      <c r="AE4186">
        <f>RAND()</f>
        <v/>
      </c>
      <c r="AF4186">
        <f>RAND()</f>
        <v/>
      </c>
    </row>
    <row r="4187">
      <c r="M4187" s="14">
        <f>_xlfn.BETA.INV($AA4187,1+4*($D$5-$C$5)/($E$5-$C$5),1+4*($E$5-$D$5)/($E$5-$C$5),$C$5,$E$5)</f>
        <v/>
      </c>
      <c r="N4187" s="14">
        <f>IF($AB4187&lt;($D$6-$C$6)/($E$6-$C$6),$C$6+SQRT($AB4187*($E$6-$C$6)*($D$6-$C$6)),$E$6-SQRT((1-$AB4187)*($E$6-$C$6)*($E$6-$D$6)))</f>
        <v/>
      </c>
      <c r="O4187" s="14">
        <f>_xlfn.NORM.INV($AC4187,$C$7,$D$7)</f>
        <v/>
      </c>
      <c r="P4187" s="14">
        <f>$C$8+($D$8-$C$8)*$AD4187</f>
        <v/>
      </c>
      <c r="Q4187" s="14">
        <f>$C$9</f>
        <v/>
      </c>
      <c r="R4187" s="14">
        <f>_xlfn.LOGNORM.INV($AF4187,LN($C$10)-0.5*LN(1+($D$10/$C$10)^2),SQRT(LN(1+($D$10/$C$10)^2)))</f>
        <v/>
      </c>
      <c r="S4187" s="14">
        <f>SUM(M4187:R4187)</f>
        <v/>
      </c>
      <c r="AA4187">
        <f>RAND()</f>
        <v/>
      </c>
      <c r="AB4187">
        <f>RAND()</f>
        <v/>
      </c>
      <c r="AC4187">
        <f>RAND()</f>
        <v/>
      </c>
      <c r="AD4187">
        <f>RAND()</f>
        <v/>
      </c>
      <c r="AE4187">
        <f>RAND()</f>
        <v/>
      </c>
      <c r="AF4187">
        <f>RAND()</f>
        <v/>
      </c>
    </row>
    <row r="4188">
      <c r="M4188" s="14">
        <f>_xlfn.BETA.INV($AA4188,1+4*($D$5-$C$5)/($E$5-$C$5),1+4*($E$5-$D$5)/($E$5-$C$5),$C$5,$E$5)</f>
        <v/>
      </c>
      <c r="N4188" s="14">
        <f>IF($AB4188&lt;($D$6-$C$6)/($E$6-$C$6),$C$6+SQRT($AB4188*($E$6-$C$6)*($D$6-$C$6)),$E$6-SQRT((1-$AB4188)*($E$6-$C$6)*($E$6-$D$6)))</f>
        <v/>
      </c>
      <c r="O4188" s="14">
        <f>_xlfn.NORM.INV($AC4188,$C$7,$D$7)</f>
        <v/>
      </c>
      <c r="P4188" s="14">
        <f>$C$8+($D$8-$C$8)*$AD4188</f>
        <v/>
      </c>
      <c r="Q4188" s="14">
        <f>$C$9</f>
        <v/>
      </c>
      <c r="R4188" s="14">
        <f>_xlfn.LOGNORM.INV($AF4188,LN($C$10)-0.5*LN(1+($D$10/$C$10)^2),SQRT(LN(1+($D$10/$C$10)^2)))</f>
        <v/>
      </c>
      <c r="S4188" s="14">
        <f>SUM(M4188:R4188)</f>
        <v/>
      </c>
      <c r="AA4188">
        <f>RAND()</f>
        <v/>
      </c>
      <c r="AB4188">
        <f>RAND()</f>
        <v/>
      </c>
      <c r="AC4188">
        <f>RAND()</f>
        <v/>
      </c>
      <c r="AD4188">
        <f>RAND()</f>
        <v/>
      </c>
      <c r="AE4188">
        <f>RAND()</f>
        <v/>
      </c>
      <c r="AF4188">
        <f>RAND()</f>
        <v/>
      </c>
    </row>
    <row r="4189">
      <c r="M4189" s="14">
        <f>_xlfn.BETA.INV($AA4189,1+4*($D$5-$C$5)/($E$5-$C$5),1+4*($E$5-$D$5)/($E$5-$C$5),$C$5,$E$5)</f>
        <v/>
      </c>
      <c r="N4189" s="14">
        <f>IF($AB4189&lt;($D$6-$C$6)/($E$6-$C$6),$C$6+SQRT($AB4189*($E$6-$C$6)*($D$6-$C$6)),$E$6-SQRT((1-$AB4189)*($E$6-$C$6)*($E$6-$D$6)))</f>
        <v/>
      </c>
      <c r="O4189" s="14">
        <f>_xlfn.NORM.INV($AC4189,$C$7,$D$7)</f>
        <v/>
      </c>
      <c r="P4189" s="14">
        <f>$C$8+($D$8-$C$8)*$AD4189</f>
        <v/>
      </c>
      <c r="Q4189" s="14">
        <f>$C$9</f>
        <v/>
      </c>
      <c r="R4189" s="14">
        <f>_xlfn.LOGNORM.INV($AF4189,LN($C$10)-0.5*LN(1+($D$10/$C$10)^2),SQRT(LN(1+($D$10/$C$10)^2)))</f>
        <v/>
      </c>
      <c r="S4189" s="14">
        <f>SUM(M4189:R4189)</f>
        <v/>
      </c>
      <c r="AA4189">
        <f>RAND()</f>
        <v/>
      </c>
      <c r="AB4189">
        <f>RAND()</f>
        <v/>
      </c>
      <c r="AC4189">
        <f>RAND()</f>
        <v/>
      </c>
      <c r="AD4189">
        <f>RAND()</f>
        <v/>
      </c>
      <c r="AE4189">
        <f>RAND()</f>
        <v/>
      </c>
      <c r="AF4189">
        <f>RAND()</f>
        <v/>
      </c>
    </row>
    <row r="4190">
      <c r="M4190" s="14">
        <f>_xlfn.BETA.INV($AA4190,1+4*($D$5-$C$5)/($E$5-$C$5),1+4*($E$5-$D$5)/($E$5-$C$5),$C$5,$E$5)</f>
        <v/>
      </c>
      <c r="N4190" s="14">
        <f>IF($AB4190&lt;($D$6-$C$6)/($E$6-$C$6),$C$6+SQRT($AB4190*($E$6-$C$6)*($D$6-$C$6)),$E$6-SQRT((1-$AB4190)*($E$6-$C$6)*($E$6-$D$6)))</f>
        <v/>
      </c>
      <c r="O4190" s="14">
        <f>_xlfn.NORM.INV($AC4190,$C$7,$D$7)</f>
        <v/>
      </c>
      <c r="P4190" s="14">
        <f>$C$8+($D$8-$C$8)*$AD4190</f>
        <v/>
      </c>
      <c r="Q4190" s="14">
        <f>$C$9</f>
        <v/>
      </c>
      <c r="R4190" s="14">
        <f>_xlfn.LOGNORM.INV($AF4190,LN($C$10)-0.5*LN(1+($D$10/$C$10)^2),SQRT(LN(1+($D$10/$C$10)^2)))</f>
        <v/>
      </c>
      <c r="S4190" s="14">
        <f>SUM(M4190:R4190)</f>
        <v/>
      </c>
      <c r="AA4190">
        <f>RAND()</f>
        <v/>
      </c>
      <c r="AB4190">
        <f>RAND()</f>
        <v/>
      </c>
      <c r="AC4190">
        <f>RAND()</f>
        <v/>
      </c>
      <c r="AD4190">
        <f>RAND()</f>
        <v/>
      </c>
      <c r="AE4190">
        <f>RAND()</f>
        <v/>
      </c>
      <c r="AF4190">
        <f>RAND()</f>
        <v/>
      </c>
    </row>
    <row r="4191">
      <c r="M4191" s="14">
        <f>_xlfn.BETA.INV($AA4191,1+4*($D$5-$C$5)/($E$5-$C$5),1+4*($E$5-$D$5)/($E$5-$C$5),$C$5,$E$5)</f>
        <v/>
      </c>
      <c r="N4191" s="14">
        <f>IF($AB4191&lt;($D$6-$C$6)/($E$6-$C$6),$C$6+SQRT($AB4191*($E$6-$C$6)*($D$6-$C$6)),$E$6-SQRT((1-$AB4191)*($E$6-$C$6)*($E$6-$D$6)))</f>
        <v/>
      </c>
      <c r="O4191" s="14">
        <f>_xlfn.NORM.INV($AC4191,$C$7,$D$7)</f>
        <v/>
      </c>
      <c r="P4191" s="14">
        <f>$C$8+($D$8-$C$8)*$AD4191</f>
        <v/>
      </c>
      <c r="Q4191" s="14">
        <f>$C$9</f>
        <v/>
      </c>
      <c r="R4191" s="14">
        <f>_xlfn.LOGNORM.INV($AF4191,LN($C$10)-0.5*LN(1+($D$10/$C$10)^2),SQRT(LN(1+($D$10/$C$10)^2)))</f>
        <v/>
      </c>
      <c r="S4191" s="14">
        <f>SUM(M4191:R4191)</f>
        <v/>
      </c>
      <c r="AA4191">
        <f>RAND()</f>
        <v/>
      </c>
      <c r="AB4191">
        <f>RAND()</f>
        <v/>
      </c>
      <c r="AC4191">
        <f>RAND()</f>
        <v/>
      </c>
      <c r="AD4191">
        <f>RAND()</f>
        <v/>
      </c>
      <c r="AE4191">
        <f>RAND()</f>
        <v/>
      </c>
      <c r="AF4191">
        <f>RAND()</f>
        <v/>
      </c>
    </row>
    <row r="4192">
      <c r="M4192" s="14">
        <f>_xlfn.BETA.INV($AA4192,1+4*($D$5-$C$5)/($E$5-$C$5),1+4*($E$5-$D$5)/($E$5-$C$5),$C$5,$E$5)</f>
        <v/>
      </c>
      <c r="N4192" s="14">
        <f>IF($AB4192&lt;($D$6-$C$6)/($E$6-$C$6),$C$6+SQRT($AB4192*($E$6-$C$6)*($D$6-$C$6)),$E$6-SQRT((1-$AB4192)*($E$6-$C$6)*($E$6-$D$6)))</f>
        <v/>
      </c>
      <c r="O4192" s="14">
        <f>_xlfn.NORM.INV($AC4192,$C$7,$D$7)</f>
        <v/>
      </c>
      <c r="P4192" s="14">
        <f>$C$8+($D$8-$C$8)*$AD4192</f>
        <v/>
      </c>
      <c r="Q4192" s="14">
        <f>$C$9</f>
        <v/>
      </c>
      <c r="R4192" s="14">
        <f>_xlfn.LOGNORM.INV($AF4192,LN($C$10)-0.5*LN(1+($D$10/$C$10)^2),SQRT(LN(1+($D$10/$C$10)^2)))</f>
        <v/>
      </c>
      <c r="S4192" s="14">
        <f>SUM(M4192:R4192)</f>
        <v/>
      </c>
      <c r="AA4192">
        <f>RAND()</f>
        <v/>
      </c>
      <c r="AB4192">
        <f>RAND()</f>
        <v/>
      </c>
      <c r="AC4192">
        <f>RAND()</f>
        <v/>
      </c>
      <c r="AD4192">
        <f>RAND()</f>
        <v/>
      </c>
      <c r="AE4192">
        <f>RAND()</f>
        <v/>
      </c>
      <c r="AF4192">
        <f>RAND()</f>
        <v/>
      </c>
    </row>
    <row r="4193">
      <c r="M4193" s="14">
        <f>_xlfn.BETA.INV($AA4193,1+4*($D$5-$C$5)/($E$5-$C$5),1+4*($E$5-$D$5)/($E$5-$C$5),$C$5,$E$5)</f>
        <v/>
      </c>
      <c r="N4193" s="14">
        <f>IF($AB4193&lt;($D$6-$C$6)/($E$6-$C$6),$C$6+SQRT($AB4193*($E$6-$C$6)*($D$6-$C$6)),$E$6-SQRT((1-$AB4193)*($E$6-$C$6)*($E$6-$D$6)))</f>
        <v/>
      </c>
      <c r="O4193" s="14">
        <f>_xlfn.NORM.INV($AC4193,$C$7,$D$7)</f>
        <v/>
      </c>
      <c r="P4193" s="14">
        <f>$C$8+($D$8-$C$8)*$AD4193</f>
        <v/>
      </c>
      <c r="Q4193" s="14">
        <f>$C$9</f>
        <v/>
      </c>
      <c r="R4193" s="14">
        <f>_xlfn.LOGNORM.INV($AF4193,LN($C$10)-0.5*LN(1+($D$10/$C$10)^2),SQRT(LN(1+($D$10/$C$10)^2)))</f>
        <v/>
      </c>
      <c r="S4193" s="14">
        <f>SUM(M4193:R4193)</f>
        <v/>
      </c>
      <c r="AA4193">
        <f>RAND()</f>
        <v/>
      </c>
      <c r="AB4193">
        <f>RAND()</f>
        <v/>
      </c>
      <c r="AC4193">
        <f>RAND()</f>
        <v/>
      </c>
      <c r="AD4193">
        <f>RAND()</f>
        <v/>
      </c>
      <c r="AE4193">
        <f>RAND()</f>
        <v/>
      </c>
      <c r="AF4193">
        <f>RAND()</f>
        <v/>
      </c>
    </row>
    <row r="4194">
      <c r="M4194" s="14">
        <f>_xlfn.BETA.INV($AA4194,1+4*($D$5-$C$5)/($E$5-$C$5),1+4*($E$5-$D$5)/($E$5-$C$5),$C$5,$E$5)</f>
        <v/>
      </c>
      <c r="N4194" s="14">
        <f>IF($AB4194&lt;($D$6-$C$6)/($E$6-$C$6),$C$6+SQRT($AB4194*($E$6-$C$6)*($D$6-$C$6)),$E$6-SQRT((1-$AB4194)*($E$6-$C$6)*($E$6-$D$6)))</f>
        <v/>
      </c>
      <c r="O4194" s="14">
        <f>_xlfn.NORM.INV($AC4194,$C$7,$D$7)</f>
        <v/>
      </c>
      <c r="P4194" s="14">
        <f>$C$8+($D$8-$C$8)*$AD4194</f>
        <v/>
      </c>
      <c r="Q4194" s="14">
        <f>$C$9</f>
        <v/>
      </c>
      <c r="R4194" s="14">
        <f>_xlfn.LOGNORM.INV($AF4194,LN($C$10)-0.5*LN(1+($D$10/$C$10)^2),SQRT(LN(1+($D$10/$C$10)^2)))</f>
        <v/>
      </c>
      <c r="S4194" s="14">
        <f>SUM(M4194:R4194)</f>
        <v/>
      </c>
      <c r="AA4194">
        <f>RAND()</f>
        <v/>
      </c>
      <c r="AB4194">
        <f>RAND()</f>
        <v/>
      </c>
      <c r="AC4194">
        <f>RAND()</f>
        <v/>
      </c>
      <c r="AD4194">
        <f>RAND()</f>
        <v/>
      </c>
      <c r="AE4194">
        <f>RAND()</f>
        <v/>
      </c>
      <c r="AF4194">
        <f>RAND()</f>
        <v/>
      </c>
    </row>
    <row r="4195">
      <c r="M4195" s="14">
        <f>_xlfn.BETA.INV($AA4195,1+4*($D$5-$C$5)/($E$5-$C$5),1+4*($E$5-$D$5)/($E$5-$C$5),$C$5,$E$5)</f>
        <v/>
      </c>
      <c r="N4195" s="14">
        <f>IF($AB4195&lt;($D$6-$C$6)/($E$6-$C$6),$C$6+SQRT($AB4195*($E$6-$C$6)*($D$6-$C$6)),$E$6-SQRT((1-$AB4195)*($E$6-$C$6)*($E$6-$D$6)))</f>
        <v/>
      </c>
      <c r="O4195" s="14">
        <f>_xlfn.NORM.INV($AC4195,$C$7,$D$7)</f>
        <v/>
      </c>
      <c r="P4195" s="14">
        <f>$C$8+($D$8-$C$8)*$AD4195</f>
        <v/>
      </c>
      <c r="Q4195" s="14">
        <f>$C$9</f>
        <v/>
      </c>
      <c r="R4195" s="14">
        <f>_xlfn.LOGNORM.INV($AF4195,LN($C$10)-0.5*LN(1+($D$10/$C$10)^2),SQRT(LN(1+($D$10/$C$10)^2)))</f>
        <v/>
      </c>
      <c r="S4195" s="14">
        <f>SUM(M4195:R4195)</f>
        <v/>
      </c>
      <c r="AA4195">
        <f>RAND()</f>
        <v/>
      </c>
      <c r="AB4195">
        <f>RAND()</f>
        <v/>
      </c>
      <c r="AC4195">
        <f>RAND()</f>
        <v/>
      </c>
      <c r="AD4195">
        <f>RAND()</f>
        <v/>
      </c>
      <c r="AE4195">
        <f>RAND()</f>
        <v/>
      </c>
      <c r="AF4195">
        <f>RAND()</f>
        <v/>
      </c>
    </row>
    <row r="4196">
      <c r="M4196" s="14">
        <f>_xlfn.BETA.INV($AA4196,1+4*($D$5-$C$5)/($E$5-$C$5),1+4*($E$5-$D$5)/($E$5-$C$5),$C$5,$E$5)</f>
        <v/>
      </c>
      <c r="N4196" s="14">
        <f>IF($AB4196&lt;($D$6-$C$6)/($E$6-$C$6),$C$6+SQRT($AB4196*($E$6-$C$6)*($D$6-$C$6)),$E$6-SQRT((1-$AB4196)*($E$6-$C$6)*($E$6-$D$6)))</f>
        <v/>
      </c>
      <c r="O4196" s="14">
        <f>_xlfn.NORM.INV($AC4196,$C$7,$D$7)</f>
        <v/>
      </c>
      <c r="P4196" s="14">
        <f>$C$8+($D$8-$C$8)*$AD4196</f>
        <v/>
      </c>
      <c r="Q4196" s="14">
        <f>$C$9</f>
        <v/>
      </c>
      <c r="R4196" s="14">
        <f>_xlfn.LOGNORM.INV($AF4196,LN($C$10)-0.5*LN(1+($D$10/$C$10)^2),SQRT(LN(1+($D$10/$C$10)^2)))</f>
        <v/>
      </c>
      <c r="S4196" s="14">
        <f>SUM(M4196:R4196)</f>
        <v/>
      </c>
      <c r="AA4196">
        <f>RAND()</f>
        <v/>
      </c>
      <c r="AB4196">
        <f>RAND()</f>
        <v/>
      </c>
      <c r="AC4196">
        <f>RAND()</f>
        <v/>
      </c>
      <c r="AD4196">
        <f>RAND()</f>
        <v/>
      </c>
      <c r="AE4196">
        <f>RAND()</f>
        <v/>
      </c>
      <c r="AF4196">
        <f>RAND()</f>
        <v/>
      </c>
    </row>
    <row r="4197">
      <c r="M4197" s="14">
        <f>_xlfn.BETA.INV($AA4197,1+4*($D$5-$C$5)/($E$5-$C$5),1+4*($E$5-$D$5)/($E$5-$C$5),$C$5,$E$5)</f>
        <v/>
      </c>
      <c r="N4197" s="14">
        <f>IF($AB4197&lt;($D$6-$C$6)/($E$6-$C$6),$C$6+SQRT($AB4197*($E$6-$C$6)*($D$6-$C$6)),$E$6-SQRT((1-$AB4197)*($E$6-$C$6)*($E$6-$D$6)))</f>
        <v/>
      </c>
      <c r="O4197" s="14">
        <f>_xlfn.NORM.INV($AC4197,$C$7,$D$7)</f>
        <v/>
      </c>
      <c r="P4197" s="14">
        <f>$C$8+($D$8-$C$8)*$AD4197</f>
        <v/>
      </c>
      <c r="Q4197" s="14">
        <f>$C$9</f>
        <v/>
      </c>
      <c r="R4197" s="14">
        <f>_xlfn.LOGNORM.INV($AF4197,LN($C$10)-0.5*LN(1+($D$10/$C$10)^2),SQRT(LN(1+($D$10/$C$10)^2)))</f>
        <v/>
      </c>
      <c r="S4197" s="14">
        <f>SUM(M4197:R4197)</f>
        <v/>
      </c>
      <c r="AA4197">
        <f>RAND()</f>
        <v/>
      </c>
      <c r="AB4197">
        <f>RAND()</f>
        <v/>
      </c>
      <c r="AC4197">
        <f>RAND()</f>
        <v/>
      </c>
      <c r="AD4197">
        <f>RAND()</f>
        <v/>
      </c>
      <c r="AE4197">
        <f>RAND()</f>
        <v/>
      </c>
      <c r="AF4197">
        <f>RAND()</f>
        <v/>
      </c>
    </row>
    <row r="4198">
      <c r="M4198" s="14">
        <f>_xlfn.BETA.INV($AA4198,1+4*($D$5-$C$5)/($E$5-$C$5),1+4*($E$5-$D$5)/($E$5-$C$5),$C$5,$E$5)</f>
        <v/>
      </c>
      <c r="N4198" s="14">
        <f>IF($AB4198&lt;($D$6-$C$6)/($E$6-$C$6),$C$6+SQRT($AB4198*($E$6-$C$6)*($D$6-$C$6)),$E$6-SQRT((1-$AB4198)*($E$6-$C$6)*($E$6-$D$6)))</f>
        <v/>
      </c>
      <c r="O4198" s="14">
        <f>_xlfn.NORM.INV($AC4198,$C$7,$D$7)</f>
        <v/>
      </c>
      <c r="P4198" s="14">
        <f>$C$8+($D$8-$C$8)*$AD4198</f>
        <v/>
      </c>
      <c r="Q4198" s="14">
        <f>$C$9</f>
        <v/>
      </c>
      <c r="R4198" s="14">
        <f>_xlfn.LOGNORM.INV($AF4198,LN($C$10)-0.5*LN(1+($D$10/$C$10)^2),SQRT(LN(1+($D$10/$C$10)^2)))</f>
        <v/>
      </c>
      <c r="S4198" s="14">
        <f>SUM(M4198:R4198)</f>
        <v/>
      </c>
      <c r="AA4198">
        <f>RAND()</f>
        <v/>
      </c>
      <c r="AB4198">
        <f>RAND()</f>
        <v/>
      </c>
      <c r="AC4198">
        <f>RAND()</f>
        <v/>
      </c>
      <c r="AD4198">
        <f>RAND()</f>
        <v/>
      </c>
      <c r="AE4198">
        <f>RAND()</f>
        <v/>
      </c>
      <c r="AF4198">
        <f>RAND()</f>
        <v/>
      </c>
    </row>
    <row r="4199">
      <c r="M4199" s="14">
        <f>_xlfn.BETA.INV($AA4199,1+4*($D$5-$C$5)/($E$5-$C$5),1+4*($E$5-$D$5)/($E$5-$C$5),$C$5,$E$5)</f>
        <v/>
      </c>
      <c r="N4199" s="14">
        <f>IF($AB4199&lt;($D$6-$C$6)/($E$6-$C$6),$C$6+SQRT($AB4199*($E$6-$C$6)*($D$6-$C$6)),$E$6-SQRT((1-$AB4199)*($E$6-$C$6)*($E$6-$D$6)))</f>
        <v/>
      </c>
      <c r="O4199" s="14">
        <f>_xlfn.NORM.INV($AC4199,$C$7,$D$7)</f>
        <v/>
      </c>
      <c r="P4199" s="14">
        <f>$C$8+($D$8-$C$8)*$AD4199</f>
        <v/>
      </c>
      <c r="Q4199" s="14">
        <f>$C$9</f>
        <v/>
      </c>
      <c r="R4199" s="14">
        <f>_xlfn.LOGNORM.INV($AF4199,LN($C$10)-0.5*LN(1+($D$10/$C$10)^2),SQRT(LN(1+($D$10/$C$10)^2)))</f>
        <v/>
      </c>
      <c r="S4199" s="14">
        <f>SUM(M4199:R4199)</f>
        <v/>
      </c>
      <c r="AA4199">
        <f>RAND()</f>
        <v/>
      </c>
      <c r="AB4199">
        <f>RAND()</f>
        <v/>
      </c>
      <c r="AC4199">
        <f>RAND()</f>
        <v/>
      </c>
      <c r="AD4199">
        <f>RAND()</f>
        <v/>
      </c>
      <c r="AE4199">
        <f>RAND()</f>
        <v/>
      </c>
      <c r="AF4199">
        <f>RAND()</f>
        <v/>
      </c>
    </row>
    <row r="4200">
      <c r="M4200" s="14">
        <f>_xlfn.BETA.INV($AA4200,1+4*($D$5-$C$5)/($E$5-$C$5),1+4*($E$5-$D$5)/($E$5-$C$5),$C$5,$E$5)</f>
        <v/>
      </c>
      <c r="N4200" s="14">
        <f>IF($AB4200&lt;($D$6-$C$6)/($E$6-$C$6),$C$6+SQRT($AB4200*($E$6-$C$6)*($D$6-$C$6)),$E$6-SQRT((1-$AB4200)*($E$6-$C$6)*($E$6-$D$6)))</f>
        <v/>
      </c>
      <c r="O4200" s="14">
        <f>_xlfn.NORM.INV($AC4200,$C$7,$D$7)</f>
        <v/>
      </c>
      <c r="P4200" s="14">
        <f>$C$8+($D$8-$C$8)*$AD4200</f>
        <v/>
      </c>
      <c r="Q4200" s="14">
        <f>$C$9</f>
        <v/>
      </c>
      <c r="R4200" s="14">
        <f>_xlfn.LOGNORM.INV($AF4200,LN($C$10)-0.5*LN(1+($D$10/$C$10)^2),SQRT(LN(1+($D$10/$C$10)^2)))</f>
        <v/>
      </c>
      <c r="S4200" s="14">
        <f>SUM(M4200:R4200)</f>
        <v/>
      </c>
      <c r="AA4200">
        <f>RAND()</f>
        <v/>
      </c>
      <c r="AB4200">
        <f>RAND()</f>
        <v/>
      </c>
      <c r="AC4200">
        <f>RAND()</f>
        <v/>
      </c>
      <c r="AD4200">
        <f>RAND()</f>
        <v/>
      </c>
      <c r="AE4200">
        <f>RAND()</f>
        <v/>
      </c>
      <c r="AF4200">
        <f>RAND()</f>
        <v/>
      </c>
    </row>
    <row r="4201">
      <c r="M4201" s="14">
        <f>_xlfn.BETA.INV($AA4201,1+4*($D$5-$C$5)/($E$5-$C$5),1+4*($E$5-$D$5)/($E$5-$C$5),$C$5,$E$5)</f>
        <v/>
      </c>
      <c r="N4201" s="14">
        <f>IF($AB4201&lt;($D$6-$C$6)/($E$6-$C$6),$C$6+SQRT($AB4201*($E$6-$C$6)*($D$6-$C$6)),$E$6-SQRT((1-$AB4201)*($E$6-$C$6)*($E$6-$D$6)))</f>
        <v/>
      </c>
      <c r="O4201" s="14">
        <f>_xlfn.NORM.INV($AC4201,$C$7,$D$7)</f>
        <v/>
      </c>
      <c r="P4201" s="14">
        <f>$C$8+($D$8-$C$8)*$AD4201</f>
        <v/>
      </c>
      <c r="Q4201" s="14">
        <f>$C$9</f>
        <v/>
      </c>
      <c r="R4201" s="14">
        <f>_xlfn.LOGNORM.INV($AF4201,LN($C$10)-0.5*LN(1+($D$10/$C$10)^2),SQRT(LN(1+($D$10/$C$10)^2)))</f>
        <v/>
      </c>
      <c r="S4201" s="14">
        <f>SUM(M4201:R4201)</f>
        <v/>
      </c>
      <c r="AA4201">
        <f>RAND()</f>
        <v/>
      </c>
      <c r="AB4201">
        <f>RAND()</f>
        <v/>
      </c>
      <c r="AC4201">
        <f>RAND()</f>
        <v/>
      </c>
      <c r="AD4201">
        <f>RAND()</f>
        <v/>
      </c>
      <c r="AE4201">
        <f>RAND()</f>
        <v/>
      </c>
      <c r="AF4201">
        <f>RAND()</f>
        <v/>
      </c>
    </row>
    <row r="4202">
      <c r="M4202" s="14">
        <f>_xlfn.BETA.INV($AA4202,1+4*($D$5-$C$5)/($E$5-$C$5),1+4*($E$5-$D$5)/($E$5-$C$5),$C$5,$E$5)</f>
        <v/>
      </c>
      <c r="N4202" s="14">
        <f>IF($AB4202&lt;($D$6-$C$6)/($E$6-$C$6),$C$6+SQRT($AB4202*($E$6-$C$6)*($D$6-$C$6)),$E$6-SQRT((1-$AB4202)*($E$6-$C$6)*($E$6-$D$6)))</f>
        <v/>
      </c>
      <c r="O4202" s="14">
        <f>_xlfn.NORM.INV($AC4202,$C$7,$D$7)</f>
        <v/>
      </c>
      <c r="P4202" s="14">
        <f>$C$8+($D$8-$C$8)*$AD4202</f>
        <v/>
      </c>
      <c r="Q4202" s="14">
        <f>$C$9</f>
        <v/>
      </c>
      <c r="R4202" s="14">
        <f>_xlfn.LOGNORM.INV($AF4202,LN($C$10)-0.5*LN(1+($D$10/$C$10)^2),SQRT(LN(1+($D$10/$C$10)^2)))</f>
        <v/>
      </c>
      <c r="S4202" s="14">
        <f>SUM(M4202:R4202)</f>
        <v/>
      </c>
      <c r="AA4202">
        <f>RAND()</f>
        <v/>
      </c>
      <c r="AB4202">
        <f>RAND()</f>
        <v/>
      </c>
      <c r="AC4202">
        <f>RAND()</f>
        <v/>
      </c>
      <c r="AD4202">
        <f>RAND()</f>
        <v/>
      </c>
      <c r="AE4202">
        <f>RAND()</f>
        <v/>
      </c>
      <c r="AF4202">
        <f>RAND()</f>
        <v/>
      </c>
    </row>
    <row r="4203">
      <c r="M4203" s="14">
        <f>_xlfn.BETA.INV($AA4203,1+4*($D$5-$C$5)/($E$5-$C$5),1+4*($E$5-$D$5)/($E$5-$C$5),$C$5,$E$5)</f>
        <v/>
      </c>
      <c r="N4203" s="14">
        <f>IF($AB4203&lt;($D$6-$C$6)/($E$6-$C$6),$C$6+SQRT($AB4203*($E$6-$C$6)*($D$6-$C$6)),$E$6-SQRT((1-$AB4203)*($E$6-$C$6)*($E$6-$D$6)))</f>
        <v/>
      </c>
      <c r="O4203" s="14">
        <f>_xlfn.NORM.INV($AC4203,$C$7,$D$7)</f>
        <v/>
      </c>
      <c r="P4203" s="14">
        <f>$C$8+($D$8-$C$8)*$AD4203</f>
        <v/>
      </c>
      <c r="Q4203" s="14">
        <f>$C$9</f>
        <v/>
      </c>
      <c r="R4203" s="14">
        <f>_xlfn.LOGNORM.INV($AF4203,LN($C$10)-0.5*LN(1+($D$10/$C$10)^2),SQRT(LN(1+($D$10/$C$10)^2)))</f>
        <v/>
      </c>
      <c r="S4203" s="14">
        <f>SUM(M4203:R4203)</f>
        <v/>
      </c>
      <c r="AA4203">
        <f>RAND()</f>
        <v/>
      </c>
      <c r="AB4203">
        <f>RAND()</f>
        <v/>
      </c>
      <c r="AC4203">
        <f>RAND()</f>
        <v/>
      </c>
      <c r="AD4203">
        <f>RAND()</f>
        <v/>
      </c>
      <c r="AE4203">
        <f>RAND()</f>
        <v/>
      </c>
      <c r="AF4203">
        <f>RAND()</f>
        <v/>
      </c>
    </row>
    <row r="4204">
      <c r="M4204" s="14">
        <f>_xlfn.BETA.INV($AA4204,1+4*($D$5-$C$5)/($E$5-$C$5),1+4*($E$5-$D$5)/($E$5-$C$5),$C$5,$E$5)</f>
        <v/>
      </c>
      <c r="N4204" s="14">
        <f>IF($AB4204&lt;($D$6-$C$6)/($E$6-$C$6),$C$6+SQRT($AB4204*($E$6-$C$6)*($D$6-$C$6)),$E$6-SQRT((1-$AB4204)*($E$6-$C$6)*($E$6-$D$6)))</f>
        <v/>
      </c>
      <c r="O4204" s="14">
        <f>_xlfn.NORM.INV($AC4204,$C$7,$D$7)</f>
        <v/>
      </c>
      <c r="P4204" s="14">
        <f>$C$8+($D$8-$C$8)*$AD4204</f>
        <v/>
      </c>
      <c r="Q4204" s="14">
        <f>$C$9</f>
        <v/>
      </c>
      <c r="R4204" s="14">
        <f>_xlfn.LOGNORM.INV($AF4204,LN($C$10)-0.5*LN(1+($D$10/$C$10)^2),SQRT(LN(1+($D$10/$C$10)^2)))</f>
        <v/>
      </c>
      <c r="S4204" s="14">
        <f>SUM(M4204:R4204)</f>
        <v/>
      </c>
      <c r="AA4204">
        <f>RAND()</f>
        <v/>
      </c>
      <c r="AB4204">
        <f>RAND()</f>
        <v/>
      </c>
      <c r="AC4204">
        <f>RAND()</f>
        <v/>
      </c>
      <c r="AD4204">
        <f>RAND()</f>
        <v/>
      </c>
      <c r="AE4204">
        <f>RAND()</f>
        <v/>
      </c>
      <c r="AF4204">
        <f>RAND()</f>
        <v/>
      </c>
    </row>
    <row r="4205">
      <c r="M4205" s="14">
        <f>_xlfn.BETA.INV($AA4205,1+4*($D$5-$C$5)/($E$5-$C$5),1+4*($E$5-$D$5)/($E$5-$C$5),$C$5,$E$5)</f>
        <v/>
      </c>
      <c r="N4205" s="14">
        <f>IF($AB4205&lt;($D$6-$C$6)/($E$6-$C$6),$C$6+SQRT($AB4205*($E$6-$C$6)*($D$6-$C$6)),$E$6-SQRT((1-$AB4205)*($E$6-$C$6)*($E$6-$D$6)))</f>
        <v/>
      </c>
      <c r="O4205" s="14">
        <f>_xlfn.NORM.INV($AC4205,$C$7,$D$7)</f>
        <v/>
      </c>
      <c r="P4205" s="14">
        <f>$C$8+($D$8-$C$8)*$AD4205</f>
        <v/>
      </c>
      <c r="Q4205" s="14">
        <f>$C$9</f>
        <v/>
      </c>
      <c r="R4205" s="14">
        <f>_xlfn.LOGNORM.INV($AF4205,LN($C$10)-0.5*LN(1+($D$10/$C$10)^2),SQRT(LN(1+($D$10/$C$10)^2)))</f>
        <v/>
      </c>
      <c r="S4205" s="14">
        <f>SUM(M4205:R4205)</f>
        <v/>
      </c>
      <c r="AA4205">
        <f>RAND()</f>
        <v/>
      </c>
      <c r="AB4205">
        <f>RAND()</f>
        <v/>
      </c>
      <c r="AC4205">
        <f>RAND()</f>
        <v/>
      </c>
      <c r="AD4205">
        <f>RAND()</f>
        <v/>
      </c>
      <c r="AE4205">
        <f>RAND()</f>
        <v/>
      </c>
      <c r="AF4205">
        <f>RAND()</f>
        <v/>
      </c>
    </row>
    <row r="4206">
      <c r="M4206" s="14">
        <f>_xlfn.BETA.INV($AA4206,1+4*($D$5-$C$5)/($E$5-$C$5),1+4*($E$5-$D$5)/($E$5-$C$5),$C$5,$E$5)</f>
        <v/>
      </c>
      <c r="N4206" s="14">
        <f>IF($AB4206&lt;($D$6-$C$6)/($E$6-$C$6),$C$6+SQRT($AB4206*($E$6-$C$6)*($D$6-$C$6)),$E$6-SQRT((1-$AB4206)*($E$6-$C$6)*($E$6-$D$6)))</f>
        <v/>
      </c>
      <c r="O4206" s="14">
        <f>_xlfn.NORM.INV($AC4206,$C$7,$D$7)</f>
        <v/>
      </c>
      <c r="P4206" s="14">
        <f>$C$8+($D$8-$C$8)*$AD4206</f>
        <v/>
      </c>
      <c r="Q4206" s="14">
        <f>$C$9</f>
        <v/>
      </c>
      <c r="R4206" s="14">
        <f>_xlfn.LOGNORM.INV($AF4206,LN($C$10)-0.5*LN(1+($D$10/$C$10)^2),SQRT(LN(1+($D$10/$C$10)^2)))</f>
        <v/>
      </c>
      <c r="S4206" s="14">
        <f>SUM(M4206:R4206)</f>
        <v/>
      </c>
      <c r="AA4206">
        <f>RAND()</f>
        <v/>
      </c>
      <c r="AB4206">
        <f>RAND()</f>
        <v/>
      </c>
      <c r="AC4206">
        <f>RAND()</f>
        <v/>
      </c>
      <c r="AD4206">
        <f>RAND()</f>
        <v/>
      </c>
      <c r="AE4206">
        <f>RAND()</f>
        <v/>
      </c>
      <c r="AF4206">
        <f>RAND()</f>
        <v/>
      </c>
    </row>
    <row r="4207">
      <c r="M4207" s="14">
        <f>_xlfn.BETA.INV($AA4207,1+4*($D$5-$C$5)/($E$5-$C$5),1+4*($E$5-$D$5)/($E$5-$C$5),$C$5,$E$5)</f>
        <v/>
      </c>
      <c r="N4207" s="14">
        <f>IF($AB4207&lt;($D$6-$C$6)/($E$6-$C$6),$C$6+SQRT($AB4207*($E$6-$C$6)*($D$6-$C$6)),$E$6-SQRT((1-$AB4207)*($E$6-$C$6)*($E$6-$D$6)))</f>
        <v/>
      </c>
      <c r="O4207" s="14">
        <f>_xlfn.NORM.INV($AC4207,$C$7,$D$7)</f>
        <v/>
      </c>
      <c r="P4207" s="14">
        <f>$C$8+($D$8-$C$8)*$AD4207</f>
        <v/>
      </c>
      <c r="Q4207" s="14">
        <f>$C$9</f>
        <v/>
      </c>
      <c r="R4207" s="14">
        <f>_xlfn.LOGNORM.INV($AF4207,LN($C$10)-0.5*LN(1+($D$10/$C$10)^2),SQRT(LN(1+($D$10/$C$10)^2)))</f>
        <v/>
      </c>
      <c r="S4207" s="14">
        <f>SUM(M4207:R4207)</f>
        <v/>
      </c>
      <c r="AA4207">
        <f>RAND()</f>
        <v/>
      </c>
      <c r="AB4207">
        <f>RAND()</f>
        <v/>
      </c>
      <c r="AC4207">
        <f>RAND()</f>
        <v/>
      </c>
      <c r="AD4207">
        <f>RAND()</f>
        <v/>
      </c>
      <c r="AE4207">
        <f>RAND()</f>
        <v/>
      </c>
      <c r="AF4207">
        <f>RAND()</f>
        <v/>
      </c>
    </row>
    <row r="4208">
      <c r="M4208" s="14">
        <f>_xlfn.BETA.INV($AA4208,1+4*($D$5-$C$5)/($E$5-$C$5),1+4*($E$5-$D$5)/($E$5-$C$5),$C$5,$E$5)</f>
        <v/>
      </c>
      <c r="N4208" s="14">
        <f>IF($AB4208&lt;($D$6-$C$6)/($E$6-$C$6),$C$6+SQRT($AB4208*($E$6-$C$6)*($D$6-$C$6)),$E$6-SQRT((1-$AB4208)*($E$6-$C$6)*($E$6-$D$6)))</f>
        <v/>
      </c>
      <c r="O4208" s="14">
        <f>_xlfn.NORM.INV($AC4208,$C$7,$D$7)</f>
        <v/>
      </c>
      <c r="P4208" s="14">
        <f>$C$8+($D$8-$C$8)*$AD4208</f>
        <v/>
      </c>
      <c r="Q4208" s="14">
        <f>$C$9</f>
        <v/>
      </c>
      <c r="R4208" s="14">
        <f>_xlfn.LOGNORM.INV($AF4208,LN($C$10)-0.5*LN(1+($D$10/$C$10)^2),SQRT(LN(1+($D$10/$C$10)^2)))</f>
        <v/>
      </c>
      <c r="S4208" s="14">
        <f>SUM(M4208:R4208)</f>
        <v/>
      </c>
      <c r="AA4208">
        <f>RAND()</f>
        <v/>
      </c>
      <c r="AB4208">
        <f>RAND()</f>
        <v/>
      </c>
      <c r="AC4208">
        <f>RAND()</f>
        <v/>
      </c>
      <c r="AD4208">
        <f>RAND()</f>
        <v/>
      </c>
      <c r="AE4208">
        <f>RAND()</f>
        <v/>
      </c>
      <c r="AF4208">
        <f>RAND()</f>
        <v/>
      </c>
    </row>
    <row r="4209">
      <c r="M4209" s="14">
        <f>_xlfn.BETA.INV($AA4209,1+4*($D$5-$C$5)/($E$5-$C$5),1+4*($E$5-$D$5)/($E$5-$C$5),$C$5,$E$5)</f>
        <v/>
      </c>
      <c r="N4209" s="14">
        <f>IF($AB4209&lt;($D$6-$C$6)/($E$6-$C$6),$C$6+SQRT($AB4209*($E$6-$C$6)*($D$6-$C$6)),$E$6-SQRT((1-$AB4209)*($E$6-$C$6)*($E$6-$D$6)))</f>
        <v/>
      </c>
      <c r="O4209" s="14">
        <f>_xlfn.NORM.INV($AC4209,$C$7,$D$7)</f>
        <v/>
      </c>
      <c r="P4209" s="14">
        <f>$C$8+($D$8-$C$8)*$AD4209</f>
        <v/>
      </c>
      <c r="Q4209" s="14">
        <f>$C$9</f>
        <v/>
      </c>
      <c r="R4209" s="14">
        <f>_xlfn.LOGNORM.INV($AF4209,LN($C$10)-0.5*LN(1+($D$10/$C$10)^2),SQRT(LN(1+($D$10/$C$10)^2)))</f>
        <v/>
      </c>
      <c r="S4209" s="14">
        <f>SUM(M4209:R4209)</f>
        <v/>
      </c>
      <c r="AA4209">
        <f>RAND()</f>
        <v/>
      </c>
      <c r="AB4209">
        <f>RAND()</f>
        <v/>
      </c>
      <c r="AC4209">
        <f>RAND()</f>
        <v/>
      </c>
      <c r="AD4209">
        <f>RAND()</f>
        <v/>
      </c>
      <c r="AE4209">
        <f>RAND()</f>
        <v/>
      </c>
      <c r="AF4209">
        <f>RAND()</f>
        <v/>
      </c>
    </row>
    <row r="4210">
      <c r="M4210" s="14">
        <f>_xlfn.BETA.INV($AA4210,1+4*($D$5-$C$5)/($E$5-$C$5),1+4*($E$5-$D$5)/($E$5-$C$5),$C$5,$E$5)</f>
        <v/>
      </c>
      <c r="N4210" s="14">
        <f>IF($AB4210&lt;($D$6-$C$6)/($E$6-$C$6),$C$6+SQRT($AB4210*($E$6-$C$6)*($D$6-$C$6)),$E$6-SQRT((1-$AB4210)*($E$6-$C$6)*($E$6-$D$6)))</f>
        <v/>
      </c>
      <c r="O4210" s="14">
        <f>_xlfn.NORM.INV($AC4210,$C$7,$D$7)</f>
        <v/>
      </c>
      <c r="P4210" s="14">
        <f>$C$8+($D$8-$C$8)*$AD4210</f>
        <v/>
      </c>
      <c r="Q4210" s="14">
        <f>$C$9</f>
        <v/>
      </c>
      <c r="R4210" s="14">
        <f>_xlfn.LOGNORM.INV($AF4210,LN($C$10)-0.5*LN(1+($D$10/$C$10)^2),SQRT(LN(1+($D$10/$C$10)^2)))</f>
        <v/>
      </c>
      <c r="S4210" s="14">
        <f>SUM(M4210:R4210)</f>
        <v/>
      </c>
      <c r="AA4210">
        <f>RAND()</f>
        <v/>
      </c>
      <c r="AB4210">
        <f>RAND()</f>
        <v/>
      </c>
      <c r="AC4210">
        <f>RAND()</f>
        <v/>
      </c>
      <c r="AD4210">
        <f>RAND()</f>
        <v/>
      </c>
      <c r="AE4210">
        <f>RAND()</f>
        <v/>
      </c>
      <c r="AF4210">
        <f>RAND()</f>
        <v/>
      </c>
    </row>
    <row r="4211">
      <c r="M4211" s="14">
        <f>_xlfn.BETA.INV($AA4211,1+4*($D$5-$C$5)/($E$5-$C$5),1+4*($E$5-$D$5)/($E$5-$C$5),$C$5,$E$5)</f>
        <v/>
      </c>
      <c r="N4211" s="14">
        <f>IF($AB4211&lt;($D$6-$C$6)/($E$6-$C$6),$C$6+SQRT($AB4211*($E$6-$C$6)*($D$6-$C$6)),$E$6-SQRT((1-$AB4211)*($E$6-$C$6)*($E$6-$D$6)))</f>
        <v/>
      </c>
      <c r="O4211" s="14">
        <f>_xlfn.NORM.INV($AC4211,$C$7,$D$7)</f>
        <v/>
      </c>
      <c r="P4211" s="14">
        <f>$C$8+($D$8-$C$8)*$AD4211</f>
        <v/>
      </c>
      <c r="Q4211" s="14">
        <f>$C$9</f>
        <v/>
      </c>
      <c r="R4211" s="14">
        <f>_xlfn.LOGNORM.INV($AF4211,LN($C$10)-0.5*LN(1+($D$10/$C$10)^2),SQRT(LN(1+($D$10/$C$10)^2)))</f>
        <v/>
      </c>
      <c r="S4211" s="14">
        <f>SUM(M4211:R4211)</f>
        <v/>
      </c>
      <c r="AA4211">
        <f>RAND()</f>
        <v/>
      </c>
      <c r="AB4211">
        <f>RAND()</f>
        <v/>
      </c>
      <c r="AC4211">
        <f>RAND()</f>
        <v/>
      </c>
      <c r="AD4211">
        <f>RAND()</f>
        <v/>
      </c>
      <c r="AE4211">
        <f>RAND()</f>
        <v/>
      </c>
      <c r="AF4211">
        <f>RAND()</f>
        <v/>
      </c>
    </row>
    <row r="4212">
      <c r="M4212" s="14">
        <f>_xlfn.BETA.INV($AA4212,1+4*($D$5-$C$5)/($E$5-$C$5),1+4*($E$5-$D$5)/($E$5-$C$5),$C$5,$E$5)</f>
        <v/>
      </c>
      <c r="N4212" s="14">
        <f>IF($AB4212&lt;($D$6-$C$6)/($E$6-$C$6),$C$6+SQRT($AB4212*($E$6-$C$6)*($D$6-$C$6)),$E$6-SQRT((1-$AB4212)*($E$6-$C$6)*($E$6-$D$6)))</f>
        <v/>
      </c>
      <c r="O4212" s="14">
        <f>_xlfn.NORM.INV($AC4212,$C$7,$D$7)</f>
        <v/>
      </c>
      <c r="P4212" s="14">
        <f>$C$8+($D$8-$C$8)*$AD4212</f>
        <v/>
      </c>
      <c r="Q4212" s="14">
        <f>$C$9</f>
        <v/>
      </c>
      <c r="R4212" s="14">
        <f>_xlfn.LOGNORM.INV($AF4212,LN($C$10)-0.5*LN(1+($D$10/$C$10)^2),SQRT(LN(1+($D$10/$C$10)^2)))</f>
        <v/>
      </c>
      <c r="S4212" s="14">
        <f>SUM(M4212:R4212)</f>
        <v/>
      </c>
      <c r="AA4212">
        <f>RAND()</f>
        <v/>
      </c>
      <c r="AB4212">
        <f>RAND()</f>
        <v/>
      </c>
      <c r="AC4212">
        <f>RAND()</f>
        <v/>
      </c>
      <c r="AD4212">
        <f>RAND()</f>
        <v/>
      </c>
      <c r="AE4212">
        <f>RAND()</f>
        <v/>
      </c>
      <c r="AF4212">
        <f>RAND()</f>
        <v/>
      </c>
    </row>
    <row r="4213">
      <c r="M4213" s="14">
        <f>_xlfn.BETA.INV($AA4213,1+4*($D$5-$C$5)/($E$5-$C$5),1+4*($E$5-$D$5)/($E$5-$C$5),$C$5,$E$5)</f>
        <v/>
      </c>
      <c r="N4213" s="14">
        <f>IF($AB4213&lt;($D$6-$C$6)/($E$6-$C$6),$C$6+SQRT($AB4213*($E$6-$C$6)*($D$6-$C$6)),$E$6-SQRT((1-$AB4213)*($E$6-$C$6)*($E$6-$D$6)))</f>
        <v/>
      </c>
      <c r="O4213" s="14">
        <f>_xlfn.NORM.INV($AC4213,$C$7,$D$7)</f>
        <v/>
      </c>
      <c r="P4213" s="14">
        <f>$C$8+($D$8-$C$8)*$AD4213</f>
        <v/>
      </c>
      <c r="Q4213" s="14">
        <f>$C$9</f>
        <v/>
      </c>
      <c r="R4213" s="14">
        <f>_xlfn.LOGNORM.INV($AF4213,LN($C$10)-0.5*LN(1+($D$10/$C$10)^2),SQRT(LN(1+($D$10/$C$10)^2)))</f>
        <v/>
      </c>
      <c r="S4213" s="14">
        <f>SUM(M4213:R4213)</f>
        <v/>
      </c>
      <c r="AA4213">
        <f>RAND()</f>
        <v/>
      </c>
      <c r="AB4213">
        <f>RAND()</f>
        <v/>
      </c>
      <c r="AC4213">
        <f>RAND()</f>
        <v/>
      </c>
      <c r="AD4213">
        <f>RAND()</f>
        <v/>
      </c>
      <c r="AE4213">
        <f>RAND()</f>
        <v/>
      </c>
      <c r="AF4213">
        <f>RAND()</f>
        <v/>
      </c>
    </row>
    <row r="4214">
      <c r="M4214" s="14">
        <f>_xlfn.BETA.INV($AA4214,1+4*($D$5-$C$5)/($E$5-$C$5),1+4*($E$5-$D$5)/($E$5-$C$5),$C$5,$E$5)</f>
        <v/>
      </c>
      <c r="N4214" s="14">
        <f>IF($AB4214&lt;($D$6-$C$6)/($E$6-$C$6),$C$6+SQRT($AB4214*($E$6-$C$6)*($D$6-$C$6)),$E$6-SQRT((1-$AB4214)*($E$6-$C$6)*($E$6-$D$6)))</f>
        <v/>
      </c>
      <c r="O4214" s="14">
        <f>_xlfn.NORM.INV($AC4214,$C$7,$D$7)</f>
        <v/>
      </c>
      <c r="P4214" s="14">
        <f>$C$8+($D$8-$C$8)*$AD4214</f>
        <v/>
      </c>
      <c r="Q4214" s="14">
        <f>$C$9</f>
        <v/>
      </c>
      <c r="R4214" s="14">
        <f>_xlfn.LOGNORM.INV($AF4214,LN($C$10)-0.5*LN(1+($D$10/$C$10)^2),SQRT(LN(1+($D$10/$C$10)^2)))</f>
        <v/>
      </c>
      <c r="S4214" s="14">
        <f>SUM(M4214:R4214)</f>
        <v/>
      </c>
      <c r="AA4214">
        <f>RAND()</f>
        <v/>
      </c>
      <c r="AB4214">
        <f>RAND()</f>
        <v/>
      </c>
      <c r="AC4214">
        <f>RAND()</f>
        <v/>
      </c>
      <c r="AD4214">
        <f>RAND()</f>
        <v/>
      </c>
      <c r="AE4214">
        <f>RAND()</f>
        <v/>
      </c>
      <c r="AF4214">
        <f>RAND()</f>
        <v/>
      </c>
    </row>
    <row r="4215">
      <c r="M4215" s="14">
        <f>_xlfn.BETA.INV($AA4215,1+4*($D$5-$C$5)/($E$5-$C$5),1+4*($E$5-$D$5)/($E$5-$C$5),$C$5,$E$5)</f>
        <v/>
      </c>
      <c r="N4215" s="14">
        <f>IF($AB4215&lt;($D$6-$C$6)/($E$6-$C$6),$C$6+SQRT($AB4215*($E$6-$C$6)*($D$6-$C$6)),$E$6-SQRT((1-$AB4215)*($E$6-$C$6)*($E$6-$D$6)))</f>
        <v/>
      </c>
      <c r="O4215" s="14">
        <f>_xlfn.NORM.INV($AC4215,$C$7,$D$7)</f>
        <v/>
      </c>
      <c r="P4215" s="14">
        <f>$C$8+($D$8-$C$8)*$AD4215</f>
        <v/>
      </c>
      <c r="Q4215" s="14">
        <f>$C$9</f>
        <v/>
      </c>
      <c r="R4215" s="14">
        <f>_xlfn.LOGNORM.INV($AF4215,LN($C$10)-0.5*LN(1+($D$10/$C$10)^2),SQRT(LN(1+($D$10/$C$10)^2)))</f>
        <v/>
      </c>
      <c r="S4215" s="14">
        <f>SUM(M4215:R4215)</f>
        <v/>
      </c>
      <c r="AA4215">
        <f>RAND()</f>
        <v/>
      </c>
      <c r="AB4215">
        <f>RAND()</f>
        <v/>
      </c>
      <c r="AC4215">
        <f>RAND()</f>
        <v/>
      </c>
      <c r="AD4215">
        <f>RAND()</f>
        <v/>
      </c>
      <c r="AE4215">
        <f>RAND()</f>
        <v/>
      </c>
      <c r="AF4215">
        <f>RAND()</f>
        <v/>
      </c>
    </row>
    <row r="4216">
      <c r="M4216" s="14">
        <f>_xlfn.BETA.INV($AA4216,1+4*($D$5-$C$5)/($E$5-$C$5),1+4*($E$5-$D$5)/($E$5-$C$5),$C$5,$E$5)</f>
        <v/>
      </c>
      <c r="N4216" s="14">
        <f>IF($AB4216&lt;($D$6-$C$6)/($E$6-$C$6),$C$6+SQRT($AB4216*($E$6-$C$6)*($D$6-$C$6)),$E$6-SQRT((1-$AB4216)*($E$6-$C$6)*($E$6-$D$6)))</f>
        <v/>
      </c>
      <c r="O4216" s="14">
        <f>_xlfn.NORM.INV($AC4216,$C$7,$D$7)</f>
        <v/>
      </c>
      <c r="P4216" s="14">
        <f>$C$8+($D$8-$C$8)*$AD4216</f>
        <v/>
      </c>
      <c r="Q4216" s="14">
        <f>$C$9</f>
        <v/>
      </c>
      <c r="R4216" s="14">
        <f>_xlfn.LOGNORM.INV($AF4216,LN($C$10)-0.5*LN(1+($D$10/$C$10)^2),SQRT(LN(1+($D$10/$C$10)^2)))</f>
        <v/>
      </c>
      <c r="S4216" s="14">
        <f>SUM(M4216:R4216)</f>
        <v/>
      </c>
      <c r="AA4216">
        <f>RAND()</f>
        <v/>
      </c>
      <c r="AB4216">
        <f>RAND()</f>
        <v/>
      </c>
      <c r="AC4216">
        <f>RAND()</f>
        <v/>
      </c>
      <c r="AD4216">
        <f>RAND()</f>
        <v/>
      </c>
      <c r="AE4216">
        <f>RAND()</f>
        <v/>
      </c>
      <c r="AF4216">
        <f>RAND()</f>
        <v/>
      </c>
    </row>
    <row r="4217">
      <c r="M4217" s="14">
        <f>_xlfn.BETA.INV($AA4217,1+4*($D$5-$C$5)/($E$5-$C$5),1+4*($E$5-$D$5)/($E$5-$C$5),$C$5,$E$5)</f>
        <v/>
      </c>
      <c r="N4217" s="14">
        <f>IF($AB4217&lt;($D$6-$C$6)/($E$6-$C$6),$C$6+SQRT($AB4217*($E$6-$C$6)*($D$6-$C$6)),$E$6-SQRT((1-$AB4217)*($E$6-$C$6)*($E$6-$D$6)))</f>
        <v/>
      </c>
      <c r="O4217" s="14">
        <f>_xlfn.NORM.INV($AC4217,$C$7,$D$7)</f>
        <v/>
      </c>
      <c r="P4217" s="14">
        <f>$C$8+($D$8-$C$8)*$AD4217</f>
        <v/>
      </c>
      <c r="Q4217" s="14">
        <f>$C$9</f>
        <v/>
      </c>
      <c r="R4217" s="14">
        <f>_xlfn.LOGNORM.INV($AF4217,LN($C$10)-0.5*LN(1+($D$10/$C$10)^2),SQRT(LN(1+($D$10/$C$10)^2)))</f>
        <v/>
      </c>
      <c r="S4217" s="14">
        <f>SUM(M4217:R4217)</f>
        <v/>
      </c>
      <c r="AA4217">
        <f>RAND()</f>
        <v/>
      </c>
      <c r="AB4217">
        <f>RAND()</f>
        <v/>
      </c>
      <c r="AC4217">
        <f>RAND()</f>
        <v/>
      </c>
      <c r="AD4217">
        <f>RAND()</f>
        <v/>
      </c>
      <c r="AE4217">
        <f>RAND()</f>
        <v/>
      </c>
      <c r="AF4217">
        <f>RAND()</f>
        <v/>
      </c>
    </row>
    <row r="4218">
      <c r="M4218" s="14">
        <f>_xlfn.BETA.INV($AA4218,1+4*($D$5-$C$5)/($E$5-$C$5),1+4*($E$5-$D$5)/($E$5-$C$5),$C$5,$E$5)</f>
        <v/>
      </c>
      <c r="N4218" s="14">
        <f>IF($AB4218&lt;($D$6-$C$6)/($E$6-$C$6),$C$6+SQRT($AB4218*($E$6-$C$6)*($D$6-$C$6)),$E$6-SQRT((1-$AB4218)*($E$6-$C$6)*($E$6-$D$6)))</f>
        <v/>
      </c>
      <c r="O4218" s="14">
        <f>_xlfn.NORM.INV($AC4218,$C$7,$D$7)</f>
        <v/>
      </c>
      <c r="P4218" s="14">
        <f>$C$8+($D$8-$C$8)*$AD4218</f>
        <v/>
      </c>
      <c r="Q4218" s="14">
        <f>$C$9</f>
        <v/>
      </c>
      <c r="R4218" s="14">
        <f>_xlfn.LOGNORM.INV($AF4218,LN($C$10)-0.5*LN(1+($D$10/$C$10)^2),SQRT(LN(1+($D$10/$C$10)^2)))</f>
        <v/>
      </c>
      <c r="S4218" s="14">
        <f>SUM(M4218:R4218)</f>
        <v/>
      </c>
      <c r="AA4218">
        <f>RAND()</f>
        <v/>
      </c>
      <c r="AB4218">
        <f>RAND()</f>
        <v/>
      </c>
      <c r="AC4218">
        <f>RAND()</f>
        <v/>
      </c>
      <c r="AD4218">
        <f>RAND()</f>
        <v/>
      </c>
      <c r="AE4218">
        <f>RAND()</f>
        <v/>
      </c>
      <c r="AF4218">
        <f>RAND()</f>
        <v/>
      </c>
    </row>
    <row r="4219">
      <c r="M4219" s="14">
        <f>_xlfn.BETA.INV($AA4219,1+4*($D$5-$C$5)/($E$5-$C$5),1+4*($E$5-$D$5)/($E$5-$C$5),$C$5,$E$5)</f>
        <v/>
      </c>
      <c r="N4219" s="14">
        <f>IF($AB4219&lt;($D$6-$C$6)/($E$6-$C$6),$C$6+SQRT($AB4219*($E$6-$C$6)*($D$6-$C$6)),$E$6-SQRT((1-$AB4219)*($E$6-$C$6)*($E$6-$D$6)))</f>
        <v/>
      </c>
      <c r="O4219" s="14">
        <f>_xlfn.NORM.INV($AC4219,$C$7,$D$7)</f>
        <v/>
      </c>
      <c r="P4219" s="14">
        <f>$C$8+($D$8-$C$8)*$AD4219</f>
        <v/>
      </c>
      <c r="Q4219" s="14">
        <f>$C$9</f>
        <v/>
      </c>
      <c r="R4219" s="14">
        <f>_xlfn.LOGNORM.INV($AF4219,LN($C$10)-0.5*LN(1+($D$10/$C$10)^2),SQRT(LN(1+($D$10/$C$10)^2)))</f>
        <v/>
      </c>
      <c r="S4219" s="14">
        <f>SUM(M4219:R4219)</f>
        <v/>
      </c>
      <c r="AA4219">
        <f>RAND()</f>
        <v/>
      </c>
      <c r="AB4219">
        <f>RAND()</f>
        <v/>
      </c>
      <c r="AC4219">
        <f>RAND()</f>
        <v/>
      </c>
      <c r="AD4219">
        <f>RAND()</f>
        <v/>
      </c>
      <c r="AE4219">
        <f>RAND()</f>
        <v/>
      </c>
      <c r="AF4219">
        <f>RAND()</f>
        <v/>
      </c>
    </row>
    <row r="4220">
      <c r="M4220" s="14">
        <f>_xlfn.BETA.INV($AA4220,1+4*($D$5-$C$5)/($E$5-$C$5),1+4*($E$5-$D$5)/($E$5-$C$5),$C$5,$E$5)</f>
        <v/>
      </c>
      <c r="N4220" s="14">
        <f>IF($AB4220&lt;($D$6-$C$6)/($E$6-$C$6),$C$6+SQRT($AB4220*($E$6-$C$6)*($D$6-$C$6)),$E$6-SQRT((1-$AB4220)*($E$6-$C$6)*($E$6-$D$6)))</f>
        <v/>
      </c>
      <c r="O4220" s="14">
        <f>_xlfn.NORM.INV($AC4220,$C$7,$D$7)</f>
        <v/>
      </c>
      <c r="P4220" s="14">
        <f>$C$8+($D$8-$C$8)*$AD4220</f>
        <v/>
      </c>
      <c r="Q4220" s="14">
        <f>$C$9</f>
        <v/>
      </c>
      <c r="R4220" s="14">
        <f>_xlfn.LOGNORM.INV($AF4220,LN($C$10)-0.5*LN(1+($D$10/$C$10)^2),SQRT(LN(1+($D$10/$C$10)^2)))</f>
        <v/>
      </c>
      <c r="S4220" s="14">
        <f>SUM(M4220:R4220)</f>
        <v/>
      </c>
      <c r="AA4220">
        <f>RAND()</f>
        <v/>
      </c>
      <c r="AB4220">
        <f>RAND()</f>
        <v/>
      </c>
      <c r="AC4220">
        <f>RAND()</f>
        <v/>
      </c>
      <c r="AD4220">
        <f>RAND()</f>
        <v/>
      </c>
      <c r="AE4220">
        <f>RAND()</f>
        <v/>
      </c>
      <c r="AF4220">
        <f>RAND()</f>
        <v/>
      </c>
    </row>
    <row r="4221">
      <c r="M4221" s="14">
        <f>_xlfn.BETA.INV($AA4221,1+4*($D$5-$C$5)/($E$5-$C$5),1+4*($E$5-$D$5)/($E$5-$C$5),$C$5,$E$5)</f>
        <v/>
      </c>
      <c r="N4221" s="14">
        <f>IF($AB4221&lt;($D$6-$C$6)/($E$6-$C$6),$C$6+SQRT($AB4221*($E$6-$C$6)*($D$6-$C$6)),$E$6-SQRT((1-$AB4221)*($E$6-$C$6)*($E$6-$D$6)))</f>
        <v/>
      </c>
      <c r="O4221" s="14">
        <f>_xlfn.NORM.INV($AC4221,$C$7,$D$7)</f>
        <v/>
      </c>
      <c r="P4221" s="14">
        <f>$C$8+($D$8-$C$8)*$AD4221</f>
        <v/>
      </c>
      <c r="Q4221" s="14">
        <f>$C$9</f>
        <v/>
      </c>
      <c r="R4221" s="14">
        <f>_xlfn.LOGNORM.INV($AF4221,LN($C$10)-0.5*LN(1+($D$10/$C$10)^2),SQRT(LN(1+($D$10/$C$10)^2)))</f>
        <v/>
      </c>
      <c r="S4221" s="14">
        <f>SUM(M4221:R4221)</f>
        <v/>
      </c>
      <c r="AA4221">
        <f>RAND()</f>
        <v/>
      </c>
      <c r="AB4221">
        <f>RAND()</f>
        <v/>
      </c>
      <c r="AC4221">
        <f>RAND()</f>
        <v/>
      </c>
      <c r="AD4221">
        <f>RAND()</f>
        <v/>
      </c>
      <c r="AE4221">
        <f>RAND()</f>
        <v/>
      </c>
      <c r="AF4221">
        <f>RAND()</f>
        <v/>
      </c>
    </row>
    <row r="4222">
      <c r="M4222" s="14">
        <f>_xlfn.BETA.INV($AA4222,1+4*($D$5-$C$5)/($E$5-$C$5),1+4*($E$5-$D$5)/($E$5-$C$5),$C$5,$E$5)</f>
        <v/>
      </c>
      <c r="N4222" s="14">
        <f>IF($AB4222&lt;($D$6-$C$6)/($E$6-$C$6),$C$6+SQRT($AB4222*($E$6-$C$6)*($D$6-$C$6)),$E$6-SQRT((1-$AB4222)*($E$6-$C$6)*($E$6-$D$6)))</f>
        <v/>
      </c>
      <c r="O4222" s="14">
        <f>_xlfn.NORM.INV($AC4222,$C$7,$D$7)</f>
        <v/>
      </c>
      <c r="P4222" s="14">
        <f>$C$8+($D$8-$C$8)*$AD4222</f>
        <v/>
      </c>
      <c r="Q4222" s="14">
        <f>$C$9</f>
        <v/>
      </c>
      <c r="R4222" s="14">
        <f>_xlfn.LOGNORM.INV($AF4222,LN($C$10)-0.5*LN(1+($D$10/$C$10)^2),SQRT(LN(1+($D$10/$C$10)^2)))</f>
        <v/>
      </c>
      <c r="S4222" s="14">
        <f>SUM(M4222:R4222)</f>
        <v/>
      </c>
      <c r="AA4222">
        <f>RAND()</f>
        <v/>
      </c>
      <c r="AB4222">
        <f>RAND()</f>
        <v/>
      </c>
      <c r="AC4222">
        <f>RAND()</f>
        <v/>
      </c>
      <c r="AD4222">
        <f>RAND()</f>
        <v/>
      </c>
      <c r="AE4222">
        <f>RAND()</f>
        <v/>
      </c>
      <c r="AF4222">
        <f>RAND()</f>
        <v/>
      </c>
    </row>
    <row r="4223">
      <c r="M4223" s="14">
        <f>_xlfn.BETA.INV($AA4223,1+4*($D$5-$C$5)/($E$5-$C$5),1+4*($E$5-$D$5)/($E$5-$C$5),$C$5,$E$5)</f>
        <v/>
      </c>
      <c r="N4223" s="14">
        <f>IF($AB4223&lt;($D$6-$C$6)/($E$6-$C$6),$C$6+SQRT($AB4223*($E$6-$C$6)*($D$6-$C$6)),$E$6-SQRT((1-$AB4223)*($E$6-$C$6)*($E$6-$D$6)))</f>
        <v/>
      </c>
      <c r="O4223" s="14">
        <f>_xlfn.NORM.INV($AC4223,$C$7,$D$7)</f>
        <v/>
      </c>
      <c r="P4223" s="14">
        <f>$C$8+($D$8-$C$8)*$AD4223</f>
        <v/>
      </c>
      <c r="Q4223" s="14">
        <f>$C$9</f>
        <v/>
      </c>
      <c r="R4223" s="14">
        <f>_xlfn.LOGNORM.INV($AF4223,LN($C$10)-0.5*LN(1+($D$10/$C$10)^2),SQRT(LN(1+($D$10/$C$10)^2)))</f>
        <v/>
      </c>
      <c r="S4223" s="14">
        <f>SUM(M4223:R4223)</f>
        <v/>
      </c>
      <c r="AA4223">
        <f>RAND()</f>
        <v/>
      </c>
      <c r="AB4223">
        <f>RAND()</f>
        <v/>
      </c>
      <c r="AC4223">
        <f>RAND()</f>
        <v/>
      </c>
      <c r="AD4223">
        <f>RAND()</f>
        <v/>
      </c>
      <c r="AE4223">
        <f>RAND()</f>
        <v/>
      </c>
      <c r="AF4223">
        <f>RAND()</f>
        <v/>
      </c>
    </row>
    <row r="4224">
      <c r="M4224" s="14">
        <f>_xlfn.BETA.INV($AA4224,1+4*($D$5-$C$5)/($E$5-$C$5),1+4*($E$5-$D$5)/($E$5-$C$5),$C$5,$E$5)</f>
        <v/>
      </c>
      <c r="N4224" s="14">
        <f>IF($AB4224&lt;($D$6-$C$6)/($E$6-$C$6),$C$6+SQRT($AB4224*($E$6-$C$6)*($D$6-$C$6)),$E$6-SQRT((1-$AB4224)*($E$6-$C$6)*($E$6-$D$6)))</f>
        <v/>
      </c>
      <c r="O4224" s="14">
        <f>_xlfn.NORM.INV($AC4224,$C$7,$D$7)</f>
        <v/>
      </c>
      <c r="P4224" s="14">
        <f>$C$8+($D$8-$C$8)*$AD4224</f>
        <v/>
      </c>
      <c r="Q4224" s="14">
        <f>$C$9</f>
        <v/>
      </c>
      <c r="R4224" s="14">
        <f>_xlfn.LOGNORM.INV($AF4224,LN($C$10)-0.5*LN(1+($D$10/$C$10)^2),SQRT(LN(1+($D$10/$C$10)^2)))</f>
        <v/>
      </c>
      <c r="S4224" s="14">
        <f>SUM(M4224:R4224)</f>
        <v/>
      </c>
      <c r="AA4224">
        <f>RAND()</f>
        <v/>
      </c>
      <c r="AB4224">
        <f>RAND()</f>
        <v/>
      </c>
      <c r="AC4224">
        <f>RAND()</f>
        <v/>
      </c>
      <c r="AD4224">
        <f>RAND()</f>
        <v/>
      </c>
      <c r="AE4224">
        <f>RAND()</f>
        <v/>
      </c>
      <c r="AF4224">
        <f>RAND()</f>
        <v/>
      </c>
    </row>
    <row r="4225">
      <c r="M4225" s="14">
        <f>_xlfn.BETA.INV($AA4225,1+4*($D$5-$C$5)/($E$5-$C$5),1+4*($E$5-$D$5)/($E$5-$C$5),$C$5,$E$5)</f>
        <v/>
      </c>
      <c r="N4225" s="14">
        <f>IF($AB4225&lt;($D$6-$C$6)/($E$6-$C$6),$C$6+SQRT($AB4225*($E$6-$C$6)*($D$6-$C$6)),$E$6-SQRT((1-$AB4225)*($E$6-$C$6)*($E$6-$D$6)))</f>
        <v/>
      </c>
      <c r="O4225" s="14">
        <f>_xlfn.NORM.INV($AC4225,$C$7,$D$7)</f>
        <v/>
      </c>
      <c r="P4225" s="14">
        <f>$C$8+($D$8-$C$8)*$AD4225</f>
        <v/>
      </c>
      <c r="Q4225" s="14">
        <f>$C$9</f>
        <v/>
      </c>
      <c r="R4225" s="14">
        <f>_xlfn.LOGNORM.INV($AF4225,LN($C$10)-0.5*LN(1+($D$10/$C$10)^2),SQRT(LN(1+($D$10/$C$10)^2)))</f>
        <v/>
      </c>
      <c r="S4225" s="14">
        <f>SUM(M4225:R4225)</f>
        <v/>
      </c>
      <c r="AA4225">
        <f>RAND()</f>
        <v/>
      </c>
      <c r="AB4225">
        <f>RAND()</f>
        <v/>
      </c>
      <c r="AC4225">
        <f>RAND()</f>
        <v/>
      </c>
      <c r="AD4225">
        <f>RAND()</f>
        <v/>
      </c>
      <c r="AE4225">
        <f>RAND()</f>
        <v/>
      </c>
      <c r="AF4225">
        <f>RAND()</f>
        <v/>
      </c>
    </row>
    <row r="4226">
      <c r="M4226" s="14">
        <f>_xlfn.BETA.INV($AA4226,1+4*($D$5-$C$5)/($E$5-$C$5),1+4*($E$5-$D$5)/($E$5-$C$5),$C$5,$E$5)</f>
        <v/>
      </c>
      <c r="N4226" s="14">
        <f>IF($AB4226&lt;($D$6-$C$6)/($E$6-$C$6),$C$6+SQRT($AB4226*($E$6-$C$6)*($D$6-$C$6)),$E$6-SQRT((1-$AB4226)*($E$6-$C$6)*($E$6-$D$6)))</f>
        <v/>
      </c>
      <c r="O4226" s="14">
        <f>_xlfn.NORM.INV($AC4226,$C$7,$D$7)</f>
        <v/>
      </c>
      <c r="P4226" s="14">
        <f>$C$8+($D$8-$C$8)*$AD4226</f>
        <v/>
      </c>
      <c r="Q4226" s="14">
        <f>$C$9</f>
        <v/>
      </c>
      <c r="R4226" s="14">
        <f>_xlfn.LOGNORM.INV($AF4226,LN($C$10)-0.5*LN(1+($D$10/$C$10)^2),SQRT(LN(1+($D$10/$C$10)^2)))</f>
        <v/>
      </c>
      <c r="S4226" s="14">
        <f>SUM(M4226:R4226)</f>
        <v/>
      </c>
      <c r="AA4226">
        <f>RAND()</f>
        <v/>
      </c>
      <c r="AB4226">
        <f>RAND()</f>
        <v/>
      </c>
      <c r="AC4226">
        <f>RAND()</f>
        <v/>
      </c>
      <c r="AD4226">
        <f>RAND()</f>
        <v/>
      </c>
      <c r="AE4226">
        <f>RAND()</f>
        <v/>
      </c>
      <c r="AF4226">
        <f>RAND()</f>
        <v/>
      </c>
    </row>
    <row r="4227">
      <c r="M4227" s="14">
        <f>_xlfn.BETA.INV($AA4227,1+4*($D$5-$C$5)/($E$5-$C$5),1+4*($E$5-$D$5)/($E$5-$C$5),$C$5,$E$5)</f>
        <v/>
      </c>
      <c r="N4227" s="14">
        <f>IF($AB4227&lt;($D$6-$C$6)/($E$6-$C$6),$C$6+SQRT($AB4227*($E$6-$C$6)*($D$6-$C$6)),$E$6-SQRT((1-$AB4227)*($E$6-$C$6)*($E$6-$D$6)))</f>
        <v/>
      </c>
      <c r="O4227" s="14">
        <f>_xlfn.NORM.INV($AC4227,$C$7,$D$7)</f>
        <v/>
      </c>
      <c r="P4227" s="14">
        <f>$C$8+($D$8-$C$8)*$AD4227</f>
        <v/>
      </c>
      <c r="Q4227" s="14">
        <f>$C$9</f>
        <v/>
      </c>
      <c r="R4227" s="14">
        <f>_xlfn.LOGNORM.INV($AF4227,LN($C$10)-0.5*LN(1+($D$10/$C$10)^2),SQRT(LN(1+($D$10/$C$10)^2)))</f>
        <v/>
      </c>
      <c r="S4227" s="14">
        <f>SUM(M4227:R4227)</f>
        <v/>
      </c>
      <c r="AA4227">
        <f>RAND()</f>
        <v/>
      </c>
      <c r="AB4227">
        <f>RAND()</f>
        <v/>
      </c>
      <c r="AC4227">
        <f>RAND()</f>
        <v/>
      </c>
      <c r="AD4227">
        <f>RAND()</f>
        <v/>
      </c>
      <c r="AE4227">
        <f>RAND()</f>
        <v/>
      </c>
      <c r="AF4227">
        <f>RAND()</f>
        <v/>
      </c>
    </row>
    <row r="4228">
      <c r="M4228" s="14">
        <f>_xlfn.BETA.INV($AA4228,1+4*($D$5-$C$5)/($E$5-$C$5),1+4*($E$5-$D$5)/($E$5-$C$5),$C$5,$E$5)</f>
        <v/>
      </c>
      <c r="N4228" s="14">
        <f>IF($AB4228&lt;($D$6-$C$6)/($E$6-$C$6),$C$6+SQRT($AB4228*($E$6-$C$6)*($D$6-$C$6)),$E$6-SQRT((1-$AB4228)*($E$6-$C$6)*($E$6-$D$6)))</f>
        <v/>
      </c>
      <c r="O4228" s="14">
        <f>_xlfn.NORM.INV($AC4228,$C$7,$D$7)</f>
        <v/>
      </c>
      <c r="P4228" s="14">
        <f>$C$8+($D$8-$C$8)*$AD4228</f>
        <v/>
      </c>
      <c r="Q4228" s="14">
        <f>$C$9</f>
        <v/>
      </c>
      <c r="R4228" s="14">
        <f>_xlfn.LOGNORM.INV($AF4228,LN($C$10)-0.5*LN(1+($D$10/$C$10)^2),SQRT(LN(1+($D$10/$C$10)^2)))</f>
        <v/>
      </c>
      <c r="S4228" s="14">
        <f>SUM(M4228:R4228)</f>
        <v/>
      </c>
      <c r="AA4228">
        <f>RAND()</f>
        <v/>
      </c>
      <c r="AB4228">
        <f>RAND()</f>
        <v/>
      </c>
      <c r="AC4228">
        <f>RAND()</f>
        <v/>
      </c>
      <c r="AD4228">
        <f>RAND()</f>
        <v/>
      </c>
      <c r="AE4228">
        <f>RAND()</f>
        <v/>
      </c>
      <c r="AF4228">
        <f>RAND()</f>
        <v/>
      </c>
    </row>
    <row r="4229">
      <c r="M4229" s="14">
        <f>_xlfn.BETA.INV($AA4229,1+4*($D$5-$C$5)/($E$5-$C$5),1+4*($E$5-$D$5)/($E$5-$C$5),$C$5,$E$5)</f>
        <v/>
      </c>
      <c r="N4229" s="14">
        <f>IF($AB4229&lt;($D$6-$C$6)/($E$6-$C$6),$C$6+SQRT($AB4229*($E$6-$C$6)*($D$6-$C$6)),$E$6-SQRT((1-$AB4229)*($E$6-$C$6)*($E$6-$D$6)))</f>
        <v/>
      </c>
      <c r="O4229" s="14">
        <f>_xlfn.NORM.INV($AC4229,$C$7,$D$7)</f>
        <v/>
      </c>
      <c r="P4229" s="14">
        <f>$C$8+($D$8-$C$8)*$AD4229</f>
        <v/>
      </c>
      <c r="Q4229" s="14">
        <f>$C$9</f>
        <v/>
      </c>
      <c r="R4229" s="14">
        <f>_xlfn.LOGNORM.INV($AF4229,LN($C$10)-0.5*LN(1+($D$10/$C$10)^2),SQRT(LN(1+($D$10/$C$10)^2)))</f>
        <v/>
      </c>
      <c r="S4229" s="14">
        <f>SUM(M4229:R4229)</f>
        <v/>
      </c>
      <c r="AA4229">
        <f>RAND()</f>
        <v/>
      </c>
      <c r="AB4229">
        <f>RAND()</f>
        <v/>
      </c>
      <c r="AC4229">
        <f>RAND()</f>
        <v/>
      </c>
      <c r="AD4229">
        <f>RAND()</f>
        <v/>
      </c>
      <c r="AE4229">
        <f>RAND()</f>
        <v/>
      </c>
      <c r="AF4229">
        <f>RAND()</f>
        <v/>
      </c>
    </row>
    <row r="4230">
      <c r="M4230" s="14">
        <f>_xlfn.BETA.INV($AA4230,1+4*($D$5-$C$5)/($E$5-$C$5),1+4*($E$5-$D$5)/($E$5-$C$5),$C$5,$E$5)</f>
        <v/>
      </c>
      <c r="N4230" s="14">
        <f>IF($AB4230&lt;($D$6-$C$6)/($E$6-$C$6),$C$6+SQRT($AB4230*($E$6-$C$6)*($D$6-$C$6)),$E$6-SQRT((1-$AB4230)*($E$6-$C$6)*($E$6-$D$6)))</f>
        <v/>
      </c>
      <c r="O4230" s="14">
        <f>_xlfn.NORM.INV($AC4230,$C$7,$D$7)</f>
        <v/>
      </c>
      <c r="P4230" s="14">
        <f>$C$8+($D$8-$C$8)*$AD4230</f>
        <v/>
      </c>
      <c r="Q4230" s="14">
        <f>$C$9</f>
        <v/>
      </c>
      <c r="R4230" s="14">
        <f>_xlfn.LOGNORM.INV($AF4230,LN($C$10)-0.5*LN(1+($D$10/$C$10)^2),SQRT(LN(1+($D$10/$C$10)^2)))</f>
        <v/>
      </c>
      <c r="S4230" s="14">
        <f>SUM(M4230:R4230)</f>
        <v/>
      </c>
      <c r="AA4230">
        <f>RAND()</f>
        <v/>
      </c>
      <c r="AB4230">
        <f>RAND()</f>
        <v/>
      </c>
      <c r="AC4230">
        <f>RAND()</f>
        <v/>
      </c>
      <c r="AD4230">
        <f>RAND()</f>
        <v/>
      </c>
      <c r="AE4230">
        <f>RAND()</f>
        <v/>
      </c>
      <c r="AF4230">
        <f>RAND()</f>
        <v/>
      </c>
    </row>
    <row r="4231">
      <c r="M4231" s="14">
        <f>_xlfn.BETA.INV($AA4231,1+4*($D$5-$C$5)/($E$5-$C$5),1+4*($E$5-$D$5)/($E$5-$C$5),$C$5,$E$5)</f>
        <v/>
      </c>
      <c r="N4231" s="14">
        <f>IF($AB4231&lt;($D$6-$C$6)/($E$6-$C$6),$C$6+SQRT($AB4231*($E$6-$C$6)*($D$6-$C$6)),$E$6-SQRT((1-$AB4231)*($E$6-$C$6)*($E$6-$D$6)))</f>
        <v/>
      </c>
      <c r="O4231" s="14">
        <f>_xlfn.NORM.INV($AC4231,$C$7,$D$7)</f>
        <v/>
      </c>
      <c r="P4231" s="14">
        <f>$C$8+($D$8-$C$8)*$AD4231</f>
        <v/>
      </c>
      <c r="Q4231" s="14">
        <f>$C$9</f>
        <v/>
      </c>
      <c r="R4231" s="14">
        <f>_xlfn.LOGNORM.INV($AF4231,LN($C$10)-0.5*LN(1+($D$10/$C$10)^2),SQRT(LN(1+($D$10/$C$10)^2)))</f>
        <v/>
      </c>
      <c r="S4231" s="14">
        <f>SUM(M4231:R4231)</f>
        <v/>
      </c>
      <c r="AA4231">
        <f>RAND()</f>
        <v/>
      </c>
      <c r="AB4231">
        <f>RAND()</f>
        <v/>
      </c>
      <c r="AC4231">
        <f>RAND()</f>
        <v/>
      </c>
      <c r="AD4231">
        <f>RAND()</f>
        <v/>
      </c>
      <c r="AE4231">
        <f>RAND()</f>
        <v/>
      </c>
      <c r="AF4231">
        <f>RAND()</f>
        <v/>
      </c>
    </row>
    <row r="4232">
      <c r="M4232" s="14">
        <f>_xlfn.BETA.INV($AA4232,1+4*($D$5-$C$5)/($E$5-$C$5),1+4*($E$5-$D$5)/($E$5-$C$5),$C$5,$E$5)</f>
        <v/>
      </c>
      <c r="N4232" s="14">
        <f>IF($AB4232&lt;($D$6-$C$6)/($E$6-$C$6),$C$6+SQRT($AB4232*($E$6-$C$6)*($D$6-$C$6)),$E$6-SQRT((1-$AB4232)*($E$6-$C$6)*($E$6-$D$6)))</f>
        <v/>
      </c>
      <c r="O4232" s="14">
        <f>_xlfn.NORM.INV($AC4232,$C$7,$D$7)</f>
        <v/>
      </c>
      <c r="P4232" s="14">
        <f>$C$8+($D$8-$C$8)*$AD4232</f>
        <v/>
      </c>
      <c r="Q4232" s="14">
        <f>$C$9</f>
        <v/>
      </c>
      <c r="R4232" s="14">
        <f>_xlfn.LOGNORM.INV($AF4232,LN($C$10)-0.5*LN(1+($D$10/$C$10)^2),SQRT(LN(1+($D$10/$C$10)^2)))</f>
        <v/>
      </c>
      <c r="S4232" s="14">
        <f>SUM(M4232:R4232)</f>
        <v/>
      </c>
      <c r="AA4232">
        <f>RAND()</f>
        <v/>
      </c>
      <c r="AB4232">
        <f>RAND()</f>
        <v/>
      </c>
      <c r="AC4232">
        <f>RAND()</f>
        <v/>
      </c>
      <c r="AD4232">
        <f>RAND()</f>
        <v/>
      </c>
      <c r="AE4232">
        <f>RAND()</f>
        <v/>
      </c>
      <c r="AF4232">
        <f>RAND()</f>
        <v/>
      </c>
    </row>
    <row r="4233">
      <c r="M4233" s="14">
        <f>_xlfn.BETA.INV($AA4233,1+4*($D$5-$C$5)/($E$5-$C$5),1+4*($E$5-$D$5)/($E$5-$C$5),$C$5,$E$5)</f>
        <v/>
      </c>
      <c r="N4233" s="14">
        <f>IF($AB4233&lt;($D$6-$C$6)/($E$6-$C$6),$C$6+SQRT($AB4233*($E$6-$C$6)*($D$6-$C$6)),$E$6-SQRT((1-$AB4233)*($E$6-$C$6)*($E$6-$D$6)))</f>
        <v/>
      </c>
      <c r="O4233" s="14">
        <f>_xlfn.NORM.INV($AC4233,$C$7,$D$7)</f>
        <v/>
      </c>
      <c r="P4233" s="14">
        <f>$C$8+($D$8-$C$8)*$AD4233</f>
        <v/>
      </c>
      <c r="Q4233" s="14">
        <f>$C$9</f>
        <v/>
      </c>
      <c r="R4233" s="14">
        <f>_xlfn.LOGNORM.INV($AF4233,LN($C$10)-0.5*LN(1+($D$10/$C$10)^2),SQRT(LN(1+($D$10/$C$10)^2)))</f>
        <v/>
      </c>
      <c r="S4233" s="14">
        <f>SUM(M4233:R4233)</f>
        <v/>
      </c>
      <c r="AA4233">
        <f>RAND()</f>
        <v/>
      </c>
      <c r="AB4233">
        <f>RAND()</f>
        <v/>
      </c>
      <c r="AC4233">
        <f>RAND()</f>
        <v/>
      </c>
      <c r="AD4233">
        <f>RAND()</f>
        <v/>
      </c>
      <c r="AE4233">
        <f>RAND()</f>
        <v/>
      </c>
      <c r="AF4233">
        <f>RAND()</f>
        <v/>
      </c>
    </row>
    <row r="4234">
      <c r="M4234" s="14">
        <f>_xlfn.BETA.INV($AA4234,1+4*($D$5-$C$5)/($E$5-$C$5),1+4*($E$5-$D$5)/($E$5-$C$5),$C$5,$E$5)</f>
        <v/>
      </c>
      <c r="N4234" s="14">
        <f>IF($AB4234&lt;($D$6-$C$6)/($E$6-$C$6),$C$6+SQRT($AB4234*($E$6-$C$6)*($D$6-$C$6)),$E$6-SQRT((1-$AB4234)*($E$6-$C$6)*($E$6-$D$6)))</f>
        <v/>
      </c>
      <c r="O4234" s="14">
        <f>_xlfn.NORM.INV($AC4234,$C$7,$D$7)</f>
        <v/>
      </c>
      <c r="P4234" s="14">
        <f>$C$8+($D$8-$C$8)*$AD4234</f>
        <v/>
      </c>
      <c r="Q4234" s="14">
        <f>$C$9</f>
        <v/>
      </c>
      <c r="R4234" s="14">
        <f>_xlfn.LOGNORM.INV($AF4234,LN($C$10)-0.5*LN(1+($D$10/$C$10)^2),SQRT(LN(1+($D$10/$C$10)^2)))</f>
        <v/>
      </c>
      <c r="S4234" s="14">
        <f>SUM(M4234:R4234)</f>
        <v/>
      </c>
      <c r="AA4234">
        <f>RAND()</f>
        <v/>
      </c>
      <c r="AB4234">
        <f>RAND()</f>
        <v/>
      </c>
      <c r="AC4234">
        <f>RAND()</f>
        <v/>
      </c>
      <c r="AD4234">
        <f>RAND()</f>
        <v/>
      </c>
      <c r="AE4234">
        <f>RAND()</f>
        <v/>
      </c>
      <c r="AF4234">
        <f>RAND()</f>
        <v/>
      </c>
    </row>
    <row r="4235">
      <c r="M4235" s="14">
        <f>_xlfn.BETA.INV($AA4235,1+4*($D$5-$C$5)/($E$5-$C$5),1+4*($E$5-$D$5)/($E$5-$C$5),$C$5,$E$5)</f>
        <v/>
      </c>
      <c r="N4235" s="14">
        <f>IF($AB4235&lt;($D$6-$C$6)/($E$6-$C$6),$C$6+SQRT($AB4235*($E$6-$C$6)*($D$6-$C$6)),$E$6-SQRT((1-$AB4235)*($E$6-$C$6)*($E$6-$D$6)))</f>
        <v/>
      </c>
      <c r="O4235" s="14">
        <f>_xlfn.NORM.INV($AC4235,$C$7,$D$7)</f>
        <v/>
      </c>
      <c r="P4235" s="14">
        <f>$C$8+($D$8-$C$8)*$AD4235</f>
        <v/>
      </c>
      <c r="Q4235" s="14">
        <f>$C$9</f>
        <v/>
      </c>
      <c r="R4235" s="14">
        <f>_xlfn.LOGNORM.INV($AF4235,LN($C$10)-0.5*LN(1+($D$10/$C$10)^2),SQRT(LN(1+($D$10/$C$10)^2)))</f>
        <v/>
      </c>
      <c r="S4235" s="14">
        <f>SUM(M4235:R4235)</f>
        <v/>
      </c>
      <c r="AA4235">
        <f>RAND()</f>
        <v/>
      </c>
      <c r="AB4235">
        <f>RAND()</f>
        <v/>
      </c>
      <c r="AC4235">
        <f>RAND()</f>
        <v/>
      </c>
      <c r="AD4235">
        <f>RAND()</f>
        <v/>
      </c>
      <c r="AE4235">
        <f>RAND()</f>
        <v/>
      </c>
      <c r="AF4235">
        <f>RAND()</f>
        <v/>
      </c>
    </row>
    <row r="4236">
      <c r="M4236" s="14">
        <f>_xlfn.BETA.INV($AA4236,1+4*($D$5-$C$5)/($E$5-$C$5),1+4*($E$5-$D$5)/($E$5-$C$5),$C$5,$E$5)</f>
        <v/>
      </c>
      <c r="N4236" s="14">
        <f>IF($AB4236&lt;($D$6-$C$6)/($E$6-$C$6),$C$6+SQRT($AB4236*($E$6-$C$6)*($D$6-$C$6)),$E$6-SQRT((1-$AB4236)*($E$6-$C$6)*($E$6-$D$6)))</f>
        <v/>
      </c>
      <c r="O4236" s="14">
        <f>_xlfn.NORM.INV($AC4236,$C$7,$D$7)</f>
        <v/>
      </c>
      <c r="P4236" s="14">
        <f>$C$8+($D$8-$C$8)*$AD4236</f>
        <v/>
      </c>
      <c r="Q4236" s="14">
        <f>$C$9</f>
        <v/>
      </c>
      <c r="R4236" s="14">
        <f>_xlfn.LOGNORM.INV($AF4236,LN($C$10)-0.5*LN(1+($D$10/$C$10)^2),SQRT(LN(1+($D$10/$C$10)^2)))</f>
        <v/>
      </c>
      <c r="S4236" s="14">
        <f>SUM(M4236:R4236)</f>
        <v/>
      </c>
      <c r="AA4236">
        <f>RAND()</f>
        <v/>
      </c>
      <c r="AB4236">
        <f>RAND()</f>
        <v/>
      </c>
      <c r="AC4236">
        <f>RAND()</f>
        <v/>
      </c>
      <c r="AD4236">
        <f>RAND()</f>
        <v/>
      </c>
      <c r="AE4236">
        <f>RAND()</f>
        <v/>
      </c>
      <c r="AF4236">
        <f>RAND()</f>
        <v/>
      </c>
    </row>
    <row r="4237">
      <c r="M4237" s="14">
        <f>_xlfn.BETA.INV($AA4237,1+4*($D$5-$C$5)/($E$5-$C$5),1+4*($E$5-$D$5)/($E$5-$C$5),$C$5,$E$5)</f>
        <v/>
      </c>
      <c r="N4237" s="14">
        <f>IF($AB4237&lt;($D$6-$C$6)/($E$6-$C$6),$C$6+SQRT($AB4237*($E$6-$C$6)*($D$6-$C$6)),$E$6-SQRT((1-$AB4237)*($E$6-$C$6)*($E$6-$D$6)))</f>
        <v/>
      </c>
      <c r="O4237" s="14">
        <f>_xlfn.NORM.INV($AC4237,$C$7,$D$7)</f>
        <v/>
      </c>
      <c r="P4237" s="14">
        <f>$C$8+($D$8-$C$8)*$AD4237</f>
        <v/>
      </c>
      <c r="Q4237" s="14">
        <f>$C$9</f>
        <v/>
      </c>
      <c r="R4237" s="14">
        <f>_xlfn.LOGNORM.INV($AF4237,LN($C$10)-0.5*LN(1+($D$10/$C$10)^2),SQRT(LN(1+($D$10/$C$10)^2)))</f>
        <v/>
      </c>
      <c r="S4237" s="14">
        <f>SUM(M4237:R4237)</f>
        <v/>
      </c>
      <c r="AA4237">
        <f>RAND()</f>
        <v/>
      </c>
      <c r="AB4237">
        <f>RAND()</f>
        <v/>
      </c>
      <c r="AC4237">
        <f>RAND()</f>
        <v/>
      </c>
      <c r="AD4237">
        <f>RAND()</f>
        <v/>
      </c>
      <c r="AE4237">
        <f>RAND()</f>
        <v/>
      </c>
      <c r="AF4237">
        <f>RAND()</f>
        <v/>
      </c>
    </row>
    <row r="4238">
      <c r="M4238" s="14">
        <f>_xlfn.BETA.INV($AA4238,1+4*($D$5-$C$5)/($E$5-$C$5),1+4*($E$5-$D$5)/($E$5-$C$5),$C$5,$E$5)</f>
        <v/>
      </c>
      <c r="N4238" s="14">
        <f>IF($AB4238&lt;($D$6-$C$6)/($E$6-$C$6),$C$6+SQRT($AB4238*($E$6-$C$6)*($D$6-$C$6)),$E$6-SQRT((1-$AB4238)*($E$6-$C$6)*($E$6-$D$6)))</f>
        <v/>
      </c>
      <c r="O4238" s="14">
        <f>_xlfn.NORM.INV($AC4238,$C$7,$D$7)</f>
        <v/>
      </c>
      <c r="P4238" s="14">
        <f>$C$8+($D$8-$C$8)*$AD4238</f>
        <v/>
      </c>
      <c r="Q4238" s="14">
        <f>$C$9</f>
        <v/>
      </c>
      <c r="R4238" s="14">
        <f>_xlfn.LOGNORM.INV($AF4238,LN($C$10)-0.5*LN(1+($D$10/$C$10)^2),SQRT(LN(1+($D$10/$C$10)^2)))</f>
        <v/>
      </c>
      <c r="S4238" s="14">
        <f>SUM(M4238:R4238)</f>
        <v/>
      </c>
      <c r="AA4238">
        <f>RAND()</f>
        <v/>
      </c>
      <c r="AB4238">
        <f>RAND()</f>
        <v/>
      </c>
      <c r="AC4238">
        <f>RAND()</f>
        <v/>
      </c>
      <c r="AD4238">
        <f>RAND()</f>
        <v/>
      </c>
      <c r="AE4238">
        <f>RAND()</f>
        <v/>
      </c>
      <c r="AF4238">
        <f>RAND()</f>
        <v/>
      </c>
    </row>
    <row r="4239">
      <c r="M4239" s="14">
        <f>_xlfn.BETA.INV($AA4239,1+4*($D$5-$C$5)/($E$5-$C$5),1+4*($E$5-$D$5)/($E$5-$C$5),$C$5,$E$5)</f>
        <v/>
      </c>
      <c r="N4239" s="14">
        <f>IF($AB4239&lt;($D$6-$C$6)/($E$6-$C$6),$C$6+SQRT($AB4239*($E$6-$C$6)*($D$6-$C$6)),$E$6-SQRT((1-$AB4239)*($E$6-$C$6)*($E$6-$D$6)))</f>
        <v/>
      </c>
      <c r="O4239" s="14">
        <f>_xlfn.NORM.INV($AC4239,$C$7,$D$7)</f>
        <v/>
      </c>
      <c r="P4239" s="14">
        <f>$C$8+($D$8-$C$8)*$AD4239</f>
        <v/>
      </c>
      <c r="Q4239" s="14">
        <f>$C$9</f>
        <v/>
      </c>
      <c r="R4239" s="14">
        <f>_xlfn.LOGNORM.INV($AF4239,LN($C$10)-0.5*LN(1+($D$10/$C$10)^2),SQRT(LN(1+($D$10/$C$10)^2)))</f>
        <v/>
      </c>
      <c r="S4239" s="14">
        <f>SUM(M4239:R4239)</f>
        <v/>
      </c>
      <c r="AA4239">
        <f>RAND()</f>
        <v/>
      </c>
      <c r="AB4239">
        <f>RAND()</f>
        <v/>
      </c>
      <c r="AC4239">
        <f>RAND()</f>
        <v/>
      </c>
      <c r="AD4239">
        <f>RAND()</f>
        <v/>
      </c>
      <c r="AE4239">
        <f>RAND()</f>
        <v/>
      </c>
      <c r="AF4239">
        <f>RAND()</f>
        <v/>
      </c>
    </row>
    <row r="4240">
      <c r="M4240" s="14">
        <f>_xlfn.BETA.INV($AA4240,1+4*($D$5-$C$5)/($E$5-$C$5),1+4*($E$5-$D$5)/($E$5-$C$5),$C$5,$E$5)</f>
        <v/>
      </c>
      <c r="N4240" s="14">
        <f>IF($AB4240&lt;($D$6-$C$6)/($E$6-$C$6),$C$6+SQRT($AB4240*($E$6-$C$6)*($D$6-$C$6)),$E$6-SQRT((1-$AB4240)*($E$6-$C$6)*($E$6-$D$6)))</f>
        <v/>
      </c>
      <c r="O4240" s="14">
        <f>_xlfn.NORM.INV($AC4240,$C$7,$D$7)</f>
        <v/>
      </c>
      <c r="P4240" s="14">
        <f>$C$8+($D$8-$C$8)*$AD4240</f>
        <v/>
      </c>
      <c r="Q4240" s="14">
        <f>$C$9</f>
        <v/>
      </c>
      <c r="R4240" s="14">
        <f>_xlfn.LOGNORM.INV($AF4240,LN($C$10)-0.5*LN(1+($D$10/$C$10)^2),SQRT(LN(1+($D$10/$C$10)^2)))</f>
        <v/>
      </c>
      <c r="S4240" s="14">
        <f>SUM(M4240:R4240)</f>
        <v/>
      </c>
      <c r="AA4240">
        <f>RAND()</f>
        <v/>
      </c>
      <c r="AB4240">
        <f>RAND()</f>
        <v/>
      </c>
      <c r="AC4240">
        <f>RAND()</f>
        <v/>
      </c>
      <c r="AD4240">
        <f>RAND()</f>
        <v/>
      </c>
      <c r="AE4240">
        <f>RAND()</f>
        <v/>
      </c>
      <c r="AF4240">
        <f>RAND()</f>
        <v/>
      </c>
    </row>
    <row r="4241">
      <c r="M4241" s="14">
        <f>_xlfn.BETA.INV($AA4241,1+4*($D$5-$C$5)/($E$5-$C$5),1+4*($E$5-$D$5)/($E$5-$C$5),$C$5,$E$5)</f>
        <v/>
      </c>
      <c r="N4241" s="14">
        <f>IF($AB4241&lt;($D$6-$C$6)/($E$6-$C$6),$C$6+SQRT($AB4241*($E$6-$C$6)*($D$6-$C$6)),$E$6-SQRT((1-$AB4241)*($E$6-$C$6)*($E$6-$D$6)))</f>
        <v/>
      </c>
      <c r="O4241" s="14">
        <f>_xlfn.NORM.INV($AC4241,$C$7,$D$7)</f>
        <v/>
      </c>
      <c r="P4241" s="14">
        <f>$C$8+($D$8-$C$8)*$AD4241</f>
        <v/>
      </c>
      <c r="Q4241" s="14">
        <f>$C$9</f>
        <v/>
      </c>
      <c r="R4241" s="14">
        <f>_xlfn.LOGNORM.INV($AF4241,LN($C$10)-0.5*LN(1+($D$10/$C$10)^2),SQRT(LN(1+($D$10/$C$10)^2)))</f>
        <v/>
      </c>
      <c r="S4241" s="14">
        <f>SUM(M4241:R4241)</f>
        <v/>
      </c>
      <c r="AA4241">
        <f>RAND()</f>
        <v/>
      </c>
      <c r="AB4241">
        <f>RAND()</f>
        <v/>
      </c>
      <c r="AC4241">
        <f>RAND()</f>
        <v/>
      </c>
      <c r="AD4241">
        <f>RAND()</f>
        <v/>
      </c>
      <c r="AE4241">
        <f>RAND()</f>
        <v/>
      </c>
      <c r="AF4241">
        <f>RAND()</f>
        <v/>
      </c>
    </row>
    <row r="4242">
      <c r="M4242" s="14">
        <f>_xlfn.BETA.INV($AA4242,1+4*($D$5-$C$5)/($E$5-$C$5),1+4*($E$5-$D$5)/($E$5-$C$5),$C$5,$E$5)</f>
        <v/>
      </c>
      <c r="N4242" s="14">
        <f>IF($AB4242&lt;($D$6-$C$6)/($E$6-$C$6),$C$6+SQRT($AB4242*($E$6-$C$6)*($D$6-$C$6)),$E$6-SQRT((1-$AB4242)*($E$6-$C$6)*($E$6-$D$6)))</f>
        <v/>
      </c>
      <c r="O4242" s="14">
        <f>_xlfn.NORM.INV($AC4242,$C$7,$D$7)</f>
        <v/>
      </c>
      <c r="P4242" s="14">
        <f>$C$8+($D$8-$C$8)*$AD4242</f>
        <v/>
      </c>
      <c r="Q4242" s="14">
        <f>$C$9</f>
        <v/>
      </c>
      <c r="R4242" s="14">
        <f>_xlfn.LOGNORM.INV($AF4242,LN($C$10)-0.5*LN(1+($D$10/$C$10)^2),SQRT(LN(1+($D$10/$C$10)^2)))</f>
        <v/>
      </c>
      <c r="S4242" s="14">
        <f>SUM(M4242:R4242)</f>
        <v/>
      </c>
      <c r="AA4242">
        <f>RAND()</f>
        <v/>
      </c>
      <c r="AB4242">
        <f>RAND()</f>
        <v/>
      </c>
      <c r="AC4242">
        <f>RAND()</f>
        <v/>
      </c>
      <c r="AD4242">
        <f>RAND()</f>
        <v/>
      </c>
      <c r="AE4242">
        <f>RAND()</f>
        <v/>
      </c>
      <c r="AF4242">
        <f>RAND()</f>
        <v/>
      </c>
    </row>
    <row r="4243">
      <c r="M4243" s="14">
        <f>_xlfn.BETA.INV($AA4243,1+4*($D$5-$C$5)/($E$5-$C$5),1+4*($E$5-$D$5)/($E$5-$C$5),$C$5,$E$5)</f>
        <v/>
      </c>
      <c r="N4243" s="14">
        <f>IF($AB4243&lt;($D$6-$C$6)/($E$6-$C$6),$C$6+SQRT($AB4243*($E$6-$C$6)*($D$6-$C$6)),$E$6-SQRT((1-$AB4243)*($E$6-$C$6)*($E$6-$D$6)))</f>
        <v/>
      </c>
      <c r="O4243" s="14">
        <f>_xlfn.NORM.INV($AC4243,$C$7,$D$7)</f>
        <v/>
      </c>
      <c r="P4243" s="14">
        <f>$C$8+($D$8-$C$8)*$AD4243</f>
        <v/>
      </c>
      <c r="Q4243" s="14">
        <f>$C$9</f>
        <v/>
      </c>
      <c r="R4243" s="14">
        <f>_xlfn.LOGNORM.INV($AF4243,LN($C$10)-0.5*LN(1+($D$10/$C$10)^2),SQRT(LN(1+($D$10/$C$10)^2)))</f>
        <v/>
      </c>
      <c r="S4243" s="14">
        <f>SUM(M4243:R4243)</f>
        <v/>
      </c>
      <c r="AA4243">
        <f>RAND()</f>
        <v/>
      </c>
      <c r="AB4243">
        <f>RAND()</f>
        <v/>
      </c>
      <c r="AC4243">
        <f>RAND()</f>
        <v/>
      </c>
      <c r="AD4243">
        <f>RAND()</f>
        <v/>
      </c>
      <c r="AE4243">
        <f>RAND()</f>
        <v/>
      </c>
      <c r="AF4243">
        <f>RAND()</f>
        <v/>
      </c>
    </row>
    <row r="4244">
      <c r="M4244" s="14">
        <f>_xlfn.BETA.INV($AA4244,1+4*($D$5-$C$5)/($E$5-$C$5),1+4*($E$5-$D$5)/($E$5-$C$5),$C$5,$E$5)</f>
        <v/>
      </c>
      <c r="N4244" s="14">
        <f>IF($AB4244&lt;($D$6-$C$6)/($E$6-$C$6),$C$6+SQRT($AB4244*($E$6-$C$6)*($D$6-$C$6)),$E$6-SQRT((1-$AB4244)*($E$6-$C$6)*($E$6-$D$6)))</f>
        <v/>
      </c>
      <c r="O4244" s="14">
        <f>_xlfn.NORM.INV($AC4244,$C$7,$D$7)</f>
        <v/>
      </c>
      <c r="P4244" s="14">
        <f>$C$8+($D$8-$C$8)*$AD4244</f>
        <v/>
      </c>
      <c r="Q4244" s="14">
        <f>$C$9</f>
        <v/>
      </c>
      <c r="R4244" s="14">
        <f>_xlfn.LOGNORM.INV($AF4244,LN($C$10)-0.5*LN(1+($D$10/$C$10)^2),SQRT(LN(1+($D$10/$C$10)^2)))</f>
        <v/>
      </c>
      <c r="S4244" s="14">
        <f>SUM(M4244:R4244)</f>
        <v/>
      </c>
      <c r="AA4244">
        <f>RAND()</f>
        <v/>
      </c>
      <c r="AB4244">
        <f>RAND()</f>
        <v/>
      </c>
      <c r="AC4244">
        <f>RAND()</f>
        <v/>
      </c>
      <c r="AD4244">
        <f>RAND()</f>
        <v/>
      </c>
      <c r="AE4244">
        <f>RAND()</f>
        <v/>
      </c>
      <c r="AF4244">
        <f>RAND()</f>
        <v/>
      </c>
    </row>
    <row r="4245">
      <c r="M4245" s="14">
        <f>_xlfn.BETA.INV($AA4245,1+4*($D$5-$C$5)/($E$5-$C$5),1+4*($E$5-$D$5)/($E$5-$C$5),$C$5,$E$5)</f>
        <v/>
      </c>
      <c r="N4245" s="14">
        <f>IF($AB4245&lt;($D$6-$C$6)/($E$6-$C$6),$C$6+SQRT($AB4245*($E$6-$C$6)*($D$6-$C$6)),$E$6-SQRT((1-$AB4245)*($E$6-$C$6)*($E$6-$D$6)))</f>
        <v/>
      </c>
      <c r="O4245" s="14">
        <f>_xlfn.NORM.INV($AC4245,$C$7,$D$7)</f>
        <v/>
      </c>
      <c r="P4245" s="14">
        <f>$C$8+($D$8-$C$8)*$AD4245</f>
        <v/>
      </c>
      <c r="Q4245" s="14">
        <f>$C$9</f>
        <v/>
      </c>
      <c r="R4245" s="14">
        <f>_xlfn.LOGNORM.INV($AF4245,LN($C$10)-0.5*LN(1+($D$10/$C$10)^2),SQRT(LN(1+($D$10/$C$10)^2)))</f>
        <v/>
      </c>
      <c r="S4245" s="14">
        <f>SUM(M4245:R4245)</f>
        <v/>
      </c>
      <c r="AA4245">
        <f>RAND()</f>
        <v/>
      </c>
      <c r="AB4245">
        <f>RAND()</f>
        <v/>
      </c>
      <c r="AC4245">
        <f>RAND()</f>
        <v/>
      </c>
      <c r="AD4245">
        <f>RAND()</f>
        <v/>
      </c>
      <c r="AE4245">
        <f>RAND()</f>
        <v/>
      </c>
      <c r="AF4245">
        <f>RAND()</f>
        <v/>
      </c>
    </row>
    <row r="4246">
      <c r="M4246" s="14">
        <f>_xlfn.BETA.INV($AA4246,1+4*($D$5-$C$5)/($E$5-$C$5),1+4*($E$5-$D$5)/($E$5-$C$5),$C$5,$E$5)</f>
        <v/>
      </c>
      <c r="N4246" s="14">
        <f>IF($AB4246&lt;($D$6-$C$6)/($E$6-$C$6),$C$6+SQRT($AB4246*($E$6-$C$6)*($D$6-$C$6)),$E$6-SQRT((1-$AB4246)*($E$6-$C$6)*($E$6-$D$6)))</f>
        <v/>
      </c>
      <c r="O4246" s="14">
        <f>_xlfn.NORM.INV($AC4246,$C$7,$D$7)</f>
        <v/>
      </c>
      <c r="P4246" s="14">
        <f>$C$8+($D$8-$C$8)*$AD4246</f>
        <v/>
      </c>
      <c r="Q4246" s="14">
        <f>$C$9</f>
        <v/>
      </c>
      <c r="R4246" s="14">
        <f>_xlfn.LOGNORM.INV($AF4246,LN($C$10)-0.5*LN(1+($D$10/$C$10)^2),SQRT(LN(1+($D$10/$C$10)^2)))</f>
        <v/>
      </c>
      <c r="S4246" s="14">
        <f>SUM(M4246:R4246)</f>
        <v/>
      </c>
      <c r="AA4246">
        <f>RAND()</f>
        <v/>
      </c>
      <c r="AB4246">
        <f>RAND()</f>
        <v/>
      </c>
      <c r="AC4246">
        <f>RAND()</f>
        <v/>
      </c>
      <c r="AD4246">
        <f>RAND()</f>
        <v/>
      </c>
      <c r="AE4246">
        <f>RAND()</f>
        <v/>
      </c>
      <c r="AF4246">
        <f>RAND()</f>
        <v/>
      </c>
    </row>
    <row r="4247">
      <c r="M4247" s="14">
        <f>_xlfn.BETA.INV($AA4247,1+4*($D$5-$C$5)/($E$5-$C$5),1+4*($E$5-$D$5)/($E$5-$C$5),$C$5,$E$5)</f>
        <v/>
      </c>
      <c r="N4247" s="14">
        <f>IF($AB4247&lt;($D$6-$C$6)/($E$6-$C$6),$C$6+SQRT($AB4247*($E$6-$C$6)*($D$6-$C$6)),$E$6-SQRT((1-$AB4247)*($E$6-$C$6)*($E$6-$D$6)))</f>
        <v/>
      </c>
      <c r="O4247" s="14">
        <f>_xlfn.NORM.INV($AC4247,$C$7,$D$7)</f>
        <v/>
      </c>
      <c r="P4247" s="14">
        <f>$C$8+($D$8-$C$8)*$AD4247</f>
        <v/>
      </c>
      <c r="Q4247" s="14">
        <f>$C$9</f>
        <v/>
      </c>
      <c r="R4247" s="14">
        <f>_xlfn.LOGNORM.INV($AF4247,LN($C$10)-0.5*LN(1+($D$10/$C$10)^2),SQRT(LN(1+($D$10/$C$10)^2)))</f>
        <v/>
      </c>
      <c r="S4247" s="14">
        <f>SUM(M4247:R4247)</f>
        <v/>
      </c>
      <c r="AA4247">
        <f>RAND()</f>
        <v/>
      </c>
      <c r="AB4247">
        <f>RAND()</f>
        <v/>
      </c>
      <c r="AC4247">
        <f>RAND()</f>
        <v/>
      </c>
      <c r="AD4247">
        <f>RAND()</f>
        <v/>
      </c>
      <c r="AE4247">
        <f>RAND()</f>
        <v/>
      </c>
      <c r="AF4247">
        <f>RAND()</f>
        <v/>
      </c>
    </row>
    <row r="4248">
      <c r="M4248" s="14">
        <f>_xlfn.BETA.INV($AA4248,1+4*($D$5-$C$5)/($E$5-$C$5),1+4*($E$5-$D$5)/($E$5-$C$5),$C$5,$E$5)</f>
        <v/>
      </c>
      <c r="N4248" s="14">
        <f>IF($AB4248&lt;($D$6-$C$6)/($E$6-$C$6),$C$6+SQRT($AB4248*($E$6-$C$6)*($D$6-$C$6)),$E$6-SQRT((1-$AB4248)*($E$6-$C$6)*($E$6-$D$6)))</f>
        <v/>
      </c>
      <c r="O4248" s="14">
        <f>_xlfn.NORM.INV($AC4248,$C$7,$D$7)</f>
        <v/>
      </c>
      <c r="P4248" s="14">
        <f>$C$8+($D$8-$C$8)*$AD4248</f>
        <v/>
      </c>
      <c r="Q4248" s="14">
        <f>$C$9</f>
        <v/>
      </c>
      <c r="R4248" s="14">
        <f>_xlfn.LOGNORM.INV($AF4248,LN($C$10)-0.5*LN(1+($D$10/$C$10)^2),SQRT(LN(1+($D$10/$C$10)^2)))</f>
        <v/>
      </c>
      <c r="S4248" s="14">
        <f>SUM(M4248:R4248)</f>
        <v/>
      </c>
      <c r="AA4248">
        <f>RAND()</f>
        <v/>
      </c>
      <c r="AB4248">
        <f>RAND()</f>
        <v/>
      </c>
      <c r="AC4248">
        <f>RAND()</f>
        <v/>
      </c>
      <c r="AD4248">
        <f>RAND()</f>
        <v/>
      </c>
      <c r="AE4248">
        <f>RAND()</f>
        <v/>
      </c>
      <c r="AF4248">
        <f>RAND()</f>
        <v/>
      </c>
    </row>
    <row r="4249">
      <c r="M4249" s="14">
        <f>_xlfn.BETA.INV($AA4249,1+4*($D$5-$C$5)/($E$5-$C$5),1+4*($E$5-$D$5)/($E$5-$C$5),$C$5,$E$5)</f>
        <v/>
      </c>
      <c r="N4249" s="14">
        <f>IF($AB4249&lt;($D$6-$C$6)/($E$6-$C$6),$C$6+SQRT($AB4249*($E$6-$C$6)*($D$6-$C$6)),$E$6-SQRT((1-$AB4249)*($E$6-$C$6)*($E$6-$D$6)))</f>
        <v/>
      </c>
      <c r="O4249" s="14">
        <f>_xlfn.NORM.INV($AC4249,$C$7,$D$7)</f>
        <v/>
      </c>
      <c r="P4249" s="14">
        <f>$C$8+($D$8-$C$8)*$AD4249</f>
        <v/>
      </c>
      <c r="Q4249" s="14">
        <f>$C$9</f>
        <v/>
      </c>
      <c r="R4249" s="14">
        <f>_xlfn.LOGNORM.INV($AF4249,LN($C$10)-0.5*LN(1+($D$10/$C$10)^2),SQRT(LN(1+($D$10/$C$10)^2)))</f>
        <v/>
      </c>
      <c r="S4249" s="14">
        <f>SUM(M4249:R4249)</f>
        <v/>
      </c>
      <c r="AA4249">
        <f>RAND()</f>
        <v/>
      </c>
      <c r="AB4249">
        <f>RAND()</f>
        <v/>
      </c>
      <c r="AC4249">
        <f>RAND()</f>
        <v/>
      </c>
      <c r="AD4249">
        <f>RAND()</f>
        <v/>
      </c>
      <c r="AE4249">
        <f>RAND()</f>
        <v/>
      </c>
      <c r="AF4249">
        <f>RAND()</f>
        <v/>
      </c>
    </row>
    <row r="4250">
      <c r="M4250" s="14">
        <f>_xlfn.BETA.INV($AA4250,1+4*($D$5-$C$5)/($E$5-$C$5),1+4*($E$5-$D$5)/($E$5-$C$5),$C$5,$E$5)</f>
        <v/>
      </c>
      <c r="N4250" s="14">
        <f>IF($AB4250&lt;($D$6-$C$6)/($E$6-$C$6),$C$6+SQRT($AB4250*($E$6-$C$6)*($D$6-$C$6)),$E$6-SQRT((1-$AB4250)*($E$6-$C$6)*($E$6-$D$6)))</f>
        <v/>
      </c>
      <c r="O4250" s="14">
        <f>_xlfn.NORM.INV($AC4250,$C$7,$D$7)</f>
        <v/>
      </c>
      <c r="P4250" s="14">
        <f>$C$8+($D$8-$C$8)*$AD4250</f>
        <v/>
      </c>
      <c r="Q4250" s="14">
        <f>$C$9</f>
        <v/>
      </c>
      <c r="R4250" s="14">
        <f>_xlfn.LOGNORM.INV($AF4250,LN($C$10)-0.5*LN(1+($D$10/$C$10)^2),SQRT(LN(1+($D$10/$C$10)^2)))</f>
        <v/>
      </c>
      <c r="S4250" s="14">
        <f>SUM(M4250:R4250)</f>
        <v/>
      </c>
      <c r="AA4250">
        <f>RAND()</f>
        <v/>
      </c>
      <c r="AB4250">
        <f>RAND()</f>
        <v/>
      </c>
      <c r="AC4250">
        <f>RAND()</f>
        <v/>
      </c>
      <c r="AD4250">
        <f>RAND()</f>
        <v/>
      </c>
      <c r="AE4250">
        <f>RAND()</f>
        <v/>
      </c>
      <c r="AF4250">
        <f>RAND()</f>
        <v/>
      </c>
    </row>
    <row r="4251">
      <c r="M4251" s="14">
        <f>_xlfn.BETA.INV($AA4251,1+4*($D$5-$C$5)/($E$5-$C$5),1+4*($E$5-$D$5)/($E$5-$C$5),$C$5,$E$5)</f>
        <v/>
      </c>
      <c r="N4251" s="14">
        <f>IF($AB4251&lt;($D$6-$C$6)/($E$6-$C$6),$C$6+SQRT($AB4251*($E$6-$C$6)*($D$6-$C$6)),$E$6-SQRT((1-$AB4251)*($E$6-$C$6)*($E$6-$D$6)))</f>
        <v/>
      </c>
      <c r="O4251" s="14">
        <f>_xlfn.NORM.INV($AC4251,$C$7,$D$7)</f>
        <v/>
      </c>
      <c r="P4251" s="14">
        <f>$C$8+($D$8-$C$8)*$AD4251</f>
        <v/>
      </c>
      <c r="Q4251" s="14">
        <f>$C$9</f>
        <v/>
      </c>
      <c r="R4251" s="14">
        <f>_xlfn.LOGNORM.INV($AF4251,LN($C$10)-0.5*LN(1+($D$10/$C$10)^2),SQRT(LN(1+($D$10/$C$10)^2)))</f>
        <v/>
      </c>
      <c r="S4251" s="14">
        <f>SUM(M4251:R4251)</f>
        <v/>
      </c>
      <c r="AA4251">
        <f>RAND()</f>
        <v/>
      </c>
      <c r="AB4251">
        <f>RAND()</f>
        <v/>
      </c>
      <c r="AC4251">
        <f>RAND()</f>
        <v/>
      </c>
      <c r="AD4251">
        <f>RAND()</f>
        <v/>
      </c>
      <c r="AE4251">
        <f>RAND()</f>
        <v/>
      </c>
      <c r="AF4251">
        <f>RAND()</f>
        <v/>
      </c>
    </row>
    <row r="4252">
      <c r="M4252" s="14">
        <f>_xlfn.BETA.INV($AA4252,1+4*($D$5-$C$5)/($E$5-$C$5),1+4*($E$5-$D$5)/($E$5-$C$5),$C$5,$E$5)</f>
        <v/>
      </c>
      <c r="N4252" s="14">
        <f>IF($AB4252&lt;($D$6-$C$6)/($E$6-$C$6),$C$6+SQRT($AB4252*($E$6-$C$6)*($D$6-$C$6)),$E$6-SQRT((1-$AB4252)*($E$6-$C$6)*($E$6-$D$6)))</f>
        <v/>
      </c>
      <c r="O4252" s="14">
        <f>_xlfn.NORM.INV($AC4252,$C$7,$D$7)</f>
        <v/>
      </c>
      <c r="P4252" s="14">
        <f>$C$8+($D$8-$C$8)*$AD4252</f>
        <v/>
      </c>
      <c r="Q4252" s="14">
        <f>$C$9</f>
        <v/>
      </c>
      <c r="R4252" s="14">
        <f>_xlfn.LOGNORM.INV($AF4252,LN($C$10)-0.5*LN(1+($D$10/$C$10)^2),SQRT(LN(1+($D$10/$C$10)^2)))</f>
        <v/>
      </c>
      <c r="S4252" s="14">
        <f>SUM(M4252:R4252)</f>
        <v/>
      </c>
      <c r="AA4252">
        <f>RAND()</f>
        <v/>
      </c>
      <c r="AB4252">
        <f>RAND()</f>
        <v/>
      </c>
      <c r="AC4252">
        <f>RAND()</f>
        <v/>
      </c>
      <c r="AD4252">
        <f>RAND()</f>
        <v/>
      </c>
      <c r="AE4252">
        <f>RAND()</f>
        <v/>
      </c>
      <c r="AF4252">
        <f>RAND()</f>
        <v/>
      </c>
    </row>
    <row r="4253">
      <c r="M4253" s="14">
        <f>_xlfn.BETA.INV($AA4253,1+4*($D$5-$C$5)/($E$5-$C$5),1+4*($E$5-$D$5)/($E$5-$C$5),$C$5,$E$5)</f>
        <v/>
      </c>
      <c r="N4253" s="14">
        <f>IF($AB4253&lt;($D$6-$C$6)/($E$6-$C$6),$C$6+SQRT($AB4253*($E$6-$C$6)*($D$6-$C$6)),$E$6-SQRT((1-$AB4253)*($E$6-$C$6)*($E$6-$D$6)))</f>
        <v/>
      </c>
      <c r="O4253" s="14">
        <f>_xlfn.NORM.INV($AC4253,$C$7,$D$7)</f>
        <v/>
      </c>
      <c r="P4253" s="14">
        <f>$C$8+($D$8-$C$8)*$AD4253</f>
        <v/>
      </c>
      <c r="Q4253" s="14">
        <f>$C$9</f>
        <v/>
      </c>
      <c r="R4253" s="14">
        <f>_xlfn.LOGNORM.INV($AF4253,LN($C$10)-0.5*LN(1+($D$10/$C$10)^2),SQRT(LN(1+($D$10/$C$10)^2)))</f>
        <v/>
      </c>
      <c r="S4253" s="14">
        <f>SUM(M4253:R4253)</f>
        <v/>
      </c>
      <c r="AA4253">
        <f>RAND()</f>
        <v/>
      </c>
      <c r="AB4253">
        <f>RAND()</f>
        <v/>
      </c>
      <c r="AC4253">
        <f>RAND()</f>
        <v/>
      </c>
      <c r="AD4253">
        <f>RAND()</f>
        <v/>
      </c>
      <c r="AE4253">
        <f>RAND()</f>
        <v/>
      </c>
      <c r="AF4253">
        <f>RAND()</f>
        <v/>
      </c>
    </row>
    <row r="4254">
      <c r="M4254" s="14">
        <f>_xlfn.BETA.INV($AA4254,1+4*($D$5-$C$5)/($E$5-$C$5),1+4*($E$5-$D$5)/($E$5-$C$5),$C$5,$E$5)</f>
        <v/>
      </c>
      <c r="N4254" s="14">
        <f>IF($AB4254&lt;($D$6-$C$6)/($E$6-$C$6),$C$6+SQRT($AB4254*($E$6-$C$6)*($D$6-$C$6)),$E$6-SQRT((1-$AB4254)*($E$6-$C$6)*($E$6-$D$6)))</f>
        <v/>
      </c>
      <c r="O4254" s="14">
        <f>_xlfn.NORM.INV($AC4254,$C$7,$D$7)</f>
        <v/>
      </c>
      <c r="P4254" s="14">
        <f>$C$8+($D$8-$C$8)*$AD4254</f>
        <v/>
      </c>
      <c r="Q4254" s="14">
        <f>$C$9</f>
        <v/>
      </c>
      <c r="R4254" s="14">
        <f>_xlfn.LOGNORM.INV($AF4254,LN($C$10)-0.5*LN(1+($D$10/$C$10)^2),SQRT(LN(1+($D$10/$C$10)^2)))</f>
        <v/>
      </c>
      <c r="S4254" s="14">
        <f>SUM(M4254:R4254)</f>
        <v/>
      </c>
      <c r="AA4254">
        <f>RAND()</f>
        <v/>
      </c>
      <c r="AB4254">
        <f>RAND()</f>
        <v/>
      </c>
      <c r="AC4254">
        <f>RAND()</f>
        <v/>
      </c>
      <c r="AD4254">
        <f>RAND()</f>
        <v/>
      </c>
      <c r="AE4254">
        <f>RAND()</f>
        <v/>
      </c>
      <c r="AF4254">
        <f>RAND()</f>
        <v/>
      </c>
    </row>
    <row r="4255">
      <c r="M4255" s="14">
        <f>_xlfn.BETA.INV($AA4255,1+4*($D$5-$C$5)/($E$5-$C$5),1+4*($E$5-$D$5)/($E$5-$C$5),$C$5,$E$5)</f>
        <v/>
      </c>
      <c r="N4255" s="14">
        <f>IF($AB4255&lt;($D$6-$C$6)/($E$6-$C$6),$C$6+SQRT($AB4255*($E$6-$C$6)*($D$6-$C$6)),$E$6-SQRT((1-$AB4255)*($E$6-$C$6)*($E$6-$D$6)))</f>
        <v/>
      </c>
      <c r="O4255" s="14">
        <f>_xlfn.NORM.INV($AC4255,$C$7,$D$7)</f>
        <v/>
      </c>
      <c r="P4255" s="14">
        <f>$C$8+($D$8-$C$8)*$AD4255</f>
        <v/>
      </c>
      <c r="Q4255" s="14">
        <f>$C$9</f>
        <v/>
      </c>
      <c r="R4255" s="14">
        <f>_xlfn.LOGNORM.INV($AF4255,LN($C$10)-0.5*LN(1+($D$10/$C$10)^2),SQRT(LN(1+($D$10/$C$10)^2)))</f>
        <v/>
      </c>
      <c r="S4255" s="14">
        <f>SUM(M4255:R4255)</f>
        <v/>
      </c>
      <c r="AA4255">
        <f>RAND()</f>
        <v/>
      </c>
      <c r="AB4255">
        <f>RAND()</f>
        <v/>
      </c>
      <c r="AC4255">
        <f>RAND()</f>
        <v/>
      </c>
      <c r="AD4255">
        <f>RAND()</f>
        <v/>
      </c>
      <c r="AE4255">
        <f>RAND()</f>
        <v/>
      </c>
      <c r="AF4255">
        <f>RAND()</f>
        <v/>
      </c>
    </row>
    <row r="4256">
      <c r="M4256" s="14">
        <f>_xlfn.BETA.INV($AA4256,1+4*($D$5-$C$5)/($E$5-$C$5),1+4*($E$5-$D$5)/($E$5-$C$5),$C$5,$E$5)</f>
        <v/>
      </c>
      <c r="N4256" s="14">
        <f>IF($AB4256&lt;($D$6-$C$6)/($E$6-$C$6),$C$6+SQRT($AB4256*($E$6-$C$6)*($D$6-$C$6)),$E$6-SQRT((1-$AB4256)*($E$6-$C$6)*($E$6-$D$6)))</f>
        <v/>
      </c>
      <c r="O4256" s="14">
        <f>_xlfn.NORM.INV($AC4256,$C$7,$D$7)</f>
        <v/>
      </c>
      <c r="P4256" s="14">
        <f>$C$8+($D$8-$C$8)*$AD4256</f>
        <v/>
      </c>
      <c r="Q4256" s="14">
        <f>$C$9</f>
        <v/>
      </c>
      <c r="R4256" s="14">
        <f>_xlfn.LOGNORM.INV($AF4256,LN($C$10)-0.5*LN(1+($D$10/$C$10)^2),SQRT(LN(1+($D$10/$C$10)^2)))</f>
        <v/>
      </c>
      <c r="S4256" s="14">
        <f>SUM(M4256:R4256)</f>
        <v/>
      </c>
      <c r="AA4256">
        <f>RAND()</f>
        <v/>
      </c>
      <c r="AB4256">
        <f>RAND()</f>
        <v/>
      </c>
      <c r="AC4256">
        <f>RAND()</f>
        <v/>
      </c>
      <c r="AD4256">
        <f>RAND()</f>
        <v/>
      </c>
      <c r="AE4256">
        <f>RAND()</f>
        <v/>
      </c>
      <c r="AF4256">
        <f>RAND()</f>
        <v/>
      </c>
    </row>
    <row r="4257">
      <c r="M4257" s="14">
        <f>_xlfn.BETA.INV($AA4257,1+4*($D$5-$C$5)/($E$5-$C$5),1+4*($E$5-$D$5)/($E$5-$C$5),$C$5,$E$5)</f>
        <v/>
      </c>
      <c r="N4257" s="14">
        <f>IF($AB4257&lt;($D$6-$C$6)/($E$6-$C$6),$C$6+SQRT($AB4257*($E$6-$C$6)*($D$6-$C$6)),$E$6-SQRT((1-$AB4257)*($E$6-$C$6)*($E$6-$D$6)))</f>
        <v/>
      </c>
      <c r="O4257" s="14">
        <f>_xlfn.NORM.INV($AC4257,$C$7,$D$7)</f>
        <v/>
      </c>
      <c r="P4257" s="14">
        <f>$C$8+($D$8-$C$8)*$AD4257</f>
        <v/>
      </c>
      <c r="Q4257" s="14">
        <f>$C$9</f>
        <v/>
      </c>
      <c r="R4257" s="14">
        <f>_xlfn.LOGNORM.INV($AF4257,LN($C$10)-0.5*LN(1+($D$10/$C$10)^2),SQRT(LN(1+($D$10/$C$10)^2)))</f>
        <v/>
      </c>
      <c r="S4257" s="14">
        <f>SUM(M4257:R4257)</f>
        <v/>
      </c>
      <c r="AA4257">
        <f>RAND()</f>
        <v/>
      </c>
      <c r="AB4257">
        <f>RAND()</f>
        <v/>
      </c>
      <c r="AC4257">
        <f>RAND()</f>
        <v/>
      </c>
      <c r="AD4257">
        <f>RAND()</f>
        <v/>
      </c>
      <c r="AE4257">
        <f>RAND()</f>
        <v/>
      </c>
      <c r="AF4257">
        <f>RAND()</f>
        <v/>
      </c>
    </row>
    <row r="4258">
      <c r="M4258" s="14">
        <f>_xlfn.BETA.INV($AA4258,1+4*($D$5-$C$5)/($E$5-$C$5),1+4*($E$5-$D$5)/($E$5-$C$5),$C$5,$E$5)</f>
        <v/>
      </c>
      <c r="N4258" s="14">
        <f>IF($AB4258&lt;($D$6-$C$6)/($E$6-$C$6),$C$6+SQRT($AB4258*($E$6-$C$6)*($D$6-$C$6)),$E$6-SQRT((1-$AB4258)*($E$6-$C$6)*($E$6-$D$6)))</f>
        <v/>
      </c>
      <c r="O4258" s="14">
        <f>_xlfn.NORM.INV($AC4258,$C$7,$D$7)</f>
        <v/>
      </c>
      <c r="P4258" s="14">
        <f>$C$8+($D$8-$C$8)*$AD4258</f>
        <v/>
      </c>
      <c r="Q4258" s="14">
        <f>$C$9</f>
        <v/>
      </c>
      <c r="R4258" s="14">
        <f>_xlfn.LOGNORM.INV($AF4258,LN($C$10)-0.5*LN(1+($D$10/$C$10)^2),SQRT(LN(1+($D$10/$C$10)^2)))</f>
        <v/>
      </c>
      <c r="S4258" s="14">
        <f>SUM(M4258:R4258)</f>
        <v/>
      </c>
      <c r="AA4258">
        <f>RAND()</f>
        <v/>
      </c>
      <c r="AB4258">
        <f>RAND()</f>
        <v/>
      </c>
      <c r="AC4258">
        <f>RAND()</f>
        <v/>
      </c>
      <c r="AD4258">
        <f>RAND()</f>
        <v/>
      </c>
      <c r="AE4258">
        <f>RAND()</f>
        <v/>
      </c>
      <c r="AF4258">
        <f>RAND()</f>
        <v/>
      </c>
    </row>
    <row r="4259">
      <c r="M4259" s="14">
        <f>_xlfn.BETA.INV($AA4259,1+4*($D$5-$C$5)/($E$5-$C$5),1+4*($E$5-$D$5)/($E$5-$C$5),$C$5,$E$5)</f>
        <v/>
      </c>
      <c r="N4259" s="14">
        <f>IF($AB4259&lt;($D$6-$C$6)/($E$6-$C$6),$C$6+SQRT($AB4259*($E$6-$C$6)*($D$6-$C$6)),$E$6-SQRT((1-$AB4259)*($E$6-$C$6)*($E$6-$D$6)))</f>
        <v/>
      </c>
      <c r="O4259" s="14">
        <f>_xlfn.NORM.INV($AC4259,$C$7,$D$7)</f>
        <v/>
      </c>
      <c r="P4259" s="14">
        <f>$C$8+($D$8-$C$8)*$AD4259</f>
        <v/>
      </c>
      <c r="Q4259" s="14">
        <f>$C$9</f>
        <v/>
      </c>
      <c r="R4259" s="14">
        <f>_xlfn.LOGNORM.INV($AF4259,LN($C$10)-0.5*LN(1+($D$10/$C$10)^2),SQRT(LN(1+($D$10/$C$10)^2)))</f>
        <v/>
      </c>
      <c r="S4259" s="14">
        <f>SUM(M4259:R4259)</f>
        <v/>
      </c>
      <c r="AA4259">
        <f>RAND()</f>
        <v/>
      </c>
      <c r="AB4259">
        <f>RAND()</f>
        <v/>
      </c>
      <c r="AC4259">
        <f>RAND()</f>
        <v/>
      </c>
      <c r="AD4259">
        <f>RAND()</f>
        <v/>
      </c>
      <c r="AE4259">
        <f>RAND()</f>
        <v/>
      </c>
      <c r="AF4259">
        <f>RAND()</f>
        <v/>
      </c>
    </row>
    <row r="4260">
      <c r="M4260" s="14">
        <f>_xlfn.BETA.INV($AA4260,1+4*($D$5-$C$5)/($E$5-$C$5),1+4*($E$5-$D$5)/($E$5-$C$5),$C$5,$E$5)</f>
        <v/>
      </c>
      <c r="N4260" s="14">
        <f>IF($AB4260&lt;($D$6-$C$6)/($E$6-$C$6),$C$6+SQRT($AB4260*($E$6-$C$6)*($D$6-$C$6)),$E$6-SQRT((1-$AB4260)*($E$6-$C$6)*($E$6-$D$6)))</f>
        <v/>
      </c>
      <c r="O4260" s="14">
        <f>_xlfn.NORM.INV($AC4260,$C$7,$D$7)</f>
        <v/>
      </c>
      <c r="P4260" s="14">
        <f>$C$8+($D$8-$C$8)*$AD4260</f>
        <v/>
      </c>
      <c r="Q4260" s="14">
        <f>$C$9</f>
        <v/>
      </c>
      <c r="R4260" s="14">
        <f>_xlfn.LOGNORM.INV($AF4260,LN($C$10)-0.5*LN(1+($D$10/$C$10)^2),SQRT(LN(1+($D$10/$C$10)^2)))</f>
        <v/>
      </c>
      <c r="S4260" s="14">
        <f>SUM(M4260:R4260)</f>
        <v/>
      </c>
      <c r="AA4260">
        <f>RAND()</f>
        <v/>
      </c>
      <c r="AB4260">
        <f>RAND()</f>
        <v/>
      </c>
      <c r="AC4260">
        <f>RAND()</f>
        <v/>
      </c>
      <c r="AD4260">
        <f>RAND()</f>
        <v/>
      </c>
      <c r="AE4260">
        <f>RAND()</f>
        <v/>
      </c>
      <c r="AF4260">
        <f>RAND()</f>
        <v/>
      </c>
    </row>
    <row r="4261">
      <c r="M4261" s="14">
        <f>_xlfn.BETA.INV($AA4261,1+4*($D$5-$C$5)/($E$5-$C$5),1+4*($E$5-$D$5)/($E$5-$C$5),$C$5,$E$5)</f>
        <v/>
      </c>
      <c r="N4261" s="14">
        <f>IF($AB4261&lt;($D$6-$C$6)/($E$6-$C$6),$C$6+SQRT($AB4261*($E$6-$C$6)*($D$6-$C$6)),$E$6-SQRT((1-$AB4261)*($E$6-$C$6)*($E$6-$D$6)))</f>
        <v/>
      </c>
      <c r="O4261" s="14">
        <f>_xlfn.NORM.INV($AC4261,$C$7,$D$7)</f>
        <v/>
      </c>
      <c r="P4261" s="14">
        <f>$C$8+($D$8-$C$8)*$AD4261</f>
        <v/>
      </c>
      <c r="Q4261" s="14">
        <f>$C$9</f>
        <v/>
      </c>
      <c r="R4261" s="14">
        <f>_xlfn.LOGNORM.INV($AF4261,LN($C$10)-0.5*LN(1+($D$10/$C$10)^2),SQRT(LN(1+($D$10/$C$10)^2)))</f>
        <v/>
      </c>
      <c r="S4261" s="14">
        <f>SUM(M4261:R4261)</f>
        <v/>
      </c>
      <c r="AA4261">
        <f>RAND()</f>
        <v/>
      </c>
      <c r="AB4261">
        <f>RAND()</f>
        <v/>
      </c>
      <c r="AC4261">
        <f>RAND()</f>
        <v/>
      </c>
      <c r="AD4261">
        <f>RAND()</f>
        <v/>
      </c>
      <c r="AE4261">
        <f>RAND()</f>
        <v/>
      </c>
      <c r="AF4261">
        <f>RAND()</f>
        <v/>
      </c>
    </row>
    <row r="4262">
      <c r="M4262" s="14">
        <f>_xlfn.BETA.INV($AA4262,1+4*($D$5-$C$5)/($E$5-$C$5),1+4*($E$5-$D$5)/($E$5-$C$5),$C$5,$E$5)</f>
        <v/>
      </c>
      <c r="N4262" s="14">
        <f>IF($AB4262&lt;($D$6-$C$6)/($E$6-$C$6),$C$6+SQRT($AB4262*($E$6-$C$6)*($D$6-$C$6)),$E$6-SQRT((1-$AB4262)*($E$6-$C$6)*($E$6-$D$6)))</f>
        <v/>
      </c>
      <c r="O4262" s="14">
        <f>_xlfn.NORM.INV($AC4262,$C$7,$D$7)</f>
        <v/>
      </c>
      <c r="P4262" s="14">
        <f>$C$8+($D$8-$C$8)*$AD4262</f>
        <v/>
      </c>
      <c r="Q4262" s="14">
        <f>$C$9</f>
        <v/>
      </c>
      <c r="R4262" s="14">
        <f>_xlfn.LOGNORM.INV($AF4262,LN($C$10)-0.5*LN(1+($D$10/$C$10)^2),SQRT(LN(1+($D$10/$C$10)^2)))</f>
        <v/>
      </c>
      <c r="S4262" s="14">
        <f>SUM(M4262:R4262)</f>
        <v/>
      </c>
      <c r="AA4262">
        <f>RAND()</f>
        <v/>
      </c>
      <c r="AB4262">
        <f>RAND()</f>
        <v/>
      </c>
      <c r="AC4262">
        <f>RAND()</f>
        <v/>
      </c>
      <c r="AD4262">
        <f>RAND()</f>
        <v/>
      </c>
      <c r="AE4262">
        <f>RAND()</f>
        <v/>
      </c>
      <c r="AF4262">
        <f>RAND()</f>
        <v/>
      </c>
    </row>
    <row r="4263">
      <c r="M4263" s="14">
        <f>_xlfn.BETA.INV($AA4263,1+4*($D$5-$C$5)/($E$5-$C$5),1+4*($E$5-$D$5)/($E$5-$C$5),$C$5,$E$5)</f>
        <v/>
      </c>
      <c r="N4263" s="14">
        <f>IF($AB4263&lt;($D$6-$C$6)/($E$6-$C$6),$C$6+SQRT($AB4263*($E$6-$C$6)*($D$6-$C$6)),$E$6-SQRT((1-$AB4263)*($E$6-$C$6)*($E$6-$D$6)))</f>
        <v/>
      </c>
      <c r="O4263" s="14">
        <f>_xlfn.NORM.INV($AC4263,$C$7,$D$7)</f>
        <v/>
      </c>
      <c r="P4263" s="14">
        <f>$C$8+($D$8-$C$8)*$AD4263</f>
        <v/>
      </c>
      <c r="Q4263" s="14">
        <f>$C$9</f>
        <v/>
      </c>
      <c r="R4263" s="14">
        <f>_xlfn.LOGNORM.INV($AF4263,LN($C$10)-0.5*LN(1+($D$10/$C$10)^2),SQRT(LN(1+($D$10/$C$10)^2)))</f>
        <v/>
      </c>
      <c r="S4263" s="14">
        <f>SUM(M4263:R4263)</f>
        <v/>
      </c>
      <c r="AA4263">
        <f>RAND()</f>
        <v/>
      </c>
      <c r="AB4263">
        <f>RAND()</f>
        <v/>
      </c>
      <c r="AC4263">
        <f>RAND()</f>
        <v/>
      </c>
      <c r="AD4263">
        <f>RAND()</f>
        <v/>
      </c>
      <c r="AE4263">
        <f>RAND()</f>
        <v/>
      </c>
      <c r="AF4263">
        <f>RAND()</f>
        <v/>
      </c>
    </row>
    <row r="4264">
      <c r="M4264" s="14">
        <f>_xlfn.BETA.INV($AA4264,1+4*($D$5-$C$5)/($E$5-$C$5),1+4*($E$5-$D$5)/($E$5-$C$5),$C$5,$E$5)</f>
        <v/>
      </c>
      <c r="N4264" s="14">
        <f>IF($AB4264&lt;($D$6-$C$6)/($E$6-$C$6),$C$6+SQRT($AB4264*($E$6-$C$6)*($D$6-$C$6)),$E$6-SQRT((1-$AB4264)*($E$6-$C$6)*($E$6-$D$6)))</f>
        <v/>
      </c>
      <c r="O4264" s="14">
        <f>_xlfn.NORM.INV($AC4264,$C$7,$D$7)</f>
        <v/>
      </c>
      <c r="P4264" s="14">
        <f>$C$8+($D$8-$C$8)*$AD4264</f>
        <v/>
      </c>
      <c r="Q4264" s="14">
        <f>$C$9</f>
        <v/>
      </c>
      <c r="R4264" s="14">
        <f>_xlfn.LOGNORM.INV($AF4264,LN($C$10)-0.5*LN(1+($D$10/$C$10)^2),SQRT(LN(1+($D$10/$C$10)^2)))</f>
        <v/>
      </c>
      <c r="S4264" s="14">
        <f>SUM(M4264:R4264)</f>
        <v/>
      </c>
      <c r="AA4264">
        <f>RAND()</f>
        <v/>
      </c>
      <c r="AB4264">
        <f>RAND()</f>
        <v/>
      </c>
      <c r="AC4264">
        <f>RAND()</f>
        <v/>
      </c>
      <c r="AD4264">
        <f>RAND()</f>
        <v/>
      </c>
      <c r="AE4264">
        <f>RAND()</f>
        <v/>
      </c>
      <c r="AF4264">
        <f>RAND()</f>
        <v/>
      </c>
    </row>
    <row r="4265">
      <c r="M4265" s="14">
        <f>_xlfn.BETA.INV($AA4265,1+4*($D$5-$C$5)/($E$5-$C$5),1+4*($E$5-$D$5)/($E$5-$C$5),$C$5,$E$5)</f>
        <v/>
      </c>
      <c r="N4265" s="14">
        <f>IF($AB4265&lt;($D$6-$C$6)/($E$6-$C$6),$C$6+SQRT($AB4265*($E$6-$C$6)*($D$6-$C$6)),$E$6-SQRT((1-$AB4265)*($E$6-$C$6)*($E$6-$D$6)))</f>
        <v/>
      </c>
      <c r="O4265" s="14">
        <f>_xlfn.NORM.INV($AC4265,$C$7,$D$7)</f>
        <v/>
      </c>
      <c r="P4265" s="14">
        <f>$C$8+($D$8-$C$8)*$AD4265</f>
        <v/>
      </c>
      <c r="Q4265" s="14">
        <f>$C$9</f>
        <v/>
      </c>
      <c r="R4265" s="14">
        <f>_xlfn.LOGNORM.INV($AF4265,LN($C$10)-0.5*LN(1+($D$10/$C$10)^2),SQRT(LN(1+($D$10/$C$10)^2)))</f>
        <v/>
      </c>
      <c r="S4265" s="14">
        <f>SUM(M4265:R4265)</f>
        <v/>
      </c>
      <c r="AA4265">
        <f>RAND()</f>
        <v/>
      </c>
      <c r="AB4265">
        <f>RAND()</f>
        <v/>
      </c>
      <c r="AC4265">
        <f>RAND()</f>
        <v/>
      </c>
      <c r="AD4265">
        <f>RAND()</f>
        <v/>
      </c>
      <c r="AE4265">
        <f>RAND()</f>
        <v/>
      </c>
      <c r="AF4265">
        <f>RAND()</f>
        <v/>
      </c>
    </row>
    <row r="4266">
      <c r="M4266" s="14">
        <f>_xlfn.BETA.INV($AA4266,1+4*($D$5-$C$5)/($E$5-$C$5),1+4*($E$5-$D$5)/($E$5-$C$5),$C$5,$E$5)</f>
        <v/>
      </c>
      <c r="N4266" s="14">
        <f>IF($AB4266&lt;($D$6-$C$6)/($E$6-$C$6),$C$6+SQRT($AB4266*($E$6-$C$6)*($D$6-$C$6)),$E$6-SQRT((1-$AB4266)*($E$6-$C$6)*($E$6-$D$6)))</f>
        <v/>
      </c>
      <c r="O4266" s="14">
        <f>_xlfn.NORM.INV($AC4266,$C$7,$D$7)</f>
        <v/>
      </c>
      <c r="P4266" s="14">
        <f>$C$8+($D$8-$C$8)*$AD4266</f>
        <v/>
      </c>
      <c r="Q4266" s="14">
        <f>$C$9</f>
        <v/>
      </c>
      <c r="R4266" s="14">
        <f>_xlfn.LOGNORM.INV($AF4266,LN($C$10)-0.5*LN(1+($D$10/$C$10)^2),SQRT(LN(1+($D$10/$C$10)^2)))</f>
        <v/>
      </c>
      <c r="S4266" s="14">
        <f>SUM(M4266:R4266)</f>
        <v/>
      </c>
      <c r="AA4266">
        <f>RAND()</f>
        <v/>
      </c>
      <c r="AB4266">
        <f>RAND()</f>
        <v/>
      </c>
      <c r="AC4266">
        <f>RAND()</f>
        <v/>
      </c>
      <c r="AD4266">
        <f>RAND()</f>
        <v/>
      </c>
      <c r="AE4266">
        <f>RAND()</f>
        <v/>
      </c>
      <c r="AF4266">
        <f>RAND()</f>
        <v/>
      </c>
    </row>
    <row r="4267">
      <c r="M4267" s="14">
        <f>_xlfn.BETA.INV($AA4267,1+4*($D$5-$C$5)/($E$5-$C$5),1+4*($E$5-$D$5)/($E$5-$C$5),$C$5,$E$5)</f>
        <v/>
      </c>
      <c r="N4267" s="14">
        <f>IF($AB4267&lt;($D$6-$C$6)/($E$6-$C$6),$C$6+SQRT($AB4267*($E$6-$C$6)*($D$6-$C$6)),$E$6-SQRT((1-$AB4267)*($E$6-$C$6)*($E$6-$D$6)))</f>
        <v/>
      </c>
      <c r="O4267" s="14">
        <f>_xlfn.NORM.INV($AC4267,$C$7,$D$7)</f>
        <v/>
      </c>
      <c r="P4267" s="14">
        <f>$C$8+($D$8-$C$8)*$AD4267</f>
        <v/>
      </c>
      <c r="Q4267" s="14">
        <f>$C$9</f>
        <v/>
      </c>
      <c r="R4267" s="14">
        <f>_xlfn.LOGNORM.INV($AF4267,LN($C$10)-0.5*LN(1+($D$10/$C$10)^2),SQRT(LN(1+($D$10/$C$10)^2)))</f>
        <v/>
      </c>
      <c r="S4267" s="14">
        <f>SUM(M4267:R4267)</f>
        <v/>
      </c>
      <c r="AA4267">
        <f>RAND()</f>
        <v/>
      </c>
      <c r="AB4267">
        <f>RAND()</f>
        <v/>
      </c>
      <c r="AC4267">
        <f>RAND()</f>
        <v/>
      </c>
      <c r="AD4267">
        <f>RAND()</f>
        <v/>
      </c>
      <c r="AE4267">
        <f>RAND()</f>
        <v/>
      </c>
      <c r="AF4267">
        <f>RAND()</f>
        <v/>
      </c>
    </row>
    <row r="4268">
      <c r="M4268" s="14">
        <f>_xlfn.BETA.INV($AA4268,1+4*($D$5-$C$5)/($E$5-$C$5),1+4*($E$5-$D$5)/($E$5-$C$5),$C$5,$E$5)</f>
        <v/>
      </c>
      <c r="N4268" s="14">
        <f>IF($AB4268&lt;($D$6-$C$6)/($E$6-$C$6),$C$6+SQRT($AB4268*($E$6-$C$6)*($D$6-$C$6)),$E$6-SQRT((1-$AB4268)*($E$6-$C$6)*($E$6-$D$6)))</f>
        <v/>
      </c>
      <c r="O4268" s="14">
        <f>_xlfn.NORM.INV($AC4268,$C$7,$D$7)</f>
        <v/>
      </c>
      <c r="P4268" s="14">
        <f>$C$8+($D$8-$C$8)*$AD4268</f>
        <v/>
      </c>
      <c r="Q4268" s="14">
        <f>$C$9</f>
        <v/>
      </c>
      <c r="R4268" s="14">
        <f>_xlfn.LOGNORM.INV($AF4268,LN($C$10)-0.5*LN(1+($D$10/$C$10)^2),SQRT(LN(1+($D$10/$C$10)^2)))</f>
        <v/>
      </c>
      <c r="S4268" s="14">
        <f>SUM(M4268:R4268)</f>
        <v/>
      </c>
      <c r="AA4268">
        <f>RAND()</f>
        <v/>
      </c>
      <c r="AB4268">
        <f>RAND()</f>
        <v/>
      </c>
      <c r="AC4268">
        <f>RAND()</f>
        <v/>
      </c>
      <c r="AD4268">
        <f>RAND()</f>
        <v/>
      </c>
      <c r="AE4268">
        <f>RAND()</f>
        <v/>
      </c>
      <c r="AF4268">
        <f>RAND()</f>
        <v/>
      </c>
    </row>
    <row r="4269">
      <c r="M4269" s="14">
        <f>_xlfn.BETA.INV($AA4269,1+4*($D$5-$C$5)/($E$5-$C$5),1+4*($E$5-$D$5)/($E$5-$C$5),$C$5,$E$5)</f>
        <v/>
      </c>
      <c r="N4269" s="14">
        <f>IF($AB4269&lt;($D$6-$C$6)/($E$6-$C$6),$C$6+SQRT($AB4269*($E$6-$C$6)*($D$6-$C$6)),$E$6-SQRT((1-$AB4269)*($E$6-$C$6)*($E$6-$D$6)))</f>
        <v/>
      </c>
      <c r="O4269" s="14">
        <f>_xlfn.NORM.INV($AC4269,$C$7,$D$7)</f>
        <v/>
      </c>
      <c r="P4269" s="14">
        <f>$C$8+($D$8-$C$8)*$AD4269</f>
        <v/>
      </c>
      <c r="Q4269" s="14">
        <f>$C$9</f>
        <v/>
      </c>
      <c r="R4269" s="14">
        <f>_xlfn.LOGNORM.INV($AF4269,LN($C$10)-0.5*LN(1+($D$10/$C$10)^2),SQRT(LN(1+($D$10/$C$10)^2)))</f>
        <v/>
      </c>
      <c r="S4269" s="14">
        <f>SUM(M4269:R4269)</f>
        <v/>
      </c>
      <c r="AA4269">
        <f>RAND()</f>
        <v/>
      </c>
      <c r="AB4269">
        <f>RAND()</f>
        <v/>
      </c>
      <c r="AC4269">
        <f>RAND()</f>
        <v/>
      </c>
      <c r="AD4269">
        <f>RAND()</f>
        <v/>
      </c>
      <c r="AE4269">
        <f>RAND()</f>
        <v/>
      </c>
      <c r="AF4269">
        <f>RAND()</f>
        <v/>
      </c>
    </row>
    <row r="4270">
      <c r="M4270" s="14">
        <f>_xlfn.BETA.INV($AA4270,1+4*($D$5-$C$5)/($E$5-$C$5),1+4*($E$5-$D$5)/($E$5-$C$5),$C$5,$E$5)</f>
        <v/>
      </c>
      <c r="N4270" s="14">
        <f>IF($AB4270&lt;($D$6-$C$6)/($E$6-$C$6),$C$6+SQRT($AB4270*($E$6-$C$6)*($D$6-$C$6)),$E$6-SQRT((1-$AB4270)*($E$6-$C$6)*($E$6-$D$6)))</f>
        <v/>
      </c>
      <c r="O4270" s="14">
        <f>_xlfn.NORM.INV($AC4270,$C$7,$D$7)</f>
        <v/>
      </c>
      <c r="P4270" s="14">
        <f>$C$8+($D$8-$C$8)*$AD4270</f>
        <v/>
      </c>
      <c r="Q4270" s="14">
        <f>$C$9</f>
        <v/>
      </c>
      <c r="R4270" s="14">
        <f>_xlfn.LOGNORM.INV($AF4270,LN($C$10)-0.5*LN(1+($D$10/$C$10)^2),SQRT(LN(1+($D$10/$C$10)^2)))</f>
        <v/>
      </c>
      <c r="S4270" s="14">
        <f>SUM(M4270:R4270)</f>
        <v/>
      </c>
      <c r="AA4270">
        <f>RAND()</f>
        <v/>
      </c>
      <c r="AB4270">
        <f>RAND()</f>
        <v/>
      </c>
      <c r="AC4270">
        <f>RAND()</f>
        <v/>
      </c>
      <c r="AD4270">
        <f>RAND()</f>
        <v/>
      </c>
      <c r="AE4270">
        <f>RAND()</f>
        <v/>
      </c>
      <c r="AF4270">
        <f>RAND()</f>
        <v/>
      </c>
    </row>
    <row r="4271">
      <c r="M4271" s="14">
        <f>_xlfn.BETA.INV($AA4271,1+4*($D$5-$C$5)/($E$5-$C$5),1+4*($E$5-$D$5)/($E$5-$C$5),$C$5,$E$5)</f>
        <v/>
      </c>
      <c r="N4271" s="14">
        <f>IF($AB4271&lt;($D$6-$C$6)/($E$6-$C$6),$C$6+SQRT($AB4271*($E$6-$C$6)*($D$6-$C$6)),$E$6-SQRT((1-$AB4271)*($E$6-$C$6)*($E$6-$D$6)))</f>
        <v/>
      </c>
      <c r="O4271" s="14">
        <f>_xlfn.NORM.INV($AC4271,$C$7,$D$7)</f>
        <v/>
      </c>
      <c r="P4271" s="14">
        <f>$C$8+($D$8-$C$8)*$AD4271</f>
        <v/>
      </c>
      <c r="Q4271" s="14">
        <f>$C$9</f>
        <v/>
      </c>
      <c r="R4271" s="14">
        <f>_xlfn.LOGNORM.INV($AF4271,LN($C$10)-0.5*LN(1+($D$10/$C$10)^2),SQRT(LN(1+($D$10/$C$10)^2)))</f>
        <v/>
      </c>
      <c r="S4271" s="14">
        <f>SUM(M4271:R4271)</f>
        <v/>
      </c>
      <c r="AA4271">
        <f>RAND()</f>
        <v/>
      </c>
      <c r="AB4271">
        <f>RAND()</f>
        <v/>
      </c>
      <c r="AC4271">
        <f>RAND()</f>
        <v/>
      </c>
      <c r="AD4271">
        <f>RAND()</f>
        <v/>
      </c>
      <c r="AE4271">
        <f>RAND()</f>
        <v/>
      </c>
      <c r="AF4271">
        <f>RAND()</f>
        <v/>
      </c>
    </row>
    <row r="4272">
      <c r="M4272" s="14">
        <f>_xlfn.BETA.INV($AA4272,1+4*($D$5-$C$5)/($E$5-$C$5),1+4*($E$5-$D$5)/($E$5-$C$5),$C$5,$E$5)</f>
        <v/>
      </c>
      <c r="N4272" s="14">
        <f>IF($AB4272&lt;($D$6-$C$6)/($E$6-$C$6),$C$6+SQRT($AB4272*($E$6-$C$6)*($D$6-$C$6)),$E$6-SQRT((1-$AB4272)*($E$6-$C$6)*($E$6-$D$6)))</f>
        <v/>
      </c>
      <c r="O4272" s="14">
        <f>_xlfn.NORM.INV($AC4272,$C$7,$D$7)</f>
        <v/>
      </c>
      <c r="P4272" s="14">
        <f>$C$8+($D$8-$C$8)*$AD4272</f>
        <v/>
      </c>
      <c r="Q4272" s="14">
        <f>$C$9</f>
        <v/>
      </c>
      <c r="R4272" s="14">
        <f>_xlfn.LOGNORM.INV($AF4272,LN($C$10)-0.5*LN(1+($D$10/$C$10)^2),SQRT(LN(1+($D$10/$C$10)^2)))</f>
        <v/>
      </c>
      <c r="S4272" s="14">
        <f>SUM(M4272:R4272)</f>
        <v/>
      </c>
      <c r="AA4272">
        <f>RAND()</f>
        <v/>
      </c>
      <c r="AB4272">
        <f>RAND()</f>
        <v/>
      </c>
      <c r="AC4272">
        <f>RAND()</f>
        <v/>
      </c>
      <c r="AD4272">
        <f>RAND()</f>
        <v/>
      </c>
      <c r="AE4272">
        <f>RAND()</f>
        <v/>
      </c>
      <c r="AF4272">
        <f>RAND()</f>
        <v/>
      </c>
    </row>
    <row r="4273">
      <c r="M4273" s="14">
        <f>_xlfn.BETA.INV($AA4273,1+4*($D$5-$C$5)/($E$5-$C$5),1+4*($E$5-$D$5)/($E$5-$C$5),$C$5,$E$5)</f>
        <v/>
      </c>
      <c r="N4273" s="14">
        <f>IF($AB4273&lt;($D$6-$C$6)/($E$6-$C$6),$C$6+SQRT($AB4273*($E$6-$C$6)*($D$6-$C$6)),$E$6-SQRT((1-$AB4273)*($E$6-$C$6)*($E$6-$D$6)))</f>
        <v/>
      </c>
      <c r="O4273" s="14">
        <f>_xlfn.NORM.INV($AC4273,$C$7,$D$7)</f>
        <v/>
      </c>
      <c r="P4273" s="14">
        <f>$C$8+($D$8-$C$8)*$AD4273</f>
        <v/>
      </c>
      <c r="Q4273" s="14">
        <f>$C$9</f>
        <v/>
      </c>
      <c r="R4273" s="14">
        <f>_xlfn.LOGNORM.INV($AF4273,LN($C$10)-0.5*LN(1+($D$10/$C$10)^2),SQRT(LN(1+($D$10/$C$10)^2)))</f>
        <v/>
      </c>
      <c r="S4273" s="14">
        <f>SUM(M4273:R4273)</f>
        <v/>
      </c>
      <c r="AA4273">
        <f>RAND()</f>
        <v/>
      </c>
      <c r="AB4273">
        <f>RAND()</f>
        <v/>
      </c>
      <c r="AC4273">
        <f>RAND()</f>
        <v/>
      </c>
      <c r="AD4273">
        <f>RAND()</f>
        <v/>
      </c>
      <c r="AE4273">
        <f>RAND()</f>
        <v/>
      </c>
      <c r="AF4273">
        <f>RAND()</f>
        <v/>
      </c>
    </row>
    <row r="4274">
      <c r="M4274" s="14">
        <f>_xlfn.BETA.INV($AA4274,1+4*($D$5-$C$5)/($E$5-$C$5),1+4*($E$5-$D$5)/($E$5-$C$5),$C$5,$E$5)</f>
        <v/>
      </c>
      <c r="N4274" s="14">
        <f>IF($AB4274&lt;($D$6-$C$6)/($E$6-$C$6),$C$6+SQRT($AB4274*($E$6-$C$6)*($D$6-$C$6)),$E$6-SQRT((1-$AB4274)*($E$6-$C$6)*($E$6-$D$6)))</f>
        <v/>
      </c>
      <c r="O4274" s="14">
        <f>_xlfn.NORM.INV($AC4274,$C$7,$D$7)</f>
        <v/>
      </c>
      <c r="P4274" s="14">
        <f>$C$8+($D$8-$C$8)*$AD4274</f>
        <v/>
      </c>
      <c r="Q4274" s="14">
        <f>$C$9</f>
        <v/>
      </c>
      <c r="R4274" s="14">
        <f>_xlfn.LOGNORM.INV($AF4274,LN($C$10)-0.5*LN(1+($D$10/$C$10)^2),SQRT(LN(1+($D$10/$C$10)^2)))</f>
        <v/>
      </c>
      <c r="S4274" s="14">
        <f>SUM(M4274:R4274)</f>
        <v/>
      </c>
      <c r="AA4274">
        <f>RAND()</f>
        <v/>
      </c>
      <c r="AB4274">
        <f>RAND()</f>
        <v/>
      </c>
      <c r="AC4274">
        <f>RAND()</f>
        <v/>
      </c>
      <c r="AD4274">
        <f>RAND()</f>
        <v/>
      </c>
      <c r="AE4274">
        <f>RAND()</f>
        <v/>
      </c>
      <c r="AF4274">
        <f>RAND()</f>
        <v/>
      </c>
    </row>
    <row r="4275">
      <c r="M4275" s="14">
        <f>_xlfn.BETA.INV($AA4275,1+4*($D$5-$C$5)/($E$5-$C$5),1+4*($E$5-$D$5)/($E$5-$C$5),$C$5,$E$5)</f>
        <v/>
      </c>
      <c r="N4275" s="14">
        <f>IF($AB4275&lt;($D$6-$C$6)/($E$6-$C$6),$C$6+SQRT($AB4275*($E$6-$C$6)*($D$6-$C$6)),$E$6-SQRT((1-$AB4275)*($E$6-$C$6)*($E$6-$D$6)))</f>
        <v/>
      </c>
      <c r="O4275" s="14">
        <f>_xlfn.NORM.INV($AC4275,$C$7,$D$7)</f>
        <v/>
      </c>
      <c r="P4275" s="14">
        <f>$C$8+($D$8-$C$8)*$AD4275</f>
        <v/>
      </c>
      <c r="Q4275" s="14">
        <f>$C$9</f>
        <v/>
      </c>
      <c r="R4275" s="14">
        <f>_xlfn.LOGNORM.INV($AF4275,LN($C$10)-0.5*LN(1+($D$10/$C$10)^2),SQRT(LN(1+($D$10/$C$10)^2)))</f>
        <v/>
      </c>
      <c r="S4275" s="14">
        <f>SUM(M4275:R4275)</f>
        <v/>
      </c>
      <c r="AA4275">
        <f>RAND()</f>
        <v/>
      </c>
      <c r="AB4275">
        <f>RAND()</f>
        <v/>
      </c>
      <c r="AC4275">
        <f>RAND()</f>
        <v/>
      </c>
      <c r="AD4275">
        <f>RAND()</f>
        <v/>
      </c>
      <c r="AE4275">
        <f>RAND()</f>
        <v/>
      </c>
      <c r="AF4275">
        <f>RAND()</f>
        <v/>
      </c>
    </row>
    <row r="4276">
      <c r="M4276" s="14">
        <f>_xlfn.BETA.INV($AA4276,1+4*($D$5-$C$5)/($E$5-$C$5),1+4*($E$5-$D$5)/($E$5-$C$5),$C$5,$E$5)</f>
        <v/>
      </c>
      <c r="N4276" s="14">
        <f>IF($AB4276&lt;($D$6-$C$6)/($E$6-$C$6),$C$6+SQRT($AB4276*($E$6-$C$6)*($D$6-$C$6)),$E$6-SQRT((1-$AB4276)*($E$6-$C$6)*($E$6-$D$6)))</f>
        <v/>
      </c>
      <c r="O4276" s="14">
        <f>_xlfn.NORM.INV($AC4276,$C$7,$D$7)</f>
        <v/>
      </c>
      <c r="P4276" s="14">
        <f>$C$8+($D$8-$C$8)*$AD4276</f>
        <v/>
      </c>
      <c r="Q4276" s="14">
        <f>$C$9</f>
        <v/>
      </c>
      <c r="R4276" s="14">
        <f>_xlfn.LOGNORM.INV($AF4276,LN($C$10)-0.5*LN(1+($D$10/$C$10)^2),SQRT(LN(1+($D$10/$C$10)^2)))</f>
        <v/>
      </c>
      <c r="S4276" s="14">
        <f>SUM(M4276:R4276)</f>
        <v/>
      </c>
      <c r="AA4276">
        <f>RAND()</f>
        <v/>
      </c>
      <c r="AB4276">
        <f>RAND()</f>
        <v/>
      </c>
      <c r="AC4276">
        <f>RAND()</f>
        <v/>
      </c>
      <c r="AD4276">
        <f>RAND()</f>
        <v/>
      </c>
      <c r="AE4276">
        <f>RAND()</f>
        <v/>
      </c>
      <c r="AF4276">
        <f>RAND()</f>
        <v/>
      </c>
    </row>
    <row r="4277">
      <c r="M4277" s="14">
        <f>_xlfn.BETA.INV($AA4277,1+4*($D$5-$C$5)/($E$5-$C$5),1+4*($E$5-$D$5)/($E$5-$C$5),$C$5,$E$5)</f>
        <v/>
      </c>
      <c r="N4277" s="14">
        <f>IF($AB4277&lt;($D$6-$C$6)/($E$6-$C$6),$C$6+SQRT($AB4277*($E$6-$C$6)*($D$6-$C$6)),$E$6-SQRT((1-$AB4277)*($E$6-$C$6)*($E$6-$D$6)))</f>
        <v/>
      </c>
      <c r="O4277" s="14">
        <f>_xlfn.NORM.INV($AC4277,$C$7,$D$7)</f>
        <v/>
      </c>
      <c r="P4277" s="14">
        <f>$C$8+($D$8-$C$8)*$AD4277</f>
        <v/>
      </c>
      <c r="Q4277" s="14">
        <f>$C$9</f>
        <v/>
      </c>
      <c r="R4277" s="14">
        <f>_xlfn.LOGNORM.INV($AF4277,LN($C$10)-0.5*LN(1+($D$10/$C$10)^2),SQRT(LN(1+($D$10/$C$10)^2)))</f>
        <v/>
      </c>
      <c r="S4277" s="14">
        <f>SUM(M4277:R4277)</f>
        <v/>
      </c>
      <c r="AA4277">
        <f>RAND()</f>
        <v/>
      </c>
      <c r="AB4277">
        <f>RAND()</f>
        <v/>
      </c>
      <c r="AC4277">
        <f>RAND()</f>
        <v/>
      </c>
      <c r="AD4277">
        <f>RAND()</f>
        <v/>
      </c>
      <c r="AE4277">
        <f>RAND()</f>
        <v/>
      </c>
      <c r="AF4277">
        <f>RAND()</f>
        <v/>
      </c>
    </row>
    <row r="4278">
      <c r="M4278" s="14">
        <f>_xlfn.BETA.INV($AA4278,1+4*($D$5-$C$5)/($E$5-$C$5),1+4*($E$5-$D$5)/($E$5-$C$5),$C$5,$E$5)</f>
        <v/>
      </c>
      <c r="N4278" s="14">
        <f>IF($AB4278&lt;($D$6-$C$6)/($E$6-$C$6),$C$6+SQRT($AB4278*($E$6-$C$6)*($D$6-$C$6)),$E$6-SQRT((1-$AB4278)*($E$6-$C$6)*($E$6-$D$6)))</f>
        <v/>
      </c>
      <c r="O4278" s="14">
        <f>_xlfn.NORM.INV($AC4278,$C$7,$D$7)</f>
        <v/>
      </c>
      <c r="P4278" s="14">
        <f>$C$8+($D$8-$C$8)*$AD4278</f>
        <v/>
      </c>
      <c r="Q4278" s="14">
        <f>$C$9</f>
        <v/>
      </c>
      <c r="R4278" s="14">
        <f>_xlfn.LOGNORM.INV($AF4278,LN($C$10)-0.5*LN(1+($D$10/$C$10)^2),SQRT(LN(1+($D$10/$C$10)^2)))</f>
        <v/>
      </c>
      <c r="S4278" s="14">
        <f>SUM(M4278:R4278)</f>
        <v/>
      </c>
      <c r="AA4278">
        <f>RAND()</f>
        <v/>
      </c>
      <c r="AB4278">
        <f>RAND()</f>
        <v/>
      </c>
      <c r="AC4278">
        <f>RAND()</f>
        <v/>
      </c>
      <c r="AD4278">
        <f>RAND()</f>
        <v/>
      </c>
      <c r="AE4278">
        <f>RAND()</f>
        <v/>
      </c>
      <c r="AF4278">
        <f>RAND()</f>
        <v/>
      </c>
    </row>
    <row r="4279">
      <c r="M4279" s="14">
        <f>_xlfn.BETA.INV($AA4279,1+4*($D$5-$C$5)/($E$5-$C$5),1+4*($E$5-$D$5)/($E$5-$C$5),$C$5,$E$5)</f>
        <v/>
      </c>
      <c r="N4279" s="14">
        <f>IF($AB4279&lt;($D$6-$C$6)/($E$6-$C$6),$C$6+SQRT($AB4279*($E$6-$C$6)*($D$6-$C$6)),$E$6-SQRT((1-$AB4279)*($E$6-$C$6)*($E$6-$D$6)))</f>
        <v/>
      </c>
      <c r="O4279" s="14">
        <f>_xlfn.NORM.INV($AC4279,$C$7,$D$7)</f>
        <v/>
      </c>
      <c r="P4279" s="14">
        <f>$C$8+($D$8-$C$8)*$AD4279</f>
        <v/>
      </c>
      <c r="Q4279" s="14">
        <f>$C$9</f>
        <v/>
      </c>
      <c r="R4279" s="14">
        <f>_xlfn.LOGNORM.INV($AF4279,LN($C$10)-0.5*LN(1+($D$10/$C$10)^2),SQRT(LN(1+($D$10/$C$10)^2)))</f>
        <v/>
      </c>
      <c r="S4279" s="14">
        <f>SUM(M4279:R4279)</f>
        <v/>
      </c>
      <c r="AA4279">
        <f>RAND()</f>
        <v/>
      </c>
      <c r="AB4279">
        <f>RAND()</f>
        <v/>
      </c>
      <c r="AC4279">
        <f>RAND()</f>
        <v/>
      </c>
      <c r="AD4279">
        <f>RAND()</f>
        <v/>
      </c>
      <c r="AE4279">
        <f>RAND()</f>
        <v/>
      </c>
      <c r="AF4279">
        <f>RAND()</f>
        <v/>
      </c>
    </row>
    <row r="4280">
      <c r="M4280" s="14">
        <f>_xlfn.BETA.INV($AA4280,1+4*($D$5-$C$5)/($E$5-$C$5),1+4*($E$5-$D$5)/($E$5-$C$5),$C$5,$E$5)</f>
        <v/>
      </c>
      <c r="N4280" s="14">
        <f>IF($AB4280&lt;($D$6-$C$6)/($E$6-$C$6),$C$6+SQRT($AB4280*($E$6-$C$6)*($D$6-$C$6)),$E$6-SQRT((1-$AB4280)*($E$6-$C$6)*($E$6-$D$6)))</f>
        <v/>
      </c>
      <c r="O4280" s="14">
        <f>_xlfn.NORM.INV($AC4280,$C$7,$D$7)</f>
        <v/>
      </c>
      <c r="P4280" s="14">
        <f>$C$8+($D$8-$C$8)*$AD4280</f>
        <v/>
      </c>
      <c r="Q4280" s="14">
        <f>$C$9</f>
        <v/>
      </c>
      <c r="R4280" s="14">
        <f>_xlfn.LOGNORM.INV($AF4280,LN($C$10)-0.5*LN(1+($D$10/$C$10)^2),SQRT(LN(1+($D$10/$C$10)^2)))</f>
        <v/>
      </c>
      <c r="S4280" s="14">
        <f>SUM(M4280:R4280)</f>
        <v/>
      </c>
      <c r="AA4280">
        <f>RAND()</f>
        <v/>
      </c>
      <c r="AB4280">
        <f>RAND()</f>
        <v/>
      </c>
      <c r="AC4280">
        <f>RAND()</f>
        <v/>
      </c>
      <c r="AD4280">
        <f>RAND()</f>
        <v/>
      </c>
      <c r="AE4280">
        <f>RAND()</f>
        <v/>
      </c>
      <c r="AF4280">
        <f>RAND()</f>
        <v/>
      </c>
    </row>
    <row r="4281">
      <c r="M4281" s="14">
        <f>_xlfn.BETA.INV($AA4281,1+4*($D$5-$C$5)/($E$5-$C$5),1+4*($E$5-$D$5)/($E$5-$C$5),$C$5,$E$5)</f>
        <v/>
      </c>
      <c r="N4281" s="14">
        <f>IF($AB4281&lt;($D$6-$C$6)/($E$6-$C$6),$C$6+SQRT($AB4281*($E$6-$C$6)*($D$6-$C$6)),$E$6-SQRT((1-$AB4281)*($E$6-$C$6)*($E$6-$D$6)))</f>
        <v/>
      </c>
      <c r="O4281" s="14">
        <f>_xlfn.NORM.INV($AC4281,$C$7,$D$7)</f>
        <v/>
      </c>
      <c r="P4281" s="14">
        <f>$C$8+($D$8-$C$8)*$AD4281</f>
        <v/>
      </c>
      <c r="Q4281" s="14">
        <f>$C$9</f>
        <v/>
      </c>
      <c r="R4281" s="14">
        <f>_xlfn.LOGNORM.INV($AF4281,LN($C$10)-0.5*LN(1+($D$10/$C$10)^2),SQRT(LN(1+($D$10/$C$10)^2)))</f>
        <v/>
      </c>
      <c r="S4281" s="14">
        <f>SUM(M4281:R4281)</f>
        <v/>
      </c>
      <c r="AA4281">
        <f>RAND()</f>
        <v/>
      </c>
      <c r="AB4281">
        <f>RAND()</f>
        <v/>
      </c>
      <c r="AC4281">
        <f>RAND()</f>
        <v/>
      </c>
      <c r="AD4281">
        <f>RAND()</f>
        <v/>
      </c>
      <c r="AE4281">
        <f>RAND()</f>
        <v/>
      </c>
      <c r="AF4281">
        <f>RAND()</f>
        <v/>
      </c>
    </row>
    <row r="4282">
      <c r="M4282" s="14">
        <f>_xlfn.BETA.INV($AA4282,1+4*($D$5-$C$5)/($E$5-$C$5),1+4*($E$5-$D$5)/($E$5-$C$5),$C$5,$E$5)</f>
        <v/>
      </c>
      <c r="N4282" s="14">
        <f>IF($AB4282&lt;($D$6-$C$6)/($E$6-$C$6),$C$6+SQRT($AB4282*($E$6-$C$6)*($D$6-$C$6)),$E$6-SQRT((1-$AB4282)*($E$6-$C$6)*($E$6-$D$6)))</f>
        <v/>
      </c>
      <c r="O4282" s="14">
        <f>_xlfn.NORM.INV($AC4282,$C$7,$D$7)</f>
        <v/>
      </c>
      <c r="P4282" s="14">
        <f>$C$8+($D$8-$C$8)*$AD4282</f>
        <v/>
      </c>
      <c r="Q4282" s="14">
        <f>$C$9</f>
        <v/>
      </c>
      <c r="R4282" s="14">
        <f>_xlfn.LOGNORM.INV($AF4282,LN($C$10)-0.5*LN(1+($D$10/$C$10)^2),SQRT(LN(1+($D$10/$C$10)^2)))</f>
        <v/>
      </c>
      <c r="S4282" s="14">
        <f>SUM(M4282:R4282)</f>
        <v/>
      </c>
      <c r="AA4282">
        <f>RAND()</f>
        <v/>
      </c>
      <c r="AB4282">
        <f>RAND()</f>
        <v/>
      </c>
      <c r="AC4282">
        <f>RAND()</f>
        <v/>
      </c>
      <c r="AD4282">
        <f>RAND()</f>
        <v/>
      </c>
      <c r="AE4282">
        <f>RAND()</f>
        <v/>
      </c>
      <c r="AF4282">
        <f>RAND()</f>
        <v/>
      </c>
    </row>
    <row r="4283">
      <c r="M4283" s="14">
        <f>_xlfn.BETA.INV($AA4283,1+4*($D$5-$C$5)/($E$5-$C$5),1+4*($E$5-$D$5)/($E$5-$C$5),$C$5,$E$5)</f>
        <v/>
      </c>
      <c r="N4283" s="14">
        <f>IF($AB4283&lt;($D$6-$C$6)/($E$6-$C$6),$C$6+SQRT($AB4283*($E$6-$C$6)*($D$6-$C$6)),$E$6-SQRT((1-$AB4283)*($E$6-$C$6)*($E$6-$D$6)))</f>
        <v/>
      </c>
      <c r="O4283" s="14">
        <f>_xlfn.NORM.INV($AC4283,$C$7,$D$7)</f>
        <v/>
      </c>
      <c r="P4283" s="14">
        <f>$C$8+($D$8-$C$8)*$AD4283</f>
        <v/>
      </c>
      <c r="Q4283" s="14">
        <f>$C$9</f>
        <v/>
      </c>
      <c r="R4283" s="14">
        <f>_xlfn.LOGNORM.INV($AF4283,LN($C$10)-0.5*LN(1+($D$10/$C$10)^2),SQRT(LN(1+($D$10/$C$10)^2)))</f>
        <v/>
      </c>
      <c r="S4283" s="14">
        <f>SUM(M4283:R4283)</f>
        <v/>
      </c>
      <c r="AA4283">
        <f>RAND()</f>
        <v/>
      </c>
      <c r="AB4283">
        <f>RAND()</f>
        <v/>
      </c>
      <c r="AC4283">
        <f>RAND()</f>
        <v/>
      </c>
      <c r="AD4283">
        <f>RAND()</f>
        <v/>
      </c>
      <c r="AE4283">
        <f>RAND()</f>
        <v/>
      </c>
      <c r="AF4283">
        <f>RAND()</f>
        <v/>
      </c>
    </row>
    <row r="4284">
      <c r="M4284" s="14">
        <f>_xlfn.BETA.INV($AA4284,1+4*($D$5-$C$5)/($E$5-$C$5),1+4*($E$5-$D$5)/($E$5-$C$5),$C$5,$E$5)</f>
        <v/>
      </c>
      <c r="N4284" s="14">
        <f>IF($AB4284&lt;($D$6-$C$6)/($E$6-$C$6),$C$6+SQRT($AB4284*($E$6-$C$6)*($D$6-$C$6)),$E$6-SQRT((1-$AB4284)*($E$6-$C$6)*($E$6-$D$6)))</f>
        <v/>
      </c>
      <c r="O4284" s="14">
        <f>_xlfn.NORM.INV($AC4284,$C$7,$D$7)</f>
        <v/>
      </c>
      <c r="P4284" s="14">
        <f>$C$8+($D$8-$C$8)*$AD4284</f>
        <v/>
      </c>
      <c r="Q4284" s="14">
        <f>$C$9</f>
        <v/>
      </c>
      <c r="R4284" s="14">
        <f>_xlfn.LOGNORM.INV($AF4284,LN($C$10)-0.5*LN(1+($D$10/$C$10)^2),SQRT(LN(1+($D$10/$C$10)^2)))</f>
        <v/>
      </c>
      <c r="S4284" s="14">
        <f>SUM(M4284:R4284)</f>
        <v/>
      </c>
      <c r="AA4284">
        <f>RAND()</f>
        <v/>
      </c>
      <c r="AB4284">
        <f>RAND()</f>
        <v/>
      </c>
      <c r="AC4284">
        <f>RAND()</f>
        <v/>
      </c>
      <c r="AD4284">
        <f>RAND()</f>
        <v/>
      </c>
      <c r="AE4284">
        <f>RAND()</f>
        <v/>
      </c>
      <c r="AF4284">
        <f>RAND()</f>
        <v/>
      </c>
    </row>
    <row r="4285">
      <c r="M4285" s="14">
        <f>_xlfn.BETA.INV($AA4285,1+4*($D$5-$C$5)/($E$5-$C$5),1+4*($E$5-$D$5)/($E$5-$C$5),$C$5,$E$5)</f>
        <v/>
      </c>
      <c r="N4285" s="14">
        <f>IF($AB4285&lt;($D$6-$C$6)/($E$6-$C$6),$C$6+SQRT($AB4285*($E$6-$C$6)*($D$6-$C$6)),$E$6-SQRT((1-$AB4285)*($E$6-$C$6)*($E$6-$D$6)))</f>
        <v/>
      </c>
      <c r="O4285" s="14">
        <f>_xlfn.NORM.INV($AC4285,$C$7,$D$7)</f>
        <v/>
      </c>
      <c r="P4285" s="14">
        <f>$C$8+($D$8-$C$8)*$AD4285</f>
        <v/>
      </c>
      <c r="Q4285" s="14">
        <f>$C$9</f>
        <v/>
      </c>
      <c r="R4285" s="14">
        <f>_xlfn.LOGNORM.INV($AF4285,LN($C$10)-0.5*LN(1+($D$10/$C$10)^2),SQRT(LN(1+($D$10/$C$10)^2)))</f>
        <v/>
      </c>
      <c r="S4285" s="14">
        <f>SUM(M4285:R4285)</f>
        <v/>
      </c>
      <c r="AA4285">
        <f>RAND()</f>
        <v/>
      </c>
      <c r="AB4285">
        <f>RAND()</f>
        <v/>
      </c>
      <c r="AC4285">
        <f>RAND()</f>
        <v/>
      </c>
      <c r="AD4285">
        <f>RAND()</f>
        <v/>
      </c>
      <c r="AE4285">
        <f>RAND()</f>
        <v/>
      </c>
      <c r="AF4285">
        <f>RAND()</f>
        <v/>
      </c>
    </row>
    <row r="4286">
      <c r="M4286" s="14">
        <f>_xlfn.BETA.INV($AA4286,1+4*($D$5-$C$5)/($E$5-$C$5),1+4*($E$5-$D$5)/($E$5-$C$5),$C$5,$E$5)</f>
        <v/>
      </c>
      <c r="N4286" s="14">
        <f>IF($AB4286&lt;($D$6-$C$6)/($E$6-$C$6),$C$6+SQRT($AB4286*($E$6-$C$6)*($D$6-$C$6)),$E$6-SQRT((1-$AB4286)*($E$6-$C$6)*($E$6-$D$6)))</f>
        <v/>
      </c>
      <c r="O4286" s="14">
        <f>_xlfn.NORM.INV($AC4286,$C$7,$D$7)</f>
        <v/>
      </c>
      <c r="P4286" s="14">
        <f>$C$8+($D$8-$C$8)*$AD4286</f>
        <v/>
      </c>
      <c r="Q4286" s="14">
        <f>$C$9</f>
        <v/>
      </c>
      <c r="R4286" s="14">
        <f>_xlfn.LOGNORM.INV($AF4286,LN($C$10)-0.5*LN(1+($D$10/$C$10)^2),SQRT(LN(1+($D$10/$C$10)^2)))</f>
        <v/>
      </c>
      <c r="S4286" s="14">
        <f>SUM(M4286:R4286)</f>
        <v/>
      </c>
      <c r="AA4286">
        <f>RAND()</f>
        <v/>
      </c>
      <c r="AB4286">
        <f>RAND()</f>
        <v/>
      </c>
      <c r="AC4286">
        <f>RAND()</f>
        <v/>
      </c>
      <c r="AD4286">
        <f>RAND()</f>
        <v/>
      </c>
      <c r="AE4286">
        <f>RAND()</f>
        <v/>
      </c>
      <c r="AF4286">
        <f>RAND()</f>
        <v/>
      </c>
    </row>
    <row r="4287">
      <c r="M4287" s="14">
        <f>_xlfn.BETA.INV($AA4287,1+4*($D$5-$C$5)/($E$5-$C$5),1+4*($E$5-$D$5)/($E$5-$C$5),$C$5,$E$5)</f>
        <v/>
      </c>
      <c r="N4287" s="14">
        <f>IF($AB4287&lt;($D$6-$C$6)/($E$6-$C$6),$C$6+SQRT($AB4287*($E$6-$C$6)*($D$6-$C$6)),$E$6-SQRT((1-$AB4287)*($E$6-$C$6)*($E$6-$D$6)))</f>
        <v/>
      </c>
      <c r="O4287" s="14">
        <f>_xlfn.NORM.INV($AC4287,$C$7,$D$7)</f>
        <v/>
      </c>
      <c r="P4287" s="14">
        <f>$C$8+($D$8-$C$8)*$AD4287</f>
        <v/>
      </c>
      <c r="Q4287" s="14">
        <f>$C$9</f>
        <v/>
      </c>
      <c r="R4287" s="14">
        <f>_xlfn.LOGNORM.INV($AF4287,LN($C$10)-0.5*LN(1+($D$10/$C$10)^2),SQRT(LN(1+($D$10/$C$10)^2)))</f>
        <v/>
      </c>
      <c r="S4287" s="14">
        <f>SUM(M4287:R4287)</f>
        <v/>
      </c>
      <c r="AA4287">
        <f>RAND()</f>
        <v/>
      </c>
      <c r="AB4287">
        <f>RAND()</f>
        <v/>
      </c>
      <c r="AC4287">
        <f>RAND()</f>
        <v/>
      </c>
      <c r="AD4287">
        <f>RAND()</f>
        <v/>
      </c>
      <c r="AE4287">
        <f>RAND()</f>
        <v/>
      </c>
      <c r="AF4287">
        <f>RAND()</f>
        <v/>
      </c>
    </row>
    <row r="4288">
      <c r="M4288" s="14">
        <f>_xlfn.BETA.INV($AA4288,1+4*($D$5-$C$5)/($E$5-$C$5),1+4*($E$5-$D$5)/($E$5-$C$5),$C$5,$E$5)</f>
        <v/>
      </c>
      <c r="N4288" s="14">
        <f>IF($AB4288&lt;($D$6-$C$6)/($E$6-$C$6),$C$6+SQRT($AB4288*($E$6-$C$6)*($D$6-$C$6)),$E$6-SQRT((1-$AB4288)*($E$6-$C$6)*($E$6-$D$6)))</f>
        <v/>
      </c>
      <c r="O4288" s="14">
        <f>_xlfn.NORM.INV($AC4288,$C$7,$D$7)</f>
        <v/>
      </c>
      <c r="P4288" s="14">
        <f>$C$8+($D$8-$C$8)*$AD4288</f>
        <v/>
      </c>
      <c r="Q4288" s="14">
        <f>$C$9</f>
        <v/>
      </c>
      <c r="R4288" s="14">
        <f>_xlfn.LOGNORM.INV($AF4288,LN($C$10)-0.5*LN(1+($D$10/$C$10)^2),SQRT(LN(1+($D$10/$C$10)^2)))</f>
        <v/>
      </c>
      <c r="S4288" s="14">
        <f>SUM(M4288:R4288)</f>
        <v/>
      </c>
      <c r="AA4288">
        <f>RAND()</f>
        <v/>
      </c>
      <c r="AB4288">
        <f>RAND()</f>
        <v/>
      </c>
      <c r="AC4288">
        <f>RAND()</f>
        <v/>
      </c>
      <c r="AD4288">
        <f>RAND()</f>
        <v/>
      </c>
      <c r="AE4288">
        <f>RAND()</f>
        <v/>
      </c>
      <c r="AF4288">
        <f>RAND()</f>
        <v/>
      </c>
    </row>
    <row r="4289">
      <c r="M4289" s="14">
        <f>_xlfn.BETA.INV($AA4289,1+4*($D$5-$C$5)/($E$5-$C$5),1+4*($E$5-$D$5)/($E$5-$C$5),$C$5,$E$5)</f>
        <v/>
      </c>
      <c r="N4289" s="14">
        <f>IF($AB4289&lt;($D$6-$C$6)/($E$6-$C$6),$C$6+SQRT($AB4289*($E$6-$C$6)*($D$6-$C$6)),$E$6-SQRT((1-$AB4289)*($E$6-$C$6)*($E$6-$D$6)))</f>
        <v/>
      </c>
      <c r="O4289" s="14">
        <f>_xlfn.NORM.INV($AC4289,$C$7,$D$7)</f>
        <v/>
      </c>
      <c r="P4289" s="14">
        <f>$C$8+($D$8-$C$8)*$AD4289</f>
        <v/>
      </c>
      <c r="Q4289" s="14">
        <f>$C$9</f>
        <v/>
      </c>
      <c r="R4289" s="14">
        <f>_xlfn.LOGNORM.INV($AF4289,LN($C$10)-0.5*LN(1+($D$10/$C$10)^2),SQRT(LN(1+($D$10/$C$10)^2)))</f>
        <v/>
      </c>
      <c r="S4289" s="14">
        <f>SUM(M4289:R4289)</f>
        <v/>
      </c>
      <c r="AA4289">
        <f>RAND()</f>
        <v/>
      </c>
      <c r="AB4289">
        <f>RAND()</f>
        <v/>
      </c>
      <c r="AC4289">
        <f>RAND()</f>
        <v/>
      </c>
      <c r="AD4289">
        <f>RAND()</f>
        <v/>
      </c>
      <c r="AE4289">
        <f>RAND()</f>
        <v/>
      </c>
      <c r="AF4289">
        <f>RAND()</f>
        <v/>
      </c>
    </row>
    <row r="4290">
      <c r="M4290" s="14">
        <f>_xlfn.BETA.INV($AA4290,1+4*($D$5-$C$5)/($E$5-$C$5),1+4*($E$5-$D$5)/($E$5-$C$5),$C$5,$E$5)</f>
        <v/>
      </c>
      <c r="N4290" s="14">
        <f>IF($AB4290&lt;($D$6-$C$6)/($E$6-$C$6),$C$6+SQRT($AB4290*($E$6-$C$6)*($D$6-$C$6)),$E$6-SQRT((1-$AB4290)*($E$6-$C$6)*($E$6-$D$6)))</f>
        <v/>
      </c>
      <c r="O4290" s="14">
        <f>_xlfn.NORM.INV($AC4290,$C$7,$D$7)</f>
        <v/>
      </c>
      <c r="P4290" s="14">
        <f>$C$8+($D$8-$C$8)*$AD4290</f>
        <v/>
      </c>
      <c r="Q4290" s="14">
        <f>$C$9</f>
        <v/>
      </c>
      <c r="R4290" s="14">
        <f>_xlfn.LOGNORM.INV($AF4290,LN($C$10)-0.5*LN(1+($D$10/$C$10)^2),SQRT(LN(1+($D$10/$C$10)^2)))</f>
        <v/>
      </c>
      <c r="S4290" s="14">
        <f>SUM(M4290:R4290)</f>
        <v/>
      </c>
      <c r="AA4290">
        <f>RAND()</f>
        <v/>
      </c>
      <c r="AB4290">
        <f>RAND()</f>
        <v/>
      </c>
      <c r="AC4290">
        <f>RAND()</f>
        <v/>
      </c>
      <c r="AD4290">
        <f>RAND()</f>
        <v/>
      </c>
      <c r="AE4290">
        <f>RAND()</f>
        <v/>
      </c>
      <c r="AF4290">
        <f>RAND()</f>
        <v/>
      </c>
    </row>
    <row r="4291">
      <c r="M4291" s="14">
        <f>_xlfn.BETA.INV($AA4291,1+4*($D$5-$C$5)/($E$5-$C$5),1+4*($E$5-$D$5)/($E$5-$C$5),$C$5,$E$5)</f>
        <v/>
      </c>
      <c r="N4291" s="14">
        <f>IF($AB4291&lt;($D$6-$C$6)/($E$6-$C$6),$C$6+SQRT($AB4291*($E$6-$C$6)*($D$6-$C$6)),$E$6-SQRT((1-$AB4291)*($E$6-$C$6)*($E$6-$D$6)))</f>
        <v/>
      </c>
      <c r="O4291" s="14">
        <f>_xlfn.NORM.INV($AC4291,$C$7,$D$7)</f>
        <v/>
      </c>
      <c r="P4291" s="14">
        <f>$C$8+($D$8-$C$8)*$AD4291</f>
        <v/>
      </c>
      <c r="Q4291" s="14">
        <f>$C$9</f>
        <v/>
      </c>
      <c r="R4291" s="14">
        <f>_xlfn.LOGNORM.INV($AF4291,LN($C$10)-0.5*LN(1+($D$10/$C$10)^2),SQRT(LN(1+($D$10/$C$10)^2)))</f>
        <v/>
      </c>
      <c r="S4291" s="14">
        <f>SUM(M4291:R4291)</f>
        <v/>
      </c>
      <c r="AA4291">
        <f>RAND()</f>
        <v/>
      </c>
      <c r="AB4291">
        <f>RAND()</f>
        <v/>
      </c>
      <c r="AC4291">
        <f>RAND()</f>
        <v/>
      </c>
      <c r="AD4291">
        <f>RAND()</f>
        <v/>
      </c>
      <c r="AE4291">
        <f>RAND()</f>
        <v/>
      </c>
      <c r="AF4291">
        <f>RAND()</f>
        <v/>
      </c>
    </row>
    <row r="4292">
      <c r="M4292" s="14">
        <f>_xlfn.BETA.INV($AA4292,1+4*($D$5-$C$5)/($E$5-$C$5),1+4*($E$5-$D$5)/($E$5-$C$5),$C$5,$E$5)</f>
        <v/>
      </c>
      <c r="N4292" s="14">
        <f>IF($AB4292&lt;($D$6-$C$6)/($E$6-$C$6),$C$6+SQRT($AB4292*($E$6-$C$6)*($D$6-$C$6)),$E$6-SQRT((1-$AB4292)*($E$6-$C$6)*($E$6-$D$6)))</f>
        <v/>
      </c>
      <c r="O4292" s="14">
        <f>_xlfn.NORM.INV($AC4292,$C$7,$D$7)</f>
        <v/>
      </c>
      <c r="P4292" s="14">
        <f>$C$8+($D$8-$C$8)*$AD4292</f>
        <v/>
      </c>
      <c r="Q4292" s="14">
        <f>$C$9</f>
        <v/>
      </c>
      <c r="R4292" s="14">
        <f>_xlfn.LOGNORM.INV($AF4292,LN($C$10)-0.5*LN(1+($D$10/$C$10)^2),SQRT(LN(1+($D$10/$C$10)^2)))</f>
        <v/>
      </c>
      <c r="S4292" s="14">
        <f>SUM(M4292:R4292)</f>
        <v/>
      </c>
      <c r="AA4292">
        <f>RAND()</f>
        <v/>
      </c>
      <c r="AB4292">
        <f>RAND()</f>
        <v/>
      </c>
      <c r="AC4292">
        <f>RAND()</f>
        <v/>
      </c>
      <c r="AD4292">
        <f>RAND()</f>
        <v/>
      </c>
      <c r="AE4292">
        <f>RAND()</f>
        <v/>
      </c>
      <c r="AF4292">
        <f>RAND()</f>
        <v/>
      </c>
    </row>
    <row r="4293">
      <c r="M4293" s="14">
        <f>_xlfn.BETA.INV($AA4293,1+4*($D$5-$C$5)/($E$5-$C$5),1+4*($E$5-$D$5)/($E$5-$C$5),$C$5,$E$5)</f>
        <v/>
      </c>
      <c r="N4293" s="14">
        <f>IF($AB4293&lt;($D$6-$C$6)/($E$6-$C$6),$C$6+SQRT($AB4293*($E$6-$C$6)*($D$6-$C$6)),$E$6-SQRT((1-$AB4293)*($E$6-$C$6)*($E$6-$D$6)))</f>
        <v/>
      </c>
      <c r="O4293" s="14">
        <f>_xlfn.NORM.INV($AC4293,$C$7,$D$7)</f>
        <v/>
      </c>
      <c r="P4293" s="14">
        <f>$C$8+($D$8-$C$8)*$AD4293</f>
        <v/>
      </c>
      <c r="Q4293" s="14">
        <f>$C$9</f>
        <v/>
      </c>
      <c r="R4293" s="14">
        <f>_xlfn.LOGNORM.INV($AF4293,LN($C$10)-0.5*LN(1+($D$10/$C$10)^2),SQRT(LN(1+($D$10/$C$10)^2)))</f>
        <v/>
      </c>
      <c r="S4293" s="14">
        <f>SUM(M4293:R4293)</f>
        <v/>
      </c>
      <c r="AA4293">
        <f>RAND()</f>
        <v/>
      </c>
      <c r="AB4293">
        <f>RAND()</f>
        <v/>
      </c>
      <c r="AC4293">
        <f>RAND()</f>
        <v/>
      </c>
      <c r="AD4293">
        <f>RAND()</f>
        <v/>
      </c>
      <c r="AE4293">
        <f>RAND()</f>
        <v/>
      </c>
      <c r="AF4293">
        <f>RAND()</f>
        <v/>
      </c>
    </row>
    <row r="4294">
      <c r="M4294" s="14">
        <f>_xlfn.BETA.INV($AA4294,1+4*($D$5-$C$5)/($E$5-$C$5),1+4*($E$5-$D$5)/($E$5-$C$5),$C$5,$E$5)</f>
        <v/>
      </c>
      <c r="N4294" s="14">
        <f>IF($AB4294&lt;($D$6-$C$6)/($E$6-$C$6),$C$6+SQRT($AB4294*($E$6-$C$6)*($D$6-$C$6)),$E$6-SQRT((1-$AB4294)*($E$6-$C$6)*($E$6-$D$6)))</f>
        <v/>
      </c>
      <c r="O4294" s="14">
        <f>_xlfn.NORM.INV($AC4294,$C$7,$D$7)</f>
        <v/>
      </c>
      <c r="P4294" s="14">
        <f>$C$8+($D$8-$C$8)*$AD4294</f>
        <v/>
      </c>
      <c r="Q4294" s="14">
        <f>$C$9</f>
        <v/>
      </c>
      <c r="R4294" s="14">
        <f>_xlfn.LOGNORM.INV($AF4294,LN($C$10)-0.5*LN(1+($D$10/$C$10)^2),SQRT(LN(1+($D$10/$C$10)^2)))</f>
        <v/>
      </c>
      <c r="S4294" s="14">
        <f>SUM(M4294:R4294)</f>
        <v/>
      </c>
      <c r="AA4294">
        <f>RAND()</f>
        <v/>
      </c>
      <c r="AB4294">
        <f>RAND()</f>
        <v/>
      </c>
      <c r="AC4294">
        <f>RAND()</f>
        <v/>
      </c>
      <c r="AD4294">
        <f>RAND()</f>
        <v/>
      </c>
      <c r="AE4294">
        <f>RAND()</f>
        <v/>
      </c>
      <c r="AF4294">
        <f>RAND()</f>
        <v/>
      </c>
    </row>
    <row r="4295">
      <c r="M4295" s="14">
        <f>_xlfn.BETA.INV($AA4295,1+4*($D$5-$C$5)/($E$5-$C$5),1+4*($E$5-$D$5)/($E$5-$C$5),$C$5,$E$5)</f>
        <v/>
      </c>
      <c r="N4295" s="14">
        <f>IF($AB4295&lt;($D$6-$C$6)/($E$6-$C$6),$C$6+SQRT($AB4295*($E$6-$C$6)*($D$6-$C$6)),$E$6-SQRT((1-$AB4295)*($E$6-$C$6)*($E$6-$D$6)))</f>
        <v/>
      </c>
      <c r="O4295" s="14">
        <f>_xlfn.NORM.INV($AC4295,$C$7,$D$7)</f>
        <v/>
      </c>
      <c r="P4295" s="14">
        <f>$C$8+($D$8-$C$8)*$AD4295</f>
        <v/>
      </c>
      <c r="Q4295" s="14">
        <f>$C$9</f>
        <v/>
      </c>
      <c r="R4295" s="14">
        <f>_xlfn.LOGNORM.INV($AF4295,LN($C$10)-0.5*LN(1+($D$10/$C$10)^2),SQRT(LN(1+($D$10/$C$10)^2)))</f>
        <v/>
      </c>
      <c r="S4295" s="14">
        <f>SUM(M4295:R4295)</f>
        <v/>
      </c>
      <c r="AA4295">
        <f>RAND()</f>
        <v/>
      </c>
      <c r="AB4295">
        <f>RAND()</f>
        <v/>
      </c>
      <c r="AC4295">
        <f>RAND()</f>
        <v/>
      </c>
      <c r="AD4295">
        <f>RAND()</f>
        <v/>
      </c>
      <c r="AE4295">
        <f>RAND()</f>
        <v/>
      </c>
      <c r="AF4295">
        <f>RAND()</f>
        <v/>
      </c>
    </row>
    <row r="4296">
      <c r="M4296" s="14">
        <f>_xlfn.BETA.INV($AA4296,1+4*($D$5-$C$5)/($E$5-$C$5),1+4*($E$5-$D$5)/($E$5-$C$5),$C$5,$E$5)</f>
        <v/>
      </c>
      <c r="N4296" s="14">
        <f>IF($AB4296&lt;($D$6-$C$6)/($E$6-$C$6),$C$6+SQRT($AB4296*($E$6-$C$6)*($D$6-$C$6)),$E$6-SQRT((1-$AB4296)*($E$6-$C$6)*($E$6-$D$6)))</f>
        <v/>
      </c>
      <c r="O4296" s="14">
        <f>_xlfn.NORM.INV($AC4296,$C$7,$D$7)</f>
        <v/>
      </c>
      <c r="P4296" s="14">
        <f>$C$8+($D$8-$C$8)*$AD4296</f>
        <v/>
      </c>
      <c r="Q4296" s="14">
        <f>$C$9</f>
        <v/>
      </c>
      <c r="R4296" s="14">
        <f>_xlfn.LOGNORM.INV($AF4296,LN($C$10)-0.5*LN(1+($D$10/$C$10)^2),SQRT(LN(1+($D$10/$C$10)^2)))</f>
        <v/>
      </c>
      <c r="S4296" s="14">
        <f>SUM(M4296:R4296)</f>
        <v/>
      </c>
      <c r="AA4296">
        <f>RAND()</f>
        <v/>
      </c>
      <c r="AB4296">
        <f>RAND()</f>
        <v/>
      </c>
      <c r="AC4296">
        <f>RAND()</f>
        <v/>
      </c>
      <c r="AD4296">
        <f>RAND()</f>
        <v/>
      </c>
      <c r="AE4296">
        <f>RAND()</f>
        <v/>
      </c>
      <c r="AF4296">
        <f>RAND()</f>
        <v/>
      </c>
    </row>
    <row r="4297">
      <c r="M4297" s="14">
        <f>_xlfn.BETA.INV($AA4297,1+4*($D$5-$C$5)/($E$5-$C$5),1+4*($E$5-$D$5)/($E$5-$C$5),$C$5,$E$5)</f>
        <v/>
      </c>
      <c r="N4297" s="14">
        <f>IF($AB4297&lt;($D$6-$C$6)/($E$6-$C$6),$C$6+SQRT($AB4297*($E$6-$C$6)*($D$6-$C$6)),$E$6-SQRT((1-$AB4297)*($E$6-$C$6)*($E$6-$D$6)))</f>
        <v/>
      </c>
      <c r="O4297" s="14">
        <f>_xlfn.NORM.INV($AC4297,$C$7,$D$7)</f>
        <v/>
      </c>
      <c r="P4297" s="14">
        <f>$C$8+($D$8-$C$8)*$AD4297</f>
        <v/>
      </c>
      <c r="Q4297" s="14">
        <f>$C$9</f>
        <v/>
      </c>
      <c r="R4297" s="14">
        <f>_xlfn.LOGNORM.INV($AF4297,LN($C$10)-0.5*LN(1+($D$10/$C$10)^2),SQRT(LN(1+($D$10/$C$10)^2)))</f>
        <v/>
      </c>
      <c r="S4297" s="14">
        <f>SUM(M4297:R4297)</f>
        <v/>
      </c>
      <c r="AA4297">
        <f>RAND()</f>
        <v/>
      </c>
      <c r="AB4297">
        <f>RAND()</f>
        <v/>
      </c>
      <c r="AC4297">
        <f>RAND()</f>
        <v/>
      </c>
      <c r="AD4297">
        <f>RAND()</f>
        <v/>
      </c>
      <c r="AE4297">
        <f>RAND()</f>
        <v/>
      </c>
      <c r="AF4297">
        <f>RAND()</f>
        <v/>
      </c>
    </row>
    <row r="4298">
      <c r="M4298" s="14">
        <f>_xlfn.BETA.INV($AA4298,1+4*($D$5-$C$5)/($E$5-$C$5),1+4*($E$5-$D$5)/($E$5-$C$5),$C$5,$E$5)</f>
        <v/>
      </c>
      <c r="N4298" s="14">
        <f>IF($AB4298&lt;($D$6-$C$6)/($E$6-$C$6),$C$6+SQRT($AB4298*($E$6-$C$6)*($D$6-$C$6)),$E$6-SQRT((1-$AB4298)*($E$6-$C$6)*($E$6-$D$6)))</f>
        <v/>
      </c>
      <c r="O4298" s="14">
        <f>_xlfn.NORM.INV($AC4298,$C$7,$D$7)</f>
        <v/>
      </c>
      <c r="P4298" s="14">
        <f>$C$8+($D$8-$C$8)*$AD4298</f>
        <v/>
      </c>
      <c r="Q4298" s="14">
        <f>$C$9</f>
        <v/>
      </c>
      <c r="R4298" s="14">
        <f>_xlfn.LOGNORM.INV($AF4298,LN($C$10)-0.5*LN(1+($D$10/$C$10)^2),SQRT(LN(1+($D$10/$C$10)^2)))</f>
        <v/>
      </c>
      <c r="S4298" s="14">
        <f>SUM(M4298:R4298)</f>
        <v/>
      </c>
      <c r="AA4298">
        <f>RAND()</f>
        <v/>
      </c>
      <c r="AB4298">
        <f>RAND()</f>
        <v/>
      </c>
      <c r="AC4298">
        <f>RAND()</f>
        <v/>
      </c>
      <c r="AD4298">
        <f>RAND()</f>
        <v/>
      </c>
      <c r="AE4298">
        <f>RAND()</f>
        <v/>
      </c>
      <c r="AF4298">
        <f>RAND()</f>
        <v/>
      </c>
    </row>
    <row r="4299">
      <c r="M4299" s="14">
        <f>_xlfn.BETA.INV($AA4299,1+4*($D$5-$C$5)/($E$5-$C$5),1+4*($E$5-$D$5)/($E$5-$C$5),$C$5,$E$5)</f>
        <v/>
      </c>
      <c r="N4299" s="14">
        <f>IF($AB4299&lt;($D$6-$C$6)/($E$6-$C$6),$C$6+SQRT($AB4299*($E$6-$C$6)*($D$6-$C$6)),$E$6-SQRT((1-$AB4299)*($E$6-$C$6)*($E$6-$D$6)))</f>
        <v/>
      </c>
      <c r="O4299" s="14">
        <f>_xlfn.NORM.INV($AC4299,$C$7,$D$7)</f>
        <v/>
      </c>
      <c r="P4299" s="14">
        <f>$C$8+($D$8-$C$8)*$AD4299</f>
        <v/>
      </c>
      <c r="Q4299" s="14">
        <f>$C$9</f>
        <v/>
      </c>
      <c r="R4299" s="14">
        <f>_xlfn.LOGNORM.INV($AF4299,LN($C$10)-0.5*LN(1+($D$10/$C$10)^2),SQRT(LN(1+($D$10/$C$10)^2)))</f>
        <v/>
      </c>
      <c r="S4299" s="14">
        <f>SUM(M4299:R4299)</f>
        <v/>
      </c>
      <c r="AA4299">
        <f>RAND()</f>
        <v/>
      </c>
      <c r="AB4299">
        <f>RAND()</f>
        <v/>
      </c>
      <c r="AC4299">
        <f>RAND()</f>
        <v/>
      </c>
      <c r="AD4299">
        <f>RAND()</f>
        <v/>
      </c>
      <c r="AE4299">
        <f>RAND()</f>
        <v/>
      </c>
      <c r="AF4299">
        <f>RAND()</f>
        <v/>
      </c>
    </row>
    <row r="4300">
      <c r="M4300" s="14">
        <f>_xlfn.BETA.INV($AA4300,1+4*($D$5-$C$5)/($E$5-$C$5),1+4*($E$5-$D$5)/($E$5-$C$5),$C$5,$E$5)</f>
        <v/>
      </c>
      <c r="N4300" s="14">
        <f>IF($AB4300&lt;($D$6-$C$6)/($E$6-$C$6),$C$6+SQRT($AB4300*($E$6-$C$6)*($D$6-$C$6)),$E$6-SQRT((1-$AB4300)*($E$6-$C$6)*($E$6-$D$6)))</f>
        <v/>
      </c>
      <c r="O4300" s="14">
        <f>_xlfn.NORM.INV($AC4300,$C$7,$D$7)</f>
        <v/>
      </c>
      <c r="P4300" s="14">
        <f>$C$8+($D$8-$C$8)*$AD4300</f>
        <v/>
      </c>
      <c r="Q4300" s="14">
        <f>$C$9</f>
        <v/>
      </c>
      <c r="R4300" s="14">
        <f>_xlfn.LOGNORM.INV($AF4300,LN($C$10)-0.5*LN(1+($D$10/$C$10)^2),SQRT(LN(1+($D$10/$C$10)^2)))</f>
        <v/>
      </c>
      <c r="S4300" s="14">
        <f>SUM(M4300:R4300)</f>
        <v/>
      </c>
      <c r="AA4300">
        <f>RAND()</f>
        <v/>
      </c>
      <c r="AB4300">
        <f>RAND()</f>
        <v/>
      </c>
      <c r="AC4300">
        <f>RAND()</f>
        <v/>
      </c>
      <c r="AD4300">
        <f>RAND()</f>
        <v/>
      </c>
      <c r="AE4300">
        <f>RAND()</f>
        <v/>
      </c>
      <c r="AF4300">
        <f>RAND()</f>
        <v/>
      </c>
    </row>
    <row r="4301">
      <c r="M4301" s="14">
        <f>_xlfn.BETA.INV($AA4301,1+4*($D$5-$C$5)/($E$5-$C$5),1+4*($E$5-$D$5)/($E$5-$C$5),$C$5,$E$5)</f>
        <v/>
      </c>
      <c r="N4301" s="14">
        <f>IF($AB4301&lt;($D$6-$C$6)/($E$6-$C$6),$C$6+SQRT($AB4301*($E$6-$C$6)*($D$6-$C$6)),$E$6-SQRT((1-$AB4301)*($E$6-$C$6)*($E$6-$D$6)))</f>
        <v/>
      </c>
      <c r="O4301" s="14">
        <f>_xlfn.NORM.INV($AC4301,$C$7,$D$7)</f>
        <v/>
      </c>
      <c r="P4301" s="14">
        <f>$C$8+($D$8-$C$8)*$AD4301</f>
        <v/>
      </c>
      <c r="Q4301" s="14">
        <f>$C$9</f>
        <v/>
      </c>
      <c r="R4301" s="14">
        <f>_xlfn.LOGNORM.INV($AF4301,LN($C$10)-0.5*LN(1+($D$10/$C$10)^2),SQRT(LN(1+($D$10/$C$10)^2)))</f>
        <v/>
      </c>
      <c r="S4301" s="14">
        <f>SUM(M4301:R4301)</f>
        <v/>
      </c>
      <c r="AA4301">
        <f>RAND()</f>
        <v/>
      </c>
      <c r="AB4301">
        <f>RAND()</f>
        <v/>
      </c>
      <c r="AC4301">
        <f>RAND()</f>
        <v/>
      </c>
      <c r="AD4301">
        <f>RAND()</f>
        <v/>
      </c>
      <c r="AE4301">
        <f>RAND()</f>
        <v/>
      </c>
      <c r="AF4301">
        <f>RAND()</f>
        <v/>
      </c>
    </row>
    <row r="4302">
      <c r="M4302" s="14">
        <f>_xlfn.BETA.INV($AA4302,1+4*($D$5-$C$5)/($E$5-$C$5),1+4*($E$5-$D$5)/($E$5-$C$5),$C$5,$E$5)</f>
        <v/>
      </c>
      <c r="N4302" s="14">
        <f>IF($AB4302&lt;($D$6-$C$6)/($E$6-$C$6),$C$6+SQRT($AB4302*($E$6-$C$6)*($D$6-$C$6)),$E$6-SQRT((1-$AB4302)*($E$6-$C$6)*($E$6-$D$6)))</f>
        <v/>
      </c>
      <c r="O4302" s="14">
        <f>_xlfn.NORM.INV($AC4302,$C$7,$D$7)</f>
        <v/>
      </c>
      <c r="P4302" s="14">
        <f>$C$8+($D$8-$C$8)*$AD4302</f>
        <v/>
      </c>
      <c r="Q4302" s="14">
        <f>$C$9</f>
        <v/>
      </c>
      <c r="R4302" s="14">
        <f>_xlfn.LOGNORM.INV($AF4302,LN($C$10)-0.5*LN(1+($D$10/$C$10)^2),SQRT(LN(1+($D$10/$C$10)^2)))</f>
        <v/>
      </c>
      <c r="S4302" s="14">
        <f>SUM(M4302:R4302)</f>
        <v/>
      </c>
      <c r="AA4302">
        <f>RAND()</f>
        <v/>
      </c>
      <c r="AB4302">
        <f>RAND()</f>
        <v/>
      </c>
      <c r="AC4302">
        <f>RAND()</f>
        <v/>
      </c>
      <c r="AD4302">
        <f>RAND()</f>
        <v/>
      </c>
      <c r="AE4302">
        <f>RAND()</f>
        <v/>
      </c>
      <c r="AF4302">
        <f>RAND()</f>
        <v/>
      </c>
    </row>
    <row r="4303">
      <c r="M4303" s="14">
        <f>_xlfn.BETA.INV($AA4303,1+4*($D$5-$C$5)/($E$5-$C$5),1+4*($E$5-$D$5)/($E$5-$C$5),$C$5,$E$5)</f>
        <v/>
      </c>
      <c r="N4303" s="14">
        <f>IF($AB4303&lt;($D$6-$C$6)/($E$6-$C$6),$C$6+SQRT($AB4303*($E$6-$C$6)*($D$6-$C$6)),$E$6-SQRT((1-$AB4303)*($E$6-$C$6)*($E$6-$D$6)))</f>
        <v/>
      </c>
      <c r="O4303" s="14">
        <f>_xlfn.NORM.INV($AC4303,$C$7,$D$7)</f>
        <v/>
      </c>
      <c r="P4303" s="14">
        <f>$C$8+($D$8-$C$8)*$AD4303</f>
        <v/>
      </c>
      <c r="Q4303" s="14">
        <f>$C$9</f>
        <v/>
      </c>
      <c r="R4303" s="14">
        <f>_xlfn.LOGNORM.INV($AF4303,LN($C$10)-0.5*LN(1+($D$10/$C$10)^2),SQRT(LN(1+($D$10/$C$10)^2)))</f>
        <v/>
      </c>
      <c r="S4303" s="14">
        <f>SUM(M4303:R4303)</f>
        <v/>
      </c>
      <c r="AA4303">
        <f>RAND()</f>
        <v/>
      </c>
      <c r="AB4303">
        <f>RAND()</f>
        <v/>
      </c>
      <c r="AC4303">
        <f>RAND()</f>
        <v/>
      </c>
      <c r="AD4303">
        <f>RAND()</f>
        <v/>
      </c>
      <c r="AE4303">
        <f>RAND()</f>
        <v/>
      </c>
      <c r="AF4303">
        <f>RAND()</f>
        <v/>
      </c>
    </row>
    <row r="4304">
      <c r="M4304" s="14">
        <f>_xlfn.BETA.INV($AA4304,1+4*($D$5-$C$5)/($E$5-$C$5),1+4*($E$5-$D$5)/($E$5-$C$5),$C$5,$E$5)</f>
        <v/>
      </c>
      <c r="N4304" s="14">
        <f>IF($AB4304&lt;($D$6-$C$6)/($E$6-$C$6),$C$6+SQRT($AB4304*($E$6-$C$6)*($D$6-$C$6)),$E$6-SQRT((1-$AB4304)*($E$6-$C$6)*($E$6-$D$6)))</f>
        <v/>
      </c>
      <c r="O4304" s="14">
        <f>_xlfn.NORM.INV($AC4304,$C$7,$D$7)</f>
        <v/>
      </c>
      <c r="P4304" s="14">
        <f>$C$8+($D$8-$C$8)*$AD4304</f>
        <v/>
      </c>
      <c r="Q4304" s="14">
        <f>$C$9</f>
        <v/>
      </c>
      <c r="R4304" s="14">
        <f>_xlfn.LOGNORM.INV($AF4304,LN($C$10)-0.5*LN(1+($D$10/$C$10)^2),SQRT(LN(1+($D$10/$C$10)^2)))</f>
        <v/>
      </c>
      <c r="S4304" s="14">
        <f>SUM(M4304:R4304)</f>
        <v/>
      </c>
      <c r="AA4304">
        <f>RAND()</f>
        <v/>
      </c>
      <c r="AB4304">
        <f>RAND()</f>
        <v/>
      </c>
      <c r="AC4304">
        <f>RAND()</f>
        <v/>
      </c>
      <c r="AD4304">
        <f>RAND()</f>
        <v/>
      </c>
      <c r="AE4304">
        <f>RAND()</f>
        <v/>
      </c>
      <c r="AF4304">
        <f>RAND()</f>
        <v/>
      </c>
    </row>
    <row r="4305">
      <c r="M4305" s="14">
        <f>_xlfn.BETA.INV($AA4305,1+4*($D$5-$C$5)/($E$5-$C$5),1+4*($E$5-$D$5)/($E$5-$C$5),$C$5,$E$5)</f>
        <v/>
      </c>
      <c r="N4305" s="14">
        <f>IF($AB4305&lt;($D$6-$C$6)/($E$6-$C$6),$C$6+SQRT($AB4305*($E$6-$C$6)*($D$6-$C$6)),$E$6-SQRT((1-$AB4305)*($E$6-$C$6)*($E$6-$D$6)))</f>
        <v/>
      </c>
      <c r="O4305" s="14">
        <f>_xlfn.NORM.INV($AC4305,$C$7,$D$7)</f>
        <v/>
      </c>
      <c r="P4305" s="14">
        <f>$C$8+($D$8-$C$8)*$AD4305</f>
        <v/>
      </c>
      <c r="Q4305" s="14">
        <f>$C$9</f>
        <v/>
      </c>
      <c r="R4305" s="14">
        <f>_xlfn.LOGNORM.INV($AF4305,LN($C$10)-0.5*LN(1+($D$10/$C$10)^2),SQRT(LN(1+($D$10/$C$10)^2)))</f>
        <v/>
      </c>
      <c r="S4305" s="14">
        <f>SUM(M4305:R4305)</f>
        <v/>
      </c>
      <c r="AA4305">
        <f>RAND()</f>
        <v/>
      </c>
      <c r="AB4305">
        <f>RAND()</f>
        <v/>
      </c>
      <c r="AC4305">
        <f>RAND()</f>
        <v/>
      </c>
      <c r="AD4305">
        <f>RAND()</f>
        <v/>
      </c>
      <c r="AE4305">
        <f>RAND()</f>
        <v/>
      </c>
      <c r="AF4305">
        <f>RAND()</f>
        <v/>
      </c>
    </row>
    <row r="4306">
      <c r="M4306" s="14">
        <f>_xlfn.BETA.INV($AA4306,1+4*($D$5-$C$5)/($E$5-$C$5),1+4*($E$5-$D$5)/($E$5-$C$5),$C$5,$E$5)</f>
        <v/>
      </c>
      <c r="N4306" s="14">
        <f>IF($AB4306&lt;($D$6-$C$6)/($E$6-$C$6),$C$6+SQRT($AB4306*($E$6-$C$6)*($D$6-$C$6)),$E$6-SQRT((1-$AB4306)*($E$6-$C$6)*($E$6-$D$6)))</f>
        <v/>
      </c>
      <c r="O4306" s="14">
        <f>_xlfn.NORM.INV($AC4306,$C$7,$D$7)</f>
        <v/>
      </c>
      <c r="P4306" s="14">
        <f>$C$8+($D$8-$C$8)*$AD4306</f>
        <v/>
      </c>
      <c r="Q4306" s="14">
        <f>$C$9</f>
        <v/>
      </c>
      <c r="R4306" s="14">
        <f>_xlfn.LOGNORM.INV($AF4306,LN($C$10)-0.5*LN(1+($D$10/$C$10)^2),SQRT(LN(1+($D$10/$C$10)^2)))</f>
        <v/>
      </c>
      <c r="S4306" s="14">
        <f>SUM(M4306:R4306)</f>
        <v/>
      </c>
      <c r="AA4306">
        <f>RAND()</f>
        <v/>
      </c>
      <c r="AB4306">
        <f>RAND()</f>
        <v/>
      </c>
      <c r="AC4306">
        <f>RAND()</f>
        <v/>
      </c>
      <c r="AD4306">
        <f>RAND()</f>
        <v/>
      </c>
      <c r="AE4306">
        <f>RAND()</f>
        <v/>
      </c>
      <c r="AF4306">
        <f>RAND()</f>
        <v/>
      </c>
    </row>
    <row r="4307">
      <c r="M4307" s="14">
        <f>_xlfn.BETA.INV($AA4307,1+4*($D$5-$C$5)/($E$5-$C$5),1+4*($E$5-$D$5)/($E$5-$C$5),$C$5,$E$5)</f>
        <v/>
      </c>
      <c r="N4307" s="14">
        <f>IF($AB4307&lt;($D$6-$C$6)/($E$6-$C$6),$C$6+SQRT($AB4307*($E$6-$C$6)*($D$6-$C$6)),$E$6-SQRT((1-$AB4307)*($E$6-$C$6)*($E$6-$D$6)))</f>
        <v/>
      </c>
      <c r="O4307" s="14">
        <f>_xlfn.NORM.INV($AC4307,$C$7,$D$7)</f>
        <v/>
      </c>
      <c r="P4307" s="14">
        <f>$C$8+($D$8-$C$8)*$AD4307</f>
        <v/>
      </c>
      <c r="Q4307" s="14">
        <f>$C$9</f>
        <v/>
      </c>
      <c r="R4307" s="14">
        <f>_xlfn.LOGNORM.INV($AF4307,LN($C$10)-0.5*LN(1+($D$10/$C$10)^2),SQRT(LN(1+($D$10/$C$10)^2)))</f>
        <v/>
      </c>
      <c r="S4307" s="14">
        <f>SUM(M4307:R4307)</f>
        <v/>
      </c>
      <c r="AA4307">
        <f>RAND()</f>
        <v/>
      </c>
      <c r="AB4307">
        <f>RAND()</f>
        <v/>
      </c>
      <c r="AC4307">
        <f>RAND()</f>
        <v/>
      </c>
      <c r="AD4307">
        <f>RAND()</f>
        <v/>
      </c>
      <c r="AE4307">
        <f>RAND()</f>
        <v/>
      </c>
      <c r="AF4307">
        <f>RAND()</f>
        <v/>
      </c>
    </row>
    <row r="4308">
      <c r="M4308" s="14">
        <f>_xlfn.BETA.INV($AA4308,1+4*($D$5-$C$5)/($E$5-$C$5),1+4*($E$5-$D$5)/($E$5-$C$5),$C$5,$E$5)</f>
        <v/>
      </c>
      <c r="N4308" s="14">
        <f>IF($AB4308&lt;($D$6-$C$6)/($E$6-$C$6),$C$6+SQRT($AB4308*($E$6-$C$6)*($D$6-$C$6)),$E$6-SQRT((1-$AB4308)*($E$6-$C$6)*($E$6-$D$6)))</f>
        <v/>
      </c>
      <c r="O4308" s="14">
        <f>_xlfn.NORM.INV($AC4308,$C$7,$D$7)</f>
        <v/>
      </c>
      <c r="P4308" s="14">
        <f>$C$8+($D$8-$C$8)*$AD4308</f>
        <v/>
      </c>
      <c r="Q4308" s="14">
        <f>$C$9</f>
        <v/>
      </c>
      <c r="R4308" s="14">
        <f>_xlfn.LOGNORM.INV($AF4308,LN($C$10)-0.5*LN(1+($D$10/$C$10)^2),SQRT(LN(1+($D$10/$C$10)^2)))</f>
        <v/>
      </c>
      <c r="S4308" s="14">
        <f>SUM(M4308:R4308)</f>
        <v/>
      </c>
      <c r="AA4308">
        <f>RAND()</f>
        <v/>
      </c>
      <c r="AB4308">
        <f>RAND()</f>
        <v/>
      </c>
      <c r="AC4308">
        <f>RAND()</f>
        <v/>
      </c>
      <c r="AD4308">
        <f>RAND()</f>
        <v/>
      </c>
      <c r="AE4308">
        <f>RAND()</f>
        <v/>
      </c>
      <c r="AF4308">
        <f>RAND()</f>
        <v/>
      </c>
    </row>
    <row r="4309">
      <c r="M4309" s="14">
        <f>_xlfn.BETA.INV($AA4309,1+4*($D$5-$C$5)/($E$5-$C$5),1+4*($E$5-$D$5)/($E$5-$C$5),$C$5,$E$5)</f>
        <v/>
      </c>
      <c r="N4309" s="14">
        <f>IF($AB4309&lt;($D$6-$C$6)/($E$6-$C$6),$C$6+SQRT($AB4309*($E$6-$C$6)*($D$6-$C$6)),$E$6-SQRT((1-$AB4309)*($E$6-$C$6)*($E$6-$D$6)))</f>
        <v/>
      </c>
      <c r="O4309" s="14">
        <f>_xlfn.NORM.INV($AC4309,$C$7,$D$7)</f>
        <v/>
      </c>
      <c r="P4309" s="14">
        <f>$C$8+($D$8-$C$8)*$AD4309</f>
        <v/>
      </c>
      <c r="Q4309" s="14">
        <f>$C$9</f>
        <v/>
      </c>
      <c r="R4309" s="14">
        <f>_xlfn.LOGNORM.INV($AF4309,LN($C$10)-0.5*LN(1+($D$10/$C$10)^2),SQRT(LN(1+($D$10/$C$10)^2)))</f>
        <v/>
      </c>
      <c r="S4309" s="14">
        <f>SUM(M4309:R4309)</f>
        <v/>
      </c>
      <c r="AA4309">
        <f>RAND()</f>
        <v/>
      </c>
      <c r="AB4309">
        <f>RAND()</f>
        <v/>
      </c>
      <c r="AC4309">
        <f>RAND()</f>
        <v/>
      </c>
      <c r="AD4309">
        <f>RAND()</f>
        <v/>
      </c>
      <c r="AE4309">
        <f>RAND()</f>
        <v/>
      </c>
      <c r="AF4309">
        <f>RAND()</f>
        <v/>
      </c>
    </row>
    <row r="4310">
      <c r="M4310" s="14">
        <f>_xlfn.BETA.INV($AA4310,1+4*($D$5-$C$5)/($E$5-$C$5),1+4*($E$5-$D$5)/($E$5-$C$5),$C$5,$E$5)</f>
        <v/>
      </c>
      <c r="N4310" s="14">
        <f>IF($AB4310&lt;($D$6-$C$6)/($E$6-$C$6),$C$6+SQRT($AB4310*($E$6-$C$6)*($D$6-$C$6)),$E$6-SQRT((1-$AB4310)*($E$6-$C$6)*($E$6-$D$6)))</f>
        <v/>
      </c>
      <c r="O4310" s="14">
        <f>_xlfn.NORM.INV($AC4310,$C$7,$D$7)</f>
        <v/>
      </c>
      <c r="P4310" s="14">
        <f>$C$8+($D$8-$C$8)*$AD4310</f>
        <v/>
      </c>
      <c r="Q4310" s="14">
        <f>$C$9</f>
        <v/>
      </c>
      <c r="R4310" s="14">
        <f>_xlfn.LOGNORM.INV($AF4310,LN($C$10)-0.5*LN(1+($D$10/$C$10)^2),SQRT(LN(1+($D$10/$C$10)^2)))</f>
        <v/>
      </c>
      <c r="S4310" s="14">
        <f>SUM(M4310:R4310)</f>
        <v/>
      </c>
      <c r="AA4310">
        <f>RAND()</f>
        <v/>
      </c>
      <c r="AB4310">
        <f>RAND()</f>
        <v/>
      </c>
      <c r="AC4310">
        <f>RAND()</f>
        <v/>
      </c>
      <c r="AD4310">
        <f>RAND()</f>
        <v/>
      </c>
      <c r="AE4310">
        <f>RAND()</f>
        <v/>
      </c>
      <c r="AF4310">
        <f>RAND()</f>
        <v/>
      </c>
    </row>
    <row r="4311">
      <c r="M4311" s="14">
        <f>_xlfn.BETA.INV($AA4311,1+4*($D$5-$C$5)/($E$5-$C$5),1+4*($E$5-$D$5)/($E$5-$C$5),$C$5,$E$5)</f>
        <v/>
      </c>
      <c r="N4311" s="14">
        <f>IF($AB4311&lt;($D$6-$C$6)/($E$6-$C$6),$C$6+SQRT($AB4311*($E$6-$C$6)*($D$6-$C$6)),$E$6-SQRT((1-$AB4311)*($E$6-$C$6)*($E$6-$D$6)))</f>
        <v/>
      </c>
      <c r="O4311" s="14">
        <f>_xlfn.NORM.INV($AC4311,$C$7,$D$7)</f>
        <v/>
      </c>
      <c r="P4311" s="14">
        <f>$C$8+($D$8-$C$8)*$AD4311</f>
        <v/>
      </c>
      <c r="Q4311" s="14">
        <f>$C$9</f>
        <v/>
      </c>
      <c r="R4311" s="14">
        <f>_xlfn.LOGNORM.INV($AF4311,LN($C$10)-0.5*LN(1+($D$10/$C$10)^2),SQRT(LN(1+($D$10/$C$10)^2)))</f>
        <v/>
      </c>
      <c r="S4311" s="14">
        <f>SUM(M4311:R4311)</f>
        <v/>
      </c>
      <c r="AA4311">
        <f>RAND()</f>
        <v/>
      </c>
      <c r="AB4311">
        <f>RAND()</f>
        <v/>
      </c>
      <c r="AC4311">
        <f>RAND()</f>
        <v/>
      </c>
      <c r="AD4311">
        <f>RAND()</f>
        <v/>
      </c>
      <c r="AE4311">
        <f>RAND()</f>
        <v/>
      </c>
      <c r="AF4311">
        <f>RAND()</f>
        <v/>
      </c>
    </row>
    <row r="4312">
      <c r="M4312" s="14">
        <f>_xlfn.BETA.INV($AA4312,1+4*($D$5-$C$5)/($E$5-$C$5),1+4*($E$5-$D$5)/($E$5-$C$5),$C$5,$E$5)</f>
        <v/>
      </c>
      <c r="N4312" s="14">
        <f>IF($AB4312&lt;($D$6-$C$6)/($E$6-$C$6),$C$6+SQRT($AB4312*($E$6-$C$6)*($D$6-$C$6)),$E$6-SQRT((1-$AB4312)*($E$6-$C$6)*($E$6-$D$6)))</f>
        <v/>
      </c>
      <c r="O4312" s="14">
        <f>_xlfn.NORM.INV($AC4312,$C$7,$D$7)</f>
        <v/>
      </c>
      <c r="P4312" s="14">
        <f>$C$8+($D$8-$C$8)*$AD4312</f>
        <v/>
      </c>
      <c r="Q4312" s="14">
        <f>$C$9</f>
        <v/>
      </c>
      <c r="R4312" s="14">
        <f>_xlfn.LOGNORM.INV($AF4312,LN($C$10)-0.5*LN(1+($D$10/$C$10)^2),SQRT(LN(1+($D$10/$C$10)^2)))</f>
        <v/>
      </c>
      <c r="S4312" s="14">
        <f>SUM(M4312:R4312)</f>
        <v/>
      </c>
      <c r="AA4312">
        <f>RAND()</f>
        <v/>
      </c>
      <c r="AB4312">
        <f>RAND()</f>
        <v/>
      </c>
      <c r="AC4312">
        <f>RAND()</f>
        <v/>
      </c>
      <c r="AD4312">
        <f>RAND()</f>
        <v/>
      </c>
      <c r="AE4312">
        <f>RAND()</f>
        <v/>
      </c>
      <c r="AF4312">
        <f>RAND()</f>
        <v/>
      </c>
    </row>
    <row r="4313">
      <c r="M4313" s="14">
        <f>_xlfn.BETA.INV($AA4313,1+4*($D$5-$C$5)/($E$5-$C$5),1+4*($E$5-$D$5)/($E$5-$C$5),$C$5,$E$5)</f>
        <v/>
      </c>
      <c r="N4313" s="14">
        <f>IF($AB4313&lt;($D$6-$C$6)/($E$6-$C$6),$C$6+SQRT($AB4313*($E$6-$C$6)*($D$6-$C$6)),$E$6-SQRT((1-$AB4313)*($E$6-$C$6)*($E$6-$D$6)))</f>
        <v/>
      </c>
      <c r="O4313" s="14">
        <f>_xlfn.NORM.INV($AC4313,$C$7,$D$7)</f>
        <v/>
      </c>
      <c r="P4313" s="14">
        <f>$C$8+($D$8-$C$8)*$AD4313</f>
        <v/>
      </c>
      <c r="Q4313" s="14">
        <f>$C$9</f>
        <v/>
      </c>
      <c r="R4313" s="14">
        <f>_xlfn.LOGNORM.INV($AF4313,LN($C$10)-0.5*LN(1+($D$10/$C$10)^2),SQRT(LN(1+($D$10/$C$10)^2)))</f>
        <v/>
      </c>
      <c r="S4313" s="14">
        <f>SUM(M4313:R4313)</f>
        <v/>
      </c>
      <c r="AA4313">
        <f>RAND()</f>
        <v/>
      </c>
      <c r="AB4313">
        <f>RAND()</f>
        <v/>
      </c>
      <c r="AC4313">
        <f>RAND()</f>
        <v/>
      </c>
      <c r="AD4313">
        <f>RAND()</f>
        <v/>
      </c>
      <c r="AE4313">
        <f>RAND()</f>
        <v/>
      </c>
      <c r="AF4313">
        <f>RAND()</f>
        <v/>
      </c>
    </row>
    <row r="4314">
      <c r="M4314" s="14">
        <f>_xlfn.BETA.INV($AA4314,1+4*($D$5-$C$5)/($E$5-$C$5),1+4*($E$5-$D$5)/($E$5-$C$5),$C$5,$E$5)</f>
        <v/>
      </c>
      <c r="N4314" s="14">
        <f>IF($AB4314&lt;($D$6-$C$6)/($E$6-$C$6),$C$6+SQRT($AB4314*($E$6-$C$6)*($D$6-$C$6)),$E$6-SQRT((1-$AB4314)*($E$6-$C$6)*($E$6-$D$6)))</f>
        <v/>
      </c>
      <c r="O4314" s="14">
        <f>_xlfn.NORM.INV($AC4314,$C$7,$D$7)</f>
        <v/>
      </c>
      <c r="P4314" s="14">
        <f>$C$8+($D$8-$C$8)*$AD4314</f>
        <v/>
      </c>
      <c r="Q4314" s="14">
        <f>$C$9</f>
        <v/>
      </c>
      <c r="R4314" s="14">
        <f>_xlfn.LOGNORM.INV($AF4314,LN($C$10)-0.5*LN(1+($D$10/$C$10)^2),SQRT(LN(1+($D$10/$C$10)^2)))</f>
        <v/>
      </c>
      <c r="S4314" s="14">
        <f>SUM(M4314:R4314)</f>
        <v/>
      </c>
      <c r="AA4314">
        <f>RAND()</f>
        <v/>
      </c>
      <c r="AB4314">
        <f>RAND()</f>
        <v/>
      </c>
      <c r="AC4314">
        <f>RAND()</f>
        <v/>
      </c>
      <c r="AD4314">
        <f>RAND()</f>
        <v/>
      </c>
      <c r="AE4314">
        <f>RAND()</f>
        <v/>
      </c>
      <c r="AF4314">
        <f>RAND()</f>
        <v/>
      </c>
    </row>
    <row r="4315">
      <c r="M4315" s="14">
        <f>_xlfn.BETA.INV($AA4315,1+4*($D$5-$C$5)/($E$5-$C$5),1+4*($E$5-$D$5)/($E$5-$C$5),$C$5,$E$5)</f>
        <v/>
      </c>
      <c r="N4315" s="14">
        <f>IF($AB4315&lt;($D$6-$C$6)/($E$6-$C$6),$C$6+SQRT($AB4315*($E$6-$C$6)*($D$6-$C$6)),$E$6-SQRT((1-$AB4315)*($E$6-$C$6)*($E$6-$D$6)))</f>
        <v/>
      </c>
      <c r="O4315" s="14">
        <f>_xlfn.NORM.INV($AC4315,$C$7,$D$7)</f>
        <v/>
      </c>
      <c r="P4315" s="14">
        <f>$C$8+($D$8-$C$8)*$AD4315</f>
        <v/>
      </c>
      <c r="Q4315" s="14">
        <f>$C$9</f>
        <v/>
      </c>
      <c r="R4315" s="14">
        <f>_xlfn.LOGNORM.INV($AF4315,LN($C$10)-0.5*LN(1+($D$10/$C$10)^2),SQRT(LN(1+($D$10/$C$10)^2)))</f>
        <v/>
      </c>
      <c r="S4315" s="14">
        <f>SUM(M4315:R4315)</f>
        <v/>
      </c>
      <c r="AA4315">
        <f>RAND()</f>
        <v/>
      </c>
      <c r="AB4315">
        <f>RAND()</f>
        <v/>
      </c>
      <c r="AC4315">
        <f>RAND()</f>
        <v/>
      </c>
      <c r="AD4315">
        <f>RAND()</f>
        <v/>
      </c>
      <c r="AE4315">
        <f>RAND()</f>
        <v/>
      </c>
      <c r="AF4315">
        <f>RAND()</f>
        <v/>
      </c>
    </row>
    <row r="4316">
      <c r="M4316" s="14">
        <f>_xlfn.BETA.INV($AA4316,1+4*($D$5-$C$5)/($E$5-$C$5),1+4*($E$5-$D$5)/($E$5-$C$5),$C$5,$E$5)</f>
        <v/>
      </c>
      <c r="N4316" s="14">
        <f>IF($AB4316&lt;($D$6-$C$6)/($E$6-$C$6),$C$6+SQRT($AB4316*($E$6-$C$6)*($D$6-$C$6)),$E$6-SQRT((1-$AB4316)*($E$6-$C$6)*($E$6-$D$6)))</f>
        <v/>
      </c>
      <c r="O4316" s="14">
        <f>_xlfn.NORM.INV($AC4316,$C$7,$D$7)</f>
        <v/>
      </c>
      <c r="P4316" s="14">
        <f>$C$8+($D$8-$C$8)*$AD4316</f>
        <v/>
      </c>
      <c r="Q4316" s="14">
        <f>$C$9</f>
        <v/>
      </c>
      <c r="R4316" s="14">
        <f>_xlfn.LOGNORM.INV($AF4316,LN($C$10)-0.5*LN(1+($D$10/$C$10)^2),SQRT(LN(1+($D$10/$C$10)^2)))</f>
        <v/>
      </c>
      <c r="S4316" s="14">
        <f>SUM(M4316:R4316)</f>
        <v/>
      </c>
      <c r="AA4316">
        <f>RAND()</f>
        <v/>
      </c>
      <c r="AB4316">
        <f>RAND()</f>
        <v/>
      </c>
      <c r="AC4316">
        <f>RAND()</f>
        <v/>
      </c>
      <c r="AD4316">
        <f>RAND()</f>
        <v/>
      </c>
      <c r="AE4316">
        <f>RAND()</f>
        <v/>
      </c>
      <c r="AF4316">
        <f>RAND()</f>
        <v/>
      </c>
    </row>
    <row r="4317">
      <c r="M4317" s="14">
        <f>_xlfn.BETA.INV($AA4317,1+4*($D$5-$C$5)/($E$5-$C$5),1+4*($E$5-$D$5)/($E$5-$C$5),$C$5,$E$5)</f>
        <v/>
      </c>
      <c r="N4317" s="14">
        <f>IF($AB4317&lt;($D$6-$C$6)/($E$6-$C$6),$C$6+SQRT($AB4317*($E$6-$C$6)*($D$6-$C$6)),$E$6-SQRT((1-$AB4317)*($E$6-$C$6)*($E$6-$D$6)))</f>
        <v/>
      </c>
      <c r="O4317" s="14">
        <f>_xlfn.NORM.INV($AC4317,$C$7,$D$7)</f>
        <v/>
      </c>
      <c r="P4317" s="14">
        <f>$C$8+($D$8-$C$8)*$AD4317</f>
        <v/>
      </c>
      <c r="Q4317" s="14">
        <f>$C$9</f>
        <v/>
      </c>
      <c r="R4317" s="14">
        <f>_xlfn.LOGNORM.INV($AF4317,LN($C$10)-0.5*LN(1+($D$10/$C$10)^2),SQRT(LN(1+($D$10/$C$10)^2)))</f>
        <v/>
      </c>
      <c r="S4317" s="14">
        <f>SUM(M4317:R4317)</f>
        <v/>
      </c>
      <c r="AA4317">
        <f>RAND()</f>
        <v/>
      </c>
      <c r="AB4317">
        <f>RAND()</f>
        <v/>
      </c>
      <c r="AC4317">
        <f>RAND()</f>
        <v/>
      </c>
      <c r="AD4317">
        <f>RAND()</f>
        <v/>
      </c>
      <c r="AE4317">
        <f>RAND()</f>
        <v/>
      </c>
      <c r="AF4317">
        <f>RAND()</f>
        <v/>
      </c>
    </row>
    <row r="4318">
      <c r="M4318" s="14">
        <f>_xlfn.BETA.INV($AA4318,1+4*($D$5-$C$5)/($E$5-$C$5),1+4*($E$5-$D$5)/($E$5-$C$5),$C$5,$E$5)</f>
        <v/>
      </c>
      <c r="N4318" s="14">
        <f>IF($AB4318&lt;($D$6-$C$6)/($E$6-$C$6),$C$6+SQRT($AB4318*($E$6-$C$6)*($D$6-$C$6)),$E$6-SQRT((1-$AB4318)*($E$6-$C$6)*($E$6-$D$6)))</f>
        <v/>
      </c>
      <c r="O4318" s="14">
        <f>_xlfn.NORM.INV($AC4318,$C$7,$D$7)</f>
        <v/>
      </c>
      <c r="P4318" s="14">
        <f>$C$8+($D$8-$C$8)*$AD4318</f>
        <v/>
      </c>
      <c r="Q4318" s="14">
        <f>$C$9</f>
        <v/>
      </c>
      <c r="R4318" s="14">
        <f>_xlfn.LOGNORM.INV($AF4318,LN($C$10)-0.5*LN(1+($D$10/$C$10)^2),SQRT(LN(1+($D$10/$C$10)^2)))</f>
        <v/>
      </c>
      <c r="S4318" s="14">
        <f>SUM(M4318:R4318)</f>
        <v/>
      </c>
      <c r="AA4318">
        <f>RAND()</f>
        <v/>
      </c>
      <c r="AB4318">
        <f>RAND()</f>
        <v/>
      </c>
      <c r="AC4318">
        <f>RAND()</f>
        <v/>
      </c>
      <c r="AD4318">
        <f>RAND()</f>
        <v/>
      </c>
      <c r="AE4318">
        <f>RAND()</f>
        <v/>
      </c>
      <c r="AF4318">
        <f>RAND()</f>
        <v/>
      </c>
    </row>
    <row r="4319">
      <c r="M4319" s="14">
        <f>_xlfn.BETA.INV($AA4319,1+4*($D$5-$C$5)/($E$5-$C$5),1+4*($E$5-$D$5)/($E$5-$C$5),$C$5,$E$5)</f>
        <v/>
      </c>
      <c r="N4319" s="14">
        <f>IF($AB4319&lt;($D$6-$C$6)/($E$6-$C$6),$C$6+SQRT($AB4319*($E$6-$C$6)*($D$6-$C$6)),$E$6-SQRT((1-$AB4319)*($E$6-$C$6)*($E$6-$D$6)))</f>
        <v/>
      </c>
      <c r="O4319" s="14">
        <f>_xlfn.NORM.INV($AC4319,$C$7,$D$7)</f>
        <v/>
      </c>
      <c r="P4319" s="14">
        <f>$C$8+($D$8-$C$8)*$AD4319</f>
        <v/>
      </c>
      <c r="Q4319" s="14">
        <f>$C$9</f>
        <v/>
      </c>
      <c r="R4319" s="14">
        <f>_xlfn.LOGNORM.INV($AF4319,LN($C$10)-0.5*LN(1+($D$10/$C$10)^2),SQRT(LN(1+($D$10/$C$10)^2)))</f>
        <v/>
      </c>
      <c r="S4319" s="14">
        <f>SUM(M4319:R4319)</f>
        <v/>
      </c>
      <c r="AA4319">
        <f>RAND()</f>
        <v/>
      </c>
      <c r="AB4319">
        <f>RAND()</f>
        <v/>
      </c>
      <c r="AC4319">
        <f>RAND()</f>
        <v/>
      </c>
      <c r="AD4319">
        <f>RAND()</f>
        <v/>
      </c>
      <c r="AE4319">
        <f>RAND()</f>
        <v/>
      </c>
      <c r="AF4319">
        <f>RAND()</f>
        <v/>
      </c>
    </row>
    <row r="4320">
      <c r="M4320" s="14">
        <f>_xlfn.BETA.INV($AA4320,1+4*($D$5-$C$5)/($E$5-$C$5),1+4*($E$5-$D$5)/($E$5-$C$5),$C$5,$E$5)</f>
        <v/>
      </c>
      <c r="N4320" s="14">
        <f>IF($AB4320&lt;($D$6-$C$6)/($E$6-$C$6),$C$6+SQRT($AB4320*($E$6-$C$6)*($D$6-$C$6)),$E$6-SQRT((1-$AB4320)*($E$6-$C$6)*($E$6-$D$6)))</f>
        <v/>
      </c>
      <c r="O4320" s="14">
        <f>_xlfn.NORM.INV($AC4320,$C$7,$D$7)</f>
        <v/>
      </c>
      <c r="P4320" s="14">
        <f>$C$8+($D$8-$C$8)*$AD4320</f>
        <v/>
      </c>
      <c r="Q4320" s="14">
        <f>$C$9</f>
        <v/>
      </c>
      <c r="R4320" s="14">
        <f>_xlfn.LOGNORM.INV($AF4320,LN($C$10)-0.5*LN(1+($D$10/$C$10)^2),SQRT(LN(1+($D$10/$C$10)^2)))</f>
        <v/>
      </c>
      <c r="S4320" s="14">
        <f>SUM(M4320:R4320)</f>
        <v/>
      </c>
      <c r="AA4320">
        <f>RAND()</f>
        <v/>
      </c>
      <c r="AB4320">
        <f>RAND()</f>
        <v/>
      </c>
      <c r="AC4320">
        <f>RAND()</f>
        <v/>
      </c>
      <c r="AD4320">
        <f>RAND()</f>
        <v/>
      </c>
      <c r="AE4320">
        <f>RAND()</f>
        <v/>
      </c>
      <c r="AF4320">
        <f>RAND()</f>
        <v/>
      </c>
    </row>
    <row r="4321">
      <c r="M4321" s="14">
        <f>_xlfn.BETA.INV($AA4321,1+4*($D$5-$C$5)/($E$5-$C$5),1+4*($E$5-$D$5)/($E$5-$C$5),$C$5,$E$5)</f>
        <v/>
      </c>
      <c r="N4321" s="14">
        <f>IF($AB4321&lt;($D$6-$C$6)/($E$6-$C$6),$C$6+SQRT($AB4321*($E$6-$C$6)*($D$6-$C$6)),$E$6-SQRT((1-$AB4321)*($E$6-$C$6)*($E$6-$D$6)))</f>
        <v/>
      </c>
      <c r="O4321" s="14">
        <f>_xlfn.NORM.INV($AC4321,$C$7,$D$7)</f>
        <v/>
      </c>
      <c r="P4321" s="14">
        <f>$C$8+($D$8-$C$8)*$AD4321</f>
        <v/>
      </c>
      <c r="Q4321" s="14">
        <f>$C$9</f>
        <v/>
      </c>
      <c r="R4321" s="14">
        <f>_xlfn.LOGNORM.INV($AF4321,LN($C$10)-0.5*LN(1+($D$10/$C$10)^2),SQRT(LN(1+($D$10/$C$10)^2)))</f>
        <v/>
      </c>
      <c r="S4321" s="14">
        <f>SUM(M4321:R4321)</f>
        <v/>
      </c>
      <c r="AA4321">
        <f>RAND()</f>
        <v/>
      </c>
      <c r="AB4321">
        <f>RAND()</f>
        <v/>
      </c>
      <c r="AC4321">
        <f>RAND()</f>
        <v/>
      </c>
      <c r="AD4321">
        <f>RAND()</f>
        <v/>
      </c>
      <c r="AE4321">
        <f>RAND()</f>
        <v/>
      </c>
      <c r="AF4321">
        <f>RAND()</f>
        <v/>
      </c>
    </row>
    <row r="4322">
      <c r="M4322" s="14">
        <f>_xlfn.BETA.INV($AA4322,1+4*($D$5-$C$5)/($E$5-$C$5),1+4*($E$5-$D$5)/($E$5-$C$5),$C$5,$E$5)</f>
        <v/>
      </c>
      <c r="N4322" s="14">
        <f>IF($AB4322&lt;($D$6-$C$6)/($E$6-$C$6),$C$6+SQRT($AB4322*($E$6-$C$6)*($D$6-$C$6)),$E$6-SQRT((1-$AB4322)*($E$6-$C$6)*($E$6-$D$6)))</f>
        <v/>
      </c>
      <c r="O4322" s="14">
        <f>_xlfn.NORM.INV($AC4322,$C$7,$D$7)</f>
        <v/>
      </c>
      <c r="P4322" s="14">
        <f>$C$8+($D$8-$C$8)*$AD4322</f>
        <v/>
      </c>
      <c r="Q4322" s="14">
        <f>$C$9</f>
        <v/>
      </c>
      <c r="R4322" s="14">
        <f>_xlfn.LOGNORM.INV($AF4322,LN($C$10)-0.5*LN(1+($D$10/$C$10)^2),SQRT(LN(1+($D$10/$C$10)^2)))</f>
        <v/>
      </c>
      <c r="S4322" s="14">
        <f>SUM(M4322:R4322)</f>
        <v/>
      </c>
      <c r="AA4322">
        <f>RAND()</f>
        <v/>
      </c>
      <c r="AB4322">
        <f>RAND()</f>
        <v/>
      </c>
      <c r="AC4322">
        <f>RAND()</f>
        <v/>
      </c>
      <c r="AD4322">
        <f>RAND()</f>
        <v/>
      </c>
      <c r="AE4322">
        <f>RAND()</f>
        <v/>
      </c>
      <c r="AF4322">
        <f>RAND()</f>
        <v/>
      </c>
    </row>
    <row r="4323">
      <c r="M4323" s="14">
        <f>_xlfn.BETA.INV($AA4323,1+4*($D$5-$C$5)/($E$5-$C$5),1+4*($E$5-$D$5)/($E$5-$C$5),$C$5,$E$5)</f>
        <v/>
      </c>
      <c r="N4323" s="14">
        <f>IF($AB4323&lt;($D$6-$C$6)/($E$6-$C$6),$C$6+SQRT($AB4323*($E$6-$C$6)*($D$6-$C$6)),$E$6-SQRT((1-$AB4323)*($E$6-$C$6)*($E$6-$D$6)))</f>
        <v/>
      </c>
      <c r="O4323" s="14">
        <f>_xlfn.NORM.INV($AC4323,$C$7,$D$7)</f>
        <v/>
      </c>
      <c r="P4323" s="14">
        <f>$C$8+($D$8-$C$8)*$AD4323</f>
        <v/>
      </c>
      <c r="Q4323" s="14">
        <f>$C$9</f>
        <v/>
      </c>
      <c r="R4323" s="14">
        <f>_xlfn.LOGNORM.INV($AF4323,LN($C$10)-0.5*LN(1+($D$10/$C$10)^2),SQRT(LN(1+($D$10/$C$10)^2)))</f>
        <v/>
      </c>
      <c r="S4323" s="14">
        <f>SUM(M4323:R4323)</f>
        <v/>
      </c>
      <c r="AA4323">
        <f>RAND()</f>
        <v/>
      </c>
      <c r="AB4323">
        <f>RAND()</f>
        <v/>
      </c>
      <c r="AC4323">
        <f>RAND()</f>
        <v/>
      </c>
      <c r="AD4323">
        <f>RAND()</f>
        <v/>
      </c>
      <c r="AE4323">
        <f>RAND()</f>
        <v/>
      </c>
      <c r="AF4323">
        <f>RAND()</f>
        <v/>
      </c>
    </row>
    <row r="4324">
      <c r="M4324" s="14">
        <f>_xlfn.BETA.INV($AA4324,1+4*($D$5-$C$5)/($E$5-$C$5),1+4*($E$5-$D$5)/($E$5-$C$5),$C$5,$E$5)</f>
        <v/>
      </c>
      <c r="N4324" s="14">
        <f>IF($AB4324&lt;($D$6-$C$6)/($E$6-$C$6),$C$6+SQRT($AB4324*($E$6-$C$6)*($D$6-$C$6)),$E$6-SQRT((1-$AB4324)*($E$6-$C$6)*($E$6-$D$6)))</f>
        <v/>
      </c>
      <c r="O4324" s="14">
        <f>_xlfn.NORM.INV($AC4324,$C$7,$D$7)</f>
        <v/>
      </c>
      <c r="P4324" s="14">
        <f>$C$8+($D$8-$C$8)*$AD4324</f>
        <v/>
      </c>
      <c r="Q4324" s="14">
        <f>$C$9</f>
        <v/>
      </c>
      <c r="R4324" s="14">
        <f>_xlfn.LOGNORM.INV($AF4324,LN($C$10)-0.5*LN(1+($D$10/$C$10)^2),SQRT(LN(1+($D$10/$C$10)^2)))</f>
        <v/>
      </c>
      <c r="S4324" s="14">
        <f>SUM(M4324:R4324)</f>
        <v/>
      </c>
      <c r="AA4324">
        <f>RAND()</f>
        <v/>
      </c>
      <c r="AB4324">
        <f>RAND()</f>
        <v/>
      </c>
      <c r="AC4324">
        <f>RAND()</f>
        <v/>
      </c>
      <c r="AD4324">
        <f>RAND()</f>
        <v/>
      </c>
      <c r="AE4324">
        <f>RAND()</f>
        <v/>
      </c>
      <c r="AF4324">
        <f>RAND()</f>
        <v/>
      </c>
    </row>
    <row r="4325">
      <c r="M4325" s="14">
        <f>_xlfn.BETA.INV($AA4325,1+4*($D$5-$C$5)/($E$5-$C$5),1+4*($E$5-$D$5)/($E$5-$C$5),$C$5,$E$5)</f>
        <v/>
      </c>
      <c r="N4325" s="14">
        <f>IF($AB4325&lt;($D$6-$C$6)/($E$6-$C$6),$C$6+SQRT($AB4325*($E$6-$C$6)*($D$6-$C$6)),$E$6-SQRT((1-$AB4325)*($E$6-$C$6)*($E$6-$D$6)))</f>
        <v/>
      </c>
      <c r="O4325" s="14">
        <f>_xlfn.NORM.INV($AC4325,$C$7,$D$7)</f>
        <v/>
      </c>
      <c r="P4325" s="14">
        <f>$C$8+($D$8-$C$8)*$AD4325</f>
        <v/>
      </c>
      <c r="Q4325" s="14">
        <f>$C$9</f>
        <v/>
      </c>
      <c r="R4325" s="14">
        <f>_xlfn.LOGNORM.INV($AF4325,LN($C$10)-0.5*LN(1+($D$10/$C$10)^2),SQRT(LN(1+($D$10/$C$10)^2)))</f>
        <v/>
      </c>
      <c r="S4325" s="14">
        <f>SUM(M4325:R4325)</f>
        <v/>
      </c>
      <c r="AA4325">
        <f>RAND()</f>
        <v/>
      </c>
      <c r="AB4325">
        <f>RAND()</f>
        <v/>
      </c>
      <c r="AC4325">
        <f>RAND()</f>
        <v/>
      </c>
      <c r="AD4325">
        <f>RAND()</f>
        <v/>
      </c>
      <c r="AE4325">
        <f>RAND()</f>
        <v/>
      </c>
      <c r="AF4325">
        <f>RAND()</f>
        <v/>
      </c>
    </row>
    <row r="4326">
      <c r="M4326" s="14">
        <f>_xlfn.BETA.INV($AA4326,1+4*($D$5-$C$5)/($E$5-$C$5),1+4*($E$5-$D$5)/($E$5-$C$5),$C$5,$E$5)</f>
        <v/>
      </c>
      <c r="N4326" s="14">
        <f>IF($AB4326&lt;($D$6-$C$6)/($E$6-$C$6),$C$6+SQRT($AB4326*($E$6-$C$6)*($D$6-$C$6)),$E$6-SQRT((1-$AB4326)*($E$6-$C$6)*($E$6-$D$6)))</f>
        <v/>
      </c>
      <c r="O4326" s="14">
        <f>_xlfn.NORM.INV($AC4326,$C$7,$D$7)</f>
        <v/>
      </c>
      <c r="P4326" s="14">
        <f>$C$8+($D$8-$C$8)*$AD4326</f>
        <v/>
      </c>
      <c r="Q4326" s="14">
        <f>$C$9</f>
        <v/>
      </c>
      <c r="R4326" s="14">
        <f>_xlfn.LOGNORM.INV($AF4326,LN($C$10)-0.5*LN(1+($D$10/$C$10)^2),SQRT(LN(1+($D$10/$C$10)^2)))</f>
        <v/>
      </c>
      <c r="S4326" s="14">
        <f>SUM(M4326:R4326)</f>
        <v/>
      </c>
      <c r="AA4326">
        <f>RAND()</f>
        <v/>
      </c>
      <c r="AB4326">
        <f>RAND()</f>
        <v/>
      </c>
      <c r="AC4326">
        <f>RAND()</f>
        <v/>
      </c>
      <c r="AD4326">
        <f>RAND()</f>
        <v/>
      </c>
      <c r="AE4326">
        <f>RAND()</f>
        <v/>
      </c>
      <c r="AF4326">
        <f>RAND()</f>
        <v/>
      </c>
    </row>
    <row r="4327">
      <c r="M4327" s="14">
        <f>_xlfn.BETA.INV($AA4327,1+4*($D$5-$C$5)/($E$5-$C$5),1+4*($E$5-$D$5)/($E$5-$C$5),$C$5,$E$5)</f>
        <v/>
      </c>
      <c r="N4327" s="14">
        <f>IF($AB4327&lt;($D$6-$C$6)/($E$6-$C$6),$C$6+SQRT($AB4327*($E$6-$C$6)*($D$6-$C$6)),$E$6-SQRT((1-$AB4327)*($E$6-$C$6)*($E$6-$D$6)))</f>
        <v/>
      </c>
      <c r="O4327" s="14">
        <f>_xlfn.NORM.INV($AC4327,$C$7,$D$7)</f>
        <v/>
      </c>
      <c r="P4327" s="14">
        <f>$C$8+($D$8-$C$8)*$AD4327</f>
        <v/>
      </c>
      <c r="Q4327" s="14">
        <f>$C$9</f>
        <v/>
      </c>
      <c r="R4327" s="14">
        <f>_xlfn.LOGNORM.INV($AF4327,LN($C$10)-0.5*LN(1+($D$10/$C$10)^2),SQRT(LN(1+($D$10/$C$10)^2)))</f>
        <v/>
      </c>
      <c r="S4327" s="14">
        <f>SUM(M4327:R4327)</f>
        <v/>
      </c>
      <c r="AA4327">
        <f>RAND()</f>
        <v/>
      </c>
      <c r="AB4327">
        <f>RAND()</f>
        <v/>
      </c>
      <c r="AC4327">
        <f>RAND()</f>
        <v/>
      </c>
      <c r="AD4327">
        <f>RAND()</f>
        <v/>
      </c>
      <c r="AE4327">
        <f>RAND()</f>
        <v/>
      </c>
      <c r="AF4327">
        <f>RAND()</f>
        <v/>
      </c>
    </row>
    <row r="4328">
      <c r="M4328" s="14">
        <f>_xlfn.BETA.INV($AA4328,1+4*($D$5-$C$5)/($E$5-$C$5),1+4*($E$5-$D$5)/($E$5-$C$5),$C$5,$E$5)</f>
        <v/>
      </c>
      <c r="N4328" s="14">
        <f>IF($AB4328&lt;($D$6-$C$6)/($E$6-$C$6),$C$6+SQRT($AB4328*($E$6-$C$6)*($D$6-$C$6)),$E$6-SQRT((1-$AB4328)*($E$6-$C$6)*($E$6-$D$6)))</f>
        <v/>
      </c>
      <c r="O4328" s="14">
        <f>_xlfn.NORM.INV($AC4328,$C$7,$D$7)</f>
        <v/>
      </c>
      <c r="P4328" s="14">
        <f>$C$8+($D$8-$C$8)*$AD4328</f>
        <v/>
      </c>
      <c r="Q4328" s="14">
        <f>$C$9</f>
        <v/>
      </c>
      <c r="R4328" s="14">
        <f>_xlfn.LOGNORM.INV($AF4328,LN($C$10)-0.5*LN(1+($D$10/$C$10)^2),SQRT(LN(1+($D$10/$C$10)^2)))</f>
        <v/>
      </c>
      <c r="S4328" s="14">
        <f>SUM(M4328:R4328)</f>
        <v/>
      </c>
      <c r="AA4328">
        <f>RAND()</f>
        <v/>
      </c>
      <c r="AB4328">
        <f>RAND()</f>
        <v/>
      </c>
      <c r="AC4328">
        <f>RAND()</f>
        <v/>
      </c>
      <c r="AD4328">
        <f>RAND()</f>
        <v/>
      </c>
      <c r="AE4328">
        <f>RAND()</f>
        <v/>
      </c>
      <c r="AF4328">
        <f>RAND()</f>
        <v/>
      </c>
    </row>
    <row r="4329">
      <c r="M4329" s="14">
        <f>_xlfn.BETA.INV($AA4329,1+4*($D$5-$C$5)/($E$5-$C$5),1+4*($E$5-$D$5)/($E$5-$C$5),$C$5,$E$5)</f>
        <v/>
      </c>
      <c r="N4329" s="14">
        <f>IF($AB4329&lt;($D$6-$C$6)/($E$6-$C$6),$C$6+SQRT($AB4329*($E$6-$C$6)*($D$6-$C$6)),$E$6-SQRT((1-$AB4329)*($E$6-$C$6)*($E$6-$D$6)))</f>
        <v/>
      </c>
      <c r="O4329" s="14">
        <f>_xlfn.NORM.INV($AC4329,$C$7,$D$7)</f>
        <v/>
      </c>
      <c r="P4329" s="14">
        <f>$C$8+($D$8-$C$8)*$AD4329</f>
        <v/>
      </c>
      <c r="Q4329" s="14">
        <f>$C$9</f>
        <v/>
      </c>
      <c r="R4329" s="14">
        <f>_xlfn.LOGNORM.INV($AF4329,LN($C$10)-0.5*LN(1+($D$10/$C$10)^2),SQRT(LN(1+($D$10/$C$10)^2)))</f>
        <v/>
      </c>
      <c r="S4329" s="14">
        <f>SUM(M4329:R4329)</f>
        <v/>
      </c>
      <c r="AA4329">
        <f>RAND()</f>
        <v/>
      </c>
      <c r="AB4329">
        <f>RAND()</f>
        <v/>
      </c>
      <c r="AC4329">
        <f>RAND()</f>
        <v/>
      </c>
      <c r="AD4329">
        <f>RAND()</f>
        <v/>
      </c>
      <c r="AE4329">
        <f>RAND()</f>
        <v/>
      </c>
      <c r="AF4329">
        <f>RAND()</f>
        <v/>
      </c>
    </row>
    <row r="4330">
      <c r="M4330" s="14">
        <f>_xlfn.BETA.INV($AA4330,1+4*($D$5-$C$5)/($E$5-$C$5),1+4*($E$5-$D$5)/($E$5-$C$5),$C$5,$E$5)</f>
        <v/>
      </c>
      <c r="N4330" s="14">
        <f>IF($AB4330&lt;($D$6-$C$6)/($E$6-$C$6),$C$6+SQRT($AB4330*($E$6-$C$6)*($D$6-$C$6)),$E$6-SQRT((1-$AB4330)*($E$6-$C$6)*($E$6-$D$6)))</f>
        <v/>
      </c>
      <c r="O4330" s="14">
        <f>_xlfn.NORM.INV($AC4330,$C$7,$D$7)</f>
        <v/>
      </c>
      <c r="P4330" s="14">
        <f>$C$8+($D$8-$C$8)*$AD4330</f>
        <v/>
      </c>
      <c r="Q4330" s="14">
        <f>$C$9</f>
        <v/>
      </c>
      <c r="R4330" s="14">
        <f>_xlfn.LOGNORM.INV($AF4330,LN($C$10)-0.5*LN(1+($D$10/$C$10)^2),SQRT(LN(1+($D$10/$C$10)^2)))</f>
        <v/>
      </c>
      <c r="S4330" s="14">
        <f>SUM(M4330:R4330)</f>
        <v/>
      </c>
      <c r="AA4330">
        <f>RAND()</f>
        <v/>
      </c>
      <c r="AB4330">
        <f>RAND()</f>
        <v/>
      </c>
      <c r="AC4330">
        <f>RAND()</f>
        <v/>
      </c>
      <c r="AD4330">
        <f>RAND()</f>
        <v/>
      </c>
      <c r="AE4330">
        <f>RAND()</f>
        <v/>
      </c>
      <c r="AF4330">
        <f>RAND()</f>
        <v/>
      </c>
    </row>
    <row r="4331">
      <c r="M4331" s="14">
        <f>_xlfn.BETA.INV($AA4331,1+4*($D$5-$C$5)/($E$5-$C$5),1+4*($E$5-$D$5)/($E$5-$C$5),$C$5,$E$5)</f>
        <v/>
      </c>
      <c r="N4331" s="14">
        <f>IF($AB4331&lt;($D$6-$C$6)/($E$6-$C$6),$C$6+SQRT($AB4331*($E$6-$C$6)*($D$6-$C$6)),$E$6-SQRT((1-$AB4331)*($E$6-$C$6)*($E$6-$D$6)))</f>
        <v/>
      </c>
      <c r="O4331" s="14">
        <f>_xlfn.NORM.INV($AC4331,$C$7,$D$7)</f>
        <v/>
      </c>
      <c r="P4331" s="14">
        <f>$C$8+($D$8-$C$8)*$AD4331</f>
        <v/>
      </c>
      <c r="Q4331" s="14">
        <f>$C$9</f>
        <v/>
      </c>
      <c r="R4331" s="14">
        <f>_xlfn.LOGNORM.INV($AF4331,LN($C$10)-0.5*LN(1+($D$10/$C$10)^2),SQRT(LN(1+($D$10/$C$10)^2)))</f>
        <v/>
      </c>
      <c r="S4331" s="14">
        <f>SUM(M4331:R4331)</f>
        <v/>
      </c>
      <c r="AA4331">
        <f>RAND()</f>
        <v/>
      </c>
      <c r="AB4331">
        <f>RAND()</f>
        <v/>
      </c>
      <c r="AC4331">
        <f>RAND()</f>
        <v/>
      </c>
      <c r="AD4331">
        <f>RAND()</f>
        <v/>
      </c>
      <c r="AE4331">
        <f>RAND()</f>
        <v/>
      </c>
      <c r="AF4331">
        <f>RAND()</f>
        <v/>
      </c>
    </row>
    <row r="4332">
      <c r="M4332" s="14">
        <f>_xlfn.BETA.INV($AA4332,1+4*($D$5-$C$5)/($E$5-$C$5),1+4*($E$5-$D$5)/($E$5-$C$5),$C$5,$E$5)</f>
        <v/>
      </c>
      <c r="N4332" s="14">
        <f>IF($AB4332&lt;($D$6-$C$6)/($E$6-$C$6),$C$6+SQRT($AB4332*($E$6-$C$6)*($D$6-$C$6)),$E$6-SQRT((1-$AB4332)*($E$6-$C$6)*($E$6-$D$6)))</f>
        <v/>
      </c>
      <c r="O4332" s="14">
        <f>_xlfn.NORM.INV($AC4332,$C$7,$D$7)</f>
        <v/>
      </c>
      <c r="P4332" s="14">
        <f>$C$8+($D$8-$C$8)*$AD4332</f>
        <v/>
      </c>
      <c r="Q4332" s="14">
        <f>$C$9</f>
        <v/>
      </c>
      <c r="R4332" s="14">
        <f>_xlfn.LOGNORM.INV($AF4332,LN($C$10)-0.5*LN(1+($D$10/$C$10)^2),SQRT(LN(1+($D$10/$C$10)^2)))</f>
        <v/>
      </c>
      <c r="S4332" s="14">
        <f>SUM(M4332:R4332)</f>
        <v/>
      </c>
      <c r="AA4332">
        <f>RAND()</f>
        <v/>
      </c>
      <c r="AB4332">
        <f>RAND()</f>
        <v/>
      </c>
      <c r="AC4332">
        <f>RAND()</f>
        <v/>
      </c>
      <c r="AD4332">
        <f>RAND()</f>
        <v/>
      </c>
      <c r="AE4332">
        <f>RAND()</f>
        <v/>
      </c>
      <c r="AF4332">
        <f>RAND()</f>
        <v/>
      </c>
    </row>
    <row r="4333">
      <c r="M4333" s="14">
        <f>_xlfn.BETA.INV($AA4333,1+4*($D$5-$C$5)/($E$5-$C$5),1+4*($E$5-$D$5)/($E$5-$C$5),$C$5,$E$5)</f>
        <v/>
      </c>
      <c r="N4333" s="14">
        <f>IF($AB4333&lt;($D$6-$C$6)/($E$6-$C$6),$C$6+SQRT($AB4333*($E$6-$C$6)*($D$6-$C$6)),$E$6-SQRT((1-$AB4333)*($E$6-$C$6)*($E$6-$D$6)))</f>
        <v/>
      </c>
      <c r="O4333" s="14">
        <f>_xlfn.NORM.INV($AC4333,$C$7,$D$7)</f>
        <v/>
      </c>
      <c r="P4333" s="14">
        <f>$C$8+($D$8-$C$8)*$AD4333</f>
        <v/>
      </c>
      <c r="Q4333" s="14">
        <f>$C$9</f>
        <v/>
      </c>
      <c r="R4333" s="14">
        <f>_xlfn.LOGNORM.INV($AF4333,LN($C$10)-0.5*LN(1+($D$10/$C$10)^2),SQRT(LN(1+($D$10/$C$10)^2)))</f>
        <v/>
      </c>
      <c r="S4333" s="14">
        <f>SUM(M4333:R4333)</f>
        <v/>
      </c>
      <c r="AA4333">
        <f>RAND()</f>
        <v/>
      </c>
      <c r="AB4333">
        <f>RAND()</f>
        <v/>
      </c>
      <c r="AC4333">
        <f>RAND()</f>
        <v/>
      </c>
      <c r="AD4333">
        <f>RAND()</f>
        <v/>
      </c>
      <c r="AE4333">
        <f>RAND()</f>
        <v/>
      </c>
      <c r="AF4333">
        <f>RAND()</f>
        <v/>
      </c>
    </row>
    <row r="4334">
      <c r="M4334" s="14">
        <f>_xlfn.BETA.INV($AA4334,1+4*($D$5-$C$5)/($E$5-$C$5),1+4*($E$5-$D$5)/($E$5-$C$5),$C$5,$E$5)</f>
        <v/>
      </c>
      <c r="N4334" s="14">
        <f>IF($AB4334&lt;($D$6-$C$6)/($E$6-$C$6),$C$6+SQRT($AB4334*($E$6-$C$6)*($D$6-$C$6)),$E$6-SQRT((1-$AB4334)*($E$6-$C$6)*($E$6-$D$6)))</f>
        <v/>
      </c>
      <c r="O4334" s="14">
        <f>_xlfn.NORM.INV($AC4334,$C$7,$D$7)</f>
        <v/>
      </c>
      <c r="P4334" s="14">
        <f>$C$8+($D$8-$C$8)*$AD4334</f>
        <v/>
      </c>
      <c r="Q4334" s="14">
        <f>$C$9</f>
        <v/>
      </c>
      <c r="R4334" s="14">
        <f>_xlfn.LOGNORM.INV($AF4334,LN($C$10)-0.5*LN(1+($D$10/$C$10)^2),SQRT(LN(1+($D$10/$C$10)^2)))</f>
        <v/>
      </c>
      <c r="S4334" s="14">
        <f>SUM(M4334:R4334)</f>
        <v/>
      </c>
      <c r="AA4334">
        <f>RAND()</f>
        <v/>
      </c>
      <c r="AB4334">
        <f>RAND()</f>
        <v/>
      </c>
      <c r="AC4334">
        <f>RAND()</f>
        <v/>
      </c>
      <c r="AD4334">
        <f>RAND()</f>
        <v/>
      </c>
      <c r="AE4334">
        <f>RAND()</f>
        <v/>
      </c>
      <c r="AF4334">
        <f>RAND()</f>
        <v/>
      </c>
    </row>
    <row r="4335">
      <c r="M4335" s="14">
        <f>_xlfn.BETA.INV($AA4335,1+4*($D$5-$C$5)/($E$5-$C$5),1+4*($E$5-$D$5)/($E$5-$C$5),$C$5,$E$5)</f>
        <v/>
      </c>
      <c r="N4335" s="14">
        <f>IF($AB4335&lt;($D$6-$C$6)/($E$6-$C$6),$C$6+SQRT($AB4335*($E$6-$C$6)*($D$6-$C$6)),$E$6-SQRT((1-$AB4335)*($E$6-$C$6)*($E$6-$D$6)))</f>
        <v/>
      </c>
      <c r="O4335" s="14">
        <f>_xlfn.NORM.INV($AC4335,$C$7,$D$7)</f>
        <v/>
      </c>
      <c r="P4335" s="14">
        <f>$C$8+($D$8-$C$8)*$AD4335</f>
        <v/>
      </c>
      <c r="Q4335" s="14">
        <f>$C$9</f>
        <v/>
      </c>
      <c r="R4335" s="14">
        <f>_xlfn.LOGNORM.INV($AF4335,LN($C$10)-0.5*LN(1+($D$10/$C$10)^2),SQRT(LN(1+($D$10/$C$10)^2)))</f>
        <v/>
      </c>
      <c r="S4335" s="14">
        <f>SUM(M4335:R4335)</f>
        <v/>
      </c>
      <c r="AA4335">
        <f>RAND()</f>
        <v/>
      </c>
      <c r="AB4335">
        <f>RAND()</f>
        <v/>
      </c>
      <c r="AC4335">
        <f>RAND()</f>
        <v/>
      </c>
      <c r="AD4335">
        <f>RAND()</f>
        <v/>
      </c>
      <c r="AE4335">
        <f>RAND()</f>
        <v/>
      </c>
      <c r="AF4335">
        <f>RAND()</f>
        <v/>
      </c>
    </row>
    <row r="4336">
      <c r="M4336" s="14">
        <f>_xlfn.BETA.INV($AA4336,1+4*($D$5-$C$5)/($E$5-$C$5),1+4*($E$5-$D$5)/($E$5-$C$5),$C$5,$E$5)</f>
        <v/>
      </c>
      <c r="N4336" s="14">
        <f>IF($AB4336&lt;($D$6-$C$6)/($E$6-$C$6),$C$6+SQRT($AB4336*($E$6-$C$6)*($D$6-$C$6)),$E$6-SQRT((1-$AB4336)*($E$6-$C$6)*($E$6-$D$6)))</f>
        <v/>
      </c>
      <c r="O4336" s="14">
        <f>_xlfn.NORM.INV($AC4336,$C$7,$D$7)</f>
        <v/>
      </c>
      <c r="P4336" s="14">
        <f>$C$8+($D$8-$C$8)*$AD4336</f>
        <v/>
      </c>
      <c r="Q4336" s="14">
        <f>$C$9</f>
        <v/>
      </c>
      <c r="R4336" s="14">
        <f>_xlfn.LOGNORM.INV($AF4336,LN($C$10)-0.5*LN(1+($D$10/$C$10)^2),SQRT(LN(1+($D$10/$C$10)^2)))</f>
        <v/>
      </c>
      <c r="S4336" s="14">
        <f>SUM(M4336:R4336)</f>
        <v/>
      </c>
      <c r="AA4336">
        <f>RAND()</f>
        <v/>
      </c>
      <c r="AB4336">
        <f>RAND()</f>
        <v/>
      </c>
      <c r="AC4336">
        <f>RAND()</f>
        <v/>
      </c>
      <c r="AD4336">
        <f>RAND()</f>
        <v/>
      </c>
      <c r="AE4336">
        <f>RAND()</f>
        <v/>
      </c>
      <c r="AF4336">
        <f>RAND()</f>
        <v/>
      </c>
    </row>
    <row r="4337">
      <c r="M4337" s="14">
        <f>_xlfn.BETA.INV($AA4337,1+4*($D$5-$C$5)/($E$5-$C$5),1+4*($E$5-$D$5)/($E$5-$C$5),$C$5,$E$5)</f>
        <v/>
      </c>
      <c r="N4337" s="14">
        <f>IF($AB4337&lt;($D$6-$C$6)/($E$6-$C$6),$C$6+SQRT($AB4337*($E$6-$C$6)*($D$6-$C$6)),$E$6-SQRT((1-$AB4337)*($E$6-$C$6)*($E$6-$D$6)))</f>
        <v/>
      </c>
      <c r="O4337" s="14">
        <f>_xlfn.NORM.INV($AC4337,$C$7,$D$7)</f>
        <v/>
      </c>
      <c r="P4337" s="14">
        <f>$C$8+($D$8-$C$8)*$AD4337</f>
        <v/>
      </c>
      <c r="Q4337" s="14">
        <f>$C$9</f>
        <v/>
      </c>
      <c r="R4337" s="14">
        <f>_xlfn.LOGNORM.INV($AF4337,LN($C$10)-0.5*LN(1+($D$10/$C$10)^2),SQRT(LN(1+($D$10/$C$10)^2)))</f>
        <v/>
      </c>
      <c r="S4337" s="14">
        <f>SUM(M4337:R4337)</f>
        <v/>
      </c>
      <c r="AA4337">
        <f>RAND()</f>
        <v/>
      </c>
      <c r="AB4337">
        <f>RAND()</f>
        <v/>
      </c>
      <c r="AC4337">
        <f>RAND()</f>
        <v/>
      </c>
      <c r="AD4337">
        <f>RAND()</f>
        <v/>
      </c>
      <c r="AE4337">
        <f>RAND()</f>
        <v/>
      </c>
      <c r="AF4337">
        <f>RAND()</f>
        <v/>
      </c>
    </row>
    <row r="4338">
      <c r="M4338" s="14">
        <f>_xlfn.BETA.INV($AA4338,1+4*($D$5-$C$5)/($E$5-$C$5),1+4*($E$5-$D$5)/($E$5-$C$5),$C$5,$E$5)</f>
        <v/>
      </c>
      <c r="N4338" s="14">
        <f>IF($AB4338&lt;($D$6-$C$6)/($E$6-$C$6),$C$6+SQRT($AB4338*($E$6-$C$6)*($D$6-$C$6)),$E$6-SQRT((1-$AB4338)*($E$6-$C$6)*($E$6-$D$6)))</f>
        <v/>
      </c>
      <c r="O4338" s="14">
        <f>_xlfn.NORM.INV($AC4338,$C$7,$D$7)</f>
        <v/>
      </c>
      <c r="P4338" s="14">
        <f>$C$8+($D$8-$C$8)*$AD4338</f>
        <v/>
      </c>
      <c r="Q4338" s="14">
        <f>$C$9</f>
        <v/>
      </c>
      <c r="R4338" s="14">
        <f>_xlfn.LOGNORM.INV($AF4338,LN($C$10)-0.5*LN(1+($D$10/$C$10)^2),SQRT(LN(1+($D$10/$C$10)^2)))</f>
        <v/>
      </c>
      <c r="S4338" s="14">
        <f>SUM(M4338:R4338)</f>
        <v/>
      </c>
      <c r="AA4338">
        <f>RAND()</f>
        <v/>
      </c>
      <c r="AB4338">
        <f>RAND()</f>
        <v/>
      </c>
      <c r="AC4338">
        <f>RAND()</f>
        <v/>
      </c>
      <c r="AD4338">
        <f>RAND()</f>
        <v/>
      </c>
      <c r="AE4338">
        <f>RAND()</f>
        <v/>
      </c>
      <c r="AF4338">
        <f>RAND()</f>
        <v/>
      </c>
    </row>
    <row r="4339">
      <c r="M4339" s="14">
        <f>_xlfn.BETA.INV($AA4339,1+4*($D$5-$C$5)/($E$5-$C$5),1+4*($E$5-$D$5)/($E$5-$C$5),$C$5,$E$5)</f>
        <v/>
      </c>
      <c r="N4339" s="14">
        <f>IF($AB4339&lt;($D$6-$C$6)/($E$6-$C$6),$C$6+SQRT($AB4339*($E$6-$C$6)*($D$6-$C$6)),$E$6-SQRT((1-$AB4339)*($E$6-$C$6)*($E$6-$D$6)))</f>
        <v/>
      </c>
      <c r="O4339" s="14">
        <f>_xlfn.NORM.INV($AC4339,$C$7,$D$7)</f>
        <v/>
      </c>
      <c r="P4339" s="14">
        <f>$C$8+($D$8-$C$8)*$AD4339</f>
        <v/>
      </c>
      <c r="Q4339" s="14">
        <f>$C$9</f>
        <v/>
      </c>
      <c r="R4339" s="14">
        <f>_xlfn.LOGNORM.INV($AF4339,LN($C$10)-0.5*LN(1+($D$10/$C$10)^2),SQRT(LN(1+($D$10/$C$10)^2)))</f>
        <v/>
      </c>
      <c r="S4339" s="14">
        <f>SUM(M4339:R4339)</f>
        <v/>
      </c>
      <c r="AA4339">
        <f>RAND()</f>
        <v/>
      </c>
      <c r="AB4339">
        <f>RAND()</f>
        <v/>
      </c>
      <c r="AC4339">
        <f>RAND()</f>
        <v/>
      </c>
      <c r="AD4339">
        <f>RAND()</f>
        <v/>
      </c>
      <c r="AE4339">
        <f>RAND()</f>
        <v/>
      </c>
      <c r="AF4339">
        <f>RAND()</f>
        <v/>
      </c>
    </row>
    <row r="4340">
      <c r="M4340" s="14">
        <f>_xlfn.BETA.INV($AA4340,1+4*($D$5-$C$5)/($E$5-$C$5),1+4*($E$5-$D$5)/($E$5-$C$5),$C$5,$E$5)</f>
        <v/>
      </c>
      <c r="N4340" s="14">
        <f>IF($AB4340&lt;($D$6-$C$6)/($E$6-$C$6),$C$6+SQRT($AB4340*($E$6-$C$6)*($D$6-$C$6)),$E$6-SQRT((1-$AB4340)*($E$6-$C$6)*($E$6-$D$6)))</f>
        <v/>
      </c>
      <c r="O4340" s="14">
        <f>_xlfn.NORM.INV($AC4340,$C$7,$D$7)</f>
        <v/>
      </c>
      <c r="P4340" s="14">
        <f>$C$8+($D$8-$C$8)*$AD4340</f>
        <v/>
      </c>
      <c r="Q4340" s="14">
        <f>$C$9</f>
        <v/>
      </c>
      <c r="R4340" s="14">
        <f>_xlfn.LOGNORM.INV($AF4340,LN($C$10)-0.5*LN(1+($D$10/$C$10)^2),SQRT(LN(1+($D$10/$C$10)^2)))</f>
        <v/>
      </c>
      <c r="S4340" s="14">
        <f>SUM(M4340:R4340)</f>
        <v/>
      </c>
      <c r="AA4340">
        <f>RAND()</f>
        <v/>
      </c>
      <c r="AB4340">
        <f>RAND()</f>
        <v/>
      </c>
      <c r="AC4340">
        <f>RAND()</f>
        <v/>
      </c>
      <c r="AD4340">
        <f>RAND()</f>
        <v/>
      </c>
      <c r="AE4340">
        <f>RAND()</f>
        <v/>
      </c>
      <c r="AF4340">
        <f>RAND()</f>
        <v/>
      </c>
    </row>
    <row r="4341">
      <c r="M4341" s="14">
        <f>_xlfn.BETA.INV($AA4341,1+4*($D$5-$C$5)/($E$5-$C$5),1+4*($E$5-$D$5)/($E$5-$C$5),$C$5,$E$5)</f>
        <v/>
      </c>
      <c r="N4341" s="14">
        <f>IF($AB4341&lt;($D$6-$C$6)/($E$6-$C$6),$C$6+SQRT($AB4341*($E$6-$C$6)*($D$6-$C$6)),$E$6-SQRT((1-$AB4341)*($E$6-$C$6)*($E$6-$D$6)))</f>
        <v/>
      </c>
      <c r="O4341" s="14">
        <f>_xlfn.NORM.INV($AC4341,$C$7,$D$7)</f>
        <v/>
      </c>
      <c r="P4341" s="14">
        <f>$C$8+($D$8-$C$8)*$AD4341</f>
        <v/>
      </c>
      <c r="Q4341" s="14">
        <f>$C$9</f>
        <v/>
      </c>
      <c r="R4341" s="14">
        <f>_xlfn.LOGNORM.INV($AF4341,LN($C$10)-0.5*LN(1+($D$10/$C$10)^2),SQRT(LN(1+($D$10/$C$10)^2)))</f>
        <v/>
      </c>
      <c r="S4341" s="14">
        <f>SUM(M4341:R4341)</f>
        <v/>
      </c>
      <c r="AA4341">
        <f>RAND()</f>
        <v/>
      </c>
      <c r="AB4341">
        <f>RAND()</f>
        <v/>
      </c>
      <c r="AC4341">
        <f>RAND()</f>
        <v/>
      </c>
      <c r="AD4341">
        <f>RAND()</f>
        <v/>
      </c>
      <c r="AE4341">
        <f>RAND()</f>
        <v/>
      </c>
      <c r="AF4341">
        <f>RAND()</f>
        <v/>
      </c>
    </row>
    <row r="4342">
      <c r="M4342" s="14">
        <f>_xlfn.BETA.INV($AA4342,1+4*($D$5-$C$5)/($E$5-$C$5),1+4*($E$5-$D$5)/($E$5-$C$5),$C$5,$E$5)</f>
        <v/>
      </c>
      <c r="N4342" s="14">
        <f>IF($AB4342&lt;($D$6-$C$6)/($E$6-$C$6),$C$6+SQRT($AB4342*($E$6-$C$6)*($D$6-$C$6)),$E$6-SQRT((1-$AB4342)*($E$6-$C$6)*($E$6-$D$6)))</f>
        <v/>
      </c>
      <c r="O4342" s="14">
        <f>_xlfn.NORM.INV($AC4342,$C$7,$D$7)</f>
        <v/>
      </c>
      <c r="P4342" s="14">
        <f>$C$8+($D$8-$C$8)*$AD4342</f>
        <v/>
      </c>
      <c r="Q4342" s="14">
        <f>$C$9</f>
        <v/>
      </c>
      <c r="R4342" s="14">
        <f>_xlfn.LOGNORM.INV($AF4342,LN($C$10)-0.5*LN(1+($D$10/$C$10)^2),SQRT(LN(1+($D$10/$C$10)^2)))</f>
        <v/>
      </c>
      <c r="S4342" s="14">
        <f>SUM(M4342:R4342)</f>
        <v/>
      </c>
      <c r="AA4342">
        <f>RAND()</f>
        <v/>
      </c>
      <c r="AB4342">
        <f>RAND()</f>
        <v/>
      </c>
      <c r="AC4342">
        <f>RAND()</f>
        <v/>
      </c>
      <c r="AD4342">
        <f>RAND()</f>
        <v/>
      </c>
      <c r="AE4342">
        <f>RAND()</f>
        <v/>
      </c>
      <c r="AF4342">
        <f>RAND()</f>
        <v/>
      </c>
    </row>
    <row r="4343">
      <c r="M4343" s="14">
        <f>_xlfn.BETA.INV($AA4343,1+4*($D$5-$C$5)/($E$5-$C$5),1+4*($E$5-$D$5)/($E$5-$C$5),$C$5,$E$5)</f>
        <v/>
      </c>
      <c r="N4343" s="14">
        <f>IF($AB4343&lt;($D$6-$C$6)/($E$6-$C$6),$C$6+SQRT($AB4343*($E$6-$C$6)*($D$6-$C$6)),$E$6-SQRT((1-$AB4343)*($E$6-$C$6)*($E$6-$D$6)))</f>
        <v/>
      </c>
      <c r="O4343" s="14">
        <f>_xlfn.NORM.INV($AC4343,$C$7,$D$7)</f>
        <v/>
      </c>
      <c r="P4343" s="14">
        <f>$C$8+($D$8-$C$8)*$AD4343</f>
        <v/>
      </c>
      <c r="Q4343" s="14">
        <f>$C$9</f>
        <v/>
      </c>
      <c r="R4343" s="14">
        <f>_xlfn.LOGNORM.INV($AF4343,LN($C$10)-0.5*LN(1+($D$10/$C$10)^2),SQRT(LN(1+($D$10/$C$10)^2)))</f>
        <v/>
      </c>
      <c r="S4343" s="14">
        <f>SUM(M4343:R4343)</f>
        <v/>
      </c>
      <c r="AA4343">
        <f>RAND()</f>
        <v/>
      </c>
      <c r="AB4343">
        <f>RAND()</f>
        <v/>
      </c>
      <c r="AC4343">
        <f>RAND()</f>
        <v/>
      </c>
      <c r="AD4343">
        <f>RAND()</f>
        <v/>
      </c>
      <c r="AE4343">
        <f>RAND()</f>
        <v/>
      </c>
      <c r="AF4343">
        <f>RAND()</f>
        <v/>
      </c>
    </row>
    <row r="4344">
      <c r="M4344" s="14">
        <f>_xlfn.BETA.INV($AA4344,1+4*($D$5-$C$5)/($E$5-$C$5),1+4*($E$5-$D$5)/($E$5-$C$5),$C$5,$E$5)</f>
        <v/>
      </c>
      <c r="N4344" s="14">
        <f>IF($AB4344&lt;($D$6-$C$6)/($E$6-$C$6),$C$6+SQRT($AB4344*($E$6-$C$6)*($D$6-$C$6)),$E$6-SQRT((1-$AB4344)*($E$6-$C$6)*($E$6-$D$6)))</f>
        <v/>
      </c>
      <c r="O4344" s="14">
        <f>_xlfn.NORM.INV($AC4344,$C$7,$D$7)</f>
        <v/>
      </c>
      <c r="P4344" s="14">
        <f>$C$8+($D$8-$C$8)*$AD4344</f>
        <v/>
      </c>
      <c r="Q4344" s="14">
        <f>$C$9</f>
        <v/>
      </c>
      <c r="R4344" s="14">
        <f>_xlfn.LOGNORM.INV($AF4344,LN($C$10)-0.5*LN(1+($D$10/$C$10)^2),SQRT(LN(1+($D$10/$C$10)^2)))</f>
        <v/>
      </c>
      <c r="S4344" s="14">
        <f>SUM(M4344:R4344)</f>
        <v/>
      </c>
      <c r="AA4344">
        <f>RAND()</f>
        <v/>
      </c>
      <c r="AB4344">
        <f>RAND()</f>
        <v/>
      </c>
      <c r="AC4344">
        <f>RAND()</f>
        <v/>
      </c>
      <c r="AD4344">
        <f>RAND()</f>
        <v/>
      </c>
      <c r="AE4344">
        <f>RAND()</f>
        <v/>
      </c>
      <c r="AF4344">
        <f>RAND()</f>
        <v/>
      </c>
    </row>
    <row r="4345">
      <c r="M4345" s="14">
        <f>_xlfn.BETA.INV($AA4345,1+4*($D$5-$C$5)/($E$5-$C$5),1+4*($E$5-$D$5)/($E$5-$C$5),$C$5,$E$5)</f>
        <v/>
      </c>
      <c r="N4345" s="14">
        <f>IF($AB4345&lt;($D$6-$C$6)/($E$6-$C$6),$C$6+SQRT($AB4345*($E$6-$C$6)*($D$6-$C$6)),$E$6-SQRT((1-$AB4345)*($E$6-$C$6)*($E$6-$D$6)))</f>
        <v/>
      </c>
      <c r="O4345" s="14">
        <f>_xlfn.NORM.INV($AC4345,$C$7,$D$7)</f>
        <v/>
      </c>
      <c r="P4345" s="14">
        <f>$C$8+($D$8-$C$8)*$AD4345</f>
        <v/>
      </c>
      <c r="Q4345" s="14">
        <f>$C$9</f>
        <v/>
      </c>
      <c r="R4345" s="14">
        <f>_xlfn.LOGNORM.INV($AF4345,LN($C$10)-0.5*LN(1+($D$10/$C$10)^2),SQRT(LN(1+($D$10/$C$10)^2)))</f>
        <v/>
      </c>
      <c r="S4345" s="14">
        <f>SUM(M4345:R4345)</f>
        <v/>
      </c>
      <c r="AA4345">
        <f>RAND()</f>
        <v/>
      </c>
      <c r="AB4345">
        <f>RAND()</f>
        <v/>
      </c>
      <c r="AC4345">
        <f>RAND()</f>
        <v/>
      </c>
      <c r="AD4345">
        <f>RAND()</f>
        <v/>
      </c>
      <c r="AE4345">
        <f>RAND()</f>
        <v/>
      </c>
      <c r="AF4345">
        <f>RAND()</f>
        <v/>
      </c>
    </row>
    <row r="4346">
      <c r="M4346" s="14">
        <f>_xlfn.BETA.INV($AA4346,1+4*($D$5-$C$5)/($E$5-$C$5),1+4*($E$5-$D$5)/($E$5-$C$5),$C$5,$E$5)</f>
        <v/>
      </c>
      <c r="N4346" s="14">
        <f>IF($AB4346&lt;($D$6-$C$6)/($E$6-$C$6),$C$6+SQRT($AB4346*($E$6-$C$6)*($D$6-$C$6)),$E$6-SQRT((1-$AB4346)*($E$6-$C$6)*($E$6-$D$6)))</f>
        <v/>
      </c>
      <c r="O4346" s="14">
        <f>_xlfn.NORM.INV($AC4346,$C$7,$D$7)</f>
        <v/>
      </c>
      <c r="P4346" s="14">
        <f>$C$8+($D$8-$C$8)*$AD4346</f>
        <v/>
      </c>
      <c r="Q4346" s="14">
        <f>$C$9</f>
        <v/>
      </c>
      <c r="R4346" s="14">
        <f>_xlfn.LOGNORM.INV($AF4346,LN($C$10)-0.5*LN(1+($D$10/$C$10)^2),SQRT(LN(1+($D$10/$C$10)^2)))</f>
        <v/>
      </c>
      <c r="S4346" s="14">
        <f>SUM(M4346:R4346)</f>
        <v/>
      </c>
      <c r="AA4346">
        <f>RAND()</f>
        <v/>
      </c>
      <c r="AB4346">
        <f>RAND()</f>
        <v/>
      </c>
      <c r="AC4346">
        <f>RAND()</f>
        <v/>
      </c>
      <c r="AD4346">
        <f>RAND()</f>
        <v/>
      </c>
      <c r="AE4346">
        <f>RAND()</f>
        <v/>
      </c>
      <c r="AF4346">
        <f>RAND()</f>
        <v/>
      </c>
    </row>
    <row r="4347">
      <c r="M4347" s="14">
        <f>_xlfn.BETA.INV($AA4347,1+4*($D$5-$C$5)/($E$5-$C$5),1+4*($E$5-$D$5)/($E$5-$C$5),$C$5,$E$5)</f>
        <v/>
      </c>
      <c r="N4347" s="14">
        <f>IF($AB4347&lt;($D$6-$C$6)/($E$6-$C$6),$C$6+SQRT($AB4347*($E$6-$C$6)*($D$6-$C$6)),$E$6-SQRT((1-$AB4347)*($E$6-$C$6)*($E$6-$D$6)))</f>
        <v/>
      </c>
      <c r="O4347" s="14">
        <f>_xlfn.NORM.INV($AC4347,$C$7,$D$7)</f>
        <v/>
      </c>
      <c r="P4347" s="14">
        <f>$C$8+($D$8-$C$8)*$AD4347</f>
        <v/>
      </c>
      <c r="Q4347" s="14">
        <f>$C$9</f>
        <v/>
      </c>
      <c r="R4347" s="14">
        <f>_xlfn.LOGNORM.INV($AF4347,LN($C$10)-0.5*LN(1+($D$10/$C$10)^2),SQRT(LN(1+($D$10/$C$10)^2)))</f>
        <v/>
      </c>
      <c r="S4347" s="14">
        <f>SUM(M4347:R4347)</f>
        <v/>
      </c>
      <c r="AA4347">
        <f>RAND()</f>
        <v/>
      </c>
      <c r="AB4347">
        <f>RAND()</f>
        <v/>
      </c>
      <c r="AC4347">
        <f>RAND()</f>
        <v/>
      </c>
      <c r="AD4347">
        <f>RAND()</f>
        <v/>
      </c>
      <c r="AE4347">
        <f>RAND()</f>
        <v/>
      </c>
      <c r="AF4347">
        <f>RAND()</f>
        <v/>
      </c>
    </row>
    <row r="4348">
      <c r="M4348" s="14">
        <f>_xlfn.BETA.INV($AA4348,1+4*($D$5-$C$5)/($E$5-$C$5),1+4*($E$5-$D$5)/($E$5-$C$5),$C$5,$E$5)</f>
        <v/>
      </c>
      <c r="N4348" s="14">
        <f>IF($AB4348&lt;($D$6-$C$6)/($E$6-$C$6),$C$6+SQRT($AB4348*($E$6-$C$6)*($D$6-$C$6)),$E$6-SQRT((1-$AB4348)*($E$6-$C$6)*($E$6-$D$6)))</f>
        <v/>
      </c>
      <c r="O4348" s="14">
        <f>_xlfn.NORM.INV($AC4348,$C$7,$D$7)</f>
        <v/>
      </c>
      <c r="P4348" s="14">
        <f>$C$8+($D$8-$C$8)*$AD4348</f>
        <v/>
      </c>
      <c r="Q4348" s="14">
        <f>$C$9</f>
        <v/>
      </c>
      <c r="R4348" s="14">
        <f>_xlfn.LOGNORM.INV($AF4348,LN($C$10)-0.5*LN(1+($D$10/$C$10)^2),SQRT(LN(1+($D$10/$C$10)^2)))</f>
        <v/>
      </c>
      <c r="S4348" s="14">
        <f>SUM(M4348:R4348)</f>
        <v/>
      </c>
      <c r="AA4348">
        <f>RAND()</f>
        <v/>
      </c>
      <c r="AB4348">
        <f>RAND()</f>
        <v/>
      </c>
      <c r="AC4348">
        <f>RAND()</f>
        <v/>
      </c>
      <c r="AD4348">
        <f>RAND()</f>
        <v/>
      </c>
      <c r="AE4348">
        <f>RAND()</f>
        <v/>
      </c>
      <c r="AF4348">
        <f>RAND()</f>
        <v/>
      </c>
    </row>
    <row r="4349">
      <c r="M4349" s="14">
        <f>_xlfn.BETA.INV($AA4349,1+4*($D$5-$C$5)/($E$5-$C$5),1+4*($E$5-$D$5)/($E$5-$C$5),$C$5,$E$5)</f>
        <v/>
      </c>
      <c r="N4349" s="14">
        <f>IF($AB4349&lt;($D$6-$C$6)/($E$6-$C$6),$C$6+SQRT($AB4349*($E$6-$C$6)*($D$6-$C$6)),$E$6-SQRT((1-$AB4349)*($E$6-$C$6)*($E$6-$D$6)))</f>
        <v/>
      </c>
      <c r="O4349" s="14">
        <f>_xlfn.NORM.INV($AC4349,$C$7,$D$7)</f>
        <v/>
      </c>
      <c r="P4349" s="14">
        <f>$C$8+($D$8-$C$8)*$AD4349</f>
        <v/>
      </c>
      <c r="Q4349" s="14">
        <f>$C$9</f>
        <v/>
      </c>
      <c r="R4349" s="14">
        <f>_xlfn.LOGNORM.INV($AF4349,LN($C$10)-0.5*LN(1+($D$10/$C$10)^2),SQRT(LN(1+($D$10/$C$10)^2)))</f>
        <v/>
      </c>
      <c r="S4349" s="14">
        <f>SUM(M4349:R4349)</f>
        <v/>
      </c>
      <c r="AA4349">
        <f>RAND()</f>
        <v/>
      </c>
      <c r="AB4349">
        <f>RAND()</f>
        <v/>
      </c>
      <c r="AC4349">
        <f>RAND()</f>
        <v/>
      </c>
      <c r="AD4349">
        <f>RAND()</f>
        <v/>
      </c>
      <c r="AE4349">
        <f>RAND()</f>
        <v/>
      </c>
      <c r="AF4349">
        <f>RAND()</f>
        <v/>
      </c>
    </row>
    <row r="4350">
      <c r="M4350" s="14">
        <f>_xlfn.BETA.INV($AA4350,1+4*($D$5-$C$5)/($E$5-$C$5),1+4*($E$5-$D$5)/($E$5-$C$5),$C$5,$E$5)</f>
        <v/>
      </c>
      <c r="N4350" s="14">
        <f>IF($AB4350&lt;($D$6-$C$6)/($E$6-$C$6),$C$6+SQRT($AB4350*($E$6-$C$6)*($D$6-$C$6)),$E$6-SQRT((1-$AB4350)*($E$6-$C$6)*($E$6-$D$6)))</f>
        <v/>
      </c>
      <c r="O4350" s="14">
        <f>_xlfn.NORM.INV($AC4350,$C$7,$D$7)</f>
        <v/>
      </c>
      <c r="P4350" s="14">
        <f>$C$8+($D$8-$C$8)*$AD4350</f>
        <v/>
      </c>
      <c r="Q4350" s="14">
        <f>$C$9</f>
        <v/>
      </c>
      <c r="R4350" s="14">
        <f>_xlfn.LOGNORM.INV($AF4350,LN($C$10)-0.5*LN(1+($D$10/$C$10)^2),SQRT(LN(1+($D$10/$C$10)^2)))</f>
        <v/>
      </c>
      <c r="S4350" s="14">
        <f>SUM(M4350:R4350)</f>
        <v/>
      </c>
      <c r="AA4350">
        <f>RAND()</f>
        <v/>
      </c>
      <c r="AB4350">
        <f>RAND()</f>
        <v/>
      </c>
      <c r="AC4350">
        <f>RAND()</f>
        <v/>
      </c>
      <c r="AD4350">
        <f>RAND()</f>
        <v/>
      </c>
      <c r="AE4350">
        <f>RAND()</f>
        <v/>
      </c>
      <c r="AF4350">
        <f>RAND()</f>
        <v/>
      </c>
    </row>
    <row r="4351">
      <c r="M4351" s="14">
        <f>_xlfn.BETA.INV($AA4351,1+4*($D$5-$C$5)/($E$5-$C$5),1+4*($E$5-$D$5)/($E$5-$C$5),$C$5,$E$5)</f>
        <v/>
      </c>
      <c r="N4351" s="14">
        <f>IF($AB4351&lt;($D$6-$C$6)/($E$6-$C$6),$C$6+SQRT($AB4351*($E$6-$C$6)*($D$6-$C$6)),$E$6-SQRT((1-$AB4351)*($E$6-$C$6)*($E$6-$D$6)))</f>
        <v/>
      </c>
      <c r="O4351" s="14">
        <f>_xlfn.NORM.INV($AC4351,$C$7,$D$7)</f>
        <v/>
      </c>
      <c r="P4351" s="14">
        <f>$C$8+($D$8-$C$8)*$AD4351</f>
        <v/>
      </c>
      <c r="Q4351" s="14">
        <f>$C$9</f>
        <v/>
      </c>
      <c r="R4351" s="14">
        <f>_xlfn.LOGNORM.INV($AF4351,LN($C$10)-0.5*LN(1+($D$10/$C$10)^2),SQRT(LN(1+($D$10/$C$10)^2)))</f>
        <v/>
      </c>
      <c r="S4351" s="14">
        <f>SUM(M4351:R4351)</f>
        <v/>
      </c>
      <c r="AA4351">
        <f>RAND()</f>
        <v/>
      </c>
      <c r="AB4351">
        <f>RAND()</f>
        <v/>
      </c>
      <c r="AC4351">
        <f>RAND()</f>
        <v/>
      </c>
      <c r="AD4351">
        <f>RAND()</f>
        <v/>
      </c>
      <c r="AE4351">
        <f>RAND()</f>
        <v/>
      </c>
      <c r="AF4351">
        <f>RAND()</f>
        <v/>
      </c>
    </row>
    <row r="4352">
      <c r="M4352" s="14">
        <f>_xlfn.BETA.INV($AA4352,1+4*($D$5-$C$5)/($E$5-$C$5),1+4*($E$5-$D$5)/($E$5-$C$5),$C$5,$E$5)</f>
        <v/>
      </c>
      <c r="N4352" s="14">
        <f>IF($AB4352&lt;($D$6-$C$6)/($E$6-$C$6),$C$6+SQRT($AB4352*($E$6-$C$6)*($D$6-$C$6)),$E$6-SQRT((1-$AB4352)*($E$6-$C$6)*($E$6-$D$6)))</f>
        <v/>
      </c>
      <c r="O4352" s="14">
        <f>_xlfn.NORM.INV($AC4352,$C$7,$D$7)</f>
        <v/>
      </c>
      <c r="P4352" s="14">
        <f>$C$8+($D$8-$C$8)*$AD4352</f>
        <v/>
      </c>
      <c r="Q4352" s="14">
        <f>$C$9</f>
        <v/>
      </c>
      <c r="R4352" s="14">
        <f>_xlfn.LOGNORM.INV($AF4352,LN($C$10)-0.5*LN(1+($D$10/$C$10)^2),SQRT(LN(1+($D$10/$C$10)^2)))</f>
        <v/>
      </c>
      <c r="S4352" s="14">
        <f>SUM(M4352:R4352)</f>
        <v/>
      </c>
      <c r="AA4352">
        <f>RAND()</f>
        <v/>
      </c>
      <c r="AB4352">
        <f>RAND()</f>
        <v/>
      </c>
      <c r="AC4352">
        <f>RAND()</f>
        <v/>
      </c>
      <c r="AD4352">
        <f>RAND()</f>
        <v/>
      </c>
      <c r="AE4352">
        <f>RAND()</f>
        <v/>
      </c>
      <c r="AF4352">
        <f>RAND()</f>
        <v/>
      </c>
    </row>
    <row r="4353">
      <c r="M4353" s="14">
        <f>_xlfn.BETA.INV($AA4353,1+4*($D$5-$C$5)/($E$5-$C$5),1+4*($E$5-$D$5)/($E$5-$C$5),$C$5,$E$5)</f>
        <v/>
      </c>
      <c r="N4353" s="14">
        <f>IF($AB4353&lt;($D$6-$C$6)/($E$6-$C$6),$C$6+SQRT($AB4353*($E$6-$C$6)*($D$6-$C$6)),$E$6-SQRT((1-$AB4353)*($E$6-$C$6)*($E$6-$D$6)))</f>
        <v/>
      </c>
      <c r="O4353" s="14">
        <f>_xlfn.NORM.INV($AC4353,$C$7,$D$7)</f>
        <v/>
      </c>
      <c r="P4353" s="14">
        <f>$C$8+($D$8-$C$8)*$AD4353</f>
        <v/>
      </c>
      <c r="Q4353" s="14">
        <f>$C$9</f>
        <v/>
      </c>
      <c r="R4353" s="14">
        <f>_xlfn.LOGNORM.INV($AF4353,LN($C$10)-0.5*LN(1+($D$10/$C$10)^2),SQRT(LN(1+($D$10/$C$10)^2)))</f>
        <v/>
      </c>
      <c r="S4353" s="14">
        <f>SUM(M4353:R4353)</f>
        <v/>
      </c>
      <c r="AA4353">
        <f>RAND()</f>
        <v/>
      </c>
      <c r="AB4353">
        <f>RAND()</f>
        <v/>
      </c>
      <c r="AC4353">
        <f>RAND()</f>
        <v/>
      </c>
      <c r="AD4353">
        <f>RAND()</f>
        <v/>
      </c>
      <c r="AE4353">
        <f>RAND()</f>
        <v/>
      </c>
      <c r="AF4353">
        <f>RAND()</f>
        <v/>
      </c>
    </row>
    <row r="4354">
      <c r="M4354" s="14">
        <f>_xlfn.BETA.INV($AA4354,1+4*($D$5-$C$5)/($E$5-$C$5),1+4*($E$5-$D$5)/($E$5-$C$5),$C$5,$E$5)</f>
        <v/>
      </c>
      <c r="N4354" s="14">
        <f>IF($AB4354&lt;($D$6-$C$6)/($E$6-$C$6),$C$6+SQRT($AB4354*($E$6-$C$6)*($D$6-$C$6)),$E$6-SQRT((1-$AB4354)*($E$6-$C$6)*($E$6-$D$6)))</f>
        <v/>
      </c>
      <c r="O4354" s="14">
        <f>_xlfn.NORM.INV($AC4354,$C$7,$D$7)</f>
        <v/>
      </c>
      <c r="P4354" s="14">
        <f>$C$8+($D$8-$C$8)*$AD4354</f>
        <v/>
      </c>
      <c r="Q4354" s="14">
        <f>$C$9</f>
        <v/>
      </c>
      <c r="R4354" s="14">
        <f>_xlfn.LOGNORM.INV($AF4354,LN($C$10)-0.5*LN(1+($D$10/$C$10)^2),SQRT(LN(1+($D$10/$C$10)^2)))</f>
        <v/>
      </c>
      <c r="S4354" s="14">
        <f>SUM(M4354:R4354)</f>
        <v/>
      </c>
      <c r="AA4354">
        <f>RAND()</f>
        <v/>
      </c>
      <c r="AB4354">
        <f>RAND()</f>
        <v/>
      </c>
      <c r="AC4354">
        <f>RAND()</f>
        <v/>
      </c>
      <c r="AD4354">
        <f>RAND()</f>
        <v/>
      </c>
      <c r="AE4354">
        <f>RAND()</f>
        <v/>
      </c>
      <c r="AF4354">
        <f>RAND()</f>
        <v/>
      </c>
    </row>
    <row r="4355">
      <c r="M4355" s="14">
        <f>_xlfn.BETA.INV($AA4355,1+4*($D$5-$C$5)/($E$5-$C$5),1+4*($E$5-$D$5)/($E$5-$C$5),$C$5,$E$5)</f>
        <v/>
      </c>
      <c r="N4355" s="14">
        <f>IF($AB4355&lt;($D$6-$C$6)/($E$6-$C$6),$C$6+SQRT($AB4355*($E$6-$C$6)*($D$6-$C$6)),$E$6-SQRT((1-$AB4355)*($E$6-$C$6)*($E$6-$D$6)))</f>
        <v/>
      </c>
      <c r="O4355" s="14">
        <f>_xlfn.NORM.INV($AC4355,$C$7,$D$7)</f>
        <v/>
      </c>
      <c r="P4355" s="14">
        <f>$C$8+($D$8-$C$8)*$AD4355</f>
        <v/>
      </c>
      <c r="Q4355" s="14">
        <f>$C$9</f>
        <v/>
      </c>
      <c r="R4355" s="14">
        <f>_xlfn.LOGNORM.INV($AF4355,LN($C$10)-0.5*LN(1+($D$10/$C$10)^2),SQRT(LN(1+($D$10/$C$10)^2)))</f>
        <v/>
      </c>
      <c r="S4355" s="14">
        <f>SUM(M4355:R4355)</f>
        <v/>
      </c>
      <c r="AA4355">
        <f>RAND()</f>
        <v/>
      </c>
      <c r="AB4355">
        <f>RAND()</f>
        <v/>
      </c>
      <c r="AC4355">
        <f>RAND()</f>
        <v/>
      </c>
      <c r="AD4355">
        <f>RAND()</f>
        <v/>
      </c>
      <c r="AE4355">
        <f>RAND()</f>
        <v/>
      </c>
      <c r="AF4355">
        <f>RAND()</f>
        <v/>
      </c>
    </row>
    <row r="4356">
      <c r="M4356" s="14">
        <f>_xlfn.BETA.INV($AA4356,1+4*($D$5-$C$5)/($E$5-$C$5),1+4*($E$5-$D$5)/($E$5-$C$5),$C$5,$E$5)</f>
        <v/>
      </c>
      <c r="N4356" s="14">
        <f>IF($AB4356&lt;($D$6-$C$6)/($E$6-$C$6),$C$6+SQRT($AB4356*($E$6-$C$6)*($D$6-$C$6)),$E$6-SQRT((1-$AB4356)*($E$6-$C$6)*($E$6-$D$6)))</f>
        <v/>
      </c>
      <c r="O4356" s="14">
        <f>_xlfn.NORM.INV($AC4356,$C$7,$D$7)</f>
        <v/>
      </c>
      <c r="P4356" s="14">
        <f>$C$8+($D$8-$C$8)*$AD4356</f>
        <v/>
      </c>
      <c r="Q4356" s="14">
        <f>$C$9</f>
        <v/>
      </c>
      <c r="R4356" s="14">
        <f>_xlfn.LOGNORM.INV($AF4356,LN($C$10)-0.5*LN(1+($D$10/$C$10)^2),SQRT(LN(1+($D$10/$C$10)^2)))</f>
        <v/>
      </c>
      <c r="S4356" s="14">
        <f>SUM(M4356:R4356)</f>
        <v/>
      </c>
      <c r="AA4356">
        <f>RAND()</f>
        <v/>
      </c>
      <c r="AB4356">
        <f>RAND()</f>
        <v/>
      </c>
      <c r="AC4356">
        <f>RAND()</f>
        <v/>
      </c>
      <c r="AD4356">
        <f>RAND()</f>
        <v/>
      </c>
      <c r="AE4356">
        <f>RAND()</f>
        <v/>
      </c>
      <c r="AF4356">
        <f>RAND()</f>
        <v/>
      </c>
    </row>
    <row r="4357">
      <c r="M4357" s="14">
        <f>_xlfn.BETA.INV($AA4357,1+4*($D$5-$C$5)/($E$5-$C$5),1+4*($E$5-$D$5)/($E$5-$C$5),$C$5,$E$5)</f>
        <v/>
      </c>
      <c r="N4357" s="14">
        <f>IF($AB4357&lt;($D$6-$C$6)/($E$6-$C$6),$C$6+SQRT($AB4357*($E$6-$C$6)*($D$6-$C$6)),$E$6-SQRT((1-$AB4357)*($E$6-$C$6)*($E$6-$D$6)))</f>
        <v/>
      </c>
      <c r="O4357" s="14">
        <f>_xlfn.NORM.INV($AC4357,$C$7,$D$7)</f>
        <v/>
      </c>
      <c r="P4357" s="14">
        <f>$C$8+($D$8-$C$8)*$AD4357</f>
        <v/>
      </c>
      <c r="Q4357" s="14">
        <f>$C$9</f>
        <v/>
      </c>
      <c r="R4357" s="14">
        <f>_xlfn.LOGNORM.INV($AF4357,LN($C$10)-0.5*LN(1+($D$10/$C$10)^2),SQRT(LN(1+($D$10/$C$10)^2)))</f>
        <v/>
      </c>
      <c r="S4357" s="14">
        <f>SUM(M4357:R4357)</f>
        <v/>
      </c>
      <c r="AA4357">
        <f>RAND()</f>
        <v/>
      </c>
      <c r="AB4357">
        <f>RAND()</f>
        <v/>
      </c>
      <c r="AC4357">
        <f>RAND()</f>
        <v/>
      </c>
      <c r="AD4357">
        <f>RAND()</f>
        <v/>
      </c>
      <c r="AE4357">
        <f>RAND()</f>
        <v/>
      </c>
      <c r="AF4357">
        <f>RAND()</f>
        <v/>
      </c>
    </row>
    <row r="4358">
      <c r="M4358" s="14">
        <f>_xlfn.BETA.INV($AA4358,1+4*($D$5-$C$5)/($E$5-$C$5),1+4*($E$5-$D$5)/($E$5-$C$5),$C$5,$E$5)</f>
        <v/>
      </c>
      <c r="N4358" s="14">
        <f>IF($AB4358&lt;($D$6-$C$6)/($E$6-$C$6),$C$6+SQRT($AB4358*($E$6-$C$6)*($D$6-$C$6)),$E$6-SQRT((1-$AB4358)*($E$6-$C$6)*($E$6-$D$6)))</f>
        <v/>
      </c>
      <c r="O4358" s="14">
        <f>_xlfn.NORM.INV($AC4358,$C$7,$D$7)</f>
        <v/>
      </c>
      <c r="P4358" s="14">
        <f>$C$8+($D$8-$C$8)*$AD4358</f>
        <v/>
      </c>
      <c r="Q4358" s="14">
        <f>$C$9</f>
        <v/>
      </c>
      <c r="R4358" s="14">
        <f>_xlfn.LOGNORM.INV($AF4358,LN($C$10)-0.5*LN(1+($D$10/$C$10)^2),SQRT(LN(1+($D$10/$C$10)^2)))</f>
        <v/>
      </c>
      <c r="S4358" s="14">
        <f>SUM(M4358:R4358)</f>
        <v/>
      </c>
      <c r="AA4358">
        <f>RAND()</f>
        <v/>
      </c>
      <c r="AB4358">
        <f>RAND()</f>
        <v/>
      </c>
      <c r="AC4358">
        <f>RAND()</f>
        <v/>
      </c>
      <c r="AD4358">
        <f>RAND()</f>
        <v/>
      </c>
      <c r="AE4358">
        <f>RAND()</f>
        <v/>
      </c>
      <c r="AF4358">
        <f>RAND()</f>
        <v/>
      </c>
    </row>
    <row r="4359">
      <c r="M4359" s="14">
        <f>_xlfn.BETA.INV($AA4359,1+4*($D$5-$C$5)/($E$5-$C$5),1+4*($E$5-$D$5)/($E$5-$C$5),$C$5,$E$5)</f>
        <v/>
      </c>
      <c r="N4359" s="14">
        <f>IF($AB4359&lt;($D$6-$C$6)/($E$6-$C$6),$C$6+SQRT($AB4359*($E$6-$C$6)*($D$6-$C$6)),$E$6-SQRT((1-$AB4359)*($E$6-$C$6)*($E$6-$D$6)))</f>
        <v/>
      </c>
      <c r="O4359" s="14">
        <f>_xlfn.NORM.INV($AC4359,$C$7,$D$7)</f>
        <v/>
      </c>
      <c r="P4359" s="14">
        <f>$C$8+($D$8-$C$8)*$AD4359</f>
        <v/>
      </c>
      <c r="Q4359" s="14">
        <f>$C$9</f>
        <v/>
      </c>
      <c r="R4359" s="14">
        <f>_xlfn.LOGNORM.INV($AF4359,LN($C$10)-0.5*LN(1+($D$10/$C$10)^2),SQRT(LN(1+($D$10/$C$10)^2)))</f>
        <v/>
      </c>
      <c r="S4359" s="14">
        <f>SUM(M4359:R4359)</f>
        <v/>
      </c>
      <c r="AA4359">
        <f>RAND()</f>
        <v/>
      </c>
      <c r="AB4359">
        <f>RAND()</f>
        <v/>
      </c>
      <c r="AC4359">
        <f>RAND()</f>
        <v/>
      </c>
      <c r="AD4359">
        <f>RAND()</f>
        <v/>
      </c>
      <c r="AE4359">
        <f>RAND()</f>
        <v/>
      </c>
      <c r="AF4359">
        <f>RAND()</f>
        <v/>
      </c>
    </row>
    <row r="4360">
      <c r="M4360" s="14">
        <f>_xlfn.BETA.INV($AA4360,1+4*($D$5-$C$5)/($E$5-$C$5),1+4*($E$5-$D$5)/($E$5-$C$5),$C$5,$E$5)</f>
        <v/>
      </c>
      <c r="N4360" s="14">
        <f>IF($AB4360&lt;($D$6-$C$6)/($E$6-$C$6),$C$6+SQRT($AB4360*($E$6-$C$6)*($D$6-$C$6)),$E$6-SQRT((1-$AB4360)*($E$6-$C$6)*($E$6-$D$6)))</f>
        <v/>
      </c>
      <c r="O4360" s="14">
        <f>_xlfn.NORM.INV($AC4360,$C$7,$D$7)</f>
        <v/>
      </c>
      <c r="P4360" s="14">
        <f>$C$8+($D$8-$C$8)*$AD4360</f>
        <v/>
      </c>
      <c r="Q4360" s="14">
        <f>$C$9</f>
        <v/>
      </c>
      <c r="R4360" s="14">
        <f>_xlfn.LOGNORM.INV($AF4360,LN($C$10)-0.5*LN(1+($D$10/$C$10)^2),SQRT(LN(1+($D$10/$C$10)^2)))</f>
        <v/>
      </c>
      <c r="S4360" s="14">
        <f>SUM(M4360:R4360)</f>
        <v/>
      </c>
      <c r="AA4360">
        <f>RAND()</f>
        <v/>
      </c>
      <c r="AB4360">
        <f>RAND()</f>
        <v/>
      </c>
      <c r="AC4360">
        <f>RAND()</f>
        <v/>
      </c>
      <c r="AD4360">
        <f>RAND()</f>
        <v/>
      </c>
      <c r="AE4360">
        <f>RAND()</f>
        <v/>
      </c>
      <c r="AF4360">
        <f>RAND()</f>
        <v/>
      </c>
    </row>
    <row r="4361">
      <c r="M4361" s="14">
        <f>_xlfn.BETA.INV($AA4361,1+4*($D$5-$C$5)/($E$5-$C$5),1+4*($E$5-$D$5)/($E$5-$C$5),$C$5,$E$5)</f>
        <v/>
      </c>
      <c r="N4361" s="14">
        <f>IF($AB4361&lt;($D$6-$C$6)/($E$6-$C$6),$C$6+SQRT($AB4361*($E$6-$C$6)*($D$6-$C$6)),$E$6-SQRT((1-$AB4361)*($E$6-$C$6)*($E$6-$D$6)))</f>
        <v/>
      </c>
      <c r="O4361" s="14">
        <f>_xlfn.NORM.INV($AC4361,$C$7,$D$7)</f>
        <v/>
      </c>
      <c r="P4361" s="14">
        <f>$C$8+($D$8-$C$8)*$AD4361</f>
        <v/>
      </c>
      <c r="Q4361" s="14">
        <f>$C$9</f>
        <v/>
      </c>
      <c r="R4361" s="14">
        <f>_xlfn.LOGNORM.INV($AF4361,LN($C$10)-0.5*LN(1+($D$10/$C$10)^2),SQRT(LN(1+($D$10/$C$10)^2)))</f>
        <v/>
      </c>
      <c r="S4361" s="14">
        <f>SUM(M4361:R4361)</f>
        <v/>
      </c>
      <c r="AA4361">
        <f>RAND()</f>
        <v/>
      </c>
      <c r="AB4361">
        <f>RAND()</f>
        <v/>
      </c>
      <c r="AC4361">
        <f>RAND()</f>
        <v/>
      </c>
      <c r="AD4361">
        <f>RAND()</f>
        <v/>
      </c>
      <c r="AE4361">
        <f>RAND()</f>
        <v/>
      </c>
      <c r="AF4361">
        <f>RAND()</f>
        <v/>
      </c>
    </row>
    <row r="4362">
      <c r="M4362" s="14">
        <f>_xlfn.BETA.INV($AA4362,1+4*($D$5-$C$5)/($E$5-$C$5),1+4*($E$5-$D$5)/($E$5-$C$5),$C$5,$E$5)</f>
        <v/>
      </c>
      <c r="N4362" s="14">
        <f>IF($AB4362&lt;($D$6-$C$6)/($E$6-$C$6),$C$6+SQRT($AB4362*($E$6-$C$6)*($D$6-$C$6)),$E$6-SQRT((1-$AB4362)*($E$6-$C$6)*($E$6-$D$6)))</f>
        <v/>
      </c>
      <c r="O4362" s="14">
        <f>_xlfn.NORM.INV($AC4362,$C$7,$D$7)</f>
        <v/>
      </c>
      <c r="P4362" s="14">
        <f>$C$8+($D$8-$C$8)*$AD4362</f>
        <v/>
      </c>
      <c r="Q4362" s="14">
        <f>$C$9</f>
        <v/>
      </c>
      <c r="R4362" s="14">
        <f>_xlfn.LOGNORM.INV($AF4362,LN($C$10)-0.5*LN(1+($D$10/$C$10)^2),SQRT(LN(1+($D$10/$C$10)^2)))</f>
        <v/>
      </c>
      <c r="S4362" s="14">
        <f>SUM(M4362:R4362)</f>
        <v/>
      </c>
      <c r="AA4362">
        <f>RAND()</f>
        <v/>
      </c>
      <c r="AB4362">
        <f>RAND()</f>
        <v/>
      </c>
      <c r="AC4362">
        <f>RAND()</f>
        <v/>
      </c>
      <c r="AD4362">
        <f>RAND()</f>
        <v/>
      </c>
      <c r="AE4362">
        <f>RAND()</f>
        <v/>
      </c>
      <c r="AF4362">
        <f>RAND()</f>
        <v/>
      </c>
    </row>
    <row r="4363">
      <c r="M4363" s="14">
        <f>_xlfn.BETA.INV($AA4363,1+4*($D$5-$C$5)/($E$5-$C$5),1+4*($E$5-$D$5)/($E$5-$C$5),$C$5,$E$5)</f>
        <v/>
      </c>
      <c r="N4363" s="14">
        <f>IF($AB4363&lt;($D$6-$C$6)/($E$6-$C$6),$C$6+SQRT($AB4363*($E$6-$C$6)*($D$6-$C$6)),$E$6-SQRT((1-$AB4363)*($E$6-$C$6)*($E$6-$D$6)))</f>
        <v/>
      </c>
      <c r="O4363" s="14">
        <f>_xlfn.NORM.INV($AC4363,$C$7,$D$7)</f>
        <v/>
      </c>
      <c r="P4363" s="14">
        <f>$C$8+($D$8-$C$8)*$AD4363</f>
        <v/>
      </c>
      <c r="Q4363" s="14">
        <f>$C$9</f>
        <v/>
      </c>
      <c r="R4363" s="14">
        <f>_xlfn.LOGNORM.INV($AF4363,LN($C$10)-0.5*LN(1+($D$10/$C$10)^2),SQRT(LN(1+($D$10/$C$10)^2)))</f>
        <v/>
      </c>
      <c r="S4363" s="14">
        <f>SUM(M4363:R4363)</f>
        <v/>
      </c>
      <c r="AA4363">
        <f>RAND()</f>
        <v/>
      </c>
      <c r="AB4363">
        <f>RAND()</f>
        <v/>
      </c>
      <c r="AC4363">
        <f>RAND()</f>
        <v/>
      </c>
      <c r="AD4363">
        <f>RAND()</f>
        <v/>
      </c>
      <c r="AE4363">
        <f>RAND()</f>
        <v/>
      </c>
      <c r="AF4363">
        <f>RAND()</f>
        <v/>
      </c>
    </row>
    <row r="4364">
      <c r="M4364" s="14">
        <f>_xlfn.BETA.INV($AA4364,1+4*($D$5-$C$5)/($E$5-$C$5),1+4*($E$5-$D$5)/($E$5-$C$5),$C$5,$E$5)</f>
        <v/>
      </c>
      <c r="N4364" s="14">
        <f>IF($AB4364&lt;($D$6-$C$6)/($E$6-$C$6),$C$6+SQRT($AB4364*($E$6-$C$6)*($D$6-$C$6)),$E$6-SQRT((1-$AB4364)*($E$6-$C$6)*($E$6-$D$6)))</f>
        <v/>
      </c>
      <c r="O4364" s="14">
        <f>_xlfn.NORM.INV($AC4364,$C$7,$D$7)</f>
        <v/>
      </c>
      <c r="P4364" s="14">
        <f>$C$8+($D$8-$C$8)*$AD4364</f>
        <v/>
      </c>
      <c r="Q4364" s="14">
        <f>$C$9</f>
        <v/>
      </c>
      <c r="R4364" s="14">
        <f>_xlfn.LOGNORM.INV($AF4364,LN($C$10)-0.5*LN(1+($D$10/$C$10)^2),SQRT(LN(1+($D$10/$C$10)^2)))</f>
        <v/>
      </c>
      <c r="S4364" s="14">
        <f>SUM(M4364:R4364)</f>
        <v/>
      </c>
      <c r="AA4364">
        <f>RAND()</f>
        <v/>
      </c>
      <c r="AB4364">
        <f>RAND()</f>
        <v/>
      </c>
      <c r="AC4364">
        <f>RAND()</f>
        <v/>
      </c>
      <c r="AD4364">
        <f>RAND()</f>
        <v/>
      </c>
      <c r="AE4364">
        <f>RAND()</f>
        <v/>
      </c>
      <c r="AF4364">
        <f>RAND()</f>
        <v/>
      </c>
    </row>
    <row r="4365">
      <c r="M4365" s="14">
        <f>_xlfn.BETA.INV($AA4365,1+4*($D$5-$C$5)/($E$5-$C$5),1+4*($E$5-$D$5)/($E$5-$C$5),$C$5,$E$5)</f>
        <v/>
      </c>
      <c r="N4365" s="14">
        <f>IF($AB4365&lt;($D$6-$C$6)/($E$6-$C$6),$C$6+SQRT($AB4365*($E$6-$C$6)*($D$6-$C$6)),$E$6-SQRT((1-$AB4365)*($E$6-$C$6)*($E$6-$D$6)))</f>
        <v/>
      </c>
      <c r="O4365" s="14">
        <f>_xlfn.NORM.INV($AC4365,$C$7,$D$7)</f>
        <v/>
      </c>
      <c r="P4365" s="14">
        <f>$C$8+($D$8-$C$8)*$AD4365</f>
        <v/>
      </c>
      <c r="Q4365" s="14">
        <f>$C$9</f>
        <v/>
      </c>
      <c r="R4365" s="14">
        <f>_xlfn.LOGNORM.INV($AF4365,LN($C$10)-0.5*LN(1+($D$10/$C$10)^2),SQRT(LN(1+($D$10/$C$10)^2)))</f>
        <v/>
      </c>
      <c r="S4365" s="14">
        <f>SUM(M4365:R4365)</f>
        <v/>
      </c>
      <c r="AA4365">
        <f>RAND()</f>
        <v/>
      </c>
      <c r="AB4365">
        <f>RAND()</f>
        <v/>
      </c>
      <c r="AC4365">
        <f>RAND()</f>
        <v/>
      </c>
      <c r="AD4365">
        <f>RAND()</f>
        <v/>
      </c>
      <c r="AE4365">
        <f>RAND()</f>
        <v/>
      </c>
      <c r="AF4365">
        <f>RAND()</f>
        <v/>
      </c>
    </row>
    <row r="4366">
      <c r="M4366" s="14">
        <f>_xlfn.BETA.INV($AA4366,1+4*($D$5-$C$5)/($E$5-$C$5),1+4*($E$5-$D$5)/($E$5-$C$5),$C$5,$E$5)</f>
        <v/>
      </c>
      <c r="N4366" s="14">
        <f>IF($AB4366&lt;($D$6-$C$6)/($E$6-$C$6),$C$6+SQRT($AB4366*($E$6-$C$6)*($D$6-$C$6)),$E$6-SQRT((1-$AB4366)*($E$6-$C$6)*($E$6-$D$6)))</f>
        <v/>
      </c>
      <c r="O4366" s="14">
        <f>_xlfn.NORM.INV($AC4366,$C$7,$D$7)</f>
        <v/>
      </c>
      <c r="P4366" s="14">
        <f>$C$8+($D$8-$C$8)*$AD4366</f>
        <v/>
      </c>
      <c r="Q4366" s="14">
        <f>$C$9</f>
        <v/>
      </c>
      <c r="R4366" s="14">
        <f>_xlfn.LOGNORM.INV($AF4366,LN($C$10)-0.5*LN(1+($D$10/$C$10)^2),SQRT(LN(1+($D$10/$C$10)^2)))</f>
        <v/>
      </c>
      <c r="S4366" s="14">
        <f>SUM(M4366:R4366)</f>
        <v/>
      </c>
      <c r="AA4366">
        <f>RAND()</f>
        <v/>
      </c>
      <c r="AB4366">
        <f>RAND()</f>
        <v/>
      </c>
      <c r="AC4366">
        <f>RAND()</f>
        <v/>
      </c>
      <c r="AD4366">
        <f>RAND()</f>
        <v/>
      </c>
      <c r="AE4366">
        <f>RAND()</f>
        <v/>
      </c>
      <c r="AF4366">
        <f>RAND()</f>
        <v/>
      </c>
    </row>
    <row r="4367">
      <c r="M4367" s="14">
        <f>_xlfn.BETA.INV($AA4367,1+4*($D$5-$C$5)/($E$5-$C$5),1+4*($E$5-$D$5)/($E$5-$C$5),$C$5,$E$5)</f>
        <v/>
      </c>
      <c r="N4367" s="14">
        <f>IF($AB4367&lt;($D$6-$C$6)/($E$6-$C$6),$C$6+SQRT($AB4367*($E$6-$C$6)*($D$6-$C$6)),$E$6-SQRT((1-$AB4367)*($E$6-$C$6)*($E$6-$D$6)))</f>
        <v/>
      </c>
      <c r="O4367" s="14">
        <f>_xlfn.NORM.INV($AC4367,$C$7,$D$7)</f>
        <v/>
      </c>
      <c r="P4367" s="14">
        <f>$C$8+($D$8-$C$8)*$AD4367</f>
        <v/>
      </c>
      <c r="Q4367" s="14">
        <f>$C$9</f>
        <v/>
      </c>
      <c r="R4367" s="14">
        <f>_xlfn.LOGNORM.INV($AF4367,LN($C$10)-0.5*LN(1+($D$10/$C$10)^2),SQRT(LN(1+($D$10/$C$10)^2)))</f>
        <v/>
      </c>
      <c r="S4367" s="14">
        <f>SUM(M4367:R4367)</f>
        <v/>
      </c>
      <c r="AA4367">
        <f>RAND()</f>
        <v/>
      </c>
      <c r="AB4367">
        <f>RAND()</f>
        <v/>
      </c>
      <c r="AC4367">
        <f>RAND()</f>
        <v/>
      </c>
      <c r="AD4367">
        <f>RAND()</f>
        <v/>
      </c>
      <c r="AE4367">
        <f>RAND()</f>
        <v/>
      </c>
      <c r="AF4367">
        <f>RAND()</f>
        <v/>
      </c>
    </row>
    <row r="4368">
      <c r="M4368" s="14">
        <f>_xlfn.BETA.INV($AA4368,1+4*($D$5-$C$5)/($E$5-$C$5),1+4*($E$5-$D$5)/($E$5-$C$5),$C$5,$E$5)</f>
        <v/>
      </c>
      <c r="N4368" s="14">
        <f>IF($AB4368&lt;($D$6-$C$6)/($E$6-$C$6),$C$6+SQRT($AB4368*($E$6-$C$6)*($D$6-$C$6)),$E$6-SQRT((1-$AB4368)*($E$6-$C$6)*($E$6-$D$6)))</f>
        <v/>
      </c>
      <c r="O4368" s="14">
        <f>_xlfn.NORM.INV($AC4368,$C$7,$D$7)</f>
        <v/>
      </c>
      <c r="P4368" s="14">
        <f>$C$8+($D$8-$C$8)*$AD4368</f>
        <v/>
      </c>
      <c r="Q4368" s="14">
        <f>$C$9</f>
        <v/>
      </c>
      <c r="R4368" s="14">
        <f>_xlfn.LOGNORM.INV($AF4368,LN($C$10)-0.5*LN(1+($D$10/$C$10)^2),SQRT(LN(1+($D$10/$C$10)^2)))</f>
        <v/>
      </c>
      <c r="S4368" s="14">
        <f>SUM(M4368:R4368)</f>
        <v/>
      </c>
      <c r="AA4368">
        <f>RAND()</f>
        <v/>
      </c>
      <c r="AB4368">
        <f>RAND()</f>
        <v/>
      </c>
      <c r="AC4368">
        <f>RAND()</f>
        <v/>
      </c>
      <c r="AD4368">
        <f>RAND()</f>
        <v/>
      </c>
      <c r="AE4368">
        <f>RAND()</f>
        <v/>
      </c>
      <c r="AF4368">
        <f>RAND()</f>
        <v/>
      </c>
    </row>
    <row r="4369">
      <c r="M4369" s="14">
        <f>_xlfn.BETA.INV($AA4369,1+4*($D$5-$C$5)/($E$5-$C$5),1+4*($E$5-$D$5)/($E$5-$C$5),$C$5,$E$5)</f>
        <v/>
      </c>
      <c r="N4369" s="14">
        <f>IF($AB4369&lt;($D$6-$C$6)/($E$6-$C$6),$C$6+SQRT($AB4369*($E$6-$C$6)*($D$6-$C$6)),$E$6-SQRT((1-$AB4369)*($E$6-$C$6)*($E$6-$D$6)))</f>
        <v/>
      </c>
      <c r="O4369" s="14">
        <f>_xlfn.NORM.INV($AC4369,$C$7,$D$7)</f>
        <v/>
      </c>
      <c r="P4369" s="14">
        <f>$C$8+($D$8-$C$8)*$AD4369</f>
        <v/>
      </c>
      <c r="Q4369" s="14">
        <f>$C$9</f>
        <v/>
      </c>
      <c r="R4369" s="14">
        <f>_xlfn.LOGNORM.INV($AF4369,LN($C$10)-0.5*LN(1+($D$10/$C$10)^2),SQRT(LN(1+($D$10/$C$10)^2)))</f>
        <v/>
      </c>
      <c r="S4369" s="14">
        <f>SUM(M4369:R4369)</f>
        <v/>
      </c>
      <c r="AA4369">
        <f>RAND()</f>
        <v/>
      </c>
      <c r="AB4369">
        <f>RAND()</f>
        <v/>
      </c>
      <c r="AC4369">
        <f>RAND()</f>
        <v/>
      </c>
      <c r="AD4369">
        <f>RAND()</f>
        <v/>
      </c>
      <c r="AE4369">
        <f>RAND()</f>
        <v/>
      </c>
      <c r="AF4369">
        <f>RAND()</f>
        <v/>
      </c>
    </row>
    <row r="4370">
      <c r="M4370" s="14">
        <f>_xlfn.BETA.INV($AA4370,1+4*($D$5-$C$5)/($E$5-$C$5),1+4*($E$5-$D$5)/($E$5-$C$5),$C$5,$E$5)</f>
        <v/>
      </c>
      <c r="N4370" s="14">
        <f>IF($AB4370&lt;($D$6-$C$6)/($E$6-$C$6),$C$6+SQRT($AB4370*($E$6-$C$6)*($D$6-$C$6)),$E$6-SQRT((1-$AB4370)*($E$6-$C$6)*($E$6-$D$6)))</f>
        <v/>
      </c>
      <c r="O4370" s="14">
        <f>_xlfn.NORM.INV($AC4370,$C$7,$D$7)</f>
        <v/>
      </c>
      <c r="P4370" s="14">
        <f>$C$8+($D$8-$C$8)*$AD4370</f>
        <v/>
      </c>
      <c r="Q4370" s="14">
        <f>$C$9</f>
        <v/>
      </c>
      <c r="R4370" s="14">
        <f>_xlfn.LOGNORM.INV($AF4370,LN($C$10)-0.5*LN(1+($D$10/$C$10)^2),SQRT(LN(1+($D$10/$C$10)^2)))</f>
        <v/>
      </c>
      <c r="S4370" s="14">
        <f>SUM(M4370:R4370)</f>
        <v/>
      </c>
      <c r="AA4370">
        <f>RAND()</f>
        <v/>
      </c>
      <c r="AB4370">
        <f>RAND()</f>
        <v/>
      </c>
      <c r="AC4370">
        <f>RAND()</f>
        <v/>
      </c>
      <c r="AD4370">
        <f>RAND()</f>
        <v/>
      </c>
      <c r="AE4370">
        <f>RAND()</f>
        <v/>
      </c>
      <c r="AF4370">
        <f>RAND()</f>
        <v/>
      </c>
    </row>
    <row r="4371">
      <c r="M4371" s="14">
        <f>_xlfn.BETA.INV($AA4371,1+4*($D$5-$C$5)/($E$5-$C$5),1+4*($E$5-$D$5)/($E$5-$C$5),$C$5,$E$5)</f>
        <v/>
      </c>
      <c r="N4371" s="14">
        <f>IF($AB4371&lt;($D$6-$C$6)/($E$6-$C$6),$C$6+SQRT($AB4371*($E$6-$C$6)*($D$6-$C$6)),$E$6-SQRT((1-$AB4371)*($E$6-$C$6)*($E$6-$D$6)))</f>
        <v/>
      </c>
      <c r="O4371" s="14">
        <f>_xlfn.NORM.INV($AC4371,$C$7,$D$7)</f>
        <v/>
      </c>
      <c r="P4371" s="14">
        <f>$C$8+($D$8-$C$8)*$AD4371</f>
        <v/>
      </c>
      <c r="Q4371" s="14">
        <f>$C$9</f>
        <v/>
      </c>
      <c r="R4371" s="14">
        <f>_xlfn.LOGNORM.INV($AF4371,LN($C$10)-0.5*LN(1+($D$10/$C$10)^2),SQRT(LN(1+($D$10/$C$10)^2)))</f>
        <v/>
      </c>
      <c r="S4371" s="14">
        <f>SUM(M4371:R4371)</f>
        <v/>
      </c>
      <c r="AA4371">
        <f>RAND()</f>
        <v/>
      </c>
      <c r="AB4371">
        <f>RAND()</f>
        <v/>
      </c>
      <c r="AC4371">
        <f>RAND()</f>
        <v/>
      </c>
      <c r="AD4371">
        <f>RAND()</f>
        <v/>
      </c>
      <c r="AE4371">
        <f>RAND()</f>
        <v/>
      </c>
      <c r="AF4371">
        <f>RAND()</f>
        <v/>
      </c>
    </row>
    <row r="4372">
      <c r="M4372" s="14">
        <f>_xlfn.BETA.INV($AA4372,1+4*($D$5-$C$5)/($E$5-$C$5),1+4*($E$5-$D$5)/($E$5-$C$5),$C$5,$E$5)</f>
        <v/>
      </c>
      <c r="N4372" s="14">
        <f>IF($AB4372&lt;($D$6-$C$6)/($E$6-$C$6),$C$6+SQRT($AB4372*($E$6-$C$6)*($D$6-$C$6)),$E$6-SQRT((1-$AB4372)*($E$6-$C$6)*($E$6-$D$6)))</f>
        <v/>
      </c>
      <c r="O4372" s="14">
        <f>_xlfn.NORM.INV($AC4372,$C$7,$D$7)</f>
        <v/>
      </c>
      <c r="P4372" s="14">
        <f>$C$8+($D$8-$C$8)*$AD4372</f>
        <v/>
      </c>
      <c r="Q4372" s="14">
        <f>$C$9</f>
        <v/>
      </c>
      <c r="R4372" s="14">
        <f>_xlfn.LOGNORM.INV($AF4372,LN($C$10)-0.5*LN(1+($D$10/$C$10)^2),SQRT(LN(1+($D$10/$C$10)^2)))</f>
        <v/>
      </c>
      <c r="S4372" s="14">
        <f>SUM(M4372:R4372)</f>
        <v/>
      </c>
      <c r="AA4372">
        <f>RAND()</f>
        <v/>
      </c>
      <c r="AB4372">
        <f>RAND()</f>
        <v/>
      </c>
      <c r="AC4372">
        <f>RAND()</f>
        <v/>
      </c>
      <c r="AD4372">
        <f>RAND()</f>
        <v/>
      </c>
      <c r="AE4372">
        <f>RAND()</f>
        <v/>
      </c>
      <c r="AF4372">
        <f>RAND()</f>
        <v/>
      </c>
    </row>
    <row r="4373">
      <c r="M4373" s="14">
        <f>_xlfn.BETA.INV($AA4373,1+4*($D$5-$C$5)/($E$5-$C$5),1+4*($E$5-$D$5)/($E$5-$C$5),$C$5,$E$5)</f>
        <v/>
      </c>
      <c r="N4373" s="14">
        <f>IF($AB4373&lt;($D$6-$C$6)/($E$6-$C$6),$C$6+SQRT($AB4373*($E$6-$C$6)*($D$6-$C$6)),$E$6-SQRT((1-$AB4373)*($E$6-$C$6)*($E$6-$D$6)))</f>
        <v/>
      </c>
      <c r="O4373" s="14">
        <f>_xlfn.NORM.INV($AC4373,$C$7,$D$7)</f>
        <v/>
      </c>
      <c r="P4373" s="14">
        <f>$C$8+($D$8-$C$8)*$AD4373</f>
        <v/>
      </c>
      <c r="Q4373" s="14">
        <f>$C$9</f>
        <v/>
      </c>
      <c r="R4373" s="14">
        <f>_xlfn.LOGNORM.INV($AF4373,LN($C$10)-0.5*LN(1+($D$10/$C$10)^2),SQRT(LN(1+($D$10/$C$10)^2)))</f>
        <v/>
      </c>
      <c r="S4373" s="14">
        <f>SUM(M4373:R4373)</f>
        <v/>
      </c>
      <c r="AA4373">
        <f>RAND()</f>
        <v/>
      </c>
      <c r="AB4373">
        <f>RAND()</f>
        <v/>
      </c>
      <c r="AC4373">
        <f>RAND()</f>
        <v/>
      </c>
      <c r="AD4373">
        <f>RAND()</f>
        <v/>
      </c>
      <c r="AE4373">
        <f>RAND()</f>
        <v/>
      </c>
      <c r="AF4373">
        <f>RAND()</f>
        <v/>
      </c>
    </row>
    <row r="4374">
      <c r="M4374" s="14">
        <f>_xlfn.BETA.INV($AA4374,1+4*($D$5-$C$5)/($E$5-$C$5),1+4*($E$5-$D$5)/($E$5-$C$5),$C$5,$E$5)</f>
        <v/>
      </c>
      <c r="N4374" s="14">
        <f>IF($AB4374&lt;($D$6-$C$6)/($E$6-$C$6),$C$6+SQRT($AB4374*($E$6-$C$6)*($D$6-$C$6)),$E$6-SQRT((1-$AB4374)*($E$6-$C$6)*($E$6-$D$6)))</f>
        <v/>
      </c>
      <c r="O4374" s="14">
        <f>_xlfn.NORM.INV($AC4374,$C$7,$D$7)</f>
        <v/>
      </c>
      <c r="P4374" s="14">
        <f>$C$8+($D$8-$C$8)*$AD4374</f>
        <v/>
      </c>
      <c r="Q4374" s="14">
        <f>$C$9</f>
        <v/>
      </c>
      <c r="R4374" s="14">
        <f>_xlfn.LOGNORM.INV($AF4374,LN($C$10)-0.5*LN(1+($D$10/$C$10)^2),SQRT(LN(1+($D$10/$C$10)^2)))</f>
        <v/>
      </c>
      <c r="S4374" s="14">
        <f>SUM(M4374:R4374)</f>
        <v/>
      </c>
      <c r="AA4374">
        <f>RAND()</f>
        <v/>
      </c>
      <c r="AB4374">
        <f>RAND()</f>
        <v/>
      </c>
      <c r="AC4374">
        <f>RAND()</f>
        <v/>
      </c>
      <c r="AD4374">
        <f>RAND()</f>
        <v/>
      </c>
      <c r="AE4374">
        <f>RAND()</f>
        <v/>
      </c>
      <c r="AF4374">
        <f>RAND()</f>
        <v/>
      </c>
    </row>
    <row r="4375">
      <c r="M4375" s="14">
        <f>_xlfn.BETA.INV($AA4375,1+4*($D$5-$C$5)/($E$5-$C$5),1+4*($E$5-$D$5)/($E$5-$C$5),$C$5,$E$5)</f>
        <v/>
      </c>
      <c r="N4375" s="14">
        <f>IF($AB4375&lt;($D$6-$C$6)/($E$6-$C$6),$C$6+SQRT($AB4375*($E$6-$C$6)*($D$6-$C$6)),$E$6-SQRT((1-$AB4375)*($E$6-$C$6)*($E$6-$D$6)))</f>
        <v/>
      </c>
      <c r="O4375" s="14">
        <f>_xlfn.NORM.INV($AC4375,$C$7,$D$7)</f>
        <v/>
      </c>
      <c r="P4375" s="14">
        <f>$C$8+($D$8-$C$8)*$AD4375</f>
        <v/>
      </c>
      <c r="Q4375" s="14">
        <f>$C$9</f>
        <v/>
      </c>
      <c r="R4375" s="14">
        <f>_xlfn.LOGNORM.INV($AF4375,LN($C$10)-0.5*LN(1+($D$10/$C$10)^2),SQRT(LN(1+($D$10/$C$10)^2)))</f>
        <v/>
      </c>
      <c r="S4375" s="14">
        <f>SUM(M4375:R4375)</f>
        <v/>
      </c>
      <c r="AA4375">
        <f>RAND()</f>
        <v/>
      </c>
      <c r="AB4375">
        <f>RAND()</f>
        <v/>
      </c>
      <c r="AC4375">
        <f>RAND()</f>
        <v/>
      </c>
      <c r="AD4375">
        <f>RAND()</f>
        <v/>
      </c>
      <c r="AE4375">
        <f>RAND()</f>
        <v/>
      </c>
      <c r="AF4375">
        <f>RAND()</f>
        <v/>
      </c>
    </row>
    <row r="4376">
      <c r="M4376" s="14">
        <f>_xlfn.BETA.INV($AA4376,1+4*($D$5-$C$5)/($E$5-$C$5),1+4*($E$5-$D$5)/($E$5-$C$5),$C$5,$E$5)</f>
        <v/>
      </c>
      <c r="N4376" s="14">
        <f>IF($AB4376&lt;($D$6-$C$6)/($E$6-$C$6),$C$6+SQRT($AB4376*($E$6-$C$6)*($D$6-$C$6)),$E$6-SQRT((1-$AB4376)*($E$6-$C$6)*($E$6-$D$6)))</f>
        <v/>
      </c>
      <c r="O4376" s="14">
        <f>_xlfn.NORM.INV($AC4376,$C$7,$D$7)</f>
        <v/>
      </c>
      <c r="P4376" s="14">
        <f>$C$8+($D$8-$C$8)*$AD4376</f>
        <v/>
      </c>
      <c r="Q4376" s="14">
        <f>$C$9</f>
        <v/>
      </c>
      <c r="R4376" s="14">
        <f>_xlfn.LOGNORM.INV($AF4376,LN($C$10)-0.5*LN(1+($D$10/$C$10)^2),SQRT(LN(1+($D$10/$C$10)^2)))</f>
        <v/>
      </c>
      <c r="S4376" s="14">
        <f>SUM(M4376:R4376)</f>
        <v/>
      </c>
      <c r="AA4376">
        <f>RAND()</f>
        <v/>
      </c>
      <c r="AB4376">
        <f>RAND()</f>
        <v/>
      </c>
      <c r="AC4376">
        <f>RAND()</f>
        <v/>
      </c>
      <c r="AD4376">
        <f>RAND()</f>
        <v/>
      </c>
      <c r="AE4376">
        <f>RAND()</f>
        <v/>
      </c>
      <c r="AF4376">
        <f>RAND()</f>
        <v/>
      </c>
    </row>
    <row r="4377">
      <c r="M4377" s="14">
        <f>_xlfn.BETA.INV($AA4377,1+4*($D$5-$C$5)/($E$5-$C$5),1+4*($E$5-$D$5)/($E$5-$C$5),$C$5,$E$5)</f>
        <v/>
      </c>
      <c r="N4377" s="14">
        <f>IF($AB4377&lt;($D$6-$C$6)/($E$6-$C$6),$C$6+SQRT($AB4377*($E$6-$C$6)*($D$6-$C$6)),$E$6-SQRT((1-$AB4377)*($E$6-$C$6)*($E$6-$D$6)))</f>
        <v/>
      </c>
      <c r="O4377" s="14">
        <f>_xlfn.NORM.INV($AC4377,$C$7,$D$7)</f>
        <v/>
      </c>
      <c r="P4377" s="14">
        <f>$C$8+($D$8-$C$8)*$AD4377</f>
        <v/>
      </c>
      <c r="Q4377" s="14">
        <f>$C$9</f>
        <v/>
      </c>
      <c r="R4377" s="14">
        <f>_xlfn.LOGNORM.INV($AF4377,LN($C$10)-0.5*LN(1+($D$10/$C$10)^2),SQRT(LN(1+($D$10/$C$10)^2)))</f>
        <v/>
      </c>
      <c r="S4377" s="14">
        <f>SUM(M4377:R4377)</f>
        <v/>
      </c>
      <c r="AA4377">
        <f>RAND()</f>
        <v/>
      </c>
      <c r="AB4377">
        <f>RAND()</f>
        <v/>
      </c>
      <c r="AC4377">
        <f>RAND()</f>
        <v/>
      </c>
      <c r="AD4377">
        <f>RAND()</f>
        <v/>
      </c>
      <c r="AE4377">
        <f>RAND()</f>
        <v/>
      </c>
      <c r="AF4377">
        <f>RAND()</f>
        <v/>
      </c>
    </row>
    <row r="4378">
      <c r="M4378" s="14">
        <f>_xlfn.BETA.INV($AA4378,1+4*($D$5-$C$5)/($E$5-$C$5),1+4*($E$5-$D$5)/($E$5-$C$5),$C$5,$E$5)</f>
        <v/>
      </c>
      <c r="N4378" s="14">
        <f>IF($AB4378&lt;($D$6-$C$6)/($E$6-$C$6),$C$6+SQRT($AB4378*($E$6-$C$6)*($D$6-$C$6)),$E$6-SQRT((1-$AB4378)*($E$6-$C$6)*($E$6-$D$6)))</f>
        <v/>
      </c>
      <c r="O4378" s="14">
        <f>_xlfn.NORM.INV($AC4378,$C$7,$D$7)</f>
        <v/>
      </c>
      <c r="P4378" s="14">
        <f>$C$8+($D$8-$C$8)*$AD4378</f>
        <v/>
      </c>
      <c r="Q4378" s="14">
        <f>$C$9</f>
        <v/>
      </c>
      <c r="R4378" s="14">
        <f>_xlfn.LOGNORM.INV($AF4378,LN($C$10)-0.5*LN(1+($D$10/$C$10)^2),SQRT(LN(1+($D$10/$C$10)^2)))</f>
        <v/>
      </c>
      <c r="S4378" s="14">
        <f>SUM(M4378:R4378)</f>
        <v/>
      </c>
      <c r="AA4378">
        <f>RAND()</f>
        <v/>
      </c>
      <c r="AB4378">
        <f>RAND()</f>
        <v/>
      </c>
      <c r="AC4378">
        <f>RAND()</f>
        <v/>
      </c>
      <c r="AD4378">
        <f>RAND()</f>
        <v/>
      </c>
      <c r="AE4378">
        <f>RAND()</f>
        <v/>
      </c>
      <c r="AF4378">
        <f>RAND()</f>
        <v/>
      </c>
    </row>
    <row r="4379">
      <c r="M4379" s="14">
        <f>_xlfn.BETA.INV($AA4379,1+4*($D$5-$C$5)/($E$5-$C$5),1+4*($E$5-$D$5)/($E$5-$C$5),$C$5,$E$5)</f>
        <v/>
      </c>
      <c r="N4379" s="14">
        <f>IF($AB4379&lt;($D$6-$C$6)/($E$6-$C$6),$C$6+SQRT($AB4379*($E$6-$C$6)*($D$6-$C$6)),$E$6-SQRT((1-$AB4379)*($E$6-$C$6)*($E$6-$D$6)))</f>
        <v/>
      </c>
      <c r="O4379" s="14">
        <f>_xlfn.NORM.INV($AC4379,$C$7,$D$7)</f>
        <v/>
      </c>
      <c r="P4379" s="14">
        <f>$C$8+($D$8-$C$8)*$AD4379</f>
        <v/>
      </c>
      <c r="Q4379" s="14">
        <f>$C$9</f>
        <v/>
      </c>
      <c r="R4379" s="14">
        <f>_xlfn.LOGNORM.INV($AF4379,LN($C$10)-0.5*LN(1+($D$10/$C$10)^2),SQRT(LN(1+($D$10/$C$10)^2)))</f>
        <v/>
      </c>
      <c r="S4379" s="14">
        <f>SUM(M4379:R4379)</f>
        <v/>
      </c>
      <c r="AA4379">
        <f>RAND()</f>
        <v/>
      </c>
      <c r="AB4379">
        <f>RAND()</f>
        <v/>
      </c>
      <c r="AC4379">
        <f>RAND()</f>
        <v/>
      </c>
      <c r="AD4379">
        <f>RAND()</f>
        <v/>
      </c>
      <c r="AE4379">
        <f>RAND()</f>
        <v/>
      </c>
      <c r="AF4379">
        <f>RAND()</f>
        <v/>
      </c>
    </row>
    <row r="4380">
      <c r="M4380" s="14">
        <f>_xlfn.BETA.INV($AA4380,1+4*($D$5-$C$5)/($E$5-$C$5),1+4*($E$5-$D$5)/($E$5-$C$5),$C$5,$E$5)</f>
        <v/>
      </c>
      <c r="N4380" s="14">
        <f>IF($AB4380&lt;($D$6-$C$6)/($E$6-$C$6),$C$6+SQRT($AB4380*($E$6-$C$6)*($D$6-$C$6)),$E$6-SQRT((1-$AB4380)*($E$6-$C$6)*($E$6-$D$6)))</f>
        <v/>
      </c>
      <c r="O4380" s="14">
        <f>_xlfn.NORM.INV($AC4380,$C$7,$D$7)</f>
        <v/>
      </c>
      <c r="P4380" s="14">
        <f>$C$8+($D$8-$C$8)*$AD4380</f>
        <v/>
      </c>
      <c r="Q4380" s="14">
        <f>$C$9</f>
        <v/>
      </c>
      <c r="R4380" s="14">
        <f>_xlfn.LOGNORM.INV($AF4380,LN($C$10)-0.5*LN(1+($D$10/$C$10)^2),SQRT(LN(1+($D$10/$C$10)^2)))</f>
        <v/>
      </c>
      <c r="S4380" s="14">
        <f>SUM(M4380:R4380)</f>
        <v/>
      </c>
      <c r="AA4380">
        <f>RAND()</f>
        <v/>
      </c>
      <c r="AB4380">
        <f>RAND()</f>
        <v/>
      </c>
      <c r="AC4380">
        <f>RAND()</f>
        <v/>
      </c>
      <c r="AD4380">
        <f>RAND()</f>
        <v/>
      </c>
      <c r="AE4380">
        <f>RAND()</f>
        <v/>
      </c>
      <c r="AF4380">
        <f>RAND()</f>
        <v/>
      </c>
    </row>
    <row r="4381">
      <c r="M4381" s="14">
        <f>_xlfn.BETA.INV($AA4381,1+4*($D$5-$C$5)/($E$5-$C$5),1+4*($E$5-$D$5)/($E$5-$C$5),$C$5,$E$5)</f>
        <v/>
      </c>
      <c r="N4381" s="14">
        <f>IF($AB4381&lt;($D$6-$C$6)/($E$6-$C$6),$C$6+SQRT($AB4381*($E$6-$C$6)*($D$6-$C$6)),$E$6-SQRT((1-$AB4381)*($E$6-$C$6)*($E$6-$D$6)))</f>
        <v/>
      </c>
      <c r="O4381" s="14">
        <f>_xlfn.NORM.INV($AC4381,$C$7,$D$7)</f>
        <v/>
      </c>
      <c r="P4381" s="14">
        <f>$C$8+($D$8-$C$8)*$AD4381</f>
        <v/>
      </c>
      <c r="Q4381" s="14">
        <f>$C$9</f>
        <v/>
      </c>
      <c r="R4381" s="14">
        <f>_xlfn.LOGNORM.INV($AF4381,LN($C$10)-0.5*LN(1+($D$10/$C$10)^2),SQRT(LN(1+($D$10/$C$10)^2)))</f>
        <v/>
      </c>
      <c r="S4381" s="14">
        <f>SUM(M4381:R4381)</f>
        <v/>
      </c>
      <c r="AA4381">
        <f>RAND()</f>
        <v/>
      </c>
      <c r="AB4381">
        <f>RAND()</f>
        <v/>
      </c>
      <c r="AC4381">
        <f>RAND()</f>
        <v/>
      </c>
      <c r="AD4381">
        <f>RAND()</f>
        <v/>
      </c>
      <c r="AE4381">
        <f>RAND()</f>
        <v/>
      </c>
      <c r="AF4381">
        <f>RAND()</f>
        <v/>
      </c>
    </row>
    <row r="4382">
      <c r="M4382" s="14">
        <f>_xlfn.BETA.INV($AA4382,1+4*($D$5-$C$5)/($E$5-$C$5),1+4*($E$5-$D$5)/($E$5-$C$5),$C$5,$E$5)</f>
        <v/>
      </c>
      <c r="N4382" s="14">
        <f>IF($AB4382&lt;($D$6-$C$6)/($E$6-$C$6),$C$6+SQRT($AB4382*($E$6-$C$6)*($D$6-$C$6)),$E$6-SQRT((1-$AB4382)*($E$6-$C$6)*($E$6-$D$6)))</f>
        <v/>
      </c>
      <c r="O4382" s="14">
        <f>_xlfn.NORM.INV($AC4382,$C$7,$D$7)</f>
        <v/>
      </c>
      <c r="P4382" s="14">
        <f>$C$8+($D$8-$C$8)*$AD4382</f>
        <v/>
      </c>
      <c r="Q4382" s="14">
        <f>$C$9</f>
        <v/>
      </c>
      <c r="R4382" s="14">
        <f>_xlfn.LOGNORM.INV($AF4382,LN($C$10)-0.5*LN(1+($D$10/$C$10)^2),SQRT(LN(1+($D$10/$C$10)^2)))</f>
        <v/>
      </c>
      <c r="S4382" s="14">
        <f>SUM(M4382:R4382)</f>
        <v/>
      </c>
      <c r="AA4382">
        <f>RAND()</f>
        <v/>
      </c>
      <c r="AB4382">
        <f>RAND()</f>
        <v/>
      </c>
      <c r="AC4382">
        <f>RAND()</f>
        <v/>
      </c>
      <c r="AD4382">
        <f>RAND()</f>
        <v/>
      </c>
      <c r="AE4382">
        <f>RAND()</f>
        <v/>
      </c>
      <c r="AF4382">
        <f>RAND()</f>
        <v/>
      </c>
    </row>
    <row r="4383">
      <c r="M4383" s="14">
        <f>_xlfn.BETA.INV($AA4383,1+4*($D$5-$C$5)/($E$5-$C$5),1+4*($E$5-$D$5)/($E$5-$C$5),$C$5,$E$5)</f>
        <v/>
      </c>
      <c r="N4383" s="14">
        <f>IF($AB4383&lt;($D$6-$C$6)/($E$6-$C$6),$C$6+SQRT($AB4383*($E$6-$C$6)*($D$6-$C$6)),$E$6-SQRT((1-$AB4383)*($E$6-$C$6)*($E$6-$D$6)))</f>
        <v/>
      </c>
      <c r="O4383" s="14">
        <f>_xlfn.NORM.INV($AC4383,$C$7,$D$7)</f>
        <v/>
      </c>
      <c r="P4383" s="14">
        <f>$C$8+($D$8-$C$8)*$AD4383</f>
        <v/>
      </c>
      <c r="Q4383" s="14">
        <f>$C$9</f>
        <v/>
      </c>
      <c r="R4383" s="14">
        <f>_xlfn.LOGNORM.INV($AF4383,LN($C$10)-0.5*LN(1+($D$10/$C$10)^2),SQRT(LN(1+($D$10/$C$10)^2)))</f>
        <v/>
      </c>
      <c r="S4383" s="14">
        <f>SUM(M4383:R4383)</f>
        <v/>
      </c>
      <c r="AA4383">
        <f>RAND()</f>
        <v/>
      </c>
      <c r="AB4383">
        <f>RAND()</f>
        <v/>
      </c>
      <c r="AC4383">
        <f>RAND()</f>
        <v/>
      </c>
      <c r="AD4383">
        <f>RAND()</f>
        <v/>
      </c>
      <c r="AE4383">
        <f>RAND()</f>
        <v/>
      </c>
      <c r="AF4383">
        <f>RAND()</f>
        <v/>
      </c>
    </row>
    <row r="4384">
      <c r="M4384" s="14">
        <f>_xlfn.BETA.INV($AA4384,1+4*($D$5-$C$5)/($E$5-$C$5),1+4*($E$5-$D$5)/($E$5-$C$5),$C$5,$E$5)</f>
        <v/>
      </c>
      <c r="N4384" s="14">
        <f>IF($AB4384&lt;($D$6-$C$6)/($E$6-$C$6),$C$6+SQRT($AB4384*($E$6-$C$6)*($D$6-$C$6)),$E$6-SQRT((1-$AB4384)*($E$6-$C$6)*($E$6-$D$6)))</f>
        <v/>
      </c>
      <c r="O4384" s="14">
        <f>_xlfn.NORM.INV($AC4384,$C$7,$D$7)</f>
        <v/>
      </c>
      <c r="P4384" s="14">
        <f>$C$8+($D$8-$C$8)*$AD4384</f>
        <v/>
      </c>
      <c r="Q4384" s="14">
        <f>$C$9</f>
        <v/>
      </c>
      <c r="R4384" s="14">
        <f>_xlfn.LOGNORM.INV($AF4384,LN($C$10)-0.5*LN(1+($D$10/$C$10)^2),SQRT(LN(1+($D$10/$C$10)^2)))</f>
        <v/>
      </c>
      <c r="S4384" s="14">
        <f>SUM(M4384:R4384)</f>
        <v/>
      </c>
      <c r="AA4384">
        <f>RAND()</f>
        <v/>
      </c>
      <c r="AB4384">
        <f>RAND()</f>
        <v/>
      </c>
      <c r="AC4384">
        <f>RAND()</f>
        <v/>
      </c>
      <c r="AD4384">
        <f>RAND()</f>
        <v/>
      </c>
      <c r="AE4384">
        <f>RAND()</f>
        <v/>
      </c>
      <c r="AF4384">
        <f>RAND()</f>
        <v/>
      </c>
    </row>
    <row r="4385">
      <c r="M4385" s="14">
        <f>_xlfn.BETA.INV($AA4385,1+4*($D$5-$C$5)/($E$5-$C$5),1+4*($E$5-$D$5)/($E$5-$C$5),$C$5,$E$5)</f>
        <v/>
      </c>
      <c r="N4385" s="14">
        <f>IF($AB4385&lt;($D$6-$C$6)/($E$6-$C$6),$C$6+SQRT($AB4385*($E$6-$C$6)*($D$6-$C$6)),$E$6-SQRT((1-$AB4385)*($E$6-$C$6)*($E$6-$D$6)))</f>
        <v/>
      </c>
      <c r="O4385" s="14">
        <f>_xlfn.NORM.INV($AC4385,$C$7,$D$7)</f>
        <v/>
      </c>
      <c r="P4385" s="14">
        <f>$C$8+($D$8-$C$8)*$AD4385</f>
        <v/>
      </c>
      <c r="Q4385" s="14">
        <f>$C$9</f>
        <v/>
      </c>
      <c r="R4385" s="14">
        <f>_xlfn.LOGNORM.INV($AF4385,LN($C$10)-0.5*LN(1+($D$10/$C$10)^2),SQRT(LN(1+($D$10/$C$10)^2)))</f>
        <v/>
      </c>
      <c r="S4385" s="14">
        <f>SUM(M4385:R4385)</f>
        <v/>
      </c>
      <c r="AA4385">
        <f>RAND()</f>
        <v/>
      </c>
      <c r="AB4385">
        <f>RAND()</f>
        <v/>
      </c>
      <c r="AC4385">
        <f>RAND()</f>
        <v/>
      </c>
      <c r="AD4385">
        <f>RAND()</f>
        <v/>
      </c>
      <c r="AE4385">
        <f>RAND()</f>
        <v/>
      </c>
      <c r="AF4385">
        <f>RAND()</f>
        <v/>
      </c>
    </row>
    <row r="4386">
      <c r="M4386" s="14">
        <f>_xlfn.BETA.INV($AA4386,1+4*($D$5-$C$5)/($E$5-$C$5),1+4*($E$5-$D$5)/($E$5-$C$5),$C$5,$E$5)</f>
        <v/>
      </c>
      <c r="N4386" s="14">
        <f>IF($AB4386&lt;($D$6-$C$6)/($E$6-$C$6),$C$6+SQRT($AB4386*($E$6-$C$6)*($D$6-$C$6)),$E$6-SQRT((1-$AB4386)*($E$6-$C$6)*($E$6-$D$6)))</f>
        <v/>
      </c>
      <c r="O4386" s="14">
        <f>_xlfn.NORM.INV($AC4386,$C$7,$D$7)</f>
        <v/>
      </c>
      <c r="P4386" s="14">
        <f>$C$8+($D$8-$C$8)*$AD4386</f>
        <v/>
      </c>
      <c r="Q4386" s="14">
        <f>$C$9</f>
        <v/>
      </c>
      <c r="R4386" s="14">
        <f>_xlfn.LOGNORM.INV($AF4386,LN($C$10)-0.5*LN(1+($D$10/$C$10)^2),SQRT(LN(1+($D$10/$C$10)^2)))</f>
        <v/>
      </c>
      <c r="S4386" s="14">
        <f>SUM(M4386:R4386)</f>
        <v/>
      </c>
      <c r="AA4386">
        <f>RAND()</f>
        <v/>
      </c>
      <c r="AB4386">
        <f>RAND()</f>
        <v/>
      </c>
      <c r="AC4386">
        <f>RAND()</f>
        <v/>
      </c>
      <c r="AD4386">
        <f>RAND()</f>
        <v/>
      </c>
      <c r="AE4386">
        <f>RAND()</f>
        <v/>
      </c>
      <c r="AF4386">
        <f>RAND()</f>
        <v/>
      </c>
    </row>
    <row r="4387">
      <c r="M4387" s="14">
        <f>_xlfn.BETA.INV($AA4387,1+4*($D$5-$C$5)/($E$5-$C$5),1+4*($E$5-$D$5)/($E$5-$C$5),$C$5,$E$5)</f>
        <v/>
      </c>
      <c r="N4387" s="14">
        <f>IF($AB4387&lt;($D$6-$C$6)/($E$6-$C$6),$C$6+SQRT($AB4387*($E$6-$C$6)*($D$6-$C$6)),$E$6-SQRT((1-$AB4387)*($E$6-$C$6)*($E$6-$D$6)))</f>
        <v/>
      </c>
      <c r="O4387" s="14">
        <f>_xlfn.NORM.INV($AC4387,$C$7,$D$7)</f>
        <v/>
      </c>
      <c r="P4387" s="14">
        <f>$C$8+($D$8-$C$8)*$AD4387</f>
        <v/>
      </c>
      <c r="Q4387" s="14">
        <f>$C$9</f>
        <v/>
      </c>
      <c r="R4387" s="14">
        <f>_xlfn.LOGNORM.INV($AF4387,LN($C$10)-0.5*LN(1+($D$10/$C$10)^2),SQRT(LN(1+($D$10/$C$10)^2)))</f>
        <v/>
      </c>
      <c r="S4387" s="14">
        <f>SUM(M4387:R4387)</f>
        <v/>
      </c>
      <c r="AA4387">
        <f>RAND()</f>
        <v/>
      </c>
      <c r="AB4387">
        <f>RAND()</f>
        <v/>
      </c>
      <c r="AC4387">
        <f>RAND()</f>
        <v/>
      </c>
      <c r="AD4387">
        <f>RAND()</f>
        <v/>
      </c>
      <c r="AE4387">
        <f>RAND()</f>
        <v/>
      </c>
      <c r="AF4387">
        <f>RAND()</f>
        <v/>
      </c>
    </row>
    <row r="4388">
      <c r="M4388" s="14">
        <f>_xlfn.BETA.INV($AA4388,1+4*($D$5-$C$5)/($E$5-$C$5),1+4*($E$5-$D$5)/($E$5-$C$5),$C$5,$E$5)</f>
        <v/>
      </c>
      <c r="N4388" s="14">
        <f>IF($AB4388&lt;($D$6-$C$6)/($E$6-$C$6),$C$6+SQRT($AB4388*($E$6-$C$6)*($D$6-$C$6)),$E$6-SQRT((1-$AB4388)*($E$6-$C$6)*($E$6-$D$6)))</f>
        <v/>
      </c>
      <c r="O4388" s="14">
        <f>_xlfn.NORM.INV($AC4388,$C$7,$D$7)</f>
        <v/>
      </c>
      <c r="P4388" s="14">
        <f>$C$8+($D$8-$C$8)*$AD4388</f>
        <v/>
      </c>
      <c r="Q4388" s="14">
        <f>$C$9</f>
        <v/>
      </c>
      <c r="R4388" s="14">
        <f>_xlfn.LOGNORM.INV($AF4388,LN($C$10)-0.5*LN(1+($D$10/$C$10)^2),SQRT(LN(1+($D$10/$C$10)^2)))</f>
        <v/>
      </c>
      <c r="S4388" s="14">
        <f>SUM(M4388:R4388)</f>
        <v/>
      </c>
      <c r="AA4388">
        <f>RAND()</f>
        <v/>
      </c>
      <c r="AB4388">
        <f>RAND()</f>
        <v/>
      </c>
      <c r="AC4388">
        <f>RAND()</f>
        <v/>
      </c>
      <c r="AD4388">
        <f>RAND()</f>
        <v/>
      </c>
      <c r="AE4388">
        <f>RAND()</f>
        <v/>
      </c>
      <c r="AF4388">
        <f>RAND()</f>
        <v/>
      </c>
    </row>
    <row r="4389">
      <c r="M4389" s="14">
        <f>_xlfn.BETA.INV($AA4389,1+4*($D$5-$C$5)/($E$5-$C$5),1+4*($E$5-$D$5)/($E$5-$C$5),$C$5,$E$5)</f>
        <v/>
      </c>
      <c r="N4389" s="14">
        <f>IF($AB4389&lt;($D$6-$C$6)/($E$6-$C$6),$C$6+SQRT($AB4389*($E$6-$C$6)*($D$6-$C$6)),$E$6-SQRT((1-$AB4389)*($E$6-$C$6)*($E$6-$D$6)))</f>
        <v/>
      </c>
      <c r="O4389" s="14">
        <f>_xlfn.NORM.INV($AC4389,$C$7,$D$7)</f>
        <v/>
      </c>
      <c r="P4389" s="14">
        <f>$C$8+($D$8-$C$8)*$AD4389</f>
        <v/>
      </c>
      <c r="Q4389" s="14">
        <f>$C$9</f>
        <v/>
      </c>
      <c r="R4389" s="14">
        <f>_xlfn.LOGNORM.INV($AF4389,LN($C$10)-0.5*LN(1+($D$10/$C$10)^2),SQRT(LN(1+($D$10/$C$10)^2)))</f>
        <v/>
      </c>
      <c r="S4389" s="14">
        <f>SUM(M4389:R4389)</f>
        <v/>
      </c>
      <c r="AA4389">
        <f>RAND()</f>
        <v/>
      </c>
      <c r="AB4389">
        <f>RAND()</f>
        <v/>
      </c>
      <c r="AC4389">
        <f>RAND()</f>
        <v/>
      </c>
      <c r="AD4389">
        <f>RAND()</f>
        <v/>
      </c>
      <c r="AE4389">
        <f>RAND()</f>
        <v/>
      </c>
      <c r="AF4389">
        <f>RAND()</f>
        <v/>
      </c>
    </row>
    <row r="4390">
      <c r="M4390" s="14">
        <f>_xlfn.BETA.INV($AA4390,1+4*($D$5-$C$5)/($E$5-$C$5),1+4*($E$5-$D$5)/($E$5-$C$5),$C$5,$E$5)</f>
        <v/>
      </c>
      <c r="N4390" s="14">
        <f>IF($AB4390&lt;($D$6-$C$6)/($E$6-$C$6),$C$6+SQRT($AB4390*($E$6-$C$6)*($D$6-$C$6)),$E$6-SQRT((1-$AB4390)*($E$6-$C$6)*($E$6-$D$6)))</f>
        <v/>
      </c>
      <c r="O4390" s="14">
        <f>_xlfn.NORM.INV($AC4390,$C$7,$D$7)</f>
        <v/>
      </c>
      <c r="P4390" s="14">
        <f>$C$8+($D$8-$C$8)*$AD4390</f>
        <v/>
      </c>
      <c r="Q4390" s="14">
        <f>$C$9</f>
        <v/>
      </c>
      <c r="R4390" s="14">
        <f>_xlfn.LOGNORM.INV($AF4390,LN($C$10)-0.5*LN(1+($D$10/$C$10)^2),SQRT(LN(1+($D$10/$C$10)^2)))</f>
        <v/>
      </c>
      <c r="S4390" s="14">
        <f>SUM(M4390:R4390)</f>
        <v/>
      </c>
      <c r="AA4390">
        <f>RAND()</f>
        <v/>
      </c>
      <c r="AB4390">
        <f>RAND()</f>
        <v/>
      </c>
      <c r="AC4390">
        <f>RAND()</f>
        <v/>
      </c>
      <c r="AD4390">
        <f>RAND()</f>
        <v/>
      </c>
      <c r="AE4390">
        <f>RAND()</f>
        <v/>
      </c>
      <c r="AF4390">
        <f>RAND()</f>
        <v/>
      </c>
    </row>
    <row r="4391">
      <c r="M4391" s="14">
        <f>_xlfn.BETA.INV($AA4391,1+4*($D$5-$C$5)/($E$5-$C$5),1+4*($E$5-$D$5)/($E$5-$C$5),$C$5,$E$5)</f>
        <v/>
      </c>
      <c r="N4391" s="14">
        <f>IF($AB4391&lt;($D$6-$C$6)/($E$6-$C$6),$C$6+SQRT($AB4391*($E$6-$C$6)*($D$6-$C$6)),$E$6-SQRT((1-$AB4391)*($E$6-$C$6)*($E$6-$D$6)))</f>
        <v/>
      </c>
      <c r="O4391" s="14">
        <f>_xlfn.NORM.INV($AC4391,$C$7,$D$7)</f>
        <v/>
      </c>
      <c r="P4391" s="14">
        <f>$C$8+($D$8-$C$8)*$AD4391</f>
        <v/>
      </c>
      <c r="Q4391" s="14">
        <f>$C$9</f>
        <v/>
      </c>
      <c r="R4391" s="14">
        <f>_xlfn.LOGNORM.INV($AF4391,LN($C$10)-0.5*LN(1+($D$10/$C$10)^2),SQRT(LN(1+($D$10/$C$10)^2)))</f>
        <v/>
      </c>
      <c r="S4391" s="14">
        <f>SUM(M4391:R4391)</f>
        <v/>
      </c>
      <c r="AA4391">
        <f>RAND()</f>
        <v/>
      </c>
      <c r="AB4391">
        <f>RAND()</f>
        <v/>
      </c>
      <c r="AC4391">
        <f>RAND()</f>
        <v/>
      </c>
      <c r="AD4391">
        <f>RAND()</f>
        <v/>
      </c>
      <c r="AE4391">
        <f>RAND()</f>
        <v/>
      </c>
      <c r="AF4391">
        <f>RAND()</f>
        <v/>
      </c>
    </row>
    <row r="4392">
      <c r="M4392" s="14">
        <f>_xlfn.BETA.INV($AA4392,1+4*($D$5-$C$5)/($E$5-$C$5),1+4*($E$5-$D$5)/($E$5-$C$5),$C$5,$E$5)</f>
        <v/>
      </c>
      <c r="N4392" s="14">
        <f>IF($AB4392&lt;($D$6-$C$6)/($E$6-$C$6),$C$6+SQRT($AB4392*($E$6-$C$6)*($D$6-$C$6)),$E$6-SQRT((1-$AB4392)*($E$6-$C$6)*($E$6-$D$6)))</f>
        <v/>
      </c>
      <c r="O4392" s="14">
        <f>_xlfn.NORM.INV($AC4392,$C$7,$D$7)</f>
        <v/>
      </c>
      <c r="P4392" s="14">
        <f>$C$8+($D$8-$C$8)*$AD4392</f>
        <v/>
      </c>
      <c r="Q4392" s="14">
        <f>$C$9</f>
        <v/>
      </c>
      <c r="R4392" s="14">
        <f>_xlfn.LOGNORM.INV($AF4392,LN($C$10)-0.5*LN(1+($D$10/$C$10)^2),SQRT(LN(1+($D$10/$C$10)^2)))</f>
        <v/>
      </c>
      <c r="S4392" s="14">
        <f>SUM(M4392:R4392)</f>
        <v/>
      </c>
      <c r="AA4392">
        <f>RAND()</f>
        <v/>
      </c>
      <c r="AB4392">
        <f>RAND()</f>
        <v/>
      </c>
      <c r="AC4392">
        <f>RAND()</f>
        <v/>
      </c>
      <c r="AD4392">
        <f>RAND()</f>
        <v/>
      </c>
      <c r="AE4392">
        <f>RAND()</f>
        <v/>
      </c>
      <c r="AF4392">
        <f>RAND()</f>
        <v/>
      </c>
    </row>
    <row r="4393">
      <c r="M4393" s="14">
        <f>_xlfn.BETA.INV($AA4393,1+4*($D$5-$C$5)/($E$5-$C$5),1+4*($E$5-$D$5)/($E$5-$C$5),$C$5,$E$5)</f>
        <v/>
      </c>
      <c r="N4393" s="14">
        <f>IF($AB4393&lt;($D$6-$C$6)/($E$6-$C$6),$C$6+SQRT($AB4393*($E$6-$C$6)*($D$6-$C$6)),$E$6-SQRT((1-$AB4393)*($E$6-$C$6)*($E$6-$D$6)))</f>
        <v/>
      </c>
      <c r="O4393" s="14">
        <f>_xlfn.NORM.INV($AC4393,$C$7,$D$7)</f>
        <v/>
      </c>
      <c r="P4393" s="14">
        <f>$C$8+($D$8-$C$8)*$AD4393</f>
        <v/>
      </c>
      <c r="Q4393" s="14">
        <f>$C$9</f>
        <v/>
      </c>
      <c r="R4393" s="14">
        <f>_xlfn.LOGNORM.INV($AF4393,LN($C$10)-0.5*LN(1+($D$10/$C$10)^2),SQRT(LN(1+($D$10/$C$10)^2)))</f>
        <v/>
      </c>
      <c r="S4393" s="14">
        <f>SUM(M4393:R4393)</f>
        <v/>
      </c>
      <c r="AA4393">
        <f>RAND()</f>
        <v/>
      </c>
      <c r="AB4393">
        <f>RAND()</f>
        <v/>
      </c>
      <c r="AC4393">
        <f>RAND()</f>
        <v/>
      </c>
      <c r="AD4393">
        <f>RAND()</f>
        <v/>
      </c>
      <c r="AE4393">
        <f>RAND()</f>
        <v/>
      </c>
      <c r="AF4393">
        <f>RAND()</f>
        <v/>
      </c>
    </row>
    <row r="4394">
      <c r="M4394" s="14">
        <f>_xlfn.BETA.INV($AA4394,1+4*($D$5-$C$5)/($E$5-$C$5),1+4*($E$5-$D$5)/($E$5-$C$5),$C$5,$E$5)</f>
        <v/>
      </c>
      <c r="N4394" s="14">
        <f>IF($AB4394&lt;($D$6-$C$6)/($E$6-$C$6),$C$6+SQRT($AB4394*($E$6-$C$6)*($D$6-$C$6)),$E$6-SQRT((1-$AB4394)*($E$6-$C$6)*($E$6-$D$6)))</f>
        <v/>
      </c>
      <c r="O4394" s="14">
        <f>_xlfn.NORM.INV($AC4394,$C$7,$D$7)</f>
        <v/>
      </c>
      <c r="P4394" s="14">
        <f>$C$8+($D$8-$C$8)*$AD4394</f>
        <v/>
      </c>
      <c r="Q4394" s="14">
        <f>$C$9</f>
        <v/>
      </c>
      <c r="R4394" s="14">
        <f>_xlfn.LOGNORM.INV($AF4394,LN($C$10)-0.5*LN(1+($D$10/$C$10)^2),SQRT(LN(1+($D$10/$C$10)^2)))</f>
        <v/>
      </c>
      <c r="S4394" s="14">
        <f>SUM(M4394:R4394)</f>
        <v/>
      </c>
      <c r="AA4394">
        <f>RAND()</f>
        <v/>
      </c>
      <c r="AB4394">
        <f>RAND()</f>
        <v/>
      </c>
      <c r="AC4394">
        <f>RAND()</f>
        <v/>
      </c>
      <c r="AD4394">
        <f>RAND()</f>
        <v/>
      </c>
      <c r="AE4394">
        <f>RAND()</f>
        <v/>
      </c>
      <c r="AF4394">
        <f>RAND()</f>
        <v/>
      </c>
    </row>
    <row r="4395">
      <c r="M4395" s="14">
        <f>_xlfn.BETA.INV($AA4395,1+4*($D$5-$C$5)/($E$5-$C$5),1+4*($E$5-$D$5)/($E$5-$C$5),$C$5,$E$5)</f>
        <v/>
      </c>
      <c r="N4395" s="14">
        <f>IF($AB4395&lt;($D$6-$C$6)/($E$6-$C$6),$C$6+SQRT($AB4395*($E$6-$C$6)*($D$6-$C$6)),$E$6-SQRT((1-$AB4395)*($E$6-$C$6)*($E$6-$D$6)))</f>
        <v/>
      </c>
      <c r="O4395" s="14">
        <f>_xlfn.NORM.INV($AC4395,$C$7,$D$7)</f>
        <v/>
      </c>
      <c r="P4395" s="14">
        <f>$C$8+($D$8-$C$8)*$AD4395</f>
        <v/>
      </c>
      <c r="Q4395" s="14">
        <f>$C$9</f>
        <v/>
      </c>
      <c r="R4395" s="14">
        <f>_xlfn.LOGNORM.INV($AF4395,LN($C$10)-0.5*LN(1+($D$10/$C$10)^2),SQRT(LN(1+($D$10/$C$10)^2)))</f>
        <v/>
      </c>
      <c r="S4395" s="14">
        <f>SUM(M4395:R4395)</f>
        <v/>
      </c>
      <c r="AA4395">
        <f>RAND()</f>
        <v/>
      </c>
      <c r="AB4395">
        <f>RAND()</f>
        <v/>
      </c>
      <c r="AC4395">
        <f>RAND()</f>
        <v/>
      </c>
      <c r="AD4395">
        <f>RAND()</f>
        <v/>
      </c>
      <c r="AE4395">
        <f>RAND()</f>
        <v/>
      </c>
      <c r="AF4395">
        <f>RAND()</f>
        <v/>
      </c>
    </row>
    <row r="4396">
      <c r="M4396" s="14">
        <f>_xlfn.BETA.INV($AA4396,1+4*($D$5-$C$5)/($E$5-$C$5),1+4*($E$5-$D$5)/($E$5-$C$5),$C$5,$E$5)</f>
        <v/>
      </c>
      <c r="N4396" s="14">
        <f>IF($AB4396&lt;($D$6-$C$6)/($E$6-$C$6),$C$6+SQRT($AB4396*($E$6-$C$6)*($D$6-$C$6)),$E$6-SQRT((1-$AB4396)*($E$6-$C$6)*($E$6-$D$6)))</f>
        <v/>
      </c>
      <c r="O4396" s="14">
        <f>_xlfn.NORM.INV($AC4396,$C$7,$D$7)</f>
        <v/>
      </c>
      <c r="P4396" s="14">
        <f>$C$8+($D$8-$C$8)*$AD4396</f>
        <v/>
      </c>
      <c r="Q4396" s="14">
        <f>$C$9</f>
        <v/>
      </c>
      <c r="R4396" s="14">
        <f>_xlfn.LOGNORM.INV($AF4396,LN($C$10)-0.5*LN(1+($D$10/$C$10)^2),SQRT(LN(1+($D$10/$C$10)^2)))</f>
        <v/>
      </c>
      <c r="S4396" s="14">
        <f>SUM(M4396:R4396)</f>
        <v/>
      </c>
      <c r="AA4396">
        <f>RAND()</f>
        <v/>
      </c>
      <c r="AB4396">
        <f>RAND()</f>
        <v/>
      </c>
      <c r="AC4396">
        <f>RAND()</f>
        <v/>
      </c>
      <c r="AD4396">
        <f>RAND()</f>
        <v/>
      </c>
      <c r="AE4396">
        <f>RAND()</f>
        <v/>
      </c>
      <c r="AF4396">
        <f>RAND()</f>
        <v/>
      </c>
    </row>
    <row r="4397">
      <c r="M4397" s="14">
        <f>_xlfn.BETA.INV($AA4397,1+4*($D$5-$C$5)/($E$5-$C$5),1+4*($E$5-$D$5)/($E$5-$C$5),$C$5,$E$5)</f>
        <v/>
      </c>
      <c r="N4397" s="14">
        <f>IF($AB4397&lt;($D$6-$C$6)/($E$6-$C$6),$C$6+SQRT($AB4397*($E$6-$C$6)*($D$6-$C$6)),$E$6-SQRT((1-$AB4397)*($E$6-$C$6)*($E$6-$D$6)))</f>
        <v/>
      </c>
      <c r="O4397" s="14">
        <f>_xlfn.NORM.INV($AC4397,$C$7,$D$7)</f>
        <v/>
      </c>
      <c r="P4397" s="14">
        <f>$C$8+($D$8-$C$8)*$AD4397</f>
        <v/>
      </c>
      <c r="Q4397" s="14">
        <f>$C$9</f>
        <v/>
      </c>
      <c r="R4397" s="14">
        <f>_xlfn.LOGNORM.INV($AF4397,LN($C$10)-0.5*LN(1+($D$10/$C$10)^2),SQRT(LN(1+($D$10/$C$10)^2)))</f>
        <v/>
      </c>
      <c r="S4397" s="14">
        <f>SUM(M4397:R4397)</f>
        <v/>
      </c>
      <c r="AA4397">
        <f>RAND()</f>
        <v/>
      </c>
      <c r="AB4397">
        <f>RAND()</f>
        <v/>
      </c>
      <c r="AC4397">
        <f>RAND()</f>
        <v/>
      </c>
      <c r="AD4397">
        <f>RAND()</f>
        <v/>
      </c>
      <c r="AE4397">
        <f>RAND()</f>
        <v/>
      </c>
      <c r="AF4397">
        <f>RAND()</f>
        <v/>
      </c>
    </row>
    <row r="4398">
      <c r="M4398" s="14">
        <f>_xlfn.BETA.INV($AA4398,1+4*($D$5-$C$5)/($E$5-$C$5),1+4*($E$5-$D$5)/($E$5-$C$5),$C$5,$E$5)</f>
        <v/>
      </c>
      <c r="N4398" s="14">
        <f>IF($AB4398&lt;($D$6-$C$6)/($E$6-$C$6),$C$6+SQRT($AB4398*($E$6-$C$6)*($D$6-$C$6)),$E$6-SQRT((1-$AB4398)*($E$6-$C$6)*($E$6-$D$6)))</f>
        <v/>
      </c>
      <c r="O4398" s="14">
        <f>_xlfn.NORM.INV($AC4398,$C$7,$D$7)</f>
        <v/>
      </c>
      <c r="P4398" s="14">
        <f>$C$8+($D$8-$C$8)*$AD4398</f>
        <v/>
      </c>
      <c r="Q4398" s="14">
        <f>$C$9</f>
        <v/>
      </c>
      <c r="R4398" s="14">
        <f>_xlfn.LOGNORM.INV($AF4398,LN($C$10)-0.5*LN(1+($D$10/$C$10)^2),SQRT(LN(1+($D$10/$C$10)^2)))</f>
        <v/>
      </c>
      <c r="S4398" s="14">
        <f>SUM(M4398:R4398)</f>
        <v/>
      </c>
      <c r="AA4398">
        <f>RAND()</f>
        <v/>
      </c>
      <c r="AB4398">
        <f>RAND()</f>
        <v/>
      </c>
      <c r="AC4398">
        <f>RAND()</f>
        <v/>
      </c>
      <c r="AD4398">
        <f>RAND()</f>
        <v/>
      </c>
      <c r="AE4398">
        <f>RAND()</f>
        <v/>
      </c>
      <c r="AF4398">
        <f>RAND()</f>
        <v/>
      </c>
    </row>
    <row r="4399">
      <c r="M4399" s="14">
        <f>_xlfn.BETA.INV($AA4399,1+4*($D$5-$C$5)/($E$5-$C$5),1+4*($E$5-$D$5)/($E$5-$C$5),$C$5,$E$5)</f>
        <v/>
      </c>
      <c r="N4399" s="14">
        <f>IF($AB4399&lt;($D$6-$C$6)/($E$6-$C$6),$C$6+SQRT($AB4399*($E$6-$C$6)*($D$6-$C$6)),$E$6-SQRT((1-$AB4399)*($E$6-$C$6)*($E$6-$D$6)))</f>
        <v/>
      </c>
      <c r="O4399" s="14">
        <f>_xlfn.NORM.INV($AC4399,$C$7,$D$7)</f>
        <v/>
      </c>
      <c r="P4399" s="14">
        <f>$C$8+($D$8-$C$8)*$AD4399</f>
        <v/>
      </c>
      <c r="Q4399" s="14">
        <f>$C$9</f>
        <v/>
      </c>
      <c r="R4399" s="14">
        <f>_xlfn.LOGNORM.INV($AF4399,LN($C$10)-0.5*LN(1+($D$10/$C$10)^2),SQRT(LN(1+($D$10/$C$10)^2)))</f>
        <v/>
      </c>
      <c r="S4399" s="14">
        <f>SUM(M4399:R4399)</f>
        <v/>
      </c>
      <c r="AA4399">
        <f>RAND()</f>
        <v/>
      </c>
      <c r="AB4399">
        <f>RAND()</f>
        <v/>
      </c>
      <c r="AC4399">
        <f>RAND()</f>
        <v/>
      </c>
      <c r="AD4399">
        <f>RAND()</f>
        <v/>
      </c>
      <c r="AE4399">
        <f>RAND()</f>
        <v/>
      </c>
      <c r="AF4399">
        <f>RAND()</f>
        <v/>
      </c>
    </row>
    <row r="4400">
      <c r="M4400" s="14">
        <f>_xlfn.BETA.INV($AA4400,1+4*($D$5-$C$5)/($E$5-$C$5),1+4*($E$5-$D$5)/($E$5-$C$5),$C$5,$E$5)</f>
        <v/>
      </c>
      <c r="N4400" s="14">
        <f>IF($AB4400&lt;($D$6-$C$6)/($E$6-$C$6),$C$6+SQRT($AB4400*($E$6-$C$6)*($D$6-$C$6)),$E$6-SQRT((1-$AB4400)*($E$6-$C$6)*($E$6-$D$6)))</f>
        <v/>
      </c>
      <c r="O4400" s="14">
        <f>_xlfn.NORM.INV($AC4400,$C$7,$D$7)</f>
        <v/>
      </c>
      <c r="P4400" s="14">
        <f>$C$8+($D$8-$C$8)*$AD4400</f>
        <v/>
      </c>
      <c r="Q4400" s="14">
        <f>$C$9</f>
        <v/>
      </c>
      <c r="R4400" s="14">
        <f>_xlfn.LOGNORM.INV($AF4400,LN($C$10)-0.5*LN(1+($D$10/$C$10)^2),SQRT(LN(1+($D$10/$C$10)^2)))</f>
        <v/>
      </c>
      <c r="S4400" s="14">
        <f>SUM(M4400:R4400)</f>
        <v/>
      </c>
      <c r="AA4400">
        <f>RAND()</f>
        <v/>
      </c>
      <c r="AB4400">
        <f>RAND()</f>
        <v/>
      </c>
      <c r="AC4400">
        <f>RAND()</f>
        <v/>
      </c>
      <c r="AD4400">
        <f>RAND()</f>
        <v/>
      </c>
      <c r="AE4400">
        <f>RAND()</f>
        <v/>
      </c>
      <c r="AF4400">
        <f>RAND()</f>
        <v/>
      </c>
    </row>
    <row r="4401">
      <c r="M4401" s="14">
        <f>_xlfn.BETA.INV($AA4401,1+4*($D$5-$C$5)/($E$5-$C$5),1+4*($E$5-$D$5)/($E$5-$C$5),$C$5,$E$5)</f>
        <v/>
      </c>
      <c r="N4401" s="14">
        <f>IF($AB4401&lt;($D$6-$C$6)/($E$6-$C$6),$C$6+SQRT($AB4401*($E$6-$C$6)*($D$6-$C$6)),$E$6-SQRT((1-$AB4401)*($E$6-$C$6)*($E$6-$D$6)))</f>
        <v/>
      </c>
      <c r="O4401" s="14">
        <f>_xlfn.NORM.INV($AC4401,$C$7,$D$7)</f>
        <v/>
      </c>
      <c r="P4401" s="14">
        <f>$C$8+($D$8-$C$8)*$AD4401</f>
        <v/>
      </c>
      <c r="Q4401" s="14">
        <f>$C$9</f>
        <v/>
      </c>
      <c r="R4401" s="14">
        <f>_xlfn.LOGNORM.INV($AF4401,LN($C$10)-0.5*LN(1+($D$10/$C$10)^2),SQRT(LN(1+($D$10/$C$10)^2)))</f>
        <v/>
      </c>
      <c r="S4401" s="14">
        <f>SUM(M4401:R4401)</f>
        <v/>
      </c>
      <c r="AA4401">
        <f>RAND()</f>
        <v/>
      </c>
      <c r="AB4401">
        <f>RAND()</f>
        <v/>
      </c>
      <c r="AC4401">
        <f>RAND()</f>
        <v/>
      </c>
      <c r="AD4401">
        <f>RAND()</f>
        <v/>
      </c>
      <c r="AE4401">
        <f>RAND()</f>
        <v/>
      </c>
      <c r="AF4401">
        <f>RAND()</f>
        <v/>
      </c>
    </row>
    <row r="4402">
      <c r="M4402" s="14">
        <f>_xlfn.BETA.INV($AA4402,1+4*($D$5-$C$5)/($E$5-$C$5),1+4*($E$5-$D$5)/($E$5-$C$5),$C$5,$E$5)</f>
        <v/>
      </c>
      <c r="N4402" s="14">
        <f>IF($AB4402&lt;($D$6-$C$6)/($E$6-$C$6),$C$6+SQRT($AB4402*($E$6-$C$6)*($D$6-$C$6)),$E$6-SQRT((1-$AB4402)*($E$6-$C$6)*($E$6-$D$6)))</f>
        <v/>
      </c>
      <c r="O4402" s="14">
        <f>_xlfn.NORM.INV($AC4402,$C$7,$D$7)</f>
        <v/>
      </c>
      <c r="P4402" s="14">
        <f>$C$8+($D$8-$C$8)*$AD4402</f>
        <v/>
      </c>
      <c r="Q4402" s="14">
        <f>$C$9</f>
        <v/>
      </c>
      <c r="R4402" s="14">
        <f>_xlfn.LOGNORM.INV($AF4402,LN($C$10)-0.5*LN(1+($D$10/$C$10)^2),SQRT(LN(1+($D$10/$C$10)^2)))</f>
        <v/>
      </c>
      <c r="S4402" s="14">
        <f>SUM(M4402:R4402)</f>
        <v/>
      </c>
      <c r="AA4402">
        <f>RAND()</f>
        <v/>
      </c>
      <c r="AB4402">
        <f>RAND()</f>
        <v/>
      </c>
      <c r="AC4402">
        <f>RAND()</f>
        <v/>
      </c>
      <c r="AD4402">
        <f>RAND()</f>
        <v/>
      </c>
      <c r="AE4402">
        <f>RAND()</f>
        <v/>
      </c>
      <c r="AF4402">
        <f>RAND()</f>
        <v/>
      </c>
    </row>
    <row r="4403">
      <c r="M4403" s="14">
        <f>_xlfn.BETA.INV($AA4403,1+4*($D$5-$C$5)/($E$5-$C$5),1+4*($E$5-$D$5)/($E$5-$C$5),$C$5,$E$5)</f>
        <v/>
      </c>
      <c r="N4403" s="14">
        <f>IF($AB4403&lt;($D$6-$C$6)/($E$6-$C$6),$C$6+SQRT($AB4403*($E$6-$C$6)*($D$6-$C$6)),$E$6-SQRT((1-$AB4403)*($E$6-$C$6)*($E$6-$D$6)))</f>
        <v/>
      </c>
      <c r="O4403" s="14">
        <f>_xlfn.NORM.INV($AC4403,$C$7,$D$7)</f>
        <v/>
      </c>
      <c r="P4403" s="14">
        <f>$C$8+($D$8-$C$8)*$AD4403</f>
        <v/>
      </c>
      <c r="Q4403" s="14">
        <f>$C$9</f>
        <v/>
      </c>
      <c r="R4403" s="14">
        <f>_xlfn.LOGNORM.INV($AF4403,LN($C$10)-0.5*LN(1+($D$10/$C$10)^2),SQRT(LN(1+($D$10/$C$10)^2)))</f>
        <v/>
      </c>
      <c r="S4403" s="14">
        <f>SUM(M4403:R4403)</f>
        <v/>
      </c>
      <c r="AA4403">
        <f>RAND()</f>
        <v/>
      </c>
      <c r="AB4403">
        <f>RAND()</f>
        <v/>
      </c>
      <c r="AC4403">
        <f>RAND()</f>
        <v/>
      </c>
      <c r="AD4403">
        <f>RAND()</f>
        <v/>
      </c>
      <c r="AE4403">
        <f>RAND()</f>
        <v/>
      </c>
      <c r="AF4403">
        <f>RAND()</f>
        <v/>
      </c>
    </row>
    <row r="4404">
      <c r="M4404" s="14">
        <f>_xlfn.BETA.INV($AA4404,1+4*($D$5-$C$5)/($E$5-$C$5),1+4*($E$5-$D$5)/($E$5-$C$5),$C$5,$E$5)</f>
        <v/>
      </c>
      <c r="N4404" s="14">
        <f>IF($AB4404&lt;($D$6-$C$6)/($E$6-$C$6),$C$6+SQRT($AB4404*($E$6-$C$6)*($D$6-$C$6)),$E$6-SQRT((1-$AB4404)*($E$6-$C$6)*($E$6-$D$6)))</f>
        <v/>
      </c>
      <c r="O4404" s="14">
        <f>_xlfn.NORM.INV($AC4404,$C$7,$D$7)</f>
        <v/>
      </c>
      <c r="P4404" s="14">
        <f>$C$8+($D$8-$C$8)*$AD4404</f>
        <v/>
      </c>
      <c r="Q4404" s="14">
        <f>$C$9</f>
        <v/>
      </c>
      <c r="R4404" s="14">
        <f>_xlfn.LOGNORM.INV($AF4404,LN($C$10)-0.5*LN(1+($D$10/$C$10)^2),SQRT(LN(1+($D$10/$C$10)^2)))</f>
        <v/>
      </c>
      <c r="S4404" s="14">
        <f>SUM(M4404:R4404)</f>
        <v/>
      </c>
      <c r="AA4404">
        <f>RAND()</f>
        <v/>
      </c>
      <c r="AB4404">
        <f>RAND()</f>
        <v/>
      </c>
      <c r="AC4404">
        <f>RAND()</f>
        <v/>
      </c>
      <c r="AD4404">
        <f>RAND()</f>
        <v/>
      </c>
      <c r="AE4404">
        <f>RAND()</f>
        <v/>
      </c>
      <c r="AF4404">
        <f>RAND()</f>
        <v/>
      </c>
    </row>
    <row r="4405">
      <c r="M4405" s="14">
        <f>_xlfn.BETA.INV($AA4405,1+4*($D$5-$C$5)/($E$5-$C$5),1+4*($E$5-$D$5)/($E$5-$C$5),$C$5,$E$5)</f>
        <v/>
      </c>
      <c r="N4405" s="14">
        <f>IF($AB4405&lt;($D$6-$C$6)/($E$6-$C$6),$C$6+SQRT($AB4405*($E$6-$C$6)*($D$6-$C$6)),$E$6-SQRT((1-$AB4405)*($E$6-$C$6)*($E$6-$D$6)))</f>
        <v/>
      </c>
      <c r="O4405" s="14">
        <f>_xlfn.NORM.INV($AC4405,$C$7,$D$7)</f>
        <v/>
      </c>
      <c r="P4405" s="14">
        <f>$C$8+($D$8-$C$8)*$AD4405</f>
        <v/>
      </c>
      <c r="Q4405" s="14">
        <f>$C$9</f>
        <v/>
      </c>
      <c r="R4405" s="14">
        <f>_xlfn.LOGNORM.INV($AF4405,LN($C$10)-0.5*LN(1+($D$10/$C$10)^2),SQRT(LN(1+($D$10/$C$10)^2)))</f>
        <v/>
      </c>
      <c r="S4405" s="14">
        <f>SUM(M4405:R4405)</f>
        <v/>
      </c>
      <c r="AA4405">
        <f>RAND()</f>
        <v/>
      </c>
      <c r="AB4405">
        <f>RAND()</f>
        <v/>
      </c>
      <c r="AC4405">
        <f>RAND()</f>
        <v/>
      </c>
      <c r="AD4405">
        <f>RAND()</f>
        <v/>
      </c>
      <c r="AE4405">
        <f>RAND()</f>
        <v/>
      </c>
      <c r="AF4405">
        <f>RAND()</f>
        <v/>
      </c>
    </row>
    <row r="4406">
      <c r="M4406" s="14">
        <f>_xlfn.BETA.INV($AA4406,1+4*($D$5-$C$5)/($E$5-$C$5),1+4*($E$5-$D$5)/($E$5-$C$5),$C$5,$E$5)</f>
        <v/>
      </c>
      <c r="N4406" s="14">
        <f>IF($AB4406&lt;($D$6-$C$6)/($E$6-$C$6),$C$6+SQRT($AB4406*($E$6-$C$6)*($D$6-$C$6)),$E$6-SQRT((1-$AB4406)*($E$6-$C$6)*($E$6-$D$6)))</f>
        <v/>
      </c>
      <c r="O4406" s="14">
        <f>_xlfn.NORM.INV($AC4406,$C$7,$D$7)</f>
        <v/>
      </c>
      <c r="P4406" s="14">
        <f>$C$8+($D$8-$C$8)*$AD4406</f>
        <v/>
      </c>
      <c r="Q4406" s="14">
        <f>$C$9</f>
        <v/>
      </c>
      <c r="R4406" s="14">
        <f>_xlfn.LOGNORM.INV($AF4406,LN($C$10)-0.5*LN(1+($D$10/$C$10)^2),SQRT(LN(1+($D$10/$C$10)^2)))</f>
        <v/>
      </c>
      <c r="S4406" s="14">
        <f>SUM(M4406:R4406)</f>
        <v/>
      </c>
      <c r="AA4406">
        <f>RAND()</f>
        <v/>
      </c>
      <c r="AB4406">
        <f>RAND()</f>
        <v/>
      </c>
      <c r="AC4406">
        <f>RAND()</f>
        <v/>
      </c>
      <c r="AD4406">
        <f>RAND()</f>
        <v/>
      </c>
      <c r="AE4406">
        <f>RAND()</f>
        <v/>
      </c>
      <c r="AF4406">
        <f>RAND()</f>
        <v/>
      </c>
    </row>
    <row r="4407">
      <c r="M4407" s="14">
        <f>_xlfn.BETA.INV($AA4407,1+4*($D$5-$C$5)/($E$5-$C$5),1+4*($E$5-$D$5)/($E$5-$C$5),$C$5,$E$5)</f>
        <v/>
      </c>
      <c r="N4407" s="14">
        <f>IF($AB4407&lt;($D$6-$C$6)/($E$6-$C$6),$C$6+SQRT($AB4407*($E$6-$C$6)*($D$6-$C$6)),$E$6-SQRT((1-$AB4407)*($E$6-$C$6)*($E$6-$D$6)))</f>
        <v/>
      </c>
      <c r="O4407" s="14">
        <f>_xlfn.NORM.INV($AC4407,$C$7,$D$7)</f>
        <v/>
      </c>
      <c r="P4407" s="14">
        <f>$C$8+($D$8-$C$8)*$AD4407</f>
        <v/>
      </c>
      <c r="Q4407" s="14">
        <f>$C$9</f>
        <v/>
      </c>
      <c r="R4407" s="14">
        <f>_xlfn.LOGNORM.INV($AF4407,LN($C$10)-0.5*LN(1+($D$10/$C$10)^2),SQRT(LN(1+($D$10/$C$10)^2)))</f>
        <v/>
      </c>
      <c r="S4407" s="14">
        <f>SUM(M4407:R4407)</f>
        <v/>
      </c>
      <c r="AA4407">
        <f>RAND()</f>
        <v/>
      </c>
      <c r="AB4407">
        <f>RAND()</f>
        <v/>
      </c>
      <c r="AC4407">
        <f>RAND()</f>
        <v/>
      </c>
      <c r="AD4407">
        <f>RAND()</f>
        <v/>
      </c>
      <c r="AE4407">
        <f>RAND()</f>
        <v/>
      </c>
      <c r="AF4407">
        <f>RAND()</f>
        <v/>
      </c>
    </row>
    <row r="4408">
      <c r="M4408" s="14">
        <f>_xlfn.BETA.INV($AA4408,1+4*($D$5-$C$5)/($E$5-$C$5),1+4*($E$5-$D$5)/($E$5-$C$5),$C$5,$E$5)</f>
        <v/>
      </c>
      <c r="N4408" s="14">
        <f>IF($AB4408&lt;($D$6-$C$6)/($E$6-$C$6),$C$6+SQRT($AB4408*($E$6-$C$6)*($D$6-$C$6)),$E$6-SQRT((1-$AB4408)*($E$6-$C$6)*($E$6-$D$6)))</f>
        <v/>
      </c>
      <c r="O4408" s="14">
        <f>_xlfn.NORM.INV($AC4408,$C$7,$D$7)</f>
        <v/>
      </c>
      <c r="P4408" s="14">
        <f>$C$8+($D$8-$C$8)*$AD4408</f>
        <v/>
      </c>
      <c r="Q4408" s="14">
        <f>$C$9</f>
        <v/>
      </c>
      <c r="R4408" s="14">
        <f>_xlfn.LOGNORM.INV($AF4408,LN($C$10)-0.5*LN(1+($D$10/$C$10)^2),SQRT(LN(1+($D$10/$C$10)^2)))</f>
        <v/>
      </c>
      <c r="S4408" s="14">
        <f>SUM(M4408:R4408)</f>
        <v/>
      </c>
      <c r="AA4408">
        <f>RAND()</f>
        <v/>
      </c>
      <c r="AB4408">
        <f>RAND()</f>
        <v/>
      </c>
      <c r="AC4408">
        <f>RAND()</f>
        <v/>
      </c>
      <c r="AD4408">
        <f>RAND()</f>
        <v/>
      </c>
      <c r="AE4408">
        <f>RAND()</f>
        <v/>
      </c>
      <c r="AF4408">
        <f>RAND()</f>
        <v/>
      </c>
    </row>
    <row r="4409">
      <c r="M4409" s="14">
        <f>_xlfn.BETA.INV($AA4409,1+4*($D$5-$C$5)/($E$5-$C$5),1+4*($E$5-$D$5)/($E$5-$C$5),$C$5,$E$5)</f>
        <v/>
      </c>
      <c r="N4409" s="14">
        <f>IF($AB4409&lt;($D$6-$C$6)/($E$6-$C$6),$C$6+SQRT($AB4409*($E$6-$C$6)*($D$6-$C$6)),$E$6-SQRT((1-$AB4409)*($E$6-$C$6)*($E$6-$D$6)))</f>
        <v/>
      </c>
      <c r="O4409" s="14">
        <f>_xlfn.NORM.INV($AC4409,$C$7,$D$7)</f>
        <v/>
      </c>
      <c r="P4409" s="14">
        <f>$C$8+($D$8-$C$8)*$AD4409</f>
        <v/>
      </c>
      <c r="Q4409" s="14">
        <f>$C$9</f>
        <v/>
      </c>
      <c r="R4409" s="14">
        <f>_xlfn.LOGNORM.INV($AF4409,LN($C$10)-0.5*LN(1+($D$10/$C$10)^2),SQRT(LN(1+($D$10/$C$10)^2)))</f>
        <v/>
      </c>
      <c r="S4409" s="14">
        <f>SUM(M4409:R4409)</f>
        <v/>
      </c>
      <c r="AA4409">
        <f>RAND()</f>
        <v/>
      </c>
      <c r="AB4409">
        <f>RAND()</f>
        <v/>
      </c>
      <c r="AC4409">
        <f>RAND()</f>
        <v/>
      </c>
      <c r="AD4409">
        <f>RAND()</f>
        <v/>
      </c>
      <c r="AE4409">
        <f>RAND()</f>
        <v/>
      </c>
      <c r="AF4409">
        <f>RAND()</f>
        <v/>
      </c>
    </row>
    <row r="4410">
      <c r="M4410" s="14">
        <f>_xlfn.BETA.INV($AA4410,1+4*($D$5-$C$5)/($E$5-$C$5),1+4*($E$5-$D$5)/($E$5-$C$5),$C$5,$E$5)</f>
        <v/>
      </c>
      <c r="N4410" s="14">
        <f>IF($AB4410&lt;($D$6-$C$6)/($E$6-$C$6),$C$6+SQRT($AB4410*($E$6-$C$6)*($D$6-$C$6)),$E$6-SQRT((1-$AB4410)*($E$6-$C$6)*($E$6-$D$6)))</f>
        <v/>
      </c>
      <c r="O4410" s="14">
        <f>_xlfn.NORM.INV($AC4410,$C$7,$D$7)</f>
        <v/>
      </c>
      <c r="P4410" s="14">
        <f>$C$8+($D$8-$C$8)*$AD4410</f>
        <v/>
      </c>
      <c r="Q4410" s="14">
        <f>$C$9</f>
        <v/>
      </c>
      <c r="R4410" s="14">
        <f>_xlfn.LOGNORM.INV($AF4410,LN($C$10)-0.5*LN(1+($D$10/$C$10)^2),SQRT(LN(1+($D$10/$C$10)^2)))</f>
        <v/>
      </c>
      <c r="S4410" s="14">
        <f>SUM(M4410:R4410)</f>
        <v/>
      </c>
      <c r="AA4410">
        <f>RAND()</f>
        <v/>
      </c>
      <c r="AB4410">
        <f>RAND()</f>
        <v/>
      </c>
      <c r="AC4410">
        <f>RAND()</f>
        <v/>
      </c>
      <c r="AD4410">
        <f>RAND()</f>
        <v/>
      </c>
      <c r="AE4410">
        <f>RAND()</f>
        <v/>
      </c>
      <c r="AF4410">
        <f>RAND()</f>
        <v/>
      </c>
    </row>
    <row r="4411">
      <c r="M4411" s="14">
        <f>_xlfn.BETA.INV($AA4411,1+4*($D$5-$C$5)/($E$5-$C$5),1+4*($E$5-$D$5)/($E$5-$C$5),$C$5,$E$5)</f>
        <v/>
      </c>
      <c r="N4411" s="14">
        <f>IF($AB4411&lt;($D$6-$C$6)/($E$6-$C$6),$C$6+SQRT($AB4411*($E$6-$C$6)*($D$6-$C$6)),$E$6-SQRT((1-$AB4411)*($E$6-$C$6)*($E$6-$D$6)))</f>
        <v/>
      </c>
      <c r="O4411" s="14">
        <f>_xlfn.NORM.INV($AC4411,$C$7,$D$7)</f>
        <v/>
      </c>
      <c r="P4411" s="14">
        <f>$C$8+($D$8-$C$8)*$AD4411</f>
        <v/>
      </c>
      <c r="Q4411" s="14">
        <f>$C$9</f>
        <v/>
      </c>
      <c r="R4411" s="14">
        <f>_xlfn.LOGNORM.INV($AF4411,LN($C$10)-0.5*LN(1+($D$10/$C$10)^2),SQRT(LN(1+($D$10/$C$10)^2)))</f>
        <v/>
      </c>
      <c r="S4411" s="14">
        <f>SUM(M4411:R4411)</f>
        <v/>
      </c>
      <c r="AA4411">
        <f>RAND()</f>
        <v/>
      </c>
      <c r="AB4411">
        <f>RAND()</f>
        <v/>
      </c>
      <c r="AC4411">
        <f>RAND()</f>
        <v/>
      </c>
      <c r="AD4411">
        <f>RAND()</f>
        <v/>
      </c>
      <c r="AE4411">
        <f>RAND()</f>
        <v/>
      </c>
      <c r="AF4411">
        <f>RAND()</f>
        <v/>
      </c>
    </row>
    <row r="4412">
      <c r="M4412" s="14">
        <f>_xlfn.BETA.INV($AA4412,1+4*($D$5-$C$5)/($E$5-$C$5),1+4*($E$5-$D$5)/($E$5-$C$5),$C$5,$E$5)</f>
        <v/>
      </c>
      <c r="N4412" s="14">
        <f>IF($AB4412&lt;($D$6-$C$6)/($E$6-$C$6),$C$6+SQRT($AB4412*($E$6-$C$6)*($D$6-$C$6)),$E$6-SQRT((1-$AB4412)*($E$6-$C$6)*($E$6-$D$6)))</f>
        <v/>
      </c>
      <c r="O4412" s="14">
        <f>_xlfn.NORM.INV($AC4412,$C$7,$D$7)</f>
        <v/>
      </c>
      <c r="P4412" s="14">
        <f>$C$8+($D$8-$C$8)*$AD4412</f>
        <v/>
      </c>
      <c r="Q4412" s="14">
        <f>$C$9</f>
        <v/>
      </c>
      <c r="R4412" s="14">
        <f>_xlfn.LOGNORM.INV($AF4412,LN($C$10)-0.5*LN(1+($D$10/$C$10)^2),SQRT(LN(1+($D$10/$C$10)^2)))</f>
        <v/>
      </c>
      <c r="S4412" s="14">
        <f>SUM(M4412:R4412)</f>
        <v/>
      </c>
      <c r="AA4412">
        <f>RAND()</f>
        <v/>
      </c>
      <c r="AB4412">
        <f>RAND()</f>
        <v/>
      </c>
      <c r="AC4412">
        <f>RAND()</f>
        <v/>
      </c>
      <c r="AD4412">
        <f>RAND()</f>
        <v/>
      </c>
      <c r="AE4412">
        <f>RAND()</f>
        <v/>
      </c>
      <c r="AF4412">
        <f>RAND()</f>
        <v/>
      </c>
    </row>
    <row r="4413">
      <c r="M4413" s="14">
        <f>_xlfn.BETA.INV($AA4413,1+4*($D$5-$C$5)/($E$5-$C$5),1+4*($E$5-$D$5)/($E$5-$C$5),$C$5,$E$5)</f>
        <v/>
      </c>
      <c r="N4413" s="14">
        <f>IF($AB4413&lt;($D$6-$C$6)/($E$6-$C$6),$C$6+SQRT($AB4413*($E$6-$C$6)*($D$6-$C$6)),$E$6-SQRT((1-$AB4413)*($E$6-$C$6)*($E$6-$D$6)))</f>
        <v/>
      </c>
      <c r="O4413" s="14">
        <f>_xlfn.NORM.INV($AC4413,$C$7,$D$7)</f>
        <v/>
      </c>
      <c r="P4413" s="14">
        <f>$C$8+($D$8-$C$8)*$AD4413</f>
        <v/>
      </c>
      <c r="Q4413" s="14">
        <f>$C$9</f>
        <v/>
      </c>
      <c r="R4413" s="14">
        <f>_xlfn.LOGNORM.INV($AF4413,LN($C$10)-0.5*LN(1+($D$10/$C$10)^2),SQRT(LN(1+($D$10/$C$10)^2)))</f>
        <v/>
      </c>
      <c r="S4413" s="14">
        <f>SUM(M4413:R4413)</f>
        <v/>
      </c>
      <c r="AA4413">
        <f>RAND()</f>
        <v/>
      </c>
      <c r="AB4413">
        <f>RAND()</f>
        <v/>
      </c>
      <c r="AC4413">
        <f>RAND()</f>
        <v/>
      </c>
      <c r="AD4413">
        <f>RAND()</f>
        <v/>
      </c>
      <c r="AE4413">
        <f>RAND()</f>
        <v/>
      </c>
      <c r="AF4413">
        <f>RAND()</f>
        <v/>
      </c>
    </row>
    <row r="4414">
      <c r="M4414" s="14">
        <f>_xlfn.BETA.INV($AA4414,1+4*($D$5-$C$5)/($E$5-$C$5),1+4*($E$5-$D$5)/($E$5-$C$5),$C$5,$E$5)</f>
        <v/>
      </c>
      <c r="N4414" s="14">
        <f>IF($AB4414&lt;($D$6-$C$6)/($E$6-$C$6),$C$6+SQRT($AB4414*($E$6-$C$6)*($D$6-$C$6)),$E$6-SQRT((1-$AB4414)*($E$6-$C$6)*($E$6-$D$6)))</f>
        <v/>
      </c>
      <c r="O4414" s="14">
        <f>_xlfn.NORM.INV($AC4414,$C$7,$D$7)</f>
        <v/>
      </c>
      <c r="P4414" s="14">
        <f>$C$8+($D$8-$C$8)*$AD4414</f>
        <v/>
      </c>
      <c r="Q4414" s="14">
        <f>$C$9</f>
        <v/>
      </c>
      <c r="R4414" s="14">
        <f>_xlfn.LOGNORM.INV($AF4414,LN($C$10)-0.5*LN(1+($D$10/$C$10)^2),SQRT(LN(1+($D$10/$C$10)^2)))</f>
        <v/>
      </c>
      <c r="S4414" s="14">
        <f>SUM(M4414:R4414)</f>
        <v/>
      </c>
      <c r="AA4414">
        <f>RAND()</f>
        <v/>
      </c>
      <c r="AB4414">
        <f>RAND()</f>
        <v/>
      </c>
      <c r="AC4414">
        <f>RAND()</f>
        <v/>
      </c>
      <c r="AD4414">
        <f>RAND()</f>
        <v/>
      </c>
      <c r="AE4414">
        <f>RAND()</f>
        <v/>
      </c>
      <c r="AF4414">
        <f>RAND()</f>
        <v/>
      </c>
    </row>
    <row r="4415">
      <c r="M4415" s="14">
        <f>_xlfn.BETA.INV($AA4415,1+4*($D$5-$C$5)/($E$5-$C$5),1+4*($E$5-$D$5)/($E$5-$C$5),$C$5,$E$5)</f>
        <v/>
      </c>
      <c r="N4415" s="14">
        <f>IF($AB4415&lt;($D$6-$C$6)/($E$6-$C$6),$C$6+SQRT($AB4415*($E$6-$C$6)*($D$6-$C$6)),$E$6-SQRT((1-$AB4415)*($E$6-$C$6)*($E$6-$D$6)))</f>
        <v/>
      </c>
      <c r="O4415" s="14">
        <f>_xlfn.NORM.INV($AC4415,$C$7,$D$7)</f>
        <v/>
      </c>
      <c r="P4415" s="14">
        <f>$C$8+($D$8-$C$8)*$AD4415</f>
        <v/>
      </c>
      <c r="Q4415" s="14">
        <f>$C$9</f>
        <v/>
      </c>
      <c r="R4415" s="14">
        <f>_xlfn.LOGNORM.INV($AF4415,LN($C$10)-0.5*LN(1+($D$10/$C$10)^2),SQRT(LN(1+($D$10/$C$10)^2)))</f>
        <v/>
      </c>
      <c r="S4415" s="14">
        <f>SUM(M4415:R4415)</f>
        <v/>
      </c>
      <c r="AA4415">
        <f>RAND()</f>
        <v/>
      </c>
      <c r="AB4415">
        <f>RAND()</f>
        <v/>
      </c>
      <c r="AC4415">
        <f>RAND()</f>
        <v/>
      </c>
      <c r="AD4415">
        <f>RAND()</f>
        <v/>
      </c>
      <c r="AE4415">
        <f>RAND()</f>
        <v/>
      </c>
      <c r="AF4415">
        <f>RAND()</f>
        <v/>
      </c>
    </row>
    <row r="4416">
      <c r="M4416" s="14">
        <f>_xlfn.BETA.INV($AA4416,1+4*($D$5-$C$5)/($E$5-$C$5),1+4*($E$5-$D$5)/($E$5-$C$5),$C$5,$E$5)</f>
        <v/>
      </c>
      <c r="N4416" s="14">
        <f>IF($AB4416&lt;($D$6-$C$6)/($E$6-$C$6),$C$6+SQRT($AB4416*($E$6-$C$6)*($D$6-$C$6)),$E$6-SQRT((1-$AB4416)*($E$6-$C$6)*($E$6-$D$6)))</f>
        <v/>
      </c>
      <c r="O4416" s="14">
        <f>_xlfn.NORM.INV($AC4416,$C$7,$D$7)</f>
        <v/>
      </c>
      <c r="P4416" s="14">
        <f>$C$8+($D$8-$C$8)*$AD4416</f>
        <v/>
      </c>
      <c r="Q4416" s="14">
        <f>$C$9</f>
        <v/>
      </c>
      <c r="R4416" s="14">
        <f>_xlfn.LOGNORM.INV($AF4416,LN($C$10)-0.5*LN(1+($D$10/$C$10)^2),SQRT(LN(1+($D$10/$C$10)^2)))</f>
        <v/>
      </c>
      <c r="S4416" s="14">
        <f>SUM(M4416:R4416)</f>
        <v/>
      </c>
      <c r="AA4416">
        <f>RAND()</f>
        <v/>
      </c>
      <c r="AB4416">
        <f>RAND()</f>
        <v/>
      </c>
      <c r="AC4416">
        <f>RAND()</f>
        <v/>
      </c>
      <c r="AD4416">
        <f>RAND()</f>
        <v/>
      </c>
      <c r="AE4416">
        <f>RAND()</f>
        <v/>
      </c>
      <c r="AF4416">
        <f>RAND()</f>
        <v/>
      </c>
    </row>
    <row r="4417">
      <c r="M4417" s="14">
        <f>_xlfn.BETA.INV($AA4417,1+4*($D$5-$C$5)/($E$5-$C$5),1+4*($E$5-$D$5)/($E$5-$C$5),$C$5,$E$5)</f>
        <v/>
      </c>
      <c r="N4417" s="14">
        <f>IF($AB4417&lt;($D$6-$C$6)/($E$6-$C$6),$C$6+SQRT($AB4417*($E$6-$C$6)*($D$6-$C$6)),$E$6-SQRT((1-$AB4417)*($E$6-$C$6)*($E$6-$D$6)))</f>
        <v/>
      </c>
      <c r="O4417" s="14">
        <f>_xlfn.NORM.INV($AC4417,$C$7,$D$7)</f>
        <v/>
      </c>
      <c r="P4417" s="14">
        <f>$C$8+($D$8-$C$8)*$AD4417</f>
        <v/>
      </c>
      <c r="Q4417" s="14">
        <f>$C$9</f>
        <v/>
      </c>
      <c r="R4417" s="14">
        <f>_xlfn.LOGNORM.INV($AF4417,LN($C$10)-0.5*LN(1+($D$10/$C$10)^2),SQRT(LN(1+($D$10/$C$10)^2)))</f>
        <v/>
      </c>
      <c r="S4417" s="14">
        <f>SUM(M4417:R4417)</f>
        <v/>
      </c>
      <c r="AA4417">
        <f>RAND()</f>
        <v/>
      </c>
      <c r="AB4417">
        <f>RAND()</f>
        <v/>
      </c>
      <c r="AC4417">
        <f>RAND()</f>
        <v/>
      </c>
      <c r="AD4417">
        <f>RAND()</f>
        <v/>
      </c>
      <c r="AE4417">
        <f>RAND()</f>
        <v/>
      </c>
      <c r="AF4417">
        <f>RAND()</f>
        <v/>
      </c>
    </row>
    <row r="4418">
      <c r="M4418" s="14">
        <f>_xlfn.BETA.INV($AA4418,1+4*($D$5-$C$5)/($E$5-$C$5),1+4*($E$5-$D$5)/($E$5-$C$5),$C$5,$E$5)</f>
        <v/>
      </c>
      <c r="N4418" s="14">
        <f>IF($AB4418&lt;($D$6-$C$6)/($E$6-$C$6),$C$6+SQRT($AB4418*($E$6-$C$6)*($D$6-$C$6)),$E$6-SQRT((1-$AB4418)*($E$6-$C$6)*($E$6-$D$6)))</f>
        <v/>
      </c>
      <c r="O4418" s="14">
        <f>_xlfn.NORM.INV($AC4418,$C$7,$D$7)</f>
        <v/>
      </c>
      <c r="P4418" s="14">
        <f>$C$8+($D$8-$C$8)*$AD4418</f>
        <v/>
      </c>
      <c r="Q4418" s="14">
        <f>$C$9</f>
        <v/>
      </c>
      <c r="R4418" s="14">
        <f>_xlfn.LOGNORM.INV($AF4418,LN($C$10)-0.5*LN(1+($D$10/$C$10)^2),SQRT(LN(1+($D$10/$C$10)^2)))</f>
        <v/>
      </c>
      <c r="S4418" s="14">
        <f>SUM(M4418:R4418)</f>
        <v/>
      </c>
      <c r="AA4418">
        <f>RAND()</f>
        <v/>
      </c>
      <c r="AB4418">
        <f>RAND()</f>
        <v/>
      </c>
      <c r="AC4418">
        <f>RAND()</f>
        <v/>
      </c>
      <c r="AD4418">
        <f>RAND()</f>
        <v/>
      </c>
      <c r="AE4418">
        <f>RAND()</f>
        <v/>
      </c>
      <c r="AF4418">
        <f>RAND()</f>
        <v/>
      </c>
    </row>
    <row r="4419">
      <c r="M4419" s="14">
        <f>_xlfn.BETA.INV($AA4419,1+4*($D$5-$C$5)/($E$5-$C$5),1+4*($E$5-$D$5)/($E$5-$C$5),$C$5,$E$5)</f>
        <v/>
      </c>
      <c r="N4419" s="14">
        <f>IF($AB4419&lt;($D$6-$C$6)/($E$6-$C$6),$C$6+SQRT($AB4419*($E$6-$C$6)*($D$6-$C$6)),$E$6-SQRT((1-$AB4419)*($E$6-$C$6)*($E$6-$D$6)))</f>
        <v/>
      </c>
      <c r="O4419" s="14">
        <f>_xlfn.NORM.INV($AC4419,$C$7,$D$7)</f>
        <v/>
      </c>
      <c r="P4419" s="14">
        <f>$C$8+($D$8-$C$8)*$AD4419</f>
        <v/>
      </c>
      <c r="Q4419" s="14">
        <f>$C$9</f>
        <v/>
      </c>
      <c r="R4419" s="14">
        <f>_xlfn.LOGNORM.INV($AF4419,LN($C$10)-0.5*LN(1+($D$10/$C$10)^2),SQRT(LN(1+($D$10/$C$10)^2)))</f>
        <v/>
      </c>
      <c r="S4419" s="14">
        <f>SUM(M4419:R4419)</f>
        <v/>
      </c>
      <c r="AA4419">
        <f>RAND()</f>
        <v/>
      </c>
      <c r="AB4419">
        <f>RAND()</f>
        <v/>
      </c>
      <c r="AC4419">
        <f>RAND()</f>
        <v/>
      </c>
      <c r="AD4419">
        <f>RAND()</f>
        <v/>
      </c>
      <c r="AE4419">
        <f>RAND()</f>
        <v/>
      </c>
      <c r="AF4419">
        <f>RAND()</f>
        <v/>
      </c>
    </row>
    <row r="4420">
      <c r="M4420" s="14">
        <f>_xlfn.BETA.INV($AA4420,1+4*($D$5-$C$5)/($E$5-$C$5),1+4*($E$5-$D$5)/($E$5-$C$5),$C$5,$E$5)</f>
        <v/>
      </c>
      <c r="N4420" s="14">
        <f>IF($AB4420&lt;($D$6-$C$6)/($E$6-$C$6),$C$6+SQRT($AB4420*($E$6-$C$6)*($D$6-$C$6)),$E$6-SQRT((1-$AB4420)*($E$6-$C$6)*($E$6-$D$6)))</f>
        <v/>
      </c>
      <c r="O4420" s="14">
        <f>_xlfn.NORM.INV($AC4420,$C$7,$D$7)</f>
        <v/>
      </c>
      <c r="P4420" s="14">
        <f>$C$8+($D$8-$C$8)*$AD4420</f>
        <v/>
      </c>
      <c r="Q4420" s="14">
        <f>$C$9</f>
        <v/>
      </c>
      <c r="R4420" s="14">
        <f>_xlfn.LOGNORM.INV($AF4420,LN($C$10)-0.5*LN(1+($D$10/$C$10)^2),SQRT(LN(1+($D$10/$C$10)^2)))</f>
        <v/>
      </c>
      <c r="S4420" s="14">
        <f>SUM(M4420:R4420)</f>
        <v/>
      </c>
      <c r="AA4420">
        <f>RAND()</f>
        <v/>
      </c>
      <c r="AB4420">
        <f>RAND()</f>
        <v/>
      </c>
      <c r="AC4420">
        <f>RAND()</f>
        <v/>
      </c>
      <c r="AD4420">
        <f>RAND()</f>
        <v/>
      </c>
      <c r="AE4420">
        <f>RAND()</f>
        <v/>
      </c>
      <c r="AF4420">
        <f>RAND()</f>
        <v/>
      </c>
    </row>
    <row r="4421">
      <c r="M4421" s="14">
        <f>_xlfn.BETA.INV($AA4421,1+4*($D$5-$C$5)/($E$5-$C$5),1+4*($E$5-$D$5)/($E$5-$C$5),$C$5,$E$5)</f>
        <v/>
      </c>
      <c r="N4421" s="14">
        <f>IF($AB4421&lt;($D$6-$C$6)/($E$6-$C$6),$C$6+SQRT($AB4421*($E$6-$C$6)*($D$6-$C$6)),$E$6-SQRT((1-$AB4421)*($E$6-$C$6)*($E$6-$D$6)))</f>
        <v/>
      </c>
      <c r="O4421" s="14">
        <f>_xlfn.NORM.INV($AC4421,$C$7,$D$7)</f>
        <v/>
      </c>
      <c r="P4421" s="14">
        <f>$C$8+($D$8-$C$8)*$AD4421</f>
        <v/>
      </c>
      <c r="Q4421" s="14">
        <f>$C$9</f>
        <v/>
      </c>
      <c r="R4421" s="14">
        <f>_xlfn.LOGNORM.INV($AF4421,LN($C$10)-0.5*LN(1+($D$10/$C$10)^2),SQRT(LN(1+($D$10/$C$10)^2)))</f>
        <v/>
      </c>
      <c r="S4421" s="14">
        <f>SUM(M4421:R4421)</f>
        <v/>
      </c>
      <c r="AA4421">
        <f>RAND()</f>
        <v/>
      </c>
      <c r="AB4421">
        <f>RAND()</f>
        <v/>
      </c>
      <c r="AC4421">
        <f>RAND()</f>
        <v/>
      </c>
      <c r="AD4421">
        <f>RAND()</f>
        <v/>
      </c>
      <c r="AE4421">
        <f>RAND()</f>
        <v/>
      </c>
      <c r="AF4421">
        <f>RAND()</f>
        <v/>
      </c>
    </row>
    <row r="4422">
      <c r="M4422" s="14">
        <f>_xlfn.BETA.INV($AA4422,1+4*($D$5-$C$5)/($E$5-$C$5),1+4*($E$5-$D$5)/($E$5-$C$5),$C$5,$E$5)</f>
        <v/>
      </c>
      <c r="N4422" s="14">
        <f>IF($AB4422&lt;($D$6-$C$6)/($E$6-$C$6),$C$6+SQRT($AB4422*($E$6-$C$6)*($D$6-$C$6)),$E$6-SQRT((1-$AB4422)*($E$6-$C$6)*($E$6-$D$6)))</f>
        <v/>
      </c>
      <c r="O4422" s="14">
        <f>_xlfn.NORM.INV($AC4422,$C$7,$D$7)</f>
        <v/>
      </c>
      <c r="P4422" s="14">
        <f>$C$8+($D$8-$C$8)*$AD4422</f>
        <v/>
      </c>
      <c r="Q4422" s="14">
        <f>$C$9</f>
        <v/>
      </c>
      <c r="R4422" s="14">
        <f>_xlfn.LOGNORM.INV($AF4422,LN($C$10)-0.5*LN(1+($D$10/$C$10)^2),SQRT(LN(1+($D$10/$C$10)^2)))</f>
        <v/>
      </c>
      <c r="S4422" s="14">
        <f>SUM(M4422:R4422)</f>
        <v/>
      </c>
      <c r="AA4422">
        <f>RAND()</f>
        <v/>
      </c>
      <c r="AB4422">
        <f>RAND()</f>
        <v/>
      </c>
      <c r="AC4422">
        <f>RAND()</f>
        <v/>
      </c>
      <c r="AD4422">
        <f>RAND()</f>
        <v/>
      </c>
      <c r="AE4422">
        <f>RAND()</f>
        <v/>
      </c>
      <c r="AF4422">
        <f>RAND()</f>
        <v/>
      </c>
    </row>
    <row r="4423">
      <c r="M4423" s="14">
        <f>_xlfn.BETA.INV($AA4423,1+4*($D$5-$C$5)/($E$5-$C$5),1+4*($E$5-$D$5)/($E$5-$C$5),$C$5,$E$5)</f>
        <v/>
      </c>
      <c r="N4423" s="14">
        <f>IF($AB4423&lt;($D$6-$C$6)/($E$6-$C$6),$C$6+SQRT($AB4423*($E$6-$C$6)*($D$6-$C$6)),$E$6-SQRT((1-$AB4423)*($E$6-$C$6)*($E$6-$D$6)))</f>
        <v/>
      </c>
      <c r="O4423" s="14">
        <f>_xlfn.NORM.INV($AC4423,$C$7,$D$7)</f>
        <v/>
      </c>
      <c r="P4423" s="14">
        <f>$C$8+($D$8-$C$8)*$AD4423</f>
        <v/>
      </c>
      <c r="Q4423" s="14">
        <f>$C$9</f>
        <v/>
      </c>
      <c r="R4423" s="14">
        <f>_xlfn.LOGNORM.INV($AF4423,LN($C$10)-0.5*LN(1+($D$10/$C$10)^2),SQRT(LN(1+($D$10/$C$10)^2)))</f>
        <v/>
      </c>
      <c r="S4423" s="14">
        <f>SUM(M4423:R4423)</f>
        <v/>
      </c>
      <c r="AA4423">
        <f>RAND()</f>
        <v/>
      </c>
      <c r="AB4423">
        <f>RAND()</f>
        <v/>
      </c>
      <c r="AC4423">
        <f>RAND()</f>
        <v/>
      </c>
      <c r="AD4423">
        <f>RAND()</f>
        <v/>
      </c>
      <c r="AE4423">
        <f>RAND()</f>
        <v/>
      </c>
      <c r="AF4423">
        <f>RAND()</f>
        <v/>
      </c>
    </row>
    <row r="4424">
      <c r="M4424" s="14">
        <f>_xlfn.BETA.INV($AA4424,1+4*($D$5-$C$5)/($E$5-$C$5),1+4*($E$5-$D$5)/($E$5-$C$5),$C$5,$E$5)</f>
        <v/>
      </c>
      <c r="N4424" s="14">
        <f>IF($AB4424&lt;($D$6-$C$6)/($E$6-$C$6),$C$6+SQRT($AB4424*($E$6-$C$6)*($D$6-$C$6)),$E$6-SQRT((1-$AB4424)*($E$6-$C$6)*($E$6-$D$6)))</f>
        <v/>
      </c>
      <c r="O4424" s="14">
        <f>_xlfn.NORM.INV($AC4424,$C$7,$D$7)</f>
        <v/>
      </c>
      <c r="P4424" s="14">
        <f>$C$8+($D$8-$C$8)*$AD4424</f>
        <v/>
      </c>
      <c r="Q4424" s="14">
        <f>$C$9</f>
        <v/>
      </c>
      <c r="R4424" s="14">
        <f>_xlfn.LOGNORM.INV($AF4424,LN($C$10)-0.5*LN(1+($D$10/$C$10)^2),SQRT(LN(1+($D$10/$C$10)^2)))</f>
        <v/>
      </c>
      <c r="S4424" s="14">
        <f>SUM(M4424:R4424)</f>
        <v/>
      </c>
      <c r="AA4424">
        <f>RAND()</f>
        <v/>
      </c>
      <c r="AB4424">
        <f>RAND()</f>
        <v/>
      </c>
      <c r="AC4424">
        <f>RAND()</f>
        <v/>
      </c>
      <c r="AD4424">
        <f>RAND()</f>
        <v/>
      </c>
      <c r="AE4424">
        <f>RAND()</f>
        <v/>
      </c>
      <c r="AF4424">
        <f>RAND()</f>
        <v/>
      </c>
    </row>
    <row r="4425">
      <c r="M4425" s="14">
        <f>_xlfn.BETA.INV($AA4425,1+4*($D$5-$C$5)/($E$5-$C$5),1+4*($E$5-$D$5)/($E$5-$C$5),$C$5,$E$5)</f>
        <v/>
      </c>
      <c r="N4425" s="14">
        <f>IF($AB4425&lt;($D$6-$C$6)/($E$6-$C$6),$C$6+SQRT($AB4425*($E$6-$C$6)*($D$6-$C$6)),$E$6-SQRT((1-$AB4425)*($E$6-$C$6)*($E$6-$D$6)))</f>
        <v/>
      </c>
      <c r="O4425" s="14">
        <f>_xlfn.NORM.INV($AC4425,$C$7,$D$7)</f>
        <v/>
      </c>
      <c r="P4425" s="14">
        <f>$C$8+($D$8-$C$8)*$AD4425</f>
        <v/>
      </c>
      <c r="Q4425" s="14">
        <f>$C$9</f>
        <v/>
      </c>
      <c r="R4425" s="14">
        <f>_xlfn.LOGNORM.INV($AF4425,LN($C$10)-0.5*LN(1+($D$10/$C$10)^2),SQRT(LN(1+($D$10/$C$10)^2)))</f>
        <v/>
      </c>
      <c r="S4425" s="14">
        <f>SUM(M4425:R4425)</f>
        <v/>
      </c>
      <c r="AA4425">
        <f>RAND()</f>
        <v/>
      </c>
      <c r="AB4425">
        <f>RAND()</f>
        <v/>
      </c>
      <c r="AC4425">
        <f>RAND()</f>
        <v/>
      </c>
      <c r="AD4425">
        <f>RAND()</f>
        <v/>
      </c>
      <c r="AE4425">
        <f>RAND()</f>
        <v/>
      </c>
      <c r="AF4425">
        <f>RAND()</f>
        <v/>
      </c>
    </row>
    <row r="4426">
      <c r="M4426" s="14">
        <f>_xlfn.BETA.INV($AA4426,1+4*($D$5-$C$5)/($E$5-$C$5),1+4*($E$5-$D$5)/($E$5-$C$5),$C$5,$E$5)</f>
        <v/>
      </c>
      <c r="N4426" s="14">
        <f>IF($AB4426&lt;($D$6-$C$6)/($E$6-$C$6),$C$6+SQRT($AB4426*($E$6-$C$6)*($D$6-$C$6)),$E$6-SQRT((1-$AB4426)*($E$6-$C$6)*($E$6-$D$6)))</f>
        <v/>
      </c>
      <c r="O4426" s="14">
        <f>_xlfn.NORM.INV($AC4426,$C$7,$D$7)</f>
        <v/>
      </c>
      <c r="P4426" s="14">
        <f>$C$8+($D$8-$C$8)*$AD4426</f>
        <v/>
      </c>
      <c r="Q4426" s="14">
        <f>$C$9</f>
        <v/>
      </c>
      <c r="R4426" s="14">
        <f>_xlfn.LOGNORM.INV($AF4426,LN($C$10)-0.5*LN(1+($D$10/$C$10)^2),SQRT(LN(1+($D$10/$C$10)^2)))</f>
        <v/>
      </c>
      <c r="S4426" s="14">
        <f>SUM(M4426:R4426)</f>
        <v/>
      </c>
      <c r="AA4426">
        <f>RAND()</f>
        <v/>
      </c>
      <c r="AB4426">
        <f>RAND()</f>
        <v/>
      </c>
      <c r="AC4426">
        <f>RAND()</f>
        <v/>
      </c>
      <c r="AD4426">
        <f>RAND()</f>
        <v/>
      </c>
      <c r="AE4426">
        <f>RAND()</f>
        <v/>
      </c>
      <c r="AF4426">
        <f>RAND()</f>
        <v/>
      </c>
    </row>
    <row r="4427">
      <c r="M4427" s="14">
        <f>_xlfn.BETA.INV($AA4427,1+4*($D$5-$C$5)/($E$5-$C$5),1+4*($E$5-$D$5)/($E$5-$C$5),$C$5,$E$5)</f>
        <v/>
      </c>
      <c r="N4427" s="14">
        <f>IF($AB4427&lt;($D$6-$C$6)/($E$6-$C$6),$C$6+SQRT($AB4427*($E$6-$C$6)*($D$6-$C$6)),$E$6-SQRT((1-$AB4427)*($E$6-$C$6)*($E$6-$D$6)))</f>
        <v/>
      </c>
      <c r="O4427" s="14">
        <f>_xlfn.NORM.INV($AC4427,$C$7,$D$7)</f>
        <v/>
      </c>
      <c r="P4427" s="14">
        <f>$C$8+($D$8-$C$8)*$AD4427</f>
        <v/>
      </c>
      <c r="Q4427" s="14">
        <f>$C$9</f>
        <v/>
      </c>
      <c r="R4427" s="14">
        <f>_xlfn.LOGNORM.INV($AF4427,LN($C$10)-0.5*LN(1+($D$10/$C$10)^2),SQRT(LN(1+($D$10/$C$10)^2)))</f>
        <v/>
      </c>
      <c r="S4427" s="14">
        <f>SUM(M4427:R4427)</f>
        <v/>
      </c>
      <c r="AA4427">
        <f>RAND()</f>
        <v/>
      </c>
      <c r="AB4427">
        <f>RAND()</f>
        <v/>
      </c>
      <c r="AC4427">
        <f>RAND()</f>
        <v/>
      </c>
      <c r="AD4427">
        <f>RAND()</f>
        <v/>
      </c>
      <c r="AE4427">
        <f>RAND()</f>
        <v/>
      </c>
      <c r="AF4427">
        <f>RAND()</f>
        <v/>
      </c>
    </row>
    <row r="4428">
      <c r="M4428" s="14">
        <f>_xlfn.BETA.INV($AA4428,1+4*($D$5-$C$5)/($E$5-$C$5),1+4*($E$5-$D$5)/($E$5-$C$5),$C$5,$E$5)</f>
        <v/>
      </c>
      <c r="N4428" s="14">
        <f>IF($AB4428&lt;($D$6-$C$6)/($E$6-$C$6),$C$6+SQRT($AB4428*($E$6-$C$6)*($D$6-$C$6)),$E$6-SQRT((1-$AB4428)*($E$6-$C$6)*($E$6-$D$6)))</f>
        <v/>
      </c>
      <c r="O4428" s="14">
        <f>_xlfn.NORM.INV($AC4428,$C$7,$D$7)</f>
        <v/>
      </c>
      <c r="P4428" s="14">
        <f>$C$8+($D$8-$C$8)*$AD4428</f>
        <v/>
      </c>
      <c r="Q4428" s="14">
        <f>$C$9</f>
        <v/>
      </c>
      <c r="R4428" s="14">
        <f>_xlfn.LOGNORM.INV($AF4428,LN($C$10)-0.5*LN(1+($D$10/$C$10)^2),SQRT(LN(1+($D$10/$C$10)^2)))</f>
        <v/>
      </c>
      <c r="S4428" s="14">
        <f>SUM(M4428:R4428)</f>
        <v/>
      </c>
      <c r="AA4428">
        <f>RAND()</f>
        <v/>
      </c>
      <c r="AB4428">
        <f>RAND()</f>
        <v/>
      </c>
      <c r="AC4428">
        <f>RAND()</f>
        <v/>
      </c>
      <c r="AD4428">
        <f>RAND()</f>
        <v/>
      </c>
      <c r="AE4428">
        <f>RAND()</f>
        <v/>
      </c>
      <c r="AF4428">
        <f>RAND()</f>
        <v/>
      </c>
    </row>
    <row r="4429">
      <c r="M4429" s="14">
        <f>_xlfn.BETA.INV($AA4429,1+4*($D$5-$C$5)/($E$5-$C$5),1+4*($E$5-$D$5)/($E$5-$C$5),$C$5,$E$5)</f>
        <v/>
      </c>
      <c r="N4429" s="14">
        <f>IF($AB4429&lt;($D$6-$C$6)/($E$6-$C$6),$C$6+SQRT($AB4429*($E$6-$C$6)*($D$6-$C$6)),$E$6-SQRT((1-$AB4429)*($E$6-$C$6)*($E$6-$D$6)))</f>
        <v/>
      </c>
      <c r="O4429" s="14">
        <f>_xlfn.NORM.INV($AC4429,$C$7,$D$7)</f>
        <v/>
      </c>
      <c r="P4429" s="14">
        <f>$C$8+($D$8-$C$8)*$AD4429</f>
        <v/>
      </c>
      <c r="Q4429" s="14">
        <f>$C$9</f>
        <v/>
      </c>
      <c r="R4429" s="14">
        <f>_xlfn.LOGNORM.INV($AF4429,LN($C$10)-0.5*LN(1+($D$10/$C$10)^2),SQRT(LN(1+($D$10/$C$10)^2)))</f>
        <v/>
      </c>
      <c r="S4429" s="14">
        <f>SUM(M4429:R4429)</f>
        <v/>
      </c>
      <c r="AA4429">
        <f>RAND()</f>
        <v/>
      </c>
      <c r="AB4429">
        <f>RAND()</f>
        <v/>
      </c>
      <c r="AC4429">
        <f>RAND()</f>
        <v/>
      </c>
      <c r="AD4429">
        <f>RAND()</f>
        <v/>
      </c>
      <c r="AE4429">
        <f>RAND()</f>
        <v/>
      </c>
      <c r="AF4429">
        <f>RAND()</f>
        <v/>
      </c>
    </row>
    <row r="4430">
      <c r="M4430" s="14">
        <f>_xlfn.BETA.INV($AA4430,1+4*($D$5-$C$5)/($E$5-$C$5),1+4*($E$5-$D$5)/($E$5-$C$5),$C$5,$E$5)</f>
        <v/>
      </c>
      <c r="N4430" s="14">
        <f>IF($AB4430&lt;($D$6-$C$6)/($E$6-$C$6),$C$6+SQRT($AB4430*($E$6-$C$6)*($D$6-$C$6)),$E$6-SQRT((1-$AB4430)*($E$6-$C$6)*($E$6-$D$6)))</f>
        <v/>
      </c>
      <c r="O4430" s="14">
        <f>_xlfn.NORM.INV($AC4430,$C$7,$D$7)</f>
        <v/>
      </c>
      <c r="P4430" s="14">
        <f>$C$8+($D$8-$C$8)*$AD4430</f>
        <v/>
      </c>
      <c r="Q4430" s="14">
        <f>$C$9</f>
        <v/>
      </c>
      <c r="R4430" s="14">
        <f>_xlfn.LOGNORM.INV($AF4430,LN($C$10)-0.5*LN(1+($D$10/$C$10)^2),SQRT(LN(1+($D$10/$C$10)^2)))</f>
        <v/>
      </c>
      <c r="S4430" s="14">
        <f>SUM(M4430:R4430)</f>
        <v/>
      </c>
      <c r="AA4430">
        <f>RAND()</f>
        <v/>
      </c>
      <c r="AB4430">
        <f>RAND()</f>
        <v/>
      </c>
      <c r="AC4430">
        <f>RAND()</f>
        <v/>
      </c>
      <c r="AD4430">
        <f>RAND()</f>
        <v/>
      </c>
      <c r="AE4430">
        <f>RAND()</f>
        <v/>
      </c>
      <c r="AF4430">
        <f>RAND()</f>
        <v/>
      </c>
    </row>
    <row r="4431">
      <c r="M4431" s="14">
        <f>_xlfn.BETA.INV($AA4431,1+4*($D$5-$C$5)/($E$5-$C$5),1+4*($E$5-$D$5)/($E$5-$C$5),$C$5,$E$5)</f>
        <v/>
      </c>
      <c r="N4431" s="14">
        <f>IF($AB4431&lt;($D$6-$C$6)/($E$6-$C$6),$C$6+SQRT($AB4431*($E$6-$C$6)*($D$6-$C$6)),$E$6-SQRT((1-$AB4431)*($E$6-$C$6)*($E$6-$D$6)))</f>
        <v/>
      </c>
      <c r="O4431" s="14">
        <f>_xlfn.NORM.INV($AC4431,$C$7,$D$7)</f>
        <v/>
      </c>
      <c r="P4431" s="14">
        <f>$C$8+($D$8-$C$8)*$AD4431</f>
        <v/>
      </c>
      <c r="Q4431" s="14">
        <f>$C$9</f>
        <v/>
      </c>
      <c r="R4431" s="14">
        <f>_xlfn.LOGNORM.INV($AF4431,LN($C$10)-0.5*LN(1+($D$10/$C$10)^2),SQRT(LN(1+($D$10/$C$10)^2)))</f>
        <v/>
      </c>
      <c r="S4431" s="14">
        <f>SUM(M4431:R4431)</f>
        <v/>
      </c>
      <c r="AA4431">
        <f>RAND()</f>
        <v/>
      </c>
      <c r="AB4431">
        <f>RAND()</f>
        <v/>
      </c>
      <c r="AC4431">
        <f>RAND()</f>
        <v/>
      </c>
      <c r="AD4431">
        <f>RAND()</f>
        <v/>
      </c>
      <c r="AE4431">
        <f>RAND()</f>
        <v/>
      </c>
      <c r="AF4431">
        <f>RAND()</f>
        <v/>
      </c>
    </row>
    <row r="4432">
      <c r="M4432" s="14">
        <f>_xlfn.BETA.INV($AA4432,1+4*($D$5-$C$5)/($E$5-$C$5),1+4*($E$5-$D$5)/($E$5-$C$5),$C$5,$E$5)</f>
        <v/>
      </c>
      <c r="N4432" s="14">
        <f>IF($AB4432&lt;($D$6-$C$6)/($E$6-$C$6),$C$6+SQRT($AB4432*($E$6-$C$6)*($D$6-$C$6)),$E$6-SQRT((1-$AB4432)*($E$6-$C$6)*($E$6-$D$6)))</f>
        <v/>
      </c>
      <c r="O4432" s="14">
        <f>_xlfn.NORM.INV($AC4432,$C$7,$D$7)</f>
        <v/>
      </c>
      <c r="P4432" s="14">
        <f>$C$8+($D$8-$C$8)*$AD4432</f>
        <v/>
      </c>
      <c r="Q4432" s="14">
        <f>$C$9</f>
        <v/>
      </c>
      <c r="R4432" s="14">
        <f>_xlfn.LOGNORM.INV($AF4432,LN($C$10)-0.5*LN(1+($D$10/$C$10)^2),SQRT(LN(1+($D$10/$C$10)^2)))</f>
        <v/>
      </c>
      <c r="S4432" s="14">
        <f>SUM(M4432:R4432)</f>
        <v/>
      </c>
      <c r="AA4432">
        <f>RAND()</f>
        <v/>
      </c>
      <c r="AB4432">
        <f>RAND()</f>
        <v/>
      </c>
      <c r="AC4432">
        <f>RAND()</f>
        <v/>
      </c>
      <c r="AD4432">
        <f>RAND()</f>
        <v/>
      </c>
      <c r="AE4432">
        <f>RAND()</f>
        <v/>
      </c>
      <c r="AF4432">
        <f>RAND()</f>
        <v/>
      </c>
    </row>
    <row r="4433">
      <c r="M4433" s="14">
        <f>_xlfn.BETA.INV($AA4433,1+4*($D$5-$C$5)/($E$5-$C$5),1+4*($E$5-$D$5)/($E$5-$C$5),$C$5,$E$5)</f>
        <v/>
      </c>
      <c r="N4433" s="14">
        <f>IF($AB4433&lt;($D$6-$C$6)/($E$6-$C$6),$C$6+SQRT($AB4433*($E$6-$C$6)*($D$6-$C$6)),$E$6-SQRT((1-$AB4433)*($E$6-$C$6)*($E$6-$D$6)))</f>
        <v/>
      </c>
      <c r="O4433" s="14">
        <f>_xlfn.NORM.INV($AC4433,$C$7,$D$7)</f>
        <v/>
      </c>
      <c r="P4433" s="14">
        <f>$C$8+($D$8-$C$8)*$AD4433</f>
        <v/>
      </c>
      <c r="Q4433" s="14">
        <f>$C$9</f>
        <v/>
      </c>
      <c r="R4433" s="14">
        <f>_xlfn.LOGNORM.INV($AF4433,LN($C$10)-0.5*LN(1+($D$10/$C$10)^2),SQRT(LN(1+($D$10/$C$10)^2)))</f>
        <v/>
      </c>
      <c r="S4433" s="14">
        <f>SUM(M4433:R4433)</f>
        <v/>
      </c>
      <c r="AA4433">
        <f>RAND()</f>
        <v/>
      </c>
      <c r="AB4433">
        <f>RAND()</f>
        <v/>
      </c>
      <c r="AC4433">
        <f>RAND()</f>
        <v/>
      </c>
      <c r="AD4433">
        <f>RAND()</f>
        <v/>
      </c>
      <c r="AE4433">
        <f>RAND()</f>
        <v/>
      </c>
      <c r="AF4433">
        <f>RAND()</f>
        <v/>
      </c>
    </row>
    <row r="4434">
      <c r="M4434" s="14">
        <f>_xlfn.BETA.INV($AA4434,1+4*($D$5-$C$5)/($E$5-$C$5),1+4*($E$5-$D$5)/($E$5-$C$5),$C$5,$E$5)</f>
        <v/>
      </c>
      <c r="N4434" s="14">
        <f>IF($AB4434&lt;($D$6-$C$6)/($E$6-$C$6),$C$6+SQRT($AB4434*($E$6-$C$6)*($D$6-$C$6)),$E$6-SQRT((1-$AB4434)*($E$6-$C$6)*($E$6-$D$6)))</f>
        <v/>
      </c>
      <c r="O4434" s="14">
        <f>_xlfn.NORM.INV($AC4434,$C$7,$D$7)</f>
        <v/>
      </c>
      <c r="P4434" s="14">
        <f>$C$8+($D$8-$C$8)*$AD4434</f>
        <v/>
      </c>
      <c r="Q4434" s="14">
        <f>$C$9</f>
        <v/>
      </c>
      <c r="R4434" s="14">
        <f>_xlfn.LOGNORM.INV($AF4434,LN($C$10)-0.5*LN(1+($D$10/$C$10)^2),SQRT(LN(1+($D$10/$C$10)^2)))</f>
        <v/>
      </c>
      <c r="S4434" s="14">
        <f>SUM(M4434:R4434)</f>
        <v/>
      </c>
      <c r="AA4434">
        <f>RAND()</f>
        <v/>
      </c>
      <c r="AB4434">
        <f>RAND()</f>
        <v/>
      </c>
      <c r="AC4434">
        <f>RAND()</f>
        <v/>
      </c>
      <c r="AD4434">
        <f>RAND()</f>
        <v/>
      </c>
      <c r="AE4434">
        <f>RAND()</f>
        <v/>
      </c>
      <c r="AF4434">
        <f>RAND()</f>
        <v/>
      </c>
    </row>
    <row r="4435">
      <c r="M4435" s="14">
        <f>_xlfn.BETA.INV($AA4435,1+4*($D$5-$C$5)/($E$5-$C$5),1+4*($E$5-$D$5)/($E$5-$C$5),$C$5,$E$5)</f>
        <v/>
      </c>
      <c r="N4435" s="14">
        <f>IF($AB4435&lt;($D$6-$C$6)/($E$6-$C$6),$C$6+SQRT($AB4435*($E$6-$C$6)*($D$6-$C$6)),$E$6-SQRT((1-$AB4435)*($E$6-$C$6)*($E$6-$D$6)))</f>
        <v/>
      </c>
      <c r="O4435" s="14">
        <f>_xlfn.NORM.INV($AC4435,$C$7,$D$7)</f>
        <v/>
      </c>
      <c r="P4435" s="14">
        <f>$C$8+($D$8-$C$8)*$AD4435</f>
        <v/>
      </c>
      <c r="Q4435" s="14">
        <f>$C$9</f>
        <v/>
      </c>
      <c r="R4435" s="14">
        <f>_xlfn.LOGNORM.INV($AF4435,LN($C$10)-0.5*LN(1+($D$10/$C$10)^2),SQRT(LN(1+($D$10/$C$10)^2)))</f>
        <v/>
      </c>
      <c r="S4435" s="14">
        <f>SUM(M4435:R4435)</f>
        <v/>
      </c>
      <c r="AA4435">
        <f>RAND()</f>
        <v/>
      </c>
      <c r="AB4435">
        <f>RAND()</f>
        <v/>
      </c>
      <c r="AC4435">
        <f>RAND()</f>
        <v/>
      </c>
      <c r="AD4435">
        <f>RAND()</f>
        <v/>
      </c>
      <c r="AE4435">
        <f>RAND()</f>
        <v/>
      </c>
      <c r="AF4435">
        <f>RAND()</f>
        <v/>
      </c>
    </row>
    <row r="4436">
      <c r="M4436" s="14">
        <f>_xlfn.BETA.INV($AA4436,1+4*($D$5-$C$5)/($E$5-$C$5),1+4*($E$5-$D$5)/($E$5-$C$5),$C$5,$E$5)</f>
        <v/>
      </c>
      <c r="N4436" s="14">
        <f>IF($AB4436&lt;($D$6-$C$6)/($E$6-$C$6),$C$6+SQRT($AB4436*($E$6-$C$6)*($D$6-$C$6)),$E$6-SQRT((1-$AB4436)*($E$6-$C$6)*($E$6-$D$6)))</f>
        <v/>
      </c>
      <c r="O4436" s="14">
        <f>_xlfn.NORM.INV($AC4436,$C$7,$D$7)</f>
        <v/>
      </c>
      <c r="P4436" s="14">
        <f>$C$8+($D$8-$C$8)*$AD4436</f>
        <v/>
      </c>
      <c r="Q4436" s="14">
        <f>$C$9</f>
        <v/>
      </c>
      <c r="R4436" s="14">
        <f>_xlfn.LOGNORM.INV($AF4436,LN($C$10)-0.5*LN(1+($D$10/$C$10)^2),SQRT(LN(1+($D$10/$C$10)^2)))</f>
        <v/>
      </c>
      <c r="S4436" s="14">
        <f>SUM(M4436:R4436)</f>
        <v/>
      </c>
      <c r="AA4436">
        <f>RAND()</f>
        <v/>
      </c>
      <c r="AB4436">
        <f>RAND()</f>
        <v/>
      </c>
      <c r="AC4436">
        <f>RAND()</f>
        <v/>
      </c>
      <c r="AD4436">
        <f>RAND()</f>
        <v/>
      </c>
      <c r="AE4436">
        <f>RAND()</f>
        <v/>
      </c>
      <c r="AF4436">
        <f>RAND()</f>
        <v/>
      </c>
    </row>
    <row r="4437">
      <c r="M4437" s="14">
        <f>_xlfn.BETA.INV($AA4437,1+4*($D$5-$C$5)/($E$5-$C$5),1+4*($E$5-$D$5)/($E$5-$C$5),$C$5,$E$5)</f>
        <v/>
      </c>
      <c r="N4437" s="14">
        <f>IF($AB4437&lt;($D$6-$C$6)/($E$6-$C$6),$C$6+SQRT($AB4437*($E$6-$C$6)*($D$6-$C$6)),$E$6-SQRT((1-$AB4437)*($E$6-$C$6)*($E$6-$D$6)))</f>
        <v/>
      </c>
      <c r="O4437" s="14">
        <f>_xlfn.NORM.INV($AC4437,$C$7,$D$7)</f>
        <v/>
      </c>
      <c r="P4437" s="14">
        <f>$C$8+($D$8-$C$8)*$AD4437</f>
        <v/>
      </c>
      <c r="Q4437" s="14">
        <f>$C$9</f>
        <v/>
      </c>
      <c r="R4437" s="14">
        <f>_xlfn.LOGNORM.INV($AF4437,LN($C$10)-0.5*LN(1+($D$10/$C$10)^2),SQRT(LN(1+($D$10/$C$10)^2)))</f>
        <v/>
      </c>
      <c r="S4437" s="14">
        <f>SUM(M4437:R4437)</f>
        <v/>
      </c>
      <c r="AA4437">
        <f>RAND()</f>
        <v/>
      </c>
      <c r="AB4437">
        <f>RAND()</f>
        <v/>
      </c>
      <c r="AC4437">
        <f>RAND()</f>
        <v/>
      </c>
      <c r="AD4437">
        <f>RAND()</f>
        <v/>
      </c>
      <c r="AE4437">
        <f>RAND()</f>
        <v/>
      </c>
      <c r="AF4437">
        <f>RAND()</f>
        <v/>
      </c>
    </row>
    <row r="4438">
      <c r="M4438" s="14">
        <f>_xlfn.BETA.INV($AA4438,1+4*($D$5-$C$5)/($E$5-$C$5),1+4*($E$5-$D$5)/($E$5-$C$5),$C$5,$E$5)</f>
        <v/>
      </c>
      <c r="N4438" s="14">
        <f>IF($AB4438&lt;($D$6-$C$6)/($E$6-$C$6),$C$6+SQRT($AB4438*($E$6-$C$6)*($D$6-$C$6)),$E$6-SQRT((1-$AB4438)*($E$6-$C$6)*($E$6-$D$6)))</f>
        <v/>
      </c>
      <c r="O4438" s="14">
        <f>_xlfn.NORM.INV($AC4438,$C$7,$D$7)</f>
        <v/>
      </c>
      <c r="P4438" s="14">
        <f>$C$8+($D$8-$C$8)*$AD4438</f>
        <v/>
      </c>
      <c r="Q4438" s="14">
        <f>$C$9</f>
        <v/>
      </c>
      <c r="R4438" s="14">
        <f>_xlfn.LOGNORM.INV($AF4438,LN($C$10)-0.5*LN(1+($D$10/$C$10)^2),SQRT(LN(1+($D$10/$C$10)^2)))</f>
        <v/>
      </c>
      <c r="S4438" s="14">
        <f>SUM(M4438:R4438)</f>
        <v/>
      </c>
      <c r="AA4438">
        <f>RAND()</f>
        <v/>
      </c>
      <c r="AB4438">
        <f>RAND()</f>
        <v/>
      </c>
      <c r="AC4438">
        <f>RAND()</f>
        <v/>
      </c>
      <c r="AD4438">
        <f>RAND()</f>
        <v/>
      </c>
      <c r="AE4438">
        <f>RAND()</f>
        <v/>
      </c>
      <c r="AF4438">
        <f>RAND()</f>
        <v/>
      </c>
    </row>
    <row r="4439">
      <c r="M4439" s="14">
        <f>_xlfn.BETA.INV($AA4439,1+4*($D$5-$C$5)/($E$5-$C$5),1+4*($E$5-$D$5)/($E$5-$C$5),$C$5,$E$5)</f>
        <v/>
      </c>
      <c r="N4439" s="14">
        <f>IF($AB4439&lt;($D$6-$C$6)/($E$6-$C$6),$C$6+SQRT($AB4439*($E$6-$C$6)*($D$6-$C$6)),$E$6-SQRT((1-$AB4439)*($E$6-$C$6)*($E$6-$D$6)))</f>
        <v/>
      </c>
      <c r="O4439" s="14">
        <f>_xlfn.NORM.INV($AC4439,$C$7,$D$7)</f>
        <v/>
      </c>
      <c r="P4439" s="14">
        <f>$C$8+($D$8-$C$8)*$AD4439</f>
        <v/>
      </c>
      <c r="Q4439" s="14">
        <f>$C$9</f>
        <v/>
      </c>
      <c r="R4439" s="14">
        <f>_xlfn.LOGNORM.INV($AF4439,LN($C$10)-0.5*LN(1+($D$10/$C$10)^2),SQRT(LN(1+($D$10/$C$10)^2)))</f>
        <v/>
      </c>
      <c r="S4439" s="14">
        <f>SUM(M4439:R4439)</f>
        <v/>
      </c>
      <c r="AA4439">
        <f>RAND()</f>
        <v/>
      </c>
      <c r="AB4439">
        <f>RAND()</f>
        <v/>
      </c>
      <c r="AC4439">
        <f>RAND()</f>
        <v/>
      </c>
      <c r="AD4439">
        <f>RAND()</f>
        <v/>
      </c>
      <c r="AE4439">
        <f>RAND()</f>
        <v/>
      </c>
      <c r="AF4439">
        <f>RAND()</f>
        <v/>
      </c>
    </row>
    <row r="4440">
      <c r="M4440" s="14">
        <f>_xlfn.BETA.INV($AA4440,1+4*($D$5-$C$5)/($E$5-$C$5),1+4*($E$5-$D$5)/($E$5-$C$5),$C$5,$E$5)</f>
        <v/>
      </c>
      <c r="N4440" s="14">
        <f>IF($AB4440&lt;($D$6-$C$6)/($E$6-$C$6),$C$6+SQRT($AB4440*($E$6-$C$6)*($D$6-$C$6)),$E$6-SQRT((1-$AB4440)*($E$6-$C$6)*($E$6-$D$6)))</f>
        <v/>
      </c>
      <c r="O4440" s="14">
        <f>_xlfn.NORM.INV($AC4440,$C$7,$D$7)</f>
        <v/>
      </c>
      <c r="P4440" s="14">
        <f>$C$8+($D$8-$C$8)*$AD4440</f>
        <v/>
      </c>
      <c r="Q4440" s="14">
        <f>$C$9</f>
        <v/>
      </c>
      <c r="R4440" s="14">
        <f>_xlfn.LOGNORM.INV($AF4440,LN($C$10)-0.5*LN(1+($D$10/$C$10)^2),SQRT(LN(1+($D$10/$C$10)^2)))</f>
        <v/>
      </c>
      <c r="S4440" s="14">
        <f>SUM(M4440:R4440)</f>
        <v/>
      </c>
      <c r="AA4440">
        <f>RAND()</f>
        <v/>
      </c>
      <c r="AB4440">
        <f>RAND()</f>
        <v/>
      </c>
      <c r="AC4440">
        <f>RAND()</f>
        <v/>
      </c>
      <c r="AD4440">
        <f>RAND()</f>
        <v/>
      </c>
      <c r="AE4440">
        <f>RAND()</f>
        <v/>
      </c>
      <c r="AF4440">
        <f>RAND()</f>
        <v/>
      </c>
    </row>
    <row r="4441">
      <c r="M4441" s="14">
        <f>_xlfn.BETA.INV($AA4441,1+4*($D$5-$C$5)/($E$5-$C$5),1+4*($E$5-$D$5)/($E$5-$C$5),$C$5,$E$5)</f>
        <v/>
      </c>
      <c r="N4441" s="14">
        <f>IF($AB4441&lt;($D$6-$C$6)/($E$6-$C$6),$C$6+SQRT($AB4441*($E$6-$C$6)*($D$6-$C$6)),$E$6-SQRT((1-$AB4441)*($E$6-$C$6)*($E$6-$D$6)))</f>
        <v/>
      </c>
      <c r="O4441" s="14">
        <f>_xlfn.NORM.INV($AC4441,$C$7,$D$7)</f>
        <v/>
      </c>
      <c r="P4441" s="14">
        <f>$C$8+($D$8-$C$8)*$AD4441</f>
        <v/>
      </c>
      <c r="Q4441" s="14">
        <f>$C$9</f>
        <v/>
      </c>
      <c r="R4441" s="14">
        <f>_xlfn.LOGNORM.INV($AF4441,LN($C$10)-0.5*LN(1+($D$10/$C$10)^2),SQRT(LN(1+($D$10/$C$10)^2)))</f>
        <v/>
      </c>
      <c r="S4441" s="14">
        <f>SUM(M4441:R4441)</f>
        <v/>
      </c>
      <c r="AA4441">
        <f>RAND()</f>
        <v/>
      </c>
      <c r="AB4441">
        <f>RAND()</f>
        <v/>
      </c>
      <c r="AC4441">
        <f>RAND()</f>
        <v/>
      </c>
      <c r="AD4441">
        <f>RAND()</f>
        <v/>
      </c>
      <c r="AE4441">
        <f>RAND()</f>
        <v/>
      </c>
      <c r="AF4441">
        <f>RAND()</f>
        <v/>
      </c>
    </row>
    <row r="4442">
      <c r="M4442" s="14">
        <f>_xlfn.BETA.INV($AA4442,1+4*($D$5-$C$5)/($E$5-$C$5),1+4*($E$5-$D$5)/($E$5-$C$5),$C$5,$E$5)</f>
        <v/>
      </c>
      <c r="N4442" s="14">
        <f>IF($AB4442&lt;($D$6-$C$6)/($E$6-$C$6),$C$6+SQRT($AB4442*($E$6-$C$6)*($D$6-$C$6)),$E$6-SQRT((1-$AB4442)*($E$6-$C$6)*($E$6-$D$6)))</f>
        <v/>
      </c>
      <c r="O4442" s="14">
        <f>_xlfn.NORM.INV($AC4442,$C$7,$D$7)</f>
        <v/>
      </c>
      <c r="P4442" s="14">
        <f>$C$8+($D$8-$C$8)*$AD4442</f>
        <v/>
      </c>
      <c r="Q4442" s="14">
        <f>$C$9</f>
        <v/>
      </c>
      <c r="R4442" s="14">
        <f>_xlfn.LOGNORM.INV($AF4442,LN($C$10)-0.5*LN(1+($D$10/$C$10)^2),SQRT(LN(1+($D$10/$C$10)^2)))</f>
        <v/>
      </c>
      <c r="S4442" s="14">
        <f>SUM(M4442:R4442)</f>
        <v/>
      </c>
      <c r="AA4442">
        <f>RAND()</f>
        <v/>
      </c>
      <c r="AB4442">
        <f>RAND()</f>
        <v/>
      </c>
      <c r="AC4442">
        <f>RAND()</f>
        <v/>
      </c>
      <c r="AD4442">
        <f>RAND()</f>
        <v/>
      </c>
      <c r="AE4442">
        <f>RAND()</f>
        <v/>
      </c>
      <c r="AF4442">
        <f>RAND()</f>
        <v/>
      </c>
    </row>
    <row r="4443">
      <c r="M4443" s="14">
        <f>_xlfn.BETA.INV($AA4443,1+4*($D$5-$C$5)/($E$5-$C$5),1+4*($E$5-$D$5)/($E$5-$C$5),$C$5,$E$5)</f>
        <v/>
      </c>
      <c r="N4443" s="14">
        <f>IF($AB4443&lt;($D$6-$C$6)/($E$6-$C$6),$C$6+SQRT($AB4443*($E$6-$C$6)*($D$6-$C$6)),$E$6-SQRT((1-$AB4443)*($E$6-$C$6)*($E$6-$D$6)))</f>
        <v/>
      </c>
      <c r="O4443" s="14">
        <f>_xlfn.NORM.INV($AC4443,$C$7,$D$7)</f>
        <v/>
      </c>
      <c r="P4443" s="14">
        <f>$C$8+($D$8-$C$8)*$AD4443</f>
        <v/>
      </c>
      <c r="Q4443" s="14">
        <f>$C$9</f>
        <v/>
      </c>
      <c r="R4443" s="14">
        <f>_xlfn.LOGNORM.INV($AF4443,LN($C$10)-0.5*LN(1+($D$10/$C$10)^2),SQRT(LN(1+($D$10/$C$10)^2)))</f>
        <v/>
      </c>
      <c r="S4443" s="14">
        <f>SUM(M4443:R4443)</f>
        <v/>
      </c>
      <c r="AA4443">
        <f>RAND()</f>
        <v/>
      </c>
      <c r="AB4443">
        <f>RAND()</f>
        <v/>
      </c>
      <c r="AC4443">
        <f>RAND()</f>
        <v/>
      </c>
      <c r="AD4443">
        <f>RAND()</f>
        <v/>
      </c>
      <c r="AE4443">
        <f>RAND()</f>
        <v/>
      </c>
      <c r="AF4443">
        <f>RAND()</f>
        <v/>
      </c>
    </row>
    <row r="4444">
      <c r="M4444" s="14">
        <f>_xlfn.BETA.INV($AA4444,1+4*($D$5-$C$5)/($E$5-$C$5),1+4*($E$5-$D$5)/($E$5-$C$5),$C$5,$E$5)</f>
        <v/>
      </c>
      <c r="N4444" s="14">
        <f>IF($AB4444&lt;($D$6-$C$6)/($E$6-$C$6),$C$6+SQRT($AB4444*($E$6-$C$6)*($D$6-$C$6)),$E$6-SQRT((1-$AB4444)*($E$6-$C$6)*($E$6-$D$6)))</f>
        <v/>
      </c>
      <c r="O4444" s="14">
        <f>_xlfn.NORM.INV($AC4444,$C$7,$D$7)</f>
        <v/>
      </c>
      <c r="P4444" s="14">
        <f>$C$8+($D$8-$C$8)*$AD4444</f>
        <v/>
      </c>
      <c r="Q4444" s="14">
        <f>$C$9</f>
        <v/>
      </c>
      <c r="R4444" s="14">
        <f>_xlfn.LOGNORM.INV($AF4444,LN($C$10)-0.5*LN(1+($D$10/$C$10)^2),SQRT(LN(1+($D$10/$C$10)^2)))</f>
        <v/>
      </c>
      <c r="S4444" s="14">
        <f>SUM(M4444:R4444)</f>
        <v/>
      </c>
      <c r="AA4444">
        <f>RAND()</f>
        <v/>
      </c>
      <c r="AB4444">
        <f>RAND()</f>
        <v/>
      </c>
      <c r="AC4444">
        <f>RAND()</f>
        <v/>
      </c>
      <c r="AD4444">
        <f>RAND()</f>
        <v/>
      </c>
      <c r="AE4444">
        <f>RAND()</f>
        <v/>
      </c>
      <c r="AF4444">
        <f>RAND()</f>
        <v/>
      </c>
    </row>
    <row r="4445">
      <c r="M4445" s="14">
        <f>_xlfn.BETA.INV($AA4445,1+4*($D$5-$C$5)/($E$5-$C$5),1+4*($E$5-$D$5)/($E$5-$C$5),$C$5,$E$5)</f>
        <v/>
      </c>
      <c r="N4445" s="14">
        <f>IF($AB4445&lt;($D$6-$C$6)/($E$6-$C$6),$C$6+SQRT($AB4445*($E$6-$C$6)*($D$6-$C$6)),$E$6-SQRT((1-$AB4445)*($E$6-$C$6)*($E$6-$D$6)))</f>
        <v/>
      </c>
      <c r="O4445" s="14">
        <f>_xlfn.NORM.INV($AC4445,$C$7,$D$7)</f>
        <v/>
      </c>
      <c r="P4445" s="14">
        <f>$C$8+($D$8-$C$8)*$AD4445</f>
        <v/>
      </c>
      <c r="Q4445" s="14">
        <f>$C$9</f>
        <v/>
      </c>
      <c r="R4445" s="14">
        <f>_xlfn.LOGNORM.INV($AF4445,LN($C$10)-0.5*LN(1+($D$10/$C$10)^2),SQRT(LN(1+($D$10/$C$10)^2)))</f>
        <v/>
      </c>
      <c r="S4445" s="14">
        <f>SUM(M4445:R4445)</f>
        <v/>
      </c>
      <c r="AA4445">
        <f>RAND()</f>
        <v/>
      </c>
      <c r="AB4445">
        <f>RAND()</f>
        <v/>
      </c>
      <c r="AC4445">
        <f>RAND()</f>
        <v/>
      </c>
      <c r="AD4445">
        <f>RAND()</f>
        <v/>
      </c>
      <c r="AE4445">
        <f>RAND()</f>
        <v/>
      </c>
      <c r="AF4445">
        <f>RAND()</f>
        <v/>
      </c>
    </row>
    <row r="4446">
      <c r="M4446" s="14">
        <f>_xlfn.BETA.INV($AA4446,1+4*($D$5-$C$5)/($E$5-$C$5),1+4*($E$5-$D$5)/($E$5-$C$5),$C$5,$E$5)</f>
        <v/>
      </c>
      <c r="N4446" s="14">
        <f>IF($AB4446&lt;($D$6-$C$6)/($E$6-$C$6),$C$6+SQRT($AB4446*($E$6-$C$6)*($D$6-$C$6)),$E$6-SQRT((1-$AB4446)*($E$6-$C$6)*($E$6-$D$6)))</f>
        <v/>
      </c>
      <c r="O4446" s="14">
        <f>_xlfn.NORM.INV($AC4446,$C$7,$D$7)</f>
        <v/>
      </c>
      <c r="P4446" s="14">
        <f>$C$8+($D$8-$C$8)*$AD4446</f>
        <v/>
      </c>
      <c r="Q4446" s="14">
        <f>$C$9</f>
        <v/>
      </c>
      <c r="R4446" s="14">
        <f>_xlfn.LOGNORM.INV($AF4446,LN($C$10)-0.5*LN(1+($D$10/$C$10)^2),SQRT(LN(1+($D$10/$C$10)^2)))</f>
        <v/>
      </c>
      <c r="S4446" s="14">
        <f>SUM(M4446:R4446)</f>
        <v/>
      </c>
      <c r="AA4446">
        <f>RAND()</f>
        <v/>
      </c>
      <c r="AB4446">
        <f>RAND()</f>
        <v/>
      </c>
      <c r="AC4446">
        <f>RAND()</f>
        <v/>
      </c>
      <c r="AD4446">
        <f>RAND()</f>
        <v/>
      </c>
      <c r="AE4446">
        <f>RAND()</f>
        <v/>
      </c>
      <c r="AF4446">
        <f>RAND()</f>
        <v/>
      </c>
    </row>
    <row r="4447">
      <c r="M4447" s="14">
        <f>_xlfn.BETA.INV($AA4447,1+4*($D$5-$C$5)/($E$5-$C$5),1+4*($E$5-$D$5)/($E$5-$C$5),$C$5,$E$5)</f>
        <v/>
      </c>
      <c r="N4447" s="14">
        <f>IF($AB4447&lt;($D$6-$C$6)/($E$6-$C$6),$C$6+SQRT($AB4447*($E$6-$C$6)*($D$6-$C$6)),$E$6-SQRT((1-$AB4447)*($E$6-$C$6)*($E$6-$D$6)))</f>
        <v/>
      </c>
      <c r="O4447" s="14">
        <f>_xlfn.NORM.INV($AC4447,$C$7,$D$7)</f>
        <v/>
      </c>
      <c r="P4447" s="14">
        <f>$C$8+($D$8-$C$8)*$AD4447</f>
        <v/>
      </c>
      <c r="Q4447" s="14">
        <f>$C$9</f>
        <v/>
      </c>
      <c r="R4447" s="14">
        <f>_xlfn.LOGNORM.INV($AF4447,LN($C$10)-0.5*LN(1+($D$10/$C$10)^2),SQRT(LN(1+($D$10/$C$10)^2)))</f>
        <v/>
      </c>
      <c r="S4447" s="14">
        <f>SUM(M4447:R4447)</f>
        <v/>
      </c>
      <c r="AA4447">
        <f>RAND()</f>
        <v/>
      </c>
      <c r="AB4447">
        <f>RAND()</f>
        <v/>
      </c>
      <c r="AC4447">
        <f>RAND()</f>
        <v/>
      </c>
      <c r="AD4447">
        <f>RAND()</f>
        <v/>
      </c>
      <c r="AE4447">
        <f>RAND()</f>
        <v/>
      </c>
      <c r="AF4447">
        <f>RAND()</f>
        <v/>
      </c>
    </row>
    <row r="4448">
      <c r="M4448" s="14">
        <f>_xlfn.BETA.INV($AA4448,1+4*($D$5-$C$5)/($E$5-$C$5),1+4*($E$5-$D$5)/($E$5-$C$5),$C$5,$E$5)</f>
        <v/>
      </c>
      <c r="N4448" s="14">
        <f>IF($AB4448&lt;($D$6-$C$6)/($E$6-$C$6),$C$6+SQRT($AB4448*($E$6-$C$6)*($D$6-$C$6)),$E$6-SQRT((1-$AB4448)*($E$6-$C$6)*($E$6-$D$6)))</f>
        <v/>
      </c>
      <c r="O4448" s="14">
        <f>_xlfn.NORM.INV($AC4448,$C$7,$D$7)</f>
        <v/>
      </c>
      <c r="P4448" s="14">
        <f>$C$8+($D$8-$C$8)*$AD4448</f>
        <v/>
      </c>
      <c r="Q4448" s="14">
        <f>$C$9</f>
        <v/>
      </c>
      <c r="R4448" s="14">
        <f>_xlfn.LOGNORM.INV($AF4448,LN($C$10)-0.5*LN(1+($D$10/$C$10)^2),SQRT(LN(1+($D$10/$C$10)^2)))</f>
        <v/>
      </c>
      <c r="S4448" s="14">
        <f>SUM(M4448:R4448)</f>
        <v/>
      </c>
      <c r="AA4448">
        <f>RAND()</f>
        <v/>
      </c>
      <c r="AB4448">
        <f>RAND()</f>
        <v/>
      </c>
      <c r="AC4448">
        <f>RAND()</f>
        <v/>
      </c>
      <c r="AD4448">
        <f>RAND()</f>
        <v/>
      </c>
      <c r="AE4448">
        <f>RAND()</f>
        <v/>
      </c>
      <c r="AF4448">
        <f>RAND()</f>
        <v/>
      </c>
    </row>
    <row r="4449">
      <c r="M4449" s="14">
        <f>_xlfn.BETA.INV($AA4449,1+4*($D$5-$C$5)/($E$5-$C$5),1+4*($E$5-$D$5)/($E$5-$C$5),$C$5,$E$5)</f>
        <v/>
      </c>
      <c r="N4449" s="14">
        <f>IF($AB4449&lt;($D$6-$C$6)/($E$6-$C$6),$C$6+SQRT($AB4449*($E$6-$C$6)*($D$6-$C$6)),$E$6-SQRT((1-$AB4449)*($E$6-$C$6)*($E$6-$D$6)))</f>
        <v/>
      </c>
      <c r="O4449" s="14">
        <f>_xlfn.NORM.INV($AC4449,$C$7,$D$7)</f>
        <v/>
      </c>
      <c r="P4449" s="14">
        <f>$C$8+($D$8-$C$8)*$AD4449</f>
        <v/>
      </c>
      <c r="Q4449" s="14">
        <f>$C$9</f>
        <v/>
      </c>
      <c r="R4449" s="14">
        <f>_xlfn.LOGNORM.INV($AF4449,LN($C$10)-0.5*LN(1+($D$10/$C$10)^2),SQRT(LN(1+($D$10/$C$10)^2)))</f>
        <v/>
      </c>
      <c r="S4449" s="14">
        <f>SUM(M4449:R4449)</f>
        <v/>
      </c>
      <c r="AA4449">
        <f>RAND()</f>
        <v/>
      </c>
      <c r="AB4449">
        <f>RAND()</f>
        <v/>
      </c>
      <c r="AC4449">
        <f>RAND()</f>
        <v/>
      </c>
      <c r="AD4449">
        <f>RAND()</f>
        <v/>
      </c>
      <c r="AE4449">
        <f>RAND()</f>
        <v/>
      </c>
      <c r="AF4449">
        <f>RAND()</f>
        <v/>
      </c>
    </row>
    <row r="4450">
      <c r="M4450" s="14">
        <f>_xlfn.BETA.INV($AA4450,1+4*($D$5-$C$5)/($E$5-$C$5),1+4*($E$5-$D$5)/($E$5-$C$5),$C$5,$E$5)</f>
        <v/>
      </c>
      <c r="N4450" s="14">
        <f>IF($AB4450&lt;($D$6-$C$6)/($E$6-$C$6),$C$6+SQRT($AB4450*($E$6-$C$6)*($D$6-$C$6)),$E$6-SQRT((1-$AB4450)*($E$6-$C$6)*($E$6-$D$6)))</f>
        <v/>
      </c>
      <c r="O4450" s="14">
        <f>_xlfn.NORM.INV($AC4450,$C$7,$D$7)</f>
        <v/>
      </c>
      <c r="P4450" s="14">
        <f>$C$8+($D$8-$C$8)*$AD4450</f>
        <v/>
      </c>
      <c r="Q4450" s="14">
        <f>$C$9</f>
        <v/>
      </c>
      <c r="R4450" s="14">
        <f>_xlfn.LOGNORM.INV($AF4450,LN($C$10)-0.5*LN(1+($D$10/$C$10)^2),SQRT(LN(1+($D$10/$C$10)^2)))</f>
        <v/>
      </c>
      <c r="S4450" s="14">
        <f>SUM(M4450:R4450)</f>
        <v/>
      </c>
      <c r="AA4450">
        <f>RAND()</f>
        <v/>
      </c>
      <c r="AB4450">
        <f>RAND()</f>
        <v/>
      </c>
      <c r="AC4450">
        <f>RAND()</f>
        <v/>
      </c>
      <c r="AD4450">
        <f>RAND()</f>
        <v/>
      </c>
      <c r="AE4450">
        <f>RAND()</f>
        <v/>
      </c>
      <c r="AF4450">
        <f>RAND()</f>
        <v/>
      </c>
    </row>
    <row r="4451">
      <c r="M4451" s="14">
        <f>_xlfn.BETA.INV($AA4451,1+4*($D$5-$C$5)/($E$5-$C$5),1+4*($E$5-$D$5)/($E$5-$C$5),$C$5,$E$5)</f>
        <v/>
      </c>
      <c r="N4451" s="14">
        <f>IF($AB4451&lt;($D$6-$C$6)/($E$6-$C$6),$C$6+SQRT($AB4451*($E$6-$C$6)*($D$6-$C$6)),$E$6-SQRT((1-$AB4451)*($E$6-$C$6)*($E$6-$D$6)))</f>
        <v/>
      </c>
      <c r="O4451" s="14">
        <f>_xlfn.NORM.INV($AC4451,$C$7,$D$7)</f>
        <v/>
      </c>
      <c r="P4451" s="14">
        <f>$C$8+($D$8-$C$8)*$AD4451</f>
        <v/>
      </c>
      <c r="Q4451" s="14">
        <f>$C$9</f>
        <v/>
      </c>
      <c r="R4451" s="14">
        <f>_xlfn.LOGNORM.INV($AF4451,LN($C$10)-0.5*LN(1+($D$10/$C$10)^2),SQRT(LN(1+($D$10/$C$10)^2)))</f>
        <v/>
      </c>
      <c r="S4451" s="14">
        <f>SUM(M4451:R4451)</f>
        <v/>
      </c>
      <c r="AA4451">
        <f>RAND()</f>
        <v/>
      </c>
      <c r="AB4451">
        <f>RAND()</f>
        <v/>
      </c>
      <c r="AC4451">
        <f>RAND()</f>
        <v/>
      </c>
      <c r="AD4451">
        <f>RAND()</f>
        <v/>
      </c>
      <c r="AE4451">
        <f>RAND()</f>
        <v/>
      </c>
      <c r="AF4451">
        <f>RAND()</f>
        <v/>
      </c>
    </row>
    <row r="4452">
      <c r="M4452" s="14">
        <f>_xlfn.BETA.INV($AA4452,1+4*($D$5-$C$5)/($E$5-$C$5),1+4*($E$5-$D$5)/($E$5-$C$5),$C$5,$E$5)</f>
        <v/>
      </c>
      <c r="N4452" s="14">
        <f>IF($AB4452&lt;($D$6-$C$6)/($E$6-$C$6),$C$6+SQRT($AB4452*($E$6-$C$6)*($D$6-$C$6)),$E$6-SQRT((1-$AB4452)*($E$6-$C$6)*($E$6-$D$6)))</f>
        <v/>
      </c>
      <c r="O4452" s="14">
        <f>_xlfn.NORM.INV($AC4452,$C$7,$D$7)</f>
        <v/>
      </c>
      <c r="P4452" s="14">
        <f>$C$8+($D$8-$C$8)*$AD4452</f>
        <v/>
      </c>
      <c r="Q4452" s="14">
        <f>$C$9</f>
        <v/>
      </c>
      <c r="R4452" s="14">
        <f>_xlfn.LOGNORM.INV($AF4452,LN($C$10)-0.5*LN(1+($D$10/$C$10)^2),SQRT(LN(1+($D$10/$C$10)^2)))</f>
        <v/>
      </c>
      <c r="S4452" s="14">
        <f>SUM(M4452:R4452)</f>
        <v/>
      </c>
      <c r="AA4452">
        <f>RAND()</f>
        <v/>
      </c>
      <c r="AB4452">
        <f>RAND()</f>
        <v/>
      </c>
      <c r="AC4452">
        <f>RAND()</f>
        <v/>
      </c>
      <c r="AD4452">
        <f>RAND()</f>
        <v/>
      </c>
      <c r="AE4452">
        <f>RAND()</f>
        <v/>
      </c>
      <c r="AF4452">
        <f>RAND()</f>
        <v/>
      </c>
    </row>
    <row r="4453">
      <c r="M4453" s="14">
        <f>_xlfn.BETA.INV($AA4453,1+4*($D$5-$C$5)/($E$5-$C$5),1+4*($E$5-$D$5)/($E$5-$C$5),$C$5,$E$5)</f>
        <v/>
      </c>
      <c r="N4453" s="14">
        <f>IF($AB4453&lt;($D$6-$C$6)/($E$6-$C$6),$C$6+SQRT($AB4453*($E$6-$C$6)*($D$6-$C$6)),$E$6-SQRT((1-$AB4453)*($E$6-$C$6)*($E$6-$D$6)))</f>
        <v/>
      </c>
      <c r="O4453" s="14">
        <f>_xlfn.NORM.INV($AC4453,$C$7,$D$7)</f>
        <v/>
      </c>
      <c r="P4453" s="14">
        <f>$C$8+($D$8-$C$8)*$AD4453</f>
        <v/>
      </c>
      <c r="Q4453" s="14">
        <f>$C$9</f>
        <v/>
      </c>
      <c r="R4453" s="14">
        <f>_xlfn.LOGNORM.INV($AF4453,LN($C$10)-0.5*LN(1+($D$10/$C$10)^2),SQRT(LN(1+($D$10/$C$10)^2)))</f>
        <v/>
      </c>
      <c r="S4453" s="14">
        <f>SUM(M4453:R4453)</f>
        <v/>
      </c>
      <c r="AA4453">
        <f>RAND()</f>
        <v/>
      </c>
      <c r="AB4453">
        <f>RAND()</f>
        <v/>
      </c>
      <c r="AC4453">
        <f>RAND()</f>
        <v/>
      </c>
      <c r="AD4453">
        <f>RAND()</f>
        <v/>
      </c>
      <c r="AE4453">
        <f>RAND()</f>
        <v/>
      </c>
      <c r="AF4453">
        <f>RAND()</f>
        <v/>
      </c>
    </row>
    <row r="4454">
      <c r="M4454" s="14">
        <f>_xlfn.BETA.INV($AA4454,1+4*($D$5-$C$5)/($E$5-$C$5),1+4*($E$5-$D$5)/($E$5-$C$5),$C$5,$E$5)</f>
        <v/>
      </c>
      <c r="N4454" s="14">
        <f>IF($AB4454&lt;($D$6-$C$6)/($E$6-$C$6),$C$6+SQRT($AB4454*($E$6-$C$6)*($D$6-$C$6)),$E$6-SQRT((1-$AB4454)*($E$6-$C$6)*($E$6-$D$6)))</f>
        <v/>
      </c>
      <c r="O4454" s="14">
        <f>_xlfn.NORM.INV($AC4454,$C$7,$D$7)</f>
        <v/>
      </c>
      <c r="P4454" s="14">
        <f>$C$8+($D$8-$C$8)*$AD4454</f>
        <v/>
      </c>
      <c r="Q4454" s="14">
        <f>$C$9</f>
        <v/>
      </c>
      <c r="R4454" s="14">
        <f>_xlfn.LOGNORM.INV($AF4454,LN($C$10)-0.5*LN(1+($D$10/$C$10)^2),SQRT(LN(1+($D$10/$C$10)^2)))</f>
        <v/>
      </c>
      <c r="S4454" s="14">
        <f>SUM(M4454:R4454)</f>
        <v/>
      </c>
      <c r="AA4454">
        <f>RAND()</f>
        <v/>
      </c>
      <c r="AB4454">
        <f>RAND()</f>
        <v/>
      </c>
      <c r="AC4454">
        <f>RAND()</f>
        <v/>
      </c>
      <c r="AD4454">
        <f>RAND()</f>
        <v/>
      </c>
      <c r="AE4454">
        <f>RAND()</f>
        <v/>
      </c>
      <c r="AF4454">
        <f>RAND()</f>
        <v/>
      </c>
    </row>
    <row r="4455">
      <c r="M4455" s="14">
        <f>_xlfn.BETA.INV($AA4455,1+4*($D$5-$C$5)/($E$5-$C$5),1+4*($E$5-$D$5)/($E$5-$C$5),$C$5,$E$5)</f>
        <v/>
      </c>
      <c r="N4455" s="14">
        <f>IF($AB4455&lt;($D$6-$C$6)/($E$6-$C$6),$C$6+SQRT($AB4455*($E$6-$C$6)*($D$6-$C$6)),$E$6-SQRT((1-$AB4455)*($E$6-$C$6)*($E$6-$D$6)))</f>
        <v/>
      </c>
      <c r="O4455" s="14">
        <f>_xlfn.NORM.INV($AC4455,$C$7,$D$7)</f>
        <v/>
      </c>
      <c r="P4455" s="14">
        <f>$C$8+($D$8-$C$8)*$AD4455</f>
        <v/>
      </c>
      <c r="Q4455" s="14">
        <f>$C$9</f>
        <v/>
      </c>
      <c r="R4455" s="14">
        <f>_xlfn.LOGNORM.INV($AF4455,LN($C$10)-0.5*LN(1+($D$10/$C$10)^2),SQRT(LN(1+($D$10/$C$10)^2)))</f>
        <v/>
      </c>
      <c r="S4455" s="14">
        <f>SUM(M4455:R4455)</f>
        <v/>
      </c>
      <c r="AA4455">
        <f>RAND()</f>
        <v/>
      </c>
      <c r="AB4455">
        <f>RAND()</f>
        <v/>
      </c>
      <c r="AC4455">
        <f>RAND()</f>
        <v/>
      </c>
      <c r="AD4455">
        <f>RAND()</f>
        <v/>
      </c>
      <c r="AE4455">
        <f>RAND()</f>
        <v/>
      </c>
      <c r="AF4455">
        <f>RAND()</f>
        <v/>
      </c>
    </row>
    <row r="4456">
      <c r="M4456" s="14">
        <f>_xlfn.BETA.INV($AA4456,1+4*($D$5-$C$5)/($E$5-$C$5),1+4*($E$5-$D$5)/($E$5-$C$5),$C$5,$E$5)</f>
        <v/>
      </c>
      <c r="N4456" s="14">
        <f>IF($AB4456&lt;($D$6-$C$6)/($E$6-$C$6),$C$6+SQRT($AB4456*($E$6-$C$6)*($D$6-$C$6)),$E$6-SQRT((1-$AB4456)*($E$6-$C$6)*($E$6-$D$6)))</f>
        <v/>
      </c>
      <c r="O4456" s="14">
        <f>_xlfn.NORM.INV($AC4456,$C$7,$D$7)</f>
        <v/>
      </c>
      <c r="P4456" s="14">
        <f>$C$8+($D$8-$C$8)*$AD4456</f>
        <v/>
      </c>
      <c r="Q4456" s="14">
        <f>$C$9</f>
        <v/>
      </c>
      <c r="R4456" s="14">
        <f>_xlfn.LOGNORM.INV($AF4456,LN($C$10)-0.5*LN(1+($D$10/$C$10)^2),SQRT(LN(1+($D$10/$C$10)^2)))</f>
        <v/>
      </c>
      <c r="S4456" s="14">
        <f>SUM(M4456:R4456)</f>
        <v/>
      </c>
      <c r="AA4456">
        <f>RAND()</f>
        <v/>
      </c>
      <c r="AB4456">
        <f>RAND()</f>
        <v/>
      </c>
      <c r="AC4456">
        <f>RAND()</f>
        <v/>
      </c>
      <c r="AD4456">
        <f>RAND()</f>
        <v/>
      </c>
      <c r="AE4456">
        <f>RAND()</f>
        <v/>
      </c>
      <c r="AF4456">
        <f>RAND()</f>
        <v/>
      </c>
    </row>
    <row r="4457">
      <c r="M4457" s="14">
        <f>_xlfn.BETA.INV($AA4457,1+4*($D$5-$C$5)/($E$5-$C$5),1+4*($E$5-$D$5)/($E$5-$C$5),$C$5,$E$5)</f>
        <v/>
      </c>
      <c r="N4457" s="14">
        <f>IF($AB4457&lt;($D$6-$C$6)/($E$6-$C$6),$C$6+SQRT($AB4457*($E$6-$C$6)*($D$6-$C$6)),$E$6-SQRT((1-$AB4457)*($E$6-$C$6)*($E$6-$D$6)))</f>
        <v/>
      </c>
      <c r="O4457" s="14">
        <f>_xlfn.NORM.INV($AC4457,$C$7,$D$7)</f>
        <v/>
      </c>
      <c r="P4457" s="14">
        <f>$C$8+($D$8-$C$8)*$AD4457</f>
        <v/>
      </c>
      <c r="Q4457" s="14">
        <f>$C$9</f>
        <v/>
      </c>
      <c r="R4457" s="14">
        <f>_xlfn.LOGNORM.INV($AF4457,LN($C$10)-0.5*LN(1+($D$10/$C$10)^2),SQRT(LN(1+($D$10/$C$10)^2)))</f>
        <v/>
      </c>
      <c r="S4457" s="14">
        <f>SUM(M4457:R4457)</f>
        <v/>
      </c>
      <c r="AA4457">
        <f>RAND()</f>
        <v/>
      </c>
      <c r="AB4457">
        <f>RAND()</f>
        <v/>
      </c>
      <c r="AC4457">
        <f>RAND()</f>
        <v/>
      </c>
      <c r="AD4457">
        <f>RAND()</f>
        <v/>
      </c>
      <c r="AE4457">
        <f>RAND()</f>
        <v/>
      </c>
      <c r="AF4457">
        <f>RAND()</f>
        <v/>
      </c>
    </row>
    <row r="4458">
      <c r="M4458" s="14">
        <f>_xlfn.BETA.INV($AA4458,1+4*($D$5-$C$5)/($E$5-$C$5),1+4*($E$5-$D$5)/($E$5-$C$5),$C$5,$E$5)</f>
        <v/>
      </c>
      <c r="N4458" s="14">
        <f>IF($AB4458&lt;($D$6-$C$6)/($E$6-$C$6),$C$6+SQRT($AB4458*($E$6-$C$6)*($D$6-$C$6)),$E$6-SQRT((1-$AB4458)*($E$6-$C$6)*($E$6-$D$6)))</f>
        <v/>
      </c>
      <c r="O4458" s="14">
        <f>_xlfn.NORM.INV($AC4458,$C$7,$D$7)</f>
        <v/>
      </c>
      <c r="P4458" s="14">
        <f>$C$8+($D$8-$C$8)*$AD4458</f>
        <v/>
      </c>
      <c r="Q4458" s="14">
        <f>$C$9</f>
        <v/>
      </c>
      <c r="R4458" s="14">
        <f>_xlfn.LOGNORM.INV($AF4458,LN($C$10)-0.5*LN(1+($D$10/$C$10)^2),SQRT(LN(1+($D$10/$C$10)^2)))</f>
        <v/>
      </c>
      <c r="S4458" s="14">
        <f>SUM(M4458:R4458)</f>
        <v/>
      </c>
      <c r="AA4458">
        <f>RAND()</f>
        <v/>
      </c>
      <c r="AB4458">
        <f>RAND()</f>
        <v/>
      </c>
      <c r="AC4458">
        <f>RAND()</f>
        <v/>
      </c>
      <c r="AD4458">
        <f>RAND()</f>
        <v/>
      </c>
      <c r="AE4458">
        <f>RAND()</f>
        <v/>
      </c>
      <c r="AF4458">
        <f>RAND()</f>
        <v/>
      </c>
    </row>
    <row r="4459">
      <c r="M4459" s="14">
        <f>_xlfn.BETA.INV($AA4459,1+4*($D$5-$C$5)/($E$5-$C$5),1+4*($E$5-$D$5)/($E$5-$C$5),$C$5,$E$5)</f>
        <v/>
      </c>
      <c r="N4459" s="14">
        <f>IF($AB4459&lt;($D$6-$C$6)/($E$6-$C$6),$C$6+SQRT($AB4459*($E$6-$C$6)*($D$6-$C$6)),$E$6-SQRT((1-$AB4459)*($E$6-$C$6)*($E$6-$D$6)))</f>
        <v/>
      </c>
      <c r="O4459" s="14">
        <f>_xlfn.NORM.INV($AC4459,$C$7,$D$7)</f>
        <v/>
      </c>
      <c r="P4459" s="14">
        <f>$C$8+($D$8-$C$8)*$AD4459</f>
        <v/>
      </c>
      <c r="Q4459" s="14">
        <f>$C$9</f>
        <v/>
      </c>
      <c r="R4459" s="14">
        <f>_xlfn.LOGNORM.INV($AF4459,LN($C$10)-0.5*LN(1+($D$10/$C$10)^2),SQRT(LN(1+($D$10/$C$10)^2)))</f>
        <v/>
      </c>
      <c r="S4459" s="14">
        <f>SUM(M4459:R4459)</f>
        <v/>
      </c>
      <c r="AA4459">
        <f>RAND()</f>
        <v/>
      </c>
      <c r="AB4459">
        <f>RAND()</f>
        <v/>
      </c>
      <c r="AC4459">
        <f>RAND()</f>
        <v/>
      </c>
      <c r="AD4459">
        <f>RAND()</f>
        <v/>
      </c>
      <c r="AE4459">
        <f>RAND()</f>
        <v/>
      </c>
      <c r="AF4459">
        <f>RAND()</f>
        <v/>
      </c>
    </row>
    <row r="4460">
      <c r="M4460" s="14">
        <f>_xlfn.BETA.INV($AA4460,1+4*($D$5-$C$5)/($E$5-$C$5),1+4*($E$5-$D$5)/($E$5-$C$5),$C$5,$E$5)</f>
        <v/>
      </c>
      <c r="N4460" s="14">
        <f>IF($AB4460&lt;($D$6-$C$6)/($E$6-$C$6),$C$6+SQRT($AB4460*($E$6-$C$6)*($D$6-$C$6)),$E$6-SQRT((1-$AB4460)*($E$6-$C$6)*($E$6-$D$6)))</f>
        <v/>
      </c>
      <c r="O4460" s="14">
        <f>_xlfn.NORM.INV($AC4460,$C$7,$D$7)</f>
        <v/>
      </c>
      <c r="P4460" s="14">
        <f>$C$8+($D$8-$C$8)*$AD4460</f>
        <v/>
      </c>
      <c r="Q4460" s="14">
        <f>$C$9</f>
        <v/>
      </c>
      <c r="R4460" s="14">
        <f>_xlfn.LOGNORM.INV($AF4460,LN($C$10)-0.5*LN(1+($D$10/$C$10)^2),SQRT(LN(1+($D$10/$C$10)^2)))</f>
        <v/>
      </c>
      <c r="S4460" s="14">
        <f>SUM(M4460:R4460)</f>
        <v/>
      </c>
      <c r="AA4460">
        <f>RAND()</f>
        <v/>
      </c>
      <c r="AB4460">
        <f>RAND()</f>
        <v/>
      </c>
      <c r="AC4460">
        <f>RAND()</f>
        <v/>
      </c>
      <c r="AD4460">
        <f>RAND()</f>
        <v/>
      </c>
      <c r="AE4460">
        <f>RAND()</f>
        <v/>
      </c>
      <c r="AF4460">
        <f>RAND()</f>
        <v/>
      </c>
    </row>
    <row r="4461">
      <c r="M4461" s="14">
        <f>_xlfn.BETA.INV($AA4461,1+4*($D$5-$C$5)/($E$5-$C$5),1+4*($E$5-$D$5)/($E$5-$C$5),$C$5,$E$5)</f>
        <v/>
      </c>
      <c r="N4461" s="14">
        <f>IF($AB4461&lt;($D$6-$C$6)/($E$6-$C$6),$C$6+SQRT($AB4461*($E$6-$C$6)*($D$6-$C$6)),$E$6-SQRT((1-$AB4461)*($E$6-$C$6)*($E$6-$D$6)))</f>
        <v/>
      </c>
      <c r="O4461" s="14">
        <f>_xlfn.NORM.INV($AC4461,$C$7,$D$7)</f>
        <v/>
      </c>
      <c r="P4461" s="14">
        <f>$C$8+($D$8-$C$8)*$AD4461</f>
        <v/>
      </c>
      <c r="Q4461" s="14">
        <f>$C$9</f>
        <v/>
      </c>
      <c r="R4461" s="14">
        <f>_xlfn.LOGNORM.INV($AF4461,LN($C$10)-0.5*LN(1+($D$10/$C$10)^2),SQRT(LN(1+($D$10/$C$10)^2)))</f>
        <v/>
      </c>
      <c r="S4461" s="14">
        <f>SUM(M4461:R4461)</f>
        <v/>
      </c>
      <c r="AA4461">
        <f>RAND()</f>
        <v/>
      </c>
      <c r="AB4461">
        <f>RAND()</f>
        <v/>
      </c>
      <c r="AC4461">
        <f>RAND()</f>
        <v/>
      </c>
      <c r="AD4461">
        <f>RAND()</f>
        <v/>
      </c>
      <c r="AE4461">
        <f>RAND()</f>
        <v/>
      </c>
      <c r="AF4461">
        <f>RAND()</f>
        <v/>
      </c>
    </row>
    <row r="4462">
      <c r="M4462" s="14">
        <f>_xlfn.BETA.INV($AA4462,1+4*($D$5-$C$5)/($E$5-$C$5),1+4*($E$5-$D$5)/($E$5-$C$5),$C$5,$E$5)</f>
        <v/>
      </c>
      <c r="N4462" s="14">
        <f>IF($AB4462&lt;($D$6-$C$6)/($E$6-$C$6),$C$6+SQRT($AB4462*($E$6-$C$6)*($D$6-$C$6)),$E$6-SQRT((1-$AB4462)*($E$6-$C$6)*($E$6-$D$6)))</f>
        <v/>
      </c>
      <c r="O4462" s="14">
        <f>_xlfn.NORM.INV($AC4462,$C$7,$D$7)</f>
        <v/>
      </c>
      <c r="P4462" s="14">
        <f>$C$8+($D$8-$C$8)*$AD4462</f>
        <v/>
      </c>
      <c r="Q4462" s="14">
        <f>$C$9</f>
        <v/>
      </c>
      <c r="R4462" s="14">
        <f>_xlfn.LOGNORM.INV($AF4462,LN($C$10)-0.5*LN(1+($D$10/$C$10)^2),SQRT(LN(1+($D$10/$C$10)^2)))</f>
        <v/>
      </c>
      <c r="S4462" s="14">
        <f>SUM(M4462:R4462)</f>
        <v/>
      </c>
      <c r="AA4462">
        <f>RAND()</f>
        <v/>
      </c>
      <c r="AB4462">
        <f>RAND()</f>
        <v/>
      </c>
      <c r="AC4462">
        <f>RAND()</f>
        <v/>
      </c>
      <c r="AD4462">
        <f>RAND()</f>
        <v/>
      </c>
      <c r="AE4462">
        <f>RAND()</f>
        <v/>
      </c>
      <c r="AF4462">
        <f>RAND()</f>
        <v/>
      </c>
    </row>
    <row r="4463">
      <c r="M4463" s="14">
        <f>_xlfn.BETA.INV($AA4463,1+4*($D$5-$C$5)/($E$5-$C$5),1+4*($E$5-$D$5)/($E$5-$C$5),$C$5,$E$5)</f>
        <v/>
      </c>
      <c r="N4463" s="14">
        <f>IF($AB4463&lt;($D$6-$C$6)/($E$6-$C$6),$C$6+SQRT($AB4463*($E$6-$C$6)*($D$6-$C$6)),$E$6-SQRT((1-$AB4463)*($E$6-$C$6)*($E$6-$D$6)))</f>
        <v/>
      </c>
      <c r="O4463" s="14">
        <f>_xlfn.NORM.INV($AC4463,$C$7,$D$7)</f>
        <v/>
      </c>
      <c r="P4463" s="14">
        <f>$C$8+($D$8-$C$8)*$AD4463</f>
        <v/>
      </c>
      <c r="Q4463" s="14">
        <f>$C$9</f>
        <v/>
      </c>
      <c r="R4463" s="14">
        <f>_xlfn.LOGNORM.INV($AF4463,LN($C$10)-0.5*LN(1+($D$10/$C$10)^2),SQRT(LN(1+($D$10/$C$10)^2)))</f>
        <v/>
      </c>
      <c r="S4463" s="14">
        <f>SUM(M4463:R4463)</f>
        <v/>
      </c>
      <c r="AA4463">
        <f>RAND()</f>
        <v/>
      </c>
      <c r="AB4463">
        <f>RAND()</f>
        <v/>
      </c>
      <c r="AC4463">
        <f>RAND()</f>
        <v/>
      </c>
      <c r="AD4463">
        <f>RAND()</f>
        <v/>
      </c>
      <c r="AE4463">
        <f>RAND()</f>
        <v/>
      </c>
      <c r="AF4463">
        <f>RAND()</f>
        <v/>
      </c>
    </row>
    <row r="4464">
      <c r="M4464" s="14">
        <f>_xlfn.BETA.INV($AA4464,1+4*($D$5-$C$5)/($E$5-$C$5),1+4*($E$5-$D$5)/($E$5-$C$5),$C$5,$E$5)</f>
        <v/>
      </c>
      <c r="N4464" s="14">
        <f>IF($AB4464&lt;($D$6-$C$6)/($E$6-$C$6),$C$6+SQRT($AB4464*($E$6-$C$6)*($D$6-$C$6)),$E$6-SQRT((1-$AB4464)*($E$6-$C$6)*($E$6-$D$6)))</f>
        <v/>
      </c>
      <c r="O4464" s="14">
        <f>_xlfn.NORM.INV($AC4464,$C$7,$D$7)</f>
        <v/>
      </c>
      <c r="P4464" s="14">
        <f>$C$8+($D$8-$C$8)*$AD4464</f>
        <v/>
      </c>
      <c r="Q4464" s="14">
        <f>$C$9</f>
        <v/>
      </c>
      <c r="R4464" s="14">
        <f>_xlfn.LOGNORM.INV($AF4464,LN($C$10)-0.5*LN(1+($D$10/$C$10)^2),SQRT(LN(1+($D$10/$C$10)^2)))</f>
        <v/>
      </c>
      <c r="S4464" s="14">
        <f>SUM(M4464:R4464)</f>
        <v/>
      </c>
      <c r="AA4464">
        <f>RAND()</f>
        <v/>
      </c>
      <c r="AB4464">
        <f>RAND()</f>
        <v/>
      </c>
      <c r="AC4464">
        <f>RAND()</f>
        <v/>
      </c>
      <c r="AD4464">
        <f>RAND()</f>
        <v/>
      </c>
      <c r="AE4464">
        <f>RAND()</f>
        <v/>
      </c>
      <c r="AF4464">
        <f>RAND()</f>
        <v/>
      </c>
    </row>
    <row r="4465">
      <c r="M4465" s="14">
        <f>_xlfn.BETA.INV($AA4465,1+4*($D$5-$C$5)/($E$5-$C$5),1+4*($E$5-$D$5)/($E$5-$C$5),$C$5,$E$5)</f>
        <v/>
      </c>
      <c r="N4465" s="14">
        <f>IF($AB4465&lt;($D$6-$C$6)/($E$6-$C$6),$C$6+SQRT($AB4465*($E$6-$C$6)*($D$6-$C$6)),$E$6-SQRT((1-$AB4465)*($E$6-$C$6)*($E$6-$D$6)))</f>
        <v/>
      </c>
      <c r="O4465" s="14">
        <f>_xlfn.NORM.INV($AC4465,$C$7,$D$7)</f>
        <v/>
      </c>
      <c r="P4465" s="14">
        <f>$C$8+($D$8-$C$8)*$AD4465</f>
        <v/>
      </c>
      <c r="Q4465" s="14">
        <f>$C$9</f>
        <v/>
      </c>
      <c r="R4465" s="14">
        <f>_xlfn.LOGNORM.INV($AF4465,LN($C$10)-0.5*LN(1+($D$10/$C$10)^2),SQRT(LN(1+($D$10/$C$10)^2)))</f>
        <v/>
      </c>
      <c r="S4465" s="14">
        <f>SUM(M4465:R4465)</f>
        <v/>
      </c>
      <c r="AA4465">
        <f>RAND()</f>
        <v/>
      </c>
      <c r="AB4465">
        <f>RAND()</f>
        <v/>
      </c>
      <c r="AC4465">
        <f>RAND()</f>
        <v/>
      </c>
      <c r="AD4465">
        <f>RAND()</f>
        <v/>
      </c>
      <c r="AE4465">
        <f>RAND()</f>
        <v/>
      </c>
      <c r="AF4465">
        <f>RAND()</f>
        <v/>
      </c>
    </row>
    <row r="4466">
      <c r="M4466" s="14">
        <f>_xlfn.BETA.INV($AA4466,1+4*($D$5-$C$5)/($E$5-$C$5),1+4*($E$5-$D$5)/($E$5-$C$5),$C$5,$E$5)</f>
        <v/>
      </c>
      <c r="N4466" s="14">
        <f>IF($AB4466&lt;($D$6-$C$6)/($E$6-$C$6),$C$6+SQRT($AB4466*($E$6-$C$6)*($D$6-$C$6)),$E$6-SQRT((1-$AB4466)*($E$6-$C$6)*($E$6-$D$6)))</f>
        <v/>
      </c>
      <c r="O4466" s="14">
        <f>_xlfn.NORM.INV($AC4466,$C$7,$D$7)</f>
        <v/>
      </c>
      <c r="P4466" s="14">
        <f>$C$8+($D$8-$C$8)*$AD4466</f>
        <v/>
      </c>
      <c r="Q4466" s="14">
        <f>$C$9</f>
        <v/>
      </c>
      <c r="R4466" s="14">
        <f>_xlfn.LOGNORM.INV($AF4466,LN($C$10)-0.5*LN(1+($D$10/$C$10)^2),SQRT(LN(1+($D$10/$C$10)^2)))</f>
        <v/>
      </c>
      <c r="S4466" s="14">
        <f>SUM(M4466:R4466)</f>
        <v/>
      </c>
      <c r="AA4466">
        <f>RAND()</f>
        <v/>
      </c>
      <c r="AB4466">
        <f>RAND()</f>
        <v/>
      </c>
      <c r="AC4466">
        <f>RAND()</f>
        <v/>
      </c>
      <c r="AD4466">
        <f>RAND()</f>
        <v/>
      </c>
      <c r="AE4466">
        <f>RAND()</f>
        <v/>
      </c>
      <c r="AF4466">
        <f>RAND()</f>
        <v/>
      </c>
    </row>
    <row r="4467">
      <c r="M4467" s="14">
        <f>_xlfn.BETA.INV($AA4467,1+4*($D$5-$C$5)/($E$5-$C$5),1+4*($E$5-$D$5)/($E$5-$C$5),$C$5,$E$5)</f>
        <v/>
      </c>
      <c r="N4467" s="14">
        <f>IF($AB4467&lt;($D$6-$C$6)/($E$6-$C$6),$C$6+SQRT($AB4467*($E$6-$C$6)*($D$6-$C$6)),$E$6-SQRT((1-$AB4467)*($E$6-$C$6)*($E$6-$D$6)))</f>
        <v/>
      </c>
      <c r="O4467" s="14">
        <f>_xlfn.NORM.INV($AC4467,$C$7,$D$7)</f>
        <v/>
      </c>
      <c r="P4467" s="14">
        <f>$C$8+($D$8-$C$8)*$AD4467</f>
        <v/>
      </c>
      <c r="Q4467" s="14">
        <f>$C$9</f>
        <v/>
      </c>
      <c r="R4467" s="14">
        <f>_xlfn.LOGNORM.INV($AF4467,LN($C$10)-0.5*LN(1+($D$10/$C$10)^2),SQRT(LN(1+($D$10/$C$10)^2)))</f>
        <v/>
      </c>
      <c r="S4467" s="14">
        <f>SUM(M4467:R4467)</f>
        <v/>
      </c>
      <c r="AA4467">
        <f>RAND()</f>
        <v/>
      </c>
      <c r="AB4467">
        <f>RAND()</f>
        <v/>
      </c>
      <c r="AC4467">
        <f>RAND()</f>
        <v/>
      </c>
      <c r="AD4467">
        <f>RAND()</f>
        <v/>
      </c>
      <c r="AE4467">
        <f>RAND()</f>
        <v/>
      </c>
      <c r="AF4467">
        <f>RAND()</f>
        <v/>
      </c>
    </row>
    <row r="4468">
      <c r="M4468" s="14">
        <f>_xlfn.BETA.INV($AA4468,1+4*($D$5-$C$5)/($E$5-$C$5),1+4*($E$5-$D$5)/($E$5-$C$5),$C$5,$E$5)</f>
        <v/>
      </c>
      <c r="N4468" s="14">
        <f>IF($AB4468&lt;($D$6-$C$6)/($E$6-$C$6),$C$6+SQRT($AB4468*($E$6-$C$6)*($D$6-$C$6)),$E$6-SQRT((1-$AB4468)*($E$6-$C$6)*($E$6-$D$6)))</f>
        <v/>
      </c>
      <c r="O4468" s="14">
        <f>_xlfn.NORM.INV($AC4468,$C$7,$D$7)</f>
        <v/>
      </c>
      <c r="P4468" s="14">
        <f>$C$8+($D$8-$C$8)*$AD4468</f>
        <v/>
      </c>
      <c r="Q4468" s="14">
        <f>$C$9</f>
        <v/>
      </c>
      <c r="R4468" s="14">
        <f>_xlfn.LOGNORM.INV($AF4468,LN($C$10)-0.5*LN(1+($D$10/$C$10)^2),SQRT(LN(1+($D$10/$C$10)^2)))</f>
        <v/>
      </c>
      <c r="S4468" s="14">
        <f>SUM(M4468:R4468)</f>
        <v/>
      </c>
      <c r="AA4468">
        <f>RAND()</f>
        <v/>
      </c>
      <c r="AB4468">
        <f>RAND()</f>
        <v/>
      </c>
      <c r="AC4468">
        <f>RAND()</f>
        <v/>
      </c>
      <c r="AD4468">
        <f>RAND()</f>
        <v/>
      </c>
      <c r="AE4468">
        <f>RAND()</f>
        <v/>
      </c>
      <c r="AF4468">
        <f>RAND()</f>
        <v/>
      </c>
    </row>
    <row r="4469">
      <c r="M4469" s="14">
        <f>_xlfn.BETA.INV($AA4469,1+4*($D$5-$C$5)/($E$5-$C$5),1+4*($E$5-$D$5)/($E$5-$C$5),$C$5,$E$5)</f>
        <v/>
      </c>
      <c r="N4469" s="14">
        <f>IF($AB4469&lt;($D$6-$C$6)/($E$6-$C$6),$C$6+SQRT($AB4469*($E$6-$C$6)*($D$6-$C$6)),$E$6-SQRT((1-$AB4469)*($E$6-$C$6)*($E$6-$D$6)))</f>
        <v/>
      </c>
      <c r="O4469" s="14">
        <f>_xlfn.NORM.INV($AC4469,$C$7,$D$7)</f>
        <v/>
      </c>
      <c r="P4469" s="14">
        <f>$C$8+($D$8-$C$8)*$AD4469</f>
        <v/>
      </c>
      <c r="Q4469" s="14">
        <f>$C$9</f>
        <v/>
      </c>
      <c r="R4469" s="14">
        <f>_xlfn.LOGNORM.INV($AF4469,LN($C$10)-0.5*LN(1+($D$10/$C$10)^2),SQRT(LN(1+($D$10/$C$10)^2)))</f>
        <v/>
      </c>
      <c r="S4469" s="14">
        <f>SUM(M4469:R4469)</f>
        <v/>
      </c>
      <c r="AA4469">
        <f>RAND()</f>
        <v/>
      </c>
      <c r="AB4469">
        <f>RAND()</f>
        <v/>
      </c>
      <c r="AC4469">
        <f>RAND()</f>
        <v/>
      </c>
      <c r="AD4469">
        <f>RAND()</f>
        <v/>
      </c>
      <c r="AE4469">
        <f>RAND()</f>
        <v/>
      </c>
      <c r="AF4469">
        <f>RAND()</f>
        <v/>
      </c>
    </row>
    <row r="4470">
      <c r="M4470" s="14">
        <f>_xlfn.BETA.INV($AA4470,1+4*($D$5-$C$5)/($E$5-$C$5),1+4*($E$5-$D$5)/($E$5-$C$5),$C$5,$E$5)</f>
        <v/>
      </c>
      <c r="N4470" s="14">
        <f>IF($AB4470&lt;($D$6-$C$6)/($E$6-$C$6),$C$6+SQRT($AB4470*($E$6-$C$6)*($D$6-$C$6)),$E$6-SQRT((1-$AB4470)*($E$6-$C$6)*($E$6-$D$6)))</f>
        <v/>
      </c>
      <c r="O4470" s="14">
        <f>_xlfn.NORM.INV($AC4470,$C$7,$D$7)</f>
        <v/>
      </c>
      <c r="P4470" s="14">
        <f>$C$8+($D$8-$C$8)*$AD4470</f>
        <v/>
      </c>
      <c r="Q4470" s="14">
        <f>$C$9</f>
        <v/>
      </c>
      <c r="R4470" s="14">
        <f>_xlfn.LOGNORM.INV($AF4470,LN($C$10)-0.5*LN(1+($D$10/$C$10)^2),SQRT(LN(1+($D$10/$C$10)^2)))</f>
        <v/>
      </c>
      <c r="S4470" s="14">
        <f>SUM(M4470:R4470)</f>
        <v/>
      </c>
      <c r="AA4470">
        <f>RAND()</f>
        <v/>
      </c>
      <c r="AB4470">
        <f>RAND()</f>
        <v/>
      </c>
      <c r="AC4470">
        <f>RAND()</f>
        <v/>
      </c>
      <c r="AD4470">
        <f>RAND()</f>
        <v/>
      </c>
      <c r="AE4470">
        <f>RAND()</f>
        <v/>
      </c>
      <c r="AF4470">
        <f>RAND()</f>
        <v/>
      </c>
    </row>
    <row r="4471">
      <c r="M4471" s="14">
        <f>_xlfn.BETA.INV($AA4471,1+4*($D$5-$C$5)/($E$5-$C$5),1+4*($E$5-$D$5)/($E$5-$C$5),$C$5,$E$5)</f>
        <v/>
      </c>
      <c r="N4471" s="14">
        <f>IF($AB4471&lt;($D$6-$C$6)/($E$6-$C$6),$C$6+SQRT($AB4471*($E$6-$C$6)*($D$6-$C$6)),$E$6-SQRT((1-$AB4471)*($E$6-$C$6)*($E$6-$D$6)))</f>
        <v/>
      </c>
      <c r="O4471" s="14">
        <f>_xlfn.NORM.INV($AC4471,$C$7,$D$7)</f>
        <v/>
      </c>
      <c r="P4471" s="14">
        <f>$C$8+($D$8-$C$8)*$AD4471</f>
        <v/>
      </c>
      <c r="Q4471" s="14">
        <f>$C$9</f>
        <v/>
      </c>
      <c r="R4471" s="14">
        <f>_xlfn.LOGNORM.INV($AF4471,LN($C$10)-0.5*LN(1+($D$10/$C$10)^2),SQRT(LN(1+($D$10/$C$10)^2)))</f>
        <v/>
      </c>
      <c r="S4471" s="14">
        <f>SUM(M4471:R4471)</f>
        <v/>
      </c>
      <c r="AA4471">
        <f>RAND()</f>
        <v/>
      </c>
      <c r="AB4471">
        <f>RAND()</f>
        <v/>
      </c>
      <c r="AC4471">
        <f>RAND()</f>
        <v/>
      </c>
      <c r="AD4471">
        <f>RAND()</f>
        <v/>
      </c>
      <c r="AE4471">
        <f>RAND()</f>
        <v/>
      </c>
      <c r="AF4471">
        <f>RAND()</f>
        <v/>
      </c>
    </row>
    <row r="4472">
      <c r="M4472" s="14">
        <f>_xlfn.BETA.INV($AA4472,1+4*($D$5-$C$5)/($E$5-$C$5),1+4*($E$5-$D$5)/($E$5-$C$5),$C$5,$E$5)</f>
        <v/>
      </c>
      <c r="N4472" s="14">
        <f>IF($AB4472&lt;($D$6-$C$6)/($E$6-$C$6),$C$6+SQRT($AB4472*($E$6-$C$6)*($D$6-$C$6)),$E$6-SQRT((1-$AB4472)*($E$6-$C$6)*($E$6-$D$6)))</f>
        <v/>
      </c>
      <c r="O4472" s="14">
        <f>_xlfn.NORM.INV($AC4472,$C$7,$D$7)</f>
        <v/>
      </c>
      <c r="P4472" s="14">
        <f>$C$8+($D$8-$C$8)*$AD4472</f>
        <v/>
      </c>
      <c r="Q4472" s="14">
        <f>$C$9</f>
        <v/>
      </c>
      <c r="R4472" s="14">
        <f>_xlfn.LOGNORM.INV($AF4472,LN($C$10)-0.5*LN(1+($D$10/$C$10)^2),SQRT(LN(1+($D$10/$C$10)^2)))</f>
        <v/>
      </c>
      <c r="S4472" s="14">
        <f>SUM(M4472:R4472)</f>
        <v/>
      </c>
      <c r="AA4472">
        <f>RAND()</f>
        <v/>
      </c>
      <c r="AB4472">
        <f>RAND()</f>
        <v/>
      </c>
      <c r="AC4472">
        <f>RAND()</f>
        <v/>
      </c>
      <c r="AD4472">
        <f>RAND()</f>
        <v/>
      </c>
      <c r="AE4472">
        <f>RAND()</f>
        <v/>
      </c>
      <c r="AF4472">
        <f>RAND()</f>
        <v/>
      </c>
    </row>
    <row r="4473">
      <c r="M4473" s="14">
        <f>_xlfn.BETA.INV($AA4473,1+4*($D$5-$C$5)/($E$5-$C$5),1+4*($E$5-$D$5)/($E$5-$C$5),$C$5,$E$5)</f>
        <v/>
      </c>
      <c r="N4473" s="14">
        <f>IF($AB4473&lt;($D$6-$C$6)/($E$6-$C$6),$C$6+SQRT($AB4473*($E$6-$C$6)*($D$6-$C$6)),$E$6-SQRT((1-$AB4473)*($E$6-$C$6)*($E$6-$D$6)))</f>
        <v/>
      </c>
      <c r="O4473" s="14">
        <f>_xlfn.NORM.INV($AC4473,$C$7,$D$7)</f>
        <v/>
      </c>
      <c r="P4473" s="14">
        <f>$C$8+($D$8-$C$8)*$AD4473</f>
        <v/>
      </c>
      <c r="Q4473" s="14">
        <f>$C$9</f>
        <v/>
      </c>
      <c r="R4473" s="14">
        <f>_xlfn.LOGNORM.INV($AF4473,LN($C$10)-0.5*LN(1+($D$10/$C$10)^2),SQRT(LN(1+($D$10/$C$10)^2)))</f>
        <v/>
      </c>
      <c r="S4473" s="14">
        <f>SUM(M4473:R4473)</f>
        <v/>
      </c>
      <c r="AA4473">
        <f>RAND()</f>
        <v/>
      </c>
      <c r="AB4473">
        <f>RAND()</f>
        <v/>
      </c>
      <c r="AC4473">
        <f>RAND()</f>
        <v/>
      </c>
      <c r="AD4473">
        <f>RAND()</f>
        <v/>
      </c>
      <c r="AE4473">
        <f>RAND()</f>
        <v/>
      </c>
      <c r="AF4473">
        <f>RAND()</f>
        <v/>
      </c>
    </row>
    <row r="4474">
      <c r="M4474" s="14">
        <f>_xlfn.BETA.INV($AA4474,1+4*($D$5-$C$5)/($E$5-$C$5),1+4*($E$5-$D$5)/($E$5-$C$5),$C$5,$E$5)</f>
        <v/>
      </c>
      <c r="N4474" s="14">
        <f>IF($AB4474&lt;($D$6-$C$6)/($E$6-$C$6),$C$6+SQRT($AB4474*($E$6-$C$6)*($D$6-$C$6)),$E$6-SQRT((1-$AB4474)*($E$6-$C$6)*($E$6-$D$6)))</f>
        <v/>
      </c>
      <c r="O4474" s="14">
        <f>_xlfn.NORM.INV($AC4474,$C$7,$D$7)</f>
        <v/>
      </c>
      <c r="P4474" s="14">
        <f>$C$8+($D$8-$C$8)*$AD4474</f>
        <v/>
      </c>
      <c r="Q4474" s="14">
        <f>$C$9</f>
        <v/>
      </c>
      <c r="R4474" s="14">
        <f>_xlfn.LOGNORM.INV($AF4474,LN($C$10)-0.5*LN(1+($D$10/$C$10)^2),SQRT(LN(1+($D$10/$C$10)^2)))</f>
        <v/>
      </c>
      <c r="S4474" s="14">
        <f>SUM(M4474:R4474)</f>
        <v/>
      </c>
      <c r="AA4474">
        <f>RAND()</f>
        <v/>
      </c>
      <c r="AB4474">
        <f>RAND()</f>
        <v/>
      </c>
      <c r="AC4474">
        <f>RAND()</f>
        <v/>
      </c>
      <c r="AD4474">
        <f>RAND()</f>
        <v/>
      </c>
      <c r="AE4474">
        <f>RAND()</f>
        <v/>
      </c>
      <c r="AF4474">
        <f>RAND()</f>
        <v/>
      </c>
    </row>
    <row r="4475">
      <c r="M4475" s="14">
        <f>_xlfn.BETA.INV($AA4475,1+4*($D$5-$C$5)/($E$5-$C$5),1+4*($E$5-$D$5)/($E$5-$C$5),$C$5,$E$5)</f>
        <v/>
      </c>
      <c r="N4475" s="14">
        <f>IF($AB4475&lt;($D$6-$C$6)/($E$6-$C$6),$C$6+SQRT($AB4475*($E$6-$C$6)*($D$6-$C$6)),$E$6-SQRT((1-$AB4475)*($E$6-$C$6)*($E$6-$D$6)))</f>
        <v/>
      </c>
      <c r="O4475" s="14">
        <f>_xlfn.NORM.INV($AC4475,$C$7,$D$7)</f>
        <v/>
      </c>
      <c r="P4475" s="14">
        <f>$C$8+($D$8-$C$8)*$AD4475</f>
        <v/>
      </c>
      <c r="Q4475" s="14">
        <f>$C$9</f>
        <v/>
      </c>
      <c r="R4475" s="14">
        <f>_xlfn.LOGNORM.INV($AF4475,LN($C$10)-0.5*LN(1+($D$10/$C$10)^2),SQRT(LN(1+($D$10/$C$10)^2)))</f>
        <v/>
      </c>
      <c r="S4475" s="14">
        <f>SUM(M4475:R4475)</f>
        <v/>
      </c>
      <c r="AA4475">
        <f>RAND()</f>
        <v/>
      </c>
      <c r="AB4475">
        <f>RAND()</f>
        <v/>
      </c>
      <c r="AC4475">
        <f>RAND()</f>
        <v/>
      </c>
      <c r="AD4475">
        <f>RAND()</f>
        <v/>
      </c>
      <c r="AE4475">
        <f>RAND()</f>
        <v/>
      </c>
      <c r="AF4475">
        <f>RAND()</f>
        <v/>
      </c>
    </row>
    <row r="4476">
      <c r="M4476" s="14">
        <f>_xlfn.BETA.INV($AA4476,1+4*($D$5-$C$5)/($E$5-$C$5),1+4*($E$5-$D$5)/($E$5-$C$5),$C$5,$E$5)</f>
        <v/>
      </c>
      <c r="N4476" s="14">
        <f>IF($AB4476&lt;($D$6-$C$6)/($E$6-$C$6),$C$6+SQRT($AB4476*($E$6-$C$6)*($D$6-$C$6)),$E$6-SQRT((1-$AB4476)*($E$6-$C$6)*($E$6-$D$6)))</f>
        <v/>
      </c>
      <c r="O4476" s="14">
        <f>_xlfn.NORM.INV($AC4476,$C$7,$D$7)</f>
        <v/>
      </c>
      <c r="P4476" s="14">
        <f>$C$8+($D$8-$C$8)*$AD4476</f>
        <v/>
      </c>
      <c r="Q4476" s="14">
        <f>$C$9</f>
        <v/>
      </c>
      <c r="R4476" s="14">
        <f>_xlfn.LOGNORM.INV($AF4476,LN($C$10)-0.5*LN(1+($D$10/$C$10)^2),SQRT(LN(1+($D$10/$C$10)^2)))</f>
        <v/>
      </c>
      <c r="S4476" s="14">
        <f>SUM(M4476:R4476)</f>
        <v/>
      </c>
      <c r="AA4476">
        <f>RAND()</f>
        <v/>
      </c>
      <c r="AB4476">
        <f>RAND()</f>
        <v/>
      </c>
      <c r="AC4476">
        <f>RAND()</f>
        <v/>
      </c>
      <c r="AD4476">
        <f>RAND()</f>
        <v/>
      </c>
      <c r="AE4476">
        <f>RAND()</f>
        <v/>
      </c>
      <c r="AF4476">
        <f>RAND()</f>
        <v/>
      </c>
    </row>
    <row r="4477">
      <c r="M4477" s="14">
        <f>_xlfn.BETA.INV($AA4477,1+4*($D$5-$C$5)/($E$5-$C$5),1+4*($E$5-$D$5)/($E$5-$C$5),$C$5,$E$5)</f>
        <v/>
      </c>
      <c r="N4477" s="14">
        <f>IF($AB4477&lt;($D$6-$C$6)/($E$6-$C$6),$C$6+SQRT($AB4477*($E$6-$C$6)*($D$6-$C$6)),$E$6-SQRT((1-$AB4477)*($E$6-$C$6)*($E$6-$D$6)))</f>
        <v/>
      </c>
      <c r="O4477" s="14">
        <f>_xlfn.NORM.INV($AC4477,$C$7,$D$7)</f>
        <v/>
      </c>
      <c r="P4477" s="14">
        <f>$C$8+($D$8-$C$8)*$AD4477</f>
        <v/>
      </c>
      <c r="Q4477" s="14">
        <f>$C$9</f>
        <v/>
      </c>
      <c r="R4477" s="14">
        <f>_xlfn.LOGNORM.INV($AF4477,LN($C$10)-0.5*LN(1+($D$10/$C$10)^2),SQRT(LN(1+($D$10/$C$10)^2)))</f>
        <v/>
      </c>
      <c r="S4477" s="14">
        <f>SUM(M4477:R4477)</f>
        <v/>
      </c>
      <c r="AA4477">
        <f>RAND()</f>
        <v/>
      </c>
      <c r="AB4477">
        <f>RAND()</f>
        <v/>
      </c>
      <c r="AC4477">
        <f>RAND()</f>
        <v/>
      </c>
      <c r="AD4477">
        <f>RAND()</f>
        <v/>
      </c>
      <c r="AE4477">
        <f>RAND()</f>
        <v/>
      </c>
      <c r="AF4477">
        <f>RAND()</f>
        <v/>
      </c>
    </row>
    <row r="4478">
      <c r="M4478" s="14">
        <f>_xlfn.BETA.INV($AA4478,1+4*($D$5-$C$5)/($E$5-$C$5),1+4*($E$5-$D$5)/($E$5-$C$5),$C$5,$E$5)</f>
        <v/>
      </c>
      <c r="N4478" s="14">
        <f>IF($AB4478&lt;($D$6-$C$6)/($E$6-$C$6),$C$6+SQRT($AB4478*($E$6-$C$6)*($D$6-$C$6)),$E$6-SQRT((1-$AB4478)*($E$6-$C$6)*($E$6-$D$6)))</f>
        <v/>
      </c>
      <c r="O4478" s="14">
        <f>_xlfn.NORM.INV($AC4478,$C$7,$D$7)</f>
        <v/>
      </c>
      <c r="P4478" s="14">
        <f>$C$8+($D$8-$C$8)*$AD4478</f>
        <v/>
      </c>
      <c r="Q4478" s="14">
        <f>$C$9</f>
        <v/>
      </c>
      <c r="R4478" s="14">
        <f>_xlfn.LOGNORM.INV($AF4478,LN($C$10)-0.5*LN(1+($D$10/$C$10)^2),SQRT(LN(1+($D$10/$C$10)^2)))</f>
        <v/>
      </c>
      <c r="S4478" s="14">
        <f>SUM(M4478:R4478)</f>
        <v/>
      </c>
      <c r="AA4478">
        <f>RAND()</f>
        <v/>
      </c>
      <c r="AB4478">
        <f>RAND()</f>
        <v/>
      </c>
      <c r="AC4478">
        <f>RAND()</f>
        <v/>
      </c>
      <c r="AD4478">
        <f>RAND()</f>
        <v/>
      </c>
      <c r="AE4478">
        <f>RAND()</f>
        <v/>
      </c>
      <c r="AF4478">
        <f>RAND()</f>
        <v/>
      </c>
    </row>
    <row r="4479">
      <c r="M4479" s="14">
        <f>_xlfn.BETA.INV($AA4479,1+4*($D$5-$C$5)/($E$5-$C$5),1+4*($E$5-$D$5)/($E$5-$C$5),$C$5,$E$5)</f>
        <v/>
      </c>
      <c r="N4479" s="14">
        <f>IF($AB4479&lt;($D$6-$C$6)/($E$6-$C$6),$C$6+SQRT($AB4479*($E$6-$C$6)*($D$6-$C$6)),$E$6-SQRT((1-$AB4479)*($E$6-$C$6)*($E$6-$D$6)))</f>
        <v/>
      </c>
      <c r="O4479" s="14">
        <f>_xlfn.NORM.INV($AC4479,$C$7,$D$7)</f>
        <v/>
      </c>
      <c r="P4479" s="14">
        <f>$C$8+($D$8-$C$8)*$AD4479</f>
        <v/>
      </c>
      <c r="Q4479" s="14">
        <f>$C$9</f>
        <v/>
      </c>
      <c r="R4479" s="14">
        <f>_xlfn.LOGNORM.INV($AF4479,LN($C$10)-0.5*LN(1+($D$10/$C$10)^2),SQRT(LN(1+($D$10/$C$10)^2)))</f>
        <v/>
      </c>
      <c r="S4479" s="14">
        <f>SUM(M4479:R4479)</f>
        <v/>
      </c>
      <c r="AA4479">
        <f>RAND()</f>
        <v/>
      </c>
      <c r="AB4479">
        <f>RAND()</f>
        <v/>
      </c>
      <c r="AC4479">
        <f>RAND()</f>
        <v/>
      </c>
      <c r="AD4479">
        <f>RAND()</f>
        <v/>
      </c>
      <c r="AE4479">
        <f>RAND()</f>
        <v/>
      </c>
      <c r="AF4479">
        <f>RAND()</f>
        <v/>
      </c>
    </row>
    <row r="4480">
      <c r="M4480" s="14">
        <f>_xlfn.BETA.INV($AA4480,1+4*($D$5-$C$5)/($E$5-$C$5),1+4*($E$5-$D$5)/($E$5-$C$5),$C$5,$E$5)</f>
        <v/>
      </c>
      <c r="N4480" s="14">
        <f>IF($AB4480&lt;($D$6-$C$6)/($E$6-$C$6),$C$6+SQRT($AB4480*($E$6-$C$6)*($D$6-$C$6)),$E$6-SQRT((1-$AB4480)*($E$6-$C$6)*($E$6-$D$6)))</f>
        <v/>
      </c>
      <c r="O4480" s="14">
        <f>_xlfn.NORM.INV($AC4480,$C$7,$D$7)</f>
        <v/>
      </c>
      <c r="P4480" s="14">
        <f>$C$8+($D$8-$C$8)*$AD4480</f>
        <v/>
      </c>
      <c r="Q4480" s="14">
        <f>$C$9</f>
        <v/>
      </c>
      <c r="R4480" s="14">
        <f>_xlfn.LOGNORM.INV($AF4480,LN($C$10)-0.5*LN(1+($D$10/$C$10)^2),SQRT(LN(1+($D$10/$C$10)^2)))</f>
        <v/>
      </c>
      <c r="S4480" s="14">
        <f>SUM(M4480:R4480)</f>
        <v/>
      </c>
      <c r="AA4480">
        <f>RAND()</f>
        <v/>
      </c>
      <c r="AB4480">
        <f>RAND()</f>
        <v/>
      </c>
      <c r="AC4480">
        <f>RAND()</f>
        <v/>
      </c>
      <c r="AD4480">
        <f>RAND()</f>
        <v/>
      </c>
      <c r="AE4480">
        <f>RAND()</f>
        <v/>
      </c>
      <c r="AF4480">
        <f>RAND()</f>
        <v/>
      </c>
    </row>
    <row r="4481">
      <c r="M4481" s="14">
        <f>_xlfn.BETA.INV($AA4481,1+4*($D$5-$C$5)/($E$5-$C$5),1+4*($E$5-$D$5)/($E$5-$C$5),$C$5,$E$5)</f>
        <v/>
      </c>
      <c r="N4481" s="14">
        <f>IF($AB4481&lt;($D$6-$C$6)/($E$6-$C$6),$C$6+SQRT($AB4481*($E$6-$C$6)*($D$6-$C$6)),$E$6-SQRT((1-$AB4481)*($E$6-$C$6)*($E$6-$D$6)))</f>
        <v/>
      </c>
      <c r="O4481" s="14">
        <f>_xlfn.NORM.INV($AC4481,$C$7,$D$7)</f>
        <v/>
      </c>
      <c r="P4481" s="14">
        <f>$C$8+($D$8-$C$8)*$AD4481</f>
        <v/>
      </c>
      <c r="Q4481" s="14">
        <f>$C$9</f>
        <v/>
      </c>
      <c r="R4481" s="14">
        <f>_xlfn.LOGNORM.INV($AF4481,LN($C$10)-0.5*LN(1+($D$10/$C$10)^2),SQRT(LN(1+($D$10/$C$10)^2)))</f>
        <v/>
      </c>
      <c r="S4481" s="14">
        <f>SUM(M4481:R4481)</f>
        <v/>
      </c>
      <c r="AA4481">
        <f>RAND()</f>
        <v/>
      </c>
      <c r="AB4481">
        <f>RAND()</f>
        <v/>
      </c>
      <c r="AC4481">
        <f>RAND()</f>
        <v/>
      </c>
      <c r="AD4481">
        <f>RAND()</f>
        <v/>
      </c>
      <c r="AE4481">
        <f>RAND()</f>
        <v/>
      </c>
      <c r="AF4481">
        <f>RAND()</f>
        <v/>
      </c>
    </row>
    <row r="4482">
      <c r="M4482" s="14">
        <f>_xlfn.BETA.INV($AA4482,1+4*($D$5-$C$5)/($E$5-$C$5),1+4*($E$5-$D$5)/($E$5-$C$5),$C$5,$E$5)</f>
        <v/>
      </c>
      <c r="N4482" s="14">
        <f>IF($AB4482&lt;($D$6-$C$6)/($E$6-$C$6),$C$6+SQRT($AB4482*($E$6-$C$6)*($D$6-$C$6)),$E$6-SQRT((1-$AB4482)*($E$6-$C$6)*($E$6-$D$6)))</f>
        <v/>
      </c>
      <c r="O4482" s="14">
        <f>_xlfn.NORM.INV($AC4482,$C$7,$D$7)</f>
        <v/>
      </c>
      <c r="P4482" s="14">
        <f>$C$8+($D$8-$C$8)*$AD4482</f>
        <v/>
      </c>
      <c r="Q4482" s="14">
        <f>$C$9</f>
        <v/>
      </c>
      <c r="R4482" s="14">
        <f>_xlfn.LOGNORM.INV($AF4482,LN($C$10)-0.5*LN(1+($D$10/$C$10)^2),SQRT(LN(1+($D$10/$C$10)^2)))</f>
        <v/>
      </c>
      <c r="S4482" s="14">
        <f>SUM(M4482:R4482)</f>
        <v/>
      </c>
      <c r="AA4482">
        <f>RAND()</f>
        <v/>
      </c>
      <c r="AB4482">
        <f>RAND()</f>
        <v/>
      </c>
      <c r="AC4482">
        <f>RAND()</f>
        <v/>
      </c>
      <c r="AD4482">
        <f>RAND()</f>
        <v/>
      </c>
      <c r="AE4482">
        <f>RAND()</f>
        <v/>
      </c>
      <c r="AF4482">
        <f>RAND()</f>
        <v/>
      </c>
    </row>
    <row r="4483">
      <c r="M4483" s="14">
        <f>_xlfn.BETA.INV($AA4483,1+4*($D$5-$C$5)/($E$5-$C$5),1+4*($E$5-$D$5)/($E$5-$C$5),$C$5,$E$5)</f>
        <v/>
      </c>
      <c r="N4483" s="14">
        <f>IF($AB4483&lt;($D$6-$C$6)/($E$6-$C$6),$C$6+SQRT($AB4483*($E$6-$C$6)*($D$6-$C$6)),$E$6-SQRT((1-$AB4483)*($E$6-$C$6)*($E$6-$D$6)))</f>
        <v/>
      </c>
      <c r="O4483" s="14">
        <f>_xlfn.NORM.INV($AC4483,$C$7,$D$7)</f>
        <v/>
      </c>
      <c r="P4483" s="14">
        <f>$C$8+($D$8-$C$8)*$AD4483</f>
        <v/>
      </c>
      <c r="Q4483" s="14">
        <f>$C$9</f>
        <v/>
      </c>
      <c r="R4483" s="14">
        <f>_xlfn.LOGNORM.INV($AF4483,LN($C$10)-0.5*LN(1+($D$10/$C$10)^2),SQRT(LN(1+($D$10/$C$10)^2)))</f>
        <v/>
      </c>
      <c r="S4483" s="14">
        <f>SUM(M4483:R4483)</f>
        <v/>
      </c>
      <c r="AA4483">
        <f>RAND()</f>
        <v/>
      </c>
      <c r="AB4483">
        <f>RAND()</f>
        <v/>
      </c>
      <c r="AC4483">
        <f>RAND()</f>
        <v/>
      </c>
      <c r="AD4483">
        <f>RAND()</f>
        <v/>
      </c>
      <c r="AE4483">
        <f>RAND()</f>
        <v/>
      </c>
      <c r="AF4483">
        <f>RAND()</f>
        <v/>
      </c>
    </row>
    <row r="4484">
      <c r="M4484" s="14">
        <f>_xlfn.BETA.INV($AA4484,1+4*($D$5-$C$5)/($E$5-$C$5),1+4*($E$5-$D$5)/($E$5-$C$5),$C$5,$E$5)</f>
        <v/>
      </c>
      <c r="N4484" s="14">
        <f>IF($AB4484&lt;($D$6-$C$6)/($E$6-$C$6),$C$6+SQRT($AB4484*($E$6-$C$6)*($D$6-$C$6)),$E$6-SQRT((1-$AB4484)*($E$6-$C$6)*($E$6-$D$6)))</f>
        <v/>
      </c>
      <c r="O4484" s="14">
        <f>_xlfn.NORM.INV($AC4484,$C$7,$D$7)</f>
        <v/>
      </c>
      <c r="P4484" s="14">
        <f>$C$8+($D$8-$C$8)*$AD4484</f>
        <v/>
      </c>
      <c r="Q4484" s="14">
        <f>$C$9</f>
        <v/>
      </c>
      <c r="R4484" s="14">
        <f>_xlfn.LOGNORM.INV($AF4484,LN($C$10)-0.5*LN(1+($D$10/$C$10)^2),SQRT(LN(1+($D$10/$C$10)^2)))</f>
        <v/>
      </c>
      <c r="S4484" s="14">
        <f>SUM(M4484:R4484)</f>
        <v/>
      </c>
      <c r="AA4484">
        <f>RAND()</f>
        <v/>
      </c>
      <c r="AB4484">
        <f>RAND()</f>
        <v/>
      </c>
      <c r="AC4484">
        <f>RAND()</f>
        <v/>
      </c>
      <c r="AD4484">
        <f>RAND()</f>
        <v/>
      </c>
      <c r="AE4484">
        <f>RAND()</f>
        <v/>
      </c>
      <c r="AF4484">
        <f>RAND()</f>
        <v/>
      </c>
    </row>
    <row r="4485">
      <c r="M4485" s="14">
        <f>_xlfn.BETA.INV($AA4485,1+4*($D$5-$C$5)/($E$5-$C$5),1+4*($E$5-$D$5)/($E$5-$C$5),$C$5,$E$5)</f>
        <v/>
      </c>
      <c r="N4485" s="14">
        <f>IF($AB4485&lt;($D$6-$C$6)/($E$6-$C$6),$C$6+SQRT($AB4485*($E$6-$C$6)*($D$6-$C$6)),$E$6-SQRT((1-$AB4485)*($E$6-$C$6)*($E$6-$D$6)))</f>
        <v/>
      </c>
      <c r="O4485" s="14">
        <f>_xlfn.NORM.INV($AC4485,$C$7,$D$7)</f>
        <v/>
      </c>
      <c r="P4485" s="14">
        <f>$C$8+($D$8-$C$8)*$AD4485</f>
        <v/>
      </c>
      <c r="Q4485" s="14">
        <f>$C$9</f>
        <v/>
      </c>
      <c r="R4485" s="14">
        <f>_xlfn.LOGNORM.INV($AF4485,LN($C$10)-0.5*LN(1+($D$10/$C$10)^2),SQRT(LN(1+($D$10/$C$10)^2)))</f>
        <v/>
      </c>
      <c r="S4485" s="14">
        <f>SUM(M4485:R4485)</f>
        <v/>
      </c>
      <c r="AA4485">
        <f>RAND()</f>
        <v/>
      </c>
      <c r="AB4485">
        <f>RAND()</f>
        <v/>
      </c>
      <c r="AC4485">
        <f>RAND()</f>
        <v/>
      </c>
      <c r="AD4485">
        <f>RAND()</f>
        <v/>
      </c>
      <c r="AE4485">
        <f>RAND()</f>
        <v/>
      </c>
      <c r="AF4485">
        <f>RAND()</f>
        <v/>
      </c>
    </row>
    <row r="4486">
      <c r="M4486" s="14">
        <f>_xlfn.BETA.INV($AA4486,1+4*($D$5-$C$5)/($E$5-$C$5),1+4*($E$5-$D$5)/($E$5-$C$5),$C$5,$E$5)</f>
        <v/>
      </c>
      <c r="N4486" s="14">
        <f>IF($AB4486&lt;($D$6-$C$6)/($E$6-$C$6),$C$6+SQRT($AB4486*($E$6-$C$6)*($D$6-$C$6)),$E$6-SQRT((1-$AB4486)*($E$6-$C$6)*($E$6-$D$6)))</f>
        <v/>
      </c>
      <c r="O4486" s="14">
        <f>_xlfn.NORM.INV($AC4486,$C$7,$D$7)</f>
        <v/>
      </c>
      <c r="P4486" s="14">
        <f>$C$8+($D$8-$C$8)*$AD4486</f>
        <v/>
      </c>
      <c r="Q4486" s="14">
        <f>$C$9</f>
        <v/>
      </c>
      <c r="R4486" s="14">
        <f>_xlfn.LOGNORM.INV($AF4486,LN($C$10)-0.5*LN(1+($D$10/$C$10)^2),SQRT(LN(1+($D$10/$C$10)^2)))</f>
        <v/>
      </c>
      <c r="S4486" s="14">
        <f>SUM(M4486:R4486)</f>
        <v/>
      </c>
      <c r="AA4486">
        <f>RAND()</f>
        <v/>
      </c>
      <c r="AB4486">
        <f>RAND()</f>
        <v/>
      </c>
      <c r="AC4486">
        <f>RAND()</f>
        <v/>
      </c>
      <c r="AD4486">
        <f>RAND()</f>
        <v/>
      </c>
      <c r="AE4486">
        <f>RAND()</f>
        <v/>
      </c>
      <c r="AF4486">
        <f>RAND()</f>
        <v/>
      </c>
    </row>
    <row r="4487">
      <c r="M4487" s="14">
        <f>_xlfn.BETA.INV($AA4487,1+4*($D$5-$C$5)/($E$5-$C$5),1+4*($E$5-$D$5)/($E$5-$C$5),$C$5,$E$5)</f>
        <v/>
      </c>
      <c r="N4487" s="14">
        <f>IF($AB4487&lt;($D$6-$C$6)/($E$6-$C$6),$C$6+SQRT($AB4487*($E$6-$C$6)*($D$6-$C$6)),$E$6-SQRT((1-$AB4487)*($E$6-$C$6)*($E$6-$D$6)))</f>
        <v/>
      </c>
      <c r="O4487" s="14">
        <f>_xlfn.NORM.INV($AC4487,$C$7,$D$7)</f>
        <v/>
      </c>
      <c r="P4487" s="14">
        <f>$C$8+($D$8-$C$8)*$AD4487</f>
        <v/>
      </c>
      <c r="Q4487" s="14">
        <f>$C$9</f>
        <v/>
      </c>
      <c r="R4487" s="14">
        <f>_xlfn.LOGNORM.INV($AF4487,LN($C$10)-0.5*LN(1+($D$10/$C$10)^2),SQRT(LN(1+($D$10/$C$10)^2)))</f>
        <v/>
      </c>
      <c r="S4487" s="14">
        <f>SUM(M4487:R4487)</f>
        <v/>
      </c>
      <c r="AA4487">
        <f>RAND()</f>
        <v/>
      </c>
      <c r="AB4487">
        <f>RAND()</f>
        <v/>
      </c>
      <c r="AC4487">
        <f>RAND()</f>
        <v/>
      </c>
      <c r="AD4487">
        <f>RAND()</f>
        <v/>
      </c>
      <c r="AE4487">
        <f>RAND()</f>
        <v/>
      </c>
      <c r="AF4487">
        <f>RAND()</f>
        <v/>
      </c>
    </row>
    <row r="4488">
      <c r="M4488" s="14">
        <f>_xlfn.BETA.INV($AA4488,1+4*($D$5-$C$5)/($E$5-$C$5),1+4*($E$5-$D$5)/($E$5-$C$5),$C$5,$E$5)</f>
        <v/>
      </c>
      <c r="N4488" s="14">
        <f>IF($AB4488&lt;($D$6-$C$6)/($E$6-$C$6),$C$6+SQRT($AB4488*($E$6-$C$6)*($D$6-$C$6)),$E$6-SQRT((1-$AB4488)*($E$6-$C$6)*($E$6-$D$6)))</f>
        <v/>
      </c>
      <c r="O4488" s="14">
        <f>_xlfn.NORM.INV($AC4488,$C$7,$D$7)</f>
        <v/>
      </c>
      <c r="P4488" s="14">
        <f>$C$8+($D$8-$C$8)*$AD4488</f>
        <v/>
      </c>
      <c r="Q4488" s="14">
        <f>$C$9</f>
        <v/>
      </c>
      <c r="R4488" s="14">
        <f>_xlfn.LOGNORM.INV($AF4488,LN($C$10)-0.5*LN(1+($D$10/$C$10)^2),SQRT(LN(1+($D$10/$C$10)^2)))</f>
        <v/>
      </c>
      <c r="S4488" s="14">
        <f>SUM(M4488:R4488)</f>
        <v/>
      </c>
      <c r="AA4488">
        <f>RAND()</f>
        <v/>
      </c>
      <c r="AB4488">
        <f>RAND()</f>
        <v/>
      </c>
      <c r="AC4488">
        <f>RAND()</f>
        <v/>
      </c>
      <c r="AD4488">
        <f>RAND()</f>
        <v/>
      </c>
      <c r="AE4488">
        <f>RAND()</f>
        <v/>
      </c>
      <c r="AF4488">
        <f>RAND()</f>
        <v/>
      </c>
    </row>
    <row r="4489">
      <c r="M4489" s="14">
        <f>_xlfn.BETA.INV($AA4489,1+4*($D$5-$C$5)/($E$5-$C$5),1+4*($E$5-$D$5)/($E$5-$C$5),$C$5,$E$5)</f>
        <v/>
      </c>
      <c r="N4489" s="14">
        <f>IF($AB4489&lt;($D$6-$C$6)/($E$6-$C$6),$C$6+SQRT($AB4489*($E$6-$C$6)*($D$6-$C$6)),$E$6-SQRT((1-$AB4489)*($E$6-$C$6)*($E$6-$D$6)))</f>
        <v/>
      </c>
      <c r="O4489" s="14">
        <f>_xlfn.NORM.INV($AC4489,$C$7,$D$7)</f>
        <v/>
      </c>
      <c r="P4489" s="14">
        <f>$C$8+($D$8-$C$8)*$AD4489</f>
        <v/>
      </c>
      <c r="Q4489" s="14">
        <f>$C$9</f>
        <v/>
      </c>
      <c r="R4489" s="14">
        <f>_xlfn.LOGNORM.INV($AF4489,LN($C$10)-0.5*LN(1+($D$10/$C$10)^2),SQRT(LN(1+($D$10/$C$10)^2)))</f>
        <v/>
      </c>
      <c r="S4489" s="14">
        <f>SUM(M4489:R4489)</f>
        <v/>
      </c>
      <c r="AA4489">
        <f>RAND()</f>
        <v/>
      </c>
      <c r="AB4489">
        <f>RAND()</f>
        <v/>
      </c>
      <c r="AC4489">
        <f>RAND()</f>
        <v/>
      </c>
      <c r="AD4489">
        <f>RAND()</f>
        <v/>
      </c>
      <c r="AE4489">
        <f>RAND()</f>
        <v/>
      </c>
      <c r="AF4489">
        <f>RAND()</f>
        <v/>
      </c>
    </row>
    <row r="4490">
      <c r="M4490" s="14">
        <f>_xlfn.BETA.INV($AA4490,1+4*($D$5-$C$5)/($E$5-$C$5),1+4*($E$5-$D$5)/($E$5-$C$5),$C$5,$E$5)</f>
        <v/>
      </c>
      <c r="N4490" s="14">
        <f>IF($AB4490&lt;($D$6-$C$6)/($E$6-$C$6),$C$6+SQRT($AB4490*($E$6-$C$6)*($D$6-$C$6)),$E$6-SQRT((1-$AB4490)*($E$6-$C$6)*($E$6-$D$6)))</f>
        <v/>
      </c>
      <c r="O4490" s="14">
        <f>_xlfn.NORM.INV($AC4490,$C$7,$D$7)</f>
        <v/>
      </c>
      <c r="P4490" s="14">
        <f>$C$8+($D$8-$C$8)*$AD4490</f>
        <v/>
      </c>
      <c r="Q4490" s="14">
        <f>$C$9</f>
        <v/>
      </c>
      <c r="R4490" s="14">
        <f>_xlfn.LOGNORM.INV($AF4490,LN($C$10)-0.5*LN(1+($D$10/$C$10)^2),SQRT(LN(1+($D$10/$C$10)^2)))</f>
        <v/>
      </c>
      <c r="S4490" s="14">
        <f>SUM(M4490:R4490)</f>
        <v/>
      </c>
      <c r="AA4490">
        <f>RAND()</f>
        <v/>
      </c>
      <c r="AB4490">
        <f>RAND()</f>
        <v/>
      </c>
      <c r="AC4490">
        <f>RAND()</f>
        <v/>
      </c>
      <c r="AD4490">
        <f>RAND()</f>
        <v/>
      </c>
      <c r="AE4490">
        <f>RAND()</f>
        <v/>
      </c>
      <c r="AF4490">
        <f>RAND()</f>
        <v/>
      </c>
    </row>
    <row r="4491">
      <c r="M4491" s="14">
        <f>_xlfn.BETA.INV($AA4491,1+4*($D$5-$C$5)/($E$5-$C$5),1+4*($E$5-$D$5)/($E$5-$C$5),$C$5,$E$5)</f>
        <v/>
      </c>
      <c r="N4491" s="14">
        <f>IF($AB4491&lt;($D$6-$C$6)/($E$6-$C$6),$C$6+SQRT($AB4491*($E$6-$C$6)*($D$6-$C$6)),$E$6-SQRT((1-$AB4491)*($E$6-$C$6)*($E$6-$D$6)))</f>
        <v/>
      </c>
      <c r="O4491" s="14">
        <f>_xlfn.NORM.INV($AC4491,$C$7,$D$7)</f>
        <v/>
      </c>
      <c r="P4491" s="14">
        <f>$C$8+($D$8-$C$8)*$AD4491</f>
        <v/>
      </c>
      <c r="Q4491" s="14">
        <f>$C$9</f>
        <v/>
      </c>
      <c r="R4491" s="14">
        <f>_xlfn.LOGNORM.INV($AF4491,LN($C$10)-0.5*LN(1+($D$10/$C$10)^2),SQRT(LN(1+($D$10/$C$10)^2)))</f>
        <v/>
      </c>
      <c r="S4491" s="14">
        <f>SUM(M4491:R4491)</f>
        <v/>
      </c>
      <c r="AA4491">
        <f>RAND()</f>
        <v/>
      </c>
      <c r="AB4491">
        <f>RAND()</f>
        <v/>
      </c>
      <c r="AC4491">
        <f>RAND()</f>
        <v/>
      </c>
      <c r="AD4491">
        <f>RAND()</f>
        <v/>
      </c>
      <c r="AE4491">
        <f>RAND()</f>
        <v/>
      </c>
      <c r="AF4491">
        <f>RAND()</f>
        <v/>
      </c>
    </row>
    <row r="4492">
      <c r="M4492" s="14">
        <f>_xlfn.BETA.INV($AA4492,1+4*($D$5-$C$5)/($E$5-$C$5),1+4*($E$5-$D$5)/($E$5-$C$5),$C$5,$E$5)</f>
        <v/>
      </c>
      <c r="N4492" s="14">
        <f>IF($AB4492&lt;($D$6-$C$6)/($E$6-$C$6),$C$6+SQRT($AB4492*($E$6-$C$6)*($D$6-$C$6)),$E$6-SQRT((1-$AB4492)*($E$6-$C$6)*($E$6-$D$6)))</f>
        <v/>
      </c>
      <c r="O4492" s="14">
        <f>_xlfn.NORM.INV($AC4492,$C$7,$D$7)</f>
        <v/>
      </c>
      <c r="P4492" s="14">
        <f>$C$8+($D$8-$C$8)*$AD4492</f>
        <v/>
      </c>
      <c r="Q4492" s="14">
        <f>$C$9</f>
        <v/>
      </c>
      <c r="R4492" s="14">
        <f>_xlfn.LOGNORM.INV($AF4492,LN($C$10)-0.5*LN(1+($D$10/$C$10)^2),SQRT(LN(1+($D$10/$C$10)^2)))</f>
        <v/>
      </c>
      <c r="S4492" s="14">
        <f>SUM(M4492:R4492)</f>
        <v/>
      </c>
      <c r="AA4492">
        <f>RAND()</f>
        <v/>
      </c>
      <c r="AB4492">
        <f>RAND()</f>
        <v/>
      </c>
      <c r="AC4492">
        <f>RAND()</f>
        <v/>
      </c>
      <c r="AD4492">
        <f>RAND()</f>
        <v/>
      </c>
      <c r="AE4492">
        <f>RAND()</f>
        <v/>
      </c>
      <c r="AF4492">
        <f>RAND()</f>
        <v/>
      </c>
    </row>
    <row r="4493">
      <c r="M4493" s="14">
        <f>_xlfn.BETA.INV($AA4493,1+4*($D$5-$C$5)/($E$5-$C$5),1+4*($E$5-$D$5)/($E$5-$C$5),$C$5,$E$5)</f>
        <v/>
      </c>
      <c r="N4493" s="14">
        <f>IF($AB4493&lt;($D$6-$C$6)/($E$6-$C$6),$C$6+SQRT($AB4493*($E$6-$C$6)*($D$6-$C$6)),$E$6-SQRT((1-$AB4493)*($E$6-$C$6)*($E$6-$D$6)))</f>
        <v/>
      </c>
      <c r="O4493" s="14">
        <f>_xlfn.NORM.INV($AC4493,$C$7,$D$7)</f>
        <v/>
      </c>
      <c r="P4493" s="14">
        <f>$C$8+($D$8-$C$8)*$AD4493</f>
        <v/>
      </c>
      <c r="Q4493" s="14">
        <f>$C$9</f>
        <v/>
      </c>
      <c r="R4493" s="14">
        <f>_xlfn.LOGNORM.INV($AF4493,LN($C$10)-0.5*LN(1+($D$10/$C$10)^2),SQRT(LN(1+($D$10/$C$10)^2)))</f>
        <v/>
      </c>
      <c r="S4493" s="14">
        <f>SUM(M4493:R4493)</f>
        <v/>
      </c>
      <c r="AA4493">
        <f>RAND()</f>
        <v/>
      </c>
      <c r="AB4493">
        <f>RAND()</f>
        <v/>
      </c>
      <c r="AC4493">
        <f>RAND()</f>
        <v/>
      </c>
      <c r="AD4493">
        <f>RAND()</f>
        <v/>
      </c>
      <c r="AE4493">
        <f>RAND()</f>
        <v/>
      </c>
      <c r="AF4493">
        <f>RAND()</f>
        <v/>
      </c>
    </row>
    <row r="4494">
      <c r="M4494" s="14">
        <f>_xlfn.BETA.INV($AA4494,1+4*($D$5-$C$5)/($E$5-$C$5),1+4*($E$5-$D$5)/($E$5-$C$5),$C$5,$E$5)</f>
        <v/>
      </c>
      <c r="N4494" s="14">
        <f>IF($AB4494&lt;($D$6-$C$6)/($E$6-$C$6),$C$6+SQRT($AB4494*($E$6-$C$6)*($D$6-$C$6)),$E$6-SQRT((1-$AB4494)*($E$6-$C$6)*($E$6-$D$6)))</f>
        <v/>
      </c>
      <c r="O4494" s="14">
        <f>_xlfn.NORM.INV($AC4494,$C$7,$D$7)</f>
        <v/>
      </c>
      <c r="P4494" s="14">
        <f>$C$8+($D$8-$C$8)*$AD4494</f>
        <v/>
      </c>
      <c r="Q4494" s="14">
        <f>$C$9</f>
        <v/>
      </c>
      <c r="R4494" s="14">
        <f>_xlfn.LOGNORM.INV($AF4494,LN($C$10)-0.5*LN(1+($D$10/$C$10)^2),SQRT(LN(1+($D$10/$C$10)^2)))</f>
        <v/>
      </c>
      <c r="S4494" s="14">
        <f>SUM(M4494:R4494)</f>
        <v/>
      </c>
      <c r="AA4494">
        <f>RAND()</f>
        <v/>
      </c>
      <c r="AB4494">
        <f>RAND()</f>
        <v/>
      </c>
      <c r="AC4494">
        <f>RAND()</f>
        <v/>
      </c>
      <c r="AD4494">
        <f>RAND()</f>
        <v/>
      </c>
      <c r="AE4494">
        <f>RAND()</f>
        <v/>
      </c>
      <c r="AF4494">
        <f>RAND()</f>
        <v/>
      </c>
    </row>
    <row r="4495">
      <c r="M4495" s="14">
        <f>_xlfn.BETA.INV($AA4495,1+4*($D$5-$C$5)/($E$5-$C$5),1+4*($E$5-$D$5)/($E$5-$C$5),$C$5,$E$5)</f>
        <v/>
      </c>
      <c r="N4495" s="14">
        <f>IF($AB4495&lt;($D$6-$C$6)/($E$6-$C$6),$C$6+SQRT($AB4495*($E$6-$C$6)*($D$6-$C$6)),$E$6-SQRT((1-$AB4495)*($E$6-$C$6)*($E$6-$D$6)))</f>
        <v/>
      </c>
      <c r="O4495" s="14">
        <f>_xlfn.NORM.INV($AC4495,$C$7,$D$7)</f>
        <v/>
      </c>
      <c r="P4495" s="14">
        <f>$C$8+($D$8-$C$8)*$AD4495</f>
        <v/>
      </c>
      <c r="Q4495" s="14">
        <f>$C$9</f>
        <v/>
      </c>
      <c r="R4495" s="14">
        <f>_xlfn.LOGNORM.INV($AF4495,LN($C$10)-0.5*LN(1+($D$10/$C$10)^2),SQRT(LN(1+($D$10/$C$10)^2)))</f>
        <v/>
      </c>
      <c r="S4495" s="14">
        <f>SUM(M4495:R4495)</f>
        <v/>
      </c>
      <c r="AA4495">
        <f>RAND()</f>
        <v/>
      </c>
      <c r="AB4495">
        <f>RAND()</f>
        <v/>
      </c>
      <c r="AC4495">
        <f>RAND()</f>
        <v/>
      </c>
      <c r="AD4495">
        <f>RAND()</f>
        <v/>
      </c>
      <c r="AE4495">
        <f>RAND()</f>
        <v/>
      </c>
      <c r="AF4495">
        <f>RAND()</f>
        <v/>
      </c>
    </row>
    <row r="4496">
      <c r="M4496" s="14">
        <f>_xlfn.BETA.INV($AA4496,1+4*($D$5-$C$5)/($E$5-$C$5),1+4*($E$5-$D$5)/($E$5-$C$5),$C$5,$E$5)</f>
        <v/>
      </c>
      <c r="N4496" s="14">
        <f>IF($AB4496&lt;($D$6-$C$6)/($E$6-$C$6),$C$6+SQRT($AB4496*($E$6-$C$6)*($D$6-$C$6)),$E$6-SQRT((1-$AB4496)*($E$6-$C$6)*($E$6-$D$6)))</f>
        <v/>
      </c>
      <c r="O4496" s="14">
        <f>_xlfn.NORM.INV($AC4496,$C$7,$D$7)</f>
        <v/>
      </c>
      <c r="P4496" s="14">
        <f>$C$8+($D$8-$C$8)*$AD4496</f>
        <v/>
      </c>
      <c r="Q4496" s="14">
        <f>$C$9</f>
        <v/>
      </c>
      <c r="R4496" s="14">
        <f>_xlfn.LOGNORM.INV($AF4496,LN($C$10)-0.5*LN(1+($D$10/$C$10)^2),SQRT(LN(1+($D$10/$C$10)^2)))</f>
        <v/>
      </c>
      <c r="S4496" s="14">
        <f>SUM(M4496:R4496)</f>
        <v/>
      </c>
      <c r="AA4496">
        <f>RAND()</f>
        <v/>
      </c>
      <c r="AB4496">
        <f>RAND()</f>
        <v/>
      </c>
      <c r="AC4496">
        <f>RAND()</f>
        <v/>
      </c>
      <c r="AD4496">
        <f>RAND()</f>
        <v/>
      </c>
      <c r="AE4496">
        <f>RAND()</f>
        <v/>
      </c>
      <c r="AF4496">
        <f>RAND()</f>
        <v/>
      </c>
    </row>
    <row r="4497">
      <c r="M4497" s="14">
        <f>_xlfn.BETA.INV($AA4497,1+4*($D$5-$C$5)/($E$5-$C$5),1+4*($E$5-$D$5)/($E$5-$C$5),$C$5,$E$5)</f>
        <v/>
      </c>
      <c r="N4497" s="14">
        <f>IF($AB4497&lt;($D$6-$C$6)/($E$6-$C$6),$C$6+SQRT($AB4497*($E$6-$C$6)*($D$6-$C$6)),$E$6-SQRT((1-$AB4497)*($E$6-$C$6)*($E$6-$D$6)))</f>
        <v/>
      </c>
      <c r="O4497" s="14">
        <f>_xlfn.NORM.INV($AC4497,$C$7,$D$7)</f>
        <v/>
      </c>
      <c r="P4497" s="14">
        <f>$C$8+($D$8-$C$8)*$AD4497</f>
        <v/>
      </c>
      <c r="Q4497" s="14">
        <f>$C$9</f>
        <v/>
      </c>
      <c r="R4497" s="14">
        <f>_xlfn.LOGNORM.INV($AF4497,LN($C$10)-0.5*LN(1+($D$10/$C$10)^2),SQRT(LN(1+($D$10/$C$10)^2)))</f>
        <v/>
      </c>
      <c r="S4497" s="14">
        <f>SUM(M4497:R4497)</f>
        <v/>
      </c>
      <c r="AA4497">
        <f>RAND()</f>
        <v/>
      </c>
      <c r="AB4497">
        <f>RAND()</f>
        <v/>
      </c>
      <c r="AC4497">
        <f>RAND()</f>
        <v/>
      </c>
      <c r="AD4497">
        <f>RAND()</f>
        <v/>
      </c>
      <c r="AE4497">
        <f>RAND()</f>
        <v/>
      </c>
      <c r="AF4497">
        <f>RAND()</f>
        <v/>
      </c>
    </row>
    <row r="4498">
      <c r="M4498" s="14">
        <f>_xlfn.BETA.INV($AA4498,1+4*($D$5-$C$5)/($E$5-$C$5),1+4*($E$5-$D$5)/($E$5-$C$5),$C$5,$E$5)</f>
        <v/>
      </c>
      <c r="N4498" s="14">
        <f>IF($AB4498&lt;($D$6-$C$6)/($E$6-$C$6),$C$6+SQRT($AB4498*($E$6-$C$6)*($D$6-$C$6)),$E$6-SQRT((1-$AB4498)*($E$6-$C$6)*($E$6-$D$6)))</f>
        <v/>
      </c>
      <c r="O4498" s="14">
        <f>_xlfn.NORM.INV($AC4498,$C$7,$D$7)</f>
        <v/>
      </c>
      <c r="P4498" s="14">
        <f>$C$8+($D$8-$C$8)*$AD4498</f>
        <v/>
      </c>
      <c r="Q4498" s="14">
        <f>$C$9</f>
        <v/>
      </c>
      <c r="R4498" s="14">
        <f>_xlfn.LOGNORM.INV($AF4498,LN($C$10)-0.5*LN(1+($D$10/$C$10)^2),SQRT(LN(1+($D$10/$C$10)^2)))</f>
        <v/>
      </c>
      <c r="S4498" s="14">
        <f>SUM(M4498:R4498)</f>
        <v/>
      </c>
      <c r="AA4498">
        <f>RAND()</f>
        <v/>
      </c>
      <c r="AB4498">
        <f>RAND()</f>
        <v/>
      </c>
      <c r="AC4498">
        <f>RAND()</f>
        <v/>
      </c>
      <c r="AD4498">
        <f>RAND()</f>
        <v/>
      </c>
      <c r="AE4498">
        <f>RAND()</f>
        <v/>
      </c>
      <c r="AF4498">
        <f>RAND()</f>
        <v/>
      </c>
    </row>
    <row r="4499">
      <c r="M4499" s="14">
        <f>_xlfn.BETA.INV($AA4499,1+4*($D$5-$C$5)/($E$5-$C$5),1+4*($E$5-$D$5)/($E$5-$C$5),$C$5,$E$5)</f>
        <v/>
      </c>
      <c r="N4499" s="14">
        <f>IF($AB4499&lt;($D$6-$C$6)/($E$6-$C$6),$C$6+SQRT($AB4499*($E$6-$C$6)*($D$6-$C$6)),$E$6-SQRT((1-$AB4499)*($E$6-$C$6)*($E$6-$D$6)))</f>
        <v/>
      </c>
      <c r="O4499" s="14">
        <f>_xlfn.NORM.INV($AC4499,$C$7,$D$7)</f>
        <v/>
      </c>
      <c r="P4499" s="14">
        <f>$C$8+($D$8-$C$8)*$AD4499</f>
        <v/>
      </c>
      <c r="Q4499" s="14">
        <f>$C$9</f>
        <v/>
      </c>
      <c r="R4499" s="14">
        <f>_xlfn.LOGNORM.INV($AF4499,LN($C$10)-0.5*LN(1+($D$10/$C$10)^2),SQRT(LN(1+($D$10/$C$10)^2)))</f>
        <v/>
      </c>
      <c r="S4499" s="14">
        <f>SUM(M4499:R4499)</f>
        <v/>
      </c>
      <c r="AA4499">
        <f>RAND()</f>
        <v/>
      </c>
      <c r="AB4499">
        <f>RAND()</f>
        <v/>
      </c>
      <c r="AC4499">
        <f>RAND()</f>
        <v/>
      </c>
      <c r="AD4499">
        <f>RAND()</f>
        <v/>
      </c>
      <c r="AE4499">
        <f>RAND()</f>
        <v/>
      </c>
      <c r="AF4499">
        <f>RAND()</f>
        <v/>
      </c>
    </row>
    <row r="4500">
      <c r="M4500" s="14">
        <f>_xlfn.BETA.INV($AA4500,1+4*($D$5-$C$5)/($E$5-$C$5),1+4*($E$5-$D$5)/($E$5-$C$5),$C$5,$E$5)</f>
        <v/>
      </c>
      <c r="N4500" s="14">
        <f>IF($AB4500&lt;($D$6-$C$6)/($E$6-$C$6),$C$6+SQRT($AB4500*($E$6-$C$6)*($D$6-$C$6)),$E$6-SQRT((1-$AB4500)*($E$6-$C$6)*($E$6-$D$6)))</f>
        <v/>
      </c>
      <c r="O4500" s="14">
        <f>_xlfn.NORM.INV($AC4500,$C$7,$D$7)</f>
        <v/>
      </c>
      <c r="P4500" s="14">
        <f>$C$8+($D$8-$C$8)*$AD4500</f>
        <v/>
      </c>
      <c r="Q4500" s="14">
        <f>$C$9</f>
        <v/>
      </c>
      <c r="R4500" s="14">
        <f>_xlfn.LOGNORM.INV($AF4500,LN($C$10)-0.5*LN(1+($D$10/$C$10)^2),SQRT(LN(1+($D$10/$C$10)^2)))</f>
        <v/>
      </c>
      <c r="S4500" s="14">
        <f>SUM(M4500:R4500)</f>
        <v/>
      </c>
      <c r="AA4500">
        <f>RAND()</f>
        <v/>
      </c>
      <c r="AB4500">
        <f>RAND()</f>
        <v/>
      </c>
      <c r="AC4500">
        <f>RAND()</f>
        <v/>
      </c>
      <c r="AD4500">
        <f>RAND()</f>
        <v/>
      </c>
      <c r="AE4500">
        <f>RAND()</f>
        <v/>
      </c>
      <c r="AF4500">
        <f>RAND()</f>
        <v/>
      </c>
    </row>
    <row r="4501">
      <c r="M4501" s="14">
        <f>_xlfn.BETA.INV($AA4501,1+4*($D$5-$C$5)/($E$5-$C$5),1+4*($E$5-$D$5)/($E$5-$C$5),$C$5,$E$5)</f>
        <v/>
      </c>
      <c r="N4501" s="14">
        <f>IF($AB4501&lt;($D$6-$C$6)/($E$6-$C$6),$C$6+SQRT($AB4501*($E$6-$C$6)*($D$6-$C$6)),$E$6-SQRT((1-$AB4501)*($E$6-$C$6)*($E$6-$D$6)))</f>
        <v/>
      </c>
      <c r="O4501" s="14">
        <f>_xlfn.NORM.INV($AC4501,$C$7,$D$7)</f>
        <v/>
      </c>
      <c r="P4501" s="14">
        <f>$C$8+($D$8-$C$8)*$AD4501</f>
        <v/>
      </c>
      <c r="Q4501" s="14">
        <f>$C$9</f>
        <v/>
      </c>
      <c r="R4501" s="14">
        <f>_xlfn.LOGNORM.INV($AF4501,LN($C$10)-0.5*LN(1+($D$10/$C$10)^2),SQRT(LN(1+($D$10/$C$10)^2)))</f>
        <v/>
      </c>
      <c r="S4501" s="14">
        <f>SUM(M4501:R4501)</f>
        <v/>
      </c>
      <c r="AA4501">
        <f>RAND()</f>
        <v/>
      </c>
      <c r="AB4501">
        <f>RAND()</f>
        <v/>
      </c>
      <c r="AC4501">
        <f>RAND()</f>
        <v/>
      </c>
      <c r="AD4501">
        <f>RAND()</f>
        <v/>
      </c>
      <c r="AE4501">
        <f>RAND()</f>
        <v/>
      </c>
      <c r="AF4501">
        <f>RAND()</f>
        <v/>
      </c>
    </row>
    <row r="4502">
      <c r="M4502" s="14">
        <f>_xlfn.BETA.INV($AA4502,1+4*($D$5-$C$5)/($E$5-$C$5),1+4*($E$5-$D$5)/($E$5-$C$5),$C$5,$E$5)</f>
        <v/>
      </c>
      <c r="N4502" s="14">
        <f>IF($AB4502&lt;($D$6-$C$6)/($E$6-$C$6),$C$6+SQRT($AB4502*($E$6-$C$6)*($D$6-$C$6)),$E$6-SQRT((1-$AB4502)*($E$6-$C$6)*($E$6-$D$6)))</f>
        <v/>
      </c>
      <c r="O4502" s="14">
        <f>_xlfn.NORM.INV($AC4502,$C$7,$D$7)</f>
        <v/>
      </c>
      <c r="P4502" s="14">
        <f>$C$8+($D$8-$C$8)*$AD4502</f>
        <v/>
      </c>
      <c r="Q4502" s="14">
        <f>$C$9</f>
        <v/>
      </c>
      <c r="R4502" s="14">
        <f>_xlfn.LOGNORM.INV($AF4502,LN($C$10)-0.5*LN(1+($D$10/$C$10)^2),SQRT(LN(1+($D$10/$C$10)^2)))</f>
        <v/>
      </c>
      <c r="S4502" s="14">
        <f>SUM(M4502:R4502)</f>
        <v/>
      </c>
      <c r="AA4502">
        <f>RAND()</f>
        <v/>
      </c>
      <c r="AB4502">
        <f>RAND()</f>
        <v/>
      </c>
      <c r="AC4502">
        <f>RAND()</f>
        <v/>
      </c>
      <c r="AD4502">
        <f>RAND()</f>
        <v/>
      </c>
      <c r="AE4502">
        <f>RAND()</f>
        <v/>
      </c>
      <c r="AF4502">
        <f>RAND()</f>
        <v/>
      </c>
    </row>
    <row r="4503">
      <c r="M4503" s="14">
        <f>_xlfn.BETA.INV($AA4503,1+4*($D$5-$C$5)/($E$5-$C$5),1+4*($E$5-$D$5)/($E$5-$C$5),$C$5,$E$5)</f>
        <v/>
      </c>
      <c r="N4503" s="14">
        <f>IF($AB4503&lt;($D$6-$C$6)/($E$6-$C$6),$C$6+SQRT($AB4503*($E$6-$C$6)*($D$6-$C$6)),$E$6-SQRT((1-$AB4503)*($E$6-$C$6)*($E$6-$D$6)))</f>
        <v/>
      </c>
      <c r="O4503" s="14">
        <f>_xlfn.NORM.INV($AC4503,$C$7,$D$7)</f>
        <v/>
      </c>
      <c r="P4503" s="14">
        <f>$C$8+($D$8-$C$8)*$AD4503</f>
        <v/>
      </c>
      <c r="Q4503" s="14">
        <f>$C$9</f>
        <v/>
      </c>
      <c r="R4503" s="14">
        <f>_xlfn.LOGNORM.INV($AF4503,LN($C$10)-0.5*LN(1+($D$10/$C$10)^2),SQRT(LN(1+($D$10/$C$10)^2)))</f>
        <v/>
      </c>
      <c r="S4503" s="14">
        <f>SUM(M4503:R4503)</f>
        <v/>
      </c>
      <c r="AA4503">
        <f>RAND()</f>
        <v/>
      </c>
      <c r="AB4503">
        <f>RAND()</f>
        <v/>
      </c>
      <c r="AC4503">
        <f>RAND()</f>
        <v/>
      </c>
      <c r="AD4503">
        <f>RAND()</f>
        <v/>
      </c>
      <c r="AE4503">
        <f>RAND()</f>
        <v/>
      </c>
      <c r="AF4503">
        <f>RAND()</f>
        <v/>
      </c>
    </row>
    <row r="4504">
      <c r="M4504" s="14">
        <f>_xlfn.BETA.INV($AA4504,1+4*($D$5-$C$5)/($E$5-$C$5),1+4*($E$5-$D$5)/($E$5-$C$5),$C$5,$E$5)</f>
        <v/>
      </c>
      <c r="N4504" s="14">
        <f>IF($AB4504&lt;($D$6-$C$6)/($E$6-$C$6),$C$6+SQRT($AB4504*($E$6-$C$6)*($D$6-$C$6)),$E$6-SQRT((1-$AB4504)*($E$6-$C$6)*($E$6-$D$6)))</f>
        <v/>
      </c>
      <c r="O4504" s="14">
        <f>_xlfn.NORM.INV($AC4504,$C$7,$D$7)</f>
        <v/>
      </c>
      <c r="P4504" s="14">
        <f>$C$8+($D$8-$C$8)*$AD4504</f>
        <v/>
      </c>
      <c r="Q4504" s="14">
        <f>$C$9</f>
        <v/>
      </c>
      <c r="R4504" s="14">
        <f>_xlfn.LOGNORM.INV($AF4504,LN($C$10)-0.5*LN(1+($D$10/$C$10)^2),SQRT(LN(1+($D$10/$C$10)^2)))</f>
        <v/>
      </c>
      <c r="S4504" s="14">
        <f>SUM(M4504:R4504)</f>
        <v/>
      </c>
      <c r="AA4504">
        <f>RAND()</f>
        <v/>
      </c>
      <c r="AB4504">
        <f>RAND()</f>
        <v/>
      </c>
      <c r="AC4504">
        <f>RAND()</f>
        <v/>
      </c>
      <c r="AD4504">
        <f>RAND()</f>
        <v/>
      </c>
      <c r="AE4504">
        <f>RAND()</f>
        <v/>
      </c>
      <c r="AF4504">
        <f>RAND()</f>
        <v/>
      </c>
    </row>
    <row r="4505">
      <c r="M4505" s="14">
        <f>_xlfn.BETA.INV($AA4505,1+4*($D$5-$C$5)/($E$5-$C$5),1+4*($E$5-$D$5)/($E$5-$C$5),$C$5,$E$5)</f>
        <v/>
      </c>
      <c r="N4505" s="14">
        <f>IF($AB4505&lt;($D$6-$C$6)/($E$6-$C$6),$C$6+SQRT($AB4505*($E$6-$C$6)*($D$6-$C$6)),$E$6-SQRT((1-$AB4505)*($E$6-$C$6)*($E$6-$D$6)))</f>
        <v/>
      </c>
      <c r="O4505" s="14">
        <f>_xlfn.NORM.INV($AC4505,$C$7,$D$7)</f>
        <v/>
      </c>
      <c r="P4505" s="14">
        <f>$C$8+($D$8-$C$8)*$AD4505</f>
        <v/>
      </c>
      <c r="Q4505" s="14">
        <f>$C$9</f>
        <v/>
      </c>
      <c r="R4505" s="14">
        <f>_xlfn.LOGNORM.INV($AF4505,LN($C$10)-0.5*LN(1+($D$10/$C$10)^2),SQRT(LN(1+($D$10/$C$10)^2)))</f>
        <v/>
      </c>
      <c r="S4505" s="14">
        <f>SUM(M4505:R4505)</f>
        <v/>
      </c>
      <c r="AA4505">
        <f>RAND()</f>
        <v/>
      </c>
      <c r="AB4505">
        <f>RAND()</f>
        <v/>
      </c>
      <c r="AC4505">
        <f>RAND()</f>
        <v/>
      </c>
      <c r="AD4505">
        <f>RAND()</f>
        <v/>
      </c>
      <c r="AE4505">
        <f>RAND()</f>
        <v/>
      </c>
      <c r="AF4505">
        <f>RAND()</f>
        <v/>
      </c>
    </row>
    <row r="4506">
      <c r="M4506" s="14">
        <f>_xlfn.BETA.INV($AA4506,1+4*($D$5-$C$5)/($E$5-$C$5),1+4*($E$5-$D$5)/($E$5-$C$5),$C$5,$E$5)</f>
        <v/>
      </c>
      <c r="N4506" s="14">
        <f>IF($AB4506&lt;($D$6-$C$6)/($E$6-$C$6),$C$6+SQRT($AB4506*($E$6-$C$6)*($D$6-$C$6)),$E$6-SQRT((1-$AB4506)*($E$6-$C$6)*($E$6-$D$6)))</f>
        <v/>
      </c>
      <c r="O4506" s="14">
        <f>_xlfn.NORM.INV($AC4506,$C$7,$D$7)</f>
        <v/>
      </c>
      <c r="P4506" s="14">
        <f>$C$8+($D$8-$C$8)*$AD4506</f>
        <v/>
      </c>
      <c r="Q4506" s="14">
        <f>$C$9</f>
        <v/>
      </c>
      <c r="R4506" s="14">
        <f>_xlfn.LOGNORM.INV($AF4506,LN($C$10)-0.5*LN(1+($D$10/$C$10)^2),SQRT(LN(1+($D$10/$C$10)^2)))</f>
        <v/>
      </c>
      <c r="S4506" s="14">
        <f>SUM(M4506:R4506)</f>
        <v/>
      </c>
      <c r="AA4506">
        <f>RAND()</f>
        <v/>
      </c>
      <c r="AB4506">
        <f>RAND()</f>
        <v/>
      </c>
      <c r="AC4506">
        <f>RAND()</f>
        <v/>
      </c>
      <c r="AD4506">
        <f>RAND()</f>
        <v/>
      </c>
      <c r="AE4506">
        <f>RAND()</f>
        <v/>
      </c>
      <c r="AF4506">
        <f>RAND()</f>
        <v/>
      </c>
    </row>
    <row r="4507">
      <c r="M4507" s="14">
        <f>_xlfn.BETA.INV($AA4507,1+4*($D$5-$C$5)/($E$5-$C$5),1+4*($E$5-$D$5)/($E$5-$C$5),$C$5,$E$5)</f>
        <v/>
      </c>
      <c r="N4507" s="14">
        <f>IF($AB4507&lt;($D$6-$C$6)/($E$6-$C$6),$C$6+SQRT($AB4507*($E$6-$C$6)*($D$6-$C$6)),$E$6-SQRT((1-$AB4507)*($E$6-$C$6)*($E$6-$D$6)))</f>
        <v/>
      </c>
      <c r="O4507" s="14">
        <f>_xlfn.NORM.INV($AC4507,$C$7,$D$7)</f>
        <v/>
      </c>
      <c r="P4507" s="14">
        <f>$C$8+($D$8-$C$8)*$AD4507</f>
        <v/>
      </c>
      <c r="Q4507" s="14">
        <f>$C$9</f>
        <v/>
      </c>
      <c r="R4507" s="14">
        <f>_xlfn.LOGNORM.INV($AF4507,LN($C$10)-0.5*LN(1+($D$10/$C$10)^2),SQRT(LN(1+($D$10/$C$10)^2)))</f>
        <v/>
      </c>
      <c r="S4507" s="14">
        <f>SUM(M4507:R4507)</f>
        <v/>
      </c>
      <c r="AA4507">
        <f>RAND()</f>
        <v/>
      </c>
      <c r="AB4507">
        <f>RAND()</f>
        <v/>
      </c>
      <c r="AC4507">
        <f>RAND()</f>
        <v/>
      </c>
      <c r="AD4507">
        <f>RAND()</f>
        <v/>
      </c>
      <c r="AE4507">
        <f>RAND()</f>
        <v/>
      </c>
      <c r="AF4507">
        <f>RAND()</f>
        <v/>
      </c>
    </row>
    <row r="4508">
      <c r="M4508" s="14">
        <f>_xlfn.BETA.INV($AA4508,1+4*($D$5-$C$5)/($E$5-$C$5),1+4*($E$5-$D$5)/($E$5-$C$5),$C$5,$E$5)</f>
        <v/>
      </c>
      <c r="N4508" s="14">
        <f>IF($AB4508&lt;($D$6-$C$6)/($E$6-$C$6),$C$6+SQRT($AB4508*($E$6-$C$6)*($D$6-$C$6)),$E$6-SQRT((1-$AB4508)*($E$6-$C$6)*($E$6-$D$6)))</f>
        <v/>
      </c>
      <c r="O4508" s="14">
        <f>_xlfn.NORM.INV($AC4508,$C$7,$D$7)</f>
        <v/>
      </c>
      <c r="P4508" s="14">
        <f>$C$8+($D$8-$C$8)*$AD4508</f>
        <v/>
      </c>
      <c r="Q4508" s="14">
        <f>$C$9</f>
        <v/>
      </c>
      <c r="R4508" s="14">
        <f>_xlfn.LOGNORM.INV($AF4508,LN($C$10)-0.5*LN(1+($D$10/$C$10)^2),SQRT(LN(1+($D$10/$C$10)^2)))</f>
        <v/>
      </c>
      <c r="S4508" s="14">
        <f>SUM(M4508:R4508)</f>
        <v/>
      </c>
      <c r="AA4508">
        <f>RAND()</f>
        <v/>
      </c>
      <c r="AB4508">
        <f>RAND()</f>
        <v/>
      </c>
      <c r="AC4508">
        <f>RAND()</f>
        <v/>
      </c>
      <c r="AD4508">
        <f>RAND()</f>
        <v/>
      </c>
      <c r="AE4508">
        <f>RAND()</f>
        <v/>
      </c>
      <c r="AF4508">
        <f>RAND()</f>
        <v/>
      </c>
    </row>
    <row r="4509">
      <c r="M4509" s="14">
        <f>_xlfn.BETA.INV($AA4509,1+4*($D$5-$C$5)/($E$5-$C$5),1+4*($E$5-$D$5)/($E$5-$C$5),$C$5,$E$5)</f>
        <v/>
      </c>
      <c r="N4509" s="14">
        <f>IF($AB4509&lt;($D$6-$C$6)/($E$6-$C$6),$C$6+SQRT($AB4509*($E$6-$C$6)*($D$6-$C$6)),$E$6-SQRT((1-$AB4509)*($E$6-$C$6)*($E$6-$D$6)))</f>
        <v/>
      </c>
      <c r="O4509" s="14">
        <f>_xlfn.NORM.INV($AC4509,$C$7,$D$7)</f>
        <v/>
      </c>
      <c r="P4509" s="14">
        <f>$C$8+($D$8-$C$8)*$AD4509</f>
        <v/>
      </c>
      <c r="Q4509" s="14">
        <f>$C$9</f>
        <v/>
      </c>
      <c r="R4509" s="14">
        <f>_xlfn.LOGNORM.INV($AF4509,LN($C$10)-0.5*LN(1+($D$10/$C$10)^2),SQRT(LN(1+($D$10/$C$10)^2)))</f>
        <v/>
      </c>
      <c r="S4509" s="14">
        <f>SUM(M4509:R4509)</f>
        <v/>
      </c>
      <c r="AA4509">
        <f>RAND()</f>
        <v/>
      </c>
      <c r="AB4509">
        <f>RAND()</f>
        <v/>
      </c>
      <c r="AC4509">
        <f>RAND()</f>
        <v/>
      </c>
      <c r="AD4509">
        <f>RAND()</f>
        <v/>
      </c>
      <c r="AE4509">
        <f>RAND()</f>
        <v/>
      </c>
      <c r="AF4509">
        <f>RAND()</f>
        <v/>
      </c>
    </row>
    <row r="4510">
      <c r="M4510" s="14">
        <f>_xlfn.BETA.INV($AA4510,1+4*($D$5-$C$5)/($E$5-$C$5),1+4*($E$5-$D$5)/($E$5-$C$5),$C$5,$E$5)</f>
        <v/>
      </c>
      <c r="N4510" s="14">
        <f>IF($AB4510&lt;($D$6-$C$6)/($E$6-$C$6),$C$6+SQRT($AB4510*($E$6-$C$6)*($D$6-$C$6)),$E$6-SQRT((1-$AB4510)*($E$6-$C$6)*($E$6-$D$6)))</f>
        <v/>
      </c>
      <c r="O4510" s="14">
        <f>_xlfn.NORM.INV($AC4510,$C$7,$D$7)</f>
        <v/>
      </c>
      <c r="P4510" s="14">
        <f>$C$8+($D$8-$C$8)*$AD4510</f>
        <v/>
      </c>
      <c r="Q4510" s="14">
        <f>$C$9</f>
        <v/>
      </c>
      <c r="R4510" s="14">
        <f>_xlfn.LOGNORM.INV($AF4510,LN($C$10)-0.5*LN(1+($D$10/$C$10)^2),SQRT(LN(1+($D$10/$C$10)^2)))</f>
        <v/>
      </c>
      <c r="S4510" s="14">
        <f>SUM(M4510:R4510)</f>
        <v/>
      </c>
      <c r="AA4510">
        <f>RAND()</f>
        <v/>
      </c>
      <c r="AB4510">
        <f>RAND()</f>
        <v/>
      </c>
      <c r="AC4510">
        <f>RAND()</f>
        <v/>
      </c>
      <c r="AD4510">
        <f>RAND()</f>
        <v/>
      </c>
      <c r="AE4510">
        <f>RAND()</f>
        <v/>
      </c>
      <c r="AF4510">
        <f>RAND()</f>
        <v/>
      </c>
    </row>
    <row r="4511">
      <c r="M4511" s="14">
        <f>_xlfn.BETA.INV($AA4511,1+4*($D$5-$C$5)/($E$5-$C$5),1+4*($E$5-$D$5)/($E$5-$C$5),$C$5,$E$5)</f>
        <v/>
      </c>
      <c r="N4511" s="14">
        <f>IF($AB4511&lt;($D$6-$C$6)/($E$6-$C$6),$C$6+SQRT($AB4511*($E$6-$C$6)*($D$6-$C$6)),$E$6-SQRT((1-$AB4511)*($E$6-$C$6)*($E$6-$D$6)))</f>
        <v/>
      </c>
      <c r="O4511" s="14">
        <f>_xlfn.NORM.INV($AC4511,$C$7,$D$7)</f>
        <v/>
      </c>
      <c r="P4511" s="14">
        <f>$C$8+($D$8-$C$8)*$AD4511</f>
        <v/>
      </c>
      <c r="Q4511" s="14">
        <f>$C$9</f>
        <v/>
      </c>
      <c r="R4511" s="14">
        <f>_xlfn.LOGNORM.INV($AF4511,LN($C$10)-0.5*LN(1+($D$10/$C$10)^2),SQRT(LN(1+($D$10/$C$10)^2)))</f>
        <v/>
      </c>
      <c r="S4511" s="14">
        <f>SUM(M4511:R4511)</f>
        <v/>
      </c>
      <c r="AA4511">
        <f>RAND()</f>
        <v/>
      </c>
      <c r="AB4511">
        <f>RAND()</f>
        <v/>
      </c>
      <c r="AC4511">
        <f>RAND()</f>
        <v/>
      </c>
      <c r="AD4511">
        <f>RAND()</f>
        <v/>
      </c>
      <c r="AE4511">
        <f>RAND()</f>
        <v/>
      </c>
      <c r="AF4511">
        <f>RAND()</f>
        <v/>
      </c>
    </row>
    <row r="4512">
      <c r="M4512" s="14">
        <f>_xlfn.BETA.INV($AA4512,1+4*($D$5-$C$5)/($E$5-$C$5),1+4*($E$5-$D$5)/($E$5-$C$5),$C$5,$E$5)</f>
        <v/>
      </c>
      <c r="N4512" s="14">
        <f>IF($AB4512&lt;($D$6-$C$6)/($E$6-$C$6),$C$6+SQRT($AB4512*($E$6-$C$6)*($D$6-$C$6)),$E$6-SQRT((1-$AB4512)*($E$6-$C$6)*($E$6-$D$6)))</f>
        <v/>
      </c>
      <c r="O4512" s="14">
        <f>_xlfn.NORM.INV($AC4512,$C$7,$D$7)</f>
        <v/>
      </c>
      <c r="P4512" s="14">
        <f>$C$8+($D$8-$C$8)*$AD4512</f>
        <v/>
      </c>
      <c r="Q4512" s="14">
        <f>$C$9</f>
        <v/>
      </c>
      <c r="R4512" s="14">
        <f>_xlfn.LOGNORM.INV($AF4512,LN($C$10)-0.5*LN(1+($D$10/$C$10)^2),SQRT(LN(1+($D$10/$C$10)^2)))</f>
        <v/>
      </c>
      <c r="S4512" s="14">
        <f>SUM(M4512:R4512)</f>
        <v/>
      </c>
      <c r="AA4512">
        <f>RAND()</f>
        <v/>
      </c>
      <c r="AB4512">
        <f>RAND()</f>
        <v/>
      </c>
      <c r="AC4512">
        <f>RAND()</f>
        <v/>
      </c>
      <c r="AD4512">
        <f>RAND()</f>
        <v/>
      </c>
      <c r="AE4512">
        <f>RAND()</f>
        <v/>
      </c>
      <c r="AF4512">
        <f>RAND()</f>
        <v/>
      </c>
    </row>
    <row r="4513">
      <c r="M4513" s="14">
        <f>_xlfn.BETA.INV($AA4513,1+4*($D$5-$C$5)/($E$5-$C$5),1+4*($E$5-$D$5)/($E$5-$C$5),$C$5,$E$5)</f>
        <v/>
      </c>
      <c r="N4513" s="14">
        <f>IF($AB4513&lt;($D$6-$C$6)/($E$6-$C$6),$C$6+SQRT($AB4513*($E$6-$C$6)*($D$6-$C$6)),$E$6-SQRT((1-$AB4513)*($E$6-$C$6)*($E$6-$D$6)))</f>
        <v/>
      </c>
      <c r="O4513" s="14">
        <f>_xlfn.NORM.INV($AC4513,$C$7,$D$7)</f>
        <v/>
      </c>
      <c r="P4513" s="14">
        <f>$C$8+($D$8-$C$8)*$AD4513</f>
        <v/>
      </c>
      <c r="Q4513" s="14">
        <f>$C$9</f>
        <v/>
      </c>
      <c r="R4513" s="14">
        <f>_xlfn.LOGNORM.INV($AF4513,LN($C$10)-0.5*LN(1+($D$10/$C$10)^2),SQRT(LN(1+($D$10/$C$10)^2)))</f>
        <v/>
      </c>
      <c r="S4513" s="14">
        <f>SUM(M4513:R4513)</f>
        <v/>
      </c>
      <c r="AA4513">
        <f>RAND()</f>
        <v/>
      </c>
      <c r="AB4513">
        <f>RAND()</f>
        <v/>
      </c>
      <c r="AC4513">
        <f>RAND()</f>
        <v/>
      </c>
      <c r="AD4513">
        <f>RAND()</f>
        <v/>
      </c>
      <c r="AE4513">
        <f>RAND()</f>
        <v/>
      </c>
      <c r="AF4513">
        <f>RAND()</f>
        <v/>
      </c>
    </row>
    <row r="4514">
      <c r="M4514" s="14">
        <f>_xlfn.BETA.INV($AA4514,1+4*($D$5-$C$5)/($E$5-$C$5),1+4*($E$5-$D$5)/($E$5-$C$5),$C$5,$E$5)</f>
        <v/>
      </c>
      <c r="N4514" s="14">
        <f>IF($AB4514&lt;($D$6-$C$6)/($E$6-$C$6),$C$6+SQRT($AB4514*($E$6-$C$6)*($D$6-$C$6)),$E$6-SQRT((1-$AB4514)*($E$6-$C$6)*($E$6-$D$6)))</f>
        <v/>
      </c>
      <c r="O4514" s="14">
        <f>_xlfn.NORM.INV($AC4514,$C$7,$D$7)</f>
        <v/>
      </c>
      <c r="P4514" s="14">
        <f>$C$8+($D$8-$C$8)*$AD4514</f>
        <v/>
      </c>
      <c r="Q4514" s="14">
        <f>$C$9</f>
        <v/>
      </c>
      <c r="R4514" s="14">
        <f>_xlfn.LOGNORM.INV($AF4514,LN($C$10)-0.5*LN(1+($D$10/$C$10)^2),SQRT(LN(1+($D$10/$C$10)^2)))</f>
        <v/>
      </c>
      <c r="S4514" s="14">
        <f>SUM(M4514:R4514)</f>
        <v/>
      </c>
      <c r="AA4514">
        <f>RAND()</f>
        <v/>
      </c>
      <c r="AB4514">
        <f>RAND()</f>
        <v/>
      </c>
      <c r="AC4514">
        <f>RAND()</f>
        <v/>
      </c>
      <c r="AD4514">
        <f>RAND()</f>
        <v/>
      </c>
      <c r="AE4514">
        <f>RAND()</f>
        <v/>
      </c>
      <c r="AF4514">
        <f>RAND()</f>
        <v/>
      </c>
    </row>
    <row r="4515">
      <c r="M4515" s="14">
        <f>_xlfn.BETA.INV($AA4515,1+4*($D$5-$C$5)/($E$5-$C$5),1+4*($E$5-$D$5)/($E$5-$C$5),$C$5,$E$5)</f>
        <v/>
      </c>
      <c r="N4515" s="14">
        <f>IF($AB4515&lt;($D$6-$C$6)/($E$6-$C$6),$C$6+SQRT($AB4515*($E$6-$C$6)*($D$6-$C$6)),$E$6-SQRT((1-$AB4515)*($E$6-$C$6)*($E$6-$D$6)))</f>
        <v/>
      </c>
      <c r="O4515" s="14">
        <f>_xlfn.NORM.INV($AC4515,$C$7,$D$7)</f>
        <v/>
      </c>
      <c r="P4515" s="14">
        <f>$C$8+($D$8-$C$8)*$AD4515</f>
        <v/>
      </c>
      <c r="Q4515" s="14">
        <f>$C$9</f>
        <v/>
      </c>
      <c r="R4515" s="14">
        <f>_xlfn.LOGNORM.INV($AF4515,LN($C$10)-0.5*LN(1+($D$10/$C$10)^2),SQRT(LN(1+($D$10/$C$10)^2)))</f>
        <v/>
      </c>
      <c r="S4515" s="14">
        <f>SUM(M4515:R4515)</f>
        <v/>
      </c>
      <c r="AA4515">
        <f>RAND()</f>
        <v/>
      </c>
      <c r="AB4515">
        <f>RAND()</f>
        <v/>
      </c>
      <c r="AC4515">
        <f>RAND()</f>
        <v/>
      </c>
      <c r="AD4515">
        <f>RAND()</f>
        <v/>
      </c>
      <c r="AE4515">
        <f>RAND()</f>
        <v/>
      </c>
      <c r="AF4515">
        <f>RAND()</f>
        <v/>
      </c>
    </row>
    <row r="4516">
      <c r="M4516" s="14">
        <f>_xlfn.BETA.INV($AA4516,1+4*($D$5-$C$5)/($E$5-$C$5),1+4*($E$5-$D$5)/($E$5-$C$5),$C$5,$E$5)</f>
        <v/>
      </c>
      <c r="N4516" s="14">
        <f>IF($AB4516&lt;($D$6-$C$6)/($E$6-$C$6),$C$6+SQRT($AB4516*($E$6-$C$6)*($D$6-$C$6)),$E$6-SQRT((1-$AB4516)*($E$6-$C$6)*($E$6-$D$6)))</f>
        <v/>
      </c>
      <c r="O4516" s="14">
        <f>_xlfn.NORM.INV($AC4516,$C$7,$D$7)</f>
        <v/>
      </c>
      <c r="P4516" s="14">
        <f>$C$8+($D$8-$C$8)*$AD4516</f>
        <v/>
      </c>
      <c r="Q4516" s="14">
        <f>$C$9</f>
        <v/>
      </c>
      <c r="R4516" s="14">
        <f>_xlfn.LOGNORM.INV($AF4516,LN($C$10)-0.5*LN(1+($D$10/$C$10)^2),SQRT(LN(1+($D$10/$C$10)^2)))</f>
        <v/>
      </c>
      <c r="S4516" s="14">
        <f>SUM(M4516:R4516)</f>
        <v/>
      </c>
      <c r="AA4516">
        <f>RAND()</f>
        <v/>
      </c>
      <c r="AB4516">
        <f>RAND()</f>
        <v/>
      </c>
      <c r="AC4516">
        <f>RAND()</f>
        <v/>
      </c>
      <c r="AD4516">
        <f>RAND()</f>
        <v/>
      </c>
      <c r="AE4516">
        <f>RAND()</f>
        <v/>
      </c>
      <c r="AF4516">
        <f>RAND()</f>
        <v/>
      </c>
    </row>
    <row r="4517">
      <c r="M4517" s="14">
        <f>_xlfn.BETA.INV($AA4517,1+4*($D$5-$C$5)/($E$5-$C$5),1+4*($E$5-$D$5)/($E$5-$C$5),$C$5,$E$5)</f>
        <v/>
      </c>
      <c r="N4517" s="14">
        <f>IF($AB4517&lt;($D$6-$C$6)/($E$6-$C$6),$C$6+SQRT($AB4517*($E$6-$C$6)*($D$6-$C$6)),$E$6-SQRT((1-$AB4517)*($E$6-$C$6)*($E$6-$D$6)))</f>
        <v/>
      </c>
      <c r="O4517" s="14">
        <f>_xlfn.NORM.INV($AC4517,$C$7,$D$7)</f>
        <v/>
      </c>
      <c r="P4517" s="14">
        <f>$C$8+($D$8-$C$8)*$AD4517</f>
        <v/>
      </c>
      <c r="Q4517" s="14">
        <f>$C$9</f>
        <v/>
      </c>
      <c r="R4517" s="14">
        <f>_xlfn.LOGNORM.INV($AF4517,LN($C$10)-0.5*LN(1+($D$10/$C$10)^2),SQRT(LN(1+($D$10/$C$10)^2)))</f>
        <v/>
      </c>
      <c r="S4517" s="14">
        <f>SUM(M4517:R4517)</f>
        <v/>
      </c>
      <c r="AA4517">
        <f>RAND()</f>
        <v/>
      </c>
      <c r="AB4517">
        <f>RAND()</f>
        <v/>
      </c>
      <c r="AC4517">
        <f>RAND()</f>
        <v/>
      </c>
      <c r="AD4517">
        <f>RAND()</f>
        <v/>
      </c>
      <c r="AE4517">
        <f>RAND()</f>
        <v/>
      </c>
      <c r="AF4517">
        <f>RAND()</f>
        <v/>
      </c>
    </row>
    <row r="4518">
      <c r="M4518" s="14">
        <f>_xlfn.BETA.INV($AA4518,1+4*($D$5-$C$5)/($E$5-$C$5),1+4*($E$5-$D$5)/($E$5-$C$5),$C$5,$E$5)</f>
        <v/>
      </c>
      <c r="N4518" s="14">
        <f>IF($AB4518&lt;($D$6-$C$6)/($E$6-$C$6),$C$6+SQRT($AB4518*($E$6-$C$6)*($D$6-$C$6)),$E$6-SQRT((1-$AB4518)*($E$6-$C$6)*($E$6-$D$6)))</f>
        <v/>
      </c>
      <c r="O4518" s="14">
        <f>_xlfn.NORM.INV($AC4518,$C$7,$D$7)</f>
        <v/>
      </c>
      <c r="P4518" s="14">
        <f>$C$8+($D$8-$C$8)*$AD4518</f>
        <v/>
      </c>
      <c r="Q4518" s="14">
        <f>$C$9</f>
        <v/>
      </c>
      <c r="R4518" s="14">
        <f>_xlfn.LOGNORM.INV($AF4518,LN($C$10)-0.5*LN(1+($D$10/$C$10)^2),SQRT(LN(1+($D$10/$C$10)^2)))</f>
        <v/>
      </c>
      <c r="S4518" s="14">
        <f>SUM(M4518:R4518)</f>
        <v/>
      </c>
      <c r="AA4518">
        <f>RAND()</f>
        <v/>
      </c>
      <c r="AB4518">
        <f>RAND()</f>
        <v/>
      </c>
      <c r="AC4518">
        <f>RAND()</f>
        <v/>
      </c>
      <c r="AD4518">
        <f>RAND()</f>
        <v/>
      </c>
      <c r="AE4518">
        <f>RAND()</f>
        <v/>
      </c>
      <c r="AF4518">
        <f>RAND()</f>
        <v/>
      </c>
    </row>
    <row r="4519">
      <c r="M4519" s="14">
        <f>_xlfn.BETA.INV($AA4519,1+4*($D$5-$C$5)/($E$5-$C$5),1+4*($E$5-$D$5)/($E$5-$C$5),$C$5,$E$5)</f>
        <v/>
      </c>
      <c r="N4519" s="14">
        <f>IF($AB4519&lt;($D$6-$C$6)/($E$6-$C$6),$C$6+SQRT($AB4519*($E$6-$C$6)*($D$6-$C$6)),$E$6-SQRT((1-$AB4519)*($E$6-$C$6)*($E$6-$D$6)))</f>
        <v/>
      </c>
      <c r="O4519" s="14">
        <f>_xlfn.NORM.INV($AC4519,$C$7,$D$7)</f>
        <v/>
      </c>
      <c r="P4519" s="14">
        <f>$C$8+($D$8-$C$8)*$AD4519</f>
        <v/>
      </c>
      <c r="Q4519" s="14">
        <f>$C$9</f>
        <v/>
      </c>
      <c r="R4519" s="14">
        <f>_xlfn.LOGNORM.INV($AF4519,LN($C$10)-0.5*LN(1+($D$10/$C$10)^2),SQRT(LN(1+($D$10/$C$10)^2)))</f>
        <v/>
      </c>
      <c r="S4519" s="14">
        <f>SUM(M4519:R4519)</f>
        <v/>
      </c>
      <c r="AA4519">
        <f>RAND()</f>
        <v/>
      </c>
      <c r="AB4519">
        <f>RAND()</f>
        <v/>
      </c>
      <c r="AC4519">
        <f>RAND()</f>
        <v/>
      </c>
      <c r="AD4519">
        <f>RAND()</f>
        <v/>
      </c>
      <c r="AE4519">
        <f>RAND()</f>
        <v/>
      </c>
      <c r="AF4519">
        <f>RAND()</f>
        <v/>
      </c>
    </row>
    <row r="4520">
      <c r="M4520" s="14">
        <f>_xlfn.BETA.INV($AA4520,1+4*($D$5-$C$5)/($E$5-$C$5),1+4*($E$5-$D$5)/($E$5-$C$5),$C$5,$E$5)</f>
        <v/>
      </c>
      <c r="N4520" s="14">
        <f>IF($AB4520&lt;($D$6-$C$6)/($E$6-$C$6),$C$6+SQRT($AB4520*($E$6-$C$6)*($D$6-$C$6)),$E$6-SQRT((1-$AB4520)*($E$6-$C$6)*($E$6-$D$6)))</f>
        <v/>
      </c>
      <c r="O4520" s="14">
        <f>_xlfn.NORM.INV($AC4520,$C$7,$D$7)</f>
        <v/>
      </c>
      <c r="P4520" s="14">
        <f>$C$8+($D$8-$C$8)*$AD4520</f>
        <v/>
      </c>
      <c r="Q4520" s="14">
        <f>$C$9</f>
        <v/>
      </c>
      <c r="R4520" s="14">
        <f>_xlfn.LOGNORM.INV($AF4520,LN($C$10)-0.5*LN(1+($D$10/$C$10)^2),SQRT(LN(1+($D$10/$C$10)^2)))</f>
        <v/>
      </c>
      <c r="S4520" s="14">
        <f>SUM(M4520:R4520)</f>
        <v/>
      </c>
      <c r="AA4520">
        <f>RAND()</f>
        <v/>
      </c>
      <c r="AB4520">
        <f>RAND()</f>
        <v/>
      </c>
      <c r="AC4520">
        <f>RAND()</f>
        <v/>
      </c>
      <c r="AD4520">
        <f>RAND()</f>
        <v/>
      </c>
      <c r="AE4520">
        <f>RAND()</f>
        <v/>
      </c>
      <c r="AF4520">
        <f>RAND()</f>
        <v/>
      </c>
    </row>
    <row r="4521">
      <c r="M4521" s="14">
        <f>_xlfn.BETA.INV($AA4521,1+4*($D$5-$C$5)/($E$5-$C$5),1+4*($E$5-$D$5)/($E$5-$C$5),$C$5,$E$5)</f>
        <v/>
      </c>
      <c r="N4521" s="14">
        <f>IF($AB4521&lt;($D$6-$C$6)/($E$6-$C$6),$C$6+SQRT($AB4521*($E$6-$C$6)*($D$6-$C$6)),$E$6-SQRT((1-$AB4521)*($E$6-$C$6)*($E$6-$D$6)))</f>
        <v/>
      </c>
      <c r="O4521" s="14">
        <f>_xlfn.NORM.INV($AC4521,$C$7,$D$7)</f>
        <v/>
      </c>
      <c r="P4521" s="14">
        <f>$C$8+($D$8-$C$8)*$AD4521</f>
        <v/>
      </c>
      <c r="Q4521" s="14">
        <f>$C$9</f>
        <v/>
      </c>
      <c r="R4521" s="14">
        <f>_xlfn.LOGNORM.INV($AF4521,LN($C$10)-0.5*LN(1+($D$10/$C$10)^2),SQRT(LN(1+($D$10/$C$10)^2)))</f>
        <v/>
      </c>
      <c r="S4521" s="14">
        <f>SUM(M4521:R4521)</f>
        <v/>
      </c>
      <c r="AA4521">
        <f>RAND()</f>
        <v/>
      </c>
      <c r="AB4521">
        <f>RAND()</f>
        <v/>
      </c>
      <c r="AC4521">
        <f>RAND()</f>
        <v/>
      </c>
      <c r="AD4521">
        <f>RAND()</f>
        <v/>
      </c>
      <c r="AE4521">
        <f>RAND()</f>
        <v/>
      </c>
      <c r="AF4521">
        <f>RAND()</f>
        <v/>
      </c>
    </row>
    <row r="4522">
      <c r="M4522" s="14">
        <f>_xlfn.BETA.INV($AA4522,1+4*($D$5-$C$5)/($E$5-$C$5),1+4*($E$5-$D$5)/($E$5-$C$5),$C$5,$E$5)</f>
        <v/>
      </c>
      <c r="N4522" s="14">
        <f>IF($AB4522&lt;($D$6-$C$6)/($E$6-$C$6),$C$6+SQRT($AB4522*($E$6-$C$6)*($D$6-$C$6)),$E$6-SQRT((1-$AB4522)*($E$6-$C$6)*($E$6-$D$6)))</f>
        <v/>
      </c>
      <c r="O4522" s="14">
        <f>_xlfn.NORM.INV($AC4522,$C$7,$D$7)</f>
        <v/>
      </c>
      <c r="P4522" s="14">
        <f>$C$8+($D$8-$C$8)*$AD4522</f>
        <v/>
      </c>
      <c r="Q4522" s="14">
        <f>$C$9</f>
        <v/>
      </c>
      <c r="R4522" s="14">
        <f>_xlfn.LOGNORM.INV($AF4522,LN($C$10)-0.5*LN(1+($D$10/$C$10)^2),SQRT(LN(1+($D$10/$C$10)^2)))</f>
        <v/>
      </c>
      <c r="S4522" s="14">
        <f>SUM(M4522:R4522)</f>
        <v/>
      </c>
      <c r="AA4522">
        <f>RAND()</f>
        <v/>
      </c>
      <c r="AB4522">
        <f>RAND()</f>
        <v/>
      </c>
      <c r="AC4522">
        <f>RAND()</f>
        <v/>
      </c>
      <c r="AD4522">
        <f>RAND()</f>
        <v/>
      </c>
      <c r="AE4522">
        <f>RAND()</f>
        <v/>
      </c>
      <c r="AF4522">
        <f>RAND()</f>
        <v/>
      </c>
    </row>
    <row r="4523">
      <c r="M4523" s="14">
        <f>_xlfn.BETA.INV($AA4523,1+4*($D$5-$C$5)/($E$5-$C$5),1+4*($E$5-$D$5)/($E$5-$C$5),$C$5,$E$5)</f>
        <v/>
      </c>
      <c r="N4523" s="14">
        <f>IF($AB4523&lt;($D$6-$C$6)/($E$6-$C$6),$C$6+SQRT($AB4523*($E$6-$C$6)*($D$6-$C$6)),$E$6-SQRT((1-$AB4523)*($E$6-$C$6)*($E$6-$D$6)))</f>
        <v/>
      </c>
      <c r="O4523" s="14">
        <f>_xlfn.NORM.INV($AC4523,$C$7,$D$7)</f>
        <v/>
      </c>
      <c r="P4523" s="14">
        <f>$C$8+($D$8-$C$8)*$AD4523</f>
        <v/>
      </c>
      <c r="Q4523" s="14">
        <f>$C$9</f>
        <v/>
      </c>
      <c r="R4523" s="14">
        <f>_xlfn.LOGNORM.INV($AF4523,LN($C$10)-0.5*LN(1+($D$10/$C$10)^2),SQRT(LN(1+($D$10/$C$10)^2)))</f>
        <v/>
      </c>
      <c r="S4523" s="14">
        <f>SUM(M4523:R4523)</f>
        <v/>
      </c>
      <c r="AA4523">
        <f>RAND()</f>
        <v/>
      </c>
      <c r="AB4523">
        <f>RAND()</f>
        <v/>
      </c>
      <c r="AC4523">
        <f>RAND()</f>
        <v/>
      </c>
      <c r="AD4523">
        <f>RAND()</f>
        <v/>
      </c>
      <c r="AE4523">
        <f>RAND()</f>
        <v/>
      </c>
      <c r="AF4523">
        <f>RAND()</f>
        <v/>
      </c>
    </row>
    <row r="4524">
      <c r="M4524" s="14">
        <f>_xlfn.BETA.INV($AA4524,1+4*($D$5-$C$5)/($E$5-$C$5),1+4*($E$5-$D$5)/($E$5-$C$5),$C$5,$E$5)</f>
        <v/>
      </c>
      <c r="N4524" s="14">
        <f>IF($AB4524&lt;($D$6-$C$6)/($E$6-$C$6),$C$6+SQRT($AB4524*($E$6-$C$6)*($D$6-$C$6)),$E$6-SQRT((1-$AB4524)*($E$6-$C$6)*($E$6-$D$6)))</f>
        <v/>
      </c>
      <c r="O4524" s="14">
        <f>_xlfn.NORM.INV($AC4524,$C$7,$D$7)</f>
        <v/>
      </c>
      <c r="P4524" s="14">
        <f>$C$8+($D$8-$C$8)*$AD4524</f>
        <v/>
      </c>
      <c r="Q4524" s="14">
        <f>$C$9</f>
        <v/>
      </c>
      <c r="R4524" s="14">
        <f>_xlfn.LOGNORM.INV($AF4524,LN($C$10)-0.5*LN(1+($D$10/$C$10)^2),SQRT(LN(1+($D$10/$C$10)^2)))</f>
        <v/>
      </c>
      <c r="S4524" s="14">
        <f>SUM(M4524:R4524)</f>
        <v/>
      </c>
      <c r="AA4524">
        <f>RAND()</f>
        <v/>
      </c>
      <c r="AB4524">
        <f>RAND()</f>
        <v/>
      </c>
      <c r="AC4524">
        <f>RAND()</f>
        <v/>
      </c>
      <c r="AD4524">
        <f>RAND()</f>
        <v/>
      </c>
      <c r="AE4524">
        <f>RAND()</f>
        <v/>
      </c>
      <c r="AF4524">
        <f>RAND()</f>
        <v/>
      </c>
    </row>
    <row r="4525">
      <c r="M4525" s="14">
        <f>_xlfn.BETA.INV($AA4525,1+4*($D$5-$C$5)/($E$5-$C$5),1+4*($E$5-$D$5)/($E$5-$C$5),$C$5,$E$5)</f>
        <v/>
      </c>
      <c r="N4525" s="14">
        <f>IF($AB4525&lt;($D$6-$C$6)/($E$6-$C$6),$C$6+SQRT($AB4525*($E$6-$C$6)*($D$6-$C$6)),$E$6-SQRT((1-$AB4525)*($E$6-$C$6)*($E$6-$D$6)))</f>
        <v/>
      </c>
      <c r="O4525" s="14">
        <f>_xlfn.NORM.INV($AC4525,$C$7,$D$7)</f>
        <v/>
      </c>
      <c r="P4525" s="14">
        <f>$C$8+($D$8-$C$8)*$AD4525</f>
        <v/>
      </c>
      <c r="Q4525" s="14">
        <f>$C$9</f>
        <v/>
      </c>
      <c r="R4525" s="14">
        <f>_xlfn.LOGNORM.INV($AF4525,LN($C$10)-0.5*LN(1+($D$10/$C$10)^2),SQRT(LN(1+($D$10/$C$10)^2)))</f>
        <v/>
      </c>
      <c r="S4525" s="14">
        <f>SUM(M4525:R4525)</f>
        <v/>
      </c>
      <c r="AA4525">
        <f>RAND()</f>
        <v/>
      </c>
      <c r="AB4525">
        <f>RAND()</f>
        <v/>
      </c>
      <c r="AC4525">
        <f>RAND()</f>
        <v/>
      </c>
      <c r="AD4525">
        <f>RAND()</f>
        <v/>
      </c>
      <c r="AE4525">
        <f>RAND()</f>
        <v/>
      </c>
      <c r="AF4525">
        <f>RAND()</f>
        <v/>
      </c>
    </row>
    <row r="4526">
      <c r="M4526" s="14">
        <f>_xlfn.BETA.INV($AA4526,1+4*($D$5-$C$5)/($E$5-$C$5),1+4*($E$5-$D$5)/($E$5-$C$5),$C$5,$E$5)</f>
        <v/>
      </c>
      <c r="N4526" s="14">
        <f>IF($AB4526&lt;($D$6-$C$6)/($E$6-$C$6),$C$6+SQRT($AB4526*($E$6-$C$6)*($D$6-$C$6)),$E$6-SQRT((1-$AB4526)*($E$6-$C$6)*($E$6-$D$6)))</f>
        <v/>
      </c>
      <c r="O4526" s="14">
        <f>_xlfn.NORM.INV($AC4526,$C$7,$D$7)</f>
        <v/>
      </c>
      <c r="P4526" s="14">
        <f>$C$8+($D$8-$C$8)*$AD4526</f>
        <v/>
      </c>
      <c r="Q4526" s="14">
        <f>$C$9</f>
        <v/>
      </c>
      <c r="R4526" s="14">
        <f>_xlfn.LOGNORM.INV($AF4526,LN($C$10)-0.5*LN(1+($D$10/$C$10)^2),SQRT(LN(1+($D$10/$C$10)^2)))</f>
        <v/>
      </c>
      <c r="S4526" s="14">
        <f>SUM(M4526:R4526)</f>
        <v/>
      </c>
      <c r="AA4526">
        <f>RAND()</f>
        <v/>
      </c>
      <c r="AB4526">
        <f>RAND()</f>
        <v/>
      </c>
      <c r="AC4526">
        <f>RAND()</f>
        <v/>
      </c>
      <c r="AD4526">
        <f>RAND()</f>
        <v/>
      </c>
      <c r="AE4526">
        <f>RAND()</f>
        <v/>
      </c>
      <c r="AF4526">
        <f>RAND()</f>
        <v/>
      </c>
    </row>
    <row r="4527">
      <c r="M4527" s="14">
        <f>_xlfn.BETA.INV($AA4527,1+4*($D$5-$C$5)/($E$5-$C$5),1+4*($E$5-$D$5)/($E$5-$C$5),$C$5,$E$5)</f>
        <v/>
      </c>
      <c r="N4527" s="14">
        <f>IF($AB4527&lt;($D$6-$C$6)/($E$6-$C$6),$C$6+SQRT($AB4527*($E$6-$C$6)*($D$6-$C$6)),$E$6-SQRT((1-$AB4527)*($E$6-$C$6)*($E$6-$D$6)))</f>
        <v/>
      </c>
      <c r="O4527" s="14">
        <f>_xlfn.NORM.INV($AC4527,$C$7,$D$7)</f>
        <v/>
      </c>
      <c r="P4527" s="14">
        <f>$C$8+($D$8-$C$8)*$AD4527</f>
        <v/>
      </c>
      <c r="Q4527" s="14">
        <f>$C$9</f>
        <v/>
      </c>
      <c r="R4527" s="14">
        <f>_xlfn.LOGNORM.INV($AF4527,LN($C$10)-0.5*LN(1+($D$10/$C$10)^2),SQRT(LN(1+($D$10/$C$10)^2)))</f>
        <v/>
      </c>
      <c r="S4527" s="14">
        <f>SUM(M4527:R4527)</f>
        <v/>
      </c>
      <c r="AA4527">
        <f>RAND()</f>
        <v/>
      </c>
      <c r="AB4527">
        <f>RAND()</f>
        <v/>
      </c>
      <c r="AC4527">
        <f>RAND()</f>
        <v/>
      </c>
      <c r="AD4527">
        <f>RAND()</f>
        <v/>
      </c>
      <c r="AE4527">
        <f>RAND()</f>
        <v/>
      </c>
      <c r="AF4527">
        <f>RAND()</f>
        <v/>
      </c>
    </row>
    <row r="4528">
      <c r="M4528" s="14">
        <f>_xlfn.BETA.INV($AA4528,1+4*($D$5-$C$5)/($E$5-$C$5),1+4*($E$5-$D$5)/($E$5-$C$5),$C$5,$E$5)</f>
        <v/>
      </c>
      <c r="N4528" s="14">
        <f>IF($AB4528&lt;($D$6-$C$6)/($E$6-$C$6),$C$6+SQRT($AB4528*($E$6-$C$6)*($D$6-$C$6)),$E$6-SQRT((1-$AB4528)*($E$6-$C$6)*($E$6-$D$6)))</f>
        <v/>
      </c>
      <c r="O4528" s="14">
        <f>_xlfn.NORM.INV($AC4528,$C$7,$D$7)</f>
        <v/>
      </c>
      <c r="P4528" s="14">
        <f>$C$8+($D$8-$C$8)*$AD4528</f>
        <v/>
      </c>
      <c r="Q4528" s="14">
        <f>$C$9</f>
        <v/>
      </c>
      <c r="R4528" s="14">
        <f>_xlfn.LOGNORM.INV($AF4528,LN($C$10)-0.5*LN(1+($D$10/$C$10)^2),SQRT(LN(1+($D$10/$C$10)^2)))</f>
        <v/>
      </c>
      <c r="S4528" s="14">
        <f>SUM(M4528:R4528)</f>
        <v/>
      </c>
      <c r="AA4528">
        <f>RAND()</f>
        <v/>
      </c>
      <c r="AB4528">
        <f>RAND()</f>
        <v/>
      </c>
      <c r="AC4528">
        <f>RAND()</f>
        <v/>
      </c>
      <c r="AD4528">
        <f>RAND()</f>
        <v/>
      </c>
      <c r="AE4528">
        <f>RAND()</f>
        <v/>
      </c>
      <c r="AF4528">
        <f>RAND()</f>
        <v/>
      </c>
    </row>
    <row r="4529">
      <c r="M4529" s="14">
        <f>_xlfn.BETA.INV($AA4529,1+4*($D$5-$C$5)/($E$5-$C$5),1+4*($E$5-$D$5)/($E$5-$C$5),$C$5,$E$5)</f>
        <v/>
      </c>
      <c r="N4529" s="14">
        <f>IF($AB4529&lt;($D$6-$C$6)/($E$6-$C$6),$C$6+SQRT($AB4529*($E$6-$C$6)*($D$6-$C$6)),$E$6-SQRT((1-$AB4529)*($E$6-$C$6)*($E$6-$D$6)))</f>
        <v/>
      </c>
      <c r="O4529" s="14">
        <f>_xlfn.NORM.INV($AC4529,$C$7,$D$7)</f>
        <v/>
      </c>
      <c r="P4529" s="14">
        <f>$C$8+($D$8-$C$8)*$AD4529</f>
        <v/>
      </c>
      <c r="Q4529" s="14">
        <f>$C$9</f>
        <v/>
      </c>
      <c r="R4529" s="14">
        <f>_xlfn.LOGNORM.INV($AF4529,LN($C$10)-0.5*LN(1+($D$10/$C$10)^2),SQRT(LN(1+($D$10/$C$10)^2)))</f>
        <v/>
      </c>
      <c r="S4529" s="14">
        <f>SUM(M4529:R4529)</f>
        <v/>
      </c>
      <c r="AA4529">
        <f>RAND()</f>
        <v/>
      </c>
      <c r="AB4529">
        <f>RAND()</f>
        <v/>
      </c>
      <c r="AC4529">
        <f>RAND()</f>
        <v/>
      </c>
      <c r="AD4529">
        <f>RAND()</f>
        <v/>
      </c>
      <c r="AE4529">
        <f>RAND()</f>
        <v/>
      </c>
      <c r="AF4529">
        <f>RAND()</f>
        <v/>
      </c>
    </row>
    <row r="4530">
      <c r="M4530" s="14">
        <f>_xlfn.BETA.INV($AA4530,1+4*($D$5-$C$5)/($E$5-$C$5),1+4*($E$5-$D$5)/($E$5-$C$5),$C$5,$E$5)</f>
        <v/>
      </c>
      <c r="N4530" s="14">
        <f>IF($AB4530&lt;($D$6-$C$6)/($E$6-$C$6),$C$6+SQRT($AB4530*($E$6-$C$6)*($D$6-$C$6)),$E$6-SQRT((1-$AB4530)*($E$6-$C$6)*($E$6-$D$6)))</f>
        <v/>
      </c>
      <c r="O4530" s="14">
        <f>_xlfn.NORM.INV($AC4530,$C$7,$D$7)</f>
        <v/>
      </c>
      <c r="P4530" s="14">
        <f>$C$8+($D$8-$C$8)*$AD4530</f>
        <v/>
      </c>
      <c r="Q4530" s="14">
        <f>$C$9</f>
        <v/>
      </c>
      <c r="R4530" s="14">
        <f>_xlfn.LOGNORM.INV($AF4530,LN($C$10)-0.5*LN(1+($D$10/$C$10)^2),SQRT(LN(1+($D$10/$C$10)^2)))</f>
        <v/>
      </c>
      <c r="S4530" s="14">
        <f>SUM(M4530:R4530)</f>
        <v/>
      </c>
      <c r="AA4530">
        <f>RAND()</f>
        <v/>
      </c>
      <c r="AB4530">
        <f>RAND()</f>
        <v/>
      </c>
      <c r="AC4530">
        <f>RAND()</f>
        <v/>
      </c>
      <c r="AD4530">
        <f>RAND()</f>
        <v/>
      </c>
      <c r="AE4530">
        <f>RAND()</f>
        <v/>
      </c>
      <c r="AF4530">
        <f>RAND()</f>
        <v/>
      </c>
    </row>
    <row r="4531">
      <c r="M4531" s="14">
        <f>_xlfn.BETA.INV($AA4531,1+4*($D$5-$C$5)/($E$5-$C$5),1+4*($E$5-$D$5)/($E$5-$C$5),$C$5,$E$5)</f>
        <v/>
      </c>
      <c r="N4531" s="14">
        <f>IF($AB4531&lt;($D$6-$C$6)/($E$6-$C$6),$C$6+SQRT($AB4531*($E$6-$C$6)*($D$6-$C$6)),$E$6-SQRT((1-$AB4531)*($E$6-$C$6)*($E$6-$D$6)))</f>
        <v/>
      </c>
      <c r="O4531" s="14">
        <f>_xlfn.NORM.INV($AC4531,$C$7,$D$7)</f>
        <v/>
      </c>
      <c r="P4531" s="14">
        <f>$C$8+($D$8-$C$8)*$AD4531</f>
        <v/>
      </c>
      <c r="Q4531" s="14">
        <f>$C$9</f>
        <v/>
      </c>
      <c r="R4531" s="14">
        <f>_xlfn.LOGNORM.INV($AF4531,LN($C$10)-0.5*LN(1+($D$10/$C$10)^2),SQRT(LN(1+($D$10/$C$10)^2)))</f>
        <v/>
      </c>
      <c r="S4531" s="14">
        <f>SUM(M4531:R4531)</f>
        <v/>
      </c>
      <c r="AA4531">
        <f>RAND()</f>
        <v/>
      </c>
      <c r="AB4531">
        <f>RAND()</f>
        <v/>
      </c>
      <c r="AC4531">
        <f>RAND()</f>
        <v/>
      </c>
      <c r="AD4531">
        <f>RAND()</f>
        <v/>
      </c>
      <c r="AE4531">
        <f>RAND()</f>
        <v/>
      </c>
      <c r="AF4531">
        <f>RAND()</f>
        <v/>
      </c>
    </row>
    <row r="4532">
      <c r="M4532" s="14">
        <f>_xlfn.BETA.INV($AA4532,1+4*($D$5-$C$5)/($E$5-$C$5),1+4*($E$5-$D$5)/($E$5-$C$5),$C$5,$E$5)</f>
        <v/>
      </c>
      <c r="N4532" s="14">
        <f>IF($AB4532&lt;($D$6-$C$6)/($E$6-$C$6),$C$6+SQRT($AB4532*($E$6-$C$6)*($D$6-$C$6)),$E$6-SQRT((1-$AB4532)*($E$6-$C$6)*($E$6-$D$6)))</f>
        <v/>
      </c>
      <c r="O4532" s="14">
        <f>_xlfn.NORM.INV($AC4532,$C$7,$D$7)</f>
        <v/>
      </c>
      <c r="P4532" s="14">
        <f>$C$8+($D$8-$C$8)*$AD4532</f>
        <v/>
      </c>
      <c r="Q4532" s="14">
        <f>$C$9</f>
        <v/>
      </c>
      <c r="R4532" s="14">
        <f>_xlfn.LOGNORM.INV($AF4532,LN($C$10)-0.5*LN(1+($D$10/$C$10)^2),SQRT(LN(1+($D$10/$C$10)^2)))</f>
        <v/>
      </c>
      <c r="S4532" s="14">
        <f>SUM(M4532:R4532)</f>
        <v/>
      </c>
      <c r="AA4532">
        <f>RAND()</f>
        <v/>
      </c>
      <c r="AB4532">
        <f>RAND()</f>
        <v/>
      </c>
      <c r="AC4532">
        <f>RAND()</f>
        <v/>
      </c>
      <c r="AD4532">
        <f>RAND()</f>
        <v/>
      </c>
      <c r="AE4532">
        <f>RAND()</f>
        <v/>
      </c>
      <c r="AF4532">
        <f>RAND()</f>
        <v/>
      </c>
    </row>
    <row r="4533">
      <c r="M4533" s="14">
        <f>_xlfn.BETA.INV($AA4533,1+4*($D$5-$C$5)/($E$5-$C$5),1+4*($E$5-$D$5)/($E$5-$C$5),$C$5,$E$5)</f>
        <v/>
      </c>
      <c r="N4533" s="14">
        <f>IF($AB4533&lt;($D$6-$C$6)/($E$6-$C$6),$C$6+SQRT($AB4533*($E$6-$C$6)*($D$6-$C$6)),$E$6-SQRT((1-$AB4533)*($E$6-$C$6)*($E$6-$D$6)))</f>
        <v/>
      </c>
      <c r="O4533" s="14">
        <f>_xlfn.NORM.INV($AC4533,$C$7,$D$7)</f>
        <v/>
      </c>
      <c r="P4533" s="14">
        <f>$C$8+($D$8-$C$8)*$AD4533</f>
        <v/>
      </c>
      <c r="Q4533" s="14">
        <f>$C$9</f>
        <v/>
      </c>
      <c r="R4533" s="14">
        <f>_xlfn.LOGNORM.INV($AF4533,LN($C$10)-0.5*LN(1+($D$10/$C$10)^2),SQRT(LN(1+($D$10/$C$10)^2)))</f>
        <v/>
      </c>
      <c r="S4533" s="14">
        <f>SUM(M4533:R4533)</f>
        <v/>
      </c>
      <c r="AA4533">
        <f>RAND()</f>
        <v/>
      </c>
      <c r="AB4533">
        <f>RAND()</f>
        <v/>
      </c>
      <c r="AC4533">
        <f>RAND()</f>
        <v/>
      </c>
      <c r="AD4533">
        <f>RAND()</f>
        <v/>
      </c>
      <c r="AE4533">
        <f>RAND()</f>
        <v/>
      </c>
      <c r="AF4533">
        <f>RAND()</f>
        <v/>
      </c>
    </row>
    <row r="4534">
      <c r="M4534" s="14">
        <f>_xlfn.BETA.INV($AA4534,1+4*($D$5-$C$5)/($E$5-$C$5),1+4*($E$5-$D$5)/($E$5-$C$5),$C$5,$E$5)</f>
        <v/>
      </c>
      <c r="N4534" s="14">
        <f>IF($AB4534&lt;($D$6-$C$6)/($E$6-$C$6),$C$6+SQRT($AB4534*($E$6-$C$6)*($D$6-$C$6)),$E$6-SQRT((1-$AB4534)*($E$6-$C$6)*($E$6-$D$6)))</f>
        <v/>
      </c>
      <c r="O4534" s="14">
        <f>_xlfn.NORM.INV($AC4534,$C$7,$D$7)</f>
        <v/>
      </c>
      <c r="P4534" s="14">
        <f>$C$8+($D$8-$C$8)*$AD4534</f>
        <v/>
      </c>
      <c r="Q4534" s="14">
        <f>$C$9</f>
        <v/>
      </c>
      <c r="R4534" s="14">
        <f>_xlfn.LOGNORM.INV($AF4534,LN($C$10)-0.5*LN(1+($D$10/$C$10)^2),SQRT(LN(1+($D$10/$C$10)^2)))</f>
        <v/>
      </c>
      <c r="S4534" s="14">
        <f>SUM(M4534:R4534)</f>
        <v/>
      </c>
      <c r="AA4534">
        <f>RAND()</f>
        <v/>
      </c>
      <c r="AB4534">
        <f>RAND()</f>
        <v/>
      </c>
      <c r="AC4534">
        <f>RAND()</f>
        <v/>
      </c>
      <c r="AD4534">
        <f>RAND()</f>
        <v/>
      </c>
      <c r="AE4534">
        <f>RAND()</f>
        <v/>
      </c>
      <c r="AF4534">
        <f>RAND()</f>
        <v/>
      </c>
    </row>
    <row r="4535">
      <c r="M4535" s="14">
        <f>_xlfn.BETA.INV($AA4535,1+4*($D$5-$C$5)/($E$5-$C$5),1+4*($E$5-$D$5)/($E$5-$C$5),$C$5,$E$5)</f>
        <v/>
      </c>
      <c r="N4535" s="14">
        <f>IF($AB4535&lt;($D$6-$C$6)/($E$6-$C$6),$C$6+SQRT($AB4535*($E$6-$C$6)*($D$6-$C$6)),$E$6-SQRT((1-$AB4535)*($E$6-$C$6)*($E$6-$D$6)))</f>
        <v/>
      </c>
      <c r="O4535" s="14">
        <f>_xlfn.NORM.INV($AC4535,$C$7,$D$7)</f>
        <v/>
      </c>
      <c r="P4535" s="14">
        <f>$C$8+($D$8-$C$8)*$AD4535</f>
        <v/>
      </c>
      <c r="Q4535" s="14">
        <f>$C$9</f>
        <v/>
      </c>
      <c r="R4535" s="14">
        <f>_xlfn.LOGNORM.INV($AF4535,LN($C$10)-0.5*LN(1+($D$10/$C$10)^2),SQRT(LN(1+($D$10/$C$10)^2)))</f>
        <v/>
      </c>
      <c r="S4535" s="14">
        <f>SUM(M4535:R4535)</f>
        <v/>
      </c>
      <c r="AA4535">
        <f>RAND()</f>
        <v/>
      </c>
      <c r="AB4535">
        <f>RAND()</f>
        <v/>
      </c>
      <c r="AC4535">
        <f>RAND()</f>
        <v/>
      </c>
      <c r="AD4535">
        <f>RAND()</f>
        <v/>
      </c>
      <c r="AE4535">
        <f>RAND()</f>
        <v/>
      </c>
      <c r="AF4535">
        <f>RAND()</f>
        <v/>
      </c>
    </row>
    <row r="4536">
      <c r="M4536" s="14">
        <f>_xlfn.BETA.INV($AA4536,1+4*($D$5-$C$5)/($E$5-$C$5),1+4*($E$5-$D$5)/($E$5-$C$5),$C$5,$E$5)</f>
        <v/>
      </c>
      <c r="N4536" s="14">
        <f>IF($AB4536&lt;($D$6-$C$6)/($E$6-$C$6),$C$6+SQRT($AB4536*($E$6-$C$6)*($D$6-$C$6)),$E$6-SQRT((1-$AB4536)*($E$6-$C$6)*($E$6-$D$6)))</f>
        <v/>
      </c>
      <c r="O4536" s="14">
        <f>_xlfn.NORM.INV($AC4536,$C$7,$D$7)</f>
        <v/>
      </c>
      <c r="P4536" s="14">
        <f>$C$8+($D$8-$C$8)*$AD4536</f>
        <v/>
      </c>
      <c r="Q4536" s="14">
        <f>$C$9</f>
        <v/>
      </c>
      <c r="R4536" s="14">
        <f>_xlfn.LOGNORM.INV($AF4536,LN($C$10)-0.5*LN(1+($D$10/$C$10)^2),SQRT(LN(1+($D$10/$C$10)^2)))</f>
        <v/>
      </c>
      <c r="S4536" s="14">
        <f>SUM(M4536:R4536)</f>
        <v/>
      </c>
      <c r="AA4536">
        <f>RAND()</f>
        <v/>
      </c>
      <c r="AB4536">
        <f>RAND()</f>
        <v/>
      </c>
      <c r="AC4536">
        <f>RAND()</f>
        <v/>
      </c>
      <c r="AD4536">
        <f>RAND()</f>
        <v/>
      </c>
      <c r="AE4536">
        <f>RAND()</f>
        <v/>
      </c>
      <c r="AF4536">
        <f>RAND()</f>
        <v/>
      </c>
    </row>
    <row r="4537">
      <c r="M4537" s="14">
        <f>_xlfn.BETA.INV($AA4537,1+4*($D$5-$C$5)/($E$5-$C$5),1+4*($E$5-$D$5)/($E$5-$C$5),$C$5,$E$5)</f>
        <v/>
      </c>
      <c r="N4537" s="14">
        <f>IF($AB4537&lt;($D$6-$C$6)/($E$6-$C$6),$C$6+SQRT($AB4537*($E$6-$C$6)*($D$6-$C$6)),$E$6-SQRT((1-$AB4537)*($E$6-$C$6)*($E$6-$D$6)))</f>
        <v/>
      </c>
      <c r="O4537" s="14">
        <f>_xlfn.NORM.INV($AC4537,$C$7,$D$7)</f>
        <v/>
      </c>
      <c r="P4537" s="14">
        <f>$C$8+($D$8-$C$8)*$AD4537</f>
        <v/>
      </c>
      <c r="Q4537" s="14">
        <f>$C$9</f>
        <v/>
      </c>
      <c r="R4537" s="14">
        <f>_xlfn.LOGNORM.INV($AF4537,LN($C$10)-0.5*LN(1+($D$10/$C$10)^2),SQRT(LN(1+($D$10/$C$10)^2)))</f>
        <v/>
      </c>
      <c r="S4537" s="14">
        <f>SUM(M4537:R4537)</f>
        <v/>
      </c>
      <c r="AA4537">
        <f>RAND()</f>
        <v/>
      </c>
      <c r="AB4537">
        <f>RAND()</f>
        <v/>
      </c>
      <c r="AC4537">
        <f>RAND()</f>
        <v/>
      </c>
      <c r="AD4537">
        <f>RAND()</f>
        <v/>
      </c>
      <c r="AE4537">
        <f>RAND()</f>
        <v/>
      </c>
      <c r="AF4537">
        <f>RAND()</f>
        <v/>
      </c>
    </row>
    <row r="4538">
      <c r="M4538" s="14">
        <f>_xlfn.BETA.INV($AA4538,1+4*($D$5-$C$5)/($E$5-$C$5),1+4*($E$5-$D$5)/($E$5-$C$5),$C$5,$E$5)</f>
        <v/>
      </c>
      <c r="N4538" s="14">
        <f>IF($AB4538&lt;($D$6-$C$6)/($E$6-$C$6),$C$6+SQRT($AB4538*($E$6-$C$6)*($D$6-$C$6)),$E$6-SQRT((1-$AB4538)*($E$6-$C$6)*($E$6-$D$6)))</f>
        <v/>
      </c>
      <c r="O4538" s="14">
        <f>_xlfn.NORM.INV($AC4538,$C$7,$D$7)</f>
        <v/>
      </c>
      <c r="P4538" s="14">
        <f>$C$8+($D$8-$C$8)*$AD4538</f>
        <v/>
      </c>
      <c r="Q4538" s="14">
        <f>$C$9</f>
        <v/>
      </c>
      <c r="R4538" s="14">
        <f>_xlfn.LOGNORM.INV($AF4538,LN($C$10)-0.5*LN(1+($D$10/$C$10)^2),SQRT(LN(1+($D$10/$C$10)^2)))</f>
        <v/>
      </c>
      <c r="S4538" s="14">
        <f>SUM(M4538:R4538)</f>
        <v/>
      </c>
      <c r="AA4538">
        <f>RAND()</f>
        <v/>
      </c>
      <c r="AB4538">
        <f>RAND()</f>
        <v/>
      </c>
      <c r="AC4538">
        <f>RAND()</f>
        <v/>
      </c>
      <c r="AD4538">
        <f>RAND()</f>
        <v/>
      </c>
      <c r="AE4538">
        <f>RAND()</f>
        <v/>
      </c>
      <c r="AF4538">
        <f>RAND()</f>
        <v/>
      </c>
    </row>
    <row r="4539">
      <c r="M4539" s="14">
        <f>_xlfn.BETA.INV($AA4539,1+4*($D$5-$C$5)/($E$5-$C$5),1+4*($E$5-$D$5)/($E$5-$C$5),$C$5,$E$5)</f>
        <v/>
      </c>
      <c r="N4539" s="14">
        <f>IF($AB4539&lt;($D$6-$C$6)/($E$6-$C$6),$C$6+SQRT($AB4539*($E$6-$C$6)*($D$6-$C$6)),$E$6-SQRT((1-$AB4539)*($E$6-$C$6)*($E$6-$D$6)))</f>
        <v/>
      </c>
      <c r="O4539" s="14">
        <f>_xlfn.NORM.INV($AC4539,$C$7,$D$7)</f>
        <v/>
      </c>
      <c r="P4539" s="14">
        <f>$C$8+($D$8-$C$8)*$AD4539</f>
        <v/>
      </c>
      <c r="Q4539" s="14">
        <f>$C$9</f>
        <v/>
      </c>
      <c r="R4539" s="14">
        <f>_xlfn.LOGNORM.INV($AF4539,LN($C$10)-0.5*LN(1+($D$10/$C$10)^2),SQRT(LN(1+($D$10/$C$10)^2)))</f>
        <v/>
      </c>
      <c r="S4539" s="14">
        <f>SUM(M4539:R4539)</f>
        <v/>
      </c>
      <c r="AA4539">
        <f>RAND()</f>
        <v/>
      </c>
      <c r="AB4539">
        <f>RAND()</f>
        <v/>
      </c>
      <c r="AC4539">
        <f>RAND()</f>
        <v/>
      </c>
      <c r="AD4539">
        <f>RAND()</f>
        <v/>
      </c>
      <c r="AE4539">
        <f>RAND()</f>
        <v/>
      </c>
      <c r="AF4539">
        <f>RAND()</f>
        <v/>
      </c>
    </row>
    <row r="4540">
      <c r="M4540" s="14">
        <f>_xlfn.BETA.INV($AA4540,1+4*($D$5-$C$5)/($E$5-$C$5),1+4*($E$5-$D$5)/($E$5-$C$5),$C$5,$E$5)</f>
        <v/>
      </c>
      <c r="N4540" s="14">
        <f>IF($AB4540&lt;($D$6-$C$6)/($E$6-$C$6),$C$6+SQRT($AB4540*($E$6-$C$6)*($D$6-$C$6)),$E$6-SQRT((1-$AB4540)*($E$6-$C$6)*($E$6-$D$6)))</f>
        <v/>
      </c>
      <c r="O4540" s="14">
        <f>_xlfn.NORM.INV($AC4540,$C$7,$D$7)</f>
        <v/>
      </c>
      <c r="P4540" s="14">
        <f>$C$8+($D$8-$C$8)*$AD4540</f>
        <v/>
      </c>
      <c r="Q4540" s="14">
        <f>$C$9</f>
        <v/>
      </c>
      <c r="R4540" s="14">
        <f>_xlfn.LOGNORM.INV($AF4540,LN($C$10)-0.5*LN(1+($D$10/$C$10)^2),SQRT(LN(1+($D$10/$C$10)^2)))</f>
        <v/>
      </c>
      <c r="S4540" s="14">
        <f>SUM(M4540:R4540)</f>
        <v/>
      </c>
      <c r="AA4540">
        <f>RAND()</f>
        <v/>
      </c>
      <c r="AB4540">
        <f>RAND()</f>
        <v/>
      </c>
      <c r="AC4540">
        <f>RAND()</f>
        <v/>
      </c>
      <c r="AD4540">
        <f>RAND()</f>
        <v/>
      </c>
      <c r="AE4540">
        <f>RAND()</f>
        <v/>
      </c>
      <c r="AF4540">
        <f>RAND()</f>
        <v/>
      </c>
    </row>
    <row r="4541">
      <c r="M4541" s="14">
        <f>_xlfn.BETA.INV($AA4541,1+4*($D$5-$C$5)/($E$5-$C$5),1+4*($E$5-$D$5)/($E$5-$C$5),$C$5,$E$5)</f>
        <v/>
      </c>
      <c r="N4541" s="14">
        <f>IF($AB4541&lt;($D$6-$C$6)/($E$6-$C$6),$C$6+SQRT($AB4541*($E$6-$C$6)*($D$6-$C$6)),$E$6-SQRT((1-$AB4541)*($E$6-$C$6)*($E$6-$D$6)))</f>
        <v/>
      </c>
      <c r="O4541" s="14">
        <f>_xlfn.NORM.INV($AC4541,$C$7,$D$7)</f>
        <v/>
      </c>
      <c r="P4541" s="14">
        <f>$C$8+($D$8-$C$8)*$AD4541</f>
        <v/>
      </c>
      <c r="Q4541" s="14">
        <f>$C$9</f>
        <v/>
      </c>
      <c r="R4541" s="14">
        <f>_xlfn.LOGNORM.INV($AF4541,LN($C$10)-0.5*LN(1+($D$10/$C$10)^2),SQRT(LN(1+($D$10/$C$10)^2)))</f>
        <v/>
      </c>
      <c r="S4541" s="14">
        <f>SUM(M4541:R4541)</f>
        <v/>
      </c>
      <c r="AA4541">
        <f>RAND()</f>
        <v/>
      </c>
      <c r="AB4541">
        <f>RAND()</f>
        <v/>
      </c>
      <c r="AC4541">
        <f>RAND()</f>
        <v/>
      </c>
      <c r="AD4541">
        <f>RAND()</f>
        <v/>
      </c>
      <c r="AE4541">
        <f>RAND()</f>
        <v/>
      </c>
      <c r="AF4541">
        <f>RAND()</f>
        <v/>
      </c>
    </row>
    <row r="4542">
      <c r="M4542" s="14">
        <f>_xlfn.BETA.INV($AA4542,1+4*($D$5-$C$5)/($E$5-$C$5),1+4*($E$5-$D$5)/($E$5-$C$5),$C$5,$E$5)</f>
        <v/>
      </c>
      <c r="N4542" s="14">
        <f>IF($AB4542&lt;($D$6-$C$6)/($E$6-$C$6),$C$6+SQRT($AB4542*($E$6-$C$6)*($D$6-$C$6)),$E$6-SQRT((1-$AB4542)*($E$6-$C$6)*($E$6-$D$6)))</f>
        <v/>
      </c>
      <c r="O4542" s="14">
        <f>_xlfn.NORM.INV($AC4542,$C$7,$D$7)</f>
        <v/>
      </c>
      <c r="P4542" s="14">
        <f>$C$8+($D$8-$C$8)*$AD4542</f>
        <v/>
      </c>
      <c r="Q4542" s="14">
        <f>$C$9</f>
        <v/>
      </c>
      <c r="R4542" s="14">
        <f>_xlfn.LOGNORM.INV($AF4542,LN($C$10)-0.5*LN(1+($D$10/$C$10)^2),SQRT(LN(1+($D$10/$C$10)^2)))</f>
        <v/>
      </c>
      <c r="S4542" s="14">
        <f>SUM(M4542:R4542)</f>
        <v/>
      </c>
      <c r="AA4542">
        <f>RAND()</f>
        <v/>
      </c>
      <c r="AB4542">
        <f>RAND()</f>
        <v/>
      </c>
      <c r="AC4542">
        <f>RAND()</f>
        <v/>
      </c>
      <c r="AD4542">
        <f>RAND()</f>
        <v/>
      </c>
      <c r="AE4542">
        <f>RAND()</f>
        <v/>
      </c>
      <c r="AF4542">
        <f>RAND()</f>
        <v/>
      </c>
    </row>
    <row r="4543">
      <c r="M4543" s="14">
        <f>_xlfn.BETA.INV($AA4543,1+4*($D$5-$C$5)/($E$5-$C$5),1+4*($E$5-$D$5)/($E$5-$C$5),$C$5,$E$5)</f>
        <v/>
      </c>
      <c r="N4543" s="14">
        <f>IF($AB4543&lt;($D$6-$C$6)/($E$6-$C$6),$C$6+SQRT($AB4543*($E$6-$C$6)*($D$6-$C$6)),$E$6-SQRT((1-$AB4543)*($E$6-$C$6)*($E$6-$D$6)))</f>
        <v/>
      </c>
      <c r="O4543" s="14">
        <f>_xlfn.NORM.INV($AC4543,$C$7,$D$7)</f>
        <v/>
      </c>
      <c r="P4543" s="14">
        <f>$C$8+($D$8-$C$8)*$AD4543</f>
        <v/>
      </c>
      <c r="Q4543" s="14">
        <f>$C$9</f>
        <v/>
      </c>
      <c r="R4543" s="14">
        <f>_xlfn.LOGNORM.INV($AF4543,LN($C$10)-0.5*LN(1+($D$10/$C$10)^2),SQRT(LN(1+($D$10/$C$10)^2)))</f>
        <v/>
      </c>
      <c r="S4543" s="14">
        <f>SUM(M4543:R4543)</f>
        <v/>
      </c>
      <c r="AA4543">
        <f>RAND()</f>
        <v/>
      </c>
      <c r="AB4543">
        <f>RAND()</f>
        <v/>
      </c>
      <c r="AC4543">
        <f>RAND()</f>
        <v/>
      </c>
      <c r="AD4543">
        <f>RAND()</f>
        <v/>
      </c>
      <c r="AE4543">
        <f>RAND()</f>
        <v/>
      </c>
      <c r="AF4543">
        <f>RAND()</f>
        <v/>
      </c>
    </row>
    <row r="4544">
      <c r="M4544" s="14">
        <f>_xlfn.BETA.INV($AA4544,1+4*($D$5-$C$5)/($E$5-$C$5),1+4*($E$5-$D$5)/($E$5-$C$5),$C$5,$E$5)</f>
        <v/>
      </c>
      <c r="N4544" s="14">
        <f>IF($AB4544&lt;($D$6-$C$6)/($E$6-$C$6),$C$6+SQRT($AB4544*($E$6-$C$6)*($D$6-$C$6)),$E$6-SQRT((1-$AB4544)*($E$6-$C$6)*($E$6-$D$6)))</f>
        <v/>
      </c>
      <c r="O4544" s="14">
        <f>_xlfn.NORM.INV($AC4544,$C$7,$D$7)</f>
        <v/>
      </c>
      <c r="P4544" s="14">
        <f>$C$8+($D$8-$C$8)*$AD4544</f>
        <v/>
      </c>
      <c r="Q4544" s="14">
        <f>$C$9</f>
        <v/>
      </c>
      <c r="R4544" s="14">
        <f>_xlfn.LOGNORM.INV($AF4544,LN($C$10)-0.5*LN(1+($D$10/$C$10)^2),SQRT(LN(1+($D$10/$C$10)^2)))</f>
        <v/>
      </c>
      <c r="S4544" s="14">
        <f>SUM(M4544:R4544)</f>
        <v/>
      </c>
      <c r="AA4544">
        <f>RAND()</f>
        <v/>
      </c>
      <c r="AB4544">
        <f>RAND()</f>
        <v/>
      </c>
      <c r="AC4544">
        <f>RAND()</f>
        <v/>
      </c>
      <c r="AD4544">
        <f>RAND()</f>
        <v/>
      </c>
      <c r="AE4544">
        <f>RAND()</f>
        <v/>
      </c>
      <c r="AF4544">
        <f>RAND()</f>
        <v/>
      </c>
    </row>
    <row r="4545">
      <c r="M4545" s="14">
        <f>_xlfn.BETA.INV($AA4545,1+4*($D$5-$C$5)/($E$5-$C$5),1+4*($E$5-$D$5)/($E$5-$C$5),$C$5,$E$5)</f>
        <v/>
      </c>
      <c r="N4545" s="14">
        <f>IF($AB4545&lt;($D$6-$C$6)/($E$6-$C$6),$C$6+SQRT($AB4545*($E$6-$C$6)*($D$6-$C$6)),$E$6-SQRT((1-$AB4545)*($E$6-$C$6)*($E$6-$D$6)))</f>
        <v/>
      </c>
      <c r="O4545" s="14">
        <f>_xlfn.NORM.INV($AC4545,$C$7,$D$7)</f>
        <v/>
      </c>
      <c r="P4545" s="14">
        <f>$C$8+($D$8-$C$8)*$AD4545</f>
        <v/>
      </c>
      <c r="Q4545" s="14">
        <f>$C$9</f>
        <v/>
      </c>
      <c r="R4545" s="14">
        <f>_xlfn.LOGNORM.INV($AF4545,LN($C$10)-0.5*LN(1+($D$10/$C$10)^2),SQRT(LN(1+($D$10/$C$10)^2)))</f>
        <v/>
      </c>
      <c r="S4545" s="14">
        <f>SUM(M4545:R4545)</f>
        <v/>
      </c>
      <c r="AA4545">
        <f>RAND()</f>
        <v/>
      </c>
      <c r="AB4545">
        <f>RAND()</f>
        <v/>
      </c>
      <c r="AC4545">
        <f>RAND()</f>
        <v/>
      </c>
      <c r="AD4545">
        <f>RAND()</f>
        <v/>
      </c>
      <c r="AE4545">
        <f>RAND()</f>
        <v/>
      </c>
      <c r="AF4545">
        <f>RAND()</f>
        <v/>
      </c>
    </row>
    <row r="4546">
      <c r="M4546" s="14">
        <f>_xlfn.BETA.INV($AA4546,1+4*($D$5-$C$5)/($E$5-$C$5),1+4*($E$5-$D$5)/($E$5-$C$5),$C$5,$E$5)</f>
        <v/>
      </c>
      <c r="N4546" s="14">
        <f>IF($AB4546&lt;($D$6-$C$6)/($E$6-$C$6),$C$6+SQRT($AB4546*($E$6-$C$6)*($D$6-$C$6)),$E$6-SQRT((1-$AB4546)*($E$6-$C$6)*($E$6-$D$6)))</f>
        <v/>
      </c>
      <c r="O4546" s="14">
        <f>_xlfn.NORM.INV($AC4546,$C$7,$D$7)</f>
        <v/>
      </c>
      <c r="P4546" s="14">
        <f>$C$8+($D$8-$C$8)*$AD4546</f>
        <v/>
      </c>
      <c r="Q4546" s="14">
        <f>$C$9</f>
        <v/>
      </c>
      <c r="R4546" s="14">
        <f>_xlfn.LOGNORM.INV($AF4546,LN($C$10)-0.5*LN(1+($D$10/$C$10)^2),SQRT(LN(1+($D$10/$C$10)^2)))</f>
        <v/>
      </c>
      <c r="S4546" s="14">
        <f>SUM(M4546:R4546)</f>
        <v/>
      </c>
      <c r="AA4546">
        <f>RAND()</f>
        <v/>
      </c>
      <c r="AB4546">
        <f>RAND()</f>
        <v/>
      </c>
      <c r="AC4546">
        <f>RAND()</f>
        <v/>
      </c>
      <c r="AD4546">
        <f>RAND()</f>
        <v/>
      </c>
      <c r="AE4546">
        <f>RAND()</f>
        <v/>
      </c>
      <c r="AF4546">
        <f>RAND()</f>
        <v/>
      </c>
    </row>
    <row r="4547">
      <c r="M4547" s="14">
        <f>_xlfn.BETA.INV($AA4547,1+4*($D$5-$C$5)/($E$5-$C$5),1+4*($E$5-$D$5)/($E$5-$C$5),$C$5,$E$5)</f>
        <v/>
      </c>
      <c r="N4547" s="14">
        <f>IF($AB4547&lt;($D$6-$C$6)/($E$6-$C$6),$C$6+SQRT($AB4547*($E$6-$C$6)*($D$6-$C$6)),$E$6-SQRT((1-$AB4547)*($E$6-$C$6)*($E$6-$D$6)))</f>
        <v/>
      </c>
      <c r="O4547" s="14">
        <f>_xlfn.NORM.INV($AC4547,$C$7,$D$7)</f>
        <v/>
      </c>
      <c r="P4547" s="14">
        <f>$C$8+($D$8-$C$8)*$AD4547</f>
        <v/>
      </c>
      <c r="Q4547" s="14">
        <f>$C$9</f>
        <v/>
      </c>
      <c r="R4547" s="14">
        <f>_xlfn.LOGNORM.INV($AF4547,LN($C$10)-0.5*LN(1+($D$10/$C$10)^2),SQRT(LN(1+($D$10/$C$10)^2)))</f>
        <v/>
      </c>
      <c r="S4547" s="14">
        <f>SUM(M4547:R4547)</f>
        <v/>
      </c>
      <c r="AA4547">
        <f>RAND()</f>
        <v/>
      </c>
      <c r="AB4547">
        <f>RAND()</f>
        <v/>
      </c>
      <c r="AC4547">
        <f>RAND()</f>
        <v/>
      </c>
      <c r="AD4547">
        <f>RAND()</f>
        <v/>
      </c>
      <c r="AE4547">
        <f>RAND()</f>
        <v/>
      </c>
      <c r="AF4547">
        <f>RAND()</f>
        <v/>
      </c>
    </row>
    <row r="4548">
      <c r="M4548" s="14">
        <f>_xlfn.BETA.INV($AA4548,1+4*($D$5-$C$5)/($E$5-$C$5),1+4*($E$5-$D$5)/($E$5-$C$5),$C$5,$E$5)</f>
        <v/>
      </c>
      <c r="N4548" s="14">
        <f>IF($AB4548&lt;($D$6-$C$6)/($E$6-$C$6),$C$6+SQRT($AB4548*($E$6-$C$6)*($D$6-$C$6)),$E$6-SQRT((1-$AB4548)*($E$6-$C$6)*($E$6-$D$6)))</f>
        <v/>
      </c>
      <c r="O4548" s="14">
        <f>_xlfn.NORM.INV($AC4548,$C$7,$D$7)</f>
        <v/>
      </c>
      <c r="P4548" s="14">
        <f>$C$8+($D$8-$C$8)*$AD4548</f>
        <v/>
      </c>
      <c r="Q4548" s="14">
        <f>$C$9</f>
        <v/>
      </c>
      <c r="R4548" s="14">
        <f>_xlfn.LOGNORM.INV($AF4548,LN($C$10)-0.5*LN(1+($D$10/$C$10)^2),SQRT(LN(1+($D$10/$C$10)^2)))</f>
        <v/>
      </c>
      <c r="S4548" s="14">
        <f>SUM(M4548:R4548)</f>
        <v/>
      </c>
      <c r="AA4548">
        <f>RAND()</f>
        <v/>
      </c>
      <c r="AB4548">
        <f>RAND()</f>
        <v/>
      </c>
      <c r="AC4548">
        <f>RAND()</f>
        <v/>
      </c>
      <c r="AD4548">
        <f>RAND()</f>
        <v/>
      </c>
      <c r="AE4548">
        <f>RAND()</f>
        <v/>
      </c>
      <c r="AF4548">
        <f>RAND()</f>
        <v/>
      </c>
    </row>
    <row r="4549">
      <c r="M4549" s="14">
        <f>_xlfn.BETA.INV($AA4549,1+4*($D$5-$C$5)/($E$5-$C$5),1+4*($E$5-$D$5)/($E$5-$C$5),$C$5,$E$5)</f>
        <v/>
      </c>
      <c r="N4549" s="14">
        <f>IF($AB4549&lt;($D$6-$C$6)/($E$6-$C$6),$C$6+SQRT($AB4549*($E$6-$C$6)*($D$6-$C$6)),$E$6-SQRT((1-$AB4549)*($E$6-$C$6)*($E$6-$D$6)))</f>
        <v/>
      </c>
      <c r="O4549" s="14">
        <f>_xlfn.NORM.INV($AC4549,$C$7,$D$7)</f>
        <v/>
      </c>
      <c r="P4549" s="14">
        <f>$C$8+($D$8-$C$8)*$AD4549</f>
        <v/>
      </c>
      <c r="Q4549" s="14">
        <f>$C$9</f>
        <v/>
      </c>
      <c r="R4549" s="14">
        <f>_xlfn.LOGNORM.INV($AF4549,LN($C$10)-0.5*LN(1+($D$10/$C$10)^2),SQRT(LN(1+($D$10/$C$10)^2)))</f>
        <v/>
      </c>
      <c r="S4549" s="14">
        <f>SUM(M4549:R4549)</f>
        <v/>
      </c>
      <c r="AA4549">
        <f>RAND()</f>
        <v/>
      </c>
      <c r="AB4549">
        <f>RAND()</f>
        <v/>
      </c>
      <c r="AC4549">
        <f>RAND()</f>
        <v/>
      </c>
      <c r="AD4549">
        <f>RAND()</f>
        <v/>
      </c>
      <c r="AE4549">
        <f>RAND()</f>
        <v/>
      </c>
      <c r="AF4549">
        <f>RAND()</f>
        <v/>
      </c>
    </row>
    <row r="4550">
      <c r="M4550" s="14">
        <f>_xlfn.BETA.INV($AA4550,1+4*($D$5-$C$5)/($E$5-$C$5),1+4*($E$5-$D$5)/($E$5-$C$5),$C$5,$E$5)</f>
        <v/>
      </c>
      <c r="N4550" s="14">
        <f>IF($AB4550&lt;($D$6-$C$6)/($E$6-$C$6),$C$6+SQRT($AB4550*($E$6-$C$6)*($D$6-$C$6)),$E$6-SQRT((1-$AB4550)*($E$6-$C$6)*($E$6-$D$6)))</f>
        <v/>
      </c>
      <c r="O4550" s="14">
        <f>_xlfn.NORM.INV($AC4550,$C$7,$D$7)</f>
        <v/>
      </c>
      <c r="P4550" s="14">
        <f>$C$8+($D$8-$C$8)*$AD4550</f>
        <v/>
      </c>
      <c r="Q4550" s="14">
        <f>$C$9</f>
        <v/>
      </c>
      <c r="R4550" s="14">
        <f>_xlfn.LOGNORM.INV($AF4550,LN($C$10)-0.5*LN(1+($D$10/$C$10)^2),SQRT(LN(1+($D$10/$C$10)^2)))</f>
        <v/>
      </c>
      <c r="S4550" s="14">
        <f>SUM(M4550:R4550)</f>
        <v/>
      </c>
      <c r="AA4550">
        <f>RAND()</f>
        <v/>
      </c>
      <c r="AB4550">
        <f>RAND()</f>
        <v/>
      </c>
      <c r="AC4550">
        <f>RAND()</f>
        <v/>
      </c>
      <c r="AD4550">
        <f>RAND()</f>
        <v/>
      </c>
      <c r="AE4550">
        <f>RAND()</f>
        <v/>
      </c>
      <c r="AF4550">
        <f>RAND()</f>
        <v/>
      </c>
    </row>
    <row r="4551">
      <c r="M4551" s="14">
        <f>_xlfn.BETA.INV($AA4551,1+4*($D$5-$C$5)/($E$5-$C$5),1+4*($E$5-$D$5)/($E$5-$C$5),$C$5,$E$5)</f>
        <v/>
      </c>
      <c r="N4551" s="14">
        <f>IF($AB4551&lt;($D$6-$C$6)/($E$6-$C$6),$C$6+SQRT($AB4551*($E$6-$C$6)*($D$6-$C$6)),$E$6-SQRT((1-$AB4551)*($E$6-$C$6)*($E$6-$D$6)))</f>
        <v/>
      </c>
      <c r="O4551" s="14">
        <f>_xlfn.NORM.INV($AC4551,$C$7,$D$7)</f>
        <v/>
      </c>
      <c r="P4551" s="14">
        <f>$C$8+($D$8-$C$8)*$AD4551</f>
        <v/>
      </c>
      <c r="Q4551" s="14">
        <f>$C$9</f>
        <v/>
      </c>
      <c r="R4551" s="14">
        <f>_xlfn.LOGNORM.INV($AF4551,LN($C$10)-0.5*LN(1+($D$10/$C$10)^2),SQRT(LN(1+($D$10/$C$10)^2)))</f>
        <v/>
      </c>
      <c r="S4551" s="14">
        <f>SUM(M4551:R4551)</f>
        <v/>
      </c>
      <c r="AA4551">
        <f>RAND()</f>
        <v/>
      </c>
      <c r="AB4551">
        <f>RAND()</f>
        <v/>
      </c>
      <c r="AC4551">
        <f>RAND()</f>
        <v/>
      </c>
      <c r="AD4551">
        <f>RAND()</f>
        <v/>
      </c>
      <c r="AE4551">
        <f>RAND()</f>
        <v/>
      </c>
      <c r="AF4551">
        <f>RAND()</f>
        <v/>
      </c>
    </row>
    <row r="4552">
      <c r="M4552" s="14">
        <f>_xlfn.BETA.INV($AA4552,1+4*($D$5-$C$5)/($E$5-$C$5),1+4*($E$5-$D$5)/($E$5-$C$5),$C$5,$E$5)</f>
        <v/>
      </c>
      <c r="N4552" s="14">
        <f>IF($AB4552&lt;($D$6-$C$6)/($E$6-$C$6),$C$6+SQRT($AB4552*($E$6-$C$6)*($D$6-$C$6)),$E$6-SQRT((1-$AB4552)*($E$6-$C$6)*($E$6-$D$6)))</f>
        <v/>
      </c>
      <c r="O4552" s="14">
        <f>_xlfn.NORM.INV($AC4552,$C$7,$D$7)</f>
        <v/>
      </c>
      <c r="P4552" s="14">
        <f>$C$8+($D$8-$C$8)*$AD4552</f>
        <v/>
      </c>
      <c r="Q4552" s="14">
        <f>$C$9</f>
        <v/>
      </c>
      <c r="R4552" s="14">
        <f>_xlfn.LOGNORM.INV($AF4552,LN($C$10)-0.5*LN(1+($D$10/$C$10)^2),SQRT(LN(1+($D$10/$C$10)^2)))</f>
        <v/>
      </c>
      <c r="S4552" s="14">
        <f>SUM(M4552:R4552)</f>
        <v/>
      </c>
      <c r="AA4552">
        <f>RAND()</f>
        <v/>
      </c>
      <c r="AB4552">
        <f>RAND()</f>
        <v/>
      </c>
      <c r="AC4552">
        <f>RAND()</f>
        <v/>
      </c>
      <c r="AD4552">
        <f>RAND()</f>
        <v/>
      </c>
      <c r="AE4552">
        <f>RAND()</f>
        <v/>
      </c>
      <c r="AF4552">
        <f>RAND()</f>
        <v/>
      </c>
    </row>
    <row r="4553">
      <c r="M4553" s="14">
        <f>_xlfn.BETA.INV($AA4553,1+4*($D$5-$C$5)/($E$5-$C$5),1+4*($E$5-$D$5)/($E$5-$C$5),$C$5,$E$5)</f>
        <v/>
      </c>
      <c r="N4553" s="14">
        <f>IF($AB4553&lt;($D$6-$C$6)/($E$6-$C$6),$C$6+SQRT($AB4553*($E$6-$C$6)*($D$6-$C$6)),$E$6-SQRT((1-$AB4553)*($E$6-$C$6)*($E$6-$D$6)))</f>
        <v/>
      </c>
      <c r="O4553" s="14">
        <f>_xlfn.NORM.INV($AC4553,$C$7,$D$7)</f>
        <v/>
      </c>
      <c r="P4553" s="14">
        <f>$C$8+($D$8-$C$8)*$AD4553</f>
        <v/>
      </c>
      <c r="Q4553" s="14">
        <f>$C$9</f>
        <v/>
      </c>
      <c r="R4553" s="14">
        <f>_xlfn.LOGNORM.INV($AF4553,LN($C$10)-0.5*LN(1+($D$10/$C$10)^2),SQRT(LN(1+($D$10/$C$10)^2)))</f>
        <v/>
      </c>
      <c r="S4553" s="14">
        <f>SUM(M4553:R4553)</f>
        <v/>
      </c>
      <c r="AA4553">
        <f>RAND()</f>
        <v/>
      </c>
      <c r="AB4553">
        <f>RAND()</f>
        <v/>
      </c>
      <c r="AC4553">
        <f>RAND()</f>
        <v/>
      </c>
      <c r="AD4553">
        <f>RAND()</f>
        <v/>
      </c>
      <c r="AE4553">
        <f>RAND()</f>
        <v/>
      </c>
      <c r="AF4553">
        <f>RAND()</f>
        <v/>
      </c>
    </row>
    <row r="4554">
      <c r="M4554" s="14">
        <f>_xlfn.BETA.INV($AA4554,1+4*($D$5-$C$5)/($E$5-$C$5),1+4*($E$5-$D$5)/($E$5-$C$5),$C$5,$E$5)</f>
        <v/>
      </c>
      <c r="N4554" s="14">
        <f>IF($AB4554&lt;($D$6-$C$6)/($E$6-$C$6),$C$6+SQRT($AB4554*($E$6-$C$6)*($D$6-$C$6)),$E$6-SQRT((1-$AB4554)*($E$6-$C$6)*($E$6-$D$6)))</f>
        <v/>
      </c>
      <c r="O4554" s="14">
        <f>_xlfn.NORM.INV($AC4554,$C$7,$D$7)</f>
        <v/>
      </c>
      <c r="P4554" s="14">
        <f>$C$8+($D$8-$C$8)*$AD4554</f>
        <v/>
      </c>
      <c r="Q4554" s="14">
        <f>$C$9</f>
        <v/>
      </c>
      <c r="R4554" s="14">
        <f>_xlfn.LOGNORM.INV($AF4554,LN($C$10)-0.5*LN(1+($D$10/$C$10)^2),SQRT(LN(1+($D$10/$C$10)^2)))</f>
        <v/>
      </c>
      <c r="S4554" s="14">
        <f>SUM(M4554:R4554)</f>
        <v/>
      </c>
      <c r="AA4554">
        <f>RAND()</f>
        <v/>
      </c>
      <c r="AB4554">
        <f>RAND()</f>
        <v/>
      </c>
      <c r="AC4554">
        <f>RAND()</f>
        <v/>
      </c>
      <c r="AD4554">
        <f>RAND()</f>
        <v/>
      </c>
      <c r="AE4554">
        <f>RAND()</f>
        <v/>
      </c>
      <c r="AF4554">
        <f>RAND()</f>
        <v/>
      </c>
    </row>
    <row r="4555">
      <c r="M4555" s="14">
        <f>_xlfn.BETA.INV($AA4555,1+4*($D$5-$C$5)/($E$5-$C$5),1+4*($E$5-$D$5)/($E$5-$C$5),$C$5,$E$5)</f>
        <v/>
      </c>
      <c r="N4555" s="14">
        <f>IF($AB4555&lt;($D$6-$C$6)/($E$6-$C$6),$C$6+SQRT($AB4555*($E$6-$C$6)*($D$6-$C$6)),$E$6-SQRT((1-$AB4555)*($E$6-$C$6)*($E$6-$D$6)))</f>
        <v/>
      </c>
      <c r="O4555" s="14">
        <f>_xlfn.NORM.INV($AC4555,$C$7,$D$7)</f>
        <v/>
      </c>
      <c r="P4555" s="14">
        <f>$C$8+($D$8-$C$8)*$AD4555</f>
        <v/>
      </c>
      <c r="Q4555" s="14">
        <f>$C$9</f>
        <v/>
      </c>
      <c r="R4555" s="14">
        <f>_xlfn.LOGNORM.INV($AF4555,LN($C$10)-0.5*LN(1+($D$10/$C$10)^2),SQRT(LN(1+($D$10/$C$10)^2)))</f>
        <v/>
      </c>
      <c r="S4555" s="14">
        <f>SUM(M4555:R4555)</f>
        <v/>
      </c>
      <c r="AA4555">
        <f>RAND()</f>
        <v/>
      </c>
      <c r="AB4555">
        <f>RAND()</f>
        <v/>
      </c>
      <c r="AC4555">
        <f>RAND()</f>
        <v/>
      </c>
      <c r="AD4555">
        <f>RAND()</f>
        <v/>
      </c>
      <c r="AE4555">
        <f>RAND()</f>
        <v/>
      </c>
      <c r="AF4555">
        <f>RAND()</f>
        <v/>
      </c>
    </row>
    <row r="4556">
      <c r="M4556" s="14">
        <f>_xlfn.BETA.INV($AA4556,1+4*($D$5-$C$5)/($E$5-$C$5),1+4*($E$5-$D$5)/($E$5-$C$5),$C$5,$E$5)</f>
        <v/>
      </c>
      <c r="N4556" s="14">
        <f>IF($AB4556&lt;($D$6-$C$6)/($E$6-$C$6),$C$6+SQRT($AB4556*($E$6-$C$6)*($D$6-$C$6)),$E$6-SQRT((1-$AB4556)*($E$6-$C$6)*($E$6-$D$6)))</f>
        <v/>
      </c>
      <c r="O4556" s="14">
        <f>_xlfn.NORM.INV($AC4556,$C$7,$D$7)</f>
        <v/>
      </c>
      <c r="P4556" s="14">
        <f>$C$8+($D$8-$C$8)*$AD4556</f>
        <v/>
      </c>
      <c r="Q4556" s="14">
        <f>$C$9</f>
        <v/>
      </c>
      <c r="R4556" s="14">
        <f>_xlfn.LOGNORM.INV($AF4556,LN($C$10)-0.5*LN(1+($D$10/$C$10)^2),SQRT(LN(1+($D$10/$C$10)^2)))</f>
        <v/>
      </c>
      <c r="S4556" s="14">
        <f>SUM(M4556:R4556)</f>
        <v/>
      </c>
      <c r="AA4556">
        <f>RAND()</f>
        <v/>
      </c>
      <c r="AB4556">
        <f>RAND()</f>
        <v/>
      </c>
      <c r="AC4556">
        <f>RAND()</f>
        <v/>
      </c>
      <c r="AD4556">
        <f>RAND()</f>
        <v/>
      </c>
      <c r="AE4556">
        <f>RAND()</f>
        <v/>
      </c>
      <c r="AF4556">
        <f>RAND()</f>
        <v/>
      </c>
    </row>
    <row r="4557">
      <c r="M4557" s="14">
        <f>_xlfn.BETA.INV($AA4557,1+4*($D$5-$C$5)/($E$5-$C$5),1+4*($E$5-$D$5)/($E$5-$C$5),$C$5,$E$5)</f>
        <v/>
      </c>
      <c r="N4557" s="14">
        <f>IF($AB4557&lt;($D$6-$C$6)/($E$6-$C$6),$C$6+SQRT($AB4557*($E$6-$C$6)*($D$6-$C$6)),$E$6-SQRT((1-$AB4557)*($E$6-$C$6)*($E$6-$D$6)))</f>
        <v/>
      </c>
      <c r="O4557" s="14">
        <f>_xlfn.NORM.INV($AC4557,$C$7,$D$7)</f>
        <v/>
      </c>
      <c r="P4557" s="14">
        <f>$C$8+($D$8-$C$8)*$AD4557</f>
        <v/>
      </c>
      <c r="Q4557" s="14">
        <f>$C$9</f>
        <v/>
      </c>
      <c r="R4557" s="14">
        <f>_xlfn.LOGNORM.INV($AF4557,LN($C$10)-0.5*LN(1+($D$10/$C$10)^2),SQRT(LN(1+($D$10/$C$10)^2)))</f>
        <v/>
      </c>
      <c r="S4557" s="14">
        <f>SUM(M4557:R4557)</f>
        <v/>
      </c>
      <c r="AA4557">
        <f>RAND()</f>
        <v/>
      </c>
      <c r="AB4557">
        <f>RAND()</f>
        <v/>
      </c>
      <c r="AC4557">
        <f>RAND()</f>
        <v/>
      </c>
      <c r="AD4557">
        <f>RAND()</f>
        <v/>
      </c>
      <c r="AE4557">
        <f>RAND()</f>
        <v/>
      </c>
      <c r="AF4557">
        <f>RAND()</f>
        <v/>
      </c>
    </row>
    <row r="4558">
      <c r="M4558" s="14">
        <f>_xlfn.BETA.INV($AA4558,1+4*($D$5-$C$5)/($E$5-$C$5),1+4*($E$5-$D$5)/($E$5-$C$5),$C$5,$E$5)</f>
        <v/>
      </c>
      <c r="N4558" s="14">
        <f>IF($AB4558&lt;($D$6-$C$6)/($E$6-$C$6),$C$6+SQRT($AB4558*($E$6-$C$6)*($D$6-$C$6)),$E$6-SQRT((1-$AB4558)*($E$6-$C$6)*($E$6-$D$6)))</f>
        <v/>
      </c>
      <c r="O4558" s="14">
        <f>_xlfn.NORM.INV($AC4558,$C$7,$D$7)</f>
        <v/>
      </c>
      <c r="P4558" s="14">
        <f>$C$8+($D$8-$C$8)*$AD4558</f>
        <v/>
      </c>
      <c r="Q4558" s="14">
        <f>$C$9</f>
        <v/>
      </c>
      <c r="R4558" s="14">
        <f>_xlfn.LOGNORM.INV($AF4558,LN($C$10)-0.5*LN(1+($D$10/$C$10)^2),SQRT(LN(1+($D$10/$C$10)^2)))</f>
        <v/>
      </c>
      <c r="S4558" s="14">
        <f>SUM(M4558:R4558)</f>
        <v/>
      </c>
      <c r="AA4558">
        <f>RAND()</f>
        <v/>
      </c>
      <c r="AB4558">
        <f>RAND()</f>
        <v/>
      </c>
      <c r="AC4558">
        <f>RAND()</f>
        <v/>
      </c>
      <c r="AD4558">
        <f>RAND()</f>
        <v/>
      </c>
      <c r="AE4558">
        <f>RAND()</f>
        <v/>
      </c>
      <c r="AF4558">
        <f>RAND()</f>
        <v/>
      </c>
    </row>
    <row r="4559">
      <c r="M4559" s="14">
        <f>_xlfn.BETA.INV($AA4559,1+4*($D$5-$C$5)/($E$5-$C$5),1+4*($E$5-$D$5)/($E$5-$C$5),$C$5,$E$5)</f>
        <v/>
      </c>
      <c r="N4559" s="14">
        <f>IF($AB4559&lt;($D$6-$C$6)/($E$6-$C$6),$C$6+SQRT($AB4559*($E$6-$C$6)*($D$6-$C$6)),$E$6-SQRT((1-$AB4559)*($E$6-$C$6)*($E$6-$D$6)))</f>
        <v/>
      </c>
      <c r="O4559" s="14">
        <f>_xlfn.NORM.INV($AC4559,$C$7,$D$7)</f>
        <v/>
      </c>
      <c r="P4559" s="14">
        <f>$C$8+($D$8-$C$8)*$AD4559</f>
        <v/>
      </c>
      <c r="Q4559" s="14">
        <f>$C$9</f>
        <v/>
      </c>
      <c r="R4559" s="14">
        <f>_xlfn.LOGNORM.INV($AF4559,LN($C$10)-0.5*LN(1+($D$10/$C$10)^2),SQRT(LN(1+($D$10/$C$10)^2)))</f>
        <v/>
      </c>
      <c r="S4559" s="14">
        <f>SUM(M4559:R4559)</f>
        <v/>
      </c>
      <c r="AA4559">
        <f>RAND()</f>
        <v/>
      </c>
      <c r="AB4559">
        <f>RAND()</f>
        <v/>
      </c>
      <c r="AC4559">
        <f>RAND()</f>
        <v/>
      </c>
      <c r="AD4559">
        <f>RAND()</f>
        <v/>
      </c>
      <c r="AE4559">
        <f>RAND()</f>
        <v/>
      </c>
      <c r="AF4559">
        <f>RAND()</f>
        <v/>
      </c>
    </row>
    <row r="4560">
      <c r="M4560" s="14">
        <f>_xlfn.BETA.INV($AA4560,1+4*($D$5-$C$5)/($E$5-$C$5),1+4*($E$5-$D$5)/($E$5-$C$5),$C$5,$E$5)</f>
        <v/>
      </c>
      <c r="N4560" s="14">
        <f>IF($AB4560&lt;($D$6-$C$6)/($E$6-$C$6),$C$6+SQRT($AB4560*($E$6-$C$6)*($D$6-$C$6)),$E$6-SQRT((1-$AB4560)*($E$6-$C$6)*($E$6-$D$6)))</f>
        <v/>
      </c>
      <c r="O4560" s="14">
        <f>_xlfn.NORM.INV($AC4560,$C$7,$D$7)</f>
        <v/>
      </c>
      <c r="P4560" s="14">
        <f>$C$8+($D$8-$C$8)*$AD4560</f>
        <v/>
      </c>
      <c r="Q4560" s="14">
        <f>$C$9</f>
        <v/>
      </c>
      <c r="R4560" s="14">
        <f>_xlfn.LOGNORM.INV($AF4560,LN($C$10)-0.5*LN(1+($D$10/$C$10)^2),SQRT(LN(1+($D$10/$C$10)^2)))</f>
        <v/>
      </c>
      <c r="S4560" s="14">
        <f>SUM(M4560:R4560)</f>
        <v/>
      </c>
      <c r="AA4560">
        <f>RAND()</f>
        <v/>
      </c>
      <c r="AB4560">
        <f>RAND()</f>
        <v/>
      </c>
      <c r="AC4560">
        <f>RAND()</f>
        <v/>
      </c>
      <c r="AD4560">
        <f>RAND()</f>
        <v/>
      </c>
      <c r="AE4560">
        <f>RAND()</f>
        <v/>
      </c>
      <c r="AF4560">
        <f>RAND()</f>
        <v/>
      </c>
    </row>
    <row r="4561">
      <c r="M4561" s="14">
        <f>_xlfn.BETA.INV($AA4561,1+4*($D$5-$C$5)/($E$5-$C$5),1+4*($E$5-$D$5)/($E$5-$C$5),$C$5,$E$5)</f>
        <v/>
      </c>
      <c r="N4561" s="14">
        <f>IF($AB4561&lt;($D$6-$C$6)/($E$6-$C$6),$C$6+SQRT($AB4561*($E$6-$C$6)*($D$6-$C$6)),$E$6-SQRT((1-$AB4561)*($E$6-$C$6)*($E$6-$D$6)))</f>
        <v/>
      </c>
      <c r="O4561" s="14">
        <f>_xlfn.NORM.INV($AC4561,$C$7,$D$7)</f>
        <v/>
      </c>
      <c r="P4561" s="14">
        <f>$C$8+($D$8-$C$8)*$AD4561</f>
        <v/>
      </c>
      <c r="Q4561" s="14">
        <f>$C$9</f>
        <v/>
      </c>
      <c r="R4561" s="14">
        <f>_xlfn.LOGNORM.INV($AF4561,LN($C$10)-0.5*LN(1+($D$10/$C$10)^2),SQRT(LN(1+($D$10/$C$10)^2)))</f>
        <v/>
      </c>
      <c r="S4561" s="14">
        <f>SUM(M4561:R4561)</f>
        <v/>
      </c>
      <c r="AA4561">
        <f>RAND()</f>
        <v/>
      </c>
      <c r="AB4561">
        <f>RAND()</f>
        <v/>
      </c>
      <c r="AC4561">
        <f>RAND()</f>
        <v/>
      </c>
      <c r="AD4561">
        <f>RAND()</f>
        <v/>
      </c>
      <c r="AE4561">
        <f>RAND()</f>
        <v/>
      </c>
      <c r="AF4561">
        <f>RAND()</f>
        <v/>
      </c>
    </row>
    <row r="4562">
      <c r="M4562" s="14">
        <f>_xlfn.BETA.INV($AA4562,1+4*($D$5-$C$5)/($E$5-$C$5),1+4*($E$5-$D$5)/($E$5-$C$5),$C$5,$E$5)</f>
        <v/>
      </c>
      <c r="N4562" s="14">
        <f>IF($AB4562&lt;($D$6-$C$6)/($E$6-$C$6),$C$6+SQRT($AB4562*($E$6-$C$6)*($D$6-$C$6)),$E$6-SQRT((1-$AB4562)*($E$6-$C$6)*($E$6-$D$6)))</f>
        <v/>
      </c>
      <c r="O4562" s="14">
        <f>_xlfn.NORM.INV($AC4562,$C$7,$D$7)</f>
        <v/>
      </c>
      <c r="P4562" s="14">
        <f>$C$8+($D$8-$C$8)*$AD4562</f>
        <v/>
      </c>
      <c r="Q4562" s="14">
        <f>$C$9</f>
        <v/>
      </c>
      <c r="R4562" s="14">
        <f>_xlfn.LOGNORM.INV($AF4562,LN($C$10)-0.5*LN(1+($D$10/$C$10)^2),SQRT(LN(1+($D$10/$C$10)^2)))</f>
        <v/>
      </c>
      <c r="S4562" s="14">
        <f>SUM(M4562:R4562)</f>
        <v/>
      </c>
      <c r="AA4562">
        <f>RAND()</f>
        <v/>
      </c>
      <c r="AB4562">
        <f>RAND()</f>
        <v/>
      </c>
      <c r="AC4562">
        <f>RAND()</f>
        <v/>
      </c>
      <c r="AD4562">
        <f>RAND()</f>
        <v/>
      </c>
      <c r="AE4562">
        <f>RAND()</f>
        <v/>
      </c>
      <c r="AF4562">
        <f>RAND()</f>
        <v/>
      </c>
    </row>
    <row r="4563">
      <c r="M4563" s="14">
        <f>_xlfn.BETA.INV($AA4563,1+4*($D$5-$C$5)/($E$5-$C$5),1+4*($E$5-$D$5)/($E$5-$C$5),$C$5,$E$5)</f>
        <v/>
      </c>
      <c r="N4563" s="14">
        <f>IF($AB4563&lt;($D$6-$C$6)/($E$6-$C$6),$C$6+SQRT($AB4563*($E$6-$C$6)*($D$6-$C$6)),$E$6-SQRT((1-$AB4563)*($E$6-$C$6)*($E$6-$D$6)))</f>
        <v/>
      </c>
      <c r="O4563" s="14">
        <f>_xlfn.NORM.INV($AC4563,$C$7,$D$7)</f>
        <v/>
      </c>
      <c r="P4563" s="14">
        <f>$C$8+($D$8-$C$8)*$AD4563</f>
        <v/>
      </c>
      <c r="Q4563" s="14">
        <f>$C$9</f>
        <v/>
      </c>
      <c r="R4563" s="14">
        <f>_xlfn.LOGNORM.INV($AF4563,LN($C$10)-0.5*LN(1+($D$10/$C$10)^2),SQRT(LN(1+($D$10/$C$10)^2)))</f>
        <v/>
      </c>
      <c r="S4563" s="14">
        <f>SUM(M4563:R4563)</f>
        <v/>
      </c>
      <c r="AA4563">
        <f>RAND()</f>
        <v/>
      </c>
      <c r="AB4563">
        <f>RAND()</f>
        <v/>
      </c>
      <c r="AC4563">
        <f>RAND()</f>
        <v/>
      </c>
      <c r="AD4563">
        <f>RAND()</f>
        <v/>
      </c>
      <c r="AE4563">
        <f>RAND()</f>
        <v/>
      </c>
      <c r="AF4563">
        <f>RAND()</f>
        <v/>
      </c>
    </row>
    <row r="4564">
      <c r="M4564" s="14">
        <f>_xlfn.BETA.INV($AA4564,1+4*($D$5-$C$5)/($E$5-$C$5),1+4*($E$5-$D$5)/($E$5-$C$5),$C$5,$E$5)</f>
        <v/>
      </c>
      <c r="N4564" s="14">
        <f>IF($AB4564&lt;($D$6-$C$6)/($E$6-$C$6),$C$6+SQRT($AB4564*($E$6-$C$6)*($D$6-$C$6)),$E$6-SQRT((1-$AB4564)*($E$6-$C$6)*($E$6-$D$6)))</f>
        <v/>
      </c>
      <c r="O4564" s="14">
        <f>_xlfn.NORM.INV($AC4564,$C$7,$D$7)</f>
        <v/>
      </c>
      <c r="P4564" s="14">
        <f>$C$8+($D$8-$C$8)*$AD4564</f>
        <v/>
      </c>
      <c r="Q4564" s="14">
        <f>$C$9</f>
        <v/>
      </c>
      <c r="R4564" s="14">
        <f>_xlfn.LOGNORM.INV($AF4564,LN($C$10)-0.5*LN(1+($D$10/$C$10)^2),SQRT(LN(1+($D$10/$C$10)^2)))</f>
        <v/>
      </c>
      <c r="S4564" s="14">
        <f>SUM(M4564:R4564)</f>
        <v/>
      </c>
      <c r="AA4564">
        <f>RAND()</f>
        <v/>
      </c>
      <c r="AB4564">
        <f>RAND()</f>
        <v/>
      </c>
      <c r="AC4564">
        <f>RAND()</f>
        <v/>
      </c>
      <c r="AD4564">
        <f>RAND()</f>
        <v/>
      </c>
      <c r="AE4564">
        <f>RAND()</f>
        <v/>
      </c>
      <c r="AF4564">
        <f>RAND()</f>
        <v/>
      </c>
    </row>
    <row r="4565">
      <c r="M4565" s="14">
        <f>_xlfn.BETA.INV($AA4565,1+4*($D$5-$C$5)/($E$5-$C$5),1+4*($E$5-$D$5)/($E$5-$C$5),$C$5,$E$5)</f>
        <v/>
      </c>
      <c r="N4565" s="14">
        <f>IF($AB4565&lt;($D$6-$C$6)/($E$6-$C$6),$C$6+SQRT($AB4565*($E$6-$C$6)*($D$6-$C$6)),$E$6-SQRT((1-$AB4565)*($E$6-$C$6)*($E$6-$D$6)))</f>
        <v/>
      </c>
      <c r="O4565" s="14">
        <f>_xlfn.NORM.INV($AC4565,$C$7,$D$7)</f>
        <v/>
      </c>
      <c r="P4565" s="14">
        <f>$C$8+($D$8-$C$8)*$AD4565</f>
        <v/>
      </c>
      <c r="Q4565" s="14">
        <f>$C$9</f>
        <v/>
      </c>
      <c r="R4565" s="14">
        <f>_xlfn.LOGNORM.INV($AF4565,LN($C$10)-0.5*LN(1+($D$10/$C$10)^2),SQRT(LN(1+($D$10/$C$10)^2)))</f>
        <v/>
      </c>
      <c r="S4565" s="14">
        <f>SUM(M4565:R4565)</f>
        <v/>
      </c>
      <c r="AA4565">
        <f>RAND()</f>
        <v/>
      </c>
      <c r="AB4565">
        <f>RAND()</f>
        <v/>
      </c>
      <c r="AC4565">
        <f>RAND()</f>
        <v/>
      </c>
      <c r="AD4565">
        <f>RAND()</f>
        <v/>
      </c>
      <c r="AE4565">
        <f>RAND()</f>
        <v/>
      </c>
      <c r="AF4565">
        <f>RAND()</f>
        <v/>
      </c>
    </row>
    <row r="4566">
      <c r="M4566" s="14">
        <f>_xlfn.BETA.INV($AA4566,1+4*($D$5-$C$5)/($E$5-$C$5),1+4*($E$5-$D$5)/($E$5-$C$5),$C$5,$E$5)</f>
        <v/>
      </c>
      <c r="N4566" s="14">
        <f>IF($AB4566&lt;($D$6-$C$6)/($E$6-$C$6),$C$6+SQRT($AB4566*($E$6-$C$6)*($D$6-$C$6)),$E$6-SQRT((1-$AB4566)*($E$6-$C$6)*($E$6-$D$6)))</f>
        <v/>
      </c>
      <c r="O4566" s="14">
        <f>_xlfn.NORM.INV($AC4566,$C$7,$D$7)</f>
        <v/>
      </c>
      <c r="P4566" s="14">
        <f>$C$8+($D$8-$C$8)*$AD4566</f>
        <v/>
      </c>
      <c r="Q4566" s="14">
        <f>$C$9</f>
        <v/>
      </c>
      <c r="R4566" s="14">
        <f>_xlfn.LOGNORM.INV($AF4566,LN($C$10)-0.5*LN(1+($D$10/$C$10)^2),SQRT(LN(1+($D$10/$C$10)^2)))</f>
        <v/>
      </c>
      <c r="S4566" s="14">
        <f>SUM(M4566:R4566)</f>
        <v/>
      </c>
      <c r="AA4566">
        <f>RAND()</f>
        <v/>
      </c>
      <c r="AB4566">
        <f>RAND()</f>
        <v/>
      </c>
      <c r="AC4566">
        <f>RAND()</f>
        <v/>
      </c>
      <c r="AD4566">
        <f>RAND()</f>
        <v/>
      </c>
      <c r="AE4566">
        <f>RAND()</f>
        <v/>
      </c>
      <c r="AF4566">
        <f>RAND()</f>
        <v/>
      </c>
    </row>
    <row r="4567">
      <c r="M4567" s="14">
        <f>_xlfn.BETA.INV($AA4567,1+4*($D$5-$C$5)/($E$5-$C$5),1+4*($E$5-$D$5)/($E$5-$C$5),$C$5,$E$5)</f>
        <v/>
      </c>
      <c r="N4567" s="14">
        <f>IF($AB4567&lt;($D$6-$C$6)/($E$6-$C$6),$C$6+SQRT($AB4567*($E$6-$C$6)*($D$6-$C$6)),$E$6-SQRT((1-$AB4567)*($E$6-$C$6)*($E$6-$D$6)))</f>
        <v/>
      </c>
      <c r="O4567" s="14">
        <f>_xlfn.NORM.INV($AC4567,$C$7,$D$7)</f>
        <v/>
      </c>
      <c r="P4567" s="14">
        <f>$C$8+($D$8-$C$8)*$AD4567</f>
        <v/>
      </c>
      <c r="Q4567" s="14">
        <f>$C$9</f>
        <v/>
      </c>
      <c r="R4567" s="14">
        <f>_xlfn.LOGNORM.INV($AF4567,LN($C$10)-0.5*LN(1+($D$10/$C$10)^2),SQRT(LN(1+($D$10/$C$10)^2)))</f>
        <v/>
      </c>
      <c r="S4567" s="14">
        <f>SUM(M4567:R4567)</f>
        <v/>
      </c>
      <c r="AA4567">
        <f>RAND()</f>
        <v/>
      </c>
      <c r="AB4567">
        <f>RAND()</f>
        <v/>
      </c>
      <c r="AC4567">
        <f>RAND()</f>
        <v/>
      </c>
      <c r="AD4567">
        <f>RAND()</f>
        <v/>
      </c>
      <c r="AE4567">
        <f>RAND()</f>
        <v/>
      </c>
      <c r="AF4567">
        <f>RAND()</f>
        <v/>
      </c>
    </row>
    <row r="4568">
      <c r="M4568" s="14">
        <f>_xlfn.BETA.INV($AA4568,1+4*($D$5-$C$5)/($E$5-$C$5),1+4*($E$5-$D$5)/($E$5-$C$5),$C$5,$E$5)</f>
        <v/>
      </c>
      <c r="N4568" s="14">
        <f>IF($AB4568&lt;($D$6-$C$6)/($E$6-$C$6),$C$6+SQRT($AB4568*($E$6-$C$6)*($D$6-$C$6)),$E$6-SQRT((1-$AB4568)*($E$6-$C$6)*($E$6-$D$6)))</f>
        <v/>
      </c>
      <c r="O4568" s="14">
        <f>_xlfn.NORM.INV($AC4568,$C$7,$D$7)</f>
        <v/>
      </c>
      <c r="P4568" s="14">
        <f>$C$8+($D$8-$C$8)*$AD4568</f>
        <v/>
      </c>
      <c r="Q4568" s="14">
        <f>$C$9</f>
        <v/>
      </c>
      <c r="R4568" s="14">
        <f>_xlfn.LOGNORM.INV($AF4568,LN($C$10)-0.5*LN(1+($D$10/$C$10)^2),SQRT(LN(1+($D$10/$C$10)^2)))</f>
        <v/>
      </c>
      <c r="S4568" s="14">
        <f>SUM(M4568:R4568)</f>
        <v/>
      </c>
      <c r="AA4568">
        <f>RAND()</f>
        <v/>
      </c>
      <c r="AB4568">
        <f>RAND()</f>
        <v/>
      </c>
      <c r="AC4568">
        <f>RAND()</f>
        <v/>
      </c>
      <c r="AD4568">
        <f>RAND()</f>
        <v/>
      </c>
      <c r="AE4568">
        <f>RAND()</f>
        <v/>
      </c>
      <c r="AF4568">
        <f>RAND()</f>
        <v/>
      </c>
    </row>
    <row r="4569">
      <c r="M4569" s="14">
        <f>_xlfn.BETA.INV($AA4569,1+4*($D$5-$C$5)/($E$5-$C$5),1+4*($E$5-$D$5)/($E$5-$C$5),$C$5,$E$5)</f>
        <v/>
      </c>
      <c r="N4569" s="14">
        <f>IF($AB4569&lt;($D$6-$C$6)/($E$6-$C$6),$C$6+SQRT($AB4569*($E$6-$C$6)*($D$6-$C$6)),$E$6-SQRT((1-$AB4569)*($E$6-$C$6)*($E$6-$D$6)))</f>
        <v/>
      </c>
      <c r="O4569" s="14">
        <f>_xlfn.NORM.INV($AC4569,$C$7,$D$7)</f>
        <v/>
      </c>
      <c r="P4569" s="14">
        <f>$C$8+($D$8-$C$8)*$AD4569</f>
        <v/>
      </c>
      <c r="Q4569" s="14">
        <f>$C$9</f>
        <v/>
      </c>
      <c r="R4569" s="14">
        <f>_xlfn.LOGNORM.INV($AF4569,LN($C$10)-0.5*LN(1+($D$10/$C$10)^2),SQRT(LN(1+($D$10/$C$10)^2)))</f>
        <v/>
      </c>
      <c r="S4569" s="14">
        <f>SUM(M4569:R4569)</f>
        <v/>
      </c>
      <c r="AA4569">
        <f>RAND()</f>
        <v/>
      </c>
      <c r="AB4569">
        <f>RAND()</f>
        <v/>
      </c>
      <c r="AC4569">
        <f>RAND()</f>
        <v/>
      </c>
      <c r="AD4569">
        <f>RAND()</f>
        <v/>
      </c>
      <c r="AE4569">
        <f>RAND()</f>
        <v/>
      </c>
      <c r="AF4569">
        <f>RAND()</f>
        <v/>
      </c>
    </row>
    <row r="4570">
      <c r="M4570" s="14">
        <f>_xlfn.BETA.INV($AA4570,1+4*($D$5-$C$5)/($E$5-$C$5),1+4*($E$5-$D$5)/($E$5-$C$5),$C$5,$E$5)</f>
        <v/>
      </c>
      <c r="N4570" s="14">
        <f>IF($AB4570&lt;($D$6-$C$6)/($E$6-$C$6),$C$6+SQRT($AB4570*($E$6-$C$6)*($D$6-$C$6)),$E$6-SQRT((1-$AB4570)*($E$6-$C$6)*($E$6-$D$6)))</f>
        <v/>
      </c>
      <c r="O4570" s="14">
        <f>_xlfn.NORM.INV($AC4570,$C$7,$D$7)</f>
        <v/>
      </c>
      <c r="P4570" s="14">
        <f>$C$8+($D$8-$C$8)*$AD4570</f>
        <v/>
      </c>
      <c r="Q4570" s="14">
        <f>$C$9</f>
        <v/>
      </c>
      <c r="R4570" s="14">
        <f>_xlfn.LOGNORM.INV($AF4570,LN($C$10)-0.5*LN(1+($D$10/$C$10)^2),SQRT(LN(1+($D$10/$C$10)^2)))</f>
        <v/>
      </c>
      <c r="S4570" s="14">
        <f>SUM(M4570:R4570)</f>
        <v/>
      </c>
      <c r="AA4570">
        <f>RAND()</f>
        <v/>
      </c>
      <c r="AB4570">
        <f>RAND()</f>
        <v/>
      </c>
      <c r="AC4570">
        <f>RAND()</f>
        <v/>
      </c>
      <c r="AD4570">
        <f>RAND()</f>
        <v/>
      </c>
      <c r="AE4570">
        <f>RAND()</f>
        <v/>
      </c>
      <c r="AF4570">
        <f>RAND()</f>
        <v/>
      </c>
    </row>
    <row r="4571">
      <c r="M4571" s="14">
        <f>_xlfn.BETA.INV($AA4571,1+4*($D$5-$C$5)/($E$5-$C$5),1+4*($E$5-$D$5)/($E$5-$C$5),$C$5,$E$5)</f>
        <v/>
      </c>
      <c r="N4571" s="14">
        <f>IF($AB4571&lt;($D$6-$C$6)/($E$6-$C$6),$C$6+SQRT($AB4571*($E$6-$C$6)*($D$6-$C$6)),$E$6-SQRT((1-$AB4571)*($E$6-$C$6)*($E$6-$D$6)))</f>
        <v/>
      </c>
      <c r="O4571" s="14">
        <f>_xlfn.NORM.INV($AC4571,$C$7,$D$7)</f>
        <v/>
      </c>
      <c r="P4571" s="14">
        <f>$C$8+($D$8-$C$8)*$AD4571</f>
        <v/>
      </c>
      <c r="Q4571" s="14">
        <f>$C$9</f>
        <v/>
      </c>
      <c r="R4571" s="14">
        <f>_xlfn.LOGNORM.INV($AF4571,LN($C$10)-0.5*LN(1+($D$10/$C$10)^2),SQRT(LN(1+($D$10/$C$10)^2)))</f>
        <v/>
      </c>
      <c r="S4571" s="14">
        <f>SUM(M4571:R4571)</f>
        <v/>
      </c>
      <c r="AA4571">
        <f>RAND()</f>
        <v/>
      </c>
      <c r="AB4571">
        <f>RAND()</f>
        <v/>
      </c>
      <c r="AC4571">
        <f>RAND()</f>
        <v/>
      </c>
      <c r="AD4571">
        <f>RAND()</f>
        <v/>
      </c>
      <c r="AE4571">
        <f>RAND()</f>
        <v/>
      </c>
      <c r="AF4571">
        <f>RAND()</f>
        <v/>
      </c>
    </row>
    <row r="4572">
      <c r="M4572" s="14">
        <f>_xlfn.BETA.INV($AA4572,1+4*($D$5-$C$5)/($E$5-$C$5),1+4*($E$5-$D$5)/($E$5-$C$5),$C$5,$E$5)</f>
        <v/>
      </c>
      <c r="N4572" s="14">
        <f>IF($AB4572&lt;($D$6-$C$6)/($E$6-$C$6),$C$6+SQRT($AB4572*($E$6-$C$6)*($D$6-$C$6)),$E$6-SQRT((1-$AB4572)*($E$6-$C$6)*($E$6-$D$6)))</f>
        <v/>
      </c>
      <c r="O4572" s="14">
        <f>_xlfn.NORM.INV($AC4572,$C$7,$D$7)</f>
        <v/>
      </c>
      <c r="P4572" s="14">
        <f>$C$8+($D$8-$C$8)*$AD4572</f>
        <v/>
      </c>
      <c r="Q4572" s="14">
        <f>$C$9</f>
        <v/>
      </c>
      <c r="R4572" s="14">
        <f>_xlfn.LOGNORM.INV($AF4572,LN($C$10)-0.5*LN(1+($D$10/$C$10)^2),SQRT(LN(1+($D$10/$C$10)^2)))</f>
        <v/>
      </c>
      <c r="S4572" s="14">
        <f>SUM(M4572:R4572)</f>
        <v/>
      </c>
      <c r="AA4572">
        <f>RAND()</f>
        <v/>
      </c>
      <c r="AB4572">
        <f>RAND()</f>
        <v/>
      </c>
      <c r="AC4572">
        <f>RAND()</f>
        <v/>
      </c>
      <c r="AD4572">
        <f>RAND()</f>
        <v/>
      </c>
      <c r="AE4572">
        <f>RAND()</f>
        <v/>
      </c>
      <c r="AF4572">
        <f>RAND()</f>
        <v/>
      </c>
    </row>
    <row r="4573">
      <c r="M4573" s="14">
        <f>_xlfn.BETA.INV($AA4573,1+4*($D$5-$C$5)/($E$5-$C$5),1+4*($E$5-$D$5)/($E$5-$C$5),$C$5,$E$5)</f>
        <v/>
      </c>
      <c r="N4573" s="14">
        <f>IF($AB4573&lt;($D$6-$C$6)/($E$6-$C$6),$C$6+SQRT($AB4573*($E$6-$C$6)*($D$6-$C$6)),$E$6-SQRT((1-$AB4573)*($E$6-$C$6)*($E$6-$D$6)))</f>
        <v/>
      </c>
      <c r="O4573" s="14">
        <f>_xlfn.NORM.INV($AC4573,$C$7,$D$7)</f>
        <v/>
      </c>
      <c r="P4573" s="14">
        <f>$C$8+($D$8-$C$8)*$AD4573</f>
        <v/>
      </c>
      <c r="Q4573" s="14">
        <f>$C$9</f>
        <v/>
      </c>
      <c r="R4573" s="14">
        <f>_xlfn.LOGNORM.INV($AF4573,LN($C$10)-0.5*LN(1+($D$10/$C$10)^2),SQRT(LN(1+($D$10/$C$10)^2)))</f>
        <v/>
      </c>
      <c r="S4573" s="14">
        <f>SUM(M4573:R4573)</f>
        <v/>
      </c>
      <c r="AA4573">
        <f>RAND()</f>
        <v/>
      </c>
      <c r="AB4573">
        <f>RAND()</f>
        <v/>
      </c>
      <c r="AC4573">
        <f>RAND()</f>
        <v/>
      </c>
      <c r="AD4573">
        <f>RAND()</f>
        <v/>
      </c>
      <c r="AE4573">
        <f>RAND()</f>
        <v/>
      </c>
      <c r="AF4573">
        <f>RAND()</f>
        <v/>
      </c>
    </row>
    <row r="4574">
      <c r="M4574" s="14">
        <f>_xlfn.BETA.INV($AA4574,1+4*($D$5-$C$5)/($E$5-$C$5),1+4*($E$5-$D$5)/($E$5-$C$5),$C$5,$E$5)</f>
        <v/>
      </c>
      <c r="N4574" s="14">
        <f>IF($AB4574&lt;($D$6-$C$6)/($E$6-$C$6),$C$6+SQRT($AB4574*($E$6-$C$6)*($D$6-$C$6)),$E$6-SQRT((1-$AB4574)*($E$6-$C$6)*($E$6-$D$6)))</f>
        <v/>
      </c>
      <c r="O4574" s="14">
        <f>_xlfn.NORM.INV($AC4574,$C$7,$D$7)</f>
        <v/>
      </c>
      <c r="P4574" s="14">
        <f>$C$8+($D$8-$C$8)*$AD4574</f>
        <v/>
      </c>
      <c r="Q4574" s="14">
        <f>$C$9</f>
        <v/>
      </c>
      <c r="R4574" s="14">
        <f>_xlfn.LOGNORM.INV($AF4574,LN($C$10)-0.5*LN(1+($D$10/$C$10)^2),SQRT(LN(1+($D$10/$C$10)^2)))</f>
        <v/>
      </c>
      <c r="S4574" s="14">
        <f>SUM(M4574:R4574)</f>
        <v/>
      </c>
      <c r="AA4574">
        <f>RAND()</f>
        <v/>
      </c>
      <c r="AB4574">
        <f>RAND()</f>
        <v/>
      </c>
      <c r="AC4574">
        <f>RAND()</f>
        <v/>
      </c>
      <c r="AD4574">
        <f>RAND()</f>
        <v/>
      </c>
      <c r="AE4574">
        <f>RAND()</f>
        <v/>
      </c>
      <c r="AF4574">
        <f>RAND()</f>
        <v/>
      </c>
    </row>
    <row r="4575">
      <c r="M4575" s="14">
        <f>_xlfn.BETA.INV($AA4575,1+4*($D$5-$C$5)/($E$5-$C$5),1+4*($E$5-$D$5)/($E$5-$C$5),$C$5,$E$5)</f>
        <v/>
      </c>
      <c r="N4575" s="14">
        <f>IF($AB4575&lt;($D$6-$C$6)/($E$6-$C$6),$C$6+SQRT($AB4575*($E$6-$C$6)*($D$6-$C$6)),$E$6-SQRT((1-$AB4575)*($E$6-$C$6)*($E$6-$D$6)))</f>
        <v/>
      </c>
      <c r="O4575" s="14">
        <f>_xlfn.NORM.INV($AC4575,$C$7,$D$7)</f>
        <v/>
      </c>
      <c r="P4575" s="14">
        <f>$C$8+($D$8-$C$8)*$AD4575</f>
        <v/>
      </c>
      <c r="Q4575" s="14">
        <f>$C$9</f>
        <v/>
      </c>
      <c r="R4575" s="14">
        <f>_xlfn.LOGNORM.INV($AF4575,LN($C$10)-0.5*LN(1+($D$10/$C$10)^2),SQRT(LN(1+($D$10/$C$10)^2)))</f>
        <v/>
      </c>
      <c r="S4575" s="14">
        <f>SUM(M4575:R4575)</f>
        <v/>
      </c>
      <c r="AA4575">
        <f>RAND()</f>
        <v/>
      </c>
      <c r="AB4575">
        <f>RAND()</f>
        <v/>
      </c>
      <c r="AC4575">
        <f>RAND()</f>
        <v/>
      </c>
      <c r="AD4575">
        <f>RAND()</f>
        <v/>
      </c>
      <c r="AE4575">
        <f>RAND()</f>
        <v/>
      </c>
      <c r="AF4575">
        <f>RAND()</f>
        <v/>
      </c>
    </row>
    <row r="4576">
      <c r="M4576" s="14">
        <f>_xlfn.BETA.INV($AA4576,1+4*($D$5-$C$5)/($E$5-$C$5),1+4*($E$5-$D$5)/($E$5-$C$5),$C$5,$E$5)</f>
        <v/>
      </c>
      <c r="N4576" s="14">
        <f>IF($AB4576&lt;($D$6-$C$6)/($E$6-$C$6),$C$6+SQRT($AB4576*($E$6-$C$6)*($D$6-$C$6)),$E$6-SQRT((1-$AB4576)*($E$6-$C$6)*($E$6-$D$6)))</f>
        <v/>
      </c>
      <c r="O4576" s="14">
        <f>_xlfn.NORM.INV($AC4576,$C$7,$D$7)</f>
        <v/>
      </c>
      <c r="P4576" s="14">
        <f>$C$8+($D$8-$C$8)*$AD4576</f>
        <v/>
      </c>
      <c r="Q4576" s="14">
        <f>$C$9</f>
        <v/>
      </c>
      <c r="R4576" s="14">
        <f>_xlfn.LOGNORM.INV($AF4576,LN($C$10)-0.5*LN(1+($D$10/$C$10)^2),SQRT(LN(1+($D$10/$C$10)^2)))</f>
        <v/>
      </c>
      <c r="S4576" s="14">
        <f>SUM(M4576:R4576)</f>
        <v/>
      </c>
      <c r="AA4576">
        <f>RAND()</f>
        <v/>
      </c>
      <c r="AB4576">
        <f>RAND()</f>
        <v/>
      </c>
      <c r="AC4576">
        <f>RAND()</f>
        <v/>
      </c>
      <c r="AD4576">
        <f>RAND()</f>
        <v/>
      </c>
      <c r="AE4576">
        <f>RAND()</f>
        <v/>
      </c>
      <c r="AF4576">
        <f>RAND()</f>
        <v/>
      </c>
    </row>
    <row r="4577">
      <c r="M4577" s="14">
        <f>_xlfn.BETA.INV($AA4577,1+4*($D$5-$C$5)/($E$5-$C$5),1+4*($E$5-$D$5)/($E$5-$C$5),$C$5,$E$5)</f>
        <v/>
      </c>
      <c r="N4577" s="14">
        <f>IF($AB4577&lt;($D$6-$C$6)/($E$6-$C$6),$C$6+SQRT($AB4577*($E$6-$C$6)*($D$6-$C$6)),$E$6-SQRT((1-$AB4577)*($E$6-$C$6)*($E$6-$D$6)))</f>
        <v/>
      </c>
      <c r="O4577" s="14">
        <f>_xlfn.NORM.INV($AC4577,$C$7,$D$7)</f>
        <v/>
      </c>
      <c r="P4577" s="14">
        <f>$C$8+($D$8-$C$8)*$AD4577</f>
        <v/>
      </c>
      <c r="Q4577" s="14">
        <f>$C$9</f>
        <v/>
      </c>
      <c r="R4577" s="14">
        <f>_xlfn.LOGNORM.INV($AF4577,LN($C$10)-0.5*LN(1+($D$10/$C$10)^2),SQRT(LN(1+($D$10/$C$10)^2)))</f>
        <v/>
      </c>
      <c r="S4577" s="14">
        <f>SUM(M4577:R4577)</f>
        <v/>
      </c>
      <c r="AA4577">
        <f>RAND()</f>
        <v/>
      </c>
      <c r="AB4577">
        <f>RAND()</f>
        <v/>
      </c>
      <c r="AC4577">
        <f>RAND()</f>
        <v/>
      </c>
      <c r="AD4577">
        <f>RAND()</f>
        <v/>
      </c>
      <c r="AE4577">
        <f>RAND()</f>
        <v/>
      </c>
      <c r="AF4577">
        <f>RAND()</f>
        <v/>
      </c>
    </row>
    <row r="4578">
      <c r="M4578" s="14">
        <f>_xlfn.BETA.INV($AA4578,1+4*($D$5-$C$5)/($E$5-$C$5),1+4*($E$5-$D$5)/($E$5-$C$5),$C$5,$E$5)</f>
        <v/>
      </c>
      <c r="N4578" s="14">
        <f>IF($AB4578&lt;($D$6-$C$6)/($E$6-$C$6),$C$6+SQRT($AB4578*($E$6-$C$6)*($D$6-$C$6)),$E$6-SQRT((1-$AB4578)*($E$6-$C$6)*($E$6-$D$6)))</f>
        <v/>
      </c>
      <c r="O4578" s="14">
        <f>_xlfn.NORM.INV($AC4578,$C$7,$D$7)</f>
        <v/>
      </c>
      <c r="P4578" s="14">
        <f>$C$8+($D$8-$C$8)*$AD4578</f>
        <v/>
      </c>
      <c r="Q4578" s="14">
        <f>$C$9</f>
        <v/>
      </c>
      <c r="R4578" s="14">
        <f>_xlfn.LOGNORM.INV($AF4578,LN($C$10)-0.5*LN(1+($D$10/$C$10)^2),SQRT(LN(1+($D$10/$C$10)^2)))</f>
        <v/>
      </c>
      <c r="S4578" s="14">
        <f>SUM(M4578:R4578)</f>
        <v/>
      </c>
      <c r="AA4578">
        <f>RAND()</f>
        <v/>
      </c>
      <c r="AB4578">
        <f>RAND()</f>
        <v/>
      </c>
      <c r="AC4578">
        <f>RAND()</f>
        <v/>
      </c>
      <c r="AD4578">
        <f>RAND()</f>
        <v/>
      </c>
      <c r="AE4578">
        <f>RAND()</f>
        <v/>
      </c>
      <c r="AF4578">
        <f>RAND()</f>
        <v/>
      </c>
    </row>
    <row r="4579">
      <c r="M4579" s="14">
        <f>_xlfn.BETA.INV($AA4579,1+4*($D$5-$C$5)/($E$5-$C$5),1+4*($E$5-$D$5)/($E$5-$C$5),$C$5,$E$5)</f>
        <v/>
      </c>
      <c r="N4579" s="14">
        <f>IF($AB4579&lt;($D$6-$C$6)/($E$6-$C$6),$C$6+SQRT($AB4579*($E$6-$C$6)*($D$6-$C$6)),$E$6-SQRT((1-$AB4579)*($E$6-$C$6)*($E$6-$D$6)))</f>
        <v/>
      </c>
      <c r="O4579" s="14">
        <f>_xlfn.NORM.INV($AC4579,$C$7,$D$7)</f>
        <v/>
      </c>
      <c r="P4579" s="14">
        <f>$C$8+($D$8-$C$8)*$AD4579</f>
        <v/>
      </c>
      <c r="Q4579" s="14">
        <f>$C$9</f>
        <v/>
      </c>
      <c r="R4579" s="14">
        <f>_xlfn.LOGNORM.INV($AF4579,LN($C$10)-0.5*LN(1+($D$10/$C$10)^2),SQRT(LN(1+($D$10/$C$10)^2)))</f>
        <v/>
      </c>
      <c r="S4579" s="14">
        <f>SUM(M4579:R4579)</f>
        <v/>
      </c>
      <c r="AA4579">
        <f>RAND()</f>
        <v/>
      </c>
      <c r="AB4579">
        <f>RAND()</f>
        <v/>
      </c>
      <c r="AC4579">
        <f>RAND()</f>
        <v/>
      </c>
      <c r="AD4579">
        <f>RAND()</f>
        <v/>
      </c>
      <c r="AE4579">
        <f>RAND()</f>
        <v/>
      </c>
      <c r="AF4579">
        <f>RAND()</f>
        <v/>
      </c>
    </row>
    <row r="4580">
      <c r="M4580" s="14">
        <f>_xlfn.BETA.INV($AA4580,1+4*($D$5-$C$5)/($E$5-$C$5),1+4*($E$5-$D$5)/($E$5-$C$5),$C$5,$E$5)</f>
        <v/>
      </c>
      <c r="N4580" s="14">
        <f>IF($AB4580&lt;($D$6-$C$6)/($E$6-$C$6),$C$6+SQRT($AB4580*($E$6-$C$6)*($D$6-$C$6)),$E$6-SQRT((1-$AB4580)*($E$6-$C$6)*($E$6-$D$6)))</f>
        <v/>
      </c>
      <c r="O4580" s="14">
        <f>_xlfn.NORM.INV($AC4580,$C$7,$D$7)</f>
        <v/>
      </c>
      <c r="P4580" s="14">
        <f>$C$8+($D$8-$C$8)*$AD4580</f>
        <v/>
      </c>
      <c r="Q4580" s="14">
        <f>$C$9</f>
        <v/>
      </c>
      <c r="R4580" s="14">
        <f>_xlfn.LOGNORM.INV($AF4580,LN($C$10)-0.5*LN(1+($D$10/$C$10)^2),SQRT(LN(1+($D$10/$C$10)^2)))</f>
        <v/>
      </c>
      <c r="S4580" s="14">
        <f>SUM(M4580:R4580)</f>
        <v/>
      </c>
      <c r="AA4580">
        <f>RAND()</f>
        <v/>
      </c>
      <c r="AB4580">
        <f>RAND()</f>
        <v/>
      </c>
      <c r="AC4580">
        <f>RAND()</f>
        <v/>
      </c>
      <c r="AD4580">
        <f>RAND()</f>
        <v/>
      </c>
      <c r="AE4580">
        <f>RAND()</f>
        <v/>
      </c>
      <c r="AF4580">
        <f>RAND()</f>
        <v/>
      </c>
    </row>
    <row r="4581">
      <c r="M4581" s="14">
        <f>_xlfn.BETA.INV($AA4581,1+4*($D$5-$C$5)/($E$5-$C$5),1+4*($E$5-$D$5)/($E$5-$C$5),$C$5,$E$5)</f>
        <v/>
      </c>
      <c r="N4581" s="14">
        <f>IF($AB4581&lt;($D$6-$C$6)/($E$6-$C$6),$C$6+SQRT($AB4581*($E$6-$C$6)*($D$6-$C$6)),$E$6-SQRT((1-$AB4581)*($E$6-$C$6)*($E$6-$D$6)))</f>
        <v/>
      </c>
      <c r="O4581" s="14">
        <f>_xlfn.NORM.INV($AC4581,$C$7,$D$7)</f>
        <v/>
      </c>
      <c r="P4581" s="14">
        <f>$C$8+($D$8-$C$8)*$AD4581</f>
        <v/>
      </c>
      <c r="Q4581" s="14">
        <f>$C$9</f>
        <v/>
      </c>
      <c r="R4581" s="14">
        <f>_xlfn.LOGNORM.INV($AF4581,LN($C$10)-0.5*LN(1+($D$10/$C$10)^2),SQRT(LN(1+($D$10/$C$10)^2)))</f>
        <v/>
      </c>
      <c r="S4581" s="14">
        <f>SUM(M4581:R4581)</f>
        <v/>
      </c>
      <c r="AA4581">
        <f>RAND()</f>
        <v/>
      </c>
      <c r="AB4581">
        <f>RAND()</f>
        <v/>
      </c>
      <c r="AC4581">
        <f>RAND()</f>
        <v/>
      </c>
      <c r="AD4581">
        <f>RAND()</f>
        <v/>
      </c>
      <c r="AE4581">
        <f>RAND()</f>
        <v/>
      </c>
      <c r="AF4581">
        <f>RAND()</f>
        <v/>
      </c>
    </row>
    <row r="4582">
      <c r="M4582" s="14">
        <f>_xlfn.BETA.INV($AA4582,1+4*($D$5-$C$5)/($E$5-$C$5),1+4*($E$5-$D$5)/($E$5-$C$5),$C$5,$E$5)</f>
        <v/>
      </c>
      <c r="N4582" s="14">
        <f>IF($AB4582&lt;($D$6-$C$6)/($E$6-$C$6),$C$6+SQRT($AB4582*($E$6-$C$6)*($D$6-$C$6)),$E$6-SQRT((1-$AB4582)*($E$6-$C$6)*($E$6-$D$6)))</f>
        <v/>
      </c>
      <c r="O4582" s="14">
        <f>_xlfn.NORM.INV($AC4582,$C$7,$D$7)</f>
        <v/>
      </c>
      <c r="P4582" s="14">
        <f>$C$8+($D$8-$C$8)*$AD4582</f>
        <v/>
      </c>
      <c r="Q4582" s="14">
        <f>$C$9</f>
        <v/>
      </c>
      <c r="R4582" s="14">
        <f>_xlfn.LOGNORM.INV($AF4582,LN($C$10)-0.5*LN(1+($D$10/$C$10)^2),SQRT(LN(1+($D$10/$C$10)^2)))</f>
        <v/>
      </c>
      <c r="S4582" s="14">
        <f>SUM(M4582:R4582)</f>
        <v/>
      </c>
      <c r="AA4582">
        <f>RAND()</f>
        <v/>
      </c>
      <c r="AB4582">
        <f>RAND()</f>
        <v/>
      </c>
      <c r="AC4582">
        <f>RAND()</f>
        <v/>
      </c>
      <c r="AD4582">
        <f>RAND()</f>
        <v/>
      </c>
      <c r="AE4582">
        <f>RAND()</f>
        <v/>
      </c>
      <c r="AF4582">
        <f>RAND()</f>
        <v/>
      </c>
    </row>
    <row r="4583">
      <c r="M4583" s="14">
        <f>_xlfn.BETA.INV($AA4583,1+4*($D$5-$C$5)/($E$5-$C$5),1+4*($E$5-$D$5)/($E$5-$C$5),$C$5,$E$5)</f>
        <v/>
      </c>
      <c r="N4583" s="14">
        <f>IF($AB4583&lt;($D$6-$C$6)/($E$6-$C$6),$C$6+SQRT($AB4583*($E$6-$C$6)*($D$6-$C$6)),$E$6-SQRT((1-$AB4583)*($E$6-$C$6)*($E$6-$D$6)))</f>
        <v/>
      </c>
      <c r="O4583" s="14">
        <f>_xlfn.NORM.INV($AC4583,$C$7,$D$7)</f>
        <v/>
      </c>
      <c r="P4583" s="14">
        <f>$C$8+($D$8-$C$8)*$AD4583</f>
        <v/>
      </c>
      <c r="Q4583" s="14">
        <f>$C$9</f>
        <v/>
      </c>
      <c r="R4583" s="14">
        <f>_xlfn.LOGNORM.INV($AF4583,LN($C$10)-0.5*LN(1+($D$10/$C$10)^2),SQRT(LN(1+($D$10/$C$10)^2)))</f>
        <v/>
      </c>
      <c r="S4583" s="14">
        <f>SUM(M4583:R4583)</f>
        <v/>
      </c>
      <c r="AA4583">
        <f>RAND()</f>
        <v/>
      </c>
      <c r="AB4583">
        <f>RAND()</f>
        <v/>
      </c>
      <c r="AC4583">
        <f>RAND()</f>
        <v/>
      </c>
      <c r="AD4583">
        <f>RAND()</f>
        <v/>
      </c>
      <c r="AE4583">
        <f>RAND()</f>
        <v/>
      </c>
      <c r="AF4583">
        <f>RAND()</f>
        <v/>
      </c>
    </row>
    <row r="4584">
      <c r="M4584" s="14">
        <f>_xlfn.BETA.INV($AA4584,1+4*($D$5-$C$5)/($E$5-$C$5),1+4*($E$5-$D$5)/($E$5-$C$5),$C$5,$E$5)</f>
        <v/>
      </c>
      <c r="N4584" s="14">
        <f>IF($AB4584&lt;($D$6-$C$6)/($E$6-$C$6),$C$6+SQRT($AB4584*($E$6-$C$6)*($D$6-$C$6)),$E$6-SQRT((1-$AB4584)*($E$6-$C$6)*($E$6-$D$6)))</f>
        <v/>
      </c>
      <c r="O4584" s="14">
        <f>_xlfn.NORM.INV($AC4584,$C$7,$D$7)</f>
        <v/>
      </c>
      <c r="P4584" s="14">
        <f>$C$8+($D$8-$C$8)*$AD4584</f>
        <v/>
      </c>
      <c r="Q4584" s="14">
        <f>$C$9</f>
        <v/>
      </c>
      <c r="R4584" s="14">
        <f>_xlfn.LOGNORM.INV($AF4584,LN($C$10)-0.5*LN(1+($D$10/$C$10)^2),SQRT(LN(1+($D$10/$C$10)^2)))</f>
        <v/>
      </c>
      <c r="S4584" s="14">
        <f>SUM(M4584:R4584)</f>
        <v/>
      </c>
      <c r="AA4584">
        <f>RAND()</f>
        <v/>
      </c>
      <c r="AB4584">
        <f>RAND()</f>
        <v/>
      </c>
      <c r="AC4584">
        <f>RAND()</f>
        <v/>
      </c>
      <c r="AD4584">
        <f>RAND()</f>
        <v/>
      </c>
      <c r="AE4584">
        <f>RAND()</f>
        <v/>
      </c>
      <c r="AF4584">
        <f>RAND()</f>
        <v/>
      </c>
    </row>
    <row r="4585">
      <c r="M4585" s="14">
        <f>_xlfn.BETA.INV($AA4585,1+4*($D$5-$C$5)/($E$5-$C$5),1+4*($E$5-$D$5)/($E$5-$C$5),$C$5,$E$5)</f>
        <v/>
      </c>
      <c r="N4585" s="14">
        <f>IF($AB4585&lt;($D$6-$C$6)/($E$6-$C$6),$C$6+SQRT($AB4585*($E$6-$C$6)*($D$6-$C$6)),$E$6-SQRT((1-$AB4585)*($E$6-$C$6)*($E$6-$D$6)))</f>
        <v/>
      </c>
      <c r="O4585" s="14">
        <f>_xlfn.NORM.INV($AC4585,$C$7,$D$7)</f>
        <v/>
      </c>
      <c r="P4585" s="14">
        <f>$C$8+($D$8-$C$8)*$AD4585</f>
        <v/>
      </c>
      <c r="Q4585" s="14">
        <f>$C$9</f>
        <v/>
      </c>
      <c r="R4585" s="14">
        <f>_xlfn.LOGNORM.INV($AF4585,LN($C$10)-0.5*LN(1+($D$10/$C$10)^2),SQRT(LN(1+($D$10/$C$10)^2)))</f>
        <v/>
      </c>
      <c r="S4585" s="14">
        <f>SUM(M4585:R4585)</f>
        <v/>
      </c>
      <c r="AA4585">
        <f>RAND()</f>
        <v/>
      </c>
      <c r="AB4585">
        <f>RAND()</f>
        <v/>
      </c>
      <c r="AC4585">
        <f>RAND()</f>
        <v/>
      </c>
      <c r="AD4585">
        <f>RAND()</f>
        <v/>
      </c>
      <c r="AE4585">
        <f>RAND()</f>
        <v/>
      </c>
      <c r="AF4585">
        <f>RAND()</f>
        <v/>
      </c>
    </row>
    <row r="4586">
      <c r="M4586" s="14">
        <f>_xlfn.BETA.INV($AA4586,1+4*($D$5-$C$5)/($E$5-$C$5),1+4*($E$5-$D$5)/($E$5-$C$5),$C$5,$E$5)</f>
        <v/>
      </c>
      <c r="N4586" s="14">
        <f>IF($AB4586&lt;($D$6-$C$6)/($E$6-$C$6),$C$6+SQRT($AB4586*($E$6-$C$6)*($D$6-$C$6)),$E$6-SQRT((1-$AB4586)*($E$6-$C$6)*($E$6-$D$6)))</f>
        <v/>
      </c>
      <c r="O4586" s="14">
        <f>_xlfn.NORM.INV($AC4586,$C$7,$D$7)</f>
        <v/>
      </c>
      <c r="P4586" s="14">
        <f>$C$8+($D$8-$C$8)*$AD4586</f>
        <v/>
      </c>
      <c r="Q4586" s="14">
        <f>$C$9</f>
        <v/>
      </c>
      <c r="R4586" s="14">
        <f>_xlfn.LOGNORM.INV($AF4586,LN($C$10)-0.5*LN(1+($D$10/$C$10)^2),SQRT(LN(1+($D$10/$C$10)^2)))</f>
        <v/>
      </c>
      <c r="S4586" s="14">
        <f>SUM(M4586:R4586)</f>
        <v/>
      </c>
      <c r="AA4586">
        <f>RAND()</f>
        <v/>
      </c>
      <c r="AB4586">
        <f>RAND()</f>
        <v/>
      </c>
      <c r="AC4586">
        <f>RAND()</f>
        <v/>
      </c>
      <c r="AD4586">
        <f>RAND()</f>
        <v/>
      </c>
      <c r="AE4586">
        <f>RAND()</f>
        <v/>
      </c>
      <c r="AF4586">
        <f>RAND()</f>
        <v/>
      </c>
    </row>
    <row r="4587">
      <c r="M4587" s="14">
        <f>_xlfn.BETA.INV($AA4587,1+4*($D$5-$C$5)/($E$5-$C$5),1+4*($E$5-$D$5)/($E$5-$C$5),$C$5,$E$5)</f>
        <v/>
      </c>
      <c r="N4587" s="14">
        <f>IF($AB4587&lt;($D$6-$C$6)/($E$6-$C$6),$C$6+SQRT($AB4587*($E$6-$C$6)*($D$6-$C$6)),$E$6-SQRT((1-$AB4587)*($E$6-$C$6)*($E$6-$D$6)))</f>
        <v/>
      </c>
      <c r="O4587" s="14">
        <f>_xlfn.NORM.INV($AC4587,$C$7,$D$7)</f>
        <v/>
      </c>
      <c r="P4587" s="14">
        <f>$C$8+($D$8-$C$8)*$AD4587</f>
        <v/>
      </c>
      <c r="Q4587" s="14">
        <f>$C$9</f>
        <v/>
      </c>
      <c r="R4587" s="14">
        <f>_xlfn.LOGNORM.INV($AF4587,LN($C$10)-0.5*LN(1+($D$10/$C$10)^2),SQRT(LN(1+($D$10/$C$10)^2)))</f>
        <v/>
      </c>
      <c r="S4587" s="14">
        <f>SUM(M4587:R4587)</f>
        <v/>
      </c>
      <c r="AA4587">
        <f>RAND()</f>
        <v/>
      </c>
      <c r="AB4587">
        <f>RAND()</f>
        <v/>
      </c>
      <c r="AC4587">
        <f>RAND()</f>
        <v/>
      </c>
      <c r="AD4587">
        <f>RAND()</f>
        <v/>
      </c>
      <c r="AE4587">
        <f>RAND()</f>
        <v/>
      </c>
      <c r="AF4587">
        <f>RAND()</f>
        <v/>
      </c>
    </row>
    <row r="4588">
      <c r="M4588" s="14">
        <f>_xlfn.BETA.INV($AA4588,1+4*($D$5-$C$5)/($E$5-$C$5),1+4*($E$5-$D$5)/($E$5-$C$5),$C$5,$E$5)</f>
        <v/>
      </c>
      <c r="N4588" s="14">
        <f>IF($AB4588&lt;($D$6-$C$6)/($E$6-$C$6),$C$6+SQRT($AB4588*($E$6-$C$6)*($D$6-$C$6)),$E$6-SQRT((1-$AB4588)*($E$6-$C$6)*($E$6-$D$6)))</f>
        <v/>
      </c>
      <c r="O4588" s="14">
        <f>_xlfn.NORM.INV($AC4588,$C$7,$D$7)</f>
        <v/>
      </c>
      <c r="P4588" s="14">
        <f>$C$8+($D$8-$C$8)*$AD4588</f>
        <v/>
      </c>
      <c r="Q4588" s="14">
        <f>$C$9</f>
        <v/>
      </c>
      <c r="R4588" s="14">
        <f>_xlfn.LOGNORM.INV($AF4588,LN($C$10)-0.5*LN(1+($D$10/$C$10)^2),SQRT(LN(1+($D$10/$C$10)^2)))</f>
        <v/>
      </c>
      <c r="S4588" s="14">
        <f>SUM(M4588:R4588)</f>
        <v/>
      </c>
      <c r="AA4588">
        <f>RAND()</f>
        <v/>
      </c>
      <c r="AB4588">
        <f>RAND()</f>
        <v/>
      </c>
      <c r="AC4588">
        <f>RAND()</f>
        <v/>
      </c>
      <c r="AD4588">
        <f>RAND()</f>
        <v/>
      </c>
      <c r="AE4588">
        <f>RAND()</f>
        <v/>
      </c>
      <c r="AF4588">
        <f>RAND()</f>
        <v/>
      </c>
    </row>
    <row r="4589">
      <c r="M4589" s="14">
        <f>_xlfn.BETA.INV($AA4589,1+4*($D$5-$C$5)/($E$5-$C$5),1+4*($E$5-$D$5)/($E$5-$C$5),$C$5,$E$5)</f>
        <v/>
      </c>
      <c r="N4589" s="14">
        <f>IF($AB4589&lt;($D$6-$C$6)/($E$6-$C$6),$C$6+SQRT($AB4589*($E$6-$C$6)*($D$6-$C$6)),$E$6-SQRT((1-$AB4589)*($E$6-$C$6)*($E$6-$D$6)))</f>
        <v/>
      </c>
      <c r="O4589" s="14">
        <f>_xlfn.NORM.INV($AC4589,$C$7,$D$7)</f>
        <v/>
      </c>
      <c r="P4589" s="14">
        <f>$C$8+($D$8-$C$8)*$AD4589</f>
        <v/>
      </c>
      <c r="Q4589" s="14">
        <f>$C$9</f>
        <v/>
      </c>
      <c r="R4589" s="14">
        <f>_xlfn.LOGNORM.INV($AF4589,LN($C$10)-0.5*LN(1+($D$10/$C$10)^2),SQRT(LN(1+($D$10/$C$10)^2)))</f>
        <v/>
      </c>
      <c r="S4589" s="14">
        <f>SUM(M4589:R4589)</f>
        <v/>
      </c>
      <c r="AA4589">
        <f>RAND()</f>
        <v/>
      </c>
      <c r="AB4589">
        <f>RAND()</f>
        <v/>
      </c>
      <c r="AC4589">
        <f>RAND()</f>
        <v/>
      </c>
      <c r="AD4589">
        <f>RAND()</f>
        <v/>
      </c>
      <c r="AE4589">
        <f>RAND()</f>
        <v/>
      </c>
      <c r="AF4589">
        <f>RAND()</f>
        <v/>
      </c>
    </row>
    <row r="4590">
      <c r="M4590" s="14">
        <f>_xlfn.BETA.INV($AA4590,1+4*($D$5-$C$5)/($E$5-$C$5),1+4*($E$5-$D$5)/($E$5-$C$5),$C$5,$E$5)</f>
        <v/>
      </c>
      <c r="N4590" s="14">
        <f>IF($AB4590&lt;($D$6-$C$6)/($E$6-$C$6),$C$6+SQRT($AB4590*($E$6-$C$6)*($D$6-$C$6)),$E$6-SQRT((1-$AB4590)*($E$6-$C$6)*($E$6-$D$6)))</f>
        <v/>
      </c>
      <c r="O4590" s="14">
        <f>_xlfn.NORM.INV($AC4590,$C$7,$D$7)</f>
        <v/>
      </c>
      <c r="P4590" s="14">
        <f>$C$8+($D$8-$C$8)*$AD4590</f>
        <v/>
      </c>
      <c r="Q4590" s="14">
        <f>$C$9</f>
        <v/>
      </c>
      <c r="R4590" s="14">
        <f>_xlfn.LOGNORM.INV($AF4590,LN($C$10)-0.5*LN(1+($D$10/$C$10)^2),SQRT(LN(1+($D$10/$C$10)^2)))</f>
        <v/>
      </c>
      <c r="S4590" s="14">
        <f>SUM(M4590:R4590)</f>
        <v/>
      </c>
      <c r="AA4590">
        <f>RAND()</f>
        <v/>
      </c>
      <c r="AB4590">
        <f>RAND()</f>
        <v/>
      </c>
      <c r="AC4590">
        <f>RAND()</f>
        <v/>
      </c>
      <c r="AD4590">
        <f>RAND()</f>
        <v/>
      </c>
      <c r="AE4590">
        <f>RAND()</f>
        <v/>
      </c>
      <c r="AF4590">
        <f>RAND()</f>
        <v/>
      </c>
    </row>
    <row r="4591">
      <c r="M4591" s="14">
        <f>_xlfn.BETA.INV($AA4591,1+4*($D$5-$C$5)/($E$5-$C$5),1+4*($E$5-$D$5)/($E$5-$C$5),$C$5,$E$5)</f>
        <v/>
      </c>
      <c r="N4591" s="14">
        <f>IF($AB4591&lt;($D$6-$C$6)/($E$6-$C$6),$C$6+SQRT($AB4591*($E$6-$C$6)*($D$6-$C$6)),$E$6-SQRT((1-$AB4591)*($E$6-$C$6)*($E$6-$D$6)))</f>
        <v/>
      </c>
      <c r="O4591" s="14">
        <f>_xlfn.NORM.INV($AC4591,$C$7,$D$7)</f>
        <v/>
      </c>
      <c r="P4591" s="14">
        <f>$C$8+($D$8-$C$8)*$AD4591</f>
        <v/>
      </c>
      <c r="Q4591" s="14">
        <f>$C$9</f>
        <v/>
      </c>
      <c r="R4591" s="14">
        <f>_xlfn.LOGNORM.INV($AF4591,LN($C$10)-0.5*LN(1+($D$10/$C$10)^2),SQRT(LN(1+($D$10/$C$10)^2)))</f>
        <v/>
      </c>
      <c r="S4591" s="14">
        <f>SUM(M4591:R4591)</f>
        <v/>
      </c>
      <c r="AA4591">
        <f>RAND()</f>
        <v/>
      </c>
      <c r="AB4591">
        <f>RAND()</f>
        <v/>
      </c>
      <c r="AC4591">
        <f>RAND()</f>
        <v/>
      </c>
      <c r="AD4591">
        <f>RAND()</f>
        <v/>
      </c>
      <c r="AE4591">
        <f>RAND()</f>
        <v/>
      </c>
      <c r="AF4591">
        <f>RAND()</f>
        <v/>
      </c>
    </row>
    <row r="4592">
      <c r="M4592" s="14">
        <f>_xlfn.BETA.INV($AA4592,1+4*($D$5-$C$5)/($E$5-$C$5),1+4*($E$5-$D$5)/($E$5-$C$5),$C$5,$E$5)</f>
        <v/>
      </c>
      <c r="N4592" s="14">
        <f>IF($AB4592&lt;($D$6-$C$6)/($E$6-$C$6),$C$6+SQRT($AB4592*($E$6-$C$6)*($D$6-$C$6)),$E$6-SQRT((1-$AB4592)*($E$6-$C$6)*($E$6-$D$6)))</f>
        <v/>
      </c>
      <c r="O4592" s="14">
        <f>_xlfn.NORM.INV($AC4592,$C$7,$D$7)</f>
        <v/>
      </c>
      <c r="P4592" s="14">
        <f>$C$8+($D$8-$C$8)*$AD4592</f>
        <v/>
      </c>
      <c r="Q4592" s="14">
        <f>$C$9</f>
        <v/>
      </c>
      <c r="R4592" s="14">
        <f>_xlfn.LOGNORM.INV($AF4592,LN($C$10)-0.5*LN(1+($D$10/$C$10)^2),SQRT(LN(1+($D$10/$C$10)^2)))</f>
        <v/>
      </c>
      <c r="S4592" s="14">
        <f>SUM(M4592:R4592)</f>
        <v/>
      </c>
      <c r="AA4592">
        <f>RAND()</f>
        <v/>
      </c>
      <c r="AB4592">
        <f>RAND()</f>
        <v/>
      </c>
      <c r="AC4592">
        <f>RAND()</f>
        <v/>
      </c>
      <c r="AD4592">
        <f>RAND()</f>
        <v/>
      </c>
      <c r="AE4592">
        <f>RAND()</f>
        <v/>
      </c>
      <c r="AF4592">
        <f>RAND()</f>
        <v/>
      </c>
    </row>
    <row r="4593">
      <c r="M4593" s="14">
        <f>_xlfn.BETA.INV($AA4593,1+4*($D$5-$C$5)/($E$5-$C$5),1+4*($E$5-$D$5)/($E$5-$C$5),$C$5,$E$5)</f>
        <v/>
      </c>
      <c r="N4593" s="14">
        <f>IF($AB4593&lt;($D$6-$C$6)/($E$6-$C$6),$C$6+SQRT($AB4593*($E$6-$C$6)*($D$6-$C$6)),$E$6-SQRT((1-$AB4593)*($E$6-$C$6)*($E$6-$D$6)))</f>
        <v/>
      </c>
      <c r="O4593" s="14">
        <f>_xlfn.NORM.INV($AC4593,$C$7,$D$7)</f>
        <v/>
      </c>
      <c r="P4593" s="14">
        <f>$C$8+($D$8-$C$8)*$AD4593</f>
        <v/>
      </c>
      <c r="Q4593" s="14">
        <f>$C$9</f>
        <v/>
      </c>
      <c r="R4593" s="14">
        <f>_xlfn.LOGNORM.INV($AF4593,LN($C$10)-0.5*LN(1+($D$10/$C$10)^2),SQRT(LN(1+($D$10/$C$10)^2)))</f>
        <v/>
      </c>
      <c r="S4593" s="14">
        <f>SUM(M4593:R4593)</f>
        <v/>
      </c>
      <c r="AA4593">
        <f>RAND()</f>
        <v/>
      </c>
      <c r="AB4593">
        <f>RAND()</f>
        <v/>
      </c>
      <c r="AC4593">
        <f>RAND()</f>
        <v/>
      </c>
      <c r="AD4593">
        <f>RAND()</f>
        <v/>
      </c>
      <c r="AE4593">
        <f>RAND()</f>
        <v/>
      </c>
      <c r="AF4593">
        <f>RAND()</f>
        <v/>
      </c>
    </row>
    <row r="4594">
      <c r="M4594" s="14">
        <f>_xlfn.BETA.INV($AA4594,1+4*($D$5-$C$5)/($E$5-$C$5),1+4*($E$5-$D$5)/($E$5-$C$5),$C$5,$E$5)</f>
        <v/>
      </c>
      <c r="N4594" s="14">
        <f>IF($AB4594&lt;($D$6-$C$6)/($E$6-$C$6),$C$6+SQRT($AB4594*($E$6-$C$6)*($D$6-$C$6)),$E$6-SQRT((1-$AB4594)*($E$6-$C$6)*($E$6-$D$6)))</f>
        <v/>
      </c>
      <c r="O4594" s="14">
        <f>_xlfn.NORM.INV($AC4594,$C$7,$D$7)</f>
        <v/>
      </c>
      <c r="P4594" s="14">
        <f>$C$8+($D$8-$C$8)*$AD4594</f>
        <v/>
      </c>
      <c r="Q4594" s="14">
        <f>$C$9</f>
        <v/>
      </c>
      <c r="R4594" s="14">
        <f>_xlfn.LOGNORM.INV($AF4594,LN($C$10)-0.5*LN(1+($D$10/$C$10)^2),SQRT(LN(1+($D$10/$C$10)^2)))</f>
        <v/>
      </c>
      <c r="S4594" s="14">
        <f>SUM(M4594:R4594)</f>
        <v/>
      </c>
      <c r="AA4594">
        <f>RAND()</f>
        <v/>
      </c>
      <c r="AB4594">
        <f>RAND()</f>
        <v/>
      </c>
      <c r="AC4594">
        <f>RAND()</f>
        <v/>
      </c>
      <c r="AD4594">
        <f>RAND()</f>
        <v/>
      </c>
      <c r="AE4594">
        <f>RAND()</f>
        <v/>
      </c>
      <c r="AF4594">
        <f>RAND()</f>
        <v/>
      </c>
    </row>
    <row r="4595">
      <c r="M4595" s="14">
        <f>_xlfn.BETA.INV($AA4595,1+4*($D$5-$C$5)/($E$5-$C$5),1+4*($E$5-$D$5)/($E$5-$C$5),$C$5,$E$5)</f>
        <v/>
      </c>
      <c r="N4595" s="14">
        <f>IF($AB4595&lt;($D$6-$C$6)/($E$6-$C$6),$C$6+SQRT($AB4595*($E$6-$C$6)*($D$6-$C$6)),$E$6-SQRT((1-$AB4595)*($E$6-$C$6)*($E$6-$D$6)))</f>
        <v/>
      </c>
      <c r="O4595" s="14">
        <f>_xlfn.NORM.INV($AC4595,$C$7,$D$7)</f>
        <v/>
      </c>
      <c r="P4595" s="14">
        <f>$C$8+($D$8-$C$8)*$AD4595</f>
        <v/>
      </c>
      <c r="Q4595" s="14">
        <f>$C$9</f>
        <v/>
      </c>
      <c r="R4595" s="14">
        <f>_xlfn.LOGNORM.INV($AF4595,LN($C$10)-0.5*LN(1+($D$10/$C$10)^2),SQRT(LN(1+($D$10/$C$10)^2)))</f>
        <v/>
      </c>
      <c r="S4595" s="14">
        <f>SUM(M4595:R4595)</f>
        <v/>
      </c>
      <c r="AA4595">
        <f>RAND()</f>
        <v/>
      </c>
      <c r="AB4595">
        <f>RAND()</f>
        <v/>
      </c>
      <c r="AC4595">
        <f>RAND()</f>
        <v/>
      </c>
      <c r="AD4595">
        <f>RAND()</f>
        <v/>
      </c>
      <c r="AE4595">
        <f>RAND()</f>
        <v/>
      </c>
      <c r="AF4595">
        <f>RAND()</f>
        <v/>
      </c>
    </row>
    <row r="4596">
      <c r="M4596" s="14">
        <f>_xlfn.BETA.INV($AA4596,1+4*($D$5-$C$5)/($E$5-$C$5),1+4*($E$5-$D$5)/($E$5-$C$5),$C$5,$E$5)</f>
        <v/>
      </c>
      <c r="N4596" s="14">
        <f>IF($AB4596&lt;($D$6-$C$6)/($E$6-$C$6),$C$6+SQRT($AB4596*($E$6-$C$6)*($D$6-$C$6)),$E$6-SQRT((1-$AB4596)*($E$6-$C$6)*($E$6-$D$6)))</f>
        <v/>
      </c>
      <c r="O4596" s="14">
        <f>_xlfn.NORM.INV($AC4596,$C$7,$D$7)</f>
        <v/>
      </c>
      <c r="P4596" s="14">
        <f>$C$8+($D$8-$C$8)*$AD4596</f>
        <v/>
      </c>
      <c r="Q4596" s="14">
        <f>$C$9</f>
        <v/>
      </c>
      <c r="R4596" s="14">
        <f>_xlfn.LOGNORM.INV($AF4596,LN($C$10)-0.5*LN(1+($D$10/$C$10)^2),SQRT(LN(1+($D$10/$C$10)^2)))</f>
        <v/>
      </c>
      <c r="S4596" s="14">
        <f>SUM(M4596:R4596)</f>
        <v/>
      </c>
      <c r="AA4596">
        <f>RAND()</f>
        <v/>
      </c>
      <c r="AB4596">
        <f>RAND()</f>
        <v/>
      </c>
      <c r="AC4596">
        <f>RAND()</f>
        <v/>
      </c>
      <c r="AD4596">
        <f>RAND()</f>
        <v/>
      </c>
      <c r="AE4596">
        <f>RAND()</f>
        <v/>
      </c>
      <c r="AF4596">
        <f>RAND()</f>
        <v/>
      </c>
    </row>
    <row r="4597">
      <c r="M4597" s="14">
        <f>_xlfn.BETA.INV($AA4597,1+4*($D$5-$C$5)/($E$5-$C$5),1+4*($E$5-$D$5)/($E$5-$C$5),$C$5,$E$5)</f>
        <v/>
      </c>
      <c r="N4597" s="14">
        <f>IF($AB4597&lt;($D$6-$C$6)/($E$6-$C$6),$C$6+SQRT($AB4597*($E$6-$C$6)*($D$6-$C$6)),$E$6-SQRT((1-$AB4597)*($E$6-$C$6)*($E$6-$D$6)))</f>
        <v/>
      </c>
      <c r="O4597" s="14">
        <f>_xlfn.NORM.INV($AC4597,$C$7,$D$7)</f>
        <v/>
      </c>
      <c r="P4597" s="14">
        <f>$C$8+($D$8-$C$8)*$AD4597</f>
        <v/>
      </c>
      <c r="Q4597" s="14">
        <f>$C$9</f>
        <v/>
      </c>
      <c r="R4597" s="14">
        <f>_xlfn.LOGNORM.INV($AF4597,LN($C$10)-0.5*LN(1+($D$10/$C$10)^2),SQRT(LN(1+($D$10/$C$10)^2)))</f>
        <v/>
      </c>
      <c r="S4597" s="14">
        <f>SUM(M4597:R4597)</f>
        <v/>
      </c>
      <c r="AA4597">
        <f>RAND()</f>
        <v/>
      </c>
      <c r="AB4597">
        <f>RAND()</f>
        <v/>
      </c>
      <c r="AC4597">
        <f>RAND()</f>
        <v/>
      </c>
      <c r="AD4597">
        <f>RAND()</f>
        <v/>
      </c>
      <c r="AE4597">
        <f>RAND()</f>
        <v/>
      </c>
      <c r="AF4597">
        <f>RAND()</f>
        <v/>
      </c>
    </row>
    <row r="4598">
      <c r="M4598" s="14">
        <f>_xlfn.BETA.INV($AA4598,1+4*($D$5-$C$5)/($E$5-$C$5),1+4*($E$5-$D$5)/($E$5-$C$5),$C$5,$E$5)</f>
        <v/>
      </c>
      <c r="N4598" s="14">
        <f>IF($AB4598&lt;($D$6-$C$6)/($E$6-$C$6),$C$6+SQRT($AB4598*($E$6-$C$6)*($D$6-$C$6)),$E$6-SQRT((1-$AB4598)*($E$6-$C$6)*($E$6-$D$6)))</f>
        <v/>
      </c>
      <c r="O4598" s="14">
        <f>_xlfn.NORM.INV($AC4598,$C$7,$D$7)</f>
        <v/>
      </c>
      <c r="P4598" s="14">
        <f>$C$8+($D$8-$C$8)*$AD4598</f>
        <v/>
      </c>
      <c r="Q4598" s="14">
        <f>$C$9</f>
        <v/>
      </c>
      <c r="R4598" s="14">
        <f>_xlfn.LOGNORM.INV($AF4598,LN($C$10)-0.5*LN(1+($D$10/$C$10)^2),SQRT(LN(1+($D$10/$C$10)^2)))</f>
        <v/>
      </c>
      <c r="S4598" s="14">
        <f>SUM(M4598:R4598)</f>
        <v/>
      </c>
      <c r="AA4598">
        <f>RAND()</f>
        <v/>
      </c>
      <c r="AB4598">
        <f>RAND()</f>
        <v/>
      </c>
      <c r="AC4598">
        <f>RAND()</f>
        <v/>
      </c>
      <c r="AD4598">
        <f>RAND()</f>
        <v/>
      </c>
      <c r="AE4598">
        <f>RAND()</f>
        <v/>
      </c>
      <c r="AF4598">
        <f>RAND()</f>
        <v/>
      </c>
    </row>
    <row r="4599">
      <c r="M4599" s="14">
        <f>_xlfn.BETA.INV($AA4599,1+4*($D$5-$C$5)/($E$5-$C$5),1+4*($E$5-$D$5)/($E$5-$C$5),$C$5,$E$5)</f>
        <v/>
      </c>
      <c r="N4599" s="14">
        <f>IF($AB4599&lt;($D$6-$C$6)/($E$6-$C$6),$C$6+SQRT($AB4599*($E$6-$C$6)*($D$6-$C$6)),$E$6-SQRT((1-$AB4599)*($E$6-$C$6)*($E$6-$D$6)))</f>
        <v/>
      </c>
      <c r="O4599" s="14">
        <f>_xlfn.NORM.INV($AC4599,$C$7,$D$7)</f>
        <v/>
      </c>
      <c r="P4599" s="14">
        <f>$C$8+($D$8-$C$8)*$AD4599</f>
        <v/>
      </c>
      <c r="Q4599" s="14">
        <f>$C$9</f>
        <v/>
      </c>
      <c r="R4599" s="14">
        <f>_xlfn.LOGNORM.INV($AF4599,LN($C$10)-0.5*LN(1+($D$10/$C$10)^2),SQRT(LN(1+($D$10/$C$10)^2)))</f>
        <v/>
      </c>
      <c r="S4599" s="14">
        <f>SUM(M4599:R4599)</f>
        <v/>
      </c>
      <c r="AA4599">
        <f>RAND()</f>
        <v/>
      </c>
      <c r="AB4599">
        <f>RAND()</f>
        <v/>
      </c>
      <c r="AC4599">
        <f>RAND()</f>
        <v/>
      </c>
      <c r="AD4599">
        <f>RAND()</f>
        <v/>
      </c>
      <c r="AE4599">
        <f>RAND()</f>
        <v/>
      </c>
      <c r="AF4599">
        <f>RAND()</f>
        <v/>
      </c>
    </row>
    <row r="4600">
      <c r="M4600" s="14">
        <f>_xlfn.BETA.INV($AA4600,1+4*($D$5-$C$5)/($E$5-$C$5),1+4*($E$5-$D$5)/($E$5-$C$5),$C$5,$E$5)</f>
        <v/>
      </c>
      <c r="N4600" s="14">
        <f>IF($AB4600&lt;($D$6-$C$6)/($E$6-$C$6),$C$6+SQRT($AB4600*($E$6-$C$6)*($D$6-$C$6)),$E$6-SQRT((1-$AB4600)*($E$6-$C$6)*($E$6-$D$6)))</f>
        <v/>
      </c>
      <c r="O4600" s="14">
        <f>_xlfn.NORM.INV($AC4600,$C$7,$D$7)</f>
        <v/>
      </c>
      <c r="P4600" s="14">
        <f>$C$8+($D$8-$C$8)*$AD4600</f>
        <v/>
      </c>
      <c r="Q4600" s="14">
        <f>$C$9</f>
        <v/>
      </c>
      <c r="R4600" s="14">
        <f>_xlfn.LOGNORM.INV($AF4600,LN($C$10)-0.5*LN(1+($D$10/$C$10)^2),SQRT(LN(1+($D$10/$C$10)^2)))</f>
        <v/>
      </c>
      <c r="S4600" s="14">
        <f>SUM(M4600:R4600)</f>
        <v/>
      </c>
      <c r="AA4600">
        <f>RAND()</f>
        <v/>
      </c>
      <c r="AB4600">
        <f>RAND()</f>
        <v/>
      </c>
      <c r="AC4600">
        <f>RAND()</f>
        <v/>
      </c>
      <c r="AD4600">
        <f>RAND()</f>
        <v/>
      </c>
      <c r="AE4600">
        <f>RAND()</f>
        <v/>
      </c>
      <c r="AF4600">
        <f>RAND()</f>
        <v/>
      </c>
    </row>
    <row r="4601">
      <c r="M4601" s="14">
        <f>_xlfn.BETA.INV($AA4601,1+4*($D$5-$C$5)/($E$5-$C$5),1+4*($E$5-$D$5)/($E$5-$C$5),$C$5,$E$5)</f>
        <v/>
      </c>
      <c r="N4601" s="14">
        <f>IF($AB4601&lt;($D$6-$C$6)/($E$6-$C$6),$C$6+SQRT($AB4601*($E$6-$C$6)*($D$6-$C$6)),$E$6-SQRT((1-$AB4601)*($E$6-$C$6)*($E$6-$D$6)))</f>
        <v/>
      </c>
      <c r="O4601" s="14">
        <f>_xlfn.NORM.INV($AC4601,$C$7,$D$7)</f>
        <v/>
      </c>
      <c r="P4601" s="14">
        <f>$C$8+($D$8-$C$8)*$AD4601</f>
        <v/>
      </c>
      <c r="Q4601" s="14">
        <f>$C$9</f>
        <v/>
      </c>
      <c r="R4601" s="14">
        <f>_xlfn.LOGNORM.INV($AF4601,LN($C$10)-0.5*LN(1+($D$10/$C$10)^2),SQRT(LN(1+($D$10/$C$10)^2)))</f>
        <v/>
      </c>
      <c r="S4601" s="14">
        <f>SUM(M4601:R4601)</f>
        <v/>
      </c>
      <c r="AA4601">
        <f>RAND()</f>
        <v/>
      </c>
      <c r="AB4601">
        <f>RAND()</f>
        <v/>
      </c>
      <c r="AC4601">
        <f>RAND()</f>
        <v/>
      </c>
      <c r="AD4601">
        <f>RAND()</f>
        <v/>
      </c>
      <c r="AE4601">
        <f>RAND()</f>
        <v/>
      </c>
      <c r="AF4601">
        <f>RAND()</f>
        <v/>
      </c>
    </row>
    <row r="4602">
      <c r="M4602" s="14">
        <f>_xlfn.BETA.INV($AA4602,1+4*($D$5-$C$5)/($E$5-$C$5),1+4*($E$5-$D$5)/($E$5-$C$5),$C$5,$E$5)</f>
        <v/>
      </c>
      <c r="N4602" s="14">
        <f>IF($AB4602&lt;($D$6-$C$6)/($E$6-$C$6),$C$6+SQRT($AB4602*($E$6-$C$6)*($D$6-$C$6)),$E$6-SQRT((1-$AB4602)*($E$6-$C$6)*($E$6-$D$6)))</f>
        <v/>
      </c>
      <c r="O4602" s="14">
        <f>_xlfn.NORM.INV($AC4602,$C$7,$D$7)</f>
        <v/>
      </c>
      <c r="P4602" s="14">
        <f>$C$8+($D$8-$C$8)*$AD4602</f>
        <v/>
      </c>
      <c r="Q4602" s="14">
        <f>$C$9</f>
        <v/>
      </c>
      <c r="R4602" s="14">
        <f>_xlfn.LOGNORM.INV($AF4602,LN($C$10)-0.5*LN(1+($D$10/$C$10)^2),SQRT(LN(1+($D$10/$C$10)^2)))</f>
        <v/>
      </c>
      <c r="S4602" s="14">
        <f>SUM(M4602:R4602)</f>
        <v/>
      </c>
      <c r="AA4602">
        <f>RAND()</f>
        <v/>
      </c>
      <c r="AB4602">
        <f>RAND()</f>
        <v/>
      </c>
      <c r="AC4602">
        <f>RAND()</f>
        <v/>
      </c>
      <c r="AD4602">
        <f>RAND()</f>
        <v/>
      </c>
      <c r="AE4602">
        <f>RAND()</f>
        <v/>
      </c>
      <c r="AF4602">
        <f>RAND()</f>
        <v/>
      </c>
    </row>
    <row r="4603">
      <c r="M4603" s="14">
        <f>_xlfn.BETA.INV($AA4603,1+4*($D$5-$C$5)/($E$5-$C$5),1+4*($E$5-$D$5)/($E$5-$C$5),$C$5,$E$5)</f>
        <v/>
      </c>
      <c r="N4603" s="14">
        <f>IF($AB4603&lt;($D$6-$C$6)/($E$6-$C$6),$C$6+SQRT($AB4603*($E$6-$C$6)*($D$6-$C$6)),$E$6-SQRT((1-$AB4603)*($E$6-$C$6)*($E$6-$D$6)))</f>
        <v/>
      </c>
      <c r="O4603" s="14">
        <f>_xlfn.NORM.INV($AC4603,$C$7,$D$7)</f>
        <v/>
      </c>
      <c r="P4603" s="14">
        <f>$C$8+($D$8-$C$8)*$AD4603</f>
        <v/>
      </c>
      <c r="Q4603" s="14">
        <f>$C$9</f>
        <v/>
      </c>
      <c r="R4603" s="14">
        <f>_xlfn.LOGNORM.INV($AF4603,LN($C$10)-0.5*LN(1+($D$10/$C$10)^2),SQRT(LN(1+($D$10/$C$10)^2)))</f>
        <v/>
      </c>
      <c r="S4603" s="14">
        <f>SUM(M4603:R4603)</f>
        <v/>
      </c>
      <c r="AA4603">
        <f>RAND()</f>
        <v/>
      </c>
      <c r="AB4603">
        <f>RAND()</f>
        <v/>
      </c>
      <c r="AC4603">
        <f>RAND()</f>
        <v/>
      </c>
      <c r="AD4603">
        <f>RAND()</f>
        <v/>
      </c>
      <c r="AE4603">
        <f>RAND()</f>
        <v/>
      </c>
      <c r="AF4603">
        <f>RAND()</f>
        <v/>
      </c>
    </row>
    <row r="4604">
      <c r="M4604" s="14">
        <f>_xlfn.BETA.INV($AA4604,1+4*($D$5-$C$5)/($E$5-$C$5),1+4*($E$5-$D$5)/($E$5-$C$5),$C$5,$E$5)</f>
        <v/>
      </c>
      <c r="N4604" s="14">
        <f>IF($AB4604&lt;($D$6-$C$6)/($E$6-$C$6),$C$6+SQRT($AB4604*($E$6-$C$6)*($D$6-$C$6)),$E$6-SQRT((1-$AB4604)*($E$6-$C$6)*($E$6-$D$6)))</f>
        <v/>
      </c>
      <c r="O4604" s="14">
        <f>_xlfn.NORM.INV($AC4604,$C$7,$D$7)</f>
        <v/>
      </c>
      <c r="P4604" s="14">
        <f>$C$8+($D$8-$C$8)*$AD4604</f>
        <v/>
      </c>
      <c r="Q4604" s="14">
        <f>$C$9</f>
        <v/>
      </c>
      <c r="R4604" s="14">
        <f>_xlfn.LOGNORM.INV($AF4604,LN($C$10)-0.5*LN(1+($D$10/$C$10)^2),SQRT(LN(1+($D$10/$C$10)^2)))</f>
        <v/>
      </c>
      <c r="S4604" s="14">
        <f>SUM(M4604:R4604)</f>
        <v/>
      </c>
      <c r="AA4604">
        <f>RAND()</f>
        <v/>
      </c>
      <c r="AB4604">
        <f>RAND()</f>
        <v/>
      </c>
      <c r="AC4604">
        <f>RAND()</f>
        <v/>
      </c>
      <c r="AD4604">
        <f>RAND()</f>
        <v/>
      </c>
      <c r="AE4604">
        <f>RAND()</f>
        <v/>
      </c>
      <c r="AF4604">
        <f>RAND()</f>
        <v/>
      </c>
    </row>
    <row r="4605">
      <c r="M4605" s="14">
        <f>_xlfn.BETA.INV($AA4605,1+4*($D$5-$C$5)/($E$5-$C$5),1+4*($E$5-$D$5)/($E$5-$C$5),$C$5,$E$5)</f>
        <v/>
      </c>
      <c r="N4605" s="14">
        <f>IF($AB4605&lt;($D$6-$C$6)/($E$6-$C$6),$C$6+SQRT($AB4605*($E$6-$C$6)*($D$6-$C$6)),$E$6-SQRT((1-$AB4605)*($E$6-$C$6)*($E$6-$D$6)))</f>
        <v/>
      </c>
      <c r="O4605" s="14">
        <f>_xlfn.NORM.INV($AC4605,$C$7,$D$7)</f>
        <v/>
      </c>
      <c r="P4605" s="14">
        <f>$C$8+($D$8-$C$8)*$AD4605</f>
        <v/>
      </c>
      <c r="Q4605" s="14">
        <f>$C$9</f>
        <v/>
      </c>
      <c r="R4605" s="14">
        <f>_xlfn.LOGNORM.INV($AF4605,LN($C$10)-0.5*LN(1+($D$10/$C$10)^2),SQRT(LN(1+($D$10/$C$10)^2)))</f>
        <v/>
      </c>
      <c r="S4605" s="14">
        <f>SUM(M4605:R4605)</f>
        <v/>
      </c>
      <c r="AA4605">
        <f>RAND()</f>
        <v/>
      </c>
      <c r="AB4605">
        <f>RAND()</f>
        <v/>
      </c>
      <c r="AC4605">
        <f>RAND()</f>
        <v/>
      </c>
      <c r="AD4605">
        <f>RAND()</f>
        <v/>
      </c>
      <c r="AE4605">
        <f>RAND()</f>
        <v/>
      </c>
      <c r="AF4605">
        <f>RAND()</f>
        <v/>
      </c>
    </row>
    <row r="4606">
      <c r="M4606" s="14">
        <f>_xlfn.BETA.INV($AA4606,1+4*($D$5-$C$5)/($E$5-$C$5),1+4*($E$5-$D$5)/($E$5-$C$5),$C$5,$E$5)</f>
        <v/>
      </c>
      <c r="N4606" s="14">
        <f>IF($AB4606&lt;($D$6-$C$6)/($E$6-$C$6),$C$6+SQRT($AB4606*($E$6-$C$6)*($D$6-$C$6)),$E$6-SQRT((1-$AB4606)*($E$6-$C$6)*($E$6-$D$6)))</f>
        <v/>
      </c>
      <c r="O4606" s="14">
        <f>_xlfn.NORM.INV($AC4606,$C$7,$D$7)</f>
        <v/>
      </c>
      <c r="P4606" s="14">
        <f>$C$8+($D$8-$C$8)*$AD4606</f>
        <v/>
      </c>
      <c r="Q4606" s="14">
        <f>$C$9</f>
        <v/>
      </c>
      <c r="R4606" s="14">
        <f>_xlfn.LOGNORM.INV($AF4606,LN($C$10)-0.5*LN(1+($D$10/$C$10)^2),SQRT(LN(1+($D$10/$C$10)^2)))</f>
        <v/>
      </c>
      <c r="S4606" s="14">
        <f>SUM(M4606:R4606)</f>
        <v/>
      </c>
      <c r="AA4606">
        <f>RAND()</f>
        <v/>
      </c>
      <c r="AB4606">
        <f>RAND()</f>
        <v/>
      </c>
      <c r="AC4606">
        <f>RAND()</f>
        <v/>
      </c>
      <c r="AD4606">
        <f>RAND()</f>
        <v/>
      </c>
      <c r="AE4606">
        <f>RAND()</f>
        <v/>
      </c>
      <c r="AF4606">
        <f>RAND()</f>
        <v/>
      </c>
    </row>
    <row r="4607">
      <c r="M4607" s="14">
        <f>_xlfn.BETA.INV($AA4607,1+4*($D$5-$C$5)/($E$5-$C$5),1+4*($E$5-$D$5)/($E$5-$C$5),$C$5,$E$5)</f>
        <v/>
      </c>
      <c r="N4607" s="14">
        <f>IF($AB4607&lt;($D$6-$C$6)/($E$6-$C$6),$C$6+SQRT($AB4607*($E$6-$C$6)*($D$6-$C$6)),$E$6-SQRT((1-$AB4607)*($E$6-$C$6)*($E$6-$D$6)))</f>
        <v/>
      </c>
      <c r="O4607" s="14">
        <f>_xlfn.NORM.INV($AC4607,$C$7,$D$7)</f>
        <v/>
      </c>
      <c r="P4607" s="14">
        <f>$C$8+($D$8-$C$8)*$AD4607</f>
        <v/>
      </c>
      <c r="Q4607" s="14">
        <f>$C$9</f>
        <v/>
      </c>
      <c r="R4607" s="14">
        <f>_xlfn.LOGNORM.INV($AF4607,LN($C$10)-0.5*LN(1+($D$10/$C$10)^2),SQRT(LN(1+($D$10/$C$10)^2)))</f>
        <v/>
      </c>
      <c r="S4607" s="14">
        <f>SUM(M4607:R4607)</f>
        <v/>
      </c>
      <c r="AA4607">
        <f>RAND()</f>
        <v/>
      </c>
      <c r="AB4607">
        <f>RAND()</f>
        <v/>
      </c>
      <c r="AC4607">
        <f>RAND()</f>
        <v/>
      </c>
      <c r="AD4607">
        <f>RAND()</f>
        <v/>
      </c>
      <c r="AE4607">
        <f>RAND()</f>
        <v/>
      </c>
      <c r="AF4607">
        <f>RAND()</f>
        <v/>
      </c>
    </row>
    <row r="4608">
      <c r="M4608" s="14">
        <f>_xlfn.BETA.INV($AA4608,1+4*($D$5-$C$5)/($E$5-$C$5),1+4*($E$5-$D$5)/($E$5-$C$5),$C$5,$E$5)</f>
        <v/>
      </c>
      <c r="N4608" s="14">
        <f>IF($AB4608&lt;($D$6-$C$6)/($E$6-$C$6),$C$6+SQRT($AB4608*($E$6-$C$6)*($D$6-$C$6)),$E$6-SQRT((1-$AB4608)*($E$6-$C$6)*($E$6-$D$6)))</f>
        <v/>
      </c>
      <c r="O4608" s="14">
        <f>_xlfn.NORM.INV($AC4608,$C$7,$D$7)</f>
        <v/>
      </c>
      <c r="P4608" s="14">
        <f>$C$8+($D$8-$C$8)*$AD4608</f>
        <v/>
      </c>
      <c r="Q4608" s="14">
        <f>$C$9</f>
        <v/>
      </c>
      <c r="R4608" s="14">
        <f>_xlfn.LOGNORM.INV($AF4608,LN($C$10)-0.5*LN(1+($D$10/$C$10)^2),SQRT(LN(1+($D$10/$C$10)^2)))</f>
        <v/>
      </c>
      <c r="S4608" s="14">
        <f>SUM(M4608:R4608)</f>
        <v/>
      </c>
      <c r="AA4608">
        <f>RAND()</f>
        <v/>
      </c>
      <c r="AB4608">
        <f>RAND()</f>
        <v/>
      </c>
      <c r="AC4608">
        <f>RAND()</f>
        <v/>
      </c>
      <c r="AD4608">
        <f>RAND()</f>
        <v/>
      </c>
      <c r="AE4608">
        <f>RAND()</f>
        <v/>
      </c>
      <c r="AF4608">
        <f>RAND()</f>
        <v/>
      </c>
    </row>
    <row r="4609">
      <c r="M4609" s="14">
        <f>_xlfn.BETA.INV($AA4609,1+4*($D$5-$C$5)/($E$5-$C$5),1+4*($E$5-$D$5)/($E$5-$C$5),$C$5,$E$5)</f>
        <v/>
      </c>
      <c r="N4609" s="14">
        <f>IF($AB4609&lt;($D$6-$C$6)/($E$6-$C$6),$C$6+SQRT($AB4609*($E$6-$C$6)*($D$6-$C$6)),$E$6-SQRT((1-$AB4609)*($E$6-$C$6)*($E$6-$D$6)))</f>
        <v/>
      </c>
      <c r="O4609" s="14">
        <f>_xlfn.NORM.INV($AC4609,$C$7,$D$7)</f>
        <v/>
      </c>
      <c r="P4609" s="14">
        <f>$C$8+($D$8-$C$8)*$AD4609</f>
        <v/>
      </c>
      <c r="Q4609" s="14">
        <f>$C$9</f>
        <v/>
      </c>
      <c r="R4609" s="14">
        <f>_xlfn.LOGNORM.INV($AF4609,LN($C$10)-0.5*LN(1+($D$10/$C$10)^2),SQRT(LN(1+($D$10/$C$10)^2)))</f>
        <v/>
      </c>
      <c r="S4609" s="14">
        <f>SUM(M4609:R4609)</f>
        <v/>
      </c>
      <c r="AA4609">
        <f>RAND()</f>
        <v/>
      </c>
      <c r="AB4609">
        <f>RAND()</f>
        <v/>
      </c>
      <c r="AC4609">
        <f>RAND()</f>
        <v/>
      </c>
      <c r="AD4609">
        <f>RAND()</f>
        <v/>
      </c>
      <c r="AE4609">
        <f>RAND()</f>
        <v/>
      </c>
      <c r="AF4609">
        <f>RAND()</f>
        <v/>
      </c>
    </row>
    <row r="4610">
      <c r="M4610" s="14">
        <f>_xlfn.BETA.INV($AA4610,1+4*($D$5-$C$5)/($E$5-$C$5),1+4*($E$5-$D$5)/($E$5-$C$5),$C$5,$E$5)</f>
        <v/>
      </c>
      <c r="N4610" s="14">
        <f>IF($AB4610&lt;($D$6-$C$6)/($E$6-$C$6),$C$6+SQRT($AB4610*($E$6-$C$6)*($D$6-$C$6)),$E$6-SQRT((1-$AB4610)*($E$6-$C$6)*($E$6-$D$6)))</f>
        <v/>
      </c>
      <c r="O4610" s="14">
        <f>_xlfn.NORM.INV($AC4610,$C$7,$D$7)</f>
        <v/>
      </c>
      <c r="P4610" s="14">
        <f>$C$8+($D$8-$C$8)*$AD4610</f>
        <v/>
      </c>
      <c r="Q4610" s="14">
        <f>$C$9</f>
        <v/>
      </c>
      <c r="R4610" s="14">
        <f>_xlfn.LOGNORM.INV($AF4610,LN($C$10)-0.5*LN(1+($D$10/$C$10)^2),SQRT(LN(1+($D$10/$C$10)^2)))</f>
        <v/>
      </c>
      <c r="S4610" s="14">
        <f>SUM(M4610:R4610)</f>
        <v/>
      </c>
      <c r="AA4610">
        <f>RAND()</f>
        <v/>
      </c>
      <c r="AB4610">
        <f>RAND()</f>
        <v/>
      </c>
      <c r="AC4610">
        <f>RAND()</f>
        <v/>
      </c>
      <c r="AD4610">
        <f>RAND()</f>
        <v/>
      </c>
      <c r="AE4610">
        <f>RAND()</f>
        <v/>
      </c>
      <c r="AF4610">
        <f>RAND()</f>
        <v/>
      </c>
    </row>
    <row r="4611">
      <c r="M4611" s="14">
        <f>_xlfn.BETA.INV($AA4611,1+4*($D$5-$C$5)/($E$5-$C$5),1+4*($E$5-$D$5)/($E$5-$C$5),$C$5,$E$5)</f>
        <v/>
      </c>
      <c r="N4611" s="14">
        <f>IF($AB4611&lt;($D$6-$C$6)/($E$6-$C$6),$C$6+SQRT($AB4611*($E$6-$C$6)*($D$6-$C$6)),$E$6-SQRT((1-$AB4611)*($E$6-$C$6)*($E$6-$D$6)))</f>
        <v/>
      </c>
      <c r="O4611" s="14">
        <f>_xlfn.NORM.INV($AC4611,$C$7,$D$7)</f>
        <v/>
      </c>
      <c r="P4611" s="14">
        <f>$C$8+($D$8-$C$8)*$AD4611</f>
        <v/>
      </c>
      <c r="Q4611" s="14">
        <f>$C$9</f>
        <v/>
      </c>
      <c r="R4611" s="14">
        <f>_xlfn.LOGNORM.INV($AF4611,LN($C$10)-0.5*LN(1+($D$10/$C$10)^2),SQRT(LN(1+($D$10/$C$10)^2)))</f>
        <v/>
      </c>
      <c r="S4611" s="14">
        <f>SUM(M4611:R4611)</f>
        <v/>
      </c>
      <c r="AA4611">
        <f>RAND()</f>
        <v/>
      </c>
      <c r="AB4611">
        <f>RAND()</f>
        <v/>
      </c>
      <c r="AC4611">
        <f>RAND()</f>
        <v/>
      </c>
      <c r="AD4611">
        <f>RAND()</f>
        <v/>
      </c>
      <c r="AE4611">
        <f>RAND()</f>
        <v/>
      </c>
      <c r="AF4611">
        <f>RAND()</f>
        <v/>
      </c>
    </row>
    <row r="4612">
      <c r="M4612" s="14">
        <f>_xlfn.BETA.INV($AA4612,1+4*($D$5-$C$5)/($E$5-$C$5),1+4*($E$5-$D$5)/($E$5-$C$5),$C$5,$E$5)</f>
        <v/>
      </c>
      <c r="N4612" s="14">
        <f>IF($AB4612&lt;($D$6-$C$6)/($E$6-$C$6),$C$6+SQRT($AB4612*($E$6-$C$6)*($D$6-$C$6)),$E$6-SQRT((1-$AB4612)*($E$6-$C$6)*($E$6-$D$6)))</f>
        <v/>
      </c>
      <c r="O4612" s="14">
        <f>_xlfn.NORM.INV($AC4612,$C$7,$D$7)</f>
        <v/>
      </c>
      <c r="P4612" s="14">
        <f>$C$8+($D$8-$C$8)*$AD4612</f>
        <v/>
      </c>
      <c r="Q4612" s="14">
        <f>$C$9</f>
        <v/>
      </c>
      <c r="R4612" s="14">
        <f>_xlfn.LOGNORM.INV($AF4612,LN($C$10)-0.5*LN(1+($D$10/$C$10)^2),SQRT(LN(1+($D$10/$C$10)^2)))</f>
        <v/>
      </c>
      <c r="S4612" s="14">
        <f>SUM(M4612:R4612)</f>
        <v/>
      </c>
      <c r="AA4612">
        <f>RAND()</f>
        <v/>
      </c>
      <c r="AB4612">
        <f>RAND()</f>
        <v/>
      </c>
      <c r="AC4612">
        <f>RAND()</f>
        <v/>
      </c>
      <c r="AD4612">
        <f>RAND()</f>
        <v/>
      </c>
      <c r="AE4612">
        <f>RAND()</f>
        <v/>
      </c>
      <c r="AF4612">
        <f>RAND()</f>
        <v/>
      </c>
    </row>
    <row r="4613">
      <c r="M4613" s="14">
        <f>_xlfn.BETA.INV($AA4613,1+4*($D$5-$C$5)/($E$5-$C$5),1+4*($E$5-$D$5)/($E$5-$C$5),$C$5,$E$5)</f>
        <v/>
      </c>
      <c r="N4613" s="14">
        <f>IF($AB4613&lt;($D$6-$C$6)/($E$6-$C$6),$C$6+SQRT($AB4613*($E$6-$C$6)*($D$6-$C$6)),$E$6-SQRT((1-$AB4613)*($E$6-$C$6)*($E$6-$D$6)))</f>
        <v/>
      </c>
      <c r="O4613" s="14">
        <f>_xlfn.NORM.INV($AC4613,$C$7,$D$7)</f>
        <v/>
      </c>
      <c r="P4613" s="14">
        <f>$C$8+($D$8-$C$8)*$AD4613</f>
        <v/>
      </c>
      <c r="Q4613" s="14">
        <f>$C$9</f>
        <v/>
      </c>
      <c r="R4613" s="14">
        <f>_xlfn.LOGNORM.INV($AF4613,LN($C$10)-0.5*LN(1+($D$10/$C$10)^2),SQRT(LN(1+($D$10/$C$10)^2)))</f>
        <v/>
      </c>
      <c r="S4613" s="14">
        <f>SUM(M4613:R4613)</f>
        <v/>
      </c>
      <c r="AA4613">
        <f>RAND()</f>
        <v/>
      </c>
      <c r="AB4613">
        <f>RAND()</f>
        <v/>
      </c>
      <c r="AC4613">
        <f>RAND()</f>
        <v/>
      </c>
      <c r="AD4613">
        <f>RAND()</f>
        <v/>
      </c>
      <c r="AE4613">
        <f>RAND()</f>
        <v/>
      </c>
      <c r="AF4613">
        <f>RAND()</f>
        <v/>
      </c>
    </row>
    <row r="4614">
      <c r="M4614" s="14">
        <f>_xlfn.BETA.INV($AA4614,1+4*($D$5-$C$5)/($E$5-$C$5),1+4*($E$5-$D$5)/($E$5-$C$5),$C$5,$E$5)</f>
        <v/>
      </c>
      <c r="N4614" s="14">
        <f>IF($AB4614&lt;($D$6-$C$6)/($E$6-$C$6),$C$6+SQRT($AB4614*($E$6-$C$6)*($D$6-$C$6)),$E$6-SQRT((1-$AB4614)*($E$6-$C$6)*($E$6-$D$6)))</f>
        <v/>
      </c>
      <c r="O4614" s="14">
        <f>_xlfn.NORM.INV($AC4614,$C$7,$D$7)</f>
        <v/>
      </c>
      <c r="P4614" s="14">
        <f>$C$8+($D$8-$C$8)*$AD4614</f>
        <v/>
      </c>
      <c r="Q4614" s="14">
        <f>$C$9</f>
        <v/>
      </c>
      <c r="R4614" s="14">
        <f>_xlfn.LOGNORM.INV($AF4614,LN($C$10)-0.5*LN(1+($D$10/$C$10)^2),SQRT(LN(1+($D$10/$C$10)^2)))</f>
        <v/>
      </c>
      <c r="S4614" s="14">
        <f>SUM(M4614:R4614)</f>
        <v/>
      </c>
      <c r="AA4614">
        <f>RAND()</f>
        <v/>
      </c>
      <c r="AB4614">
        <f>RAND()</f>
        <v/>
      </c>
      <c r="AC4614">
        <f>RAND()</f>
        <v/>
      </c>
      <c r="AD4614">
        <f>RAND()</f>
        <v/>
      </c>
      <c r="AE4614">
        <f>RAND()</f>
        <v/>
      </c>
      <c r="AF4614">
        <f>RAND()</f>
        <v/>
      </c>
    </row>
    <row r="4615">
      <c r="M4615" s="14">
        <f>_xlfn.BETA.INV($AA4615,1+4*($D$5-$C$5)/($E$5-$C$5),1+4*($E$5-$D$5)/($E$5-$C$5),$C$5,$E$5)</f>
        <v/>
      </c>
      <c r="N4615" s="14">
        <f>IF($AB4615&lt;($D$6-$C$6)/($E$6-$C$6),$C$6+SQRT($AB4615*($E$6-$C$6)*($D$6-$C$6)),$E$6-SQRT((1-$AB4615)*($E$6-$C$6)*($E$6-$D$6)))</f>
        <v/>
      </c>
      <c r="O4615" s="14">
        <f>_xlfn.NORM.INV($AC4615,$C$7,$D$7)</f>
        <v/>
      </c>
      <c r="P4615" s="14">
        <f>$C$8+($D$8-$C$8)*$AD4615</f>
        <v/>
      </c>
      <c r="Q4615" s="14">
        <f>$C$9</f>
        <v/>
      </c>
      <c r="R4615" s="14">
        <f>_xlfn.LOGNORM.INV($AF4615,LN($C$10)-0.5*LN(1+($D$10/$C$10)^2),SQRT(LN(1+($D$10/$C$10)^2)))</f>
        <v/>
      </c>
      <c r="S4615" s="14">
        <f>SUM(M4615:R4615)</f>
        <v/>
      </c>
      <c r="AA4615">
        <f>RAND()</f>
        <v/>
      </c>
      <c r="AB4615">
        <f>RAND()</f>
        <v/>
      </c>
      <c r="AC4615">
        <f>RAND()</f>
        <v/>
      </c>
      <c r="AD4615">
        <f>RAND()</f>
        <v/>
      </c>
      <c r="AE4615">
        <f>RAND()</f>
        <v/>
      </c>
      <c r="AF4615">
        <f>RAND()</f>
        <v/>
      </c>
    </row>
    <row r="4616">
      <c r="M4616" s="14">
        <f>_xlfn.BETA.INV($AA4616,1+4*($D$5-$C$5)/($E$5-$C$5),1+4*($E$5-$D$5)/($E$5-$C$5),$C$5,$E$5)</f>
        <v/>
      </c>
      <c r="N4616" s="14">
        <f>IF($AB4616&lt;($D$6-$C$6)/($E$6-$C$6),$C$6+SQRT($AB4616*($E$6-$C$6)*($D$6-$C$6)),$E$6-SQRT((1-$AB4616)*($E$6-$C$6)*($E$6-$D$6)))</f>
        <v/>
      </c>
      <c r="O4616" s="14">
        <f>_xlfn.NORM.INV($AC4616,$C$7,$D$7)</f>
        <v/>
      </c>
      <c r="P4616" s="14">
        <f>$C$8+($D$8-$C$8)*$AD4616</f>
        <v/>
      </c>
      <c r="Q4616" s="14">
        <f>$C$9</f>
        <v/>
      </c>
      <c r="R4616" s="14">
        <f>_xlfn.LOGNORM.INV($AF4616,LN($C$10)-0.5*LN(1+($D$10/$C$10)^2),SQRT(LN(1+($D$10/$C$10)^2)))</f>
        <v/>
      </c>
      <c r="S4616" s="14">
        <f>SUM(M4616:R4616)</f>
        <v/>
      </c>
      <c r="AA4616">
        <f>RAND()</f>
        <v/>
      </c>
      <c r="AB4616">
        <f>RAND()</f>
        <v/>
      </c>
      <c r="AC4616">
        <f>RAND()</f>
        <v/>
      </c>
      <c r="AD4616">
        <f>RAND()</f>
        <v/>
      </c>
      <c r="AE4616">
        <f>RAND()</f>
        <v/>
      </c>
      <c r="AF4616">
        <f>RAND()</f>
        <v/>
      </c>
    </row>
    <row r="4617">
      <c r="M4617" s="14">
        <f>_xlfn.BETA.INV($AA4617,1+4*($D$5-$C$5)/($E$5-$C$5),1+4*($E$5-$D$5)/($E$5-$C$5),$C$5,$E$5)</f>
        <v/>
      </c>
      <c r="N4617" s="14">
        <f>IF($AB4617&lt;($D$6-$C$6)/($E$6-$C$6),$C$6+SQRT($AB4617*($E$6-$C$6)*($D$6-$C$6)),$E$6-SQRT((1-$AB4617)*($E$6-$C$6)*($E$6-$D$6)))</f>
        <v/>
      </c>
      <c r="O4617" s="14">
        <f>_xlfn.NORM.INV($AC4617,$C$7,$D$7)</f>
        <v/>
      </c>
      <c r="P4617" s="14">
        <f>$C$8+($D$8-$C$8)*$AD4617</f>
        <v/>
      </c>
      <c r="Q4617" s="14">
        <f>$C$9</f>
        <v/>
      </c>
      <c r="R4617" s="14">
        <f>_xlfn.LOGNORM.INV($AF4617,LN($C$10)-0.5*LN(1+($D$10/$C$10)^2),SQRT(LN(1+($D$10/$C$10)^2)))</f>
        <v/>
      </c>
      <c r="S4617" s="14">
        <f>SUM(M4617:R4617)</f>
        <v/>
      </c>
      <c r="AA4617">
        <f>RAND()</f>
        <v/>
      </c>
      <c r="AB4617">
        <f>RAND()</f>
        <v/>
      </c>
      <c r="AC4617">
        <f>RAND()</f>
        <v/>
      </c>
      <c r="AD4617">
        <f>RAND()</f>
        <v/>
      </c>
      <c r="AE4617">
        <f>RAND()</f>
        <v/>
      </c>
      <c r="AF4617">
        <f>RAND()</f>
        <v/>
      </c>
    </row>
    <row r="4618">
      <c r="M4618" s="14">
        <f>_xlfn.BETA.INV($AA4618,1+4*($D$5-$C$5)/($E$5-$C$5),1+4*($E$5-$D$5)/($E$5-$C$5),$C$5,$E$5)</f>
        <v/>
      </c>
      <c r="N4618" s="14">
        <f>IF($AB4618&lt;($D$6-$C$6)/($E$6-$C$6),$C$6+SQRT($AB4618*($E$6-$C$6)*($D$6-$C$6)),$E$6-SQRT((1-$AB4618)*($E$6-$C$6)*($E$6-$D$6)))</f>
        <v/>
      </c>
      <c r="O4618" s="14">
        <f>_xlfn.NORM.INV($AC4618,$C$7,$D$7)</f>
        <v/>
      </c>
      <c r="P4618" s="14">
        <f>$C$8+($D$8-$C$8)*$AD4618</f>
        <v/>
      </c>
      <c r="Q4618" s="14">
        <f>$C$9</f>
        <v/>
      </c>
      <c r="R4618" s="14">
        <f>_xlfn.LOGNORM.INV($AF4618,LN($C$10)-0.5*LN(1+($D$10/$C$10)^2),SQRT(LN(1+($D$10/$C$10)^2)))</f>
        <v/>
      </c>
      <c r="S4618" s="14">
        <f>SUM(M4618:R4618)</f>
        <v/>
      </c>
      <c r="AA4618">
        <f>RAND()</f>
        <v/>
      </c>
      <c r="AB4618">
        <f>RAND()</f>
        <v/>
      </c>
      <c r="AC4618">
        <f>RAND()</f>
        <v/>
      </c>
      <c r="AD4618">
        <f>RAND()</f>
        <v/>
      </c>
      <c r="AE4618">
        <f>RAND()</f>
        <v/>
      </c>
      <c r="AF4618">
        <f>RAND()</f>
        <v/>
      </c>
    </row>
    <row r="4619">
      <c r="M4619" s="14">
        <f>_xlfn.BETA.INV($AA4619,1+4*($D$5-$C$5)/($E$5-$C$5),1+4*($E$5-$D$5)/($E$5-$C$5),$C$5,$E$5)</f>
        <v/>
      </c>
      <c r="N4619" s="14">
        <f>IF($AB4619&lt;($D$6-$C$6)/($E$6-$C$6),$C$6+SQRT($AB4619*($E$6-$C$6)*($D$6-$C$6)),$E$6-SQRT((1-$AB4619)*($E$6-$C$6)*($E$6-$D$6)))</f>
        <v/>
      </c>
      <c r="O4619" s="14">
        <f>_xlfn.NORM.INV($AC4619,$C$7,$D$7)</f>
        <v/>
      </c>
      <c r="P4619" s="14">
        <f>$C$8+($D$8-$C$8)*$AD4619</f>
        <v/>
      </c>
      <c r="Q4619" s="14">
        <f>$C$9</f>
        <v/>
      </c>
      <c r="R4619" s="14">
        <f>_xlfn.LOGNORM.INV($AF4619,LN($C$10)-0.5*LN(1+($D$10/$C$10)^2),SQRT(LN(1+($D$10/$C$10)^2)))</f>
        <v/>
      </c>
      <c r="S4619" s="14">
        <f>SUM(M4619:R4619)</f>
        <v/>
      </c>
      <c r="AA4619">
        <f>RAND()</f>
        <v/>
      </c>
      <c r="AB4619">
        <f>RAND()</f>
        <v/>
      </c>
      <c r="AC4619">
        <f>RAND()</f>
        <v/>
      </c>
      <c r="AD4619">
        <f>RAND()</f>
        <v/>
      </c>
      <c r="AE4619">
        <f>RAND()</f>
        <v/>
      </c>
      <c r="AF4619">
        <f>RAND()</f>
        <v/>
      </c>
    </row>
    <row r="4620">
      <c r="M4620" s="14">
        <f>_xlfn.BETA.INV($AA4620,1+4*($D$5-$C$5)/($E$5-$C$5),1+4*($E$5-$D$5)/($E$5-$C$5),$C$5,$E$5)</f>
        <v/>
      </c>
      <c r="N4620" s="14">
        <f>IF($AB4620&lt;($D$6-$C$6)/($E$6-$C$6),$C$6+SQRT($AB4620*($E$6-$C$6)*($D$6-$C$6)),$E$6-SQRT((1-$AB4620)*($E$6-$C$6)*($E$6-$D$6)))</f>
        <v/>
      </c>
      <c r="O4620" s="14">
        <f>_xlfn.NORM.INV($AC4620,$C$7,$D$7)</f>
        <v/>
      </c>
      <c r="P4620" s="14">
        <f>$C$8+($D$8-$C$8)*$AD4620</f>
        <v/>
      </c>
      <c r="Q4620" s="14">
        <f>$C$9</f>
        <v/>
      </c>
      <c r="R4620" s="14">
        <f>_xlfn.LOGNORM.INV($AF4620,LN($C$10)-0.5*LN(1+($D$10/$C$10)^2),SQRT(LN(1+($D$10/$C$10)^2)))</f>
        <v/>
      </c>
      <c r="S4620" s="14">
        <f>SUM(M4620:R4620)</f>
        <v/>
      </c>
      <c r="AA4620">
        <f>RAND()</f>
        <v/>
      </c>
      <c r="AB4620">
        <f>RAND()</f>
        <v/>
      </c>
      <c r="AC4620">
        <f>RAND()</f>
        <v/>
      </c>
      <c r="AD4620">
        <f>RAND()</f>
        <v/>
      </c>
      <c r="AE4620">
        <f>RAND()</f>
        <v/>
      </c>
      <c r="AF4620">
        <f>RAND()</f>
        <v/>
      </c>
    </row>
    <row r="4621">
      <c r="M4621" s="14">
        <f>_xlfn.BETA.INV($AA4621,1+4*($D$5-$C$5)/($E$5-$C$5),1+4*($E$5-$D$5)/($E$5-$C$5),$C$5,$E$5)</f>
        <v/>
      </c>
      <c r="N4621" s="14">
        <f>IF($AB4621&lt;($D$6-$C$6)/($E$6-$C$6),$C$6+SQRT($AB4621*($E$6-$C$6)*($D$6-$C$6)),$E$6-SQRT((1-$AB4621)*($E$6-$C$6)*($E$6-$D$6)))</f>
        <v/>
      </c>
      <c r="O4621" s="14">
        <f>_xlfn.NORM.INV($AC4621,$C$7,$D$7)</f>
        <v/>
      </c>
      <c r="P4621" s="14">
        <f>$C$8+($D$8-$C$8)*$AD4621</f>
        <v/>
      </c>
      <c r="Q4621" s="14">
        <f>$C$9</f>
        <v/>
      </c>
      <c r="R4621" s="14">
        <f>_xlfn.LOGNORM.INV($AF4621,LN($C$10)-0.5*LN(1+($D$10/$C$10)^2),SQRT(LN(1+($D$10/$C$10)^2)))</f>
        <v/>
      </c>
      <c r="S4621" s="14">
        <f>SUM(M4621:R4621)</f>
        <v/>
      </c>
      <c r="AA4621">
        <f>RAND()</f>
        <v/>
      </c>
      <c r="AB4621">
        <f>RAND()</f>
        <v/>
      </c>
      <c r="AC4621">
        <f>RAND()</f>
        <v/>
      </c>
      <c r="AD4621">
        <f>RAND()</f>
        <v/>
      </c>
      <c r="AE4621">
        <f>RAND()</f>
        <v/>
      </c>
      <c r="AF4621">
        <f>RAND()</f>
        <v/>
      </c>
    </row>
    <row r="4622">
      <c r="M4622" s="14">
        <f>_xlfn.BETA.INV($AA4622,1+4*($D$5-$C$5)/($E$5-$C$5),1+4*($E$5-$D$5)/($E$5-$C$5),$C$5,$E$5)</f>
        <v/>
      </c>
      <c r="N4622" s="14">
        <f>IF($AB4622&lt;($D$6-$C$6)/($E$6-$C$6),$C$6+SQRT($AB4622*($E$6-$C$6)*($D$6-$C$6)),$E$6-SQRT((1-$AB4622)*($E$6-$C$6)*($E$6-$D$6)))</f>
        <v/>
      </c>
      <c r="O4622" s="14">
        <f>_xlfn.NORM.INV($AC4622,$C$7,$D$7)</f>
        <v/>
      </c>
      <c r="P4622" s="14">
        <f>$C$8+($D$8-$C$8)*$AD4622</f>
        <v/>
      </c>
      <c r="Q4622" s="14">
        <f>$C$9</f>
        <v/>
      </c>
      <c r="R4622" s="14">
        <f>_xlfn.LOGNORM.INV($AF4622,LN($C$10)-0.5*LN(1+($D$10/$C$10)^2),SQRT(LN(1+($D$10/$C$10)^2)))</f>
        <v/>
      </c>
      <c r="S4622" s="14">
        <f>SUM(M4622:R4622)</f>
        <v/>
      </c>
      <c r="AA4622">
        <f>RAND()</f>
        <v/>
      </c>
      <c r="AB4622">
        <f>RAND()</f>
        <v/>
      </c>
      <c r="AC4622">
        <f>RAND()</f>
        <v/>
      </c>
      <c r="AD4622">
        <f>RAND()</f>
        <v/>
      </c>
      <c r="AE4622">
        <f>RAND()</f>
        <v/>
      </c>
      <c r="AF4622">
        <f>RAND()</f>
        <v/>
      </c>
    </row>
    <row r="4623">
      <c r="M4623" s="14">
        <f>_xlfn.BETA.INV($AA4623,1+4*($D$5-$C$5)/($E$5-$C$5),1+4*($E$5-$D$5)/($E$5-$C$5),$C$5,$E$5)</f>
        <v/>
      </c>
      <c r="N4623" s="14">
        <f>IF($AB4623&lt;($D$6-$C$6)/($E$6-$C$6),$C$6+SQRT($AB4623*($E$6-$C$6)*($D$6-$C$6)),$E$6-SQRT((1-$AB4623)*($E$6-$C$6)*($E$6-$D$6)))</f>
        <v/>
      </c>
      <c r="O4623" s="14">
        <f>_xlfn.NORM.INV($AC4623,$C$7,$D$7)</f>
        <v/>
      </c>
      <c r="P4623" s="14">
        <f>$C$8+($D$8-$C$8)*$AD4623</f>
        <v/>
      </c>
      <c r="Q4623" s="14">
        <f>$C$9</f>
        <v/>
      </c>
      <c r="R4623" s="14">
        <f>_xlfn.LOGNORM.INV($AF4623,LN($C$10)-0.5*LN(1+($D$10/$C$10)^2),SQRT(LN(1+($D$10/$C$10)^2)))</f>
        <v/>
      </c>
      <c r="S4623" s="14">
        <f>SUM(M4623:R4623)</f>
        <v/>
      </c>
      <c r="AA4623">
        <f>RAND()</f>
        <v/>
      </c>
      <c r="AB4623">
        <f>RAND()</f>
        <v/>
      </c>
      <c r="AC4623">
        <f>RAND()</f>
        <v/>
      </c>
      <c r="AD4623">
        <f>RAND()</f>
        <v/>
      </c>
      <c r="AE4623">
        <f>RAND()</f>
        <v/>
      </c>
      <c r="AF4623">
        <f>RAND()</f>
        <v/>
      </c>
    </row>
    <row r="4624">
      <c r="M4624" s="14">
        <f>_xlfn.BETA.INV($AA4624,1+4*($D$5-$C$5)/($E$5-$C$5),1+4*($E$5-$D$5)/($E$5-$C$5),$C$5,$E$5)</f>
        <v/>
      </c>
      <c r="N4624" s="14">
        <f>IF($AB4624&lt;($D$6-$C$6)/($E$6-$C$6),$C$6+SQRT($AB4624*($E$6-$C$6)*($D$6-$C$6)),$E$6-SQRT((1-$AB4624)*($E$6-$C$6)*($E$6-$D$6)))</f>
        <v/>
      </c>
      <c r="O4624" s="14">
        <f>_xlfn.NORM.INV($AC4624,$C$7,$D$7)</f>
        <v/>
      </c>
      <c r="P4624" s="14">
        <f>$C$8+($D$8-$C$8)*$AD4624</f>
        <v/>
      </c>
      <c r="Q4624" s="14">
        <f>$C$9</f>
        <v/>
      </c>
      <c r="R4624" s="14">
        <f>_xlfn.LOGNORM.INV($AF4624,LN($C$10)-0.5*LN(1+($D$10/$C$10)^2),SQRT(LN(1+($D$10/$C$10)^2)))</f>
        <v/>
      </c>
      <c r="S4624" s="14">
        <f>SUM(M4624:R4624)</f>
        <v/>
      </c>
      <c r="AA4624">
        <f>RAND()</f>
        <v/>
      </c>
      <c r="AB4624">
        <f>RAND()</f>
        <v/>
      </c>
      <c r="AC4624">
        <f>RAND()</f>
        <v/>
      </c>
      <c r="AD4624">
        <f>RAND()</f>
        <v/>
      </c>
      <c r="AE4624">
        <f>RAND()</f>
        <v/>
      </c>
      <c r="AF4624">
        <f>RAND()</f>
        <v/>
      </c>
    </row>
    <row r="4625">
      <c r="M4625" s="14">
        <f>_xlfn.BETA.INV($AA4625,1+4*($D$5-$C$5)/($E$5-$C$5),1+4*($E$5-$D$5)/($E$5-$C$5),$C$5,$E$5)</f>
        <v/>
      </c>
      <c r="N4625" s="14">
        <f>IF($AB4625&lt;($D$6-$C$6)/($E$6-$C$6),$C$6+SQRT($AB4625*($E$6-$C$6)*($D$6-$C$6)),$E$6-SQRT((1-$AB4625)*($E$6-$C$6)*($E$6-$D$6)))</f>
        <v/>
      </c>
      <c r="O4625" s="14">
        <f>_xlfn.NORM.INV($AC4625,$C$7,$D$7)</f>
        <v/>
      </c>
      <c r="P4625" s="14">
        <f>$C$8+($D$8-$C$8)*$AD4625</f>
        <v/>
      </c>
      <c r="Q4625" s="14">
        <f>$C$9</f>
        <v/>
      </c>
      <c r="R4625" s="14">
        <f>_xlfn.LOGNORM.INV($AF4625,LN($C$10)-0.5*LN(1+($D$10/$C$10)^2),SQRT(LN(1+($D$10/$C$10)^2)))</f>
        <v/>
      </c>
      <c r="S4625" s="14">
        <f>SUM(M4625:R4625)</f>
        <v/>
      </c>
      <c r="AA4625">
        <f>RAND()</f>
        <v/>
      </c>
      <c r="AB4625">
        <f>RAND()</f>
        <v/>
      </c>
      <c r="AC4625">
        <f>RAND()</f>
        <v/>
      </c>
      <c r="AD4625">
        <f>RAND()</f>
        <v/>
      </c>
      <c r="AE4625">
        <f>RAND()</f>
        <v/>
      </c>
      <c r="AF4625">
        <f>RAND()</f>
        <v/>
      </c>
    </row>
    <row r="4626">
      <c r="M4626" s="14">
        <f>_xlfn.BETA.INV($AA4626,1+4*($D$5-$C$5)/($E$5-$C$5),1+4*($E$5-$D$5)/($E$5-$C$5),$C$5,$E$5)</f>
        <v/>
      </c>
      <c r="N4626" s="14">
        <f>IF($AB4626&lt;($D$6-$C$6)/($E$6-$C$6),$C$6+SQRT($AB4626*($E$6-$C$6)*($D$6-$C$6)),$E$6-SQRT((1-$AB4626)*($E$6-$C$6)*($E$6-$D$6)))</f>
        <v/>
      </c>
      <c r="O4626" s="14">
        <f>_xlfn.NORM.INV($AC4626,$C$7,$D$7)</f>
        <v/>
      </c>
      <c r="P4626" s="14">
        <f>$C$8+($D$8-$C$8)*$AD4626</f>
        <v/>
      </c>
      <c r="Q4626" s="14">
        <f>$C$9</f>
        <v/>
      </c>
      <c r="R4626" s="14">
        <f>_xlfn.LOGNORM.INV($AF4626,LN($C$10)-0.5*LN(1+($D$10/$C$10)^2),SQRT(LN(1+($D$10/$C$10)^2)))</f>
        <v/>
      </c>
      <c r="S4626" s="14">
        <f>SUM(M4626:R4626)</f>
        <v/>
      </c>
      <c r="AA4626">
        <f>RAND()</f>
        <v/>
      </c>
      <c r="AB4626">
        <f>RAND()</f>
        <v/>
      </c>
      <c r="AC4626">
        <f>RAND()</f>
        <v/>
      </c>
      <c r="AD4626">
        <f>RAND()</f>
        <v/>
      </c>
      <c r="AE4626">
        <f>RAND()</f>
        <v/>
      </c>
      <c r="AF4626">
        <f>RAND()</f>
        <v/>
      </c>
    </row>
    <row r="4627">
      <c r="M4627" s="14">
        <f>_xlfn.BETA.INV($AA4627,1+4*($D$5-$C$5)/($E$5-$C$5),1+4*($E$5-$D$5)/($E$5-$C$5),$C$5,$E$5)</f>
        <v/>
      </c>
      <c r="N4627" s="14">
        <f>IF($AB4627&lt;($D$6-$C$6)/($E$6-$C$6),$C$6+SQRT($AB4627*($E$6-$C$6)*($D$6-$C$6)),$E$6-SQRT((1-$AB4627)*($E$6-$C$6)*($E$6-$D$6)))</f>
        <v/>
      </c>
      <c r="O4627" s="14">
        <f>_xlfn.NORM.INV($AC4627,$C$7,$D$7)</f>
        <v/>
      </c>
      <c r="P4627" s="14">
        <f>$C$8+($D$8-$C$8)*$AD4627</f>
        <v/>
      </c>
      <c r="Q4627" s="14">
        <f>$C$9</f>
        <v/>
      </c>
      <c r="R4627" s="14">
        <f>_xlfn.LOGNORM.INV($AF4627,LN($C$10)-0.5*LN(1+($D$10/$C$10)^2),SQRT(LN(1+($D$10/$C$10)^2)))</f>
        <v/>
      </c>
      <c r="S4627" s="14">
        <f>SUM(M4627:R4627)</f>
        <v/>
      </c>
      <c r="AA4627">
        <f>RAND()</f>
        <v/>
      </c>
      <c r="AB4627">
        <f>RAND()</f>
        <v/>
      </c>
      <c r="AC4627">
        <f>RAND()</f>
        <v/>
      </c>
      <c r="AD4627">
        <f>RAND()</f>
        <v/>
      </c>
      <c r="AE4627">
        <f>RAND()</f>
        <v/>
      </c>
      <c r="AF4627">
        <f>RAND()</f>
        <v/>
      </c>
    </row>
    <row r="4628">
      <c r="M4628" s="14">
        <f>_xlfn.BETA.INV($AA4628,1+4*($D$5-$C$5)/($E$5-$C$5),1+4*($E$5-$D$5)/($E$5-$C$5),$C$5,$E$5)</f>
        <v/>
      </c>
      <c r="N4628" s="14">
        <f>IF($AB4628&lt;($D$6-$C$6)/($E$6-$C$6),$C$6+SQRT($AB4628*($E$6-$C$6)*($D$6-$C$6)),$E$6-SQRT((1-$AB4628)*($E$6-$C$6)*($E$6-$D$6)))</f>
        <v/>
      </c>
      <c r="O4628" s="14">
        <f>_xlfn.NORM.INV($AC4628,$C$7,$D$7)</f>
        <v/>
      </c>
      <c r="P4628" s="14">
        <f>$C$8+($D$8-$C$8)*$AD4628</f>
        <v/>
      </c>
      <c r="Q4628" s="14">
        <f>$C$9</f>
        <v/>
      </c>
      <c r="R4628" s="14">
        <f>_xlfn.LOGNORM.INV($AF4628,LN($C$10)-0.5*LN(1+($D$10/$C$10)^2),SQRT(LN(1+($D$10/$C$10)^2)))</f>
        <v/>
      </c>
      <c r="S4628" s="14">
        <f>SUM(M4628:R4628)</f>
        <v/>
      </c>
      <c r="AA4628">
        <f>RAND()</f>
        <v/>
      </c>
      <c r="AB4628">
        <f>RAND()</f>
        <v/>
      </c>
      <c r="AC4628">
        <f>RAND()</f>
        <v/>
      </c>
      <c r="AD4628">
        <f>RAND()</f>
        <v/>
      </c>
      <c r="AE4628">
        <f>RAND()</f>
        <v/>
      </c>
      <c r="AF4628">
        <f>RAND()</f>
        <v/>
      </c>
    </row>
    <row r="4629">
      <c r="M4629" s="14">
        <f>_xlfn.BETA.INV($AA4629,1+4*($D$5-$C$5)/($E$5-$C$5),1+4*($E$5-$D$5)/($E$5-$C$5),$C$5,$E$5)</f>
        <v/>
      </c>
      <c r="N4629" s="14">
        <f>IF($AB4629&lt;($D$6-$C$6)/($E$6-$C$6),$C$6+SQRT($AB4629*($E$6-$C$6)*($D$6-$C$6)),$E$6-SQRT((1-$AB4629)*($E$6-$C$6)*($E$6-$D$6)))</f>
        <v/>
      </c>
      <c r="O4629" s="14">
        <f>_xlfn.NORM.INV($AC4629,$C$7,$D$7)</f>
        <v/>
      </c>
      <c r="P4629" s="14">
        <f>$C$8+($D$8-$C$8)*$AD4629</f>
        <v/>
      </c>
      <c r="Q4629" s="14">
        <f>$C$9</f>
        <v/>
      </c>
      <c r="R4629" s="14">
        <f>_xlfn.LOGNORM.INV($AF4629,LN($C$10)-0.5*LN(1+($D$10/$C$10)^2),SQRT(LN(1+($D$10/$C$10)^2)))</f>
        <v/>
      </c>
      <c r="S4629" s="14">
        <f>SUM(M4629:R4629)</f>
        <v/>
      </c>
      <c r="AA4629">
        <f>RAND()</f>
        <v/>
      </c>
      <c r="AB4629">
        <f>RAND()</f>
        <v/>
      </c>
      <c r="AC4629">
        <f>RAND()</f>
        <v/>
      </c>
      <c r="AD4629">
        <f>RAND()</f>
        <v/>
      </c>
      <c r="AE4629">
        <f>RAND()</f>
        <v/>
      </c>
      <c r="AF4629">
        <f>RAND()</f>
        <v/>
      </c>
    </row>
    <row r="4630">
      <c r="M4630" s="14">
        <f>_xlfn.BETA.INV($AA4630,1+4*($D$5-$C$5)/($E$5-$C$5),1+4*($E$5-$D$5)/($E$5-$C$5),$C$5,$E$5)</f>
        <v/>
      </c>
      <c r="N4630" s="14">
        <f>IF($AB4630&lt;($D$6-$C$6)/($E$6-$C$6),$C$6+SQRT($AB4630*($E$6-$C$6)*($D$6-$C$6)),$E$6-SQRT((1-$AB4630)*($E$6-$C$6)*($E$6-$D$6)))</f>
        <v/>
      </c>
      <c r="O4630" s="14">
        <f>_xlfn.NORM.INV($AC4630,$C$7,$D$7)</f>
        <v/>
      </c>
      <c r="P4630" s="14">
        <f>$C$8+($D$8-$C$8)*$AD4630</f>
        <v/>
      </c>
      <c r="Q4630" s="14">
        <f>$C$9</f>
        <v/>
      </c>
      <c r="R4630" s="14">
        <f>_xlfn.LOGNORM.INV($AF4630,LN($C$10)-0.5*LN(1+($D$10/$C$10)^2),SQRT(LN(1+($D$10/$C$10)^2)))</f>
        <v/>
      </c>
      <c r="S4630" s="14">
        <f>SUM(M4630:R4630)</f>
        <v/>
      </c>
      <c r="AA4630">
        <f>RAND()</f>
        <v/>
      </c>
      <c r="AB4630">
        <f>RAND()</f>
        <v/>
      </c>
      <c r="AC4630">
        <f>RAND()</f>
        <v/>
      </c>
      <c r="AD4630">
        <f>RAND()</f>
        <v/>
      </c>
      <c r="AE4630">
        <f>RAND()</f>
        <v/>
      </c>
      <c r="AF4630">
        <f>RAND()</f>
        <v/>
      </c>
    </row>
    <row r="4631">
      <c r="M4631" s="14">
        <f>_xlfn.BETA.INV($AA4631,1+4*($D$5-$C$5)/($E$5-$C$5),1+4*($E$5-$D$5)/($E$5-$C$5),$C$5,$E$5)</f>
        <v/>
      </c>
      <c r="N4631" s="14">
        <f>IF($AB4631&lt;($D$6-$C$6)/($E$6-$C$6),$C$6+SQRT($AB4631*($E$6-$C$6)*($D$6-$C$6)),$E$6-SQRT((1-$AB4631)*($E$6-$C$6)*($E$6-$D$6)))</f>
        <v/>
      </c>
      <c r="O4631" s="14">
        <f>_xlfn.NORM.INV($AC4631,$C$7,$D$7)</f>
        <v/>
      </c>
      <c r="P4631" s="14">
        <f>$C$8+($D$8-$C$8)*$AD4631</f>
        <v/>
      </c>
      <c r="Q4631" s="14">
        <f>$C$9</f>
        <v/>
      </c>
      <c r="R4631" s="14">
        <f>_xlfn.LOGNORM.INV($AF4631,LN($C$10)-0.5*LN(1+($D$10/$C$10)^2),SQRT(LN(1+($D$10/$C$10)^2)))</f>
        <v/>
      </c>
      <c r="S4631" s="14">
        <f>SUM(M4631:R4631)</f>
        <v/>
      </c>
      <c r="AA4631">
        <f>RAND()</f>
        <v/>
      </c>
      <c r="AB4631">
        <f>RAND()</f>
        <v/>
      </c>
      <c r="AC4631">
        <f>RAND()</f>
        <v/>
      </c>
      <c r="AD4631">
        <f>RAND()</f>
        <v/>
      </c>
      <c r="AE4631">
        <f>RAND()</f>
        <v/>
      </c>
      <c r="AF4631">
        <f>RAND()</f>
        <v/>
      </c>
    </row>
    <row r="4632">
      <c r="M4632" s="14">
        <f>_xlfn.BETA.INV($AA4632,1+4*($D$5-$C$5)/($E$5-$C$5),1+4*($E$5-$D$5)/($E$5-$C$5),$C$5,$E$5)</f>
        <v/>
      </c>
      <c r="N4632" s="14">
        <f>IF($AB4632&lt;($D$6-$C$6)/($E$6-$C$6),$C$6+SQRT($AB4632*($E$6-$C$6)*($D$6-$C$6)),$E$6-SQRT((1-$AB4632)*($E$6-$C$6)*($E$6-$D$6)))</f>
        <v/>
      </c>
      <c r="O4632" s="14">
        <f>_xlfn.NORM.INV($AC4632,$C$7,$D$7)</f>
        <v/>
      </c>
      <c r="P4632" s="14">
        <f>$C$8+($D$8-$C$8)*$AD4632</f>
        <v/>
      </c>
      <c r="Q4632" s="14">
        <f>$C$9</f>
        <v/>
      </c>
      <c r="R4632" s="14">
        <f>_xlfn.LOGNORM.INV($AF4632,LN($C$10)-0.5*LN(1+($D$10/$C$10)^2),SQRT(LN(1+($D$10/$C$10)^2)))</f>
        <v/>
      </c>
      <c r="S4632" s="14">
        <f>SUM(M4632:R4632)</f>
        <v/>
      </c>
      <c r="AA4632">
        <f>RAND()</f>
        <v/>
      </c>
      <c r="AB4632">
        <f>RAND()</f>
        <v/>
      </c>
      <c r="AC4632">
        <f>RAND()</f>
        <v/>
      </c>
      <c r="AD4632">
        <f>RAND()</f>
        <v/>
      </c>
      <c r="AE4632">
        <f>RAND()</f>
        <v/>
      </c>
      <c r="AF4632">
        <f>RAND()</f>
        <v/>
      </c>
    </row>
    <row r="4633">
      <c r="M4633" s="14">
        <f>_xlfn.BETA.INV($AA4633,1+4*($D$5-$C$5)/($E$5-$C$5),1+4*($E$5-$D$5)/($E$5-$C$5),$C$5,$E$5)</f>
        <v/>
      </c>
      <c r="N4633" s="14">
        <f>IF($AB4633&lt;($D$6-$C$6)/($E$6-$C$6),$C$6+SQRT($AB4633*($E$6-$C$6)*($D$6-$C$6)),$E$6-SQRT((1-$AB4633)*($E$6-$C$6)*($E$6-$D$6)))</f>
        <v/>
      </c>
      <c r="O4633" s="14">
        <f>_xlfn.NORM.INV($AC4633,$C$7,$D$7)</f>
        <v/>
      </c>
      <c r="P4633" s="14">
        <f>$C$8+($D$8-$C$8)*$AD4633</f>
        <v/>
      </c>
      <c r="Q4633" s="14">
        <f>$C$9</f>
        <v/>
      </c>
      <c r="R4633" s="14">
        <f>_xlfn.LOGNORM.INV($AF4633,LN($C$10)-0.5*LN(1+($D$10/$C$10)^2),SQRT(LN(1+($D$10/$C$10)^2)))</f>
        <v/>
      </c>
      <c r="S4633" s="14">
        <f>SUM(M4633:R4633)</f>
        <v/>
      </c>
      <c r="AA4633">
        <f>RAND()</f>
        <v/>
      </c>
      <c r="AB4633">
        <f>RAND()</f>
        <v/>
      </c>
      <c r="AC4633">
        <f>RAND()</f>
        <v/>
      </c>
      <c r="AD4633">
        <f>RAND()</f>
        <v/>
      </c>
      <c r="AE4633">
        <f>RAND()</f>
        <v/>
      </c>
      <c r="AF4633">
        <f>RAND()</f>
        <v/>
      </c>
    </row>
    <row r="4634">
      <c r="M4634" s="14">
        <f>_xlfn.BETA.INV($AA4634,1+4*($D$5-$C$5)/($E$5-$C$5),1+4*($E$5-$D$5)/($E$5-$C$5),$C$5,$E$5)</f>
        <v/>
      </c>
      <c r="N4634" s="14">
        <f>IF($AB4634&lt;($D$6-$C$6)/($E$6-$C$6),$C$6+SQRT($AB4634*($E$6-$C$6)*($D$6-$C$6)),$E$6-SQRT((1-$AB4634)*($E$6-$C$6)*($E$6-$D$6)))</f>
        <v/>
      </c>
      <c r="O4634" s="14">
        <f>_xlfn.NORM.INV($AC4634,$C$7,$D$7)</f>
        <v/>
      </c>
      <c r="P4634" s="14">
        <f>$C$8+($D$8-$C$8)*$AD4634</f>
        <v/>
      </c>
      <c r="Q4634" s="14">
        <f>$C$9</f>
        <v/>
      </c>
      <c r="R4634" s="14">
        <f>_xlfn.LOGNORM.INV($AF4634,LN($C$10)-0.5*LN(1+($D$10/$C$10)^2),SQRT(LN(1+($D$10/$C$10)^2)))</f>
        <v/>
      </c>
      <c r="S4634" s="14">
        <f>SUM(M4634:R4634)</f>
        <v/>
      </c>
      <c r="AA4634">
        <f>RAND()</f>
        <v/>
      </c>
      <c r="AB4634">
        <f>RAND()</f>
        <v/>
      </c>
      <c r="AC4634">
        <f>RAND()</f>
        <v/>
      </c>
      <c r="AD4634">
        <f>RAND()</f>
        <v/>
      </c>
      <c r="AE4634">
        <f>RAND()</f>
        <v/>
      </c>
      <c r="AF4634">
        <f>RAND()</f>
        <v/>
      </c>
    </row>
    <row r="4635">
      <c r="M4635" s="14">
        <f>_xlfn.BETA.INV($AA4635,1+4*($D$5-$C$5)/($E$5-$C$5),1+4*($E$5-$D$5)/($E$5-$C$5),$C$5,$E$5)</f>
        <v/>
      </c>
      <c r="N4635" s="14">
        <f>IF($AB4635&lt;($D$6-$C$6)/($E$6-$C$6),$C$6+SQRT($AB4635*($E$6-$C$6)*($D$6-$C$6)),$E$6-SQRT((1-$AB4635)*($E$6-$C$6)*($E$6-$D$6)))</f>
        <v/>
      </c>
      <c r="O4635" s="14">
        <f>_xlfn.NORM.INV($AC4635,$C$7,$D$7)</f>
        <v/>
      </c>
      <c r="P4635" s="14">
        <f>$C$8+($D$8-$C$8)*$AD4635</f>
        <v/>
      </c>
      <c r="Q4635" s="14">
        <f>$C$9</f>
        <v/>
      </c>
      <c r="R4635" s="14">
        <f>_xlfn.LOGNORM.INV($AF4635,LN($C$10)-0.5*LN(1+($D$10/$C$10)^2),SQRT(LN(1+($D$10/$C$10)^2)))</f>
        <v/>
      </c>
      <c r="S4635" s="14">
        <f>SUM(M4635:R4635)</f>
        <v/>
      </c>
      <c r="AA4635">
        <f>RAND()</f>
        <v/>
      </c>
      <c r="AB4635">
        <f>RAND()</f>
        <v/>
      </c>
      <c r="AC4635">
        <f>RAND()</f>
        <v/>
      </c>
      <c r="AD4635">
        <f>RAND()</f>
        <v/>
      </c>
      <c r="AE4635">
        <f>RAND()</f>
        <v/>
      </c>
      <c r="AF4635">
        <f>RAND()</f>
        <v/>
      </c>
    </row>
    <row r="4636">
      <c r="M4636" s="14">
        <f>_xlfn.BETA.INV($AA4636,1+4*($D$5-$C$5)/($E$5-$C$5),1+4*($E$5-$D$5)/($E$5-$C$5),$C$5,$E$5)</f>
        <v/>
      </c>
      <c r="N4636" s="14">
        <f>IF($AB4636&lt;($D$6-$C$6)/($E$6-$C$6),$C$6+SQRT($AB4636*($E$6-$C$6)*($D$6-$C$6)),$E$6-SQRT((1-$AB4636)*($E$6-$C$6)*($E$6-$D$6)))</f>
        <v/>
      </c>
      <c r="O4636" s="14">
        <f>_xlfn.NORM.INV($AC4636,$C$7,$D$7)</f>
        <v/>
      </c>
      <c r="P4636" s="14">
        <f>$C$8+($D$8-$C$8)*$AD4636</f>
        <v/>
      </c>
      <c r="Q4636" s="14">
        <f>$C$9</f>
        <v/>
      </c>
      <c r="R4636" s="14">
        <f>_xlfn.LOGNORM.INV($AF4636,LN($C$10)-0.5*LN(1+($D$10/$C$10)^2),SQRT(LN(1+($D$10/$C$10)^2)))</f>
        <v/>
      </c>
      <c r="S4636" s="14">
        <f>SUM(M4636:R4636)</f>
        <v/>
      </c>
      <c r="AA4636">
        <f>RAND()</f>
        <v/>
      </c>
      <c r="AB4636">
        <f>RAND()</f>
        <v/>
      </c>
      <c r="AC4636">
        <f>RAND()</f>
        <v/>
      </c>
      <c r="AD4636">
        <f>RAND()</f>
        <v/>
      </c>
      <c r="AE4636">
        <f>RAND()</f>
        <v/>
      </c>
      <c r="AF4636">
        <f>RAND()</f>
        <v/>
      </c>
    </row>
    <row r="4637">
      <c r="M4637" s="14">
        <f>_xlfn.BETA.INV($AA4637,1+4*($D$5-$C$5)/($E$5-$C$5),1+4*($E$5-$D$5)/($E$5-$C$5),$C$5,$E$5)</f>
        <v/>
      </c>
      <c r="N4637" s="14">
        <f>IF($AB4637&lt;($D$6-$C$6)/($E$6-$C$6),$C$6+SQRT($AB4637*($E$6-$C$6)*($D$6-$C$6)),$E$6-SQRT((1-$AB4637)*($E$6-$C$6)*($E$6-$D$6)))</f>
        <v/>
      </c>
      <c r="O4637" s="14">
        <f>_xlfn.NORM.INV($AC4637,$C$7,$D$7)</f>
        <v/>
      </c>
      <c r="P4637" s="14">
        <f>$C$8+($D$8-$C$8)*$AD4637</f>
        <v/>
      </c>
      <c r="Q4637" s="14">
        <f>$C$9</f>
        <v/>
      </c>
      <c r="R4637" s="14">
        <f>_xlfn.LOGNORM.INV($AF4637,LN($C$10)-0.5*LN(1+($D$10/$C$10)^2),SQRT(LN(1+($D$10/$C$10)^2)))</f>
        <v/>
      </c>
      <c r="S4637" s="14">
        <f>SUM(M4637:R4637)</f>
        <v/>
      </c>
      <c r="AA4637">
        <f>RAND()</f>
        <v/>
      </c>
      <c r="AB4637">
        <f>RAND()</f>
        <v/>
      </c>
      <c r="AC4637">
        <f>RAND()</f>
        <v/>
      </c>
      <c r="AD4637">
        <f>RAND()</f>
        <v/>
      </c>
      <c r="AE4637">
        <f>RAND()</f>
        <v/>
      </c>
      <c r="AF4637">
        <f>RAND()</f>
        <v/>
      </c>
    </row>
    <row r="4638">
      <c r="M4638" s="14">
        <f>_xlfn.BETA.INV($AA4638,1+4*($D$5-$C$5)/($E$5-$C$5),1+4*($E$5-$D$5)/($E$5-$C$5),$C$5,$E$5)</f>
        <v/>
      </c>
      <c r="N4638" s="14">
        <f>IF($AB4638&lt;($D$6-$C$6)/($E$6-$C$6),$C$6+SQRT($AB4638*($E$6-$C$6)*($D$6-$C$6)),$E$6-SQRT((1-$AB4638)*($E$6-$C$6)*($E$6-$D$6)))</f>
        <v/>
      </c>
      <c r="O4638" s="14">
        <f>_xlfn.NORM.INV($AC4638,$C$7,$D$7)</f>
        <v/>
      </c>
      <c r="P4638" s="14">
        <f>$C$8+($D$8-$C$8)*$AD4638</f>
        <v/>
      </c>
      <c r="Q4638" s="14">
        <f>$C$9</f>
        <v/>
      </c>
      <c r="R4638" s="14">
        <f>_xlfn.LOGNORM.INV($AF4638,LN($C$10)-0.5*LN(1+($D$10/$C$10)^2),SQRT(LN(1+($D$10/$C$10)^2)))</f>
        <v/>
      </c>
      <c r="S4638" s="14">
        <f>SUM(M4638:R4638)</f>
        <v/>
      </c>
      <c r="AA4638">
        <f>RAND()</f>
        <v/>
      </c>
      <c r="AB4638">
        <f>RAND()</f>
        <v/>
      </c>
      <c r="AC4638">
        <f>RAND()</f>
        <v/>
      </c>
      <c r="AD4638">
        <f>RAND()</f>
        <v/>
      </c>
      <c r="AE4638">
        <f>RAND()</f>
        <v/>
      </c>
      <c r="AF4638">
        <f>RAND()</f>
        <v/>
      </c>
    </row>
    <row r="4639">
      <c r="M4639" s="14">
        <f>_xlfn.BETA.INV($AA4639,1+4*($D$5-$C$5)/($E$5-$C$5),1+4*($E$5-$D$5)/($E$5-$C$5),$C$5,$E$5)</f>
        <v/>
      </c>
      <c r="N4639" s="14">
        <f>IF($AB4639&lt;($D$6-$C$6)/($E$6-$C$6),$C$6+SQRT($AB4639*($E$6-$C$6)*($D$6-$C$6)),$E$6-SQRT((1-$AB4639)*($E$6-$C$6)*($E$6-$D$6)))</f>
        <v/>
      </c>
      <c r="O4639" s="14">
        <f>_xlfn.NORM.INV($AC4639,$C$7,$D$7)</f>
        <v/>
      </c>
      <c r="P4639" s="14">
        <f>$C$8+($D$8-$C$8)*$AD4639</f>
        <v/>
      </c>
      <c r="Q4639" s="14">
        <f>$C$9</f>
        <v/>
      </c>
      <c r="R4639" s="14">
        <f>_xlfn.LOGNORM.INV($AF4639,LN($C$10)-0.5*LN(1+($D$10/$C$10)^2),SQRT(LN(1+($D$10/$C$10)^2)))</f>
        <v/>
      </c>
      <c r="S4639" s="14">
        <f>SUM(M4639:R4639)</f>
        <v/>
      </c>
      <c r="AA4639">
        <f>RAND()</f>
        <v/>
      </c>
      <c r="AB4639">
        <f>RAND()</f>
        <v/>
      </c>
      <c r="AC4639">
        <f>RAND()</f>
        <v/>
      </c>
      <c r="AD4639">
        <f>RAND()</f>
        <v/>
      </c>
      <c r="AE4639">
        <f>RAND()</f>
        <v/>
      </c>
      <c r="AF4639">
        <f>RAND()</f>
        <v/>
      </c>
    </row>
    <row r="4640">
      <c r="M4640" s="14">
        <f>_xlfn.BETA.INV($AA4640,1+4*($D$5-$C$5)/($E$5-$C$5),1+4*($E$5-$D$5)/($E$5-$C$5),$C$5,$E$5)</f>
        <v/>
      </c>
      <c r="N4640" s="14">
        <f>IF($AB4640&lt;($D$6-$C$6)/($E$6-$C$6),$C$6+SQRT($AB4640*($E$6-$C$6)*($D$6-$C$6)),$E$6-SQRT((1-$AB4640)*($E$6-$C$6)*($E$6-$D$6)))</f>
        <v/>
      </c>
      <c r="O4640" s="14">
        <f>_xlfn.NORM.INV($AC4640,$C$7,$D$7)</f>
        <v/>
      </c>
      <c r="P4640" s="14">
        <f>$C$8+($D$8-$C$8)*$AD4640</f>
        <v/>
      </c>
      <c r="Q4640" s="14">
        <f>$C$9</f>
        <v/>
      </c>
      <c r="R4640" s="14">
        <f>_xlfn.LOGNORM.INV($AF4640,LN($C$10)-0.5*LN(1+($D$10/$C$10)^2),SQRT(LN(1+($D$10/$C$10)^2)))</f>
        <v/>
      </c>
      <c r="S4640" s="14">
        <f>SUM(M4640:R4640)</f>
        <v/>
      </c>
      <c r="AA4640">
        <f>RAND()</f>
        <v/>
      </c>
      <c r="AB4640">
        <f>RAND()</f>
        <v/>
      </c>
      <c r="AC4640">
        <f>RAND()</f>
        <v/>
      </c>
      <c r="AD4640">
        <f>RAND()</f>
        <v/>
      </c>
      <c r="AE4640">
        <f>RAND()</f>
        <v/>
      </c>
      <c r="AF4640">
        <f>RAND()</f>
        <v/>
      </c>
    </row>
    <row r="4641">
      <c r="M4641" s="14">
        <f>_xlfn.BETA.INV($AA4641,1+4*($D$5-$C$5)/($E$5-$C$5),1+4*($E$5-$D$5)/($E$5-$C$5),$C$5,$E$5)</f>
        <v/>
      </c>
      <c r="N4641" s="14">
        <f>IF($AB4641&lt;($D$6-$C$6)/($E$6-$C$6),$C$6+SQRT($AB4641*($E$6-$C$6)*($D$6-$C$6)),$E$6-SQRT((1-$AB4641)*($E$6-$C$6)*($E$6-$D$6)))</f>
        <v/>
      </c>
      <c r="O4641" s="14">
        <f>_xlfn.NORM.INV($AC4641,$C$7,$D$7)</f>
        <v/>
      </c>
      <c r="P4641" s="14">
        <f>$C$8+($D$8-$C$8)*$AD4641</f>
        <v/>
      </c>
      <c r="Q4641" s="14">
        <f>$C$9</f>
        <v/>
      </c>
      <c r="R4641" s="14">
        <f>_xlfn.LOGNORM.INV($AF4641,LN($C$10)-0.5*LN(1+($D$10/$C$10)^2),SQRT(LN(1+($D$10/$C$10)^2)))</f>
        <v/>
      </c>
      <c r="S4641" s="14">
        <f>SUM(M4641:R4641)</f>
        <v/>
      </c>
      <c r="AA4641">
        <f>RAND()</f>
        <v/>
      </c>
      <c r="AB4641">
        <f>RAND()</f>
        <v/>
      </c>
      <c r="AC4641">
        <f>RAND()</f>
        <v/>
      </c>
      <c r="AD4641">
        <f>RAND()</f>
        <v/>
      </c>
      <c r="AE4641">
        <f>RAND()</f>
        <v/>
      </c>
      <c r="AF4641">
        <f>RAND()</f>
        <v/>
      </c>
    </row>
    <row r="4642">
      <c r="M4642" s="14">
        <f>_xlfn.BETA.INV($AA4642,1+4*($D$5-$C$5)/($E$5-$C$5),1+4*($E$5-$D$5)/($E$5-$C$5),$C$5,$E$5)</f>
        <v/>
      </c>
      <c r="N4642" s="14">
        <f>IF($AB4642&lt;($D$6-$C$6)/($E$6-$C$6),$C$6+SQRT($AB4642*($E$6-$C$6)*($D$6-$C$6)),$E$6-SQRT((1-$AB4642)*($E$6-$C$6)*($E$6-$D$6)))</f>
        <v/>
      </c>
      <c r="O4642" s="14">
        <f>_xlfn.NORM.INV($AC4642,$C$7,$D$7)</f>
        <v/>
      </c>
      <c r="P4642" s="14">
        <f>$C$8+($D$8-$C$8)*$AD4642</f>
        <v/>
      </c>
      <c r="Q4642" s="14">
        <f>$C$9</f>
        <v/>
      </c>
      <c r="R4642" s="14">
        <f>_xlfn.LOGNORM.INV($AF4642,LN($C$10)-0.5*LN(1+($D$10/$C$10)^2),SQRT(LN(1+($D$10/$C$10)^2)))</f>
        <v/>
      </c>
      <c r="S4642" s="14">
        <f>SUM(M4642:R4642)</f>
        <v/>
      </c>
      <c r="AA4642">
        <f>RAND()</f>
        <v/>
      </c>
      <c r="AB4642">
        <f>RAND()</f>
        <v/>
      </c>
      <c r="AC4642">
        <f>RAND()</f>
        <v/>
      </c>
      <c r="AD4642">
        <f>RAND()</f>
        <v/>
      </c>
      <c r="AE4642">
        <f>RAND()</f>
        <v/>
      </c>
      <c r="AF4642">
        <f>RAND()</f>
        <v/>
      </c>
    </row>
    <row r="4643">
      <c r="M4643" s="14">
        <f>_xlfn.BETA.INV($AA4643,1+4*($D$5-$C$5)/($E$5-$C$5),1+4*($E$5-$D$5)/($E$5-$C$5),$C$5,$E$5)</f>
        <v/>
      </c>
      <c r="N4643" s="14">
        <f>IF($AB4643&lt;($D$6-$C$6)/($E$6-$C$6),$C$6+SQRT($AB4643*($E$6-$C$6)*($D$6-$C$6)),$E$6-SQRT((1-$AB4643)*($E$6-$C$6)*($E$6-$D$6)))</f>
        <v/>
      </c>
      <c r="O4643" s="14">
        <f>_xlfn.NORM.INV($AC4643,$C$7,$D$7)</f>
        <v/>
      </c>
      <c r="P4643" s="14">
        <f>$C$8+($D$8-$C$8)*$AD4643</f>
        <v/>
      </c>
      <c r="Q4643" s="14">
        <f>$C$9</f>
        <v/>
      </c>
      <c r="R4643" s="14">
        <f>_xlfn.LOGNORM.INV($AF4643,LN($C$10)-0.5*LN(1+($D$10/$C$10)^2),SQRT(LN(1+($D$10/$C$10)^2)))</f>
        <v/>
      </c>
      <c r="S4643" s="14">
        <f>SUM(M4643:R4643)</f>
        <v/>
      </c>
      <c r="AA4643">
        <f>RAND()</f>
        <v/>
      </c>
      <c r="AB4643">
        <f>RAND()</f>
        <v/>
      </c>
      <c r="AC4643">
        <f>RAND()</f>
        <v/>
      </c>
      <c r="AD4643">
        <f>RAND()</f>
        <v/>
      </c>
      <c r="AE4643">
        <f>RAND()</f>
        <v/>
      </c>
      <c r="AF4643">
        <f>RAND()</f>
        <v/>
      </c>
    </row>
    <row r="4644">
      <c r="M4644" s="14">
        <f>_xlfn.BETA.INV($AA4644,1+4*($D$5-$C$5)/($E$5-$C$5),1+4*($E$5-$D$5)/($E$5-$C$5),$C$5,$E$5)</f>
        <v/>
      </c>
      <c r="N4644" s="14">
        <f>IF($AB4644&lt;($D$6-$C$6)/($E$6-$C$6),$C$6+SQRT($AB4644*($E$6-$C$6)*($D$6-$C$6)),$E$6-SQRT((1-$AB4644)*($E$6-$C$6)*($E$6-$D$6)))</f>
        <v/>
      </c>
      <c r="O4644" s="14">
        <f>_xlfn.NORM.INV($AC4644,$C$7,$D$7)</f>
        <v/>
      </c>
      <c r="P4644" s="14">
        <f>$C$8+($D$8-$C$8)*$AD4644</f>
        <v/>
      </c>
      <c r="Q4644" s="14">
        <f>$C$9</f>
        <v/>
      </c>
      <c r="R4644" s="14">
        <f>_xlfn.LOGNORM.INV($AF4644,LN($C$10)-0.5*LN(1+($D$10/$C$10)^2),SQRT(LN(1+($D$10/$C$10)^2)))</f>
        <v/>
      </c>
      <c r="S4644" s="14">
        <f>SUM(M4644:R4644)</f>
        <v/>
      </c>
      <c r="AA4644">
        <f>RAND()</f>
        <v/>
      </c>
      <c r="AB4644">
        <f>RAND()</f>
        <v/>
      </c>
      <c r="AC4644">
        <f>RAND()</f>
        <v/>
      </c>
      <c r="AD4644">
        <f>RAND()</f>
        <v/>
      </c>
      <c r="AE4644">
        <f>RAND()</f>
        <v/>
      </c>
      <c r="AF4644">
        <f>RAND()</f>
        <v/>
      </c>
    </row>
    <row r="4645">
      <c r="M4645" s="14">
        <f>_xlfn.BETA.INV($AA4645,1+4*($D$5-$C$5)/($E$5-$C$5),1+4*($E$5-$D$5)/($E$5-$C$5),$C$5,$E$5)</f>
        <v/>
      </c>
      <c r="N4645" s="14">
        <f>IF($AB4645&lt;($D$6-$C$6)/($E$6-$C$6),$C$6+SQRT($AB4645*($E$6-$C$6)*($D$6-$C$6)),$E$6-SQRT((1-$AB4645)*($E$6-$C$6)*($E$6-$D$6)))</f>
        <v/>
      </c>
      <c r="O4645" s="14">
        <f>_xlfn.NORM.INV($AC4645,$C$7,$D$7)</f>
        <v/>
      </c>
      <c r="P4645" s="14">
        <f>$C$8+($D$8-$C$8)*$AD4645</f>
        <v/>
      </c>
      <c r="Q4645" s="14">
        <f>$C$9</f>
        <v/>
      </c>
      <c r="R4645" s="14">
        <f>_xlfn.LOGNORM.INV($AF4645,LN($C$10)-0.5*LN(1+($D$10/$C$10)^2),SQRT(LN(1+($D$10/$C$10)^2)))</f>
        <v/>
      </c>
      <c r="S4645" s="14">
        <f>SUM(M4645:R4645)</f>
        <v/>
      </c>
      <c r="AA4645">
        <f>RAND()</f>
        <v/>
      </c>
      <c r="AB4645">
        <f>RAND()</f>
        <v/>
      </c>
      <c r="AC4645">
        <f>RAND()</f>
        <v/>
      </c>
      <c r="AD4645">
        <f>RAND()</f>
        <v/>
      </c>
      <c r="AE4645">
        <f>RAND()</f>
        <v/>
      </c>
      <c r="AF4645">
        <f>RAND()</f>
        <v/>
      </c>
    </row>
    <row r="4646">
      <c r="M4646" s="14">
        <f>_xlfn.BETA.INV($AA4646,1+4*($D$5-$C$5)/($E$5-$C$5),1+4*($E$5-$D$5)/($E$5-$C$5),$C$5,$E$5)</f>
        <v/>
      </c>
      <c r="N4646" s="14">
        <f>IF($AB4646&lt;($D$6-$C$6)/($E$6-$C$6),$C$6+SQRT($AB4646*($E$6-$C$6)*($D$6-$C$6)),$E$6-SQRT((1-$AB4646)*($E$6-$C$6)*($E$6-$D$6)))</f>
        <v/>
      </c>
      <c r="O4646" s="14">
        <f>_xlfn.NORM.INV($AC4646,$C$7,$D$7)</f>
        <v/>
      </c>
      <c r="P4646" s="14">
        <f>$C$8+($D$8-$C$8)*$AD4646</f>
        <v/>
      </c>
      <c r="Q4646" s="14">
        <f>$C$9</f>
        <v/>
      </c>
      <c r="R4646" s="14">
        <f>_xlfn.LOGNORM.INV($AF4646,LN($C$10)-0.5*LN(1+($D$10/$C$10)^2),SQRT(LN(1+($D$10/$C$10)^2)))</f>
        <v/>
      </c>
      <c r="S4646" s="14">
        <f>SUM(M4646:R4646)</f>
        <v/>
      </c>
      <c r="AA4646">
        <f>RAND()</f>
        <v/>
      </c>
      <c r="AB4646">
        <f>RAND()</f>
        <v/>
      </c>
      <c r="AC4646">
        <f>RAND()</f>
        <v/>
      </c>
      <c r="AD4646">
        <f>RAND()</f>
        <v/>
      </c>
      <c r="AE4646">
        <f>RAND()</f>
        <v/>
      </c>
      <c r="AF4646">
        <f>RAND()</f>
        <v/>
      </c>
    </row>
    <row r="4647">
      <c r="M4647" s="14">
        <f>_xlfn.BETA.INV($AA4647,1+4*($D$5-$C$5)/($E$5-$C$5),1+4*($E$5-$D$5)/($E$5-$C$5),$C$5,$E$5)</f>
        <v/>
      </c>
      <c r="N4647" s="14">
        <f>IF($AB4647&lt;($D$6-$C$6)/($E$6-$C$6),$C$6+SQRT($AB4647*($E$6-$C$6)*($D$6-$C$6)),$E$6-SQRT((1-$AB4647)*($E$6-$C$6)*($E$6-$D$6)))</f>
        <v/>
      </c>
      <c r="O4647" s="14">
        <f>_xlfn.NORM.INV($AC4647,$C$7,$D$7)</f>
        <v/>
      </c>
      <c r="P4647" s="14">
        <f>$C$8+($D$8-$C$8)*$AD4647</f>
        <v/>
      </c>
      <c r="Q4647" s="14">
        <f>$C$9</f>
        <v/>
      </c>
      <c r="R4647" s="14">
        <f>_xlfn.LOGNORM.INV($AF4647,LN($C$10)-0.5*LN(1+($D$10/$C$10)^2),SQRT(LN(1+($D$10/$C$10)^2)))</f>
        <v/>
      </c>
      <c r="S4647" s="14">
        <f>SUM(M4647:R4647)</f>
        <v/>
      </c>
      <c r="AA4647">
        <f>RAND()</f>
        <v/>
      </c>
      <c r="AB4647">
        <f>RAND()</f>
        <v/>
      </c>
      <c r="AC4647">
        <f>RAND()</f>
        <v/>
      </c>
      <c r="AD4647">
        <f>RAND()</f>
        <v/>
      </c>
      <c r="AE4647">
        <f>RAND()</f>
        <v/>
      </c>
      <c r="AF4647">
        <f>RAND()</f>
        <v/>
      </c>
    </row>
    <row r="4648">
      <c r="M4648" s="14">
        <f>_xlfn.BETA.INV($AA4648,1+4*($D$5-$C$5)/($E$5-$C$5),1+4*($E$5-$D$5)/($E$5-$C$5),$C$5,$E$5)</f>
        <v/>
      </c>
      <c r="N4648" s="14">
        <f>IF($AB4648&lt;($D$6-$C$6)/($E$6-$C$6),$C$6+SQRT($AB4648*($E$6-$C$6)*($D$6-$C$6)),$E$6-SQRT((1-$AB4648)*($E$6-$C$6)*($E$6-$D$6)))</f>
        <v/>
      </c>
      <c r="O4648" s="14">
        <f>_xlfn.NORM.INV($AC4648,$C$7,$D$7)</f>
        <v/>
      </c>
      <c r="P4648" s="14">
        <f>$C$8+($D$8-$C$8)*$AD4648</f>
        <v/>
      </c>
      <c r="Q4648" s="14">
        <f>$C$9</f>
        <v/>
      </c>
      <c r="R4648" s="14">
        <f>_xlfn.LOGNORM.INV($AF4648,LN($C$10)-0.5*LN(1+($D$10/$C$10)^2),SQRT(LN(1+($D$10/$C$10)^2)))</f>
        <v/>
      </c>
      <c r="S4648" s="14">
        <f>SUM(M4648:R4648)</f>
        <v/>
      </c>
      <c r="AA4648">
        <f>RAND()</f>
        <v/>
      </c>
      <c r="AB4648">
        <f>RAND()</f>
        <v/>
      </c>
      <c r="AC4648">
        <f>RAND()</f>
        <v/>
      </c>
      <c r="AD4648">
        <f>RAND()</f>
        <v/>
      </c>
      <c r="AE4648">
        <f>RAND()</f>
        <v/>
      </c>
      <c r="AF4648">
        <f>RAND()</f>
        <v/>
      </c>
    </row>
    <row r="4649">
      <c r="M4649" s="14">
        <f>_xlfn.BETA.INV($AA4649,1+4*($D$5-$C$5)/($E$5-$C$5),1+4*($E$5-$D$5)/($E$5-$C$5),$C$5,$E$5)</f>
        <v/>
      </c>
      <c r="N4649" s="14">
        <f>IF($AB4649&lt;($D$6-$C$6)/($E$6-$C$6),$C$6+SQRT($AB4649*($E$6-$C$6)*($D$6-$C$6)),$E$6-SQRT((1-$AB4649)*($E$6-$C$6)*($E$6-$D$6)))</f>
        <v/>
      </c>
      <c r="O4649" s="14">
        <f>_xlfn.NORM.INV($AC4649,$C$7,$D$7)</f>
        <v/>
      </c>
      <c r="P4649" s="14">
        <f>$C$8+($D$8-$C$8)*$AD4649</f>
        <v/>
      </c>
      <c r="Q4649" s="14">
        <f>$C$9</f>
        <v/>
      </c>
      <c r="R4649" s="14">
        <f>_xlfn.LOGNORM.INV($AF4649,LN($C$10)-0.5*LN(1+($D$10/$C$10)^2),SQRT(LN(1+($D$10/$C$10)^2)))</f>
        <v/>
      </c>
      <c r="S4649" s="14">
        <f>SUM(M4649:R4649)</f>
        <v/>
      </c>
      <c r="AA4649">
        <f>RAND()</f>
        <v/>
      </c>
      <c r="AB4649">
        <f>RAND()</f>
        <v/>
      </c>
      <c r="AC4649">
        <f>RAND()</f>
        <v/>
      </c>
      <c r="AD4649">
        <f>RAND()</f>
        <v/>
      </c>
      <c r="AE4649">
        <f>RAND()</f>
        <v/>
      </c>
      <c r="AF4649">
        <f>RAND()</f>
        <v/>
      </c>
    </row>
    <row r="4650">
      <c r="M4650" s="14">
        <f>_xlfn.BETA.INV($AA4650,1+4*($D$5-$C$5)/($E$5-$C$5),1+4*($E$5-$D$5)/($E$5-$C$5),$C$5,$E$5)</f>
        <v/>
      </c>
      <c r="N4650" s="14">
        <f>IF($AB4650&lt;($D$6-$C$6)/($E$6-$C$6),$C$6+SQRT($AB4650*($E$6-$C$6)*($D$6-$C$6)),$E$6-SQRT((1-$AB4650)*($E$6-$C$6)*($E$6-$D$6)))</f>
        <v/>
      </c>
      <c r="O4650" s="14">
        <f>_xlfn.NORM.INV($AC4650,$C$7,$D$7)</f>
        <v/>
      </c>
      <c r="P4650" s="14">
        <f>$C$8+($D$8-$C$8)*$AD4650</f>
        <v/>
      </c>
      <c r="Q4650" s="14">
        <f>$C$9</f>
        <v/>
      </c>
      <c r="R4650" s="14">
        <f>_xlfn.LOGNORM.INV($AF4650,LN($C$10)-0.5*LN(1+($D$10/$C$10)^2),SQRT(LN(1+($D$10/$C$10)^2)))</f>
        <v/>
      </c>
      <c r="S4650" s="14">
        <f>SUM(M4650:R4650)</f>
        <v/>
      </c>
      <c r="AA4650">
        <f>RAND()</f>
        <v/>
      </c>
      <c r="AB4650">
        <f>RAND()</f>
        <v/>
      </c>
      <c r="AC4650">
        <f>RAND()</f>
        <v/>
      </c>
      <c r="AD4650">
        <f>RAND()</f>
        <v/>
      </c>
      <c r="AE4650">
        <f>RAND()</f>
        <v/>
      </c>
      <c r="AF4650">
        <f>RAND()</f>
        <v/>
      </c>
    </row>
    <row r="4651">
      <c r="M4651" s="14">
        <f>_xlfn.BETA.INV($AA4651,1+4*($D$5-$C$5)/($E$5-$C$5),1+4*($E$5-$D$5)/($E$5-$C$5),$C$5,$E$5)</f>
        <v/>
      </c>
      <c r="N4651" s="14">
        <f>IF($AB4651&lt;($D$6-$C$6)/($E$6-$C$6),$C$6+SQRT($AB4651*($E$6-$C$6)*($D$6-$C$6)),$E$6-SQRT((1-$AB4651)*($E$6-$C$6)*($E$6-$D$6)))</f>
        <v/>
      </c>
      <c r="O4651" s="14">
        <f>_xlfn.NORM.INV($AC4651,$C$7,$D$7)</f>
        <v/>
      </c>
      <c r="P4651" s="14">
        <f>$C$8+($D$8-$C$8)*$AD4651</f>
        <v/>
      </c>
      <c r="Q4651" s="14">
        <f>$C$9</f>
        <v/>
      </c>
      <c r="R4651" s="14">
        <f>_xlfn.LOGNORM.INV($AF4651,LN($C$10)-0.5*LN(1+($D$10/$C$10)^2),SQRT(LN(1+($D$10/$C$10)^2)))</f>
        <v/>
      </c>
      <c r="S4651" s="14">
        <f>SUM(M4651:R4651)</f>
        <v/>
      </c>
      <c r="AA4651">
        <f>RAND()</f>
        <v/>
      </c>
      <c r="AB4651">
        <f>RAND()</f>
        <v/>
      </c>
      <c r="AC4651">
        <f>RAND()</f>
        <v/>
      </c>
      <c r="AD4651">
        <f>RAND()</f>
        <v/>
      </c>
      <c r="AE4651">
        <f>RAND()</f>
        <v/>
      </c>
      <c r="AF4651">
        <f>RAND()</f>
        <v/>
      </c>
    </row>
    <row r="4652">
      <c r="M4652" s="14">
        <f>_xlfn.BETA.INV($AA4652,1+4*($D$5-$C$5)/($E$5-$C$5),1+4*($E$5-$D$5)/($E$5-$C$5),$C$5,$E$5)</f>
        <v/>
      </c>
      <c r="N4652" s="14">
        <f>IF($AB4652&lt;($D$6-$C$6)/($E$6-$C$6),$C$6+SQRT($AB4652*($E$6-$C$6)*($D$6-$C$6)),$E$6-SQRT((1-$AB4652)*($E$6-$C$6)*($E$6-$D$6)))</f>
        <v/>
      </c>
      <c r="O4652" s="14">
        <f>_xlfn.NORM.INV($AC4652,$C$7,$D$7)</f>
        <v/>
      </c>
      <c r="P4652" s="14">
        <f>$C$8+($D$8-$C$8)*$AD4652</f>
        <v/>
      </c>
      <c r="Q4652" s="14">
        <f>$C$9</f>
        <v/>
      </c>
      <c r="R4652" s="14">
        <f>_xlfn.LOGNORM.INV($AF4652,LN($C$10)-0.5*LN(1+($D$10/$C$10)^2),SQRT(LN(1+($D$10/$C$10)^2)))</f>
        <v/>
      </c>
      <c r="S4652" s="14">
        <f>SUM(M4652:R4652)</f>
        <v/>
      </c>
      <c r="AA4652">
        <f>RAND()</f>
        <v/>
      </c>
      <c r="AB4652">
        <f>RAND()</f>
        <v/>
      </c>
      <c r="AC4652">
        <f>RAND()</f>
        <v/>
      </c>
      <c r="AD4652">
        <f>RAND()</f>
        <v/>
      </c>
      <c r="AE4652">
        <f>RAND()</f>
        <v/>
      </c>
      <c r="AF4652">
        <f>RAND()</f>
        <v/>
      </c>
    </row>
    <row r="4653">
      <c r="M4653" s="14">
        <f>_xlfn.BETA.INV($AA4653,1+4*($D$5-$C$5)/($E$5-$C$5),1+4*($E$5-$D$5)/($E$5-$C$5),$C$5,$E$5)</f>
        <v/>
      </c>
      <c r="N4653" s="14">
        <f>IF($AB4653&lt;($D$6-$C$6)/($E$6-$C$6),$C$6+SQRT($AB4653*($E$6-$C$6)*($D$6-$C$6)),$E$6-SQRT((1-$AB4653)*($E$6-$C$6)*($E$6-$D$6)))</f>
        <v/>
      </c>
      <c r="O4653" s="14">
        <f>_xlfn.NORM.INV($AC4653,$C$7,$D$7)</f>
        <v/>
      </c>
      <c r="P4653" s="14">
        <f>$C$8+($D$8-$C$8)*$AD4653</f>
        <v/>
      </c>
      <c r="Q4653" s="14">
        <f>$C$9</f>
        <v/>
      </c>
      <c r="R4653" s="14">
        <f>_xlfn.LOGNORM.INV($AF4653,LN($C$10)-0.5*LN(1+($D$10/$C$10)^2),SQRT(LN(1+($D$10/$C$10)^2)))</f>
        <v/>
      </c>
      <c r="S4653" s="14">
        <f>SUM(M4653:R4653)</f>
        <v/>
      </c>
      <c r="AA4653">
        <f>RAND()</f>
        <v/>
      </c>
      <c r="AB4653">
        <f>RAND()</f>
        <v/>
      </c>
      <c r="AC4653">
        <f>RAND()</f>
        <v/>
      </c>
      <c r="AD4653">
        <f>RAND()</f>
        <v/>
      </c>
      <c r="AE4653">
        <f>RAND()</f>
        <v/>
      </c>
      <c r="AF4653">
        <f>RAND()</f>
        <v/>
      </c>
    </row>
    <row r="4654">
      <c r="M4654" s="14">
        <f>_xlfn.BETA.INV($AA4654,1+4*($D$5-$C$5)/($E$5-$C$5),1+4*($E$5-$D$5)/($E$5-$C$5),$C$5,$E$5)</f>
        <v/>
      </c>
      <c r="N4654" s="14">
        <f>IF($AB4654&lt;($D$6-$C$6)/($E$6-$C$6),$C$6+SQRT($AB4654*($E$6-$C$6)*($D$6-$C$6)),$E$6-SQRT((1-$AB4654)*($E$6-$C$6)*($E$6-$D$6)))</f>
        <v/>
      </c>
      <c r="O4654" s="14">
        <f>_xlfn.NORM.INV($AC4654,$C$7,$D$7)</f>
        <v/>
      </c>
      <c r="P4654" s="14">
        <f>$C$8+($D$8-$C$8)*$AD4654</f>
        <v/>
      </c>
      <c r="Q4654" s="14">
        <f>$C$9</f>
        <v/>
      </c>
      <c r="R4654" s="14">
        <f>_xlfn.LOGNORM.INV($AF4654,LN($C$10)-0.5*LN(1+($D$10/$C$10)^2),SQRT(LN(1+($D$10/$C$10)^2)))</f>
        <v/>
      </c>
      <c r="S4654" s="14">
        <f>SUM(M4654:R4654)</f>
        <v/>
      </c>
      <c r="AA4654">
        <f>RAND()</f>
        <v/>
      </c>
      <c r="AB4654">
        <f>RAND()</f>
        <v/>
      </c>
      <c r="AC4654">
        <f>RAND()</f>
        <v/>
      </c>
      <c r="AD4654">
        <f>RAND()</f>
        <v/>
      </c>
      <c r="AE4654">
        <f>RAND()</f>
        <v/>
      </c>
      <c r="AF4654">
        <f>RAND()</f>
        <v/>
      </c>
    </row>
    <row r="4655">
      <c r="M4655" s="14">
        <f>_xlfn.BETA.INV($AA4655,1+4*($D$5-$C$5)/($E$5-$C$5),1+4*($E$5-$D$5)/($E$5-$C$5),$C$5,$E$5)</f>
        <v/>
      </c>
      <c r="N4655" s="14">
        <f>IF($AB4655&lt;($D$6-$C$6)/($E$6-$C$6),$C$6+SQRT($AB4655*($E$6-$C$6)*($D$6-$C$6)),$E$6-SQRT((1-$AB4655)*($E$6-$C$6)*($E$6-$D$6)))</f>
        <v/>
      </c>
      <c r="O4655" s="14">
        <f>_xlfn.NORM.INV($AC4655,$C$7,$D$7)</f>
        <v/>
      </c>
      <c r="P4655" s="14">
        <f>$C$8+($D$8-$C$8)*$AD4655</f>
        <v/>
      </c>
      <c r="Q4655" s="14">
        <f>$C$9</f>
        <v/>
      </c>
      <c r="R4655" s="14">
        <f>_xlfn.LOGNORM.INV($AF4655,LN($C$10)-0.5*LN(1+($D$10/$C$10)^2),SQRT(LN(1+($D$10/$C$10)^2)))</f>
        <v/>
      </c>
      <c r="S4655" s="14">
        <f>SUM(M4655:R4655)</f>
        <v/>
      </c>
      <c r="AA4655">
        <f>RAND()</f>
        <v/>
      </c>
      <c r="AB4655">
        <f>RAND()</f>
        <v/>
      </c>
      <c r="AC4655">
        <f>RAND()</f>
        <v/>
      </c>
      <c r="AD4655">
        <f>RAND()</f>
        <v/>
      </c>
      <c r="AE4655">
        <f>RAND()</f>
        <v/>
      </c>
      <c r="AF4655">
        <f>RAND()</f>
        <v/>
      </c>
    </row>
    <row r="4656">
      <c r="M4656" s="14">
        <f>_xlfn.BETA.INV($AA4656,1+4*($D$5-$C$5)/($E$5-$C$5),1+4*($E$5-$D$5)/($E$5-$C$5),$C$5,$E$5)</f>
        <v/>
      </c>
      <c r="N4656" s="14">
        <f>IF($AB4656&lt;($D$6-$C$6)/($E$6-$C$6),$C$6+SQRT($AB4656*($E$6-$C$6)*($D$6-$C$6)),$E$6-SQRT((1-$AB4656)*($E$6-$C$6)*($E$6-$D$6)))</f>
        <v/>
      </c>
      <c r="O4656" s="14">
        <f>_xlfn.NORM.INV($AC4656,$C$7,$D$7)</f>
        <v/>
      </c>
      <c r="P4656" s="14">
        <f>$C$8+($D$8-$C$8)*$AD4656</f>
        <v/>
      </c>
      <c r="Q4656" s="14">
        <f>$C$9</f>
        <v/>
      </c>
      <c r="R4656" s="14">
        <f>_xlfn.LOGNORM.INV($AF4656,LN($C$10)-0.5*LN(1+($D$10/$C$10)^2),SQRT(LN(1+($D$10/$C$10)^2)))</f>
        <v/>
      </c>
      <c r="S4656" s="14">
        <f>SUM(M4656:R4656)</f>
        <v/>
      </c>
      <c r="AA4656">
        <f>RAND()</f>
        <v/>
      </c>
      <c r="AB4656">
        <f>RAND()</f>
        <v/>
      </c>
      <c r="AC4656">
        <f>RAND()</f>
        <v/>
      </c>
      <c r="AD4656">
        <f>RAND()</f>
        <v/>
      </c>
      <c r="AE4656">
        <f>RAND()</f>
        <v/>
      </c>
      <c r="AF4656">
        <f>RAND()</f>
        <v/>
      </c>
    </row>
    <row r="4657">
      <c r="M4657" s="14">
        <f>_xlfn.BETA.INV($AA4657,1+4*($D$5-$C$5)/($E$5-$C$5),1+4*($E$5-$D$5)/($E$5-$C$5),$C$5,$E$5)</f>
        <v/>
      </c>
      <c r="N4657" s="14">
        <f>IF($AB4657&lt;($D$6-$C$6)/($E$6-$C$6),$C$6+SQRT($AB4657*($E$6-$C$6)*($D$6-$C$6)),$E$6-SQRT((1-$AB4657)*($E$6-$C$6)*($E$6-$D$6)))</f>
        <v/>
      </c>
      <c r="O4657" s="14">
        <f>_xlfn.NORM.INV($AC4657,$C$7,$D$7)</f>
        <v/>
      </c>
      <c r="P4657" s="14">
        <f>$C$8+($D$8-$C$8)*$AD4657</f>
        <v/>
      </c>
      <c r="Q4657" s="14">
        <f>$C$9</f>
        <v/>
      </c>
      <c r="R4657" s="14">
        <f>_xlfn.LOGNORM.INV($AF4657,LN($C$10)-0.5*LN(1+($D$10/$C$10)^2),SQRT(LN(1+($D$10/$C$10)^2)))</f>
        <v/>
      </c>
      <c r="S4657" s="14">
        <f>SUM(M4657:R4657)</f>
        <v/>
      </c>
      <c r="AA4657">
        <f>RAND()</f>
        <v/>
      </c>
      <c r="AB4657">
        <f>RAND()</f>
        <v/>
      </c>
      <c r="AC4657">
        <f>RAND()</f>
        <v/>
      </c>
      <c r="AD4657">
        <f>RAND()</f>
        <v/>
      </c>
      <c r="AE4657">
        <f>RAND()</f>
        <v/>
      </c>
      <c r="AF4657">
        <f>RAND()</f>
        <v/>
      </c>
    </row>
    <row r="4658">
      <c r="M4658" s="14">
        <f>_xlfn.BETA.INV($AA4658,1+4*($D$5-$C$5)/($E$5-$C$5),1+4*($E$5-$D$5)/($E$5-$C$5),$C$5,$E$5)</f>
        <v/>
      </c>
      <c r="N4658" s="14">
        <f>IF($AB4658&lt;($D$6-$C$6)/($E$6-$C$6),$C$6+SQRT($AB4658*($E$6-$C$6)*($D$6-$C$6)),$E$6-SQRT((1-$AB4658)*($E$6-$C$6)*($E$6-$D$6)))</f>
        <v/>
      </c>
      <c r="O4658" s="14">
        <f>_xlfn.NORM.INV($AC4658,$C$7,$D$7)</f>
        <v/>
      </c>
      <c r="P4658" s="14">
        <f>$C$8+($D$8-$C$8)*$AD4658</f>
        <v/>
      </c>
      <c r="Q4658" s="14">
        <f>$C$9</f>
        <v/>
      </c>
      <c r="R4658" s="14">
        <f>_xlfn.LOGNORM.INV($AF4658,LN($C$10)-0.5*LN(1+($D$10/$C$10)^2),SQRT(LN(1+($D$10/$C$10)^2)))</f>
        <v/>
      </c>
      <c r="S4658" s="14">
        <f>SUM(M4658:R4658)</f>
        <v/>
      </c>
      <c r="AA4658">
        <f>RAND()</f>
        <v/>
      </c>
      <c r="AB4658">
        <f>RAND()</f>
        <v/>
      </c>
      <c r="AC4658">
        <f>RAND()</f>
        <v/>
      </c>
      <c r="AD4658">
        <f>RAND()</f>
        <v/>
      </c>
      <c r="AE4658">
        <f>RAND()</f>
        <v/>
      </c>
      <c r="AF4658">
        <f>RAND()</f>
        <v/>
      </c>
    </row>
    <row r="4659">
      <c r="M4659" s="14">
        <f>_xlfn.BETA.INV($AA4659,1+4*($D$5-$C$5)/($E$5-$C$5),1+4*($E$5-$D$5)/($E$5-$C$5),$C$5,$E$5)</f>
        <v/>
      </c>
      <c r="N4659" s="14">
        <f>IF($AB4659&lt;($D$6-$C$6)/($E$6-$C$6),$C$6+SQRT($AB4659*($E$6-$C$6)*($D$6-$C$6)),$E$6-SQRT((1-$AB4659)*($E$6-$C$6)*($E$6-$D$6)))</f>
        <v/>
      </c>
      <c r="O4659" s="14">
        <f>_xlfn.NORM.INV($AC4659,$C$7,$D$7)</f>
        <v/>
      </c>
      <c r="P4659" s="14">
        <f>$C$8+($D$8-$C$8)*$AD4659</f>
        <v/>
      </c>
      <c r="Q4659" s="14">
        <f>$C$9</f>
        <v/>
      </c>
      <c r="R4659" s="14">
        <f>_xlfn.LOGNORM.INV($AF4659,LN($C$10)-0.5*LN(1+($D$10/$C$10)^2),SQRT(LN(1+($D$10/$C$10)^2)))</f>
        <v/>
      </c>
      <c r="S4659" s="14">
        <f>SUM(M4659:R4659)</f>
        <v/>
      </c>
      <c r="AA4659">
        <f>RAND()</f>
        <v/>
      </c>
      <c r="AB4659">
        <f>RAND()</f>
        <v/>
      </c>
      <c r="AC4659">
        <f>RAND()</f>
        <v/>
      </c>
      <c r="AD4659">
        <f>RAND()</f>
        <v/>
      </c>
      <c r="AE4659">
        <f>RAND()</f>
        <v/>
      </c>
      <c r="AF4659">
        <f>RAND()</f>
        <v/>
      </c>
    </row>
    <row r="4660">
      <c r="M4660" s="14">
        <f>_xlfn.BETA.INV($AA4660,1+4*($D$5-$C$5)/($E$5-$C$5),1+4*($E$5-$D$5)/($E$5-$C$5),$C$5,$E$5)</f>
        <v/>
      </c>
      <c r="N4660" s="14">
        <f>IF($AB4660&lt;($D$6-$C$6)/($E$6-$C$6),$C$6+SQRT($AB4660*($E$6-$C$6)*($D$6-$C$6)),$E$6-SQRT((1-$AB4660)*($E$6-$C$6)*($E$6-$D$6)))</f>
        <v/>
      </c>
      <c r="O4660" s="14">
        <f>_xlfn.NORM.INV($AC4660,$C$7,$D$7)</f>
        <v/>
      </c>
      <c r="P4660" s="14">
        <f>$C$8+($D$8-$C$8)*$AD4660</f>
        <v/>
      </c>
      <c r="Q4660" s="14">
        <f>$C$9</f>
        <v/>
      </c>
      <c r="R4660" s="14">
        <f>_xlfn.LOGNORM.INV($AF4660,LN($C$10)-0.5*LN(1+($D$10/$C$10)^2),SQRT(LN(1+($D$10/$C$10)^2)))</f>
        <v/>
      </c>
      <c r="S4660" s="14">
        <f>SUM(M4660:R4660)</f>
        <v/>
      </c>
      <c r="AA4660">
        <f>RAND()</f>
        <v/>
      </c>
      <c r="AB4660">
        <f>RAND()</f>
        <v/>
      </c>
      <c r="AC4660">
        <f>RAND()</f>
        <v/>
      </c>
      <c r="AD4660">
        <f>RAND()</f>
        <v/>
      </c>
      <c r="AE4660">
        <f>RAND()</f>
        <v/>
      </c>
      <c r="AF4660">
        <f>RAND()</f>
        <v/>
      </c>
    </row>
    <row r="4661">
      <c r="M4661" s="14">
        <f>_xlfn.BETA.INV($AA4661,1+4*($D$5-$C$5)/($E$5-$C$5),1+4*($E$5-$D$5)/($E$5-$C$5),$C$5,$E$5)</f>
        <v/>
      </c>
      <c r="N4661" s="14">
        <f>IF($AB4661&lt;($D$6-$C$6)/($E$6-$C$6),$C$6+SQRT($AB4661*($E$6-$C$6)*($D$6-$C$6)),$E$6-SQRT((1-$AB4661)*($E$6-$C$6)*($E$6-$D$6)))</f>
        <v/>
      </c>
      <c r="O4661" s="14">
        <f>_xlfn.NORM.INV($AC4661,$C$7,$D$7)</f>
        <v/>
      </c>
      <c r="P4661" s="14">
        <f>$C$8+($D$8-$C$8)*$AD4661</f>
        <v/>
      </c>
      <c r="Q4661" s="14">
        <f>$C$9</f>
        <v/>
      </c>
      <c r="R4661" s="14">
        <f>_xlfn.LOGNORM.INV($AF4661,LN($C$10)-0.5*LN(1+($D$10/$C$10)^2),SQRT(LN(1+($D$10/$C$10)^2)))</f>
        <v/>
      </c>
      <c r="S4661" s="14">
        <f>SUM(M4661:R4661)</f>
        <v/>
      </c>
      <c r="AA4661">
        <f>RAND()</f>
        <v/>
      </c>
      <c r="AB4661">
        <f>RAND()</f>
        <v/>
      </c>
      <c r="AC4661">
        <f>RAND()</f>
        <v/>
      </c>
      <c r="AD4661">
        <f>RAND()</f>
        <v/>
      </c>
      <c r="AE4661">
        <f>RAND()</f>
        <v/>
      </c>
      <c r="AF4661">
        <f>RAND()</f>
        <v/>
      </c>
    </row>
    <row r="4662">
      <c r="M4662" s="14">
        <f>_xlfn.BETA.INV($AA4662,1+4*($D$5-$C$5)/($E$5-$C$5),1+4*($E$5-$D$5)/($E$5-$C$5),$C$5,$E$5)</f>
        <v/>
      </c>
      <c r="N4662" s="14">
        <f>IF($AB4662&lt;($D$6-$C$6)/($E$6-$C$6),$C$6+SQRT($AB4662*($E$6-$C$6)*($D$6-$C$6)),$E$6-SQRT((1-$AB4662)*($E$6-$C$6)*($E$6-$D$6)))</f>
        <v/>
      </c>
      <c r="O4662" s="14">
        <f>_xlfn.NORM.INV($AC4662,$C$7,$D$7)</f>
        <v/>
      </c>
      <c r="P4662" s="14">
        <f>$C$8+($D$8-$C$8)*$AD4662</f>
        <v/>
      </c>
      <c r="Q4662" s="14">
        <f>$C$9</f>
        <v/>
      </c>
      <c r="R4662" s="14">
        <f>_xlfn.LOGNORM.INV($AF4662,LN($C$10)-0.5*LN(1+($D$10/$C$10)^2),SQRT(LN(1+($D$10/$C$10)^2)))</f>
        <v/>
      </c>
      <c r="S4662" s="14">
        <f>SUM(M4662:R4662)</f>
        <v/>
      </c>
      <c r="AA4662">
        <f>RAND()</f>
        <v/>
      </c>
      <c r="AB4662">
        <f>RAND()</f>
        <v/>
      </c>
      <c r="AC4662">
        <f>RAND()</f>
        <v/>
      </c>
      <c r="AD4662">
        <f>RAND()</f>
        <v/>
      </c>
      <c r="AE4662">
        <f>RAND()</f>
        <v/>
      </c>
      <c r="AF4662">
        <f>RAND()</f>
        <v/>
      </c>
    </row>
    <row r="4663">
      <c r="M4663" s="14">
        <f>_xlfn.BETA.INV($AA4663,1+4*($D$5-$C$5)/($E$5-$C$5),1+4*($E$5-$D$5)/($E$5-$C$5),$C$5,$E$5)</f>
        <v/>
      </c>
      <c r="N4663" s="14">
        <f>IF($AB4663&lt;($D$6-$C$6)/($E$6-$C$6),$C$6+SQRT($AB4663*($E$6-$C$6)*($D$6-$C$6)),$E$6-SQRT((1-$AB4663)*($E$6-$C$6)*($E$6-$D$6)))</f>
        <v/>
      </c>
      <c r="O4663" s="14">
        <f>_xlfn.NORM.INV($AC4663,$C$7,$D$7)</f>
        <v/>
      </c>
      <c r="P4663" s="14">
        <f>$C$8+($D$8-$C$8)*$AD4663</f>
        <v/>
      </c>
      <c r="Q4663" s="14">
        <f>$C$9</f>
        <v/>
      </c>
      <c r="R4663" s="14">
        <f>_xlfn.LOGNORM.INV($AF4663,LN($C$10)-0.5*LN(1+($D$10/$C$10)^2),SQRT(LN(1+($D$10/$C$10)^2)))</f>
        <v/>
      </c>
      <c r="S4663" s="14">
        <f>SUM(M4663:R4663)</f>
        <v/>
      </c>
      <c r="AA4663">
        <f>RAND()</f>
        <v/>
      </c>
      <c r="AB4663">
        <f>RAND()</f>
        <v/>
      </c>
      <c r="AC4663">
        <f>RAND()</f>
        <v/>
      </c>
      <c r="AD4663">
        <f>RAND()</f>
        <v/>
      </c>
      <c r="AE4663">
        <f>RAND()</f>
        <v/>
      </c>
      <c r="AF4663">
        <f>RAND()</f>
        <v/>
      </c>
    </row>
    <row r="4664">
      <c r="M4664" s="14">
        <f>_xlfn.BETA.INV($AA4664,1+4*($D$5-$C$5)/($E$5-$C$5),1+4*($E$5-$D$5)/($E$5-$C$5),$C$5,$E$5)</f>
        <v/>
      </c>
      <c r="N4664" s="14">
        <f>IF($AB4664&lt;($D$6-$C$6)/($E$6-$C$6),$C$6+SQRT($AB4664*($E$6-$C$6)*($D$6-$C$6)),$E$6-SQRT((1-$AB4664)*($E$6-$C$6)*($E$6-$D$6)))</f>
        <v/>
      </c>
      <c r="O4664" s="14">
        <f>_xlfn.NORM.INV($AC4664,$C$7,$D$7)</f>
        <v/>
      </c>
      <c r="P4664" s="14">
        <f>$C$8+($D$8-$C$8)*$AD4664</f>
        <v/>
      </c>
      <c r="Q4664" s="14">
        <f>$C$9</f>
        <v/>
      </c>
      <c r="R4664" s="14">
        <f>_xlfn.LOGNORM.INV($AF4664,LN($C$10)-0.5*LN(1+($D$10/$C$10)^2),SQRT(LN(1+($D$10/$C$10)^2)))</f>
        <v/>
      </c>
      <c r="S4664" s="14">
        <f>SUM(M4664:R4664)</f>
        <v/>
      </c>
      <c r="AA4664">
        <f>RAND()</f>
        <v/>
      </c>
      <c r="AB4664">
        <f>RAND()</f>
        <v/>
      </c>
      <c r="AC4664">
        <f>RAND()</f>
        <v/>
      </c>
      <c r="AD4664">
        <f>RAND()</f>
        <v/>
      </c>
      <c r="AE4664">
        <f>RAND()</f>
        <v/>
      </c>
      <c r="AF4664">
        <f>RAND()</f>
        <v/>
      </c>
    </row>
    <row r="4665">
      <c r="M4665" s="14">
        <f>_xlfn.BETA.INV($AA4665,1+4*($D$5-$C$5)/($E$5-$C$5),1+4*($E$5-$D$5)/($E$5-$C$5),$C$5,$E$5)</f>
        <v/>
      </c>
      <c r="N4665" s="14">
        <f>IF($AB4665&lt;($D$6-$C$6)/($E$6-$C$6),$C$6+SQRT($AB4665*($E$6-$C$6)*($D$6-$C$6)),$E$6-SQRT((1-$AB4665)*($E$6-$C$6)*($E$6-$D$6)))</f>
        <v/>
      </c>
      <c r="O4665" s="14">
        <f>_xlfn.NORM.INV($AC4665,$C$7,$D$7)</f>
        <v/>
      </c>
      <c r="P4665" s="14">
        <f>$C$8+($D$8-$C$8)*$AD4665</f>
        <v/>
      </c>
      <c r="Q4665" s="14">
        <f>$C$9</f>
        <v/>
      </c>
      <c r="R4665" s="14">
        <f>_xlfn.LOGNORM.INV($AF4665,LN($C$10)-0.5*LN(1+($D$10/$C$10)^2),SQRT(LN(1+($D$10/$C$10)^2)))</f>
        <v/>
      </c>
      <c r="S4665" s="14">
        <f>SUM(M4665:R4665)</f>
        <v/>
      </c>
      <c r="AA4665">
        <f>RAND()</f>
        <v/>
      </c>
      <c r="AB4665">
        <f>RAND()</f>
        <v/>
      </c>
      <c r="AC4665">
        <f>RAND()</f>
        <v/>
      </c>
      <c r="AD4665">
        <f>RAND()</f>
        <v/>
      </c>
      <c r="AE4665">
        <f>RAND()</f>
        <v/>
      </c>
      <c r="AF4665">
        <f>RAND()</f>
        <v/>
      </c>
    </row>
    <row r="4666">
      <c r="M4666" s="14">
        <f>_xlfn.BETA.INV($AA4666,1+4*($D$5-$C$5)/($E$5-$C$5),1+4*($E$5-$D$5)/($E$5-$C$5),$C$5,$E$5)</f>
        <v/>
      </c>
      <c r="N4666" s="14">
        <f>IF($AB4666&lt;($D$6-$C$6)/($E$6-$C$6),$C$6+SQRT($AB4666*($E$6-$C$6)*($D$6-$C$6)),$E$6-SQRT((1-$AB4666)*($E$6-$C$6)*($E$6-$D$6)))</f>
        <v/>
      </c>
      <c r="O4666" s="14">
        <f>_xlfn.NORM.INV($AC4666,$C$7,$D$7)</f>
        <v/>
      </c>
      <c r="P4666" s="14">
        <f>$C$8+($D$8-$C$8)*$AD4666</f>
        <v/>
      </c>
      <c r="Q4666" s="14">
        <f>$C$9</f>
        <v/>
      </c>
      <c r="R4666" s="14">
        <f>_xlfn.LOGNORM.INV($AF4666,LN($C$10)-0.5*LN(1+($D$10/$C$10)^2),SQRT(LN(1+($D$10/$C$10)^2)))</f>
        <v/>
      </c>
      <c r="S4666" s="14">
        <f>SUM(M4666:R4666)</f>
        <v/>
      </c>
      <c r="AA4666">
        <f>RAND()</f>
        <v/>
      </c>
      <c r="AB4666">
        <f>RAND()</f>
        <v/>
      </c>
      <c r="AC4666">
        <f>RAND()</f>
        <v/>
      </c>
      <c r="AD4666">
        <f>RAND()</f>
        <v/>
      </c>
      <c r="AE4666">
        <f>RAND()</f>
        <v/>
      </c>
      <c r="AF4666">
        <f>RAND()</f>
        <v/>
      </c>
    </row>
    <row r="4667">
      <c r="M4667" s="14">
        <f>_xlfn.BETA.INV($AA4667,1+4*($D$5-$C$5)/($E$5-$C$5),1+4*($E$5-$D$5)/($E$5-$C$5),$C$5,$E$5)</f>
        <v/>
      </c>
      <c r="N4667" s="14">
        <f>IF($AB4667&lt;($D$6-$C$6)/($E$6-$C$6),$C$6+SQRT($AB4667*($E$6-$C$6)*($D$6-$C$6)),$E$6-SQRT((1-$AB4667)*($E$6-$C$6)*($E$6-$D$6)))</f>
        <v/>
      </c>
      <c r="O4667" s="14">
        <f>_xlfn.NORM.INV($AC4667,$C$7,$D$7)</f>
        <v/>
      </c>
      <c r="P4667" s="14">
        <f>$C$8+($D$8-$C$8)*$AD4667</f>
        <v/>
      </c>
      <c r="Q4667" s="14">
        <f>$C$9</f>
        <v/>
      </c>
      <c r="R4667" s="14">
        <f>_xlfn.LOGNORM.INV($AF4667,LN($C$10)-0.5*LN(1+($D$10/$C$10)^2),SQRT(LN(1+($D$10/$C$10)^2)))</f>
        <v/>
      </c>
      <c r="S4667" s="14">
        <f>SUM(M4667:R4667)</f>
        <v/>
      </c>
      <c r="AA4667">
        <f>RAND()</f>
        <v/>
      </c>
      <c r="AB4667">
        <f>RAND()</f>
        <v/>
      </c>
      <c r="AC4667">
        <f>RAND()</f>
        <v/>
      </c>
      <c r="AD4667">
        <f>RAND()</f>
        <v/>
      </c>
      <c r="AE4667">
        <f>RAND()</f>
        <v/>
      </c>
      <c r="AF4667">
        <f>RAND()</f>
        <v/>
      </c>
    </row>
    <row r="4668">
      <c r="M4668" s="14">
        <f>_xlfn.BETA.INV($AA4668,1+4*($D$5-$C$5)/($E$5-$C$5),1+4*($E$5-$D$5)/($E$5-$C$5),$C$5,$E$5)</f>
        <v/>
      </c>
      <c r="N4668" s="14">
        <f>IF($AB4668&lt;($D$6-$C$6)/($E$6-$C$6),$C$6+SQRT($AB4668*($E$6-$C$6)*($D$6-$C$6)),$E$6-SQRT((1-$AB4668)*($E$6-$C$6)*($E$6-$D$6)))</f>
        <v/>
      </c>
      <c r="O4668" s="14">
        <f>_xlfn.NORM.INV($AC4668,$C$7,$D$7)</f>
        <v/>
      </c>
      <c r="P4668" s="14">
        <f>$C$8+($D$8-$C$8)*$AD4668</f>
        <v/>
      </c>
      <c r="Q4668" s="14">
        <f>$C$9</f>
        <v/>
      </c>
      <c r="R4668" s="14">
        <f>_xlfn.LOGNORM.INV($AF4668,LN($C$10)-0.5*LN(1+($D$10/$C$10)^2),SQRT(LN(1+($D$10/$C$10)^2)))</f>
        <v/>
      </c>
      <c r="S4668" s="14">
        <f>SUM(M4668:R4668)</f>
        <v/>
      </c>
      <c r="AA4668">
        <f>RAND()</f>
        <v/>
      </c>
      <c r="AB4668">
        <f>RAND()</f>
        <v/>
      </c>
      <c r="AC4668">
        <f>RAND()</f>
        <v/>
      </c>
      <c r="AD4668">
        <f>RAND()</f>
        <v/>
      </c>
      <c r="AE4668">
        <f>RAND()</f>
        <v/>
      </c>
      <c r="AF4668">
        <f>RAND()</f>
        <v/>
      </c>
    </row>
    <row r="4669">
      <c r="M4669" s="14">
        <f>_xlfn.BETA.INV($AA4669,1+4*($D$5-$C$5)/($E$5-$C$5),1+4*($E$5-$D$5)/($E$5-$C$5),$C$5,$E$5)</f>
        <v/>
      </c>
      <c r="N4669" s="14">
        <f>IF($AB4669&lt;($D$6-$C$6)/($E$6-$C$6),$C$6+SQRT($AB4669*($E$6-$C$6)*($D$6-$C$6)),$E$6-SQRT((1-$AB4669)*($E$6-$C$6)*($E$6-$D$6)))</f>
        <v/>
      </c>
      <c r="O4669" s="14">
        <f>_xlfn.NORM.INV($AC4669,$C$7,$D$7)</f>
        <v/>
      </c>
      <c r="P4669" s="14">
        <f>$C$8+($D$8-$C$8)*$AD4669</f>
        <v/>
      </c>
      <c r="Q4669" s="14">
        <f>$C$9</f>
        <v/>
      </c>
      <c r="R4669" s="14">
        <f>_xlfn.LOGNORM.INV($AF4669,LN($C$10)-0.5*LN(1+($D$10/$C$10)^2),SQRT(LN(1+($D$10/$C$10)^2)))</f>
        <v/>
      </c>
      <c r="S4669" s="14">
        <f>SUM(M4669:R4669)</f>
        <v/>
      </c>
      <c r="AA4669">
        <f>RAND()</f>
        <v/>
      </c>
      <c r="AB4669">
        <f>RAND()</f>
        <v/>
      </c>
      <c r="AC4669">
        <f>RAND()</f>
        <v/>
      </c>
      <c r="AD4669">
        <f>RAND()</f>
        <v/>
      </c>
      <c r="AE4669">
        <f>RAND()</f>
        <v/>
      </c>
      <c r="AF4669">
        <f>RAND()</f>
        <v/>
      </c>
    </row>
    <row r="4670">
      <c r="M4670" s="14">
        <f>_xlfn.BETA.INV($AA4670,1+4*($D$5-$C$5)/($E$5-$C$5),1+4*($E$5-$D$5)/($E$5-$C$5),$C$5,$E$5)</f>
        <v/>
      </c>
      <c r="N4670" s="14">
        <f>IF($AB4670&lt;($D$6-$C$6)/($E$6-$C$6),$C$6+SQRT($AB4670*($E$6-$C$6)*($D$6-$C$6)),$E$6-SQRT((1-$AB4670)*($E$6-$C$6)*($E$6-$D$6)))</f>
        <v/>
      </c>
      <c r="O4670" s="14">
        <f>_xlfn.NORM.INV($AC4670,$C$7,$D$7)</f>
        <v/>
      </c>
      <c r="P4670" s="14">
        <f>$C$8+($D$8-$C$8)*$AD4670</f>
        <v/>
      </c>
      <c r="Q4670" s="14">
        <f>$C$9</f>
        <v/>
      </c>
      <c r="R4670" s="14">
        <f>_xlfn.LOGNORM.INV($AF4670,LN($C$10)-0.5*LN(1+($D$10/$C$10)^2),SQRT(LN(1+($D$10/$C$10)^2)))</f>
        <v/>
      </c>
      <c r="S4670" s="14">
        <f>SUM(M4670:R4670)</f>
        <v/>
      </c>
      <c r="AA4670">
        <f>RAND()</f>
        <v/>
      </c>
      <c r="AB4670">
        <f>RAND()</f>
        <v/>
      </c>
      <c r="AC4670">
        <f>RAND()</f>
        <v/>
      </c>
      <c r="AD4670">
        <f>RAND()</f>
        <v/>
      </c>
      <c r="AE4670">
        <f>RAND()</f>
        <v/>
      </c>
      <c r="AF4670">
        <f>RAND()</f>
        <v/>
      </c>
    </row>
    <row r="4671">
      <c r="M4671" s="14">
        <f>_xlfn.BETA.INV($AA4671,1+4*($D$5-$C$5)/($E$5-$C$5),1+4*($E$5-$D$5)/($E$5-$C$5),$C$5,$E$5)</f>
        <v/>
      </c>
      <c r="N4671" s="14">
        <f>IF($AB4671&lt;($D$6-$C$6)/($E$6-$C$6),$C$6+SQRT($AB4671*($E$6-$C$6)*($D$6-$C$6)),$E$6-SQRT((1-$AB4671)*($E$6-$C$6)*($E$6-$D$6)))</f>
        <v/>
      </c>
      <c r="O4671" s="14">
        <f>_xlfn.NORM.INV($AC4671,$C$7,$D$7)</f>
        <v/>
      </c>
      <c r="P4671" s="14">
        <f>$C$8+($D$8-$C$8)*$AD4671</f>
        <v/>
      </c>
      <c r="Q4671" s="14">
        <f>$C$9</f>
        <v/>
      </c>
      <c r="R4671" s="14">
        <f>_xlfn.LOGNORM.INV($AF4671,LN($C$10)-0.5*LN(1+($D$10/$C$10)^2),SQRT(LN(1+($D$10/$C$10)^2)))</f>
        <v/>
      </c>
      <c r="S4671" s="14">
        <f>SUM(M4671:R4671)</f>
        <v/>
      </c>
      <c r="AA4671">
        <f>RAND()</f>
        <v/>
      </c>
      <c r="AB4671">
        <f>RAND()</f>
        <v/>
      </c>
      <c r="AC4671">
        <f>RAND()</f>
        <v/>
      </c>
      <c r="AD4671">
        <f>RAND()</f>
        <v/>
      </c>
      <c r="AE4671">
        <f>RAND()</f>
        <v/>
      </c>
      <c r="AF4671">
        <f>RAND()</f>
        <v/>
      </c>
    </row>
    <row r="4672">
      <c r="M4672" s="14">
        <f>_xlfn.BETA.INV($AA4672,1+4*($D$5-$C$5)/($E$5-$C$5),1+4*($E$5-$D$5)/($E$5-$C$5),$C$5,$E$5)</f>
        <v/>
      </c>
      <c r="N4672" s="14">
        <f>IF($AB4672&lt;($D$6-$C$6)/($E$6-$C$6),$C$6+SQRT($AB4672*($E$6-$C$6)*($D$6-$C$6)),$E$6-SQRT((1-$AB4672)*($E$6-$C$6)*($E$6-$D$6)))</f>
        <v/>
      </c>
      <c r="O4672" s="14">
        <f>_xlfn.NORM.INV($AC4672,$C$7,$D$7)</f>
        <v/>
      </c>
      <c r="P4672" s="14">
        <f>$C$8+($D$8-$C$8)*$AD4672</f>
        <v/>
      </c>
      <c r="Q4672" s="14">
        <f>$C$9</f>
        <v/>
      </c>
      <c r="R4672" s="14">
        <f>_xlfn.LOGNORM.INV($AF4672,LN($C$10)-0.5*LN(1+($D$10/$C$10)^2),SQRT(LN(1+($D$10/$C$10)^2)))</f>
        <v/>
      </c>
      <c r="S4672" s="14">
        <f>SUM(M4672:R4672)</f>
        <v/>
      </c>
      <c r="AA4672">
        <f>RAND()</f>
        <v/>
      </c>
      <c r="AB4672">
        <f>RAND()</f>
        <v/>
      </c>
      <c r="AC4672">
        <f>RAND()</f>
        <v/>
      </c>
      <c r="AD4672">
        <f>RAND()</f>
        <v/>
      </c>
      <c r="AE4672">
        <f>RAND()</f>
        <v/>
      </c>
      <c r="AF4672">
        <f>RAND()</f>
        <v/>
      </c>
    </row>
    <row r="4673">
      <c r="M4673" s="14">
        <f>_xlfn.BETA.INV($AA4673,1+4*($D$5-$C$5)/($E$5-$C$5),1+4*($E$5-$D$5)/($E$5-$C$5),$C$5,$E$5)</f>
        <v/>
      </c>
      <c r="N4673" s="14">
        <f>IF($AB4673&lt;($D$6-$C$6)/($E$6-$C$6),$C$6+SQRT($AB4673*($E$6-$C$6)*($D$6-$C$6)),$E$6-SQRT((1-$AB4673)*($E$6-$C$6)*($E$6-$D$6)))</f>
        <v/>
      </c>
      <c r="O4673" s="14">
        <f>_xlfn.NORM.INV($AC4673,$C$7,$D$7)</f>
        <v/>
      </c>
      <c r="P4673" s="14">
        <f>$C$8+($D$8-$C$8)*$AD4673</f>
        <v/>
      </c>
      <c r="Q4673" s="14">
        <f>$C$9</f>
        <v/>
      </c>
      <c r="R4673" s="14">
        <f>_xlfn.LOGNORM.INV($AF4673,LN($C$10)-0.5*LN(1+($D$10/$C$10)^2),SQRT(LN(1+($D$10/$C$10)^2)))</f>
        <v/>
      </c>
      <c r="S4673" s="14">
        <f>SUM(M4673:R4673)</f>
        <v/>
      </c>
      <c r="AA4673">
        <f>RAND()</f>
        <v/>
      </c>
      <c r="AB4673">
        <f>RAND()</f>
        <v/>
      </c>
      <c r="AC4673">
        <f>RAND()</f>
        <v/>
      </c>
      <c r="AD4673">
        <f>RAND()</f>
        <v/>
      </c>
      <c r="AE4673">
        <f>RAND()</f>
        <v/>
      </c>
      <c r="AF4673">
        <f>RAND()</f>
        <v/>
      </c>
    </row>
    <row r="4674">
      <c r="M4674" s="14">
        <f>_xlfn.BETA.INV($AA4674,1+4*($D$5-$C$5)/($E$5-$C$5),1+4*($E$5-$D$5)/($E$5-$C$5),$C$5,$E$5)</f>
        <v/>
      </c>
      <c r="N4674" s="14">
        <f>IF($AB4674&lt;($D$6-$C$6)/($E$6-$C$6),$C$6+SQRT($AB4674*($E$6-$C$6)*($D$6-$C$6)),$E$6-SQRT((1-$AB4674)*($E$6-$C$6)*($E$6-$D$6)))</f>
        <v/>
      </c>
      <c r="O4674" s="14">
        <f>_xlfn.NORM.INV($AC4674,$C$7,$D$7)</f>
        <v/>
      </c>
      <c r="P4674" s="14">
        <f>$C$8+($D$8-$C$8)*$AD4674</f>
        <v/>
      </c>
      <c r="Q4674" s="14">
        <f>$C$9</f>
        <v/>
      </c>
      <c r="R4674" s="14">
        <f>_xlfn.LOGNORM.INV($AF4674,LN($C$10)-0.5*LN(1+($D$10/$C$10)^2),SQRT(LN(1+($D$10/$C$10)^2)))</f>
        <v/>
      </c>
      <c r="S4674" s="14">
        <f>SUM(M4674:R4674)</f>
        <v/>
      </c>
      <c r="AA4674">
        <f>RAND()</f>
        <v/>
      </c>
      <c r="AB4674">
        <f>RAND()</f>
        <v/>
      </c>
      <c r="AC4674">
        <f>RAND()</f>
        <v/>
      </c>
      <c r="AD4674">
        <f>RAND()</f>
        <v/>
      </c>
      <c r="AE4674">
        <f>RAND()</f>
        <v/>
      </c>
      <c r="AF4674">
        <f>RAND()</f>
        <v/>
      </c>
    </row>
    <row r="4675">
      <c r="M4675" s="14">
        <f>_xlfn.BETA.INV($AA4675,1+4*($D$5-$C$5)/($E$5-$C$5),1+4*($E$5-$D$5)/($E$5-$C$5),$C$5,$E$5)</f>
        <v/>
      </c>
      <c r="N4675" s="14">
        <f>IF($AB4675&lt;($D$6-$C$6)/($E$6-$C$6),$C$6+SQRT($AB4675*($E$6-$C$6)*($D$6-$C$6)),$E$6-SQRT((1-$AB4675)*($E$6-$C$6)*($E$6-$D$6)))</f>
        <v/>
      </c>
      <c r="O4675" s="14">
        <f>_xlfn.NORM.INV($AC4675,$C$7,$D$7)</f>
        <v/>
      </c>
      <c r="P4675" s="14">
        <f>$C$8+($D$8-$C$8)*$AD4675</f>
        <v/>
      </c>
      <c r="Q4675" s="14">
        <f>$C$9</f>
        <v/>
      </c>
      <c r="R4675" s="14">
        <f>_xlfn.LOGNORM.INV($AF4675,LN($C$10)-0.5*LN(1+($D$10/$C$10)^2),SQRT(LN(1+($D$10/$C$10)^2)))</f>
        <v/>
      </c>
      <c r="S4675" s="14">
        <f>SUM(M4675:R4675)</f>
        <v/>
      </c>
      <c r="AA4675">
        <f>RAND()</f>
        <v/>
      </c>
      <c r="AB4675">
        <f>RAND()</f>
        <v/>
      </c>
      <c r="AC4675">
        <f>RAND()</f>
        <v/>
      </c>
      <c r="AD4675">
        <f>RAND()</f>
        <v/>
      </c>
      <c r="AE4675">
        <f>RAND()</f>
        <v/>
      </c>
      <c r="AF4675">
        <f>RAND()</f>
        <v/>
      </c>
    </row>
    <row r="4676">
      <c r="M4676" s="14">
        <f>_xlfn.BETA.INV($AA4676,1+4*($D$5-$C$5)/($E$5-$C$5),1+4*($E$5-$D$5)/($E$5-$C$5),$C$5,$E$5)</f>
        <v/>
      </c>
      <c r="N4676" s="14">
        <f>IF($AB4676&lt;($D$6-$C$6)/($E$6-$C$6),$C$6+SQRT($AB4676*($E$6-$C$6)*($D$6-$C$6)),$E$6-SQRT((1-$AB4676)*($E$6-$C$6)*($E$6-$D$6)))</f>
        <v/>
      </c>
      <c r="O4676" s="14">
        <f>_xlfn.NORM.INV($AC4676,$C$7,$D$7)</f>
        <v/>
      </c>
      <c r="P4676" s="14">
        <f>$C$8+($D$8-$C$8)*$AD4676</f>
        <v/>
      </c>
      <c r="Q4676" s="14">
        <f>$C$9</f>
        <v/>
      </c>
      <c r="R4676" s="14">
        <f>_xlfn.LOGNORM.INV($AF4676,LN($C$10)-0.5*LN(1+($D$10/$C$10)^2),SQRT(LN(1+($D$10/$C$10)^2)))</f>
        <v/>
      </c>
      <c r="S4676" s="14">
        <f>SUM(M4676:R4676)</f>
        <v/>
      </c>
      <c r="AA4676">
        <f>RAND()</f>
        <v/>
      </c>
      <c r="AB4676">
        <f>RAND()</f>
        <v/>
      </c>
      <c r="AC4676">
        <f>RAND()</f>
        <v/>
      </c>
      <c r="AD4676">
        <f>RAND()</f>
        <v/>
      </c>
      <c r="AE4676">
        <f>RAND()</f>
        <v/>
      </c>
      <c r="AF4676">
        <f>RAND()</f>
        <v/>
      </c>
    </row>
    <row r="4677">
      <c r="M4677" s="14">
        <f>_xlfn.BETA.INV($AA4677,1+4*($D$5-$C$5)/($E$5-$C$5),1+4*($E$5-$D$5)/($E$5-$C$5),$C$5,$E$5)</f>
        <v/>
      </c>
      <c r="N4677" s="14">
        <f>IF($AB4677&lt;($D$6-$C$6)/($E$6-$C$6),$C$6+SQRT($AB4677*($E$6-$C$6)*($D$6-$C$6)),$E$6-SQRT((1-$AB4677)*($E$6-$C$6)*($E$6-$D$6)))</f>
        <v/>
      </c>
      <c r="O4677" s="14">
        <f>_xlfn.NORM.INV($AC4677,$C$7,$D$7)</f>
        <v/>
      </c>
      <c r="P4677" s="14">
        <f>$C$8+($D$8-$C$8)*$AD4677</f>
        <v/>
      </c>
      <c r="Q4677" s="14">
        <f>$C$9</f>
        <v/>
      </c>
      <c r="R4677" s="14">
        <f>_xlfn.LOGNORM.INV($AF4677,LN($C$10)-0.5*LN(1+($D$10/$C$10)^2),SQRT(LN(1+($D$10/$C$10)^2)))</f>
        <v/>
      </c>
      <c r="S4677" s="14">
        <f>SUM(M4677:R4677)</f>
        <v/>
      </c>
      <c r="AA4677">
        <f>RAND()</f>
        <v/>
      </c>
      <c r="AB4677">
        <f>RAND()</f>
        <v/>
      </c>
      <c r="AC4677">
        <f>RAND()</f>
        <v/>
      </c>
      <c r="AD4677">
        <f>RAND()</f>
        <v/>
      </c>
      <c r="AE4677">
        <f>RAND()</f>
        <v/>
      </c>
      <c r="AF4677">
        <f>RAND()</f>
        <v/>
      </c>
    </row>
    <row r="4678">
      <c r="M4678" s="14">
        <f>_xlfn.BETA.INV($AA4678,1+4*($D$5-$C$5)/($E$5-$C$5),1+4*($E$5-$D$5)/($E$5-$C$5),$C$5,$E$5)</f>
        <v/>
      </c>
      <c r="N4678" s="14">
        <f>IF($AB4678&lt;($D$6-$C$6)/($E$6-$C$6),$C$6+SQRT($AB4678*($E$6-$C$6)*($D$6-$C$6)),$E$6-SQRT((1-$AB4678)*($E$6-$C$6)*($E$6-$D$6)))</f>
        <v/>
      </c>
      <c r="O4678" s="14">
        <f>_xlfn.NORM.INV($AC4678,$C$7,$D$7)</f>
        <v/>
      </c>
      <c r="P4678" s="14">
        <f>$C$8+($D$8-$C$8)*$AD4678</f>
        <v/>
      </c>
      <c r="Q4678" s="14">
        <f>$C$9</f>
        <v/>
      </c>
      <c r="R4678" s="14">
        <f>_xlfn.LOGNORM.INV($AF4678,LN($C$10)-0.5*LN(1+($D$10/$C$10)^2),SQRT(LN(1+($D$10/$C$10)^2)))</f>
        <v/>
      </c>
      <c r="S4678" s="14">
        <f>SUM(M4678:R4678)</f>
        <v/>
      </c>
      <c r="AA4678">
        <f>RAND()</f>
        <v/>
      </c>
      <c r="AB4678">
        <f>RAND()</f>
        <v/>
      </c>
      <c r="AC4678">
        <f>RAND()</f>
        <v/>
      </c>
      <c r="AD4678">
        <f>RAND()</f>
        <v/>
      </c>
      <c r="AE4678">
        <f>RAND()</f>
        <v/>
      </c>
      <c r="AF4678">
        <f>RAND()</f>
        <v/>
      </c>
    </row>
    <row r="4679">
      <c r="M4679" s="14">
        <f>_xlfn.BETA.INV($AA4679,1+4*($D$5-$C$5)/($E$5-$C$5),1+4*($E$5-$D$5)/($E$5-$C$5),$C$5,$E$5)</f>
        <v/>
      </c>
      <c r="N4679" s="14">
        <f>IF($AB4679&lt;($D$6-$C$6)/($E$6-$C$6),$C$6+SQRT($AB4679*($E$6-$C$6)*($D$6-$C$6)),$E$6-SQRT((1-$AB4679)*($E$6-$C$6)*($E$6-$D$6)))</f>
        <v/>
      </c>
      <c r="O4679" s="14">
        <f>_xlfn.NORM.INV($AC4679,$C$7,$D$7)</f>
        <v/>
      </c>
      <c r="P4679" s="14">
        <f>$C$8+($D$8-$C$8)*$AD4679</f>
        <v/>
      </c>
      <c r="Q4679" s="14">
        <f>$C$9</f>
        <v/>
      </c>
      <c r="R4679" s="14">
        <f>_xlfn.LOGNORM.INV($AF4679,LN($C$10)-0.5*LN(1+($D$10/$C$10)^2),SQRT(LN(1+($D$10/$C$10)^2)))</f>
        <v/>
      </c>
      <c r="S4679" s="14">
        <f>SUM(M4679:R4679)</f>
        <v/>
      </c>
      <c r="AA4679">
        <f>RAND()</f>
        <v/>
      </c>
      <c r="AB4679">
        <f>RAND()</f>
        <v/>
      </c>
      <c r="AC4679">
        <f>RAND()</f>
        <v/>
      </c>
      <c r="AD4679">
        <f>RAND()</f>
        <v/>
      </c>
      <c r="AE4679">
        <f>RAND()</f>
        <v/>
      </c>
      <c r="AF4679">
        <f>RAND()</f>
        <v/>
      </c>
    </row>
    <row r="4680">
      <c r="M4680" s="14">
        <f>_xlfn.BETA.INV($AA4680,1+4*($D$5-$C$5)/($E$5-$C$5),1+4*($E$5-$D$5)/($E$5-$C$5),$C$5,$E$5)</f>
        <v/>
      </c>
      <c r="N4680" s="14">
        <f>IF($AB4680&lt;($D$6-$C$6)/($E$6-$C$6),$C$6+SQRT($AB4680*($E$6-$C$6)*($D$6-$C$6)),$E$6-SQRT((1-$AB4680)*($E$6-$C$6)*($E$6-$D$6)))</f>
        <v/>
      </c>
      <c r="O4680" s="14">
        <f>_xlfn.NORM.INV($AC4680,$C$7,$D$7)</f>
        <v/>
      </c>
      <c r="P4680" s="14">
        <f>$C$8+($D$8-$C$8)*$AD4680</f>
        <v/>
      </c>
      <c r="Q4680" s="14">
        <f>$C$9</f>
        <v/>
      </c>
      <c r="R4680" s="14">
        <f>_xlfn.LOGNORM.INV($AF4680,LN($C$10)-0.5*LN(1+($D$10/$C$10)^2),SQRT(LN(1+($D$10/$C$10)^2)))</f>
        <v/>
      </c>
      <c r="S4680" s="14">
        <f>SUM(M4680:R4680)</f>
        <v/>
      </c>
      <c r="AA4680">
        <f>RAND()</f>
        <v/>
      </c>
      <c r="AB4680">
        <f>RAND()</f>
        <v/>
      </c>
      <c r="AC4680">
        <f>RAND()</f>
        <v/>
      </c>
      <c r="AD4680">
        <f>RAND()</f>
        <v/>
      </c>
      <c r="AE4680">
        <f>RAND()</f>
        <v/>
      </c>
      <c r="AF4680">
        <f>RAND()</f>
        <v/>
      </c>
    </row>
    <row r="4681">
      <c r="M4681" s="14">
        <f>_xlfn.BETA.INV($AA4681,1+4*($D$5-$C$5)/($E$5-$C$5),1+4*($E$5-$D$5)/($E$5-$C$5),$C$5,$E$5)</f>
        <v/>
      </c>
      <c r="N4681" s="14">
        <f>IF($AB4681&lt;($D$6-$C$6)/($E$6-$C$6),$C$6+SQRT($AB4681*($E$6-$C$6)*($D$6-$C$6)),$E$6-SQRT((1-$AB4681)*($E$6-$C$6)*($E$6-$D$6)))</f>
        <v/>
      </c>
      <c r="O4681" s="14">
        <f>_xlfn.NORM.INV($AC4681,$C$7,$D$7)</f>
        <v/>
      </c>
      <c r="P4681" s="14">
        <f>$C$8+($D$8-$C$8)*$AD4681</f>
        <v/>
      </c>
      <c r="Q4681" s="14">
        <f>$C$9</f>
        <v/>
      </c>
      <c r="R4681" s="14">
        <f>_xlfn.LOGNORM.INV($AF4681,LN($C$10)-0.5*LN(1+($D$10/$C$10)^2),SQRT(LN(1+($D$10/$C$10)^2)))</f>
        <v/>
      </c>
      <c r="S4681" s="14">
        <f>SUM(M4681:R4681)</f>
        <v/>
      </c>
      <c r="AA4681">
        <f>RAND()</f>
        <v/>
      </c>
      <c r="AB4681">
        <f>RAND()</f>
        <v/>
      </c>
      <c r="AC4681">
        <f>RAND()</f>
        <v/>
      </c>
      <c r="AD4681">
        <f>RAND()</f>
        <v/>
      </c>
      <c r="AE4681">
        <f>RAND()</f>
        <v/>
      </c>
      <c r="AF4681">
        <f>RAND()</f>
        <v/>
      </c>
    </row>
    <row r="4682">
      <c r="M4682" s="14">
        <f>_xlfn.BETA.INV($AA4682,1+4*($D$5-$C$5)/($E$5-$C$5),1+4*($E$5-$D$5)/($E$5-$C$5),$C$5,$E$5)</f>
        <v/>
      </c>
      <c r="N4682" s="14">
        <f>IF($AB4682&lt;($D$6-$C$6)/($E$6-$C$6),$C$6+SQRT($AB4682*($E$6-$C$6)*($D$6-$C$6)),$E$6-SQRT((1-$AB4682)*($E$6-$C$6)*($E$6-$D$6)))</f>
        <v/>
      </c>
      <c r="O4682" s="14">
        <f>_xlfn.NORM.INV($AC4682,$C$7,$D$7)</f>
        <v/>
      </c>
      <c r="P4682" s="14">
        <f>$C$8+($D$8-$C$8)*$AD4682</f>
        <v/>
      </c>
      <c r="Q4682" s="14">
        <f>$C$9</f>
        <v/>
      </c>
      <c r="R4682" s="14">
        <f>_xlfn.LOGNORM.INV($AF4682,LN($C$10)-0.5*LN(1+($D$10/$C$10)^2),SQRT(LN(1+($D$10/$C$10)^2)))</f>
        <v/>
      </c>
      <c r="S4682" s="14">
        <f>SUM(M4682:R4682)</f>
        <v/>
      </c>
      <c r="AA4682">
        <f>RAND()</f>
        <v/>
      </c>
      <c r="AB4682">
        <f>RAND()</f>
        <v/>
      </c>
      <c r="AC4682">
        <f>RAND()</f>
        <v/>
      </c>
      <c r="AD4682">
        <f>RAND()</f>
        <v/>
      </c>
      <c r="AE4682">
        <f>RAND()</f>
        <v/>
      </c>
      <c r="AF4682">
        <f>RAND()</f>
        <v/>
      </c>
    </row>
    <row r="4683">
      <c r="M4683" s="14">
        <f>_xlfn.BETA.INV($AA4683,1+4*($D$5-$C$5)/($E$5-$C$5),1+4*($E$5-$D$5)/($E$5-$C$5),$C$5,$E$5)</f>
        <v/>
      </c>
      <c r="N4683" s="14">
        <f>IF($AB4683&lt;($D$6-$C$6)/($E$6-$C$6),$C$6+SQRT($AB4683*($E$6-$C$6)*($D$6-$C$6)),$E$6-SQRT((1-$AB4683)*($E$6-$C$6)*($E$6-$D$6)))</f>
        <v/>
      </c>
      <c r="O4683" s="14">
        <f>_xlfn.NORM.INV($AC4683,$C$7,$D$7)</f>
        <v/>
      </c>
      <c r="P4683" s="14">
        <f>$C$8+($D$8-$C$8)*$AD4683</f>
        <v/>
      </c>
      <c r="Q4683" s="14">
        <f>$C$9</f>
        <v/>
      </c>
      <c r="R4683" s="14">
        <f>_xlfn.LOGNORM.INV($AF4683,LN($C$10)-0.5*LN(1+($D$10/$C$10)^2),SQRT(LN(1+($D$10/$C$10)^2)))</f>
        <v/>
      </c>
      <c r="S4683" s="14">
        <f>SUM(M4683:R4683)</f>
        <v/>
      </c>
      <c r="AA4683">
        <f>RAND()</f>
        <v/>
      </c>
      <c r="AB4683">
        <f>RAND()</f>
        <v/>
      </c>
      <c r="AC4683">
        <f>RAND()</f>
        <v/>
      </c>
      <c r="AD4683">
        <f>RAND()</f>
        <v/>
      </c>
      <c r="AE4683">
        <f>RAND()</f>
        <v/>
      </c>
      <c r="AF4683">
        <f>RAND()</f>
        <v/>
      </c>
    </row>
    <row r="4684">
      <c r="M4684" s="14">
        <f>_xlfn.BETA.INV($AA4684,1+4*($D$5-$C$5)/($E$5-$C$5),1+4*($E$5-$D$5)/($E$5-$C$5),$C$5,$E$5)</f>
        <v/>
      </c>
      <c r="N4684" s="14">
        <f>IF($AB4684&lt;($D$6-$C$6)/($E$6-$C$6),$C$6+SQRT($AB4684*($E$6-$C$6)*($D$6-$C$6)),$E$6-SQRT((1-$AB4684)*($E$6-$C$6)*($E$6-$D$6)))</f>
        <v/>
      </c>
      <c r="O4684" s="14">
        <f>_xlfn.NORM.INV($AC4684,$C$7,$D$7)</f>
        <v/>
      </c>
      <c r="P4684" s="14">
        <f>$C$8+($D$8-$C$8)*$AD4684</f>
        <v/>
      </c>
      <c r="Q4684" s="14">
        <f>$C$9</f>
        <v/>
      </c>
      <c r="R4684" s="14">
        <f>_xlfn.LOGNORM.INV($AF4684,LN($C$10)-0.5*LN(1+($D$10/$C$10)^2),SQRT(LN(1+($D$10/$C$10)^2)))</f>
        <v/>
      </c>
      <c r="S4684" s="14">
        <f>SUM(M4684:R4684)</f>
        <v/>
      </c>
      <c r="AA4684">
        <f>RAND()</f>
        <v/>
      </c>
      <c r="AB4684">
        <f>RAND()</f>
        <v/>
      </c>
      <c r="AC4684">
        <f>RAND()</f>
        <v/>
      </c>
      <c r="AD4684">
        <f>RAND()</f>
        <v/>
      </c>
      <c r="AE4684">
        <f>RAND()</f>
        <v/>
      </c>
      <c r="AF4684">
        <f>RAND()</f>
        <v/>
      </c>
    </row>
    <row r="4685">
      <c r="M4685" s="14">
        <f>_xlfn.BETA.INV($AA4685,1+4*($D$5-$C$5)/($E$5-$C$5),1+4*($E$5-$D$5)/($E$5-$C$5),$C$5,$E$5)</f>
        <v/>
      </c>
      <c r="N4685" s="14">
        <f>IF($AB4685&lt;($D$6-$C$6)/($E$6-$C$6),$C$6+SQRT($AB4685*($E$6-$C$6)*($D$6-$C$6)),$E$6-SQRT((1-$AB4685)*($E$6-$C$6)*($E$6-$D$6)))</f>
        <v/>
      </c>
      <c r="O4685" s="14">
        <f>_xlfn.NORM.INV($AC4685,$C$7,$D$7)</f>
        <v/>
      </c>
      <c r="P4685" s="14">
        <f>$C$8+($D$8-$C$8)*$AD4685</f>
        <v/>
      </c>
      <c r="Q4685" s="14">
        <f>$C$9</f>
        <v/>
      </c>
      <c r="R4685" s="14">
        <f>_xlfn.LOGNORM.INV($AF4685,LN($C$10)-0.5*LN(1+($D$10/$C$10)^2),SQRT(LN(1+($D$10/$C$10)^2)))</f>
        <v/>
      </c>
      <c r="S4685" s="14">
        <f>SUM(M4685:R4685)</f>
        <v/>
      </c>
      <c r="AA4685">
        <f>RAND()</f>
        <v/>
      </c>
      <c r="AB4685">
        <f>RAND()</f>
        <v/>
      </c>
      <c r="AC4685">
        <f>RAND()</f>
        <v/>
      </c>
      <c r="AD4685">
        <f>RAND()</f>
        <v/>
      </c>
      <c r="AE4685">
        <f>RAND()</f>
        <v/>
      </c>
      <c r="AF4685">
        <f>RAND()</f>
        <v/>
      </c>
    </row>
    <row r="4686">
      <c r="M4686" s="14">
        <f>_xlfn.BETA.INV($AA4686,1+4*($D$5-$C$5)/($E$5-$C$5),1+4*($E$5-$D$5)/($E$5-$C$5),$C$5,$E$5)</f>
        <v/>
      </c>
      <c r="N4686" s="14">
        <f>IF($AB4686&lt;($D$6-$C$6)/($E$6-$C$6),$C$6+SQRT($AB4686*($E$6-$C$6)*($D$6-$C$6)),$E$6-SQRT((1-$AB4686)*($E$6-$C$6)*($E$6-$D$6)))</f>
        <v/>
      </c>
      <c r="O4686" s="14">
        <f>_xlfn.NORM.INV($AC4686,$C$7,$D$7)</f>
        <v/>
      </c>
      <c r="P4686" s="14">
        <f>$C$8+($D$8-$C$8)*$AD4686</f>
        <v/>
      </c>
      <c r="Q4686" s="14">
        <f>$C$9</f>
        <v/>
      </c>
      <c r="R4686" s="14">
        <f>_xlfn.LOGNORM.INV($AF4686,LN($C$10)-0.5*LN(1+($D$10/$C$10)^2),SQRT(LN(1+($D$10/$C$10)^2)))</f>
        <v/>
      </c>
      <c r="S4686" s="14">
        <f>SUM(M4686:R4686)</f>
        <v/>
      </c>
      <c r="AA4686">
        <f>RAND()</f>
        <v/>
      </c>
      <c r="AB4686">
        <f>RAND()</f>
        <v/>
      </c>
      <c r="AC4686">
        <f>RAND()</f>
        <v/>
      </c>
      <c r="AD4686">
        <f>RAND()</f>
        <v/>
      </c>
      <c r="AE4686">
        <f>RAND()</f>
        <v/>
      </c>
      <c r="AF4686">
        <f>RAND()</f>
        <v/>
      </c>
    </row>
    <row r="4687">
      <c r="M4687" s="14">
        <f>_xlfn.BETA.INV($AA4687,1+4*($D$5-$C$5)/($E$5-$C$5),1+4*($E$5-$D$5)/($E$5-$C$5),$C$5,$E$5)</f>
        <v/>
      </c>
      <c r="N4687" s="14">
        <f>IF($AB4687&lt;($D$6-$C$6)/($E$6-$C$6),$C$6+SQRT($AB4687*($E$6-$C$6)*($D$6-$C$6)),$E$6-SQRT((1-$AB4687)*($E$6-$C$6)*($E$6-$D$6)))</f>
        <v/>
      </c>
      <c r="O4687" s="14">
        <f>_xlfn.NORM.INV($AC4687,$C$7,$D$7)</f>
        <v/>
      </c>
      <c r="P4687" s="14">
        <f>$C$8+($D$8-$C$8)*$AD4687</f>
        <v/>
      </c>
      <c r="Q4687" s="14">
        <f>$C$9</f>
        <v/>
      </c>
      <c r="R4687" s="14">
        <f>_xlfn.LOGNORM.INV($AF4687,LN($C$10)-0.5*LN(1+($D$10/$C$10)^2),SQRT(LN(1+($D$10/$C$10)^2)))</f>
        <v/>
      </c>
      <c r="S4687" s="14">
        <f>SUM(M4687:R4687)</f>
        <v/>
      </c>
      <c r="AA4687">
        <f>RAND()</f>
        <v/>
      </c>
      <c r="AB4687">
        <f>RAND()</f>
        <v/>
      </c>
      <c r="AC4687">
        <f>RAND()</f>
        <v/>
      </c>
      <c r="AD4687">
        <f>RAND()</f>
        <v/>
      </c>
      <c r="AE4687">
        <f>RAND()</f>
        <v/>
      </c>
      <c r="AF4687">
        <f>RAND()</f>
        <v/>
      </c>
    </row>
    <row r="4688">
      <c r="M4688" s="14">
        <f>_xlfn.BETA.INV($AA4688,1+4*($D$5-$C$5)/($E$5-$C$5),1+4*($E$5-$D$5)/($E$5-$C$5),$C$5,$E$5)</f>
        <v/>
      </c>
      <c r="N4688" s="14">
        <f>IF($AB4688&lt;($D$6-$C$6)/($E$6-$C$6),$C$6+SQRT($AB4688*($E$6-$C$6)*($D$6-$C$6)),$E$6-SQRT((1-$AB4688)*($E$6-$C$6)*($E$6-$D$6)))</f>
        <v/>
      </c>
      <c r="O4688" s="14">
        <f>_xlfn.NORM.INV($AC4688,$C$7,$D$7)</f>
        <v/>
      </c>
      <c r="P4688" s="14">
        <f>$C$8+($D$8-$C$8)*$AD4688</f>
        <v/>
      </c>
      <c r="Q4688" s="14">
        <f>$C$9</f>
        <v/>
      </c>
      <c r="R4688" s="14">
        <f>_xlfn.LOGNORM.INV($AF4688,LN($C$10)-0.5*LN(1+($D$10/$C$10)^2),SQRT(LN(1+($D$10/$C$10)^2)))</f>
        <v/>
      </c>
      <c r="S4688" s="14">
        <f>SUM(M4688:R4688)</f>
        <v/>
      </c>
      <c r="AA4688">
        <f>RAND()</f>
        <v/>
      </c>
      <c r="AB4688">
        <f>RAND()</f>
        <v/>
      </c>
      <c r="AC4688">
        <f>RAND()</f>
        <v/>
      </c>
      <c r="AD4688">
        <f>RAND()</f>
        <v/>
      </c>
      <c r="AE4688">
        <f>RAND()</f>
        <v/>
      </c>
      <c r="AF4688">
        <f>RAND()</f>
        <v/>
      </c>
    </row>
    <row r="4689">
      <c r="M4689" s="14">
        <f>_xlfn.BETA.INV($AA4689,1+4*($D$5-$C$5)/($E$5-$C$5),1+4*($E$5-$D$5)/($E$5-$C$5),$C$5,$E$5)</f>
        <v/>
      </c>
      <c r="N4689" s="14">
        <f>IF($AB4689&lt;($D$6-$C$6)/($E$6-$C$6),$C$6+SQRT($AB4689*($E$6-$C$6)*($D$6-$C$6)),$E$6-SQRT((1-$AB4689)*($E$6-$C$6)*($E$6-$D$6)))</f>
        <v/>
      </c>
      <c r="O4689" s="14">
        <f>_xlfn.NORM.INV($AC4689,$C$7,$D$7)</f>
        <v/>
      </c>
      <c r="P4689" s="14">
        <f>$C$8+($D$8-$C$8)*$AD4689</f>
        <v/>
      </c>
      <c r="Q4689" s="14">
        <f>$C$9</f>
        <v/>
      </c>
      <c r="R4689" s="14">
        <f>_xlfn.LOGNORM.INV($AF4689,LN($C$10)-0.5*LN(1+($D$10/$C$10)^2),SQRT(LN(1+($D$10/$C$10)^2)))</f>
        <v/>
      </c>
      <c r="S4689" s="14">
        <f>SUM(M4689:R4689)</f>
        <v/>
      </c>
      <c r="AA4689">
        <f>RAND()</f>
        <v/>
      </c>
      <c r="AB4689">
        <f>RAND()</f>
        <v/>
      </c>
      <c r="AC4689">
        <f>RAND()</f>
        <v/>
      </c>
      <c r="AD4689">
        <f>RAND()</f>
        <v/>
      </c>
      <c r="AE4689">
        <f>RAND()</f>
        <v/>
      </c>
      <c r="AF4689">
        <f>RAND()</f>
        <v/>
      </c>
    </row>
    <row r="4690">
      <c r="M4690" s="14">
        <f>_xlfn.BETA.INV($AA4690,1+4*($D$5-$C$5)/($E$5-$C$5),1+4*($E$5-$D$5)/($E$5-$C$5),$C$5,$E$5)</f>
        <v/>
      </c>
      <c r="N4690" s="14">
        <f>IF($AB4690&lt;($D$6-$C$6)/($E$6-$C$6),$C$6+SQRT($AB4690*($E$6-$C$6)*($D$6-$C$6)),$E$6-SQRT((1-$AB4690)*($E$6-$C$6)*($E$6-$D$6)))</f>
        <v/>
      </c>
      <c r="O4690" s="14">
        <f>_xlfn.NORM.INV($AC4690,$C$7,$D$7)</f>
        <v/>
      </c>
      <c r="P4690" s="14">
        <f>$C$8+($D$8-$C$8)*$AD4690</f>
        <v/>
      </c>
      <c r="Q4690" s="14">
        <f>$C$9</f>
        <v/>
      </c>
      <c r="R4690" s="14">
        <f>_xlfn.LOGNORM.INV($AF4690,LN($C$10)-0.5*LN(1+($D$10/$C$10)^2),SQRT(LN(1+($D$10/$C$10)^2)))</f>
        <v/>
      </c>
      <c r="S4690" s="14">
        <f>SUM(M4690:R4690)</f>
        <v/>
      </c>
      <c r="AA4690">
        <f>RAND()</f>
        <v/>
      </c>
      <c r="AB4690">
        <f>RAND()</f>
        <v/>
      </c>
      <c r="AC4690">
        <f>RAND()</f>
        <v/>
      </c>
      <c r="AD4690">
        <f>RAND()</f>
        <v/>
      </c>
      <c r="AE4690">
        <f>RAND()</f>
        <v/>
      </c>
      <c r="AF4690">
        <f>RAND()</f>
        <v/>
      </c>
    </row>
    <row r="4691">
      <c r="M4691" s="14">
        <f>_xlfn.BETA.INV($AA4691,1+4*($D$5-$C$5)/($E$5-$C$5),1+4*($E$5-$D$5)/($E$5-$C$5),$C$5,$E$5)</f>
        <v/>
      </c>
      <c r="N4691" s="14">
        <f>IF($AB4691&lt;($D$6-$C$6)/($E$6-$C$6),$C$6+SQRT($AB4691*($E$6-$C$6)*($D$6-$C$6)),$E$6-SQRT((1-$AB4691)*($E$6-$C$6)*($E$6-$D$6)))</f>
        <v/>
      </c>
      <c r="O4691" s="14">
        <f>_xlfn.NORM.INV($AC4691,$C$7,$D$7)</f>
        <v/>
      </c>
      <c r="P4691" s="14">
        <f>$C$8+($D$8-$C$8)*$AD4691</f>
        <v/>
      </c>
      <c r="Q4691" s="14">
        <f>$C$9</f>
        <v/>
      </c>
      <c r="R4691" s="14">
        <f>_xlfn.LOGNORM.INV($AF4691,LN($C$10)-0.5*LN(1+($D$10/$C$10)^2),SQRT(LN(1+($D$10/$C$10)^2)))</f>
        <v/>
      </c>
      <c r="S4691" s="14">
        <f>SUM(M4691:R4691)</f>
        <v/>
      </c>
      <c r="AA4691">
        <f>RAND()</f>
        <v/>
      </c>
      <c r="AB4691">
        <f>RAND()</f>
        <v/>
      </c>
      <c r="AC4691">
        <f>RAND()</f>
        <v/>
      </c>
      <c r="AD4691">
        <f>RAND()</f>
        <v/>
      </c>
      <c r="AE4691">
        <f>RAND()</f>
        <v/>
      </c>
      <c r="AF4691">
        <f>RAND()</f>
        <v/>
      </c>
    </row>
    <row r="4692">
      <c r="M4692" s="14">
        <f>_xlfn.BETA.INV($AA4692,1+4*($D$5-$C$5)/($E$5-$C$5),1+4*($E$5-$D$5)/($E$5-$C$5),$C$5,$E$5)</f>
        <v/>
      </c>
      <c r="N4692" s="14">
        <f>IF($AB4692&lt;($D$6-$C$6)/($E$6-$C$6),$C$6+SQRT($AB4692*($E$6-$C$6)*($D$6-$C$6)),$E$6-SQRT((1-$AB4692)*($E$6-$C$6)*($E$6-$D$6)))</f>
        <v/>
      </c>
      <c r="O4692" s="14">
        <f>_xlfn.NORM.INV($AC4692,$C$7,$D$7)</f>
        <v/>
      </c>
      <c r="P4692" s="14">
        <f>$C$8+($D$8-$C$8)*$AD4692</f>
        <v/>
      </c>
      <c r="Q4692" s="14">
        <f>$C$9</f>
        <v/>
      </c>
      <c r="R4692" s="14">
        <f>_xlfn.LOGNORM.INV($AF4692,LN($C$10)-0.5*LN(1+($D$10/$C$10)^2),SQRT(LN(1+($D$10/$C$10)^2)))</f>
        <v/>
      </c>
      <c r="S4692" s="14">
        <f>SUM(M4692:R4692)</f>
        <v/>
      </c>
      <c r="AA4692">
        <f>RAND()</f>
        <v/>
      </c>
      <c r="AB4692">
        <f>RAND()</f>
        <v/>
      </c>
      <c r="AC4692">
        <f>RAND()</f>
        <v/>
      </c>
      <c r="AD4692">
        <f>RAND()</f>
        <v/>
      </c>
      <c r="AE4692">
        <f>RAND()</f>
        <v/>
      </c>
      <c r="AF4692">
        <f>RAND()</f>
        <v/>
      </c>
    </row>
    <row r="4693">
      <c r="M4693" s="14">
        <f>_xlfn.BETA.INV($AA4693,1+4*($D$5-$C$5)/($E$5-$C$5),1+4*($E$5-$D$5)/($E$5-$C$5),$C$5,$E$5)</f>
        <v/>
      </c>
      <c r="N4693" s="14">
        <f>IF($AB4693&lt;($D$6-$C$6)/($E$6-$C$6),$C$6+SQRT($AB4693*($E$6-$C$6)*($D$6-$C$6)),$E$6-SQRT((1-$AB4693)*($E$6-$C$6)*($E$6-$D$6)))</f>
        <v/>
      </c>
      <c r="O4693" s="14">
        <f>_xlfn.NORM.INV($AC4693,$C$7,$D$7)</f>
        <v/>
      </c>
      <c r="P4693" s="14">
        <f>$C$8+($D$8-$C$8)*$AD4693</f>
        <v/>
      </c>
      <c r="Q4693" s="14">
        <f>$C$9</f>
        <v/>
      </c>
      <c r="R4693" s="14">
        <f>_xlfn.LOGNORM.INV($AF4693,LN($C$10)-0.5*LN(1+($D$10/$C$10)^2),SQRT(LN(1+($D$10/$C$10)^2)))</f>
        <v/>
      </c>
      <c r="S4693" s="14">
        <f>SUM(M4693:R4693)</f>
        <v/>
      </c>
      <c r="AA4693">
        <f>RAND()</f>
        <v/>
      </c>
      <c r="AB4693">
        <f>RAND()</f>
        <v/>
      </c>
      <c r="AC4693">
        <f>RAND()</f>
        <v/>
      </c>
      <c r="AD4693">
        <f>RAND()</f>
        <v/>
      </c>
      <c r="AE4693">
        <f>RAND()</f>
        <v/>
      </c>
      <c r="AF4693">
        <f>RAND()</f>
        <v/>
      </c>
    </row>
    <row r="4694">
      <c r="M4694" s="14">
        <f>_xlfn.BETA.INV($AA4694,1+4*($D$5-$C$5)/($E$5-$C$5),1+4*($E$5-$D$5)/($E$5-$C$5),$C$5,$E$5)</f>
        <v/>
      </c>
      <c r="N4694" s="14">
        <f>IF($AB4694&lt;($D$6-$C$6)/($E$6-$C$6),$C$6+SQRT($AB4694*($E$6-$C$6)*($D$6-$C$6)),$E$6-SQRT((1-$AB4694)*($E$6-$C$6)*($E$6-$D$6)))</f>
        <v/>
      </c>
      <c r="O4694" s="14">
        <f>_xlfn.NORM.INV($AC4694,$C$7,$D$7)</f>
        <v/>
      </c>
      <c r="P4694" s="14">
        <f>$C$8+($D$8-$C$8)*$AD4694</f>
        <v/>
      </c>
      <c r="Q4694" s="14">
        <f>$C$9</f>
        <v/>
      </c>
      <c r="R4694" s="14">
        <f>_xlfn.LOGNORM.INV($AF4694,LN($C$10)-0.5*LN(1+($D$10/$C$10)^2),SQRT(LN(1+($D$10/$C$10)^2)))</f>
        <v/>
      </c>
      <c r="S4694" s="14">
        <f>SUM(M4694:R4694)</f>
        <v/>
      </c>
      <c r="AA4694">
        <f>RAND()</f>
        <v/>
      </c>
      <c r="AB4694">
        <f>RAND()</f>
        <v/>
      </c>
      <c r="AC4694">
        <f>RAND()</f>
        <v/>
      </c>
      <c r="AD4694">
        <f>RAND()</f>
        <v/>
      </c>
      <c r="AE4694">
        <f>RAND()</f>
        <v/>
      </c>
      <c r="AF4694">
        <f>RAND()</f>
        <v/>
      </c>
    </row>
    <row r="4695">
      <c r="M4695" s="14">
        <f>_xlfn.BETA.INV($AA4695,1+4*($D$5-$C$5)/($E$5-$C$5),1+4*($E$5-$D$5)/($E$5-$C$5),$C$5,$E$5)</f>
        <v/>
      </c>
      <c r="N4695" s="14">
        <f>IF($AB4695&lt;($D$6-$C$6)/($E$6-$C$6),$C$6+SQRT($AB4695*($E$6-$C$6)*($D$6-$C$6)),$E$6-SQRT((1-$AB4695)*($E$6-$C$6)*($E$6-$D$6)))</f>
        <v/>
      </c>
      <c r="O4695" s="14">
        <f>_xlfn.NORM.INV($AC4695,$C$7,$D$7)</f>
        <v/>
      </c>
      <c r="P4695" s="14">
        <f>$C$8+($D$8-$C$8)*$AD4695</f>
        <v/>
      </c>
      <c r="Q4695" s="14">
        <f>$C$9</f>
        <v/>
      </c>
      <c r="R4695" s="14">
        <f>_xlfn.LOGNORM.INV($AF4695,LN($C$10)-0.5*LN(1+($D$10/$C$10)^2),SQRT(LN(1+($D$10/$C$10)^2)))</f>
        <v/>
      </c>
      <c r="S4695" s="14">
        <f>SUM(M4695:R4695)</f>
        <v/>
      </c>
      <c r="AA4695">
        <f>RAND()</f>
        <v/>
      </c>
      <c r="AB4695">
        <f>RAND()</f>
        <v/>
      </c>
      <c r="AC4695">
        <f>RAND()</f>
        <v/>
      </c>
      <c r="AD4695">
        <f>RAND()</f>
        <v/>
      </c>
      <c r="AE4695">
        <f>RAND()</f>
        <v/>
      </c>
      <c r="AF4695">
        <f>RAND()</f>
        <v/>
      </c>
    </row>
    <row r="4696">
      <c r="M4696" s="14">
        <f>_xlfn.BETA.INV($AA4696,1+4*($D$5-$C$5)/($E$5-$C$5),1+4*($E$5-$D$5)/($E$5-$C$5),$C$5,$E$5)</f>
        <v/>
      </c>
      <c r="N4696" s="14">
        <f>IF($AB4696&lt;($D$6-$C$6)/($E$6-$C$6),$C$6+SQRT($AB4696*($E$6-$C$6)*($D$6-$C$6)),$E$6-SQRT((1-$AB4696)*($E$6-$C$6)*($E$6-$D$6)))</f>
        <v/>
      </c>
      <c r="O4696" s="14">
        <f>_xlfn.NORM.INV($AC4696,$C$7,$D$7)</f>
        <v/>
      </c>
      <c r="P4696" s="14">
        <f>$C$8+($D$8-$C$8)*$AD4696</f>
        <v/>
      </c>
      <c r="Q4696" s="14">
        <f>$C$9</f>
        <v/>
      </c>
      <c r="R4696" s="14">
        <f>_xlfn.LOGNORM.INV($AF4696,LN($C$10)-0.5*LN(1+($D$10/$C$10)^2),SQRT(LN(1+($D$10/$C$10)^2)))</f>
        <v/>
      </c>
      <c r="S4696" s="14">
        <f>SUM(M4696:R4696)</f>
        <v/>
      </c>
      <c r="AA4696">
        <f>RAND()</f>
        <v/>
      </c>
      <c r="AB4696">
        <f>RAND()</f>
        <v/>
      </c>
      <c r="AC4696">
        <f>RAND()</f>
        <v/>
      </c>
      <c r="AD4696">
        <f>RAND()</f>
        <v/>
      </c>
      <c r="AE4696">
        <f>RAND()</f>
        <v/>
      </c>
      <c r="AF4696">
        <f>RAND()</f>
        <v/>
      </c>
    </row>
    <row r="4697">
      <c r="M4697" s="14">
        <f>_xlfn.BETA.INV($AA4697,1+4*($D$5-$C$5)/($E$5-$C$5),1+4*($E$5-$D$5)/($E$5-$C$5),$C$5,$E$5)</f>
        <v/>
      </c>
      <c r="N4697" s="14">
        <f>IF($AB4697&lt;($D$6-$C$6)/($E$6-$C$6),$C$6+SQRT($AB4697*($E$6-$C$6)*($D$6-$C$6)),$E$6-SQRT((1-$AB4697)*($E$6-$C$6)*($E$6-$D$6)))</f>
        <v/>
      </c>
      <c r="O4697" s="14">
        <f>_xlfn.NORM.INV($AC4697,$C$7,$D$7)</f>
        <v/>
      </c>
      <c r="P4697" s="14">
        <f>$C$8+($D$8-$C$8)*$AD4697</f>
        <v/>
      </c>
      <c r="Q4697" s="14">
        <f>$C$9</f>
        <v/>
      </c>
      <c r="R4697" s="14">
        <f>_xlfn.LOGNORM.INV($AF4697,LN($C$10)-0.5*LN(1+($D$10/$C$10)^2),SQRT(LN(1+($D$10/$C$10)^2)))</f>
        <v/>
      </c>
      <c r="S4697" s="14">
        <f>SUM(M4697:R4697)</f>
        <v/>
      </c>
      <c r="AA4697">
        <f>RAND()</f>
        <v/>
      </c>
      <c r="AB4697">
        <f>RAND()</f>
        <v/>
      </c>
      <c r="AC4697">
        <f>RAND()</f>
        <v/>
      </c>
      <c r="AD4697">
        <f>RAND()</f>
        <v/>
      </c>
      <c r="AE4697">
        <f>RAND()</f>
        <v/>
      </c>
      <c r="AF4697">
        <f>RAND()</f>
        <v/>
      </c>
    </row>
    <row r="4698">
      <c r="M4698" s="14">
        <f>_xlfn.BETA.INV($AA4698,1+4*($D$5-$C$5)/($E$5-$C$5),1+4*($E$5-$D$5)/($E$5-$C$5),$C$5,$E$5)</f>
        <v/>
      </c>
      <c r="N4698" s="14">
        <f>IF($AB4698&lt;($D$6-$C$6)/($E$6-$C$6),$C$6+SQRT($AB4698*($E$6-$C$6)*($D$6-$C$6)),$E$6-SQRT((1-$AB4698)*($E$6-$C$6)*($E$6-$D$6)))</f>
        <v/>
      </c>
      <c r="O4698" s="14">
        <f>_xlfn.NORM.INV($AC4698,$C$7,$D$7)</f>
        <v/>
      </c>
      <c r="P4698" s="14">
        <f>$C$8+($D$8-$C$8)*$AD4698</f>
        <v/>
      </c>
      <c r="Q4698" s="14">
        <f>$C$9</f>
        <v/>
      </c>
      <c r="R4698" s="14">
        <f>_xlfn.LOGNORM.INV($AF4698,LN($C$10)-0.5*LN(1+($D$10/$C$10)^2),SQRT(LN(1+($D$10/$C$10)^2)))</f>
        <v/>
      </c>
      <c r="S4698" s="14">
        <f>SUM(M4698:R4698)</f>
        <v/>
      </c>
      <c r="AA4698">
        <f>RAND()</f>
        <v/>
      </c>
      <c r="AB4698">
        <f>RAND()</f>
        <v/>
      </c>
      <c r="AC4698">
        <f>RAND()</f>
        <v/>
      </c>
      <c r="AD4698">
        <f>RAND()</f>
        <v/>
      </c>
      <c r="AE4698">
        <f>RAND()</f>
        <v/>
      </c>
      <c r="AF4698">
        <f>RAND()</f>
        <v/>
      </c>
    </row>
    <row r="4699">
      <c r="M4699" s="14">
        <f>_xlfn.BETA.INV($AA4699,1+4*($D$5-$C$5)/($E$5-$C$5),1+4*($E$5-$D$5)/($E$5-$C$5),$C$5,$E$5)</f>
        <v/>
      </c>
      <c r="N4699" s="14">
        <f>IF($AB4699&lt;($D$6-$C$6)/($E$6-$C$6),$C$6+SQRT($AB4699*($E$6-$C$6)*($D$6-$C$6)),$E$6-SQRT((1-$AB4699)*($E$6-$C$6)*($E$6-$D$6)))</f>
        <v/>
      </c>
      <c r="O4699" s="14">
        <f>_xlfn.NORM.INV($AC4699,$C$7,$D$7)</f>
        <v/>
      </c>
      <c r="P4699" s="14">
        <f>$C$8+($D$8-$C$8)*$AD4699</f>
        <v/>
      </c>
      <c r="Q4699" s="14">
        <f>$C$9</f>
        <v/>
      </c>
      <c r="R4699" s="14">
        <f>_xlfn.LOGNORM.INV($AF4699,LN($C$10)-0.5*LN(1+($D$10/$C$10)^2),SQRT(LN(1+($D$10/$C$10)^2)))</f>
        <v/>
      </c>
      <c r="S4699" s="14">
        <f>SUM(M4699:R4699)</f>
        <v/>
      </c>
      <c r="AA4699">
        <f>RAND()</f>
        <v/>
      </c>
      <c r="AB4699">
        <f>RAND()</f>
        <v/>
      </c>
      <c r="AC4699">
        <f>RAND()</f>
        <v/>
      </c>
      <c r="AD4699">
        <f>RAND()</f>
        <v/>
      </c>
      <c r="AE4699">
        <f>RAND()</f>
        <v/>
      </c>
      <c r="AF4699">
        <f>RAND()</f>
        <v/>
      </c>
    </row>
    <row r="4700">
      <c r="M4700" s="14">
        <f>_xlfn.BETA.INV($AA4700,1+4*($D$5-$C$5)/($E$5-$C$5),1+4*($E$5-$D$5)/($E$5-$C$5),$C$5,$E$5)</f>
        <v/>
      </c>
      <c r="N4700" s="14">
        <f>IF($AB4700&lt;($D$6-$C$6)/($E$6-$C$6),$C$6+SQRT($AB4700*($E$6-$C$6)*($D$6-$C$6)),$E$6-SQRT((1-$AB4700)*($E$6-$C$6)*($E$6-$D$6)))</f>
        <v/>
      </c>
      <c r="O4700" s="14">
        <f>_xlfn.NORM.INV($AC4700,$C$7,$D$7)</f>
        <v/>
      </c>
      <c r="P4700" s="14">
        <f>$C$8+($D$8-$C$8)*$AD4700</f>
        <v/>
      </c>
      <c r="Q4700" s="14">
        <f>$C$9</f>
        <v/>
      </c>
      <c r="R4700" s="14">
        <f>_xlfn.LOGNORM.INV($AF4700,LN($C$10)-0.5*LN(1+($D$10/$C$10)^2),SQRT(LN(1+($D$10/$C$10)^2)))</f>
        <v/>
      </c>
      <c r="S4700" s="14">
        <f>SUM(M4700:R4700)</f>
        <v/>
      </c>
      <c r="AA4700">
        <f>RAND()</f>
        <v/>
      </c>
      <c r="AB4700">
        <f>RAND()</f>
        <v/>
      </c>
      <c r="AC4700">
        <f>RAND()</f>
        <v/>
      </c>
      <c r="AD4700">
        <f>RAND()</f>
        <v/>
      </c>
      <c r="AE4700">
        <f>RAND()</f>
        <v/>
      </c>
      <c r="AF4700">
        <f>RAND()</f>
        <v/>
      </c>
    </row>
    <row r="4701">
      <c r="M4701" s="14">
        <f>_xlfn.BETA.INV($AA4701,1+4*($D$5-$C$5)/($E$5-$C$5),1+4*($E$5-$D$5)/($E$5-$C$5),$C$5,$E$5)</f>
        <v/>
      </c>
      <c r="N4701" s="14">
        <f>IF($AB4701&lt;($D$6-$C$6)/($E$6-$C$6),$C$6+SQRT($AB4701*($E$6-$C$6)*($D$6-$C$6)),$E$6-SQRT((1-$AB4701)*($E$6-$C$6)*($E$6-$D$6)))</f>
        <v/>
      </c>
      <c r="O4701" s="14">
        <f>_xlfn.NORM.INV($AC4701,$C$7,$D$7)</f>
        <v/>
      </c>
      <c r="P4701" s="14">
        <f>$C$8+($D$8-$C$8)*$AD4701</f>
        <v/>
      </c>
      <c r="Q4701" s="14">
        <f>$C$9</f>
        <v/>
      </c>
      <c r="R4701" s="14">
        <f>_xlfn.LOGNORM.INV($AF4701,LN($C$10)-0.5*LN(1+($D$10/$C$10)^2),SQRT(LN(1+($D$10/$C$10)^2)))</f>
        <v/>
      </c>
      <c r="S4701" s="14">
        <f>SUM(M4701:R4701)</f>
        <v/>
      </c>
      <c r="AA4701">
        <f>RAND()</f>
        <v/>
      </c>
      <c r="AB4701">
        <f>RAND()</f>
        <v/>
      </c>
      <c r="AC4701">
        <f>RAND()</f>
        <v/>
      </c>
      <c r="AD4701">
        <f>RAND()</f>
        <v/>
      </c>
      <c r="AE4701">
        <f>RAND()</f>
        <v/>
      </c>
      <c r="AF4701">
        <f>RAND()</f>
        <v/>
      </c>
    </row>
    <row r="4702">
      <c r="M4702" s="14">
        <f>_xlfn.BETA.INV($AA4702,1+4*($D$5-$C$5)/($E$5-$C$5),1+4*($E$5-$D$5)/($E$5-$C$5),$C$5,$E$5)</f>
        <v/>
      </c>
      <c r="N4702" s="14">
        <f>IF($AB4702&lt;($D$6-$C$6)/($E$6-$C$6),$C$6+SQRT($AB4702*($E$6-$C$6)*($D$6-$C$6)),$E$6-SQRT((1-$AB4702)*($E$6-$C$6)*($E$6-$D$6)))</f>
        <v/>
      </c>
      <c r="O4702" s="14">
        <f>_xlfn.NORM.INV($AC4702,$C$7,$D$7)</f>
        <v/>
      </c>
      <c r="P4702" s="14">
        <f>$C$8+($D$8-$C$8)*$AD4702</f>
        <v/>
      </c>
      <c r="Q4702" s="14">
        <f>$C$9</f>
        <v/>
      </c>
      <c r="R4702" s="14">
        <f>_xlfn.LOGNORM.INV($AF4702,LN($C$10)-0.5*LN(1+($D$10/$C$10)^2),SQRT(LN(1+($D$10/$C$10)^2)))</f>
        <v/>
      </c>
      <c r="S4702" s="14">
        <f>SUM(M4702:R4702)</f>
        <v/>
      </c>
      <c r="AA4702">
        <f>RAND()</f>
        <v/>
      </c>
      <c r="AB4702">
        <f>RAND()</f>
        <v/>
      </c>
      <c r="AC4702">
        <f>RAND()</f>
        <v/>
      </c>
      <c r="AD4702">
        <f>RAND()</f>
        <v/>
      </c>
      <c r="AE4702">
        <f>RAND()</f>
        <v/>
      </c>
      <c r="AF4702">
        <f>RAND()</f>
        <v/>
      </c>
    </row>
    <row r="4703">
      <c r="M4703" s="14">
        <f>_xlfn.BETA.INV($AA4703,1+4*($D$5-$C$5)/($E$5-$C$5),1+4*($E$5-$D$5)/($E$5-$C$5),$C$5,$E$5)</f>
        <v/>
      </c>
      <c r="N4703" s="14">
        <f>IF($AB4703&lt;($D$6-$C$6)/($E$6-$C$6),$C$6+SQRT($AB4703*($E$6-$C$6)*($D$6-$C$6)),$E$6-SQRT((1-$AB4703)*($E$6-$C$6)*($E$6-$D$6)))</f>
        <v/>
      </c>
      <c r="O4703" s="14">
        <f>_xlfn.NORM.INV($AC4703,$C$7,$D$7)</f>
        <v/>
      </c>
      <c r="P4703" s="14">
        <f>$C$8+($D$8-$C$8)*$AD4703</f>
        <v/>
      </c>
      <c r="Q4703" s="14">
        <f>$C$9</f>
        <v/>
      </c>
      <c r="R4703" s="14">
        <f>_xlfn.LOGNORM.INV($AF4703,LN($C$10)-0.5*LN(1+($D$10/$C$10)^2),SQRT(LN(1+($D$10/$C$10)^2)))</f>
        <v/>
      </c>
      <c r="S4703" s="14">
        <f>SUM(M4703:R4703)</f>
        <v/>
      </c>
      <c r="AA4703">
        <f>RAND()</f>
        <v/>
      </c>
      <c r="AB4703">
        <f>RAND()</f>
        <v/>
      </c>
      <c r="AC4703">
        <f>RAND()</f>
        <v/>
      </c>
      <c r="AD4703">
        <f>RAND()</f>
        <v/>
      </c>
      <c r="AE4703">
        <f>RAND()</f>
        <v/>
      </c>
      <c r="AF4703">
        <f>RAND()</f>
        <v/>
      </c>
    </row>
    <row r="4704">
      <c r="M4704" s="14">
        <f>_xlfn.BETA.INV($AA4704,1+4*($D$5-$C$5)/($E$5-$C$5),1+4*($E$5-$D$5)/($E$5-$C$5),$C$5,$E$5)</f>
        <v/>
      </c>
      <c r="N4704" s="14">
        <f>IF($AB4704&lt;($D$6-$C$6)/($E$6-$C$6),$C$6+SQRT($AB4704*($E$6-$C$6)*($D$6-$C$6)),$E$6-SQRT((1-$AB4704)*($E$6-$C$6)*($E$6-$D$6)))</f>
        <v/>
      </c>
      <c r="O4704" s="14">
        <f>_xlfn.NORM.INV($AC4704,$C$7,$D$7)</f>
        <v/>
      </c>
      <c r="P4704" s="14">
        <f>$C$8+($D$8-$C$8)*$AD4704</f>
        <v/>
      </c>
      <c r="Q4704" s="14">
        <f>$C$9</f>
        <v/>
      </c>
      <c r="R4704" s="14">
        <f>_xlfn.LOGNORM.INV($AF4704,LN($C$10)-0.5*LN(1+($D$10/$C$10)^2),SQRT(LN(1+($D$10/$C$10)^2)))</f>
        <v/>
      </c>
      <c r="S4704" s="14">
        <f>SUM(M4704:R4704)</f>
        <v/>
      </c>
      <c r="AA4704">
        <f>RAND()</f>
        <v/>
      </c>
      <c r="AB4704">
        <f>RAND()</f>
        <v/>
      </c>
      <c r="AC4704">
        <f>RAND()</f>
        <v/>
      </c>
      <c r="AD4704">
        <f>RAND()</f>
        <v/>
      </c>
      <c r="AE4704">
        <f>RAND()</f>
        <v/>
      </c>
      <c r="AF4704">
        <f>RAND()</f>
        <v/>
      </c>
    </row>
    <row r="4705">
      <c r="M4705" s="14">
        <f>_xlfn.BETA.INV($AA4705,1+4*($D$5-$C$5)/($E$5-$C$5),1+4*($E$5-$D$5)/($E$5-$C$5),$C$5,$E$5)</f>
        <v/>
      </c>
      <c r="N4705" s="14">
        <f>IF($AB4705&lt;($D$6-$C$6)/($E$6-$C$6),$C$6+SQRT($AB4705*($E$6-$C$6)*($D$6-$C$6)),$E$6-SQRT((1-$AB4705)*($E$6-$C$6)*($E$6-$D$6)))</f>
        <v/>
      </c>
      <c r="O4705" s="14">
        <f>_xlfn.NORM.INV($AC4705,$C$7,$D$7)</f>
        <v/>
      </c>
      <c r="P4705" s="14">
        <f>$C$8+($D$8-$C$8)*$AD4705</f>
        <v/>
      </c>
      <c r="Q4705" s="14">
        <f>$C$9</f>
        <v/>
      </c>
      <c r="R4705" s="14">
        <f>_xlfn.LOGNORM.INV($AF4705,LN($C$10)-0.5*LN(1+($D$10/$C$10)^2),SQRT(LN(1+($D$10/$C$10)^2)))</f>
        <v/>
      </c>
      <c r="S4705" s="14">
        <f>SUM(M4705:R4705)</f>
        <v/>
      </c>
      <c r="AA4705">
        <f>RAND()</f>
        <v/>
      </c>
      <c r="AB4705">
        <f>RAND()</f>
        <v/>
      </c>
      <c r="AC4705">
        <f>RAND()</f>
        <v/>
      </c>
      <c r="AD4705">
        <f>RAND()</f>
        <v/>
      </c>
      <c r="AE4705">
        <f>RAND()</f>
        <v/>
      </c>
      <c r="AF4705">
        <f>RAND()</f>
        <v/>
      </c>
    </row>
    <row r="4706">
      <c r="M4706" s="14">
        <f>_xlfn.BETA.INV($AA4706,1+4*($D$5-$C$5)/($E$5-$C$5),1+4*($E$5-$D$5)/($E$5-$C$5),$C$5,$E$5)</f>
        <v/>
      </c>
      <c r="N4706" s="14">
        <f>IF($AB4706&lt;($D$6-$C$6)/($E$6-$C$6),$C$6+SQRT($AB4706*($E$6-$C$6)*($D$6-$C$6)),$E$6-SQRT((1-$AB4706)*($E$6-$C$6)*($E$6-$D$6)))</f>
        <v/>
      </c>
      <c r="O4706" s="14">
        <f>_xlfn.NORM.INV($AC4706,$C$7,$D$7)</f>
        <v/>
      </c>
      <c r="P4706" s="14">
        <f>$C$8+($D$8-$C$8)*$AD4706</f>
        <v/>
      </c>
      <c r="Q4706" s="14">
        <f>$C$9</f>
        <v/>
      </c>
      <c r="R4706" s="14">
        <f>_xlfn.LOGNORM.INV($AF4706,LN($C$10)-0.5*LN(1+($D$10/$C$10)^2),SQRT(LN(1+($D$10/$C$10)^2)))</f>
        <v/>
      </c>
      <c r="S4706" s="14">
        <f>SUM(M4706:R4706)</f>
        <v/>
      </c>
      <c r="AA4706">
        <f>RAND()</f>
        <v/>
      </c>
      <c r="AB4706">
        <f>RAND()</f>
        <v/>
      </c>
      <c r="AC4706">
        <f>RAND()</f>
        <v/>
      </c>
      <c r="AD4706">
        <f>RAND()</f>
        <v/>
      </c>
      <c r="AE4706">
        <f>RAND()</f>
        <v/>
      </c>
      <c r="AF4706">
        <f>RAND()</f>
        <v/>
      </c>
    </row>
    <row r="4707">
      <c r="M4707" s="14">
        <f>_xlfn.BETA.INV($AA4707,1+4*($D$5-$C$5)/($E$5-$C$5),1+4*($E$5-$D$5)/($E$5-$C$5),$C$5,$E$5)</f>
        <v/>
      </c>
      <c r="N4707" s="14">
        <f>IF($AB4707&lt;($D$6-$C$6)/($E$6-$C$6),$C$6+SQRT($AB4707*($E$6-$C$6)*($D$6-$C$6)),$E$6-SQRT((1-$AB4707)*($E$6-$C$6)*($E$6-$D$6)))</f>
        <v/>
      </c>
      <c r="O4707" s="14">
        <f>_xlfn.NORM.INV($AC4707,$C$7,$D$7)</f>
        <v/>
      </c>
      <c r="P4707" s="14">
        <f>$C$8+($D$8-$C$8)*$AD4707</f>
        <v/>
      </c>
      <c r="Q4707" s="14">
        <f>$C$9</f>
        <v/>
      </c>
      <c r="R4707" s="14">
        <f>_xlfn.LOGNORM.INV($AF4707,LN($C$10)-0.5*LN(1+($D$10/$C$10)^2),SQRT(LN(1+($D$10/$C$10)^2)))</f>
        <v/>
      </c>
      <c r="S4707" s="14">
        <f>SUM(M4707:R4707)</f>
        <v/>
      </c>
      <c r="AA4707">
        <f>RAND()</f>
        <v/>
      </c>
      <c r="AB4707">
        <f>RAND()</f>
        <v/>
      </c>
      <c r="AC4707">
        <f>RAND()</f>
        <v/>
      </c>
      <c r="AD4707">
        <f>RAND()</f>
        <v/>
      </c>
      <c r="AE4707">
        <f>RAND()</f>
        <v/>
      </c>
      <c r="AF4707">
        <f>RAND()</f>
        <v/>
      </c>
    </row>
    <row r="4708">
      <c r="M4708" s="14">
        <f>_xlfn.BETA.INV($AA4708,1+4*($D$5-$C$5)/($E$5-$C$5),1+4*($E$5-$D$5)/($E$5-$C$5),$C$5,$E$5)</f>
        <v/>
      </c>
      <c r="N4708" s="14">
        <f>IF($AB4708&lt;($D$6-$C$6)/($E$6-$C$6),$C$6+SQRT($AB4708*($E$6-$C$6)*($D$6-$C$6)),$E$6-SQRT((1-$AB4708)*($E$6-$C$6)*($E$6-$D$6)))</f>
        <v/>
      </c>
      <c r="O4708" s="14">
        <f>_xlfn.NORM.INV($AC4708,$C$7,$D$7)</f>
        <v/>
      </c>
      <c r="P4708" s="14">
        <f>$C$8+($D$8-$C$8)*$AD4708</f>
        <v/>
      </c>
      <c r="Q4708" s="14">
        <f>$C$9</f>
        <v/>
      </c>
      <c r="R4708" s="14">
        <f>_xlfn.LOGNORM.INV($AF4708,LN($C$10)-0.5*LN(1+($D$10/$C$10)^2),SQRT(LN(1+($D$10/$C$10)^2)))</f>
        <v/>
      </c>
      <c r="S4708" s="14">
        <f>SUM(M4708:R4708)</f>
        <v/>
      </c>
      <c r="AA4708">
        <f>RAND()</f>
        <v/>
      </c>
      <c r="AB4708">
        <f>RAND()</f>
        <v/>
      </c>
      <c r="AC4708">
        <f>RAND()</f>
        <v/>
      </c>
      <c r="AD4708">
        <f>RAND()</f>
        <v/>
      </c>
      <c r="AE4708">
        <f>RAND()</f>
        <v/>
      </c>
      <c r="AF4708">
        <f>RAND()</f>
        <v/>
      </c>
    </row>
    <row r="4709">
      <c r="M4709" s="14">
        <f>_xlfn.BETA.INV($AA4709,1+4*($D$5-$C$5)/($E$5-$C$5),1+4*($E$5-$D$5)/($E$5-$C$5),$C$5,$E$5)</f>
        <v/>
      </c>
      <c r="N4709" s="14">
        <f>IF($AB4709&lt;($D$6-$C$6)/($E$6-$C$6),$C$6+SQRT($AB4709*($E$6-$C$6)*($D$6-$C$6)),$E$6-SQRT((1-$AB4709)*($E$6-$C$6)*($E$6-$D$6)))</f>
        <v/>
      </c>
      <c r="O4709" s="14">
        <f>_xlfn.NORM.INV($AC4709,$C$7,$D$7)</f>
        <v/>
      </c>
      <c r="P4709" s="14">
        <f>$C$8+($D$8-$C$8)*$AD4709</f>
        <v/>
      </c>
      <c r="Q4709" s="14">
        <f>$C$9</f>
        <v/>
      </c>
      <c r="R4709" s="14">
        <f>_xlfn.LOGNORM.INV($AF4709,LN($C$10)-0.5*LN(1+($D$10/$C$10)^2),SQRT(LN(1+($D$10/$C$10)^2)))</f>
        <v/>
      </c>
      <c r="S4709" s="14">
        <f>SUM(M4709:R4709)</f>
        <v/>
      </c>
      <c r="AA4709">
        <f>RAND()</f>
        <v/>
      </c>
      <c r="AB4709">
        <f>RAND()</f>
        <v/>
      </c>
      <c r="AC4709">
        <f>RAND()</f>
        <v/>
      </c>
      <c r="AD4709">
        <f>RAND()</f>
        <v/>
      </c>
      <c r="AE4709">
        <f>RAND()</f>
        <v/>
      </c>
      <c r="AF4709">
        <f>RAND()</f>
        <v/>
      </c>
    </row>
    <row r="4710">
      <c r="M4710" s="14">
        <f>_xlfn.BETA.INV($AA4710,1+4*($D$5-$C$5)/($E$5-$C$5),1+4*($E$5-$D$5)/($E$5-$C$5),$C$5,$E$5)</f>
        <v/>
      </c>
      <c r="N4710" s="14">
        <f>IF($AB4710&lt;($D$6-$C$6)/($E$6-$C$6),$C$6+SQRT($AB4710*($E$6-$C$6)*($D$6-$C$6)),$E$6-SQRT((1-$AB4710)*($E$6-$C$6)*($E$6-$D$6)))</f>
        <v/>
      </c>
      <c r="O4710" s="14">
        <f>_xlfn.NORM.INV($AC4710,$C$7,$D$7)</f>
        <v/>
      </c>
      <c r="P4710" s="14">
        <f>$C$8+($D$8-$C$8)*$AD4710</f>
        <v/>
      </c>
      <c r="Q4710" s="14">
        <f>$C$9</f>
        <v/>
      </c>
      <c r="R4710" s="14">
        <f>_xlfn.LOGNORM.INV($AF4710,LN($C$10)-0.5*LN(1+($D$10/$C$10)^2),SQRT(LN(1+($D$10/$C$10)^2)))</f>
        <v/>
      </c>
      <c r="S4710" s="14">
        <f>SUM(M4710:R4710)</f>
        <v/>
      </c>
      <c r="AA4710">
        <f>RAND()</f>
        <v/>
      </c>
      <c r="AB4710">
        <f>RAND()</f>
        <v/>
      </c>
      <c r="AC4710">
        <f>RAND()</f>
        <v/>
      </c>
      <c r="AD4710">
        <f>RAND()</f>
        <v/>
      </c>
      <c r="AE4710">
        <f>RAND()</f>
        <v/>
      </c>
      <c r="AF4710">
        <f>RAND()</f>
        <v/>
      </c>
    </row>
    <row r="4711">
      <c r="M4711" s="14">
        <f>_xlfn.BETA.INV($AA4711,1+4*($D$5-$C$5)/($E$5-$C$5),1+4*($E$5-$D$5)/($E$5-$C$5),$C$5,$E$5)</f>
        <v/>
      </c>
      <c r="N4711" s="14">
        <f>IF($AB4711&lt;($D$6-$C$6)/($E$6-$C$6),$C$6+SQRT($AB4711*($E$6-$C$6)*($D$6-$C$6)),$E$6-SQRT((1-$AB4711)*($E$6-$C$6)*($E$6-$D$6)))</f>
        <v/>
      </c>
      <c r="O4711" s="14">
        <f>_xlfn.NORM.INV($AC4711,$C$7,$D$7)</f>
        <v/>
      </c>
      <c r="P4711" s="14">
        <f>$C$8+($D$8-$C$8)*$AD4711</f>
        <v/>
      </c>
      <c r="Q4711" s="14">
        <f>$C$9</f>
        <v/>
      </c>
      <c r="R4711" s="14">
        <f>_xlfn.LOGNORM.INV($AF4711,LN($C$10)-0.5*LN(1+($D$10/$C$10)^2),SQRT(LN(1+($D$10/$C$10)^2)))</f>
        <v/>
      </c>
      <c r="S4711" s="14">
        <f>SUM(M4711:R4711)</f>
        <v/>
      </c>
      <c r="AA4711">
        <f>RAND()</f>
        <v/>
      </c>
      <c r="AB4711">
        <f>RAND()</f>
        <v/>
      </c>
      <c r="AC4711">
        <f>RAND()</f>
        <v/>
      </c>
      <c r="AD4711">
        <f>RAND()</f>
        <v/>
      </c>
      <c r="AE4711">
        <f>RAND()</f>
        <v/>
      </c>
      <c r="AF4711">
        <f>RAND()</f>
        <v/>
      </c>
    </row>
    <row r="4712">
      <c r="M4712" s="14">
        <f>_xlfn.BETA.INV($AA4712,1+4*($D$5-$C$5)/($E$5-$C$5),1+4*($E$5-$D$5)/($E$5-$C$5),$C$5,$E$5)</f>
        <v/>
      </c>
      <c r="N4712" s="14">
        <f>IF($AB4712&lt;($D$6-$C$6)/($E$6-$C$6),$C$6+SQRT($AB4712*($E$6-$C$6)*($D$6-$C$6)),$E$6-SQRT((1-$AB4712)*($E$6-$C$6)*($E$6-$D$6)))</f>
        <v/>
      </c>
      <c r="O4712" s="14">
        <f>_xlfn.NORM.INV($AC4712,$C$7,$D$7)</f>
        <v/>
      </c>
      <c r="P4712" s="14">
        <f>$C$8+($D$8-$C$8)*$AD4712</f>
        <v/>
      </c>
      <c r="Q4712" s="14">
        <f>$C$9</f>
        <v/>
      </c>
      <c r="R4712" s="14">
        <f>_xlfn.LOGNORM.INV($AF4712,LN($C$10)-0.5*LN(1+($D$10/$C$10)^2),SQRT(LN(1+($D$10/$C$10)^2)))</f>
        <v/>
      </c>
      <c r="S4712" s="14">
        <f>SUM(M4712:R4712)</f>
        <v/>
      </c>
      <c r="AA4712">
        <f>RAND()</f>
        <v/>
      </c>
      <c r="AB4712">
        <f>RAND()</f>
        <v/>
      </c>
      <c r="AC4712">
        <f>RAND()</f>
        <v/>
      </c>
      <c r="AD4712">
        <f>RAND()</f>
        <v/>
      </c>
      <c r="AE4712">
        <f>RAND()</f>
        <v/>
      </c>
      <c r="AF4712">
        <f>RAND()</f>
        <v/>
      </c>
    </row>
    <row r="4713">
      <c r="M4713" s="14">
        <f>_xlfn.BETA.INV($AA4713,1+4*($D$5-$C$5)/($E$5-$C$5),1+4*($E$5-$D$5)/($E$5-$C$5),$C$5,$E$5)</f>
        <v/>
      </c>
      <c r="N4713" s="14">
        <f>IF($AB4713&lt;($D$6-$C$6)/($E$6-$C$6),$C$6+SQRT($AB4713*($E$6-$C$6)*($D$6-$C$6)),$E$6-SQRT((1-$AB4713)*($E$6-$C$6)*($E$6-$D$6)))</f>
        <v/>
      </c>
      <c r="O4713" s="14">
        <f>_xlfn.NORM.INV($AC4713,$C$7,$D$7)</f>
        <v/>
      </c>
      <c r="P4713" s="14">
        <f>$C$8+($D$8-$C$8)*$AD4713</f>
        <v/>
      </c>
      <c r="Q4713" s="14">
        <f>$C$9</f>
        <v/>
      </c>
      <c r="R4713" s="14">
        <f>_xlfn.LOGNORM.INV($AF4713,LN($C$10)-0.5*LN(1+($D$10/$C$10)^2),SQRT(LN(1+($D$10/$C$10)^2)))</f>
        <v/>
      </c>
      <c r="S4713" s="14">
        <f>SUM(M4713:R4713)</f>
        <v/>
      </c>
      <c r="AA4713">
        <f>RAND()</f>
        <v/>
      </c>
      <c r="AB4713">
        <f>RAND()</f>
        <v/>
      </c>
      <c r="AC4713">
        <f>RAND()</f>
        <v/>
      </c>
      <c r="AD4713">
        <f>RAND()</f>
        <v/>
      </c>
      <c r="AE4713">
        <f>RAND()</f>
        <v/>
      </c>
      <c r="AF4713">
        <f>RAND()</f>
        <v/>
      </c>
    </row>
    <row r="4714">
      <c r="M4714" s="14">
        <f>_xlfn.BETA.INV($AA4714,1+4*($D$5-$C$5)/($E$5-$C$5),1+4*($E$5-$D$5)/($E$5-$C$5),$C$5,$E$5)</f>
        <v/>
      </c>
      <c r="N4714" s="14">
        <f>IF($AB4714&lt;($D$6-$C$6)/($E$6-$C$6),$C$6+SQRT($AB4714*($E$6-$C$6)*($D$6-$C$6)),$E$6-SQRT((1-$AB4714)*($E$6-$C$6)*($E$6-$D$6)))</f>
        <v/>
      </c>
      <c r="O4714" s="14">
        <f>_xlfn.NORM.INV($AC4714,$C$7,$D$7)</f>
        <v/>
      </c>
      <c r="P4714" s="14">
        <f>$C$8+($D$8-$C$8)*$AD4714</f>
        <v/>
      </c>
      <c r="Q4714" s="14">
        <f>$C$9</f>
        <v/>
      </c>
      <c r="R4714" s="14">
        <f>_xlfn.LOGNORM.INV($AF4714,LN($C$10)-0.5*LN(1+($D$10/$C$10)^2),SQRT(LN(1+($D$10/$C$10)^2)))</f>
        <v/>
      </c>
      <c r="S4714" s="14">
        <f>SUM(M4714:R4714)</f>
        <v/>
      </c>
      <c r="AA4714">
        <f>RAND()</f>
        <v/>
      </c>
      <c r="AB4714">
        <f>RAND()</f>
        <v/>
      </c>
      <c r="AC4714">
        <f>RAND()</f>
        <v/>
      </c>
      <c r="AD4714">
        <f>RAND()</f>
        <v/>
      </c>
      <c r="AE4714">
        <f>RAND()</f>
        <v/>
      </c>
      <c r="AF4714">
        <f>RAND()</f>
        <v/>
      </c>
    </row>
    <row r="4715">
      <c r="M4715" s="14">
        <f>_xlfn.BETA.INV($AA4715,1+4*($D$5-$C$5)/($E$5-$C$5),1+4*($E$5-$D$5)/($E$5-$C$5),$C$5,$E$5)</f>
        <v/>
      </c>
      <c r="N4715" s="14">
        <f>IF($AB4715&lt;($D$6-$C$6)/($E$6-$C$6),$C$6+SQRT($AB4715*($E$6-$C$6)*($D$6-$C$6)),$E$6-SQRT((1-$AB4715)*($E$6-$C$6)*($E$6-$D$6)))</f>
        <v/>
      </c>
      <c r="O4715" s="14">
        <f>_xlfn.NORM.INV($AC4715,$C$7,$D$7)</f>
        <v/>
      </c>
      <c r="P4715" s="14">
        <f>$C$8+($D$8-$C$8)*$AD4715</f>
        <v/>
      </c>
      <c r="Q4715" s="14">
        <f>$C$9</f>
        <v/>
      </c>
      <c r="R4715" s="14">
        <f>_xlfn.LOGNORM.INV($AF4715,LN($C$10)-0.5*LN(1+($D$10/$C$10)^2),SQRT(LN(1+($D$10/$C$10)^2)))</f>
        <v/>
      </c>
      <c r="S4715" s="14">
        <f>SUM(M4715:R4715)</f>
        <v/>
      </c>
      <c r="AA4715">
        <f>RAND()</f>
        <v/>
      </c>
      <c r="AB4715">
        <f>RAND()</f>
        <v/>
      </c>
      <c r="AC4715">
        <f>RAND()</f>
        <v/>
      </c>
      <c r="AD4715">
        <f>RAND()</f>
        <v/>
      </c>
      <c r="AE4715">
        <f>RAND()</f>
        <v/>
      </c>
      <c r="AF4715">
        <f>RAND()</f>
        <v/>
      </c>
    </row>
    <row r="4716">
      <c r="M4716" s="14">
        <f>_xlfn.BETA.INV($AA4716,1+4*($D$5-$C$5)/($E$5-$C$5),1+4*($E$5-$D$5)/($E$5-$C$5),$C$5,$E$5)</f>
        <v/>
      </c>
      <c r="N4716" s="14">
        <f>IF($AB4716&lt;($D$6-$C$6)/($E$6-$C$6),$C$6+SQRT($AB4716*($E$6-$C$6)*($D$6-$C$6)),$E$6-SQRT((1-$AB4716)*($E$6-$C$6)*($E$6-$D$6)))</f>
        <v/>
      </c>
      <c r="O4716" s="14">
        <f>_xlfn.NORM.INV($AC4716,$C$7,$D$7)</f>
        <v/>
      </c>
      <c r="P4716" s="14">
        <f>$C$8+($D$8-$C$8)*$AD4716</f>
        <v/>
      </c>
      <c r="Q4716" s="14">
        <f>$C$9</f>
        <v/>
      </c>
      <c r="R4716" s="14">
        <f>_xlfn.LOGNORM.INV($AF4716,LN($C$10)-0.5*LN(1+($D$10/$C$10)^2),SQRT(LN(1+($D$10/$C$10)^2)))</f>
        <v/>
      </c>
      <c r="S4716" s="14">
        <f>SUM(M4716:R4716)</f>
        <v/>
      </c>
      <c r="AA4716">
        <f>RAND()</f>
        <v/>
      </c>
      <c r="AB4716">
        <f>RAND()</f>
        <v/>
      </c>
      <c r="AC4716">
        <f>RAND()</f>
        <v/>
      </c>
      <c r="AD4716">
        <f>RAND()</f>
        <v/>
      </c>
      <c r="AE4716">
        <f>RAND()</f>
        <v/>
      </c>
      <c r="AF4716">
        <f>RAND()</f>
        <v/>
      </c>
    </row>
    <row r="4717">
      <c r="M4717" s="14">
        <f>_xlfn.BETA.INV($AA4717,1+4*($D$5-$C$5)/($E$5-$C$5),1+4*($E$5-$D$5)/($E$5-$C$5),$C$5,$E$5)</f>
        <v/>
      </c>
      <c r="N4717" s="14">
        <f>IF($AB4717&lt;($D$6-$C$6)/($E$6-$C$6),$C$6+SQRT($AB4717*($E$6-$C$6)*($D$6-$C$6)),$E$6-SQRT((1-$AB4717)*($E$6-$C$6)*($E$6-$D$6)))</f>
        <v/>
      </c>
      <c r="O4717" s="14">
        <f>_xlfn.NORM.INV($AC4717,$C$7,$D$7)</f>
        <v/>
      </c>
      <c r="P4717" s="14">
        <f>$C$8+($D$8-$C$8)*$AD4717</f>
        <v/>
      </c>
      <c r="Q4717" s="14">
        <f>$C$9</f>
        <v/>
      </c>
      <c r="R4717" s="14">
        <f>_xlfn.LOGNORM.INV($AF4717,LN($C$10)-0.5*LN(1+($D$10/$C$10)^2),SQRT(LN(1+($D$10/$C$10)^2)))</f>
        <v/>
      </c>
      <c r="S4717" s="14">
        <f>SUM(M4717:R4717)</f>
        <v/>
      </c>
      <c r="AA4717">
        <f>RAND()</f>
        <v/>
      </c>
      <c r="AB4717">
        <f>RAND()</f>
        <v/>
      </c>
      <c r="AC4717">
        <f>RAND()</f>
        <v/>
      </c>
      <c r="AD4717">
        <f>RAND()</f>
        <v/>
      </c>
      <c r="AE4717">
        <f>RAND()</f>
        <v/>
      </c>
      <c r="AF4717">
        <f>RAND()</f>
        <v/>
      </c>
    </row>
    <row r="4718">
      <c r="M4718" s="14">
        <f>_xlfn.BETA.INV($AA4718,1+4*($D$5-$C$5)/($E$5-$C$5),1+4*($E$5-$D$5)/($E$5-$C$5),$C$5,$E$5)</f>
        <v/>
      </c>
      <c r="N4718" s="14">
        <f>IF($AB4718&lt;($D$6-$C$6)/($E$6-$C$6),$C$6+SQRT($AB4718*($E$6-$C$6)*($D$6-$C$6)),$E$6-SQRT((1-$AB4718)*($E$6-$C$6)*($E$6-$D$6)))</f>
        <v/>
      </c>
      <c r="O4718" s="14">
        <f>_xlfn.NORM.INV($AC4718,$C$7,$D$7)</f>
        <v/>
      </c>
      <c r="P4718" s="14">
        <f>$C$8+($D$8-$C$8)*$AD4718</f>
        <v/>
      </c>
      <c r="Q4718" s="14">
        <f>$C$9</f>
        <v/>
      </c>
      <c r="R4718" s="14">
        <f>_xlfn.LOGNORM.INV($AF4718,LN($C$10)-0.5*LN(1+($D$10/$C$10)^2),SQRT(LN(1+($D$10/$C$10)^2)))</f>
        <v/>
      </c>
      <c r="S4718" s="14">
        <f>SUM(M4718:R4718)</f>
        <v/>
      </c>
      <c r="AA4718">
        <f>RAND()</f>
        <v/>
      </c>
      <c r="AB4718">
        <f>RAND()</f>
        <v/>
      </c>
      <c r="AC4718">
        <f>RAND()</f>
        <v/>
      </c>
      <c r="AD4718">
        <f>RAND()</f>
        <v/>
      </c>
      <c r="AE4718">
        <f>RAND()</f>
        <v/>
      </c>
      <c r="AF4718">
        <f>RAND()</f>
        <v/>
      </c>
    </row>
    <row r="4719">
      <c r="M4719" s="14">
        <f>_xlfn.BETA.INV($AA4719,1+4*($D$5-$C$5)/($E$5-$C$5),1+4*($E$5-$D$5)/($E$5-$C$5),$C$5,$E$5)</f>
        <v/>
      </c>
      <c r="N4719" s="14">
        <f>IF($AB4719&lt;($D$6-$C$6)/($E$6-$C$6),$C$6+SQRT($AB4719*($E$6-$C$6)*($D$6-$C$6)),$E$6-SQRT((1-$AB4719)*($E$6-$C$6)*($E$6-$D$6)))</f>
        <v/>
      </c>
      <c r="O4719" s="14">
        <f>_xlfn.NORM.INV($AC4719,$C$7,$D$7)</f>
        <v/>
      </c>
      <c r="P4719" s="14">
        <f>$C$8+($D$8-$C$8)*$AD4719</f>
        <v/>
      </c>
      <c r="Q4719" s="14">
        <f>$C$9</f>
        <v/>
      </c>
      <c r="R4719" s="14">
        <f>_xlfn.LOGNORM.INV($AF4719,LN($C$10)-0.5*LN(1+($D$10/$C$10)^2),SQRT(LN(1+($D$10/$C$10)^2)))</f>
        <v/>
      </c>
      <c r="S4719" s="14">
        <f>SUM(M4719:R4719)</f>
        <v/>
      </c>
      <c r="AA4719">
        <f>RAND()</f>
        <v/>
      </c>
      <c r="AB4719">
        <f>RAND()</f>
        <v/>
      </c>
      <c r="AC4719">
        <f>RAND()</f>
        <v/>
      </c>
      <c r="AD4719">
        <f>RAND()</f>
        <v/>
      </c>
      <c r="AE4719">
        <f>RAND()</f>
        <v/>
      </c>
      <c r="AF4719">
        <f>RAND()</f>
        <v/>
      </c>
    </row>
    <row r="4720">
      <c r="M4720" s="14">
        <f>_xlfn.BETA.INV($AA4720,1+4*($D$5-$C$5)/($E$5-$C$5),1+4*($E$5-$D$5)/($E$5-$C$5),$C$5,$E$5)</f>
        <v/>
      </c>
      <c r="N4720" s="14">
        <f>IF($AB4720&lt;($D$6-$C$6)/($E$6-$C$6),$C$6+SQRT($AB4720*($E$6-$C$6)*($D$6-$C$6)),$E$6-SQRT((1-$AB4720)*($E$6-$C$6)*($E$6-$D$6)))</f>
        <v/>
      </c>
      <c r="O4720" s="14">
        <f>_xlfn.NORM.INV($AC4720,$C$7,$D$7)</f>
        <v/>
      </c>
      <c r="P4720" s="14">
        <f>$C$8+($D$8-$C$8)*$AD4720</f>
        <v/>
      </c>
      <c r="Q4720" s="14">
        <f>$C$9</f>
        <v/>
      </c>
      <c r="R4720" s="14">
        <f>_xlfn.LOGNORM.INV($AF4720,LN($C$10)-0.5*LN(1+($D$10/$C$10)^2),SQRT(LN(1+($D$10/$C$10)^2)))</f>
        <v/>
      </c>
      <c r="S4720" s="14">
        <f>SUM(M4720:R4720)</f>
        <v/>
      </c>
      <c r="AA4720">
        <f>RAND()</f>
        <v/>
      </c>
      <c r="AB4720">
        <f>RAND()</f>
        <v/>
      </c>
      <c r="AC4720">
        <f>RAND()</f>
        <v/>
      </c>
      <c r="AD4720">
        <f>RAND()</f>
        <v/>
      </c>
      <c r="AE4720">
        <f>RAND()</f>
        <v/>
      </c>
      <c r="AF4720">
        <f>RAND()</f>
        <v/>
      </c>
    </row>
    <row r="4721">
      <c r="M4721" s="14">
        <f>_xlfn.BETA.INV($AA4721,1+4*($D$5-$C$5)/($E$5-$C$5),1+4*($E$5-$D$5)/($E$5-$C$5),$C$5,$E$5)</f>
        <v/>
      </c>
      <c r="N4721" s="14">
        <f>IF($AB4721&lt;($D$6-$C$6)/($E$6-$C$6),$C$6+SQRT($AB4721*($E$6-$C$6)*($D$6-$C$6)),$E$6-SQRT((1-$AB4721)*($E$6-$C$6)*($E$6-$D$6)))</f>
        <v/>
      </c>
      <c r="O4721" s="14">
        <f>_xlfn.NORM.INV($AC4721,$C$7,$D$7)</f>
        <v/>
      </c>
      <c r="P4721" s="14">
        <f>$C$8+($D$8-$C$8)*$AD4721</f>
        <v/>
      </c>
      <c r="Q4721" s="14">
        <f>$C$9</f>
        <v/>
      </c>
      <c r="R4721" s="14">
        <f>_xlfn.LOGNORM.INV($AF4721,LN($C$10)-0.5*LN(1+($D$10/$C$10)^2),SQRT(LN(1+($D$10/$C$10)^2)))</f>
        <v/>
      </c>
      <c r="S4721" s="14">
        <f>SUM(M4721:R4721)</f>
        <v/>
      </c>
      <c r="AA4721">
        <f>RAND()</f>
        <v/>
      </c>
      <c r="AB4721">
        <f>RAND()</f>
        <v/>
      </c>
      <c r="AC4721">
        <f>RAND()</f>
        <v/>
      </c>
      <c r="AD4721">
        <f>RAND()</f>
        <v/>
      </c>
      <c r="AE4721">
        <f>RAND()</f>
        <v/>
      </c>
      <c r="AF4721">
        <f>RAND()</f>
        <v/>
      </c>
    </row>
    <row r="4722">
      <c r="M4722" s="14">
        <f>_xlfn.BETA.INV($AA4722,1+4*($D$5-$C$5)/($E$5-$C$5),1+4*($E$5-$D$5)/($E$5-$C$5),$C$5,$E$5)</f>
        <v/>
      </c>
      <c r="N4722" s="14">
        <f>IF($AB4722&lt;($D$6-$C$6)/($E$6-$C$6),$C$6+SQRT($AB4722*($E$6-$C$6)*($D$6-$C$6)),$E$6-SQRT((1-$AB4722)*($E$6-$C$6)*($E$6-$D$6)))</f>
        <v/>
      </c>
      <c r="O4722" s="14">
        <f>_xlfn.NORM.INV($AC4722,$C$7,$D$7)</f>
        <v/>
      </c>
      <c r="P4722" s="14">
        <f>$C$8+($D$8-$C$8)*$AD4722</f>
        <v/>
      </c>
      <c r="Q4722" s="14">
        <f>$C$9</f>
        <v/>
      </c>
      <c r="R4722" s="14">
        <f>_xlfn.LOGNORM.INV($AF4722,LN($C$10)-0.5*LN(1+($D$10/$C$10)^2),SQRT(LN(1+($D$10/$C$10)^2)))</f>
        <v/>
      </c>
      <c r="S4722" s="14">
        <f>SUM(M4722:R4722)</f>
        <v/>
      </c>
      <c r="AA4722">
        <f>RAND()</f>
        <v/>
      </c>
      <c r="AB4722">
        <f>RAND()</f>
        <v/>
      </c>
      <c r="AC4722">
        <f>RAND()</f>
        <v/>
      </c>
      <c r="AD4722">
        <f>RAND()</f>
        <v/>
      </c>
      <c r="AE4722">
        <f>RAND()</f>
        <v/>
      </c>
      <c r="AF4722">
        <f>RAND()</f>
        <v/>
      </c>
    </row>
    <row r="4723">
      <c r="M4723" s="14">
        <f>_xlfn.BETA.INV($AA4723,1+4*($D$5-$C$5)/($E$5-$C$5),1+4*($E$5-$D$5)/($E$5-$C$5),$C$5,$E$5)</f>
        <v/>
      </c>
      <c r="N4723" s="14">
        <f>IF($AB4723&lt;($D$6-$C$6)/($E$6-$C$6),$C$6+SQRT($AB4723*($E$6-$C$6)*($D$6-$C$6)),$E$6-SQRT((1-$AB4723)*($E$6-$C$6)*($E$6-$D$6)))</f>
        <v/>
      </c>
      <c r="O4723" s="14">
        <f>_xlfn.NORM.INV($AC4723,$C$7,$D$7)</f>
        <v/>
      </c>
      <c r="P4723" s="14">
        <f>$C$8+($D$8-$C$8)*$AD4723</f>
        <v/>
      </c>
      <c r="Q4723" s="14">
        <f>$C$9</f>
        <v/>
      </c>
      <c r="R4723" s="14">
        <f>_xlfn.LOGNORM.INV($AF4723,LN($C$10)-0.5*LN(1+($D$10/$C$10)^2),SQRT(LN(1+($D$10/$C$10)^2)))</f>
        <v/>
      </c>
      <c r="S4723" s="14">
        <f>SUM(M4723:R4723)</f>
        <v/>
      </c>
      <c r="AA4723">
        <f>RAND()</f>
        <v/>
      </c>
      <c r="AB4723">
        <f>RAND()</f>
        <v/>
      </c>
      <c r="AC4723">
        <f>RAND()</f>
        <v/>
      </c>
      <c r="AD4723">
        <f>RAND()</f>
        <v/>
      </c>
      <c r="AE4723">
        <f>RAND()</f>
        <v/>
      </c>
      <c r="AF4723">
        <f>RAND()</f>
        <v/>
      </c>
    </row>
    <row r="4724">
      <c r="M4724" s="14">
        <f>_xlfn.BETA.INV($AA4724,1+4*($D$5-$C$5)/($E$5-$C$5),1+4*($E$5-$D$5)/($E$5-$C$5),$C$5,$E$5)</f>
        <v/>
      </c>
      <c r="N4724" s="14">
        <f>IF($AB4724&lt;($D$6-$C$6)/($E$6-$C$6),$C$6+SQRT($AB4724*($E$6-$C$6)*($D$6-$C$6)),$E$6-SQRT((1-$AB4724)*($E$6-$C$6)*($E$6-$D$6)))</f>
        <v/>
      </c>
      <c r="O4724" s="14">
        <f>_xlfn.NORM.INV($AC4724,$C$7,$D$7)</f>
        <v/>
      </c>
      <c r="P4724" s="14">
        <f>$C$8+($D$8-$C$8)*$AD4724</f>
        <v/>
      </c>
      <c r="Q4724" s="14">
        <f>$C$9</f>
        <v/>
      </c>
      <c r="R4724" s="14">
        <f>_xlfn.LOGNORM.INV($AF4724,LN($C$10)-0.5*LN(1+($D$10/$C$10)^2),SQRT(LN(1+($D$10/$C$10)^2)))</f>
        <v/>
      </c>
      <c r="S4724" s="14">
        <f>SUM(M4724:R4724)</f>
        <v/>
      </c>
      <c r="AA4724">
        <f>RAND()</f>
        <v/>
      </c>
      <c r="AB4724">
        <f>RAND()</f>
        <v/>
      </c>
      <c r="AC4724">
        <f>RAND()</f>
        <v/>
      </c>
      <c r="AD4724">
        <f>RAND()</f>
        <v/>
      </c>
      <c r="AE4724">
        <f>RAND()</f>
        <v/>
      </c>
      <c r="AF4724">
        <f>RAND()</f>
        <v/>
      </c>
    </row>
    <row r="4725">
      <c r="M4725" s="14">
        <f>_xlfn.BETA.INV($AA4725,1+4*($D$5-$C$5)/($E$5-$C$5),1+4*($E$5-$D$5)/($E$5-$C$5),$C$5,$E$5)</f>
        <v/>
      </c>
      <c r="N4725" s="14">
        <f>IF($AB4725&lt;($D$6-$C$6)/($E$6-$C$6),$C$6+SQRT($AB4725*($E$6-$C$6)*($D$6-$C$6)),$E$6-SQRT((1-$AB4725)*($E$6-$C$6)*($E$6-$D$6)))</f>
        <v/>
      </c>
      <c r="O4725" s="14">
        <f>_xlfn.NORM.INV($AC4725,$C$7,$D$7)</f>
        <v/>
      </c>
      <c r="P4725" s="14">
        <f>$C$8+($D$8-$C$8)*$AD4725</f>
        <v/>
      </c>
      <c r="Q4725" s="14">
        <f>$C$9</f>
        <v/>
      </c>
      <c r="R4725" s="14">
        <f>_xlfn.LOGNORM.INV($AF4725,LN($C$10)-0.5*LN(1+($D$10/$C$10)^2),SQRT(LN(1+($D$10/$C$10)^2)))</f>
        <v/>
      </c>
      <c r="S4725" s="14">
        <f>SUM(M4725:R4725)</f>
        <v/>
      </c>
      <c r="AA4725">
        <f>RAND()</f>
        <v/>
      </c>
      <c r="AB4725">
        <f>RAND()</f>
        <v/>
      </c>
      <c r="AC4725">
        <f>RAND()</f>
        <v/>
      </c>
      <c r="AD4725">
        <f>RAND()</f>
        <v/>
      </c>
      <c r="AE4725">
        <f>RAND()</f>
        <v/>
      </c>
      <c r="AF4725">
        <f>RAND()</f>
        <v/>
      </c>
    </row>
    <row r="4726">
      <c r="M4726" s="14">
        <f>_xlfn.BETA.INV($AA4726,1+4*($D$5-$C$5)/($E$5-$C$5),1+4*($E$5-$D$5)/($E$5-$C$5),$C$5,$E$5)</f>
        <v/>
      </c>
      <c r="N4726" s="14">
        <f>IF($AB4726&lt;($D$6-$C$6)/($E$6-$C$6),$C$6+SQRT($AB4726*($E$6-$C$6)*($D$6-$C$6)),$E$6-SQRT((1-$AB4726)*($E$6-$C$6)*($E$6-$D$6)))</f>
        <v/>
      </c>
      <c r="O4726" s="14">
        <f>_xlfn.NORM.INV($AC4726,$C$7,$D$7)</f>
        <v/>
      </c>
      <c r="P4726" s="14">
        <f>$C$8+($D$8-$C$8)*$AD4726</f>
        <v/>
      </c>
      <c r="Q4726" s="14">
        <f>$C$9</f>
        <v/>
      </c>
      <c r="R4726" s="14">
        <f>_xlfn.LOGNORM.INV($AF4726,LN($C$10)-0.5*LN(1+($D$10/$C$10)^2),SQRT(LN(1+($D$10/$C$10)^2)))</f>
        <v/>
      </c>
      <c r="S4726" s="14">
        <f>SUM(M4726:R4726)</f>
        <v/>
      </c>
      <c r="AA4726">
        <f>RAND()</f>
        <v/>
      </c>
      <c r="AB4726">
        <f>RAND()</f>
        <v/>
      </c>
      <c r="AC4726">
        <f>RAND()</f>
        <v/>
      </c>
      <c r="AD4726">
        <f>RAND()</f>
        <v/>
      </c>
      <c r="AE4726">
        <f>RAND()</f>
        <v/>
      </c>
      <c r="AF4726">
        <f>RAND()</f>
        <v/>
      </c>
    </row>
    <row r="4727">
      <c r="M4727" s="14">
        <f>_xlfn.BETA.INV($AA4727,1+4*($D$5-$C$5)/($E$5-$C$5),1+4*($E$5-$D$5)/($E$5-$C$5),$C$5,$E$5)</f>
        <v/>
      </c>
      <c r="N4727" s="14">
        <f>IF($AB4727&lt;($D$6-$C$6)/($E$6-$C$6),$C$6+SQRT($AB4727*($E$6-$C$6)*($D$6-$C$6)),$E$6-SQRT((1-$AB4727)*($E$6-$C$6)*($E$6-$D$6)))</f>
        <v/>
      </c>
      <c r="O4727" s="14">
        <f>_xlfn.NORM.INV($AC4727,$C$7,$D$7)</f>
        <v/>
      </c>
      <c r="P4727" s="14">
        <f>$C$8+($D$8-$C$8)*$AD4727</f>
        <v/>
      </c>
      <c r="Q4727" s="14">
        <f>$C$9</f>
        <v/>
      </c>
      <c r="R4727" s="14">
        <f>_xlfn.LOGNORM.INV($AF4727,LN($C$10)-0.5*LN(1+($D$10/$C$10)^2),SQRT(LN(1+($D$10/$C$10)^2)))</f>
        <v/>
      </c>
      <c r="S4727" s="14">
        <f>SUM(M4727:R4727)</f>
        <v/>
      </c>
      <c r="AA4727">
        <f>RAND()</f>
        <v/>
      </c>
      <c r="AB4727">
        <f>RAND()</f>
        <v/>
      </c>
      <c r="AC4727">
        <f>RAND()</f>
        <v/>
      </c>
      <c r="AD4727">
        <f>RAND()</f>
        <v/>
      </c>
      <c r="AE4727">
        <f>RAND()</f>
        <v/>
      </c>
      <c r="AF4727">
        <f>RAND()</f>
        <v/>
      </c>
    </row>
    <row r="4728">
      <c r="M4728" s="14">
        <f>_xlfn.BETA.INV($AA4728,1+4*($D$5-$C$5)/($E$5-$C$5),1+4*($E$5-$D$5)/($E$5-$C$5),$C$5,$E$5)</f>
        <v/>
      </c>
      <c r="N4728" s="14">
        <f>IF($AB4728&lt;($D$6-$C$6)/($E$6-$C$6),$C$6+SQRT($AB4728*($E$6-$C$6)*($D$6-$C$6)),$E$6-SQRT((1-$AB4728)*($E$6-$C$6)*($E$6-$D$6)))</f>
        <v/>
      </c>
      <c r="O4728" s="14">
        <f>_xlfn.NORM.INV($AC4728,$C$7,$D$7)</f>
        <v/>
      </c>
      <c r="P4728" s="14">
        <f>$C$8+($D$8-$C$8)*$AD4728</f>
        <v/>
      </c>
      <c r="Q4728" s="14">
        <f>$C$9</f>
        <v/>
      </c>
      <c r="R4728" s="14">
        <f>_xlfn.LOGNORM.INV($AF4728,LN($C$10)-0.5*LN(1+($D$10/$C$10)^2),SQRT(LN(1+($D$10/$C$10)^2)))</f>
        <v/>
      </c>
      <c r="S4728" s="14">
        <f>SUM(M4728:R4728)</f>
        <v/>
      </c>
      <c r="AA4728">
        <f>RAND()</f>
        <v/>
      </c>
      <c r="AB4728">
        <f>RAND()</f>
        <v/>
      </c>
      <c r="AC4728">
        <f>RAND()</f>
        <v/>
      </c>
      <c r="AD4728">
        <f>RAND()</f>
        <v/>
      </c>
      <c r="AE4728">
        <f>RAND()</f>
        <v/>
      </c>
      <c r="AF4728">
        <f>RAND()</f>
        <v/>
      </c>
    </row>
    <row r="4729">
      <c r="M4729" s="14">
        <f>_xlfn.BETA.INV($AA4729,1+4*($D$5-$C$5)/($E$5-$C$5),1+4*($E$5-$D$5)/($E$5-$C$5),$C$5,$E$5)</f>
        <v/>
      </c>
      <c r="N4729" s="14">
        <f>IF($AB4729&lt;($D$6-$C$6)/($E$6-$C$6),$C$6+SQRT($AB4729*($E$6-$C$6)*($D$6-$C$6)),$E$6-SQRT((1-$AB4729)*($E$6-$C$6)*($E$6-$D$6)))</f>
        <v/>
      </c>
      <c r="O4729" s="14">
        <f>_xlfn.NORM.INV($AC4729,$C$7,$D$7)</f>
        <v/>
      </c>
      <c r="P4729" s="14">
        <f>$C$8+($D$8-$C$8)*$AD4729</f>
        <v/>
      </c>
      <c r="Q4729" s="14">
        <f>$C$9</f>
        <v/>
      </c>
      <c r="R4729" s="14">
        <f>_xlfn.LOGNORM.INV($AF4729,LN($C$10)-0.5*LN(1+($D$10/$C$10)^2),SQRT(LN(1+($D$10/$C$10)^2)))</f>
        <v/>
      </c>
      <c r="S4729" s="14">
        <f>SUM(M4729:R4729)</f>
        <v/>
      </c>
      <c r="AA4729">
        <f>RAND()</f>
        <v/>
      </c>
      <c r="AB4729">
        <f>RAND()</f>
        <v/>
      </c>
      <c r="AC4729">
        <f>RAND()</f>
        <v/>
      </c>
      <c r="AD4729">
        <f>RAND()</f>
        <v/>
      </c>
      <c r="AE4729">
        <f>RAND()</f>
        <v/>
      </c>
      <c r="AF4729">
        <f>RAND()</f>
        <v/>
      </c>
    </row>
    <row r="4730">
      <c r="M4730" s="14">
        <f>_xlfn.BETA.INV($AA4730,1+4*($D$5-$C$5)/($E$5-$C$5),1+4*($E$5-$D$5)/($E$5-$C$5),$C$5,$E$5)</f>
        <v/>
      </c>
      <c r="N4730" s="14">
        <f>IF($AB4730&lt;($D$6-$C$6)/($E$6-$C$6),$C$6+SQRT($AB4730*($E$6-$C$6)*($D$6-$C$6)),$E$6-SQRT((1-$AB4730)*($E$6-$C$6)*($E$6-$D$6)))</f>
        <v/>
      </c>
      <c r="O4730" s="14">
        <f>_xlfn.NORM.INV($AC4730,$C$7,$D$7)</f>
        <v/>
      </c>
      <c r="P4730" s="14">
        <f>$C$8+($D$8-$C$8)*$AD4730</f>
        <v/>
      </c>
      <c r="Q4730" s="14">
        <f>$C$9</f>
        <v/>
      </c>
      <c r="R4730" s="14">
        <f>_xlfn.LOGNORM.INV($AF4730,LN($C$10)-0.5*LN(1+($D$10/$C$10)^2),SQRT(LN(1+($D$10/$C$10)^2)))</f>
        <v/>
      </c>
      <c r="S4730" s="14">
        <f>SUM(M4730:R4730)</f>
        <v/>
      </c>
      <c r="AA4730">
        <f>RAND()</f>
        <v/>
      </c>
      <c r="AB4730">
        <f>RAND()</f>
        <v/>
      </c>
      <c r="AC4730">
        <f>RAND()</f>
        <v/>
      </c>
      <c r="AD4730">
        <f>RAND()</f>
        <v/>
      </c>
      <c r="AE4730">
        <f>RAND()</f>
        <v/>
      </c>
      <c r="AF4730">
        <f>RAND()</f>
        <v/>
      </c>
    </row>
    <row r="4731">
      <c r="M4731" s="14">
        <f>_xlfn.BETA.INV($AA4731,1+4*($D$5-$C$5)/($E$5-$C$5),1+4*($E$5-$D$5)/($E$5-$C$5),$C$5,$E$5)</f>
        <v/>
      </c>
      <c r="N4731" s="14">
        <f>IF($AB4731&lt;($D$6-$C$6)/($E$6-$C$6),$C$6+SQRT($AB4731*($E$6-$C$6)*($D$6-$C$6)),$E$6-SQRT((1-$AB4731)*($E$6-$C$6)*($E$6-$D$6)))</f>
        <v/>
      </c>
      <c r="O4731" s="14">
        <f>_xlfn.NORM.INV($AC4731,$C$7,$D$7)</f>
        <v/>
      </c>
      <c r="P4731" s="14">
        <f>$C$8+($D$8-$C$8)*$AD4731</f>
        <v/>
      </c>
      <c r="Q4731" s="14">
        <f>$C$9</f>
        <v/>
      </c>
      <c r="R4731" s="14">
        <f>_xlfn.LOGNORM.INV($AF4731,LN($C$10)-0.5*LN(1+($D$10/$C$10)^2),SQRT(LN(1+($D$10/$C$10)^2)))</f>
        <v/>
      </c>
      <c r="S4731" s="14">
        <f>SUM(M4731:R4731)</f>
        <v/>
      </c>
      <c r="AA4731">
        <f>RAND()</f>
        <v/>
      </c>
      <c r="AB4731">
        <f>RAND()</f>
        <v/>
      </c>
      <c r="AC4731">
        <f>RAND()</f>
        <v/>
      </c>
      <c r="AD4731">
        <f>RAND()</f>
        <v/>
      </c>
      <c r="AE4731">
        <f>RAND()</f>
        <v/>
      </c>
      <c r="AF4731">
        <f>RAND()</f>
        <v/>
      </c>
    </row>
    <row r="4732">
      <c r="M4732" s="14">
        <f>_xlfn.BETA.INV($AA4732,1+4*($D$5-$C$5)/($E$5-$C$5),1+4*($E$5-$D$5)/($E$5-$C$5),$C$5,$E$5)</f>
        <v/>
      </c>
      <c r="N4732" s="14">
        <f>IF($AB4732&lt;($D$6-$C$6)/($E$6-$C$6),$C$6+SQRT($AB4732*($E$6-$C$6)*($D$6-$C$6)),$E$6-SQRT((1-$AB4732)*($E$6-$C$6)*($E$6-$D$6)))</f>
        <v/>
      </c>
      <c r="O4732" s="14">
        <f>_xlfn.NORM.INV($AC4732,$C$7,$D$7)</f>
        <v/>
      </c>
      <c r="P4732" s="14">
        <f>$C$8+($D$8-$C$8)*$AD4732</f>
        <v/>
      </c>
      <c r="Q4732" s="14">
        <f>$C$9</f>
        <v/>
      </c>
      <c r="R4732" s="14">
        <f>_xlfn.LOGNORM.INV($AF4732,LN($C$10)-0.5*LN(1+($D$10/$C$10)^2),SQRT(LN(1+($D$10/$C$10)^2)))</f>
        <v/>
      </c>
      <c r="S4732" s="14">
        <f>SUM(M4732:R4732)</f>
        <v/>
      </c>
      <c r="AA4732">
        <f>RAND()</f>
        <v/>
      </c>
      <c r="AB4732">
        <f>RAND()</f>
        <v/>
      </c>
      <c r="AC4732">
        <f>RAND()</f>
        <v/>
      </c>
      <c r="AD4732">
        <f>RAND()</f>
        <v/>
      </c>
      <c r="AE4732">
        <f>RAND()</f>
        <v/>
      </c>
      <c r="AF4732">
        <f>RAND()</f>
        <v/>
      </c>
    </row>
    <row r="4733">
      <c r="M4733" s="14">
        <f>_xlfn.BETA.INV($AA4733,1+4*($D$5-$C$5)/($E$5-$C$5),1+4*($E$5-$D$5)/($E$5-$C$5),$C$5,$E$5)</f>
        <v/>
      </c>
      <c r="N4733" s="14">
        <f>IF($AB4733&lt;($D$6-$C$6)/($E$6-$C$6),$C$6+SQRT($AB4733*($E$6-$C$6)*($D$6-$C$6)),$E$6-SQRT((1-$AB4733)*($E$6-$C$6)*($E$6-$D$6)))</f>
        <v/>
      </c>
      <c r="O4733" s="14">
        <f>_xlfn.NORM.INV($AC4733,$C$7,$D$7)</f>
        <v/>
      </c>
      <c r="P4733" s="14">
        <f>$C$8+($D$8-$C$8)*$AD4733</f>
        <v/>
      </c>
      <c r="Q4733" s="14">
        <f>$C$9</f>
        <v/>
      </c>
      <c r="R4733" s="14">
        <f>_xlfn.LOGNORM.INV($AF4733,LN($C$10)-0.5*LN(1+($D$10/$C$10)^2),SQRT(LN(1+($D$10/$C$10)^2)))</f>
        <v/>
      </c>
      <c r="S4733" s="14">
        <f>SUM(M4733:R4733)</f>
        <v/>
      </c>
      <c r="AA4733">
        <f>RAND()</f>
        <v/>
      </c>
      <c r="AB4733">
        <f>RAND()</f>
        <v/>
      </c>
      <c r="AC4733">
        <f>RAND()</f>
        <v/>
      </c>
      <c r="AD4733">
        <f>RAND()</f>
        <v/>
      </c>
      <c r="AE4733">
        <f>RAND()</f>
        <v/>
      </c>
      <c r="AF4733">
        <f>RAND()</f>
        <v/>
      </c>
    </row>
    <row r="4734">
      <c r="M4734" s="14">
        <f>_xlfn.BETA.INV($AA4734,1+4*($D$5-$C$5)/($E$5-$C$5),1+4*($E$5-$D$5)/($E$5-$C$5),$C$5,$E$5)</f>
        <v/>
      </c>
      <c r="N4734" s="14">
        <f>IF($AB4734&lt;($D$6-$C$6)/($E$6-$C$6),$C$6+SQRT($AB4734*($E$6-$C$6)*($D$6-$C$6)),$E$6-SQRT((1-$AB4734)*($E$6-$C$6)*($E$6-$D$6)))</f>
        <v/>
      </c>
      <c r="O4734" s="14">
        <f>_xlfn.NORM.INV($AC4734,$C$7,$D$7)</f>
        <v/>
      </c>
      <c r="P4734" s="14">
        <f>$C$8+($D$8-$C$8)*$AD4734</f>
        <v/>
      </c>
      <c r="Q4734" s="14">
        <f>$C$9</f>
        <v/>
      </c>
      <c r="R4734" s="14">
        <f>_xlfn.LOGNORM.INV($AF4734,LN($C$10)-0.5*LN(1+($D$10/$C$10)^2),SQRT(LN(1+($D$10/$C$10)^2)))</f>
        <v/>
      </c>
      <c r="S4734" s="14">
        <f>SUM(M4734:R4734)</f>
        <v/>
      </c>
      <c r="AA4734">
        <f>RAND()</f>
        <v/>
      </c>
      <c r="AB4734">
        <f>RAND()</f>
        <v/>
      </c>
      <c r="AC4734">
        <f>RAND()</f>
        <v/>
      </c>
      <c r="AD4734">
        <f>RAND()</f>
        <v/>
      </c>
      <c r="AE4734">
        <f>RAND()</f>
        <v/>
      </c>
      <c r="AF4734">
        <f>RAND()</f>
        <v/>
      </c>
    </row>
    <row r="4735">
      <c r="M4735" s="14">
        <f>_xlfn.BETA.INV($AA4735,1+4*($D$5-$C$5)/($E$5-$C$5),1+4*($E$5-$D$5)/($E$5-$C$5),$C$5,$E$5)</f>
        <v/>
      </c>
      <c r="N4735" s="14">
        <f>IF($AB4735&lt;($D$6-$C$6)/($E$6-$C$6),$C$6+SQRT($AB4735*($E$6-$C$6)*($D$6-$C$6)),$E$6-SQRT((1-$AB4735)*($E$6-$C$6)*($E$6-$D$6)))</f>
        <v/>
      </c>
      <c r="O4735" s="14">
        <f>_xlfn.NORM.INV($AC4735,$C$7,$D$7)</f>
        <v/>
      </c>
      <c r="P4735" s="14">
        <f>$C$8+($D$8-$C$8)*$AD4735</f>
        <v/>
      </c>
      <c r="Q4735" s="14">
        <f>$C$9</f>
        <v/>
      </c>
      <c r="R4735" s="14">
        <f>_xlfn.LOGNORM.INV($AF4735,LN($C$10)-0.5*LN(1+($D$10/$C$10)^2),SQRT(LN(1+($D$10/$C$10)^2)))</f>
        <v/>
      </c>
      <c r="S4735" s="14">
        <f>SUM(M4735:R4735)</f>
        <v/>
      </c>
      <c r="AA4735">
        <f>RAND()</f>
        <v/>
      </c>
      <c r="AB4735">
        <f>RAND()</f>
        <v/>
      </c>
      <c r="AC4735">
        <f>RAND()</f>
        <v/>
      </c>
      <c r="AD4735">
        <f>RAND()</f>
        <v/>
      </c>
      <c r="AE4735">
        <f>RAND()</f>
        <v/>
      </c>
      <c r="AF4735">
        <f>RAND()</f>
        <v/>
      </c>
    </row>
    <row r="4736">
      <c r="M4736" s="14">
        <f>_xlfn.BETA.INV($AA4736,1+4*($D$5-$C$5)/($E$5-$C$5),1+4*($E$5-$D$5)/($E$5-$C$5),$C$5,$E$5)</f>
        <v/>
      </c>
      <c r="N4736" s="14">
        <f>IF($AB4736&lt;($D$6-$C$6)/($E$6-$C$6),$C$6+SQRT($AB4736*($E$6-$C$6)*($D$6-$C$6)),$E$6-SQRT((1-$AB4736)*($E$6-$C$6)*($E$6-$D$6)))</f>
        <v/>
      </c>
      <c r="O4736" s="14">
        <f>_xlfn.NORM.INV($AC4736,$C$7,$D$7)</f>
        <v/>
      </c>
      <c r="P4736" s="14">
        <f>$C$8+($D$8-$C$8)*$AD4736</f>
        <v/>
      </c>
      <c r="Q4736" s="14">
        <f>$C$9</f>
        <v/>
      </c>
      <c r="R4736" s="14">
        <f>_xlfn.LOGNORM.INV($AF4736,LN($C$10)-0.5*LN(1+($D$10/$C$10)^2),SQRT(LN(1+($D$10/$C$10)^2)))</f>
        <v/>
      </c>
      <c r="S4736" s="14">
        <f>SUM(M4736:R4736)</f>
        <v/>
      </c>
      <c r="AA4736">
        <f>RAND()</f>
        <v/>
      </c>
      <c r="AB4736">
        <f>RAND()</f>
        <v/>
      </c>
      <c r="AC4736">
        <f>RAND()</f>
        <v/>
      </c>
      <c r="AD4736">
        <f>RAND()</f>
        <v/>
      </c>
      <c r="AE4736">
        <f>RAND()</f>
        <v/>
      </c>
      <c r="AF4736">
        <f>RAND()</f>
        <v/>
      </c>
    </row>
    <row r="4737">
      <c r="M4737" s="14">
        <f>_xlfn.BETA.INV($AA4737,1+4*($D$5-$C$5)/($E$5-$C$5),1+4*($E$5-$D$5)/($E$5-$C$5),$C$5,$E$5)</f>
        <v/>
      </c>
      <c r="N4737" s="14">
        <f>IF($AB4737&lt;($D$6-$C$6)/($E$6-$C$6),$C$6+SQRT($AB4737*($E$6-$C$6)*($D$6-$C$6)),$E$6-SQRT((1-$AB4737)*($E$6-$C$6)*($E$6-$D$6)))</f>
        <v/>
      </c>
      <c r="O4737" s="14">
        <f>_xlfn.NORM.INV($AC4737,$C$7,$D$7)</f>
        <v/>
      </c>
      <c r="P4737" s="14">
        <f>$C$8+($D$8-$C$8)*$AD4737</f>
        <v/>
      </c>
      <c r="Q4737" s="14">
        <f>$C$9</f>
        <v/>
      </c>
      <c r="R4737" s="14">
        <f>_xlfn.LOGNORM.INV($AF4737,LN($C$10)-0.5*LN(1+($D$10/$C$10)^2),SQRT(LN(1+($D$10/$C$10)^2)))</f>
        <v/>
      </c>
      <c r="S4737" s="14">
        <f>SUM(M4737:R4737)</f>
        <v/>
      </c>
      <c r="AA4737">
        <f>RAND()</f>
        <v/>
      </c>
      <c r="AB4737">
        <f>RAND()</f>
        <v/>
      </c>
      <c r="AC4737">
        <f>RAND()</f>
        <v/>
      </c>
      <c r="AD4737">
        <f>RAND()</f>
        <v/>
      </c>
      <c r="AE4737">
        <f>RAND()</f>
        <v/>
      </c>
      <c r="AF4737">
        <f>RAND()</f>
        <v/>
      </c>
    </row>
    <row r="4738">
      <c r="M4738" s="14">
        <f>_xlfn.BETA.INV($AA4738,1+4*($D$5-$C$5)/($E$5-$C$5),1+4*($E$5-$D$5)/($E$5-$C$5),$C$5,$E$5)</f>
        <v/>
      </c>
      <c r="N4738" s="14">
        <f>IF($AB4738&lt;($D$6-$C$6)/($E$6-$C$6),$C$6+SQRT($AB4738*($E$6-$C$6)*($D$6-$C$6)),$E$6-SQRT((1-$AB4738)*($E$6-$C$6)*($E$6-$D$6)))</f>
        <v/>
      </c>
      <c r="O4738" s="14">
        <f>_xlfn.NORM.INV($AC4738,$C$7,$D$7)</f>
        <v/>
      </c>
      <c r="P4738" s="14">
        <f>$C$8+($D$8-$C$8)*$AD4738</f>
        <v/>
      </c>
      <c r="Q4738" s="14">
        <f>$C$9</f>
        <v/>
      </c>
      <c r="R4738" s="14">
        <f>_xlfn.LOGNORM.INV($AF4738,LN($C$10)-0.5*LN(1+($D$10/$C$10)^2),SQRT(LN(1+($D$10/$C$10)^2)))</f>
        <v/>
      </c>
      <c r="S4738" s="14">
        <f>SUM(M4738:R4738)</f>
        <v/>
      </c>
      <c r="AA4738">
        <f>RAND()</f>
        <v/>
      </c>
      <c r="AB4738">
        <f>RAND()</f>
        <v/>
      </c>
      <c r="AC4738">
        <f>RAND()</f>
        <v/>
      </c>
      <c r="AD4738">
        <f>RAND()</f>
        <v/>
      </c>
      <c r="AE4738">
        <f>RAND()</f>
        <v/>
      </c>
      <c r="AF4738">
        <f>RAND()</f>
        <v/>
      </c>
    </row>
    <row r="4739">
      <c r="M4739" s="14">
        <f>_xlfn.BETA.INV($AA4739,1+4*($D$5-$C$5)/($E$5-$C$5),1+4*($E$5-$D$5)/($E$5-$C$5),$C$5,$E$5)</f>
        <v/>
      </c>
      <c r="N4739" s="14">
        <f>IF($AB4739&lt;($D$6-$C$6)/($E$6-$C$6),$C$6+SQRT($AB4739*($E$6-$C$6)*($D$6-$C$6)),$E$6-SQRT((1-$AB4739)*($E$6-$C$6)*($E$6-$D$6)))</f>
        <v/>
      </c>
      <c r="O4739" s="14">
        <f>_xlfn.NORM.INV($AC4739,$C$7,$D$7)</f>
        <v/>
      </c>
      <c r="P4739" s="14">
        <f>$C$8+($D$8-$C$8)*$AD4739</f>
        <v/>
      </c>
      <c r="Q4739" s="14">
        <f>$C$9</f>
        <v/>
      </c>
      <c r="R4739" s="14">
        <f>_xlfn.LOGNORM.INV($AF4739,LN($C$10)-0.5*LN(1+($D$10/$C$10)^2),SQRT(LN(1+($D$10/$C$10)^2)))</f>
        <v/>
      </c>
      <c r="S4739" s="14">
        <f>SUM(M4739:R4739)</f>
        <v/>
      </c>
      <c r="AA4739">
        <f>RAND()</f>
        <v/>
      </c>
      <c r="AB4739">
        <f>RAND()</f>
        <v/>
      </c>
      <c r="AC4739">
        <f>RAND()</f>
        <v/>
      </c>
      <c r="AD4739">
        <f>RAND()</f>
        <v/>
      </c>
      <c r="AE4739">
        <f>RAND()</f>
        <v/>
      </c>
      <c r="AF4739">
        <f>RAND()</f>
        <v/>
      </c>
    </row>
    <row r="4740">
      <c r="M4740" s="14">
        <f>_xlfn.BETA.INV($AA4740,1+4*($D$5-$C$5)/($E$5-$C$5),1+4*($E$5-$D$5)/($E$5-$C$5),$C$5,$E$5)</f>
        <v/>
      </c>
      <c r="N4740" s="14">
        <f>IF($AB4740&lt;($D$6-$C$6)/($E$6-$C$6),$C$6+SQRT($AB4740*($E$6-$C$6)*($D$6-$C$6)),$E$6-SQRT((1-$AB4740)*($E$6-$C$6)*($E$6-$D$6)))</f>
        <v/>
      </c>
      <c r="O4740" s="14">
        <f>_xlfn.NORM.INV($AC4740,$C$7,$D$7)</f>
        <v/>
      </c>
      <c r="P4740" s="14">
        <f>$C$8+($D$8-$C$8)*$AD4740</f>
        <v/>
      </c>
      <c r="Q4740" s="14">
        <f>$C$9</f>
        <v/>
      </c>
      <c r="R4740" s="14">
        <f>_xlfn.LOGNORM.INV($AF4740,LN($C$10)-0.5*LN(1+($D$10/$C$10)^2),SQRT(LN(1+($D$10/$C$10)^2)))</f>
        <v/>
      </c>
      <c r="S4740" s="14">
        <f>SUM(M4740:R4740)</f>
        <v/>
      </c>
      <c r="AA4740">
        <f>RAND()</f>
        <v/>
      </c>
      <c r="AB4740">
        <f>RAND()</f>
        <v/>
      </c>
      <c r="AC4740">
        <f>RAND()</f>
        <v/>
      </c>
      <c r="AD4740">
        <f>RAND()</f>
        <v/>
      </c>
      <c r="AE4740">
        <f>RAND()</f>
        <v/>
      </c>
      <c r="AF4740">
        <f>RAND()</f>
        <v/>
      </c>
    </row>
    <row r="4741">
      <c r="M4741" s="14">
        <f>_xlfn.BETA.INV($AA4741,1+4*($D$5-$C$5)/($E$5-$C$5),1+4*($E$5-$D$5)/($E$5-$C$5),$C$5,$E$5)</f>
        <v/>
      </c>
      <c r="N4741" s="14">
        <f>IF($AB4741&lt;($D$6-$C$6)/($E$6-$C$6),$C$6+SQRT($AB4741*($E$6-$C$6)*($D$6-$C$6)),$E$6-SQRT((1-$AB4741)*($E$6-$C$6)*($E$6-$D$6)))</f>
        <v/>
      </c>
      <c r="O4741" s="14">
        <f>_xlfn.NORM.INV($AC4741,$C$7,$D$7)</f>
        <v/>
      </c>
      <c r="P4741" s="14">
        <f>$C$8+($D$8-$C$8)*$AD4741</f>
        <v/>
      </c>
      <c r="Q4741" s="14">
        <f>$C$9</f>
        <v/>
      </c>
      <c r="R4741" s="14">
        <f>_xlfn.LOGNORM.INV($AF4741,LN($C$10)-0.5*LN(1+($D$10/$C$10)^2),SQRT(LN(1+($D$10/$C$10)^2)))</f>
        <v/>
      </c>
      <c r="S4741" s="14">
        <f>SUM(M4741:R4741)</f>
        <v/>
      </c>
      <c r="AA4741">
        <f>RAND()</f>
        <v/>
      </c>
      <c r="AB4741">
        <f>RAND()</f>
        <v/>
      </c>
      <c r="AC4741">
        <f>RAND()</f>
        <v/>
      </c>
      <c r="AD4741">
        <f>RAND()</f>
        <v/>
      </c>
      <c r="AE4741">
        <f>RAND()</f>
        <v/>
      </c>
      <c r="AF4741">
        <f>RAND()</f>
        <v/>
      </c>
    </row>
    <row r="4742">
      <c r="M4742" s="14">
        <f>_xlfn.BETA.INV($AA4742,1+4*($D$5-$C$5)/($E$5-$C$5),1+4*($E$5-$D$5)/($E$5-$C$5),$C$5,$E$5)</f>
        <v/>
      </c>
      <c r="N4742" s="14">
        <f>IF($AB4742&lt;($D$6-$C$6)/($E$6-$C$6),$C$6+SQRT($AB4742*($E$6-$C$6)*($D$6-$C$6)),$E$6-SQRT((1-$AB4742)*($E$6-$C$6)*($E$6-$D$6)))</f>
        <v/>
      </c>
      <c r="O4742" s="14">
        <f>_xlfn.NORM.INV($AC4742,$C$7,$D$7)</f>
        <v/>
      </c>
      <c r="P4742" s="14">
        <f>$C$8+($D$8-$C$8)*$AD4742</f>
        <v/>
      </c>
      <c r="Q4742" s="14">
        <f>$C$9</f>
        <v/>
      </c>
      <c r="R4742" s="14">
        <f>_xlfn.LOGNORM.INV($AF4742,LN($C$10)-0.5*LN(1+($D$10/$C$10)^2),SQRT(LN(1+($D$10/$C$10)^2)))</f>
        <v/>
      </c>
      <c r="S4742" s="14">
        <f>SUM(M4742:R4742)</f>
        <v/>
      </c>
      <c r="AA4742">
        <f>RAND()</f>
        <v/>
      </c>
      <c r="AB4742">
        <f>RAND()</f>
        <v/>
      </c>
      <c r="AC4742">
        <f>RAND()</f>
        <v/>
      </c>
      <c r="AD4742">
        <f>RAND()</f>
        <v/>
      </c>
      <c r="AE4742">
        <f>RAND()</f>
        <v/>
      </c>
      <c r="AF4742">
        <f>RAND()</f>
        <v/>
      </c>
    </row>
    <row r="4743">
      <c r="M4743" s="14">
        <f>_xlfn.BETA.INV($AA4743,1+4*($D$5-$C$5)/($E$5-$C$5),1+4*($E$5-$D$5)/($E$5-$C$5),$C$5,$E$5)</f>
        <v/>
      </c>
      <c r="N4743" s="14">
        <f>IF($AB4743&lt;($D$6-$C$6)/($E$6-$C$6),$C$6+SQRT($AB4743*($E$6-$C$6)*($D$6-$C$6)),$E$6-SQRT((1-$AB4743)*($E$6-$C$6)*($E$6-$D$6)))</f>
        <v/>
      </c>
      <c r="O4743" s="14">
        <f>_xlfn.NORM.INV($AC4743,$C$7,$D$7)</f>
        <v/>
      </c>
      <c r="P4743" s="14">
        <f>$C$8+($D$8-$C$8)*$AD4743</f>
        <v/>
      </c>
      <c r="Q4743" s="14">
        <f>$C$9</f>
        <v/>
      </c>
      <c r="R4743" s="14">
        <f>_xlfn.LOGNORM.INV($AF4743,LN($C$10)-0.5*LN(1+($D$10/$C$10)^2),SQRT(LN(1+($D$10/$C$10)^2)))</f>
        <v/>
      </c>
      <c r="S4743" s="14">
        <f>SUM(M4743:R4743)</f>
        <v/>
      </c>
      <c r="AA4743">
        <f>RAND()</f>
        <v/>
      </c>
      <c r="AB4743">
        <f>RAND()</f>
        <v/>
      </c>
      <c r="AC4743">
        <f>RAND()</f>
        <v/>
      </c>
      <c r="AD4743">
        <f>RAND()</f>
        <v/>
      </c>
      <c r="AE4743">
        <f>RAND()</f>
        <v/>
      </c>
      <c r="AF4743">
        <f>RAND()</f>
        <v/>
      </c>
    </row>
    <row r="4744">
      <c r="M4744" s="14">
        <f>_xlfn.BETA.INV($AA4744,1+4*($D$5-$C$5)/($E$5-$C$5),1+4*($E$5-$D$5)/($E$5-$C$5),$C$5,$E$5)</f>
        <v/>
      </c>
      <c r="N4744" s="14">
        <f>IF($AB4744&lt;($D$6-$C$6)/($E$6-$C$6),$C$6+SQRT($AB4744*($E$6-$C$6)*($D$6-$C$6)),$E$6-SQRT((1-$AB4744)*($E$6-$C$6)*($E$6-$D$6)))</f>
        <v/>
      </c>
      <c r="O4744" s="14">
        <f>_xlfn.NORM.INV($AC4744,$C$7,$D$7)</f>
        <v/>
      </c>
      <c r="P4744" s="14">
        <f>$C$8+($D$8-$C$8)*$AD4744</f>
        <v/>
      </c>
      <c r="Q4744" s="14">
        <f>$C$9</f>
        <v/>
      </c>
      <c r="R4744" s="14">
        <f>_xlfn.LOGNORM.INV($AF4744,LN($C$10)-0.5*LN(1+($D$10/$C$10)^2),SQRT(LN(1+($D$10/$C$10)^2)))</f>
        <v/>
      </c>
      <c r="S4744" s="14">
        <f>SUM(M4744:R4744)</f>
        <v/>
      </c>
      <c r="AA4744">
        <f>RAND()</f>
        <v/>
      </c>
      <c r="AB4744">
        <f>RAND()</f>
        <v/>
      </c>
      <c r="AC4744">
        <f>RAND()</f>
        <v/>
      </c>
      <c r="AD4744">
        <f>RAND()</f>
        <v/>
      </c>
      <c r="AE4744">
        <f>RAND()</f>
        <v/>
      </c>
      <c r="AF4744">
        <f>RAND()</f>
        <v/>
      </c>
    </row>
    <row r="4745">
      <c r="M4745" s="14">
        <f>_xlfn.BETA.INV($AA4745,1+4*($D$5-$C$5)/($E$5-$C$5),1+4*($E$5-$D$5)/($E$5-$C$5),$C$5,$E$5)</f>
        <v/>
      </c>
      <c r="N4745" s="14">
        <f>IF($AB4745&lt;($D$6-$C$6)/($E$6-$C$6),$C$6+SQRT($AB4745*($E$6-$C$6)*($D$6-$C$6)),$E$6-SQRT((1-$AB4745)*($E$6-$C$6)*($E$6-$D$6)))</f>
        <v/>
      </c>
      <c r="O4745" s="14">
        <f>_xlfn.NORM.INV($AC4745,$C$7,$D$7)</f>
        <v/>
      </c>
      <c r="P4745" s="14">
        <f>$C$8+($D$8-$C$8)*$AD4745</f>
        <v/>
      </c>
      <c r="Q4745" s="14">
        <f>$C$9</f>
        <v/>
      </c>
      <c r="R4745" s="14">
        <f>_xlfn.LOGNORM.INV($AF4745,LN($C$10)-0.5*LN(1+($D$10/$C$10)^2),SQRT(LN(1+($D$10/$C$10)^2)))</f>
        <v/>
      </c>
      <c r="S4745" s="14">
        <f>SUM(M4745:R4745)</f>
        <v/>
      </c>
      <c r="AA4745">
        <f>RAND()</f>
        <v/>
      </c>
      <c r="AB4745">
        <f>RAND()</f>
        <v/>
      </c>
      <c r="AC4745">
        <f>RAND()</f>
        <v/>
      </c>
      <c r="AD4745">
        <f>RAND()</f>
        <v/>
      </c>
      <c r="AE4745">
        <f>RAND()</f>
        <v/>
      </c>
      <c r="AF4745">
        <f>RAND()</f>
        <v/>
      </c>
    </row>
    <row r="4746">
      <c r="M4746" s="14">
        <f>_xlfn.BETA.INV($AA4746,1+4*($D$5-$C$5)/($E$5-$C$5),1+4*($E$5-$D$5)/($E$5-$C$5),$C$5,$E$5)</f>
        <v/>
      </c>
      <c r="N4746" s="14">
        <f>IF($AB4746&lt;($D$6-$C$6)/($E$6-$C$6),$C$6+SQRT($AB4746*($E$6-$C$6)*($D$6-$C$6)),$E$6-SQRT((1-$AB4746)*($E$6-$C$6)*($E$6-$D$6)))</f>
        <v/>
      </c>
      <c r="O4746" s="14">
        <f>_xlfn.NORM.INV($AC4746,$C$7,$D$7)</f>
        <v/>
      </c>
      <c r="P4746" s="14">
        <f>$C$8+($D$8-$C$8)*$AD4746</f>
        <v/>
      </c>
      <c r="Q4746" s="14">
        <f>$C$9</f>
        <v/>
      </c>
      <c r="R4746" s="14">
        <f>_xlfn.LOGNORM.INV($AF4746,LN($C$10)-0.5*LN(1+($D$10/$C$10)^2),SQRT(LN(1+($D$10/$C$10)^2)))</f>
        <v/>
      </c>
      <c r="S4746" s="14">
        <f>SUM(M4746:R4746)</f>
        <v/>
      </c>
      <c r="AA4746">
        <f>RAND()</f>
        <v/>
      </c>
      <c r="AB4746">
        <f>RAND()</f>
        <v/>
      </c>
      <c r="AC4746">
        <f>RAND()</f>
        <v/>
      </c>
      <c r="AD4746">
        <f>RAND()</f>
        <v/>
      </c>
      <c r="AE4746">
        <f>RAND()</f>
        <v/>
      </c>
      <c r="AF4746">
        <f>RAND()</f>
        <v/>
      </c>
    </row>
    <row r="4747">
      <c r="M4747" s="14">
        <f>_xlfn.BETA.INV($AA4747,1+4*($D$5-$C$5)/($E$5-$C$5),1+4*($E$5-$D$5)/($E$5-$C$5),$C$5,$E$5)</f>
        <v/>
      </c>
      <c r="N4747" s="14">
        <f>IF($AB4747&lt;($D$6-$C$6)/($E$6-$C$6),$C$6+SQRT($AB4747*($E$6-$C$6)*($D$6-$C$6)),$E$6-SQRT((1-$AB4747)*($E$6-$C$6)*($E$6-$D$6)))</f>
        <v/>
      </c>
      <c r="O4747" s="14">
        <f>_xlfn.NORM.INV($AC4747,$C$7,$D$7)</f>
        <v/>
      </c>
      <c r="P4747" s="14">
        <f>$C$8+($D$8-$C$8)*$AD4747</f>
        <v/>
      </c>
      <c r="Q4747" s="14">
        <f>$C$9</f>
        <v/>
      </c>
      <c r="R4747" s="14">
        <f>_xlfn.LOGNORM.INV($AF4747,LN($C$10)-0.5*LN(1+($D$10/$C$10)^2),SQRT(LN(1+($D$10/$C$10)^2)))</f>
        <v/>
      </c>
      <c r="S4747" s="14">
        <f>SUM(M4747:R4747)</f>
        <v/>
      </c>
      <c r="AA4747">
        <f>RAND()</f>
        <v/>
      </c>
      <c r="AB4747">
        <f>RAND()</f>
        <v/>
      </c>
      <c r="AC4747">
        <f>RAND()</f>
        <v/>
      </c>
      <c r="AD4747">
        <f>RAND()</f>
        <v/>
      </c>
      <c r="AE4747">
        <f>RAND()</f>
        <v/>
      </c>
      <c r="AF4747">
        <f>RAND()</f>
        <v/>
      </c>
    </row>
    <row r="4748">
      <c r="M4748" s="14">
        <f>_xlfn.BETA.INV($AA4748,1+4*($D$5-$C$5)/($E$5-$C$5),1+4*($E$5-$D$5)/($E$5-$C$5),$C$5,$E$5)</f>
        <v/>
      </c>
      <c r="N4748" s="14">
        <f>IF($AB4748&lt;($D$6-$C$6)/($E$6-$C$6),$C$6+SQRT($AB4748*($E$6-$C$6)*($D$6-$C$6)),$E$6-SQRT((1-$AB4748)*($E$6-$C$6)*($E$6-$D$6)))</f>
        <v/>
      </c>
      <c r="O4748" s="14">
        <f>_xlfn.NORM.INV($AC4748,$C$7,$D$7)</f>
        <v/>
      </c>
      <c r="P4748" s="14">
        <f>$C$8+($D$8-$C$8)*$AD4748</f>
        <v/>
      </c>
      <c r="Q4748" s="14">
        <f>$C$9</f>
        <v/>
      </c>
      <c r="R4748" s="14">
        <f>_xlfn.LOGNORM.INV($AF4748,LN($C$10)-0.5*LN(1+($D$10/$C$10)^2),SQRT(LN(1+($D$10/$C$10)^2)))</f>
        <v/>
      </c>
      <c r="S4748" s="14">
        <f>SUM(M4748:R4748)</f>
        <v/>
      </c>
      <c r="AA4748">
        <f>RAND()</f>
        <v/>
      </c>
      <c r="AB4748">
        <f>RAND()</f>
        <v/>
      </c>
      <c r="AC4748">
        <f>RAND()</f>
        <v/>
      </c>
      <c r="AD4748">
        <f>RAND()</f>
        <v/>
      </c>
      <c r="AE4748">
        <f>RAND()</f>
        <v/>
      </c>
      <c r="AF4748">
        <f>RAND()</f>
        <v/>
      </c>
    </row>
    <row r="4749">
      <c r="M4749" s="14">
        <f>_xlfn.BETA.INV($AA4749,1+4*($D$5-$C$5)/($E$5-$C$5),1+4*($E$5-$D$5)/($E$5-$C$5),$C$5,$E$5)</f>
        <v/>
      </c>
      <c r="N4749" s="14">
        <f>IF($AB4749&lt;($D$6-$C$6)/($E$6-$C$6),$C$6+SQRT($AB4749*($E$6-$C$6)*($D$6-$C$6)),$E$6-SQRT((1-$AB4749)*($E$6-$C$6)*($E$6-$D$6)))</f>
        <v/>
      </c>
      <c r="O4749" s="14">
        <f>_xlfn.NORM.INV($AC4749,$C$7,$D$7)</f>
        <v/>
      </c>
      <c r="P4749" s="14">
        <f>$C$8+($D$8-$C$8)*$AD4749</f>
        <v/>
      </c>
      <c r="Q4749" s="14">
        <f>$C$9</f>
        <v/>
      </c>
      <c r="R4749" s="14">
        <f>_xlfn.LOGNORM.INV($AF4749,LN($C$10)-0.5*LN(1+($D$10/$C$10)^2),SQRT(LN(1+($D$10/$C$10)^2)))</f>
        <v/>
      </c>
      <c r="S4749" s="14">
        <f>SUM(M4749:R4749)</f>
        <v/>
      </c>
      <c r="AA4749">
        <f>RAND()</f>
        <v/>
      </c>
      <c r="AB4749">
        <f>RAND()</f>
        <v/>
      </c>
      <c r="AC4749">
        <f>RAND()</f>
        <v/>
      </c>
      <c r="AD4749">
        <f>RAND()</f>
        <v/>
      </c>
      <c r="AE4749">
        <f>RAND()</f>
        <v/>
      </c>
      <c r="AF4749">
        <f>RAND()</f>
        <v/>
      </c>
    </row>
    <row r="4750">
      <c r="M4750" s="14">
        <f>_xlfn.BETA.INV($AA4750,1+4*($D$5-$C$5)/($E$5-$C$5),1+4*($E$5-$D$5)/($E$5-$C$5),$C$5,$E$5)</f>
        <v/>
      </c>
      <c r="N4750" s="14">
        <f>IF($AB4750&lt;($D$6-$C$6)/($E$6-$C$6),$C$6+SQRT($AB4750*($E$6-$C$6)*($D$6-$C$6)),$E$6-SQRT((1-$AB4750)*($E$6-$C$6)*($E$6-$D$6)))</f>
        <v/>
      </c>
      <c r="O4750" s="14">
        <f>_xlfn.NORM.INV($AC4750,$C$7,$D$7)</f>
        <v/>
      </c>
      <c r="P4750" s="14">
        <f>$C$8+($D$8-$C$8)*$AD4750</f>
        <v/>
      </c>
      <c r="Q4750" s="14">
        <f>$C$9</f>
        <v/>
      </c>
      <c r="R4750" s="14">
        <f>_xlfn.LOGNORM.INV($AF4750,LN($C$10)-0.5*LN(1+($D$10/$C$10)^2),SQRT(LN(1+($D$10/$C$10)^2)))</f>
        <v/>
      </c>
      <c r="S4750" s="14">
        <f>SUM(M4750:R4750)</f>
        <v/>
      </c>
      <c r="AA4750">
        <f>RAND()</f>
        <v/>
      </c>
      <c r="AB4750">
        <f>RAND()</f>
        <v/>
      </c>
      <c r="AC4750">
        <f>RAND()</f>
        <v/>
      </c>
      <c r="AD4750">
        <f>RAND()</f>
        <v/>
      </c>
      <c r="AE4750">
        <f>RAND()</f>
        <v/>
      </c>
      <c r="AF4750">
        <f>RAND()</f>
        <v/>
      </c>
    </row>
    <row r="4751">
      <c r="M4751" s="14">
        <f>_xlfn.BETA.INV($AA4751,1+4*($D$5-$C$5)/($E$5-$C$5),1+4*($E$5-$D$5)/($E$5-$C$5),$C$5,$E$5)</f>
        <v/>
      </c>
      <c r="N4751" s="14">
        <f>IF($AB4751&lt;($D$6-$C$6)/($E$6-$C$6),$C$6+SQRT($AB4751*($E$6-$C$6)*($D$6-$C$6)),$E$6-SQRT((1-$AB4751)*($E$6-$C$6)*($E$6-$D$6)))</f>
        <v/>
      </c>
      <c r="O4751" s="14">
        <f>_xlfn.NORM.INV($AC4751,$C$7,$D$7)</f>
        <v/>
      </c>
      <c r="P4751" s="14">
        <f>$C$8+($D$8-$C$8)*$AD4751</f>
        <v/>
      </c>
      <c r="Q4751" s="14">
        <f>$C$9</f>
        <v/>
      </c>
      <c r="R4751" s="14">
        <f>_xlfn.LOGNORM.INV($AF4751,LN($C$10)-0.5*LN(1+($D$10/$C$10)^2),SQRT(LN(1+($D$10/$C$10)^2)))</f>
        <v/>
      </c>
      <c r="S4751" s="14">
        <f>SUM(M4751:R4751)</f>
        <v/>
      </c>
      <c r="AA4751">
        <f>RAND()</f>
        <v/>
      </c>
      <c r="AB4751">
        <f>RAND()</f>
        <v/>
      </c>
      <c r="AC4751">
        <f>RAND()</f>
        <v/>
      </c>
      <c r="AD4751">
        <f>RAND()</f>
        <v/>
      </c>
      <c r="AE4751">
        <f>RAND()</f>
        <v/>
      </c>
      <c r="AF4751">
        <f>RAND()</f>
        <v/>
      </c>
    </row>
    <row r="4752">
      <c r="M4752" s="14">
        <f>_xlfn.BETA.INV($AA4752,1+4*($D$5-$C$5)/($E$5-$C$5),1+4*($E$5-$D$5)/($E$5-$C$5),$C$5,$E$5)</f>
        <v/>
      </c>
      <c r="N4752" s="14">
        <f>IF($AB4752&lt;($D$6-$C$6)/($E$6-$C$6),$C$6+SQRT($AB4752*($E$6-$C$6)*($D$6-$C$6)),$E$6-SQRT((1-$AB4752)*($E$6-$C$6)*($E$6-$D$6)))</f>
        <v/>
      </c>
      <c r="O4752" s="14">
        <f>_xlfn.NORM.INV($AC4752,$C$7,$D$7)</f>
        <v/>
      </c>
      <c r="P4752" s="14">
        <f>$C$8+($D$8-$C$8)*$AD4752</f>
        <v/>
      </c>
      <c r="Q4752" s="14">
        <f>$C$9</f>
        <v/>
      </c>
      <c r="R4752" s="14">
        <f>_xlfn.LOGNORM.INV($AF4752,LN($C$10)-0.5*LN(1+($D$10/$C$10)^2),SQRT(LN(1+($D$10/$C$10)^2)))</f>
        <v/>
      </c>
      <c r="S4752" s="14">
        <f>SUM(M4752:R4752)</f>
        <v/>
      </c>
      <c r="AA4752">
        <f>RAND()</f>
        <v/>
      </c>
      <c r="AB4752">
        <f>RAND()</f>
        <v/>
      </c>
      <c r="AC4752">
        <f>RAND()</f>
        <v/>
      </c>
      <c r="AD4752">
        <f>RAND()</f>
        <v/>
      </c>
      <c r="AE4752">
        <f>RAND()</f>
        <v/>
      </c>
      <c r="AF4752">
        <f>RAND()</f>
        <v/>
      </c>
    </row>
    <row r="4753">
      <c r="M4753" s="14">
        <f>_xlfn.BETA.INV($AA4753,1+4*($D$5-$C$5)/($E$5-$C$5),1+4*($E$5-$D$5)/($E$5-$C$5),$C$5,$E$5)</f>
        <v/>
      </c>
      <c r="N4753" s="14">
        <f>IF($AB4753&lt;($D$6-$C$6)/($E$6-$C$6),$C$6+SQRT($AB4753*($E$6-$C$6)*($D$6-$C$6)),$E$6-SQRT((1-$AB4753)*($E$6-$C$6)*($E$6-$D$6)))</f>
        <v/>
      </c>
      <c r="O4753" s="14">
        <f>_xlfn.NORM.INV($AC4753,$C$7,$D$7)</f>
        <v/>
      </c>
      <c r="P4753" s="14">
        <f>$C$8+($D$8-$C$8)*$AD4753</f>
        <v/>
      </c>
      <c r="Q4753" s="14">
        <f>$C$9</f>
        <v/>
      </c>
      <c r="R4753" s="14">
        <f>_xlfn.LOGNORM.INV($AF4753,LN($C$10)-0.5*LN(1+($D$10/$C$10)^2),SQRT(LN(1+($D$10/$C$10)^2)))</f>
        <v/>
      </c>
      <c r="S4753" s="14">
        <f>SUM(M4753:R4753)</f>
        <v/>
      </c>
      <c r="AA4753">
        <f>RAND()</f>
        <v/>
      </c>
      <c r="AB4753">
        <f>RAND()</f>
        <v/>
      </c>
      <c r="AC4753">
        <f>RAND()</f>
        <v/>
      </c>
      <c r="AD4753">
        <f>RAND()</f>
        <v/>
      </c>
      <c r="AE4753">
        <f>RAND()</f>
        <v/>
      </c>
      <c r="AF4753">
        <f>RAND()</f>
        <v/>
      </c>
    </row>
    <row r="4754">
      <c r="M4754" s="14">
        <f>_xlfn.BETA.INV($AA4754,1+4*($D$5-$C$5)/($E$5-$C$5),1+4*($E$5-$D$5)/($E$5-$C$5),$C$5,$E$5)</f>
        <v/>
      </c>
      <c r="N4754" s="14">
        <f>IF($AB4754&lt;($D$6-$C$6)/($E$6-$C$6),$C$6+SQRT($AB4754*($E$6-$C$6)*($D$6-$C$6)),$E$6-SQRT((1-$AB4754)*($E$6-$C$6)*($E$6-$D$6)))</f>
        <v/>
      </c>
      <c r="O4754" s="14">
        <f>_xlfn.NORM.INV($AC4754,$C$7,$D$7)</f>
        <v/>
      </c>
      <c r="P4754" s="14">
        <f>$C$8+($D$8-$C$8)*$AD4754</f>
        <v/>
      </c>
      <c r="Q4754" s="14">
        <f>$C$9</f>
        <v/>
      </c>
      <c r="R4754" s="14">
        <f>_xlfn.LOGNORM.INV($AF4754,LN($C$10)-0.5*LN(1+($D$10/$C$10)^2),SQRT(LN(1+($D$10/$C$10)^2)))</f>
        <v/>
      </c>
      <c r="S4754" s="14">
        <f>SUM(M4754:R4754)</f>
        <v/>
      </c>
      <c r="AA4754">
        <f>RAND()</f>
        <v/>
      </c>
      <c r="AB4754">
        <f>RAND()</f>
        <v/>
      </c>
      <c r="AC4754">
        <f>RAND()</f>
        <v/>
      </c>
      <c r="AD4754">
        <f>RAND()</f>
        <v/>
      </c>
      <c r="AE4754">
        <f>RAND()</f>
        <v/>
      </c>
      <c r="AF4754">
        <f>RAND()</f>
        <v/>
      </c>
    </row>
    <row r="4755">
      <c r="M4755" s="14">
        <f>_xlfn.BETA.INV($AA4755,1+4*($D$5-$C$5)/($E$5-$C$5),1+4*($E$5-$D$5)/($E$5-$C$5),$C$5,$E$5)</f>
        <v/>
      </c>
      <c r="N4755" s="14">
        <f>IF($AB4755&lt;($D$6-$C$6)/($E$6-$C$6),$C$6+SQRT($AB4755*($E$6-$C$6)*($D$6-$C$6)),$E$6-SQRT((1-$AB4755)*($E$6-$C$6)*($E$6-$D$6)))</f>
        <v/>
      </c>
      <c r="O4755" s="14">
        <f>_xlfn.NORM.INV($AC4755,$C$7,$D$7)</f>
        <v/>
      </c>
      <c r="P4755" s="14">
        <f>$C$8+($D$8-$C$8)*$AD4755</f>
        <v/>
      </c>
      <c r="Q4755" s="14">
        <f>$C$9</f>
        <v/>
      </c>
      <c r="R4755" s="14">
        <f>_xlfn.LOGNORM.INV($AF4755,LN($C$10)-0.5*LN(1+($D$10/$C$10)^2),SQRT(LN(1+($D$10/$C$10)^2)))</f>
        <v/>
      </c>
      <c r="S4755" s="14">
        <f>SUM(M4755:R4755)</f>
        <v/>
      </c>
      <c r="AA4755">
        <f>RAND()</f>
        <v/>
      </c>
      <c r="AB4755">
        <f>RAND()</f>
        <v/>
      </c>
      <c r="AC4755">
        <f>RAND()</f>
        <v/>
      </c>
      <c r="AD4755">
        <f>RAND()</f>
        <v/>
      </c>
      <c r="AE4755">
        <f>RAND()</f>
        <v/>
      </c>
      <c r="AF4755">
        <f>RAND()</f>
        <v/>
      </c>
    </row>
    <row r="4756">
      <c r="M4756" s="14">
        <f>_xlfn.BETA.INV($AA4756,1+4*($D$5-$C$5)/($E$5-$C$5),1+4*($E$5-$D$5)/($E$5-$C$5),$C$5,$E$5)</f>
        <v/>
      </c>
      <c r="N4756" s="14">
        <f>IF($AB4756&lt;($D$6-$C$6)/($E$6-$C$6),$C$6+SQRT($AB4756*($E$6-$C$6)*($D$6-$C$6)),$E$6-SQRT((1-$AB4756)*($E$6-$C$6)*($E$6-$D$6)))</f>
        <v/>
      </c>
      <c r="O4756" s="14">
        <f>_xlfn.NORM.INV($AC4756,$C$7,$D$7)</f>
        <v/>
      </c>
      <c r="P4756" s="14">
        <f>$C$8+($D$8-$C$8)*$AD4756</f>
        <v/>
      </c>
      <c r="Q4756" s="14">
        <f>$C$9</f>
        <v/>
      </c>
      <c r="R4756" s="14">
        <f>_xlfn.LOGNORM.INV($AF4756,LN($C$10)-0.5*LN(1+($D$10/$C$10)^2),SQRT(LN(1+($D$10/$C$10)^2)))</f>
        <v/>
      </c>
      <c r="S4756" s="14">
        <f>SUM(M4756:R4756)</f>
        <v/>
      </c>
      <c r="AA4756">
        <f>RAND()</f>
        <v/>
      </c>
      <c r="AB4756">
        <f>RAND()</f>
        <v/>
      </c>
      <c r="AC4756">
        <f>RAND()</f>
        <v/>
      </c>
      <c r="AD4756">
        <f>RAND()</f>
        <v/>
      </c>
      <c r="AE4756">
        <f>RAND()</f>
        <v/>
      </c>
      <c r="AF4756">
        <f>RAND()</f>
        <v/>
      </c>
    </row>
    <row r="4757">
      <c r="M4757" s="14">
        <f>_xlfn.BETA.INV($AA4757,1+4*($D$5-$C$5)/($E$5-$C$5),1+4*($E$5-$D$5)/($E$5-$C$5),$C$5,$E$5)</f>
        <v/>
      </c>
      <c r="N4757" s="14">
        <f>IF($AB4757&lt;($D$6-$C$6)/($E$6-$C$6),$C$6+SQRT($AB4757*($E$6-$C$6)*($D$6-$C$6)),$E$6-SQRT((1-$AB4757)*($E$6-$C$6)*($E$6-$D$6)))</f>
        <v/>
      </c>
      <c r="O4757" s="14">
        <f>_xlfn.NORM.INV($AC4757,$C$7,$D$7)</f>
        <v/>
      </c>
      <c r="P4757" s="14">
        <f>$C$8+($D$8-$C$8)*$AD4757</f>
        <v/>
      </c>
      <c r="Q4757" s="14">
        <f>$C$9</f>
        <v/>
      </c>
      <c r="R4757" s="14">
        <f>_xlfn.LOGNORM.INV($AF4757,LN($C$10)-0.5*LN(1+($D$10/$C$10)^2),SQRT(LN(1+($D$10/$C$10)^2)))</f>
        <v/>
      </c>
      <c r="S4757" s="14">
        <f>SUM(M4757:R4757)</f>
        <v/>
      </c>
      <c r="AA4757">
        <f>RAND()</f>
        <v/>
      </c>
      <c r="AB4757">
        <f>RAND()</f>
        <v/>
      </c>
      <c r="AC4757">
        <f>RAND()</f>
        <v/>
      </c>
      <c r="AD4757">
        <f>RAND()</f>
        <v/>
      </c>
      <c r="AE4757">
        <f>RAND()</f>
        <v/>
      </c>
      <c r="AF4757">
        <f>RAND()</f>
        <v/>
      </c>
    </row>
    <row r="4758">
      <c r="M4758" s="14">
        <f>_xlfn.BETA.INV($AA4758,1+4*($D$5-$C$5)/($E$5-$C$5),1+4*($E$5-$D$5)/($E$5-$C$5),$C$5,$E$5)</f>
        <v/>
      </c>
      <c r="N4758" s="14">
        <f>IF($AB4758&lt;($D$6-$C$6)/($E$6-$C$6),$C$6+SQRT($AB4758*($E$6-$C$6)*($D$6-$C$6)),$E$6-SQRT((1-$AB4758)*($E$6-$C$6)*($E$6-$D$6)))</f>
        <v/>
      </c>
      <c r="O4758" s="14">
        <f>_xlfn.NORM.INV($AC4758,$C$7,$D$7)</f>
        <v/>
      </c>
      <c r="P4758" s="14">
        <f>$C$8+($D$8-$C$8)*$AD4758</f>
        <v/>
      </c>
      <c r="Q4758" s="14">
        <f>$C$9</f>
        <v/>
      </c>
      <c r="R4758" s="14">
        <f>_xlfn.LOGNORM.INV($AF4758,LN($C$10)-0.5*LN(1+($D$10/$C$10)^2),SQRT(LN(1+($D$10/$C$10)^2)))</f>
        <v/>
      </c>
      <c r="S4758" s="14">
        <f>SUM(M4758:R4758)</f>
        <v/>
      </c>
      <c r="AA4758">
        <f>RAND()</f>
        <v/>
      </c>
      <c r="AB4758">
        <f>RAND()</f>
        <v/>
      </c>
      <c r="AC4758">
        <f>RAND()</f>
        <v/>
      </c>
      <c r="AD4758">
        <f>RAND()</f>
        <v/>
      </c>
      <c r="AE4758">
        <f>RAND()</f>
        <v/>
      </c>
      <c r="AF4758">
        <f>RAND()</f>
        <v/>
      </c>
    </row>
    <row r="4759">
      <c r="M4759" s="14">
        <f>_xlfn.BETA.INV($AA4759,1+4*($D$5-$C$5)/($E$5-$C$5),1+4*($E$5-$D$5)/($E$5-$C$5),$C$5,$E$5)</f>
        <v/>
      </c>
      <c r="N4759" s="14">
        <f>IF($AB4759&lt;($D$6-$C$6)/($E$6-$C$6),$C$6+SQRT($AB4759*($E$6-$C$6)*($D$6-$C$6)),$E$6-SQRT((1-$AB4759)*($E$6-$C$6)*($E$6-$D$6)))</f>
        <v/>
      </c>
      <c r="O4759" s="14">
        <f>_xlfn.NORM.INV($AC4759,$C$7,$D$7)</f>
        <v/>
      </c>
      <c r="P4759" s="14">
        <f>$C$8+($D$8-$C$8)*$AD4759</f>
        <v/>
      </c>
      <c r="Q4759" s="14">
        <f>$C$9</f>
        <v/>
      </c>
      <c r="R4759" s="14">
        <f>_xlfn.LOGNORM.INV($AF4759,LN($C$10)-0.5*LN(1+($D$10/$C$10)^2),SQRT(LN(1+($D$10/$C$10)^2)))</f>
        <v/>
      </c>
      <c r="S4759" s="14">
        <f>SUM(M4759:R4759)</f>
        <v/>
      </c>
      <c r="AA4759">
        <f>RAND()</f>
        <v/>
      </c>
      <c r="AB4759">
        <f>RAND()</f>
        <v/>
      </c>
      <c r="AC4759">
        <f>RAND()</f>
        <v/>
      </c>
      <c r="AD4759">
        <f>RAND()</f>
        <v/>
      </c>
      <c r="AE4759">
        <f>RAND()</f>
        <v/>
      </c>
      <c r="AF4759">
        <f>RAND()</f>
        <v/>
      </c>
    </row>
    <row r="4760">
      <c r="M4760" s="14">
        <f>_xlfn.BETA.INV($AA4760,1+4*($D$5-$C$5)/($E$5-$C$5),1+4*($E$5-$D$5)/($E$5-$C$5),$C$5,$E$5)</f>
        <v/>
      </c>
      <c r="N4760" s="14">
        <f>IF($AB4760&lt;($D$6-$C$6)/($E$6-$C$6),$C$6+SQRT($AB4760*($E$6-$C$6)*($D$6-$C$6)),$E$6-SQRT((1-$AB4760)*($E$6-$C$6)*($E$6-$D$6)))</f>
        <v/>
      </c>
      <c r="O4760" s="14">
        <f>_xlfn.NORM.INV($AC4760,$C$7,$D$7)</f>
        <v/>
      </c>
      <c r="P4760" s="14">
        <f>$C$8+($D$8-$C$8)*$AD4760</f>
        <v/>
      </c>
      <c r="Q4760" s="14">
        <f>$C$9</f>
        <v/>
      </c>
      <c r="R4760" s="14">
        <f>_xlfn.LOGNORM.INV($AF4760,LN($C$10)-0.5*LN(1+($D$10/$C$10)^2),SQRT(LN(1+($D$10/$C$10)^2)))</f>
        <v/>
      </c>
      <c r="S4760" s="14">
        <f>SUM(M4760:R4760)</f>
        <v/>
      </c>
      <c r="AA4760">
        <f>RAND()</f>
        <v/>
      </c>
      <c r="AB4760">
        <f>RAND()</f>
        <v/>
      </c>
      <c r="AC4760">
        <f>RAND()</f>
        <v/>
      </c>
      <c r="AD4760">
        <f>RAND()</f>
        <v/>
      </c>
      <c r="AE4760">
        <f>RAND()</f>
        <v/>
      </c>
      <c r="AF4760">
        <f>RAND()</f>
        <v/>
      </c>
    </row>
    <row r="4761">
      <c r="M4761" s="14">
        <f>_xlfn.BETA.INV($AA4761,1+4*($D$5-$C$5)/($E$5-$C$5),1+4*($E$5-$D$5)/($E$5-$C$5),$C$5,$E$5)</f>
        <v/>
      </c>
      <c r="N4761" s="14">
        <f>IF($AB4761&lt;($D$6-$C$6)/($E$6-$C$6),$C$6+SQRT($AB4761*($E$6-$C$6)*($D$6-$C$6)),$E$6-SQRT((1-$AB4761)*($E$6-$C$6)*($E$6-$D$6)))</f>
        <v/>
      </c>
      <c r="O4761" s="14">
        <f>_xlfn.NORM.INV($AC4761,$C$7,$D$7)</f>
        <v/>
      </c>
      <c r="P4761" s="14">
        <f>$C$8+($D$8-$C$8)*$AD4761</f>
        <v/>
      </c>
      <c r="Q4761" s="14">
        <f>$C$9</f>
        <v/>
      </c>
      <c r="R4761" s="14">
        <f>_xlfn.LOGNORM.INV($AF4761,LN($C$10)-0.5*LN(1+($D$10/$C$10)^2),SQRT(LN(1+($D$10/$C$10)^2)))</f>
        <v/>
      </c>
      <c r="S4761" s="14">
        <f>SUM(M4761:R4761)</f>
        <v/>
      </c>
      <c r="AA4761">
        <f>RAND()</f>
        <v/>
      </c>
      <c r="AB4761">
        <f>RAND()</f>
        <v/>
      </c>
      <c r="AC4761">
        <f>RAND()</f>
        <v/>
      </c>
      <c r="AD4761">
        <f>RAND()</f>
        <v/>
      </c>
      <c r="AE4761">
        <f>RAND()</f>
        <v/>
      </c>
      <c r="AF4761">
        <f>RAND()</f>
        <v/>
      </c>
    </row>
    <row r="4762">
      <c r="M4762" s="14">
        <f>_xlfn.BETA.INV($AA4762,1+4*($D$5-$C$5)/($E$5-$C$5),1+4*($E$5-$D$5)/($E$5-$C$5),$C$5,$E$5)</f>
        <v/>
      </c>
      <c r="N4762" s="14">
        <f>IF($AB4762&lt;($D$6-$C$6)/($E$6-$C$6),$C$6+SQRT($AB4762*($E$6-$C$6)*($D$6-$C$6)),$E$6-SQRT((1-$AB4762)*($E$6-$C$6)*($E$6-$D$6)))</f>
        <v/>
      </c>
      <c r="O4762" s="14">
        <f>_xlfn.NORM.INV($AC4762,$C$7,$D$7)</f>
        <v/>
      </c>
      <c r="P4762" s="14">
        <f>$C$8+($D$8-$C$8)*$AD4762</f>
        <v/>
      </c>
      <c r="Q4762" s="14">
        <f>$C$9</f>
        <v/>
      </c>
      <c r="R4762" s="14">
        <f>_xlfn.LOGNORM.INV($AF4762,LN($C$10)-0.5*LN(1+($D$10/$C$10)^2),SQRT(LN(1+($D$10/$C$10)^2)))</f>
        <v/>
      </c>
      <c r="S4762" s="14">
        <f>SUM(M4762:R4762)</f>
        <v/>
      </c>
      <c r="AA4762">
        <f>RAND()</f>
        <v/>
      </c>
      <c r="AB4762">
        <f>RAND()</f>
        <v/>
      </c>
      <c r="AC4762">
        <f>RAND()</f>
        <v/>
      </c>
      <c r="AD4762">
        <f>RAND()</f>
        <v/>
      </c>
      <c r="AE4762">
        <f>RAND()</f>
        <v/>
      </c>
      <c r="AF4762">
        <f>RAND()</f>
        <v/>
      </c>
    </row>
    <row r="4763">
      <c r="M4763" s="14">
        <f>_xlfn.BETA.INV($AA4763,1+4*($D$5-$C$5)/($E$5-$C$5),1+4*($E$5-$D$5)/($E$5-$C$5),$C$5,$E$5)</f>
        <v/>
      </c>
      <c r="N4763" s="14">
        <f>IF($AB4763&lt;($D$6-$C$6)/($E$6-$C$6),$C$6+SQRT($AB4763*($E$6-$C$6)*($D$6-$C$6)),$E$6-SQRT((1-$AB4763)*($E$6-$C$6)*($E$6-$D$6)))</f>
        <v/>
      </c>
      <c r="O4763" s="14">
        <f>_xlfn.NORM.INV($AC4763,$C$7,$D$7)</f>
        <v/>
      </c>
      <c r="P4763" s="14">
        <f>$C$8+($D$8-$C$8)*$AD4763</f>
        <v/>
      </c>
      <c r="Q4763" s="14">
        <f>$C$9</f>
        <v/>
      </c>
      <c r="R4763" s="14">
        <f>_xlfn.LOGNORM.INV($AF4763,LN($C$10)-0.5*LN(1+($D$10/$C$10)^2),SQRT(LN(1+($D$10/$C$10)^2)))</f>
        <v/>
      </c>
      <c r="S4763" s="14">
        <f>SUM(M4763:R4763)</f>
        <v/>
      </c>
      <c r="AA4763">
        <f>RAND()</f>
        <v/>
      </c>
      <c r="AB4763">
        <f>RAND()</f>
        <v/>
      </c>
      <c r="AC4763">
        <f>RAND()</f>
        <v/>
      </c>
      <c r="AD4763">
        <f>RAND()</f>
        <v/>
      </c>
      <c r="AE4763">
        <f>RAND()</f>
        <v/>
      </c>
      <c r="AF4763">
        <f>RAND()</f>
        <v/>
      </c>
    </row>
    <row r="4764">
      <c r="M4764" s="14">
        <f>_xlfn.BETA.INV($AA4764,1+4*($D$5-$C$5)/($E$5-$C$5),1+4*($E$5-$D$5)/($E$5-$C$5),$C$5,$E$5)</f>
        <v/>
      </c>
      <c r="N4764" s="14">
        <f>IF($AB4764&lt;($D$6-$C$6)/($E$6-$C$6),$C$6+SQRT($AB4764*($E$6-$C$6)*($D$6-$C$6)),$E$6-SQRT((1-$AB4764)*($E$6-$C$6)*($E$6-$D$6)))</f>
        <v/>
      </c>
      <c r="O4764" s="14">
        <f>_xlfn.NORM.INV($AC4764,$C$7,$D$7)</f>
        <v/>
      </c>
      <c r="P4764" s="14">
        <f>$C$8+($D$8-$C$8)*$AD4764</f>
        <v/>
      </c>
      <c r="Q4764" s="14">
        <f>$C$9</f>
        <v/>
      </c>
      <c r="R4764" s="14">
        <f>_xlfn.LOGNORM.INV($AF4764,LN($C$10)-0.5*LN(1+($D$10/$C$10)^2),SQRT(LN(1+($D$10/$C$10)^2)))</f>
        <v/>
      </c>
      <c r="S4764" s="14">
        <f>SUM(M4764:R4764)</f>
        <v/>
      </c>
      <c r="AA4764">
        <f>RAND()</f>
        <v/>
      </c>
      <c r="AB4764">
        <f>RAND()</f>
        <v/>
      </c>
      <c r="AC4764">
        <f>RAND()</f>
        <v/>
      </c>
      <c r="AD4764">
        <f>RAND()</f>
        <v/>
      </c>
      <c r="AE4764">
        <f>RAND()</f>
        <v/>
      </c>
      <c r="AF4764">
        <f>RAND()</f>
        <v/>
      </c>
    </row>
    <row r="4765">
      <c r="M4765" s="14">
        <f>_xlfn.BETA.INV($AA4765,1+4*($D$5-$C$5)/($E$5-$C$5),1+4*($E$5-$D$5)/($E$5-$C$5),$C$5,$E$5)</f>
        <v/>
      </c>
      <c r="N4765" s="14">
        <f>IF($AB4765&lt;($D$6-$C$6)/($E$6-$C$6),$C$6+SQRT($AB4765*($E$6-$C$6)*($D$6-$C$6)),$E$6-SQRT((1-$AB4765)*($E$6-$C$6)*($E$6-$D$6)))</f>
        <v/>
      </c>
      <c r="O4765" s="14">
        <f>_xlfn.NORM.INV($AC4765,$C$7,$D$7)</f>
        <v/>
      </c>
      <c r="P4765" s="14">
        <f>$C$8+($D$8-$C$8)*$AD4765</f>
        <v/>
      </c>
      <c r="Q4765" s="14">
        <f>$C$9</f>
        <v/>
      </c>
      <c r="R4765" s="14">
        <f>_xlfn.LOGNORM.INV($AF4765,LN($C$10)-0.5*LN(1+($D$10/$C$10)^2),SQRT(LN(1+($D$10/$C$10)^2)))</f>
        <v/>
      </c>
      <c r="S4765" s="14">
        <f>SUM(M4765:R4765)</f>
        <v/>
      </c>
      <c r="AA4765">
        <f>RAND()</f>
        <v/>
      </c>
      <c r="AB4765">
        <f>RAND()</f>
        <v/>
      </c>
      <c r="AC4765">
        <f>RAND()</f>
        <v/>
      </c>
      <c r="AD4765">
        <f>RAND()</f>
        <v/>
      </c>
      <c r="AE4765">
        <f>RAND()</f>
        <v/>
      </c>
      <c r="AF4765">
        <f>RAND()</f>
        <v/>
      </c>
    </row>
    <row r="4766">
      <c r="M4766" s="14">
        <f>_xlfn.BETA.INV($AA4766,1+4*($D$5-$C$5)/($E$5-$C$5),1+4*($E$5-$D$5)/($E$5-$C$5),$C$5,$E$5)</f>
        <v/>
      </c>
      <c r="N4766" s="14">
        <f>IF($AB4766&lt;($D$6-$C$6)/($E$6-$C$6),$C$6+SQRT($AB4766*($E$6-$C$6)*($D$6-$C$6)),$E$6-SQRT((1-$AB4766)*($E$6-$C$6)*($E$6-$D$6)))</f>
        <v/>
      </c>
      <c r="O4766" s="14">
        <f>_xlfn.NORM.INV($AC4766,$C$7,$D$7)</f>
        <v/>
      </c>
      <c r="P4766" s="14">
        <f>$C$8+($D$8-$C$8)*$AD4766</f>
        <v/>
      </c>
      <c r="Q4766" s="14">
        <f>$C$9</f>
        <v/>
      </c>
      <c r="R4766" s="14">
        <f>_xlfn.LOGNORM.INV($AF4766,LN($C$10)-0.5*LN(1+($D$10/$C$10)^2),SQRT(LN(1+($D$10/$C$10)^2)))</f>
        <v/>
      </c>
      <c r="S4766" s="14">
        <f>SUM(M4766:R4766)</f>
        <v/>
      </c>
      <c r="AA4766">
        <f>RAND()</f>
        <v/>
      </c>
      <c r="AB4766">
        <f>RAND()</f>
        <v/>
      </c>
      <c r="AC4766">
        <f>RAND()</f>
        <v/>
      </c>
      <c r="AD4766">
        <f>RAND()</f>
        <v/>
      </c>
      <c r="AE4766">
        <f>RAND()</f>
        <v/>
      </c>
      <c r="AF4766">
        <f>RAND()</f>
        <v/>
      </c>
    </row>
    <row r="4767">
      <c r="M4767" s="14">
        <f>_xlfn.BETA.INV($AA4767,1+4*($D$5-$C$5)/($E$5-$C$5),1+4*($E$5-$D$5)/($E$5-$C$5),$C$5,$E$5)</f>
        <v/>
      </c>
      <c r="N4767" s="14">
        <f>IF($AB4767&lt;($D$6-$C$6)/($E$6-$C$6),$C$6+SQRT($AB4767*($E$6-$C$6)*($D$6-$C$6)),$E$6-SQRT((1-$AB4767)*($E$6-$C$6)*($E$6-$D$6)))</f>
        <v/>
      </c>
      <c r="O4767" s="14">
        <f>_xlfn.NORM.INV($AC4767,$C$7,$D$7)</f>
        <v/>
      </c>
      <c r="P4767" s="14">
        <f>$C$8+($D$8-$C$8)*$AD4767</f>
        <v/>
      </c>
      <c r="Q4767" s="14">
        <f>$C$9</f>
        <v/>
      </c>
      <c r="R4767" s="14">
        <f>_xlfn.LOGNORM.INV($AF4767,LN($C$10)-0.5*LN(1+($D$10/$C$10)^2),SQRT(LN(1+($D$10/$C$10)^2)))</f>
        <v/>
      </c>
      <c r="S4767" s="14">
        <f>SUM(M4767:R4767)</f>
        <v/>
      </c>
      <c r="AA4767">
        <f>RAND()</f>
        <v/>
      </c>
      <c r="AB4767">
        <f>RAND()</f>
        <v/>
      </c>
      <c r="AC4767">
        <f>RAND()</f>
        <v/>
      </c>
      <c r="AD4767">
        <f>RAND()</f>
        <v/>
      </c>
      <c r="AE4767">
        <f>RAND()</f>
        <v/>
      </c>
      <c r="AF4767">
        <f>RAND()</f>
        <v/>
      </c>
    </row>
    <row r="4768">
      <c r="M4768" s="14">
        <f>_xlfn.BETA.INV($AA4768,1+4*($D$5-$C$5)/($E$5-$C$5),1+4*($E$5-$D$5)/($E$5-$C$5),$C$5,$E$5)</f>
        <v/>
      </c>
      <c r="N4768" s="14">
        <f>IF($AB4768&lt;($D$6-$C$6)/($E$6-$C$6),$C$6+SQRT($AB4768*($E$6-$C$6)*($D$6-$C$6)),$E$6-SQRT((1-$AB4768)*($E$6-$C$6)*($E$6-$D$6)))</f>
        <v/>
      </c>
      <c r="O4768" s="14">
        <f>_xlfn.NORM.INV($AC4768,$C$7,$D$7)</f>
        <v/>
      </c>
      <c r="P4768" s="14">
        <f>$C$8+($D$8-$C$8)*$AD4768</f>
        <v/>
      </c>
      <c r="Q4768" s="14">
        <f>$C$9</f>
        <v/>
      </c>
      <c r="R4768" s="14">
        <f>_xlfn.LOGNORM.INV($AF4768,LN($C$10)-0.5*LN(1+($D$10/$C$10)^2),SQRT(LN(1+($D$10/$C$10)^2)))</f>
        <v/>
      </c>
      <c r="S4768" s="14">
        <f>SUM(M4768:R4768)</f>
        <v/>
      </c>
      <c r="AA4768">
        <f>RAND()</f>
        <v/>
      </c>
      <c r="AB4768">
        <f>RAND()</f>
        <v/>
      </c>
      <c r="AC4768">
        <f>RAND()</f>
        <v/>
      </c>
      <c r="AD4768">
        <f>RAND()</f>
        <v/>
      </c>
      <c r="AE4768">
        <f>RAND()</f>
        <v/>
      </c>
      <c r="AF4768">
        <f>RAND()</f>
        <v/>
      </c>
    </row>
    <row r="4769">
      <c r="M4769" s="14">
        <f>_xlfn.BETA.INV($AA4769,1+4*($D$5-$C$5)/($E$5-$C$5),1+4*($E$5-$D$5)/($E$5-$C$5),$C$5,$E$5)</f>
        <v/>
      </c>
      <c r="N4769" s="14">
        <f>IF($AB4769&lt;($D$6-$C$6)/($E$6-$C$6),$C$6+SQRT($AB4769*($E$6-$C$6)*($D$6-$C$6)),$E$6-SQRT((1-$AB4769)*($E$6-$C$6)*($E$6-$D$6)))</f>
        <v/>
      </c>
      <c r="O4769" s="14">
        <f>_xlfn.NORM.INV($AC4769,$C$7,$D$7)</f>
        <v/>
      </c>
      <c r="P4769" s="14">
        <f>$C$8+($D$8-$C$8)*$AD4769</f>
        <v/>
      </c>
      <c r="Q4769" s="14">
        <f>$C$9</f>
        <v/>
      </c>
      <c r="R4769" s="14">
        <f>_xlfn.LOGNORM.INV($AF4769,LN($C$10)-0.5*LN(1+($D$10/$C$10)^2),SQRT(LN(1+($D$10/$C$10)^2)))</f>
        <v/>
      </c>
      <c r="S4769" s="14">
        <f>SUM(M4769:R4769)</f>
        <v/>
      </c>
      <c r="AA4769">
        <f>RAND()</f>
        <v/>
      </c>
      <c r="AB4769">
        <f>RAND()</f>
        <v/>
      </c>
      <c r="AC4769">
        <f>RAND()</f>
        <v/>
      </c>
      <c r="AD4769">
        <f>RAND()</f>
        <v/>
      </c>
      <c r="AE4769">
        <f>RAND()</f>
        <v/>
      </c>
      <c r="AF4769">
        <f>RAND()</f>
        <v/>
      </c>
    </row>
    <row r="4770">
      <c r="M4770" s="14">
        <f>_xlfn.BETA.INV($AA4770,1+4*($D$5-$C$5)/($E$5-$C$5),1+4*($E$5-$D$5)/($E$5-$C$5),$C$5,$E$5)</f>
        <v/>
      </c>
      <c r="N4770" s="14">
        <f>IF($AB4770&lt;($D$6-$C$6)/($E$6-$C$6),$C$6+SQRT($AB4770*($E$6-$C$6)*($D$6-$C$6)),$E$6-SQRT((1-$AB4770)*($E$6-$C$6)*($E$6-$D$6)))</f>
        <v/>
      </c>
      <c r="O4770" s="14">
        <f>_xlfn.NORM.INV($AC4770,$C$7,$D$7)</f>
        <v/>
      </c>
      <c r="P4770" s="14">
        <f>$C$8+($D$8-$C$8)*$AD4770</f>
        <v/>
      </c>
      <c r="Q4770" s="14">
        <f>$C$9</f>
        <v/>
      </c>
      <c r="R4770" s="14">
        <f>_xlfn.LOGNORM.INV($AF4770,LN($C$10)-0.5*LN(1+($D$10/$C$10)^2),SQRT(LN(1+($D$10/$C$10)^2)))</f>
        <v/>
      </c>
      <c r="S4770" s="14">
        <f>SUM(M4770:R4770)</f>
        <v/>
      </c>
      <c r="AA4770">
        <f>RAND()</f>
        <v/>
      </c>
      <c r="AB4770">
        <f>RAND()</f>
        <v/>
      </c>
      <c r="AC4770">
        <f>RAND()</f>
        <v/>
      </c>
      <c r="AD4770">
        <f>RAND()</f>
        <v/>
      </c>
      <c r="AE4770">
        <f>RAND()</f>
        <v/>
      </c>
      <c r="AF4770">
        <f>RAND()</f>
        <v/>
      </c>
    </row>
    <row r="4771">
      <c r="M4771" s="14">
        <f>_xlfn.BETA.INV($AA4771,1+4*($D$5-$C$5)/($E$5-$C$5),1+4*($E$5-$D$5)/($E$5-$C$5),$C$5,$E$5)</f>
        <v/>
      </c>
      <c r="N4771" s="14">
        <f>IF($AB4771&lt;($D$6-$C$6)/($E$6-$C$6),$C$6+SQRT($AB4771*($E$6-$C$6)*($D$6-$C$6)),$E$6-SQRT((1-$AB4771)*($E$6-$C$6)*($E$6-$D$6)))</f>
        <v/>
      </c>
      <c r="O4771" s="14">
        <f>_xlfn.NORM.INV($AC4771,$C$7,$D$7)</f>
        <v/>
      </c>
      <c r="P4771" s="14">
        <f>$C$8+($D$8-$C$8)*$AD4771</f>
        <v/>
      </c>
      <c r="Q4771" s="14">
        <f>$C$9</f>
        <v/>
      </c>
      <c r="R4771" s="14">
        <f>_xlfn.LOGNORM.INV($AF4771,LN($C$10)-0.5*LN(1+($D$10/$C$10)^2),SQRT(LN(1+($D$10/$C$10)^2)))</f>
        <v/>
      </c>
      <c r="S4771" s="14">
        <f>SUM(M4771:R4771)</f>
        <v/>
      </c>
      <c r="AA4771">
        <f>RAND()</f>
        <v/>
      </c>
      <c r="AB4771">
        <f>RAND()</f>
        <v/>
      </c>
      <c r="AC4771">
        <f>RAND()</f>
        <v/>
      </c>
      <c r="AD4771">
        <f>RAND()</f>
        <v/>
      </c>
      <c r="AE4771">
        <f>RAND()</f>
        <v/>
      </c>
      <c r="AF4771">
        <f>RAND()</f>
        <v/>
      </c>
    </row>
    <row r="4772">
      <c r="M4772" s="14">
        <f>_xlfn.BETA.INV($AA4772,1+4*($D$5-$C$5)/($E$5-$C$5),1+4*($E$5-$D$5)/($E$5-$C$5),$C$5,$E$5)</f>
        <v/>
      </c>
      <c r="N4772" s="14">
        <f>IF($AB4772&lt;($D$6-$C$6)/($E$6-$C$6),$C$6+SQRT($AB4772*($E$6-$C$6)*($D$6-$C$6)),$E$6-SQRT((1-$AB4772)*($E$6-$C$6)*($E$6-$D$6)))</f>
        <v/>
      </c>
      <c r="O4772" s="14">
        <f>_xlfn.NORM.INV($AC4772,$C$7,$D$7)</f>
        <v/>
      </c>
      <c r="P4772" s="14">
        <f>$C$8+($D$8-$C$8)*$AD4772</f>
        <v/>
      </c>
      <c r="Q4772" s="14">
        <f>$C$9</f>
        <v/>
      </c>
      <c r="R4772" s="14">
        <f>_xlfn.LOGNORM.INV($AF4772,LN($C$10)-0.5*LN(1+($D$10/$C$10)^2),SQRT(LN(1+($D$10/$C$10)^2)))</f>
        <v/>
      </c>
      <c r="S4772" s="14">
        <f>SUM(M4772:R4772)</f>
        <v/>
      </c>
      <c r="AA4772">
        <f>RAND()</f>
        <v/>
      </c>
      <c r="AB4772">
        <f>RAND()</f>
        <v/>
      </c>
      <c r="AC4772">
        <f>RAND()</f>
        <v/>
      </c>
      <c r="AD4772">
        <f>RAND()</f>
        <v/>
      </c>
      <c r="AE4772">
        <f>RAND()</f>
        <v/>
      </c>
      <c r="AF4772">
        <f>RAND()</f>
        <v/>
      </c>
    </row>
    <row r="4773">
      <c r="M4773" s="14">
        <f>_xlfn.BETA.INV($AA4773,1+4*($D$5-$C$5)/($E$5-$C$5),1+4*($E$5-$D$5)/($E$5-$C$5),$C$5,$E$5)</f>
        <v/>
      </c>
      <c r="N4773" s="14">
        <f>IF($AB4773&lt;($D$6-$C$6)/($E$6-$C$6),$C$6+SQRT($AB4773*($E$6-$C$6)*($D$6-$C$6)),$E$6-SQRT((1-$AB4773)*($E$6-$C$6)*($E$6-$D$6)))</f>
        <v/>
      </c>
      <c r="O4773" s="14">
        <f>_xlfn.NORM.INV($AC4773,$C$7,$D$7)</f>
        <v/>
      </c>
      <c r="P4773" s="14">
        <f>$C$8+($D$8-$C$8)*$AD4773</f>
        <v/>
      </c>
      <c r="Q4773" s="14">
        <f>$C$9</f>
        <v/>
      </c>
      <c r="R4773" s="14">
        <f>_xlfn.LOGNORM.INV($AF4773,LN($C$10)-0.5*LN(1+($D$10/$C$10)^2),SQRT(LN(1+($D$10/$C$10)^2)))</f>
        <v/>
      </c>
      <c r="S4773" s="14">
        <f>SUM(M4773:R4773)</f>
        <v/>
      </c>
      <c r="AA4773">
        <f>RAND()</f>
        <v/>
      </c>
      <c r="AB4773">
        <f>RAND()</f>
        <v/>
      </c>
      <c r="AC4773">
        <f>RAND()</f>
        <v/>
      </c>
      <c r="AD4773">
        <f>RAND()</f>
        <v/>
      </c>
      <c r="AE4773">
        <f>RAND()</f>
        <v/>
      </c>
      <c r="AF4773">
        <f>RAND()</f>
        <v/>
      </c>
    </row>
    <row r="4774">
      <c r="M4774" s="14">
        <f>_xlfn.BETA.INV($AA4774,1+4*($D$5-$C$5)/($E$5-$C$5),1+4*($E$5-$D$5)/($E$5-$C$5),$C$5,$E$5)</f>
        <v/>
      </c>
      <c r="N4774" s="14">
        <f>IF($AB4774&lt;($D$6-$C$6)/($E$6-$C$6),$C$6+SQRT($AB4774*($E$6-$C$6)*($D$6-$C$6)),$E$6-SQRT((1-$AB4774)*($E$6-$C$6)*($E$6-$D$6)))</f>
        <v/>
      </c>
      <c r="O4774" s="14">
        <f>_xlfn.NORM.INV($AC4774,$C$7,$D$7)</f>
        <v/>
      </c>
      <c r="P4774" s="14">
        <f>$C$8+($D$8-$C$8)*$AD4774</f>
        <v/>
      </c>
      <c r="Q4774" s="14">
        <f>$C$9</f>
        <v/>
      </c>
      <c r="R4774" s="14">
        <f>_xlfn.LOGNORM.INV($AF4774,LN($C$10)-0.5*LN(1+($D$10/$C$10)^2),SQRT(LN(1+($D$10/$C$10)^2)))</f>
        <v/>
      </c>
      <c r="S4774" s="14">
        <f>SUM(M4774:R4774)</f>
        <v/>
      </c>
      <c r="AA4774">
        <f>RAND()</f>
        <v/>
      </c>
      <c r="AB4774">
        <f>RAND()</f>
        <v/>
      </c>
      <c r="AC4774">
        <f>RAND()</f>
        <v/>
      </c>
      <c r="AD4774">
        <f>RAND()</f>
        <v/>
      </c>
      <c r="AE4774">
        <f>RAND()</f>
        <v/>
      </c>
      <c r="AF4774">
        <f>RAND()</f>
        <v/>
      </c>
    </row>
    <row r="4775">
      <c r="M4775" s="14">
        <f>_xlfn.BETA.INV($AA4775,1+4*($D$5-$C$5)/($E$5-$C$5),1+4*($E$5-$D$5)/($E$5-$C$5),$C$5,$E$5)</f>
        <v/>
      </c>
      <c r="N4775" s="14">
        <f>IF($AB4775&lt;($D$6-$C$6)/($E$6-$C$6),$C$6+SQRT($AB4775*($E$6-$C$6)*($D$6-$C$6)),$E$6-SQRT((1-$AB4775)*($E$6-$C$6)*($E$6-$D$6)))</f>
        <v/>
      </c>
      <c r="O4775" s="14">
        <f>_xlfn.NORM.INV($AC4775,$C$7,$D$7)</f>
        <v/>
      </c>
      <c r="P4775" s="14">
        <f>$C$8+($D$8-$C$8)*$AD4775</f>
        <v/>
      </c>
      <c r="Q4775" s="14">
        <f>$C$9</f>
        <v/>
      </c>
      <c r="R4775" s="14">
        <f>_xlfn.LOGNORM.INV($AF4775,LN($C$10)-0.5*LN(1+($D$10/$C$10)^2),SQRT(LN(1+($D$10/$C$10)^2)))</f>
        <v/>
      </c>
      <c r="S4775" s="14">
        <f>SUM(M4775:R4775)</f>
        <v/>
      </c>
      <c r="AA4775">
        <f>RAND()</f>
        <v/>
      </c>
      <c r="AB4775">
        <f>RAND()</f>
        <v/>
      </c>
      <c r="AC4775">
        <f>RAND()</f>
        <v/>
      </c>
      <c r="AD4775">
        <f>RAND()</f>
        <v/>
      </c>
      <c r="AE4775">
        <f>RAND()</f>
        <v/>
      </c>
      <c r="AF4775">
        <f>RAND()</f>
        <v/>
      </c>
    </row>
    <row r="4776">
      <c r="M4776" s="14">
        <f>_xlfn.BETA.INV($AA4776,1+4*($D$5-$C$5)/($E$5-$C$5),1+4*($E$5-$D$5)/($E$5-$C$5),$C$5,$E$5)</f>
        <v/>
      </c>
      <c r="N4776" s="14">
        <f>IF($AB4776&lt;($D$6-$C$6)/($E$6-$C$6),$C$6+SQRT($AB4776*($E$6-$C$6)*($D$6-$C$6)),$E$6-SQRT((1-$AB4776)*($E$6-$C$6)*($E$6-$D$6)))</f>
        <v/>
      </c>
      <c r="O4776" s="14">
        <f>_xlfn.NORM.INV($AC4776,$C$7,$D$7)</f>
        <v/>
      </c>
      <c r="P4776" s="14">
        <f>$C$8+($D$8-$C$8)*$AD4776</f>
        <v/>
      </c>
      <c r="Q4776" s="14">
        <f>$C$9</f>
        <v/>
      </c>
      <c r="R4776" s="14">
        <f>_xlfn.LOGNORM.INV($AF4776,LN($C$10)-0.5*LN(1+($D$10/$C$10)^2),SQRT(LN(1+($D$10/$C$10)^2)))</f>
        <v/>
      </c>
      <c r="S4776" s="14">
        <f>SUM(M4776:R4776)</f>
        <v/>
      </c>
      <c r="AA4776">
        <f>RAND()</f>
        <v/>
      </c>
      <c r="AB4776">
        <f>RAND()</f>
        <v/>
      </c>
      <c r="AC4776">
        <f>RAND()</f>
        <v/>
      </c>
      <c r="AD4776">
        <f>RAND()</f>
        <v/>
      </c>
      <c r="AE4776">
        <f>RAND()</f>
        <v/>
      </c>
      <c r="AF4776">
        <f>RAND()</f>
        <v/>
      </c>
    </row>
    <row r="4777">
      <c r="M4777" s="14">
        <f>_xlfn.BETA.INV($AA4777,1+4*($D$5-$C$5)/($E$5-$C$5),1+4*($E$5-$D$5)/($E$5-$C$5),$C$5,$E$5)</f>
        <v/>
      </c>
      <c r="N4777" s="14">
        <f>IF($AB4777&lt;($D$6-$C$6)/($E$6-$C$6),$C$6+SQRT($AB4777*($E$6-$C$6)*($D$6-$C$6)),$E$6-SQRT((1-$AB4777)*($E$6-$C$6)*($E$6-$D$6)))</f>
        <v/>
      </c>
      <c r="O4777" s="14">
        <f>_xlfn.NORM.INV($AC4777,$C$7,$D$7)</f>
        <v/>
      </c>
      <c r="P4777" s="14">
        <f>$C$8+($D$8-$C$8)*$AD4777</f>
        <v/>
      </c>
      <c r="Q4777" s="14">
        <f>$C$9</f>
        <v/>
      </c>
      <c r="R4777" s="14">
        <f>_xlfn.LOGNORM.INV($AF4777,LN($C$10)-0.5*LN(1+($D$10/$C$10)^2),SQRT(LN(1+($D$10/$C$10)^2)))</f>
        <v/>
      </c>
      <c r="S4777" s="14">
        <f>SUM(M4777:R4777)</f>
        <v/>
      </c>
      <c r="AA4777">
        <f>RAND()</f>
        <v/>
      </c>
      <c r="AB4777">
        <f>RAND()</f>
        <v/>
      </c>
      <c r="AC4777">
        <f>RAND()</f>
        <v/>
      </c>
      <c r="AD4777">
        <f>RAND()</f>
        <v/>
      </c>
      <c r="AE4777">
        <f>RAND()</f>
        <v/>
      </c>
      <c r="AF4777">
        <f>RAND()</f>
        <v/>
      </c>
    </row>
    <row r="4778">
      <c r="M4778" s="14">
        <f>_xlfn.BETA.INV($AA4778,1+4*($D$5-$C$5)/($E$5-$C$5),1+4*($E$5-$D$5)/($E$5-$C$5),$C$5,$E$5)</f>
        <v/>
      </c>
      <c r="N4778" s="14">
        <f>IF($AB4778&lt;($D$6-$C$6)/($E$6-$C$6),$C$6+SQRT($AB4778*($E$6-$C$6)*($D$6-$C$6)),$E$6-SQRT((1-$AB4778)*($E$6-$C$6)*($E$6-$D$6)))</f>
        <v/>
      </c>
      <c r="O4778" s="14">
        <f>_xlfn.NORM.INV($AC4778,$C$7,$D$7)</f>
        <v/>
      </c>
      <c r="P4778" s="14">
        <f>$C$8+($D$8-$C$8)*$AD4778</f>
        <v/>
      </c>
      <c r="Q4778" s="14">
        <f>$C$9</f>
        <v/>
      </c>
      <c r="R4778" s="14">
        <f>_xlfn.LOGNORM.INV($AF4778,LN($C$10)-0.5*LN(1+($D$10/$C$10)^2),SQRT(LN(1+($D$10/$C$10)^2)))</f>
        <v/>
      </c>
      <c r="S4778" s="14">
        <f>SUM(M4778:R4778)</f>
        <v/>
      </c>
      <c r="AA4778">
        <f>RAND()</f>
        <v/>
      </c>
      <c r="AB4778">
        <f>RAND()</f>
        <v/>
      </c>
      <c r="AC4778">
        <f>RAND()</f>
        <v/>
      </c>
      <c r="AD4778">
        <f>RAND()</f>
        <v/>
      </c>
      <c r="AE4778">
        <f>RAND()</f>
        <v/>
      </c>
      <c r="AF4778">
        <f>RAND()</f>
        <v/>
      </c>
    </row>
    <row r="4779">
      <c r="M4779" s="14">
        <f>_xlfn.BETA.INV($AA4779,1+4*($D$5-$C$5)/($E$5-$C$5),1+4*($E$5-$D$5)/($E$5-$C$5),$C$5,$E$5)</f>
        <v/>
      </c>
      <c r="N4779" s="14">
        <f>IF($AB4779&lt;($D$6-$C$6)/($E$6-$C$6),$C$6+SQRT($AB4779*($E$6-$C$6)*($D$6-$C$6)),$E$6-SQRT((1-$AB4779)*($E$6-$C$6)*($E$6-$D$6)))</f>
        <v/>
      </c>
      <c r="O4779" s="14">
        <f>_xlfn.NORM.INV($AC4779,$C$7,$D$7)</f>
        <v/>
      </c>
      <c r="P4779" s="14">
        <f>$C$8+($D$8-$C$8)*$AD4779</f>
        <v/>
      </c>
      <c r="Q4779" s="14">
        <f>$C$9</f>
        <v/>
      </c>
      <c r="R4779" s="14">
        <f>_xlfn.LOGNORM.INV($AF4779,LN($C$10)-0.5*LN(1+($D$10/$C$10)^2),SQRT(LN(1+($D$10/$C$10)^2)))</f>
        <v/>
      </c>
      <c r="S4779" s="14">
        <f>SUM(M4779:R4779)</f>
        <v/>
      </c>
      <c r="AA4779">
        <f>RAND()</f>
        <v/>
      </c>
      <c r="AB4779">
        <f>RAND()</f>
        <v/>
      </c>
      <c r="AC4779">
        <f>RAND()</f>
        <v/>
      </c>
      <c r="AD4779">
        <f>RAND()</f>
        <v/>
      </c>
      <c r="AE4779">
        <f>RAND()</f>
        <v/>
      </c>
      <c r="AF4779">
        <f>RAND()</f>
        <v/>
      </c>
    </row>
    <row r="4780">
      <c r="M4780" s="14">
        <f>_xlfn.BETA.INV($AA4780,1+4*($D$5-$C$5)/($E$5-$C$5),1+4*($E$5-$D$5)/($E$5-$C$5),$C$5,$E$5)</f>
        <v/>
      </c>
      <c r="N4780" s="14">
        <f>IF($AB4780&lt;($D$6-$C$6)/($E$6-$C$6),$C$6+SQRT($AB4780*($E$6-$C$6)*($D$6-$C$6)),$E$6-SQRT((1-$AB4780)*($E$6-$C$6)*($E$6-$D$6)))</f>
        <v/>
      </c>
      <c r="O4780" s="14">
        <f>_xlfn.NORM.INV($AC4780,$C$7,$D$7)</f>
        <v/>
      </c>
      <c r="P4780" s="14">
        <f>$C$8+($D$8-$C$8)*$AD4780</f>
        <v/>
      </c>
      <c r="Q4780" s="14">
        <f>$C$9</f>
        <v/>
      </c>
      <c r="R4780" s="14">
        <f>_xlfn.LOGNORM.INV($AF4780,LN($C$10)-0.5*LN(1+($D$10/$C$10)^2),SQRT(LN(1+($D$10/$C$10)^2)))</f>
        <v/>
      </c>
      <c r="S4780" s="14">
        <f>SUM(M4780:R4780)</f>
        <v/>
      </c>
      <c r="AA4780">
        <f>RAND()</f>
        <v/>
      </c>
      <c r="AB4780">
        <f>RAND()</f>
        <v/>
      </c>
      <c r="AC4780">
        <f>RAND()</f>
        <v/>
      </c>
      <c r="AD4780">
        <f>RAND()</f>
        <v/>
      </c>
      <c r="AE4780">
        <f>RAND()</f>
        <v/>
      </c>
      <c r="AF4780">
        <f>RAND()</f>
        <v/>
      </c>
    </row>
    <row r="4781">
      <c r="M4781" s="14">
        <f>_xlfn.BETA.INV($AA4781,1+4*($D$5-$C$5)/($E$5-$C$5),1+4*($E$5-$D$5)/($E$5-$C$5),$C$5,$E$5)</f>
        <v/>
      </c>
      <c r="N4781" s="14">
        <f>IF($AB4781&lt;($D$6-$C$6)/($E$6-$C$6),$C$6+SQRT($AB4781*($E$6-$C$6)*($D$6-$C$6)),$E$6-SQRT((1-$AB4781)*($E$6-$C$6)*($E$6-$D$6)))</f>
        <v/>
      </c>
      <c r="O4781" s="14">
        <f>_xlfn.NORM.INV($AC4781,$C$7,$D$7)</f>
        <v/>
      </c>
      <c r="P4781" s="14">
        <f>$C$8+($D$8-$C$8)*$AD4781</f>
        <v/>
      </c>
      <c r="Q4781" s="14">
        <f>$C$9</f>
        <v/>
      </c>
      <c r="R4781" s="14">
        <f>_xlfn.LOGNORM.INV($AF4781,LN($C$10)-0.5*LN(1+($D$10/$C$10)^2),SQRT(LN(1+($D$10/$C$10)^2)))</f>
        <v/>
      </c>
      <c r="S4781" s="14">
        <f>SUM(M4781:R4781)</f>
        <v/>
      </c>
      <c r="AA4781">
        <f>RAND()</f>
        <v/>
      </c>
      <c r="AB4781">
        <f>RAND()</f>
        <v/>
      </c>
      <c r="AC4781">
        <f>RAND()</f>
        <v/>
      </c>
      <c r="AD4781">
        <f>RAND()</f>
        <v/>
      </c>
      <c r="AE4781">
        <f>RAND()</f>
        <v/>
      </c>
      <c r="AF4781">
        <f>RAND()</f>
        <v/>
      </c>
    </row>
    <row r="4782">
      <c r="M4782" s="14">
        <f>_xlfn.BETA.INV($AA4782,1+4*($D$5-$C$5)/($E$5-$C$5),1+4*($E$5-$D$5)/($E$5-$C$5),$C$5,$E$5)</f>
        <v/>
      </c>
      <c r="N4782" s="14">
        <f>IF($AB4782&lt;($D$6-$C$6)/($E$6-$C$6),$C$6+SQRT($AB4782*($E$6-$C$6)*($D$6-$C$6)),$E$6-SQRT((1-$AB4782)*($E$6-$C$6)*($E$6-$D$6)))</f>
        <v/>
      </c>
      <c r="O4782" s="14">
        <f>_xlfn.NORM.INV($AC4782,$C$7,$D$7)</f>
        <v/>
      </c>
      <c r="P4782" s="14">
        <f>$C$8+($D$8-$C$8)*$AD4782</f>
        <v/>
      </c>
      <c r="Q4782" s="14">
        <f>$C$9</f>
        <v/>
      </c>
      <c r="R4782" s="14">
        <f>_xlfn.LOGNORM.INV($AF4782,LN($C$10)-0.5*LN(1+($D$10/$C$10)^2),SQRT(LN(1+($D$10/$C$10)^2)))</f>
        <v/>
      </c>
      <c r="S4782" s="14">
        <f>SUM(M4782:R4782)</f>
        <v/>
      </c>
      <c r="AA4782">
        <f>RAND()</f>
        <v/>
      </c>
      <c r="AB4782">
        <f>RAND()</f>
        <v/>
      </c>
      <c r="AC4782">
        <f>RAND()</f>
        <v/>
      </c>
      <c r="AD4782">
        <f>RAND()</f>
        <v/>
      </c>
      <c r="AE4782">
        <f>RAND()</f>
        <v/>
      </c>
      <c r="AF4782">
        <f>RAND()</f>
        <v/>
      </c>
    </row>
    <row r="4783">
      <c r="M4783" s="14">
        <f>_xlfn.BETA.INV($AA4783,1+4*($D$5-$C$5)/($E$5-$C$5),1+4*($E$5-$D$5)/($E$5-$C$5),$C$5,$E$5)</f>
        <v/>
      </c>
      <c r="N4783" s="14">
        <f>IF($AB4783&lt;($D$6-$C$6)/($E$6-$C$6),$C$6+SQRT($AB4783*($E$6-$C$6)*($D$6-$C$6)),$E$6-SQRT((1-$AB4783)*($E$6-$C$6)*($E$6-$D$6)))</f>
        <v/>
      </c>
      <c r="O4783" s="14">
        <f>_xlfn.NORM.INV($AC4783,$C$7,$D$7)</f>
        <v/>
      </c>
      <c r="P4783" s="14">
        <f>$C$8+($D$8-$C$8)*$AD4783</f>
        <v/>
      </c>
      <c r="Q4783" s="14">
        <f>$C$9</f>
        <v/>
      </c>
      <c r="R4783" s="14">
        <f>_xlfn.LOGNORM.INV($AF4783,LN($C$10)-0.5*LN(1+($D$10/$C$10)^2),SQRT(LN(1+($D$10/$C$10)^2)))</f>
        <v/>
      </c>
      <c r="S4783" s="14">
        <f>SUM(M4783:R4783)</f>
        <v/>
      </c>
      <c r="AA4783">
        <f>RAND()</f>
        <v/>
      </c>
      <c r="AB4783">
        <f>RAND()</f>
        <v/>
      </c>
      <c r="AC4783">
        <f>RAND()</f>
        <v/>
      </c>
      <c r="AD4783">
        <f>RAND()</f>
        <v/>
      </c>
      <c r="AE4783">
        <f>RAND()</f>
        <v/>
      </c>
      <c r="AF4783">
        <f>RAND()</f>
        <v/>
      </c>
    </row>
    <row r="4784">
      <c r="M4784" s="14">
        <f>_xlfn.BETA.INV($AA4784,1+4*($D$5-$C$5)/($E$5-$C$5),1+4*($E$5-$D$5)/($E$5-$C$5),$C$5,$E$5)</f>
        <v/>
      </c>
      <c r="N4784" s="14">
        <f>IF($AB4784&lt;($D$6-$C$6)/($E$6-$C$6),$C$6+SQRT($AB4784*($E$6-$C$6)*($D$6-$C$6)),$E$6-SQRT((1-$AB4784)*($E$6-$C$6)*($E$6-$D$6)))</f>
        <v/>
      </c>
      <c r="O4784" s="14">
        <f>_xlfn.NORM.INV($AC4784,$C$7,$D$7)</f>
        <v/>
      </c>
      <c r="P4784" s="14">
        <f>$C$8+($D$8-$C$8)*$AD4784</f>
        <v/>
      </c>
      <c r="Q4784" s="14">
        <f>$C$9</f>
        <v/>
      </c>
      <c r="R4784" s="14">
        <f>_xlfn.LOGNORM.INV($AF4784,LN($C$10)-0.5*LN(1+($D$10/$C$10)^2),SQRT(LN(1+($D$10/$C$10)^2)))</f>
        <v/>
      </c>
      <c r="S4784" s="14">
        <f>SUM(M4784:R4784)</f>
        <v/>
      </c>
      <c r="AA4784">
        <f>RAND()</f>
        <v/>
      </c>
      <c r="AB4784">
        <f>RAND()</f>
        <v/>
      </c>
      <c r="AC4784">
        <f>RAND()</f>
        <v/>
      </c>
      <c r="AD4784">
        <f>RAND()</f>
        <v/>
      </c>
      <c r="AE4784">
        <f>RAND()</f>
        <v/>
      </c>
      <c r="AF4784">
        <f>RAND()</f>
        <v/>
      </c>
    </row>
    <row r="4785">
      <c r="M4785" s="14">
        <f>_xlfn.BETA.INV($AA4785,1+4*($D$5-$C$5)/($E$5-$C$5),1+4*($E$5-$D$5)/($E$5-$C$5),$C$5,$E$5)</f>
        <v/>
      </c>
      <c r="N4785" s="14">
        <f>IF($AB4785&lt;($D$6-$C$6)/($E$6-$C$6),$C$6+SQRT($AB4785*($E$6-$C$6)*($D$6-$C$6)),$E$6-SQRT((1-$AB4785)*($E$6-$C$6)*($E$6-$D$6)))</f>
        <v/>
      </c>
      <c r="O4785" s="14">
        <f>_xlfn.NORM.INV($AC4785,$C$7,$D$7)</f>
        <v/>
      </c>
      <c r="P4785" s="14">
        <f>$C$8+($D$8-$C$8)*$AD4785</f>
        <v/>
      </c>
      <c r="Q4785" s="14">
        <f>$C$9</f>
        <v/>
      </c>
      <c r="R4785" s="14">
        <f>_xlfn.LOGNORM.INV($AF4785,LN($C$10)-0.5*LN(1+($D$10/$C$10)^2),SQRT(LN(1+($D$10/$C$10)^2)))</f>
        <v/>
      </c>
      <c r="S4785" s="14">
        <f>SUM(M4785:R4785)</f>
        <v/>
      </c>
      <c r="AA4785">
        <f>RAND()</f>
        <v/>
      </c>
      <c r="AB4785">
        <f>RAND()</f>
        <v/>
      </c>
      <c r="AC4785">
        <f>RAND()</f>
        <v/>
      </c>
      <c r="AD4785">
        <f>RAND()</f>
        <v/>
      </c>
      <c r="AE4785">
        <f>RAND()</f>
        <v/>
      </c>
      <c r="AF4785">
        <f>RAND()</f>
        <v/>
      </c>
    </row>
    <row r="4786">
      <c r="M4786" s="14">
        <f>_xlfn.BETA.INV($AA4786,1+4*($D$5-$C$5)/($E$5-$C$5),1+4*($E$5-$D$5)/($E$5-$C$5),$C$5,$E$5)</f>
        <v/>
      </c>
      <c r="N4786" s="14">
        <f>IF($AB4786&lt;($D$6-$C$6)/($E$6-$C$6),$C$6+SQRT($AB4786*($E$6-$C$6)*($D$6-$C$6)),$E$6-SQRT((1-$AB4786)*($E$6-$C$6)*($E$6-$D$6)))</f>
        <v/>
      </c>
      <c r="O4786" s="14">
        <f>_xlfn.NORM.INV($AC4786,$C$7,$D$7)</f>
        <v/>
      </c>
      <c r="P4786" s="14">
        <f>$C$8+($D$8-$C$8)*$AD4786</f>
        <v/>
      </c>
      <c r="Q4786" s="14">
        <f>$C$9</f>
        <v/>
      </c>
      <c r="R4786" s="14">
        <f>_xlfn.LOGNORM.INV($AF4786,LN($C$10)-0.5*LN(1+($D$10/$C$10)^2),SQRT(LN(1+($D$10/$C$10)^2)))</f>
        <v/>
      </c>
      <c r="S4786" s="14">
        <f>SUM(M4786:R4786)</f>
        <v/>
      </c>
      <c r="AA4786">
        <f>RAND()</f>
        <v/>
      </c>
      <c r="AB4786">
        <f>RAND()</f>
        <v/>
      </c>
      <c r="AC4786">
        <f>RAND()</f>
        <v/>
      </c>
      <c r="AD4786">
        <f>RAND()</f>
        <v/>
      </c>
      <c r="AE4786">
        <f>RAND()</f>
        <v/>
      </c>
      <c r="AF4786">
        <f>RAND()</f>
        <v/>
      </c>
    </row>
    <row r="4787">
      <c r="M4787" s="14">
        <f>_xlfn.BETA.INV($AA4787,1+4*($D$5-$C$5)/($E$5-$C$5),1+4*($E$5-$D$5)/($E$5-$C$5),$C$5,$E$5)</f>
        <v/>
      </c>
      <c r="N4787" s="14">
        <f>IF($AB4787&lt;($D$6-$C$6)/($E$6-$C$6),$C$6+SQRT($AB4787*($E$6-$C$6)*($D$6-$C$6)),$E$6-SQRT((1-$AB4787)*($E$6-$C$6)*($E$6-$D$6)))</f>
        <v/>
      </c>
      <c r="O4787" s="14">
        <f>_xlfn.NORM.INV($AC4787,$C$7,$D$7)</f>
        <v/>
      </c>
      <c r="P4787" s="14">
        <f>$C$8+($D$8-$C$8)*$AD4787</f>
        <v/>
      </c>
      <c r="Q4787" s="14">
        <f>$C$9</f>
        <v/>
      </c>
      <c r="R4787" s="14">
        <f>_xlfn.LOGNORM.INV($AF4787,LN($C$10)-0.5*LN(1+($D$10/$C$10)^2),SQRT(LN(1+($D$10/$C$10)^2)))</f>
        <v/>
      </c>
      <c r="S4787" s="14">
        <f>SUM(M4787:R4787)</f>
        <v/>
      </c>
      <c r="AA4787">
        <f>RAND()</f>
        <v/>
      </c>
      <c r="AB4787">
        <f>RAND()</f>
        <v/>
      </c>
      <c r="AC4787">
        <f>RAND()</f>
        <v/>
      </c>
      <c r="AD4787">
        <f>RAND()</f>
        <v/>
      </c>
      <c r="AE4787">
        <f>RAND()</f>
        <v/>
      </c>
      <c r="AF4787">
        <f>RAND()</f>
        <v/>
      </c>
    </row>
    <row r="4788">
      <c r="M4788" s="14">
        <f>_xlfn.BETA.INV($AA4788,1+4*($D$5-$C$5)/($E$5-$C$5),1+4*($E$5-$D$5)/($E$5-$C$5),$C$5,$E$5)</f>
        <v/>
      </c>
      <c r="N4788" s="14">
        <f>IF($AB4788&lt;($D$6-$C$6)/($E$6-$C$6),$C$6+SQRT($AB4788*($E$6-$C$6)*($D$6-$C$6)),$E$6-SQRT((1-$AB4788)*($E$6-$C$6)*($E$6-$D$6)))</f>
        <v/>
      </c>
      <c r="O4788" s="14">
        <f>_xlfn.NORM.INV($AC4788,$C$7,$D$7)</f>
        <v/>
      </c>
      <c r="P4788" s="14">
        <f>$C$8+($D$8-$C$8)*$AD4788</f>
        <v/>
      </c>
      <c r="Q4788" s="14">
        <f>$C$9</f>
        <v/>
      </c>
      <c r="R4788" s="14">
        <f>_xlfn.LOGNORM.INV($AF4788,LN($C$10)-0.5*LN(1+($D$10/$C$10)^2),SQRT(LN(1+($D$10/$C$10)^2)))</f>
        <v/>
      </c>
      <c r="S4788" s="14">
        <f>SUM(M4788:R4788)</f>
        <v/>
      </c>
      <c r="AA4788">
        <f>RAND()</f>
        <v/>
      </c>
      <c r="AB4788">
        <f>RAND()</f>
        <v/>
      </c>
      <c r="AC4788">
        <f>RAND()</f>
        <v/>
      </c>
      <c r="AD4788">
        <f>RAND()</f>
        <v/>
      </c>
      <c r="AE4788">
        <f>RAND()</f>
        <v/>
      </c>
      <c r="AF4788">
        <f>RAND()</f>
        <v/>
      </c>
    </row>
    <row r="4789">
      <c r="M4789" s="14">
        <f>_xlfn.BETA.INV($AA4789,1+4*($D$5-$C$5)/($E$5-$C$5),1+4*($E$5-$D$5)/($E$5-$C$5),$C$5,$E$5)</f>
        <v/>
      </c>
      <c r="N4789" s="14">
        <f>IF($AB4789&lt;($D$6-$C$6)/($E$6-$C$6),$C$6+SQRT($AB4789*($E$6-$C$6)*($D$6-$C$6)),$E$6-SQRT((1-$AB4789)*($E$6-$C$6)*($E$6-$D$6)))</f>
        <v/>
      </c>
      <c r="O4789" s="14">
        <f>_xlfn.NORM.INV($AC4789,$C$7,$D$7)</f>
        <v/>
      </c>
      <c r="P4789" s="14">
        <f>$C$8+($D$8-$C$8)*$AD4789</f>
        <v/>
      </c>
      <c r="Q4789" s="14">
        <f>$C$9</f>
        <v/>
      </c>
      <c r="R4789" s="14">
        <f>_xlfn.LOGNORM.INV($AF4789,LN($C$10)-0.5*LN(1+($D$10/$C$10)^2),SQRT(LN(1+($D$10/$C$10)^2)))</f>
        <v/>
      </c>
      <c r="S4789" s="14">
        <f>SUM(M4789:R4789)</f>
        <v/>
      </c>
      <c r="AA4789">
        <f>RAND()</f>
        <v/>
      </c>
      <c r="AB4789">
        <f>RAND()</f>
        <v/>
      </c>
      <c r="AC4789">
        <f>RAND()</f>
        <v/>
      </c>
      <c r="AD4789">
        <f>RAND()</f>
        <v/>
      </c>
      <c r="AE4789">
        <f>RAND()</f>
        <v/>
      </c>
      <c r="AF4789">
        <f>RAND()</f>
        <v/>
      </c>
    </row>
    <row r="4790">
      <c r="M4790" s="14">
        <f>_xlfn.BETA.INV($AA4790,1+4*($D$5-$C$5)/($E$5-$C$5),1+4*($E$5-$D$5)/($E$5-$C$5),$C$5,$E$5)</f>
        <v/>
      </c>
      <c r="N4790" s="14">
        <f>IF($AB4790&lt;($D$6-$C$6)/($E$6-$C$6),$C$6+SQRT($AB4790*($E$6-$C$6)*($D$6-$C$6)),$E$6-SQRT((1-$AB4790)*($E$6-$C$6)*($E$6-$D$6)))</f>
        <v/>
      </c>
      <c r="O4790" s="14">
        <f>_xlfn.NORM.INV($AC4790,$C$7,$D$7)</f>
        <v/>
      </c>
      <c r="P4790" s="14">
        <f>$C$8+($D$8-$C$8)*$AD4790</f>
        <v/>
      </c>
      <c r="Q4790" s="14">
        <f>$C$9</f>
        <v/>
      </c>
      <c r="R4790" s="14">
        <f>_xlfn.LOGNORM.INV($AF4790,LN($C$10)-0.5*LN(1+($D$10/$C$10)^2),SQRT(LN(1+($D$10/$C$10)^2)))</f>
        <v/>
      </c>
      <c r="S4790" s="14">
        <f>SUM(M4790:R4790)</f>
        <v/>
      </c>
      <c r="AA4790">
        <f>RAND()</f>
        <v/>
      </c>
      <c r="AB4790">
        <f>RAND()</f>
        <v/>
      </c>
      <c r="AC4790">
        <f>RAND()</f>
        <v/>
      </c>
      <c r="AD4790">
        <f>RAND()</f>
        <v/>
      </c>
      <c r="AE4790">
        <f>RAND()</f>
        <v/>
      </c>
      <c r="AF4790">
        <f>RAND()</f>
        <v/>
      </c>
    </row>
    <row r="4791">
      <c r="M4791" s="14">
        <f>_xlfn.BETA.INV($AA4791,1+4*($D$5-$C$5)/($E$5-$C$5),1+4*($E$5-$D$5)/($E$5-$C$5),$C$5,$E$5)</f>
        <v/>
      </c>
      <c r="N4791" s="14">
        <f>IF($AB4791&lt;($D$6-$C$6)/($E$6-$C$6),$C$6+SQRT($AB4791*($E$6-$C$6)*($D$6-$C$6)),$E$6-SQRT((1-$AB4791)*($E$6-$C$6)*($E$6-$D$6)))</f>
        <v/>
      </c>
      <c r="O4791" s="14">
        <f>_xlfn.NORM.INV($AC4791,$C$7,$D$7)</f>
        <v/>
      </c>
      <c r="P4791" s="14">
        <f>$C$8+($D$8-$C$8)*$AD4791</f>
        <v/>
      </c>
      <c r="Q4791" s="14">
        <f>$C$9</f>
        <v/>
      </c>
      <c r="R4791" s="14">
        <f>_xlfn.LOGNORM.INV($AF4791,LN($C$10)-0.5*LN(1+($D$10/$C$10)^2),SQRT(LN(1+($D$10/$C$10)^2)))</f>
        <v/>
      </c>
      <c r="S4791" s="14">
        <f>SUM(M4791:R4791)</f>
        <v/>
      </c>
      <c r="AA4791">
        <f>RAND()</f>
        <v/>
      </c>
      <c r="AB4791">
        <f>RAND()</f>
        <v/>
      </c>
      <c r="AC4791">
        <f>RAND()</f>
        <v/>
      </c>
      <c r="AD4791">
        <f>RAND()</f>
        <v/>
      </c>
      <c r="AE4791">
        <f>RAND()</f>
        <v/>
      </c>
      <c r="AF4791">
        <f>RAND()</f>
        <v/>
      </c>
    </row>
    <row r="4792">
      <c r="M4792" s="14">
        <f>_xlfn.BETA.INV($AA4792,1+4*($D$5-$C$5)/($E$5-$C$5),1+4*($E$5-$D$5)/($E$5-$C$5),$C$5,$E$5)</f>
        <v/>
      </c>
      <c r="N4792" s="14">
        <f>IF($AB4792&lt;($D$6-$C$6)/($E$6-$C$6),$C$6+SQRT($AB4792*($E$6-$C$6)*($D$6-$C$6)),$E$6-SQRT((1-$AB4792)*($E$6-$C$6)*($E$6-$D$6)))</f>
        <v/>
      </c>
      <c r="O4792" s="14">
        <f>_xlfn.NORM.INV($AC4792,$C$7,$D$7)</f>
        <v/>
      </c>
      <c r="P4792" s="14">
        <f>$C$8+($D$8-$C$8)*$AD4792</f>
        <v/>
      </c>
      <c r="Q4792" s="14">
        <f>$C$9</f>
        <v/>
      </c>
      <c r="R4792" s="14">
        <f>_xlfn.LOGNORM.INV($AF4792,LN($C$10)-0.5*LN(1+($D$10/$C$10)^2),SQRT(LN(1+($D$10/$C$10)^2)))</f>
        <v/>
      </c>
      <c r="S4792" s="14">
        <f>SUM(M4792:R4792)</f>
        <v/>
      </c>
      <c r="AA4792">
        <f>RAND()</f>
        <v/>
      </c>
      <c r="AB4792">
        <f>RAND()</f>
        <v/>
      </c>
      <c r="AC4792">
        <f>RAND()</f>
        <v/>
      </c>
      <c r="AD4792">
        <f>RAND()</f>
        <v/>
      </c>
      <c r="AE4792">
        <f>RAND()</f>
        <v/>
      </c>
      <c r="AF4792">
        <f>RAND()</f>
        <v/>
      </c>
    </row>
    <row r="4793">
      <c r="M4793" s="14">
        <f>_xlfn.BETA.INV($AA4793,1+4*($D$5-$C$5)/($E$5-$C$5),1+4*($E$5-$D$5)/($E$5-$C$5),$C$5,$E$5)</f>
        <v/>
      </c>
      <c r="N4793" s="14">
        <f>IF($AB4793&lt;($D$6-$C$6)/($E$6-$C$6),$C$6+SQRT($AB4793*($E$6-$C$6)*($D$6-$C$6)),$E$6-SQRT((1-$AB4793)*($E$6-$C$6)*($E$6-$D$6)))</f>
        <v/>
      </c>
      <c r="O4793" s="14">
        <f>_xlfn.NORM.INV($AC4793,$C$7,$D$7)</f>
        <v/>
      </c>
      <c r="P4793" s="14">
        <f>$C$8+($D$8-$C$8)*$AD4793</f>
        <v/>
      </c>
      <c r="Q4793" s="14">
        <f>$C$9</f>
        <v/>
      </c>
      <c r="R4793" s="14">
        <f>_xlfn.LOGNORM.INV($AF4793,LN($C$10)-0.5*LN(1+($D$10/$C$10)^2),SQRT(LN(1+($D$10/$C$10)^2)))</f>
        <v/>
      </c>
      <c r="S4793" s="14">
        <f>SUM(M4793:R4793)</f>
        <v/>
      </c>
      <c r="AA4793">
        <f>RAND()</f>
        <v/>
      </c>
      <c r="AB4793">
        <f>RAND()</f>
        <v/>
      </c>
      <c r="AC4793">
        <f>RAND()</f>
        <v/>
      </c>
      <c r="AD4793">
        <f>RAND()</f>
        <v/>
      </c>
      <c r="AE4793">
        <f>RAND()</f>
        <v/>
      </c>
      <c r="AF4793">
        <f>RAND()</f>
        <v/>
      </c>
    </row>
    <row r="4794">
      <c r="M4794" s="14">
        <f>_xlfn.BETA.INV($AA4794,1+4*($D$5-$C$5)/($E$5-$C$5),1+4*($E$5-$D$5)/($E$5-$C$5),$C$5,$E$5)</f>
        <v/>
      </c>
      <c r="N4794" s="14">
        <f>IF($AB4794&lt;($D$6-$C$6)/($E$6-$C$6),$C$6+SQRT($AB4794*($E$6-$C$6)*($D$6-$C$6)),$E$6-SQRT((1-$AB4794)*($E$6-$C$6)*($E$6-$D$6)))</f>
        <v/>
      </c>
      <c r="O4794" s="14">
        <f>_xlfn.NORM.INV($AC4794,$C$7,$D$7)</f>
        <v/>
      </c>
      <c r="P4794" s="14">
        <f>$C$8+($D$8-$C$8)*$AD4794</f>
        <v/>
      </c>
      <c r="Q4794" s="14">
        <f>$C$9</f>
        <v/>
      </c>
      <c r="R4794" s="14">
        <f>_xlfn.LOGNORM.INV($AF4794,LN($C$10)-0.5*LN(1+($D$10/$C$10)^2),SQRT(LN(1+($D$10/$C$10)^2)))</f>
        <v/>
      </c>
      <c r="S4794" s="14">
        <f>SUM(M4794:R4794)</f>
        <v/>
      </c>
      <c r="AA4794">
        <f>RAND()</f>
        <v/>
      </c>
      <c r="AB4794">
        <f>RAND()</f>
        <v/>
      </c>
      <c r="AC4794">
        <f>RAND()</f>
        <v/>
      </c>
      <c r="AD4794">
        <f>RAND()</f>
        <v/>
      </c>
      <c r="AE4794">
        <f>RAND()</f>
        <v/>
      </c>
      <c r="AF4794">
        <f>RAND()</f>
        <v/>
      </c>
    </row>
    <row r="4795">
      <c r="M4795" s="14">
        <f>_xlfn.BETA.INV($AA4795,1+4*($D$5-$C$5)/($E$5-$C$5),1+4*($E$5-$D$5)/($E$5-$C$5),$C$5,$E$5)</f>
        <v/>
      </c>
      <c r="N4795" s="14">
        <f>IF($AB4795&lt;($D$6-$C$6)/($E$6-$C$6),$C$6+SQRT($AB4795*($E$6-$C$6)*($D$6-$C$6)),$E$6-SQRT((1-$AB4795)*($E$6-$C$6)*($E$6-$D$6)))</f>
        <v/>
      </c>
      <c r="O4795" s="14">
        <f>_xlfn.NORM.INV($AC4795,$C$7,$D$7)</f>
        <v/>
      </c>
      <c r="P4795" s="14">
        <f>$C$8+($D$8-$C$8)*$AD4795</f>
        <v/>
      </c>
      <c r="Q4795" s="14">
        <f>$C$9</f>
        <v/>
      </c>
      <c r="R4795" s="14">
        <f>_xlfn.LOGNORM.INV($AF4795,LN($C$10)-0.5*LN(1+($D$10/$C$10)^2),SQRT(LN(1+($D$10/$C$10)^2)))</f>
        <v/>
      </c>
      <c r="S4795" s="14">
        <f>SUM(M4795:R4795)</f>
        <v/>
      </c>
      <c r="AA4795">
        <f>RAND()</f>
        <v/>
      </c>
      <c r="AB4795">
        <f>RAND()</f>
        <v/>
      </c>
      <c r="AC4795">
        <f>RAND()</f>
        <v/>
      </c>
      <c r="AD4795">
        <f>RAND()</f>
        <v/>
      </c>
      <c r="AE4795">
        <f>RAND()</f>
        <v/>
      </c>
      <c r="AF4795">
        <f>RAND()</f>
        <v/>
      </c>
    </row>
    <row r="4796">
      <c r="M4796" s="14">
        <f>_xlfn.BETA.INV($AA4796,1+4*($D$5-$C$5)/($E$5-$C$5),1+4*($E$5-$D$5)/($E$5-$C$5),$C$5,$E$5)</f>
        <v/>
      </c>
      <c r="N4796" s="14">
        <f>IF($AB4796&lt;($D$6-$C$6)/($E$6-$C$6),$C$6+SQRT($AB4796*($E$6-$C$6)*($D$6-$C$6)),$E$6-SQRT((1-$AB4796)*($E$6-$C$6)*($E$6-$D$6)))</f>
        <v/>
      </c>
      <c r="O4796" s="14">
        <f>_xlfn.NORM.INV($AC4796,$C$7,$D$7)</f>
        <v/>
      </c>
      <c r="P4796" s="14">
        <f>$C$8+($D$8-$C$8)*$AD4796</f>
        <v/>
      </c>
      <c r="Q4796" s="14">
        <f>$C$9</f>
        <v/>
      </c>
      <c r="R4796" s="14">
        <f>_xlfn.LOGNORM.INV($AF4796,LN($C$10)-0.5*LN(1+($D$10/$C$10)^2),SQRT(LN(1+($D$10/$C$10)^2)))</f>
        <v/>
      </c>
      <c r="S4796" s="14">
        <f>SUM(M4796:R4796)</f>
        <v/>
      </c>
      <c r="AA4796">
        <f>RAND()</f>
        <v/>
      </c>
      <c r="AB4796">
        <f>RAND()</f>
        <v/>
      </c>
      <c r="AC4796">
        <f>RAND()</f>
        <v/>
      </c>
      <c r="AD4796">
        <f>RAND()</f>
        <v/>
      </c>
      <c r="AE4796">
        <f>RAND()</f>
        <v/>
      </c>
      <c r="AF4796">
        <f>RAND()</f>
        <v/>
      </c>
    </row>
    <row r="4797">
      <c r="M4797" s="14">
        <f>_xlfn.BETA.INV($AA4797,1+4*($D$5-$C$5)/($E$5-$C$5),1+4*($E$5-$D$5)/($E$5-$C$5),$C$5,$E$5)</f>
        <v/>
      </c>
      <c r="N4797" s="14">
        <f>IF($AB4797&lt;($D$6-$C$6)/($E$6-$C$6),$C$6+SQRT($AB4797*($E$6-$C$6)*($D$6-$C$6)),$E$6-SQRT((1-$AB4797)*($E$6-$C$6)*($E$6-$D$6)))</f>
        <v/>
      </c>
      <c r="O4797" s="14">
        <f>_xlfn.NORM.INV($AC4797,$C$7,$D$7)</f>
        <v/>
      </c>
      <c r="P4797" s="14">
        <f>$C$8+($D$8-$C$8)*$AD4797</f>
        <v/>
      </c>
      <c r="Q4797" s="14">
        <f>$C$9</f>
        <v/>
      </c>
      <c r="R4797" s="14">
        <f>_xlfn.LOGNORM.INV($AF4797,LN($C$10)-0.5*LN(1+($D$10/$C$10)^2),SQRT(LN(1+($D$10/$C$10)^2)))</f>
        <v/>
      </c>
      <c r="S4797" s="14">
        <f>SUM(M4797:R4797)</f>
        <v/>
      </c>
      <c r="AA4797">
        <f>RAND()</f>
        <v/>
      </c>
      <c r="AB4797">
        <f>RAND()</f>
        <v/>
      </c>
      <c r="AC4797">
        <f>RAND()</f>
        <v/>
      </c>
      <c r="AD4797">
        <f>RAND()</f>
        <v/>
      </c>
      <c r="AE4797">
        <f>RAND()</f>
        <v/>
      </c>
      <c r="AF4797">
        <f>RAND()</f>
        <v/>
      </c>
    </row>
    <row r="4798">
      <c r="M4798" s="14">
        <f>_xlfn.BETA.INV($AA4798,1+4*($D$5-$C$5)/($E$5-$C$5),1+4*($E$5-$D$5)/($E$5-$C$5),$C$5,$E$5)</f>
        <v/>
      </c>
      <c r="N4798" s="14">
        <f>IF($AB4798&lt;($D$6-$C$6)/($E$6-$C$6),$C$6+SQRT($AB4798*($E$6-$C$6)*($D$6-$C$6)),$E$6-SQRT((1-$AB4798)*($E$6-$C$6)*($E$6-$D$6)))</f>
        <v/>
      </c>
      <c r="O4798" s="14">
        <f>_xlfn.NORM.INV($AC4798,$C$7,$D$7)</f>
        <v/>
      </c>
      <c r="P4798" s="14">
        <f>$C$8+($D$8-$C$8)*$AD4798</f>
        <v/>
      </c>
      <c r="Q4798" s="14">
        <f>$C$9</f>
        <v/>
      </c>
      <c r="R4798" s="14">
        <f>_xlfn.LOGNORM.INV($AF4798,LN($C$10)-0.5*LN(1+($D$10/$C$10)^2),SQRT(LN(1+($D$10/$C$10)^2)))</f>
        <v/>
      </c>
      <c r="S4798" s="14">
        <f>SUM(M4798:R4798)</f>
        <v/>
      </c>
      <c r="AA4798">
        <f>RAND()</f>
        <v/>
      </c>
      <c r="AB4798">
        <f>RAND()</f>
        <v/>
      </c>
      <c r="AC4798">
        <f>RAND()</f>
        <v/>
      </c>
      <c r="AD4798">
        <f>RAND()</f>
        <v/>
      </c>
      <c r="AE4798">
        <f>RAND()</f>
        <v/>
      </c>
      <c r="AF4798">
        <f>RAND()</f>
        <v/>
      </c>
    </row>
    <row r="4799">
      <c r="M4799" s="14">
        <f>_xlfn.BETA.INV($AA4799,1+4*($D$5-$C$5)/($E$5-$C$5),1+4*($E$5-$D$5)/($E$5-$C$5),$C$5,$E$5)</f>
        <v/>
      </c>
      <c r="N4799" s="14">
        <f>IF($AB4799&lt;($D$6-$C$6)/($E$6-$C$6),$C$6+SQRT($AB4799*($E$6-$C$6)*($D$6-$C$6)),$E$6-SQRT((1-$AB4799)*($E$6-$C$6)*($E$6-$D$6)))</f>
        <v/>
      </c>
      <c r="O4799" s="14">
        <f>_xlfn.NORM.INV($AC4799,$C$7,$D$7)</f>
        <v/>
      </c>
      <c r="P4799" s="14">
        <f>$C$8+($D$8-$C$8)*$AD4799</f>
        <v/>
      </c>
      <c r="Q4799" s="14">
        <f>$C$9</f>
        <v/>
      </c>
      <c r="R4799" s="14">
        <f>_xlfn.LOGNORM.INV($AF4799,LN($C$10)-0.5*LN(1+($D$10/$C$10)^2),SQRT(LN(1+($D$10/$C$10)^2)))</f>
        <v/>
      </c>
      <c r="S4799" s="14">
        <f>SUM(M4799:R4799)</f>
        <v/>
      </c>
      <c r="AA4799">
        <f>RAND()</f>
        <v/>
      </c>
      <c r="AB4799">
        <f>RAND()</f>
        <v/>
      </c>
      <c r="AC4799">
        <f>RAND()</f>
        <v/>
      </c>
      <c r="AD4799">
        <f>RAND()</f>
        <v/>
      </c>
      <c r="AE4799">
        <f>RAND()</f>
        <v/>
      </c>
      <c r="AF4799">
        <f>RAND()</f>
        <v/>
      </c>
    </row>
    <row r="4800">
      <c r="M4800" s="14">
        <f>_xlfn.BETA.INV($AA4800,1+4*($D$5-$C$5)/($E$5-$C$5),1+4*($E$5-$D$5)/($E$5-$C$5),$C$5,$E$5)</f>
        <v/>
      </c>
      <c r="N4800" s="14">
        <f>IF($AB4800&lt;($D$6-$C$6)/($E$6-$C$6),$C$6+SQRT($AB4800*($E$6-$C$6)*($D$6-$C$6)),$E$6-SQRT((1-$AB4800)*($E$6-$C$6)*($E$6-$D$6)))</f>
        <v/>
      </c>
      <c r="O4800" s="14">
        <f>_xlfn.NORM.INV($AC4800,$C$7,$D$7)</f>
        <v/>
      </c>
      <c r="P4800" s="14">
        <f>$C$8+($D$8-$C$8)*$AD4800</f>
        <v/>
      </c>
      <c r="Q4800" s="14">
        <f>$C$9</f>
        <v/>
      </c>
      <c r="R4800" s="14">
        <f>_xlfn.LOGNORM.INV($AF4800,LN($C$10)-0.5*LN(1+($D$10/$C$10)^2),SQRT(LN(1+($D$10/$C$10)^2)))</f>
        <v/>
      </c>
      <c r="S4800" s="14">
        <f>SUM(M4800:R4800)</f>
        <v/>
      </c>
      <c r="AA4800">
        <f>RAND()</f>
        <v/>
      </c>
      <c r="AB4800">
        <f>RAND()</f>
        <v/>
      </c>
      <c r="AC4800">
        <f>RAND()</f>
        <v/>
      </c>
      <c r="AD4800">
        <f>RAND()</f>
        <v/>
      </c>
      <c r="AE4800">
        <f>RAND()</f>
        <v/>
      </c>
      <c r="AF4800">
        <f>RAND()</f>
        <v/>
      </c>
    </row>
    <row r="4801">
      <c r="M4801" s="14">
        <f>_xlfn.BETA.INV($AA4801,1+4*($D$5-$C$5)/($E$5-$C$5),1+4*($E$5-$D$5)/($E$5-$C$5),$C$5,$E$5)</f>
        <v/>
      </c>
      <c r="N4801" s="14">
        <f>IF($AB4801&lt;($D$6-$C$6)/($E$6-$C$6),$C$6+SQRT($AB4801*($E$6-$C$6)*($D$6-$C$6)),$E$6-SQRT((1-$AB4801)*($E$6-$C$6)*($E$6-$D$6)))</f>
        <v/>
      </c>
      <c r="O4801" s="14">
        <f>_xlfn.NORM.INV($AC4801,$C$7,$D$7)</f>
        <v/>
      </c>
      <c r="P4801" s="14">
        <f>$C$8+($D$8-$C$8)*$AD4801</f>
        <v/>
      </c>
      <c r="Q4801" s="14">
        <f>$C$9</f>
        <v/>
      </c>
      <c r="R4801" s="14">
        <f>_xlfn.LOGNORM.INV($AF4801,LN($C$10)-0.5*LN(1+($D$10/$C$10)^2),SQRT(LN(1+($D$10/$C$10)^2)))</f>
        <v/>
      </c>
      <c r="S4801" s="14">
        <f>SUM(M4801:R4801)</f>
        <v/>
      </c>
      <c r="AA4801">
        <f>RAND()</f>
        <v/>
      </c>
      <c r="AB4801">
        <f>RAND()</f>
        <v/>
      </c>
      <c r="AC4801">
        <f>RAND()</f>
        <v/>
      </c>
      <c r="AD4801">
        <f>RAND()</f>
        <v/>
      </c>
      <c r="AE4801">
        <f>RAND()</f>
        <v/>
      </c>
      <c r="AF4801">
        <f>RAND()</f>
        <v/>
      </c>
    </row>
    <row r="4802">
      <c r="M4802" s="14">
        <f>_xlfn.BETA.INV($AA4802,1+4*($D$5-$C$5)/($E$5-$C$5),1+4*($E$5-$D$5)/($E$5-$C$5),$C$5,$E$5)</f>
        <v/>
      </c>
      <c r="N4802" s="14">
        <f>IF($AB4802&lt;($D$6-$C$6)/($E$6-$C$6),$C$6+SQRT($AB4802*($E$6-$C$6)*($D$6-$C$6)),$E$6-SQRT((1-$AB4802)*($E$6-$C$6)*($E$6-$D$6)))</f>
        <v/>
      </c>
      <c r="O4802" s="14">
        <f>_xlfn.NORM.INV($AC4802,$C$7,$D$7)</f>
        <v/>
      </c>
      <c r="P4802" s="14">
        <f>$C$8+($D$8-$C$8)*$AD4802</f>
        <v/>
      </c>
      <c r="Q4802" s="14">
        <f>$C$9</f>
        <v/>
      </c>
      <c r="R4802" s="14">
        <f>_xlfn.LOGNORM.INV($AF4802,LN($C$10)-0.5*LN(1+($D$10/$C$10)^2),SQRT(LN(1+($D$10/$C$10)^2)))</f>
        <v/>
      </c>
      <c r="S4802" s="14">
        <f>SUM(M4802:R4802)</f>
        <v/>
      </c>
      <c r="AA4802">
        <f>RAND()</f>
        <v/>
      </c>
      <c r="AB4802">
        <f>RAND()</f>
        <v/>
      </c>
      <c r="AC4802">
        <f>RAND()</f>
        <v/>
      </c>
      <c r="AD4802">
        <f>RAND()</f>
        <v/>
      </c>
      <c r="AE4802">
        <f>RAND()</f>
        <v/>
      </c>
      <c r="AF4802">
        <f>RAND()</f>
        <v/>
      </c>
    </row>
    <row r="4803">
      <c r="M4803" s="14">
        <f>_xlfn.BETA.INV($AA4803,1+4*($D$5-$C$5)/($E$5-$C$5),1+4*($E$5-$D$5)/($E$5-$C$5),$C$5,$E$5)</f>
        <v/>
      </c>
      <c r="N4803" s="14">
        <f>IF($AB4803&lt;($D$6-$C$6)/($E$6-$C$6),$C$6+SQRT($AB4803*($E$6-$C$6)*($D$6-$C$6)),$E$6-SQRT((1-$AB4803)*($E$6-$C$6)*($E$6-$D$6)))</f>
        <v/>
      </c>
      <c r="O4803" s="14">
        <f>_xlfn.NORM.INV($AC4803,$C$7,$D$7)</f>
        <v/>
      </c>
      <c r="P4803" s="14">
        <f>$C$8+($D$8-$C$8)*$AD4803</f>
        <v/>
      </c>
      <c r="Q4803" s="14">
        <f>$C$9</f>
        <v/>
      </c>
      <c r="R4803" s="14">
        <f>_xlfn.LOGNORM.INV($AF4803,LN($C$10)-0.5*LN(1+($D$10/$C$10)^2),SQRT(LN(1+($D$10/$C$10)^2)))</f>
        <v/>
      </c>
      <c r="S4803" s="14">
        <f>SUM(M4803:R4803)</f>
        <v/>
      </c>
      <c r="AA4803">
        <f>RAND()</f>
        <v/>
      </c>
      <c r="AB4803">
        <f>RAND()</f>
        <v/>
      </c>
      <c r="AC4803">
        <f>RAND()</f>
        <v/>
      </c>
      <c r="AD4803">
        <f>RAND()</f>
        <v/>
      </c>
      <c r="AE4803">
        <f>RAND()</f>
        <v/>
      </c>
      <c r="AF4803">
        <f>RAND()</f>
        <v/>
      </c>
    </row>
    <row r="4804">
      <c r="M4804" s="14">
        <f>_xlfn.BETA.INV($AA4804,1+4*($D$5-$C$5)/($E$5-$C$5),1+4*($E$5-$D$5)/($E$5-$C$5),$C$5,$E$5)</f>
        <v/>
      </c>
      <c r="N4804" s="14">
        <f>IF($AB4804&lt;($D$6-$C$6)/($E$6-$C$6),$C$6+SQRT($AB4804*($E$6-$C$6)*($D$6-$C$6)),$E$6-SQRT((1-$AB4804)*($E$6-$C$6)*($E$6-$D$6)))</f>
        <v/>
      </c>
      <c r="O4804" s="14">
        <f>_xlfn.NORM.INV($AC4804,$C$7,$D$7)</f>
        <v/>
      </c>
      <c r="P4804" s="14">
        <f>$C$8+($D$8-$C$8)*$AD4804</f>
        <v/>
      </c>
      <c r="Q4804" s="14">
        <f>$C$9</f>
        <v/>
      </c>
      <c r="R4804" s="14">
        <f>_xlfn.LOGNORM.INV($AF4804,LN($C$10)-0.5*LN(1+($D$10/$C$10)^2),SQRT(LN(1+($D$10/$C$10)^2)))</f>
        <v/>
      </c>
      <c r="S4804" s="14">
        <f>SUM(M4804:R4804)</f>
        <v/>
      </c>
      <c r="AA4804">
        <f>RAND()</f>
        <v/>
      </c>
      <c r="AB4804">
        <f>RAND()</f>
        <v/>
      </c>
      <c r="AC4804">
        <f>RAND()</f>
        <v/>
      </c>
      <c r="AD4804">
        <f>RAND()</f>
        <v/>
      </c>
      <c r="AE4804">
        <f>RAND()</f>
        <v/>
      </c>
      <c r="AF4804">
        <f>RAND()</f>
        <v/>
      </c>
    </row>
    <row r="4805">
      <c r="M4805" s="14">
        <f>_xlfn.BETA.INV($AA4805,1+4*($D$5-$C$5)/($E$5-$C$5),1+4*($E$5-$D$5)/($E$5-$C$5),$C$5,$E$5)</f>
        <v/>
      </c>
      <c r="N4805" s="14">
        <f>IF($AB4805&lt;($D$6-$C$6)/($E$6-$C$6),$C$6+SQRT($AB4805*($E$6-$C$6)*($D$6-$C$6)),$E$6-SQRT((1-$AB4805)*($E$6-$C$6)*($E$6-$D$6)))</f>
        <v/>
      </c>
      <c r="O4805" s="14">
        <f>_xlfn.NORM.INV($AC4805,$C$7,$D$7)</f>
        <v/>
      </c>
      <c r="P4805" s="14">
        <f>$C$8+($D$8-$C$8)*$AD4805</f>
        <v/>
      </c>
      <c r="Q4805" s="14">
        <f>$C$9</f>
        <v/>
      </c>
      <c r="R4805" s="14">
        <f>_xlfn.LOGNORM.INV($AF4805,LN($C$10)-0.5*LN(1+($D$10/$C$10)^2),SQRT(LN(1+($D$10/$C$10)^2)))</f>
        <v/>
      </c>
      <c r="S4805" s="14">
        <f>SUM(M4805:R4805)</f>
        <v/>
      </c>
      <c r="AA4805">
        <f>RAND()</f>
        <v/>
      </c>
      <c r="AB4805">
        <f>RAND()</f>
        <v/>
      </c>
      <c r="AC4805">
        <f>RAND()</f>
        <v/>
      </c>
      <c r="AD4805">
        <f>RAND()</f>
        <v/>
      </c>
      <c r="AE4805">
        <f>RAND()</f>
        <v/>
      </c>
      <c r="AF4805">
        <f>RAND()</f>
        <v/>
      </c>
    </row>
    <row r="4806">
      <c r="M4806" s="14">
        <f>_xlfn.BETA.INV($AA4806,1+4*($D$5-$C$5)/($E$5-$C$5),1+4*($E$5-$D$5)/($E$5-$C$5),$C$5,$E$5)</f>
        <v/>
      </c>
      <c r="N4806" s="14">
        <f>IF($AB4806&lt;($D$6-$C$6)/($E$6-$C$6),$C$6+SQRT($AB4806*($E$6-$C$6)*($D$6-$C$6)),$E$6-SQRT((1-$AB4806)*($E$6-$C$6)*($E$6-$D$6)))</f>
        <v/>
      </c>
      <c r="O4806" s="14">
        <f>_xlfn.NORM.INV($AC4806,$C$7,$D$7)</f>
        <v/>
      </c>
      <c r="P4806" s="14">
        <f>$C$8+($D$8-$C$8)*$AD4806</f>
        <v/>
      </c>
      <c r="Q4806" s="14">
        <f>$C$9</f>
        <v/>
      </c>
      <c r="R4806" s="14">
        <f>_xlfn.LOGNORM.INV($AF4806,LN($C$10)-0.5*LN(1+($D$10/$C$10)^2),SQRT(LN(1+($D$10/$C$10)^2)))</f>
        <v/>
      </c>
      <c r="S4806" s="14">
        <f>SUM(M4806:R4806)</f>
        <v/>
      </c>
      <c r="AA4806">
        <f>RAND()</f>
        <v/>
      </c>
      <c r="AB4806">
        <f>RAND()</f>
        <v/>
      </c>
      <c r="AC4806">
        <f>RAND()</f>
        <v/>
      </c>
      <c r="AD4806">
        <f>RAND()</f>
        <v/>
      </c>
      <c r="AE4806">
        <f>RAND()</f>
        <v/>
      </c>
      <c r="AF4806">
        <f>RAND()</f>
        <v/>
      </c>
    </row>
    <row r="4807">
      <c r="M4807" s="14">
        <f>_xlfn.BETA.INV($AA4807,1+4*($D$5-$C$5)/($E$5-$C$5),1+4*($E$5-$D$5)/($E$5-$C$5),$C$5,$E$5)</f>
        <v/>
      </c>
      <c r="N4807" s="14">
        <f>IF($AB4807&lt;($D$6-$C$6)/($E$6-$C$6),$C$6+SQRT($AB4807*($E$6-$C$6)*($D$6-$C$6)),$E$6-SQRT((1-$AB4807)*($E$6-$C$6)*($E$6-$D$6)))</f>
        <v/>
      </c>
      <c r="O4807" s="14">
        <f>_xlfn.NORM.INV($AC4807,$C$7,$D$7)</f>
        <v/>
      </c>
      <c r="P4807" s="14">
        <f>$C$8+($D$8-$C$8)*$AD4807</f>
        <v/>
      </c>
      <c r="Q4807" s="14">
        <f>$C$9</f>
        <v/>
      </c>
      <c r="R4807" s="14">
        <f>_xlfn.LOGNORM.INV($AF4807,LN($C$10)-0.5*LN(1+($D$10/$C$10)^2),SQRT(LN(1+($D$10/$C$10)^2)))</f>
        <v/>
      </c>
      <c r="S4807" s="14">
        <f>SUM(M4807:R4807)</f>
        <v/>
      </c>
      <c r="AA4807">
        <f>RAND()</f>
        <v/>
      </c>
      <c r="AB4807">
        <f>RAND()</f>
        <v/>
      </c>
      <c r="AC4807">
        <f>RAND()</f>
        <v/>
      </c>
      <c r="AD4807">
        <f>RAND()</f>
        <v/>
      </c>
      <c r="AE4807">
        <f>RAND()</f>
        <v/>
      </c>
      <c r="AF4807">
        <f>RAND()</f>
        <v/>
      </c>
    </row>
    <row r="4808">
      <c r="M4808" s="14">
        <f>_xlfn.BETA.INV($AA4808,1+4*($D$5-$C$5)/($E$5-$C$5),1+4*($E$5-$D$5)/($E$5-$C$5),$C$5,$E$5)</f>
        <v/>
      </c>
      <c r="N4808" s="14">
        <f>IF($AB4808&lt;($D$6-$C$6)/($E$6-$C$6),$C$6+SQRT($AB4808*($E$6-$C$6)*($D$6-$C$6)),$E$6-SQRT((1-$AB4808)*($E$6-$C$6)*($E$6-$D$6)))</f>
        <v/>
      </c>
      <c r="O4808" s="14">
        <f>_xlfn.NORM.INV($AC4808,$C$7,$D$7)</f>
        <v/>
      </c>
      <c r="P4808" s="14">
        <f>$C$8+($D$8-$C$8)*$AD4808</f>
        <v/>
      </c>
      <c r="Q4808" s="14">
        <f>$C$9</f>
        <v/>
      </c>
      <c r="R4808" s="14">
        <f>_xlfn.LOGNORM.INV($AF4808,LN($C$10)-0.5*LN(1+($D$10/$C$10)^2),SQRT(LN(1+($D$10/$C$10)^2)))</f>
        <v/>
      </c>
      <c r="S4808" s="14">
        <f>SUM(M4808:R4808)</f>
        <v/>
      </c>
      <c r="AA4808">
        <f>RAND()</f>
        <v/>
      </c>
      <c r="AB4808">
        <f>RAND()</f>
        <v/>
      </c>
      <c r="AC4808">
        <f>RAND()</f>
        <v/>
      </c>
      <c r="AD4808">
        <f>RAND()</f>
        <v/>
      </c>
      <c r="AE4808">
        <f>RAND()</f>
        <v/>
      </c>
      <c r="AF4808">
        <f>RAND()</f>
        <v/>
      </c>
    </row>
    <row r="4809">
      <c r="M4809" s="14">
        <f>_xlfn.BETA.INV($AA4809,1+4*($D$5-$C$5)/($E$5-$C$5),1+4*($E$5-$D$5)/($E$5-$C$5),$C$5,$E$5)</f>
        <v/>
      </c>
      <c r="N4809" s="14">
        <f>IF($AB4809&lt;($D$6-$C$6)/($E$6-$C$6),$C$6+SQRT($AB4809*($E$6-$C$6)*($D$6-$C$6)),$E$6-SQRT((1-$AB4809)*($E$6-$C$6)*($E$6-$D$6)))</f>
        <v/>
      </c>
      <c r="O4809" s="14">
        <f>_xlfn.NORM.INV($AC4809,$C$7,$D$7)</f>
        <v/>
      </c>
      <c r="P4809" s="14">
        <f>$C$8+($D$8-$C$8)*$AD4809</f>
        <v/>
      </c>
      <c r="Q4809" s="14">
        <f>$C$9</f>
        <v/>
      </c>
      <c r="R4809" s="14">
        <f>_xlfn.LOGNORM.INV($AF4809,LN($C$10)-0.5*LN(1+($D$10/$C$10)^2),SQRT(LN(1+($D$10/$C$10)^2)))</f>
        <v/>
      </c>
      <c r="S4809" s="14">
        <f>SUM(M4809:R4809)</f>
        <v/>
      </c>
      <c r="AA4809">
        <f>RAND()</f>
        <v/>
      </c>
      <c r="AB4809">
        <f>RAND()</f>
        <v/>
      </c>
      <c r="AC4809">
        <f>RAND()</f>
        <v/>
      </c>
      <c r="AD4809">
        <f>RAND()</f>
        <v/>
      </c>
      <c r="AE4809">
        <f>RAND()</f>
        <v/>
      </c>
      <c r="AF4809">
        <f>RAND()</f>
        <v/>
      </c>
    </row>
    <row r="4810">
      <c r="M4810" s="14">
        <f>_xlfn.BETA.INV($AA4810,1+4*($D$5-$C$5)/($E$5-$C$5),1+4*($E$5-$D$5)/($E$5-$C$5),$C$5,$E$5)</f>
        <v/>
      </c>
      <c r="N4810" s="14">
        <f>IF($AB4810&lt;($D$6-$C$6)/($E$6-$C$6),$C$6+SQRT($AB4810*($E$6-$C$6)*($D$6-$C$6)),$E$6-SQRT((1-$AB4810)*($E$6-$C$6)*($E$6-$D$6)))</f>
        <v/>
      </c>
      <c r="O4810" s="14">
        <f>_xlfn.NORM.INV($AC4810,$C$7,$D$7)</f>
        <v/>
      </c>
      <c r="P4810" s="14">
        <f>$C$8+($D$8-$C$8)*$AD4810</f>
        <v/>
      </c>
      <c r="Q4810" s="14">
        <f>$C$9</f>
        <v/>
      </c>
      <c r="R4810" s="14">
        <f>_xlfn.LOGNORM.INV($AF4810,LN($C$10)-0.5*LN(1+($D$10/$C$10)^2),SQRT(LN(1+($D$10/$C$10)^2)))</f>
        <v/>
      </c>
      <c r="S4810" s="14">
        <f>SUM(M4810:R4810)</f>
        <v/>
      </c>
      <c r="AA4810">
        <f>RAND()</f>
        <v/>
      </c>
      <c r="AB4810">
        <f>RAND()</f>
        <v/>
      </c>
      <c r="AC4810">
        <f>RAND()</f>
        <v/>
      </c>
      <c r="AD4810">
        <f>RAND()</f>
        <v/>
      </c>
      <c r="AE4810">
        <f>RAND()</f>
        <v/>
      </c>
      <c r="AF4810">
        <f>RAND()</f>
        <v/>
      </c>
    </row>
    <row r="4811">
      <c r="M4811" s="14">
        <f>_xlfn.BETA.INV($AA4811,1+4*($D$5-$C$5)/($E$5-$C$5),1+4*($E$5-$D$5)/($E$5-$C$5),$C$5,$E$5)</f>
        <v/>
      </c>
      <c r="N4811" s="14">
        <f>IF($AB4811&lt;($D$6-$C$6)/($E$6-$C$6),$C$6+SQRT($AB4811*($E$6-$C$6)*($D$6-$C$6)),$E$6-SQRT((1-$AB4811)*($E$6-$C$6)*($E$6-$D$6)))</f>
        <v/>
      </c>
      <c r="O4811" s="14">
        <f>_xlfn.NORM.INV($AC4811,$C$7,$D$7)</f>
        <v/>
      </c>
      <c r="P4811" s="14">
        <f>$C$8+($D$8-$C$8)*$AD4811</f>
        <v/>
      </c>
      <c r="Q4811" s="14">
        <f>$C$9</f>
        <v/>
      </c>
      <c r="R4811" s="14">
        <f>_xlfn.LOGNORM.INV($AF4811,LN($C$10)-0.5*LN(1+($D$10/$C$10)^2),SQRT(LN(1+($D$10/$C$10)^2)))</f>
        <v/>
      </c>
      <c r="S4811" s="14">
        <f>SUM(M4811:R4811)</f>
        <v/>
      </c>
      <c r="AA4811">
        <f>RAND()</f>
        <v/>
      </c>
      <c r="AB4811">
        <f>RAND()</f>
        <v/>
      </c>
      <c r="AC4811">
        <f>RAND()</f>
        <v/>
      </c>
      <c r="AD4811">
        <f>RAND()</f>
        <v/>
      </c>
      <c r="AE4811">
        <f>RAND()</f>
        <v/>
      </c>
      <c r="AF4811">
        <f>RAND()</f>
        <v/>
      </c>
    </row>
    <row r="4812">
      <c r="M4812" s="14">
        <f>_xlfn.BETA.INV($AA4812,1+4*($D$5-$C$5)/($E$5-$C$5),1+4*($E$5-$D$5)/($E$5-$C$5),$C$5,$E$5)</f>
        <v/>
      </c>
      <c r="N4812" s="14">
        <f>IF($AB4812&lt;($D$6-$C$6)/($E$6-$C$6),$C$6+SQRT($AB4812*($E$6-$C$6)*($D$6-$C$6)),$E$6-SQRT((1-$AB4812)*($E$6-$C$6)*($E$6-$D$6)))</f>
        <v/>
      </c>
      <c r="O4812" s="14">
        <f>_xlfn.NORM.INV($AC4812,$C$7,$D$7)</f>
        <v/>
      </c>
      <c r="P4812" s="14">
        <f>$C$8+($D$8-$C$8)*$AD4812</f>
        <v/>
      </c>
      <c r="Q4812" s="14">
        <f>$C$9</f>
        <v/>
      </c>
      <c r="R4812" s="14">
        <f>_xlfn.LOGNORM.INV($AF4812,LN($C$10)-0.5*LN(1+($D$10/$C$10)^2),SQRT(LN(1+($D$10/$C$10)^2)))</f>
        <v/>
      </c>
      <c r="S4812" s="14">
        <f>SUM(M4812:R4812)</f>
        <v/>
      </c>
      <c r="AA4812">
        <f>RAND()</f>
        <v/>
      </c>
      <c r="AB4812">
        <f>RAND()</f>
        <v/>
      </c>
      <c r="AC4812">
        <f>RAND()</f>
        <v/>
      </c>
      <c r="AD4812">
        <f>RAND()</f>
        <v/>
      </c>
      <c r="AE4812">
        <f>RAND()</f>
        <v/>
      </c>
      <c r="AF4812">
        <f>RAND()</f>
        <v/>
      </c>
    </row>
    <row r="4813">
      <c r="M4813" s="14">
        <f>_xlfn.BETA.INV($AA4813,1+4*($D$5-$C$5)/($E$5-$C$5),1+4*($E$5-$D$5)/($E$5-$C$5),$C$5,$E$5)</f>
        <v/>
      </c>
      <c r="N4813" s="14">
        <f>IF($AB4813&lt;($D$6-$C$6)/($E$6-$C$6),$C$6+SQRT($AB4813*($E$6-$C$6)*($D$6-$C$6)),$E$6-SQRT((1-$AB4813)*($E$6-$C$6)*($E$6-$D$6)))</f>
        <v/>
      </c>
      <c r="O4813" s="14">
        <f>_xlfn.NORM.INV($AC4813,$C$7,$D$7)</f>
        <v/>
      </c>
      <c r="P4813" s="14">
        <f>$C$8+($D$8-$C$8)*$AD4813</f>
        <v/>
      </c>
      <c r="Q4813" s="14">
        <f>$C$9</f>
        <v/>
      </c>
      <c r="R4813" s="14">
        <f>_xlfn.LOGNORM.INV($AF4813,LN($C$10)-0.5*LN(1+($D$10/$C$10)^2),SQRT(LN(1+($D$10/$C$10)^2)))</f>
        <v/>
      </c>
      <c r="S4813" s="14">
        <f>SUM(M4813:R4813)</f>
        <v/>
      </c>
      <c r="AA4813">
        <f>RAND()</f>
        <v/>
      </c>
      <c r="AB4813">
        <f>RAND()</f>
        <v/>
      </c>
      <c r="AC4813">
        <f>RAND()</f>
        <v/>
      </c>
      <c r="AD4813">
        <f>RAND()</f>
        <v/>
      </c>
      <c r="AE4813">
        <f>RAND()</f>
        <v/>
      </c>
      <c r="AF4813">
        <f>RAND()</f>
        <v/>
      </c>
    </row>
    <row r="4814">
      <c r="M4814" s="14">
        <f>_xlfn.BETA.INV($AA4814,1+4*($D$5-$C$5)/($E$5-$C$5),1+4*($E$5-$D$5)/($E$5-$C$5),$C$5,$E$5)</f>
        <v/>
      </c>
      <c r="N4814" s="14">
        <f>IF($AB4814&lt;($D$6-$C$6)/($E$6-$C$6),$C$6+SQRT($AB4814*($E$6-$C$6)*($D$6-$C$6)),$E$6-SQRT((1-$AB4814)*($E$6-$C$6)*($E$6-$D$6)))</f>
        <v/>
      </c>
      <c r="O4814" s="14">
        <f>_xlfn.NORM.INV($AC4814,$C$7,$D$7)</f>
        <v/>
      </c>
      <c r="P4814" s="14">
        <f>$C$8+($D$8-$C$8)*$AD4814</f>
        <v/>
      </c>
      <c r="Q4814" s="14">
        <f>$C$9</f>
        <v/>
      </c>
      <c r="R4814" s="14">
        <f>_xlfn.LOGNORM.INV($AF4814,LN($C$10)-0.5*LN(1+($D$10/$C$10)^2),SQRT(LN(1+($D$10/$C$10)^2)))</f>
        <v/>
      </c>
      <c r="S4814" s="14">
        <f>SUM(M4814:R4814)</f>
        <v/>
      </c>
      <c r="AA4814">
        <f>RAND()</f>
        <v/>
      </c>
      <c r="AB4814">
        <f>RAND()</f>
        <v/>
      </c>
      <c r="AC4814">
        <f>RAND()</f>
        <v/>
      </c>
      <c r="AD4814">
        <f>RAND()</f>
        <v/>
      </c>
      <c r="AE4814">
        <f>RAND()</f>
        <v/>
      </c>
      <c r="AF4814">
        <f>RAND()</f>
        <v/>
      </c>
    </row>
    <row r="4815">
      <c r="M4815" s="14">
        <f>_xlfn.BETA.INV($AA4815,1+4*($D$5-$C$5)/($E$5-$C$5),1+4*($E$5-$D$5)/($E$5-$C$5),$C$5,$E$5)</f>
        <v/>
      </c>
      <c r="N4815" s="14">
        <f>IF($AB4815&lt;($D$6-$C$6)/($E$6-$C$6),$C$6+SQRT($AB4815*($E$6-$C$6)*($D$6-$C$6)),$E$6-SQRT((1-$AB4815)*($E$6-$C$6)*($E$6-$D$6)))</f>
        <v/>
      </c>
      <c r="O4815" s="14">
        <f>_xlfn.NORM.INV($AC4815,$C$7,$D$7)</f>
        <v/>
      </c>
      <c r="P4815" s="14">
        <f>$C$8+($D$8-$C$8)*$AD4815</f>
        <v/>
      </c>
      <c r="Q4815" s="14">
        <f>$C$9</f>
        <v/>
      </c>
      <c r="R4815" s="14">
        <f>_xlfn.LOGNORM.INV($AF4815,LN($C$10)-0.5*LN(1+($D$10/$C$10)^2),SQRT(LN(1+($D$10/$C$10)^2)))</f>
        <v/>
      </c>
      <c r="S4815" s="14">
        <f>SUM(M4815:R4815)</f>
        <v/>
      </c>
      <c r="AA4815">
        <f>RAND()</f>
        <v/>
      </c>
      <c r="AB4815">
        <f>RAND()</f>
        <v/>
      </c>
      <c r="AC4815">
        <f>RAND()</f>
        <v/>
      </c>
      <c r="AD4815">
        <f>RAND()</f>
        <v/>
      </c>
      <c r="AE4815">
        <f>RAND()</f>
        <v/>
      </c>
      <c r="AF4815">
        <f>RAND()</f>
        <v/>
      </c>
    </row>
    <row r="4816">
      <c r="M4816" s="14">
        <f>_xlfn.BETA.INV($AA4816,1+4*($D$5-$C$5)/($E$5-$C$5),1+4*($E$5-$D$5)/($E$5-$C$5),$C$5,$E$5)</f>
        <v/>
      </c>
      <c r="N4816" s="14">
        <f>IF($AB4816&lt;($D$6-$C$6)/($E$6-$C$6),$C$6+SQRT($AB4816*($E$6-$C$6)*($D$6-$C$6)),$E$6-SQRT((1-$AB4816)*($E$6-$C$6)*($E$6-$D$6)))</f>
        <v/>
      </c>
      <c r="O4816" s="14">
        <f>_xlfn.NORM.INV($AC4816,$C$7,$D$7)</f>
        <v/>
      </c>
      <c r="P4816" s="14">
        <f>$C$8+($D$8-$C$8)*$AD4816</f>
        <v/>
      </c>
      <c r="Q4816" s="14">
        <f>$C$9</f>
        <v/>
      </c>
      <c r="R4816" s="14">
        <f>_xlfn.LOGNORM.INV($AF4816,LN($C$10)-0.5*LN(1+($D$10/$C$10)^2),SQRT(LN(1+($D$10/$C$10)^2)))</f>
        <v/>
      </c>
      <c r="S4816" s="14">
        <f>SUM(M4816:R4816)</f>
        <v/>
      </c>
      <c r="AA4816">
        <f>RAND()</f>
        <v/>
      </c>
      <c r="AB4816">
        <f>RAND()</f>
        <v/>
      </c>
      <c r="AC4816">
        <f>RAND()</f>
        <v/>
      </c>
      <c r="AD4816">
        <f>RAND()</f>
        <v/>
      </c>
      <c r="AE4816">
        <f>RAND()</f>
        <v/>
      </c>
      <c r="AF4816">
        <f>RAND()</f>
        <v/>
      </c>
    </row>
    <row r="4817">
      <c r="M4817" s="14">
        <f>_xlfn.BETA.INV($AA4817,1+4*($D$5-$C$5)/($E$5-$C$5),1+4*($E$5-$D$5)/($E$5-$C$5),$C$5,$E$5)</f>
        <v/>
      </c>
      <c r="N4817" s="14">
        <f>IF($AB4817&lt;($D$6-$C$6)/($E$6-$C$6),$C$6+SQRT($AB4817*($E$6-$C$6)*($D$6-$C$6)),$E$6-SQRT((1-$AB4817)*($E$6-$C$6)*($E$6-$D$6)))</f>
        <v/>
      </c>
      <c r="O4817" s="14">
        <f>_xlfn.NORM.INV($AC4817,$C$7,$D$7)</f>
        <v/>
      </c>
      <c r="P4817" s="14">
        <f>$C$8+($D$8-$C$8)*$AD4817</f>
        <v/>
      </c>
      <c r="Q4817" s="14">
        <f>$C$9</f>
        <v/>
      </c>
      <c r="R4817" s="14">
        <f>_xlfn.LOGNORM.INV($AF4817,LN($C$10)-0.5*LN(1+($D$10/$C$10)^2),SQRT(LN(1+($D$10/$C$10)^2)))</f>
        <v/>
      </c>
      <c r="S4817" s="14">
        <f>SUM(M4817:R4817)</f>
        <v/>
      </c>
      <c r="AA4817">
        <f>RAND()</f>
        <v/>
      </c>
      <c r="AB4817">
        <f>RAND()</f>
        <v/>
      </c>
      <c r="AC4817">
        <f>RAND()</f>
        <v/>
      </c>
      <c r="AD4817">
        <f>RAND()</f>
        <v/>
      </c>
      <c r="AE4817">
        <f>RAND()</f>
        <v/>
      </c>
      <c r="AF4817">
        <f>RAND()</f>
        <v/>
      </c>
    </row>
    <row r="4818">
      <c r="M4818" s="14">
        <f>_xlfn.BETA.INV($AA4818,1+4*($D$5-$C$5)/($E$5-$C$5),1+4*($E$5-$D$5)/($E$5-$C$5),$C$5,$E$5)</f>
        <v/>
      </c>
      <c r="N4818" s="14">
        <f>IF($AB4818&lt;($D$6-$C$6)/($E$6-$C$6),$C$6+SQRT($AB4818*($E$6-$C$6)*($D$6-$C$6)),$E$6-SQRT((1-$AB4818)*($E$6-$C$6)*($E$6-$D$6)))</f>
        <v/>
      </c>
      <c r="O4818" s="14">
        <f>_xlfn.NORM.INV($AC4818,$C$7,$D$7)</f>
        <v/>
      </c>
      <c r="P4818" s="14">
        <f>$C$8+($D$8-$C$8)*$AD4818</f>
        <v/>
      </c>
      <c r="Q4818" s="14">
        <f>$C$9</f>
        <v/>
      </c>
      <c r="R4818" s="14">
        <f>_xlfn.LOGNORM.INV($AF4818,LN($C$10)-0.5*LN(1+($D$10/$C$10)^2),SQRT(LN(1+($D$10/$C$10)^2)))</f>
        <v/>
      </c>
      <c r="S4818" s="14">
        <f>SUM(M4818:R4818)</f>
        <v/>
      </c>
      <c r="AA4818">
        <f>RAND()</f>
        <v/>
      </c>
      <c r="AB4818">
        <f>RAND()</f>
        <v/>
      </c>
      <c r="AC4818">
        <f>RAND()</f>
        <v/>
      </c>
      <c r="AD4818">
        <f>RAND()</f>
        <v/>
      </c>
      <c r="AE4818">
        <f>RAND()</f>
        <v/>
      </c>
      <c r="AF4818">
        <f>RAND()</f>
        <v/>
      </c>
    </row>
    <row r="4819">
      <c r="M4819" s="14">
        <f>_xlfn.BETA.INV($AA4819,1+4*($D$5-$C$5)/($E$5-$C$5),1+4*($E$5-$D$5)/($E$5-$C$5),$C$5,$E$5)</f>
        <v/>
      </c>
      <c r="N4819" s="14">
        <f>IF($AB4819&lt;($D$6-$C$6)/($E$6-$C$6),$C$6+SQRT($AB4819*($E$6-$C$6)*($D$6-$C$6)),$E$6-SQRT((1-$AB4819)*($E$6-$C$6)*($E$6-$D$6)))</f>
        <v/>
      </c>
      <c r="O4819" s="14">
        <f>_xlfn.NORM.INV($AC4819,$C$7,$D$7)</f>
        <v/>
      </c>
      <c r="P4819" s="14">
        <f>$C$8+($D$8-$C$8)*$AD4819</f>
        <v/>
      </c>
      <c r="Q4819" s="14">
        <f>$C$9</f>
        <v/>
      </c>
      <c r="R4819" s="14">
        <f>_xlfn.LOGNORM.INV($AF4819,LN($C$10)-0.5*LN(1+($D$10/$C$10)^2),SQRT(LN(1+($D$10/$C$10)^2)))</f>
        <v/>
      </c>
      <c r="S4819" s="14">
        <f>SUM(M4819:R4819)</f>
        <v/>
      </c>
      <c r="AA4819">
        <f>RAND()</f>
        <v/>
      </c>
      <c r="AB4819">
        <f>RAND()</f>
        <v/>
      </c>
      <c r="AC4819">
        <f>RAND()</f>
        <v/>
      </c>
      <c r="AD4819">
        <f>RAND()</f>
        <v/>
      </c>
      <c r="AE4819">
        <f>RAND()</f>
        <v/>
      </c>
      <c r="AF4819">
        <f>RAND()</f>
        <v/>
      </c>
    </row>
    <row r="4820">
      <c r="M4820" s="14">
        <f>_xlfn.BETA.INV($AA4820,1+4*($D$5-$C$5)/($E$5-$C$5),1+4*($E$5-$D$5)/($E$5-$C$5),$C$5,$E$5)</f>
        <v/>
      </c>
      <c r="N4820" s="14">
        <f>IF($AB4820&lt;($D$6-$C$6)/($E$6-$C$6),$C$6+SQRT($AB4820*($E$6-$C$6)*($D$6-$C$6)),$E$6-SQRT((1-$AB4820)*($E$6-$C$6)*($E$6-$D$6)))</f>
        <v/>
      </c>
      <c r="O4820" s="14">
        <f>_xlfn.NORM.INV($AC4820,$C$7,$D$7)</f>
        <v/>
      </c>
      <c r="P4820" s="14">
        <f>$C$8+($D$8-$C$8)*$AD4820</f>
        <v/>
      </c>
      <c r="Q4820" s="14">
        <f>$C$9</f>
        <v/>
      </c>
      <c r="R4820" s="14">
        <f>_xlfn.LOGNORM.INV($AF4820,LN($C$10)-0.5*LN(1+($D$10/$C$10)^2),SQRT(LN(1+($D$10/$C$10)^2)))</f>
        <v/>
      </c>
      <c r="S4820" s="14">
        <f>SUM(M4820:R4820)</f>
        <v/>
      </c>
      <c r="AA4820">
        <f>RAND()</f>
        <v/>
      </c>
      <c r="AB4820">
        <f>RAND()</f>
        <v/>
      </c>
      <c r="AC4820">
        <f>RAND()</f>
        <v/>
      </c>
      <c r="AD4820">
        <f>RAND()</f>
        <v/>
      </c>
      <c r="AE4820">
        <f>RAND()</f>
        <v/>
      </c>
      <c r="AF4820">
        <f>RAND()</f>
        <v/>
      </c>
    </row>
    <row r="4821">
      <c r="M4821" s="14">
        <f>_xlfn.BETA.INV($AA4821,1+4*($D$5-$C$5)/($E$5-$C$5),1+4*($E$5-$D$5)/($E$5-$C$5),$C$5,$E$5)</f>
        <v/>
      </c>
      <c r="N4821" s="14">
        <f>IF($AB4821&lt;($D$6-$C$6)/($E$6-$C$6),$C$6+SQRT($AB4821*($E$6-$C$6)*($D$6-$C$6)),$E$6-SQRT((1-$AB4821)*($E$6-$C$6)*($E$6-$D$6)))</f>
        <v/>
      </c>
      <c r="O4821" s="14">
        <f>_xlfn.NORM.INV($AC4821,$C$7,$D$7)</f>
        <v/>
      </c>
      <c r="P4821" s="14">
        <f>$C$8+($D$8-$C$8)*$AD4821</f>
        <v/>
      </c>
      <c r="Q4821" s="14">
        <f>$C$9</f>
        <v/>
      </c>
      <c r="R4821" s="14">
        <f>_xlfn.LOGNORM.INV($AF4821,LN($C$10)-0.5*LN(1+($D$10/$C$10)^2),SQRT(LN(1+($D$10/$C$10)^2)))</f>
        <v/>
      </c>
      <c r="S4821" s="14">
        <f>SUM(M4821:R4821)</f>
        <v/>
      </c>
      <c r="AA4821">
        <f>RAND()</f>
        <v/>
      </c>
      <c r="AB4821">
        <f>RAND()</f>
        <v/>
      </c>
      <c r="AC4821">
        <f>RAND()</f>
        <v/>
      </c>
      <c r="AD4821">
        <f>RAND()</f>
        <v/>
      </c>
      <c r="AE4821">
        <f>RAND()</f>
        <v/>
      </c>
      <c r="AF4821">
        <f>RAND()</f>
        <v/>
      </c>
    </row>
    <row r="4822">
      <c r="M4822" s="14">
        <f>_xlfn.BETA.INV($AA4822,1+4*($D$5-$C$5)/($E$5-$C$5),1+4*($E$5-$D$5)/($E$5-$C$5),$C$5,$E$5)</f>
        <v/>
      </c>
      <c r="N4822" s="14">
        <f>IF($AB4822&lt;($D$6-$C$6)/($E$6-$C$6),$C$6+SQRT($AB4822*($E$6-$C$6)*($D$6-$C$6)),$E$6-SQRT((1-$AB4822)*($E$6-$C$6)*($E$6-$D$6)))</f>
        <v/>
      </c>
      <c r="O4822" s="14">
        <f>_xlfn.NORM.INV($AC4822,$C$7,$D$7)</f>
        <v/>
      </c>
      <c r="P4822" s="14">
        <f>$C$8+($D$8-$C$8)*$AD4822</f>
        <v/>
      </c>
      <c r="Q4822" s="14">
        <f>$C$9</f>
        <v/>
      </c>
      <c r="R4822" s="14">
        <f>_xlfn.LOGNORM.INV($AF4822,LN($C$10)-0.5*LN(1+($D$10/$C$10)^2),SQRT(LN(1+($D$10/$C$10)^2)))</f>
        <v/>
      </c>
      <c r="S4822" s="14">
        <f>SUM(M4822:R4822)</f>
        <v/>
      </c>
      <c r="AA4822">
        <f>RAND()</f>
        <v/>
      </c>
      <c r="AB4822">
        <f>RAND()</f>
        <v/>
      </c>
      <c r="AC4822">
        <f>RAND()</f>
        <v/>
      </c>
      <c r="AD4822">
        <f>RAND()</f>
        <v/>
      </c>
      <c r="AE4822">
        <f>RAND()</f>
        <v/>
      </c>
      <c r="AF4822">
        <f>RAND()</f>
        <v/>
      </c>
    </row>
    <row r="4823">
      <c r="M4823" s="14">
        <f>_xlfn.BETA.INV($AA4823,1+4*($D$5-$C$5)/($E$5-$C$5),1+4*($E$5-$D$5)/($E$5-$C$5),$C$5,$E$5)</f>
        <v/>
      </c>
      <c r="N4823" s="14">
        <f>IF($AB4823&lt;($D$6-$C$6)/($E$6-$C$6),$C$6+SQRT($AB4823*($E$6-$C$6)*($D$6-$C$6)),$E$6-SQRT((1-$AB4823)*($E$6-$C$6)*($E$6-$D$6)))</f>
        <v/>
      </c>
      <c r="O4823" s="14">
        <f>_xlfn.NORM.INV($AC4823,$C$7,$D$7)</f>
        <v/>
      </c>
      <c r="P4823" s="14">
        <f>$C$8+($D$8-$C$8)*$AD4823</f>
        <v/>
      </c>
      <c r="Q4823" s="14">
        <f>$C$9</f>
        <v/>
      </c>
      <c r="R4823" s="14">
        <f>_xlfn.LOGNORM.INV($AF4823,LN($C$10)-0.5*LN(1+($D$10/$C$10)^2),SQRT(LN(1+($D$10/$C$10)^2)))</f>
        <v/>
      </c>
      <c r="S4823" s="14">
        <f>SUM(M4823:R4823)</f>
        <v/>
      </c>
      <c r="AA4823">
        <f>RAND()</f>
        <v/>
      </c>
      <c r="AB4823">
        <f>RAND()</f>
        <v/>
      </c>
      <c r="AC4823">
        <f>RAND()</f>
        <v/>
      </c>
      <c r="AD4823">
        <f>RAND()</f>
        <v/>
      </c>
      <c r="AE4823">
        <f>RAND()</f>
        <v/>
      </c>
      <c r="AF4823">
        <f>RAND()</f>
        <v/>
      </c>
    </row>
    <row r="4824">
      <c r="M4824" s="14">
        <f>_xlfn.BETA.INV($AA4824,1+4*($D$5-$C$5)/($E$5-$C$5),1+4*($E$5-$D$5)/($E$5-$C$5),$C$5,$E$5)</f>
        <v/>
      </c>
      <c r="N4824" s="14">
        <f>IF($AB4824&lt;($D$6-$C$6)/($E$6-$C$6),$C$6+SQRT($AB4824*($E$6-$C$6)*($D$6-$C$6)),$E$6-SQRT((1-$AB4824)*($E$6-$C$6)*($E$6-$D$6)))</f>
        <v/>
      </c>
      <c r="O4824" s="14">
        <f>_xlfn.NORM.INV($AC4824,$C$7,$D$7)</f>
        <v/>
      </c>
      <c r="P4824" s="14">
        <f>$C$8+($D$8-$C$8)*$AD4824</f>
        <v/>
      </c>
      <c r="Q4824" s="14">
        <f>$C$9</f>
        <v/>
      </c>
      <c r="R4824" s="14">
        <f>_xlfn.LOGNORM.INV($AF4824,LN($C$10)-0.5*LN(1+($D$10/$C$10)^2),SQRT(LN(1+($D$10/$C$10)^2)))</f>
        <v/>
      </c>
      <c r="S4824" s="14">
        <f>SUM(M4824:R4824)</f>
        <v/>
      </c>
      <c r="AA4824">
        <f>RAND()</f>
        <v/>
      </c>
      <c r="AB4824">
        <f>RAND()</f>
        <v/>
      </c>
      <c r="AC4824">
        <f>RAND()</f>
        <v/>
      </c>
      <c r="AD4824">
        <f>RAND()</f>
        <v/>
      </c>
      <c r="AE4824">
        <f>RAND()</f>
        <v/>
      </c>
      <c r="AF4824">
        <f>RAND()</f>
        <v/>
      </c>
    </row>
    <row r="4825">
      <c r="M4825" s="14">
        <f>_xlfn.BETA.INV($AA4825,1+4*($D$5-$C$5)/($E$5-$C$5),1+4*($E$5-$D$5)/($E$5-$C$5),$C$5,$E$5)</f>
        <v/>
      </c>
      <c r="N4825" s="14">
        <f>IF($AB4825&lt;($D$6-$C$6)/($E$6-$C$6),$C$6+SQRT($AB4825*($E$6-$C$6)*($D$6-$C$6)),$E$6-SQRT((1-$AB4825)*($E$6-$C$6)*($E$6-$D$6)))</f>
        <v/>
      </c>
      <c r="O4825" s="14">
        <f>_xlfn.NORM.INV($AC4825,$C$7,$D$7)</f>
        <v/>
      </c>
      <c r="P4825" s="14">
        <f>$C$8+($D$8-$C$8)*$AD4825</f>
        <v/>
      </c>
      <c r="Q4825" s="14">
        <f>$C$9</f>
        <v/>
      </c>
      <c r="R4825" s="14">
        <f>_xlfn.LOGNORM.INV($AF4825,LN($C$10)-0.5*LN(1+($D$10/$C$10)^2),SQRT(LN(1+($D$10/$C$10)^2)))</f>
        <v/>
      </c>
      <c r="S4825" s="14">
        <f>SUM(M4825:R4825)</f>
        <v/>
      </c>
      <c r="AA4825">
        <f>RAND()</f>
        <v/>
      </c>
      <c r="AB4825">
        <f>RAND()</f>
        <v/>
      </c>
      <c r="AC4825">
        <f>RAND()</f>
        <v/>
      </c>
      <c r="AD4825">
        <f>RAND()</f>
        <v/>
      </c>
      <c r="AE4825">
        <f>RAND()</f>
        <v/>
      </c>
      <c r="AF4825">
        <f>RAND()</f>
        <v/>
      </c>
    </row>
    <row r="4826">
      <c r="M4826" s="14">
        <f>_xlfn.BETA.INV($AA4826,1+4*($D$5-$C$5)/($E$5-$C$5),1+4*($E$5-$D$5)/($E$5-$C$5),$C$5,$E$5)</f>
        <v/>
      </c>
      <c r="N4826" s="14">
        <f>IF($AB4826&lt;($D$6-$C$6)/($E$6-$C$6),$C$6+SQRT($AB4826*($E$6-$C$6)*($D$6-$C$6)),$E$6-SQRT((1-$AB4826)*($E$6-$C$6)*($E$6-$D$6)))</f>
        <v/>
      </c>
      <c r="O4826" s="14">
        <f>_xlfn.NORM.INV($AC4826,$C$7,$D$7)</f>
        <v/>
      </c>
      <c r="P4826" s="14">
        <f>$C$8+($D$8-$C$8)*$AD4826</f>
        <v/>
      </c>
      <c r="Q4826" s="14">
        <f>$C$9</f>
        <v/>
      </c>
      <c r="R4826" s="14">
        <f>_xlfn.LOGNORM.INV($AF4826,LN($C$10)-0.5*LN(1+($D$10/$C$10)^2),SQRT(LN(1+($D$10/$C$10)^2)))</f>
        <v/>
      </c>
      <c r="S4826" s="14">
        <f>SUM(M4826:R4826)</f>
        <v/>
      </c>
      <c r="AA4826">
        <f>RAND()</f>
        <v/>
      </c>
      <c r="AB4826">
        <f>RAND()</f>
        <v/>
      </c>
      <c r="AC4826">
        <f>RAND()</f>
        <v/>
      </c>
      <c r="AD4826">
        <f>RAND()</f>
        <v/>
      </c>
      <c r="AE4826">
        <f>RAND()</f>
        <v/>
      </c>
      <c r="AF4826">
        <f>RAND()</f>
        <v/>
      </c>
    </row>
    <row r="4827">
      <c r="M4827" s="14">
        <f>_xlfn.BETA.INV($AA4827,1+4*($D$5-$C$5)/($E$5-$C$5),1+4*($E$5-$D$5)/($E$5-$C$5),$C$5,$E$5)</f>
        <v/>
      </c>
      <c r="N4827" s="14">
        <f>IF($AB4827&lt;($D$6-$C$6)/($E$6-$C$6),$C$6+SQRT($AB4827*($E$6-$C$6)*($D$6-$C$6)),$E$6-SQRT((1-$AB4827)*($E$6-$C$6)*($E$6-$D$6)))</f>
        <v/>
      </c>
      <c r="O4827" s="14">
        <f>_xlfn.NORM.INV($AC4827,$C$7,$D$7)</f>
        <v/>
      </c>
      <c r="P4827" s="14">
        <f>$C$8+($D$8-$C$8)*$AD4827</f>
        <v/>
      </c>
      <c r="Q4827" s="14">
        <f>$C$9</f>
        <v/>
      </c>
      <c r="R4827" s="14">
        <f>_xlfn.LOGNORM.INV($AF4827,LN($C$10)-0.5*LN(1+($D$10/$C$10)^2),SQRT(LN(1+($D$10/$C$10)^2)))</f>
        <v/>
      </c>
      <c r="S4827" s="14">
        <f>SUM(M4827:R4827)</f>
        <v/>
      </c>
      <c r="AA4827">
        <f>RAND()</f>
        <v/>
      </c>
      <c r="AB4827">
        <f>RAND()</f>
        <v/>
      </c>
      <c r="AC4827">
        <f>RAND()</f>
        <v/>
      </c>
      <c r="AD4827">
        <f>RAND()</f>
        <v/>
      </c>
      <c r="AE4827">
        <f>RAND()</f>
        <v/>
      </c>
      <c r="AF4827">
        <f>RAND()</f>
        <v/>
      </c>
    </row>
    <row r="4828">
      <c r="M4828" s="14">
        <f>_xlfn.BETA.INV($AA4828,1+4*($D$5-$C$5)/($E$5-$C$5),1+4*($E$5-$D$5)/($E$5-$C$5),$C$5,$E$5)</f>
        <v/>
      </c>
      <c r="N4828" s="14">
        <f>IF($AB4828&lt;($D$6-$C$6)/($E$6-$C$6),$C$6+SQRT($AB4828*($E$6-$C$6)*($D$6-$C$6)),$E$6-SQRT((1-$AB4828)*($E$6-$C$6)*($E$6-$D$6)))</f>
        <v/>
      </c>
      <c r="O4828" s="14">
        <f>_xlfn.NORM.INV($AC4828,$C$7,$D$7)</f>
        <v/>
      </c>
      <c r="P4828" s="14">
        <f>$C$8+($D$8-$C$8)*$AD4828</f>
        <v/>
      </c>
      <c r="Q4828" s="14">
        <f>$C$9</f>
        <v/>
      </c>
      <c r="R4828" s="14">
        <f>_xlfn.LOGNORM.INV($AF4828,LN($C$10)-0.5*LN(1+($D$10/$C$10)^2),SQRT(LN(1+($D$10/$C$10)^2)))</f>
        <v/>
      </c>
      <c r="S4828" s="14">
        <f>SUM(M4828:R4828)</f>
        <v/>
      </c>
      <c r="AA4828">
        <f>RAND()</f>
        <v/>
      </c>
      <c r="AB4828">
        <f>RAND()</f>
        <v/>
      </c>
      <c r="AC4828">
        <f>RAND()</f>
        <v/>
      </c>
      <c r="AD4828">
        <f>RAND()</f>
        <v/>
      </c>
      <c r="AE4828">
        <f>RAND()</f>
        <v/>
      </c>
      <c r="AF4828">
        <f>RAND()</f>
        <v/>
      </c>
    </row>
    <row r="4829">
      <c r="M4829" s="14">
        <f>_xlfn.BETA.INV($AA4829,1+4*($D$5-$C$5)/($E$5-$C$5),1+4*($E$5-$D$5)/($E$5-$C$5),$C$5,$E$5)</f>
        <v/>
      </c>
      <c r="N4829" s="14">
        <f>IF($AB4829&lt;($D$6-$C$6)/($E$6-$C$6),$C$6+SQRT($AB4829*($E$6-$C$6)*($D$6-$C$6)),$E$6-SQRT((1-$AB4829)*($E$6-$C$6)*($E$6-$D$6)))</f>
        <v/>
      </c>
      <c r="O4829" s="14">
        <f>_xlfn.NORM.INV($AC4829,$C$7,$D$7)</f>
        <v/>
      </c>
      <c r="P4829" s="14">
        <f>$C$8+($D$8-$C$8)*$AD4829</f>
        <v/>
      </c>
      <c r="Q4829" s="14">
        <f>$C$9</f>
        <v/>
      </c>
      <c r="R4829" s="14">
        <f>_xlfn.LOGNORM.INV($AF4829,LN($C$10)-0.5*LN(1+($D$10/$C$10)^2),SQRT(LN(1+($D$10/$C$10)^2)))</f>
        <v/>
      </c>
      <c r="S4829" s="14">
        <f>SUM(M4829:R4829)</f>
        <v/>
      </c>
      <c r="AA4829">
        <f>RAND()</f>
        <v/>
      </c>
      <c r="AB4829">
        <f>RAND()</f>
        <v/>
      </c>
      <c r="AC4829">
        <f>RAND()</f>
        <v/>
      </c>
      <c r="AD4829">
        <f>RAND()</f>
        <v/>
      </c>
      <c r="AE4829">
        <f>RAND()</f>
        <v/>
      </c>
      <c r="AF4829">
        <f>RAND()</f>
        <v/>
      </c>
    </row>
    <row r="4830">
      <c r="M4830" s="14">
        <f>_xlfn.BETA.INV($AA4830,1+4*($D$5-$C$5)/($E$5-$C$5),1+4*($E$5-$D$5)/($E$5-$C$5),$C$5,$E$5)</f>
        <v/>
      </c>
      <c r="N4830" s="14">
        <f>IF($AB4830&lt;($D$6-$C$6)/($E$6-$C$6),$C$6+SQRT($AB4830*($E$6-$C$6)*($D$6-$C$6)),$E$6-SQRT((1-$AB4830)*($E$6-$C$6)*($E$6-$D$6)))</f>
        <v/>
      </c>
      <c r="O4830" s="14">
        <f>_xlfn.NORM.INV($AC4830,$C$7,$D$7)</f>
        <v/>
      </c>
      <c r="P4830" s="14">
        <f>$C$8+($D$8-$C$8)*$AD4830</f>
        <v/>
      </c>
      <c r="Q4830" s="14">
        <f>$C$9</f>
        <v/>
      </c>
      <c r="R4830" s="14">
        <f>_xlfn.LOGNORM.INV($AF4830,LN($C$10)-0.5*LN(1+($D$10/$C$10)^2),SQRT(LN(1+($D$10/$C$10)^2)))</f>
        <v/>
      </c>
      <c r="S4830" s="14">
        <f>SUM(M4830:R4830)</f>
        <v/>
      </c>
      <c r="AA4830">
        <f>RAND()</f>
        <v/>
      </c>
      <c r="AB4830">
        <f>RAND()</f>
        <v/>
      </c>
      <c r="AC4830">
        <f>RAND()</f>
        <v/>
      </c>
      <c r="AD4830">
        <f>RAND()</f>
        <v/>
      </c>
      <c r="AE4830">
        <f>RAND()</f>
        <v/>
      </c>
      <c r="AF4830">
        <f>RAND()</f>
        <v/>
      </c>
    </row>
    <row r="4831">
      <c r="M4831" s="14">
        <f>_xlfn.BETA.INV($AA4831,1+4*($D$5-$C$5)/($E$5-$C$5),1+4*($E$5-$D$5)/($E$5-$C$5),$C$5,$E$5)</f>
        <v/>
      </c>
      <c r="N4831" s="14">
        <f>IF($AB4831&lt;($D$6-$C$6)/($E$6-$C$6),$C$6+SQRT($AB4831*($E$6-$C$6)*($D$6-$C$6)),$E$6-SQRT((1-$AB4831)*($E$6-$C$6)*($E$6-$D$6)))</f>
        <v/>
      </c>
      <c r="O4831" s="14">
        <f>_xlfn.NORM.INV($AC4831,$C$7,$D$7)</f>
        <v/>
      </c>
      <c r="P4831" s="14">
        <f>$C$8+($D$8-$C$8)*$AD4831</f>
        <v/>
      </c>
      <c r="Q4831" s="14">
        <f>$C$9</f>
        <v/>
      </c>
      <c r="R4831" s="14">
        <f>_xlfn.LOGNORM.INV($AF4831,LN($C$10)-0.5*LN(1+($D$10/$C$10)^2),SQRT(LN(1+($D$10/$C$10)^2)))</f>
        <v/>
      </c>
      <c r="S4831" s="14">
        <f>SUM(M4831:R4831)</f>
        <v/>
      </c>
      <c r="AA4831">
        <f>RAND()</f>
        <v/>
      </c>
      <c r="AB4831">
        <f>RAND()</f>
        <v/>
      </c>
      <c r="AC4831">
        <f>RAND()</f>
        <v/>
      </c>
      <c r="AD4831">
        <f>RAND()</f>
        <v/>
      </c>
      <c r="AE4831">
        <f>RAND()</f>
        <v/>
      </c>
      <c r="AF4831">
        <f>RAND()</f>
        <v/>
      </c>
    </row>
    <row r="4832">
      <c r="M4832" s="14">
        <f>_xlfn.BETA.INV($AA4832,1+4*($D$5-$C$5)/($E$5-$C$5),1+4*($E$5-$D$5)/($E$5-$C$5),$C$5,$E$5)</f>
        <v/>
      </c>
      <c r="N4832" s="14">
        <f>IF($AB4832&lt;($D$6-$C$6)/($E$6-$C$6),$C$6+SQRT($AB4832*($E$6-$C$6)*($D$6-$C$6)),$E$6-SQRT((1-$AB4832)*($E$6-$C$6)*($E$6-$D$6)))</f>
        <v/>
      </c>
      <c r="O4832" s="14">
        <f>_xlfn.NORM.INV($AC4832,$C$7,$D$7)</f>
        <v/>
      </c>
      <c r="P4832" s="14">
        <f>$C$8+($D$8-$C$8)*$AD4832</f>
        <v/>
      </c>
      <c r="Q4832" s="14">
        <f>$C$9</f>
        <v/>
      </c>
      <c r="R4832" s="14">
        <f>_xlfn.LOGNORM.INV($AF4832,LN($C$10)-0.5*LN(1+($D$10/$C$10)^2),SQRT(LN(1+($D$10/$C$10)^2)))</f>
        <v/>
      </c>
      <c r="S4832" s="14">
        <f>SUM(M4832:R4832)</f>
        <v/>
      </c>
      <c r="AA4832">
        <f>RAND()</f>
        <v/>
      </c>
      <c r="AB4832">
        <f>RAND()</f>
        <v/>
      </c>
      <c r="AC4832">
        <f>RAND()</f>
        <v/>
      </c>
      <c r="AD4832">
        <f>RAND()</f>
        <v/>
      </c>
      <c r="AE4832">
        <f>RAND()</f>
        <v/>
      </c>
      <c r="AF4832">
        <f>RAND()</f>
        <v/>
      </c>
    </row>
    <row r="4833">
      <c r="M4833" s="14">
        <f>_xlfn.BETA.INV($AA4833,1+4*($D$5-$C$5)/($E$5-$C$5),1+4*($E$5-$D$5)/($E$5-$C$5),$C$5,$E$5)</f>
        <v/>
      </c>
      <c r="N4833" s="14">
        <f>IF($AB4833&lt;($D$6-$C$6)/($E$6-$C$6),$C$6+SQRT($AB4833*($E$6-$C$6)*($D$6-$C$6)),$E$6-SQRT((1-$AB4833)*($E$6-$C$6)*($E$6-$D$6)))</f>
        <v/>
      </c>
      <c r="O4833" s="14">
        <f>_xlfn.NORM.INV($AC4833,$C$7,$D$7)</f>
        <v/>
      </c>
      <c r="P4833" s="14">
        <f>$C$8+($D$8-$C$8)*$AD4833</f>
        <v/>
      </c>
      <c r="Q4833" s="14">
        <f>$C$9</f>
        <v/>
      </c>
      <c r="R4833" s="14">
        <f>_xlfn.LOGNORM.INV($AF4833,LN($C$10)-0.5*LN(1+($D$10/$C$10)^2),SQRT(LN(1+($D$10/$C$10)^2)))</f>
        <v/>
      </c>
      <c r="S4833" s="14">
        <f>SUM(M4833:R4833)</f>
        <v/>
      </c>
      <c r="AA4833">
        <f>RAND()</f>
        <v/>
      </c>
      <c r="AB4833">
        <f>RAND()</f>
        <v/>
      </c>
      <c r="AC4833">
        <f>RAND()</f>
        <v/>
      </c>
      <c r="AD4833">
        <f>RAND()</f>
        <v/>
      </c>
      <c r="AE4833">
        <f>RAND()</f>
        <v/>
      </c>
      <c r="AF4833">
        <f>RAND()</f>
        <v/>
      </c>
    </row>
    <row r="4834">
      <c r="M4834" s="14">
        <f>_xlfn.BETA.INV($AA4834,1+4*($D$5-$C$5)/($E$5-$C$5),1+4*($E$5-$D$5)/($E$5-$C$5),$C$5,$E$5)</f>
        <v/>
      </c>
      <c r="N4834" s="14">
        <f>IF($AB4834&lt;($D$6-$C$6)/($E$6-$C$6),$C$6+SQRT($AB4834*($E$6-$C$6)*($D$6-$C$6)),$E$6-SQRT((1-$AB4834)*($E$6-$C$6)*($E$6-$D$6)))</f>
        <v/>
      </c>
      <c r="O4834" s="14">
        <f>_xlfn.NORM.INV($AC4834,$C$7,$D$7)</f>
        <v/>
      </c>
      <c r="P4834" s="14">
        <f>$C$8+($D$8-$C$8)*$AD4834</f>
        <v/>
      </c>
      <c r="Q4834" s="14">
        <f>$C$9</f>
        <v/>
      </c>
      <c r="R4834" s="14">
        <f>_xlfn.LOGNORM.INV($AF4834,LN($C$10)-0.5*LN(1+($D$10/$C$10)^2),SQRT(LN(1+($D$10/$C$10)^2)))</f>
        <v/>
      </c>
      <c r="S4834" s="14">
        <f>SUM(M4834:R4834)</f>
        <v/>
      </c>
      <c r="AA4834">
        <f>RAND()</f>
        <v/>
      </c>
      <c r="AB4834">
        <f>RAND()</f>
        <v/>
      </c>
      <c r="AC4834">
        <f>RAND()</f>
        <v/>
      </c>
      <c r="AD4834">
        <f>RAND()</f>
        <v/>
      </c>
      <c r="AE4834">
        <f>RAND()</f>
        <v/>
      </c>
      <c r="AF4834">
        <f>RAND()</f>
        <v/>
      </c>
    </row>
    <row r="4835">
      <c r="M4835" s="14">
        <f>_xlfn.BETA.INV($AA4835,1+4*($D$5-$C$5)/($E$5-$C$5),1+4*($E$5-$D$5)/($E$5-$C$5),$C$5,$E$5)</f>
        <v/>
      </c>
      <c r="N4835" s="14">
        <f>IF($AB4835&lt;($D$6-$C$6)/($E$6-$C$6),$C$6+SQRT($AB4835*($E$6-$C$6)*($D$6-$C$6)),$E$6-SQRT((1-$AB4835)*($E$6-$C$6)*($E$6-$D$6)))</f>
        <v/>
      </c>
      <c r="O4835" s="14">
        <f>_xlfn.NORM.INV($AC4835,$C$7,$D$7)</f>
        <v/>
      </c>
      <c r="P4835" s="14">
        <f>$C$8+($D$8-$C$8)*$AD4835</f>
        <v/>
      </c>
      <c r="Q4835" s="14">
        <f>$C$9</f>
        <v/>
      </c>
      <c r="R4835" s="14">
        <f>_xlfn.LOGNORM.INV($AF4835,LN($C$10)-0.5*LN(1+($D$10/$C$10)^2),SQRT(LN(1+($D$10/$C$10)^2)))</f>
        <v/>
      </c>
      <c r="S4835" s="14">
        <f>SUM(M4835:R4835)</f>
        <v/>
      </c>
      <c r="AA4835">
        <f>RAND()</f>
        <v/>
      </c>
      <c r="AB4835">
        <f>RAND()</f>
        <v/>
      </c>
      <c r="AC4835">
        <f>RAND()</f>
        <v/>
      </c>
      <c r="AD4835">
        <f>RAND()</f>
        <v/>
      </c>
      <c r="AE4835">
        <f>RAND()</f>
        <v/>
      </c>
      <c r="AF4835">
        <f>RAND()</f>
        <v/>
      </c>
    </row>
    <row r="4836">
      <c r="M4836" s="14">
        <f>_xlfn.BETA.INV($AA4836,1+4*($D$5-$C$5)/($E$5-$C$5),1+4*($E$5-$D$5)/($E$5-$C$5),$C$5,$E$5)</f>
        <v/>
      </c>
      <c r="N4836" s="14">
        <f>IF($AB4836&lt;($D$6-$C$6)/($E$6-$C$6),$C$6+SQRT($AB4836*($E$6-$C$6)*($D$6-$C$6)),$E$6-SQRT((1-$AB4836)*($E$6-$C$6)*($E$6-$D$6)))</f>
        <v/>
      </c>
      <c r="O4836" s="14">
        <f>_xlfn.NORM.INV($AC4836,$C$7,$D$7)</f>
        <v/>
      </c>
      <c r="P4836" s="14">
        <f>$C$8+($D$8-$C$8)*$AD4836</f>
        <v/>
      </c>
      <c r="Q4836" s="14">
        <f>$C$9</f>
        <v/>
      </c>
      <c r="R4836" s="14">
        <f>_xlfn.LOGNORM.INV($AF4836,LN($C$10)-0.5*LN(1+($D$10/$C$10)^2),SQRT(LN(1+($D$10/$C$10)^2)))</f>
        <v/>
      </c>
      <c r="S4836" s="14">
        <f>SUM(M4836:R4836)</f>
        <v/>
      </c>
      <c r="AA4836">
        <f>RAND()</f>
        <v/>
      </c>
      <c r="AB4836">
        <f>RAND()</f>
        <v/>
      </c>
      <c r="AC4836">
        <f>RAND()</f>
        <v/>
      </c>
      <c r="AD4836">
        <f>RAND()</f>
        <v/>
      </c>
      <c r="AE4836">
        <f>RAND()</f>
        <v/>
      </c>
      <c r="AF4836">
        <f>RAND()</f>
        <v/>
      </c>
    </row>
    <row r="4837">
      <c r="M4837" s="14">
        <f>_xlfn.BETA.INV($AA4837,1+4*($D$5-$C$5)/($E$5-$C$5),1+4*($E$5-$D$5)/($E$5-$C$5),$C$5,$E$5)</f>
        <v/>
      </c>
      <c r="N4837" s="14">
        <f>IF($AB4837&lt;($D$6-$C$6)/($E$6-$C$6),$C$6+SQRT($AB4837*($E$6-$C$6)*($D$6-$C$6)),$E$6-SQRT((1-$AB4837)*($E$6-$C$6)*($E$6-$D$6)))</f>
        <v/>
      </c>
      <c r="O4837" s="14">
        <f>_xlfn.NORM.INV($AC4837,$C$7,$D$7)</f>
        <v/>
      </c>
      <c r="P4837" s="14">
        <f>$C$8+($D$8-$C$8)*$AD4837</f>
        <v/>
      </c>
      <c r="Q4837" s="14">
        <f>$C$9</f>
        <v/>
      </c>
      <c r="R4837" s="14">
        <f>_xlfn.LOGNORM.INV($AF4837,LN($C$10)-0.5*LN(1+($D$10/$C$10)^2),SQRT(LN(1+($D$10/$C$10)^2)))</f>
        <v/>
      </c>
      <c r="S4837" s="14">
        <f>SUM(M4837:R4837)</f>
        <v/>
      </c>
      <c r="AA4837">
        <f>RAND()</f>
        <v/>
      </c>
      <c r="AB4837">
        <f>RAND()</f>
        <v/>
      </c>
      <c r="AC4837">
        <f>RAND()</f>
        <v/>
      </c>
      <c r="AD4837">
        <f>RAND()</f>
        <v/>
      </c>
      <c r="AE4837">
        <f>RAND()</f>
        <v/>
      </c>
      <c r="AF4837">
        <f>RAND()</f>
        <v/>
      </c>
    </row>
    <row r="4838">
      <c r="M4838" s="14">
        <f>_xlfn.BETA.INV($AA4838,1+4*($D$5-$C$5)/($E$5-$C$5),1+4*($E$5-$D$5)/($E$5-$C$5),$C$5,$E$5)</f>
        <v/>
      </c>
      <c r="N4838" s="14">
        <f>IF($AB4838&lt;($D$6-$C$6)/($E$6-$C$6),$C$6+SQRT($AB4838*($E$6-$C$6)*($D$6-$C$6)),$E$6-SQRT((1-$AB4838)*($E$6-$C$6)*($E$6-$D$6)))</f>
        <v/>
      </c>
      <c r="O4838" s="14">
        <f>_xlfn.NORM.INV($AC4838,$C$7,$D$7)</f>
        <v/>
      </c>
      <c r="P4838" s="14">
        <f>$C$8+($D$8-$C$8)*$AD4838</f>
        <v/>
      </c>
      <c r="Q4838" s="14">
        <f>$C$9</f>
        <v/>
      </c>
      <c r="R4838" s="14">
        <f>_xlfn.LOGNORM.INV($AF4838,LN($C$10)-0.5*LN(1+($D$10/$C$10)^2),SQRT(LN(1+($D$10/$C$10)^2)))</f>
        <v/>
      </c>
      <c r="S4838" s="14">
        <f>SUM(M4838:R4838)</f>
        <v/>
      </c>
      <c r="AA4838">
        <f>RAND()</f>
        <v/>
      </c>
      <c r="AB4838">
        <f>RAND()</f>
        <v/>
      </c>
      <c r="AC4838">
        <f>RAND()</f>
        <v/>
      </c>
      <c r="AD4838">
        <f>RAND()</f>
        <v/>
      </c>
      <c r="AE4838">
        <f>RAND()</f>
        <v/>
      </c>
      <c r="AF4838">
        <f>RAND()</f>
        <v/>
      </c>
    </row>
    <row r="4839">
      <c r="M4839" s="14">
        <f>_xlfn.BETA.INV($AA4839,1+4*($D$5-$C$5)/($E$5-$C$5),1+4*($E$5-$D$5)/($E$5-$C$5),$C$5,$E$5)</f>
        <v/>
      </c>
      <c r="N4839" s="14">
        <f>IF($AB4839&lt;($D$6-$C$6)/($E$6-$C$6),$C$6+SQRT($AB4839*($E$6-$C$6)*($D$6-$C$6)),$E$6-SQRT((1-$AB4839)*($E$6-$C$6)*($E$6-$D$6)))</f>
        <v/>
      </c>
      <c r="O4839" s="14">
        <f>_xlfn.NORM.INV($AC4839,$C$7,$D$7)</f>
        <v/>
      </c>
      <c r="P4839" s="14">
        <f>$C$8+($D$8-$C$8)*$AD4839</f>
        <v/>
      </c>
      <c r="Q4839" s="14">
        <f>$C$9</f>
        <v/>
      </c>
      <c r="R4839" s="14">
        <f>_xlfn.LOGNORM.INV($AF4839,LN($C$10)-0.5*LN(1+($D$10/$C$10)^2),SQRT(LN(1+($D$10/$C$10)^2)))</f>
        <v/>
      </c>
      <c r="S4839" s="14">
        <f>SUM(M4839:R4839)</f>
        <v/>
      </c>
      <c r="AA4839">
        <f>RAND()</f>
        <v/>
      </c>
      <c r="AB4839">
        <f>RAND()</f>
        <v/>
      </c>
      <c r="AC4839">
        <f>RAND()</f>
        <v/>
      </c>
      <c r="AD4839">
        <f>RAND()</f>
        <v/>
      </c>
      <c r="AE4839">
        <f>RAND()</f>
        <v/>
      </c>
      <c r="AF4839">
        <f>RAND()</f>
        <v/>
      </c>
    </row>
    <row r="4840">
      <c r="M4840" s="14">
        <f>_xlfn.BETA.INV($AA4840,1+4*($D$5-$C$5)/($E$5-$C$5),1+4*($E$5-$D$5)/($E$5-$C$5),$C$5,$E$5)</f>
        <v/>
      </c>
      <c r="N4840" s="14">
        <f>IF($AB4840&lt;($D$6-$C$6)/($E$6-$C$6),$C$6+SQRT($AB4840*($E$6-$C$6)*($D$6-$C$6)),$E$6-SQRT((1-$AB4840)*($E$6-$C$6)*($E$6-$D$6)))</f>
        <v/>
      </c>
      <c r="O4840" s="14">
        <f>_xlfn.NORM.INV($AC4840,$C$7,$D$7)</f>
        <v/>
      </c>
      <c r="P4840" s="14">
        <f>$C$8+($D$8-$C$8)*$AD4840</f>
        <v/>
      </c>
      <c r="Q4840" s="14">
        <f>$C$9</f>
        <v/>
      </c>
      <c r="R4840" s="14">
        <f>_xlfn.LOGNORM.INV($AF4840,LN($C$10)-0.5*LN(1+($D$10/$C$10)^2),SQRT(LN(1+($D$10/$C$10)^2)))</f>
        <v/>
      </c>
      <c r="S4840" s="14">
        <f>SUM(M4840:R4840)</f>
        <v/>
      </c>
      <c r="AA4840">
        <f>RAND()</f>
        <v/>
      </c>
      <c r="AB4840">
        <f>RAND()</f>
        <v/>
      </c>
      <c r="AC4840">
        <f>RAND()</f>
        <v/>
      </c>
      <c r="AD4840">
        <f>RAND()</f>
        <v/>
      </c>
      <c r="AE4840">
        <f>RAND()</f>
        <v/>
      </c>
      <c r="AF4840">
        <f>RAND()</f>
        <v/>
      </c>
    </row>
    <row r="4841">
      <c r="M4841" s="14">
        <f>_xlfn.BETA.INV($AA4841,1+4*($D$5-$C$5)/($E$5-$C$5),1+4*($E$5-$D$5)/($E$5-$C$5),$C$5,$E$5)</f>
        <v/>
      </c>
      <c r="N4841" s="14">
        <f>IF($AB4841&lt;($D$6-$C$6)/($E$6-$C$6),$C$6+SQRT($AB4841*($E$6-$C$6)*($D$6-$C$6)),$E$6-SQRT((1-$AB4841)*($E$6-$C$6)*($E$6-$D$6)))</f>
        <v/>
      </c>
      <c r="O4841" s="14">
        <f>_xlfn.NORM.INV($AC4841,$C$7,$D$7)</f>
        <v/>
      </c>
      <c r="P4841" s="14">
        <f>$C$8+($D$8-$C$8)*$AD4841</f>
        <v/>
      </c>
      <c r="Q4841" s="14">
        <f>$C$9</f>
        <v/>
      </c>
      <c r="R4841" s="14">
        <f>_xlfn.LOGNORM.INV($AF4841,LN($C$10)-0.5*LN(1+($D$10/$C$10)^2),SQRT(LN(1+($D$10/$C$10)^2)))</f>
        <v/>
      </c>
      <c r="S4841" s="14">
        <f>SUM(M4841:R4841)</f>
        <v/>
      </c>
      <c r="AA4841">
        <f>RAND()</f>
        <v/>
      </c>
      <c r="AB4841">
        <f>RAND()</f>
        <v/>
      </c>
      <c r="AC4841">
        <f>RAND()</f>
        <v/>
      </c>
      <c r="AD4841">
        <f>RAND()</f>
        <v/>
      </c>
      <c r="AE4841">
        <f>RAND()</f>
        <v/>
      </c>
      <c r="AF4841">
        <f>RAND()</f>
        <v/>
      </c>
    </row>
    <row r="4842">
      <c r="M4842" s="14">
        <f>_xlfn.BETA.INV($AA4842,1+4*($D$5-$C$5)/($E$5-$C$5),1+4*($E$5-$D$5)/($E$5-$C$5),$C$5,$E$5)</f>
        <v/>
      </c>
      <c r="N4842" s="14">
        <f>IF($AB4842&lt;($D$6-$C$6)/($E$6-$C$6),$C$6+SQRT($AB4842*($E$6-$C$6)*($D$6-$C$6)),$E$6-SQRT((1-$AB4842)*($E$6-$C$6)*($E$6-$D$6)))</f>
        <v/>
      </c>
      <c r="O4842" s="14">
        <f>_xlfn.NORM.INV($AC4842,$C$7,$D$7)</f>
        <v/>
      </c>
      <c r="P4842" s="14">
        <f>$C$8+($D$8-$C$8)*$AD4842</f>
        <v/>
      </c>
      <c r="Q4842" s="14">
        <f>$C$9</f>
        <v/>
      </c>
      <c r="R4842" s="14">
        <f>_xlfn.LOGNORM.INV($AF4842,LN($C$10)-0.5*LN(1+($D$10/$C$10)^2),SQRT(LN(1+($D$10/$C$10)^2)))</f>
        <v/>
      </c>
      <c r="S4842" s="14">
        <f>SUM(M4842:R4842)</f>
        <v/>
      </c>
      <c r="AA4842">
        <f>RAND()</f>
        <v/>
      </c>
      <c r="AB4842">
        <f>RAND()</f>
        <v/>
      </c>
      <c r="AC4842">
        <f>RAND()</f>
        <v/>
      </c>
      <c r="AD4842">
        <f>RAND()</f>
        <v/>
      </c>
      <c r="AE4842">
        <f>RAND()</f>
        <v/>
      </c>
      <c r="AF4842">
        <f>RAND()</f>
        <v/>
      </c>
    </row>
    <row r="4843">
      <c r="M4843" s="14">
        <f>_xlfn.BETA.INV($AA4843,1+4*($D$5-$C$5)/($E$5-$C$5),1+4*($E$5-$D$5)/($E$5-$C$5),$C$5,$E$5)</f>
        <v/>
      </c>
      <c r="N4843" s="14">
        <f>IF($AB4843&lt;($D$6-$C$6)/($E$6-$C$6),$C$6+SQRT($AB4843*($E$6-$C$6)*($D$6-$C$6)),$E$6-SQRT((1-$AB4843)*($E$6-$C$6)*($E$6-$D$6)))</f>
        <v/>
      </c>
      <c r="O4843" s="14">
        <f>_xlfn.NORM.INV($AC4843,$C$7,$D$7)</f>
        <v/>
      </c>
      <c r="P4843" s="14">
        <f>$C$8+($D$8-$C$8)*$AD4843</f>
        <v/>
      </c>
      <c r="Q4843" s="14">
        <f>$C$9</f>
        <v/>
      </c>
      <c r="R4843" s="14">
        <f>_xlfn.LOGNORM.INV($AF4843,LN($C$10)-0.5*LN(1+($D$10/$C$10)^2),SQRT(LN(1+($D$10/$C$10)^2)))</f>
        <v/>
      </c>
      <c r="S4843" s="14">
        <f>SUM(M4843:R4843)</f>
        <v/>
      </c>
      <c r="AA4843">
        <f>RAND()</f>
        <v/>
      </c>
      <c r="AB4843">
        <f>RAND()</f>
        <v/>
      </c>
      <c r="AC4843">
        <f>RAND()</f>
        <v/>
      </c>
      <c r="AD4843">
        <f>RAND()</f>
        <v/>
      </c>
      <c r="AE4843">
        <f>RAND()</f>
        <v/>
      </c>
      <c r="AF4843">
        <f>RAND()</f>
        <v/>
      </c>
    </row>
    <row r="4844">
      <c r="M4844" s="14">
        <f>_xlfn.BETA.INV($AA4844,1+4*($D$5-$C$5)/($E$5-$C$5),1+4*($E$5-$D$5)/($E$5-$C$5),$C$5,$E$5)</f>
        <v/>
      </c>
      <c r="N4844" s="14">
        <f>IF($AB4844&lt;($D$6-$C$6)/($E$6-$C$6),$C$6+SQRT($AB4844*($E$6-$C$6)*($D$6-$C$6)),$E$6-SQRT((1-$AB4844)*($E$6-$C$6)*($E$6-$D$6)))</f>
        <v/>
      </c>
      <c r="O4844" s="14">
        <f>_xlfn.NORM.INV($AC4844,$C$7,$D$7)</f>
        <v/>
      </c>
      <c r="P4844" s="14">
        <f>$C$8+($D$8-$C$8)*$AD4844</f>
        <v/>
      </c>
      <c r="Q4844" s="14">
        <f>$C$9</f>
        <v/>
      </c>
      <c r="R4844" s="14">
        <f>_xlfn.LOGNORM.INV($AF4844,LN($C$10)-0.5*LN(1+($D$10/$C$10)^2),SQRT(LN(1+($D$10/$C$10)^2)))</f>
        <v/>
      </c>
      <c r="S4844" s="14">
        <f>SUM(M4844:R4844)</f>
        <v/>
      </c>
      <c r="AA4844">
        <f>RAND()</f>
        <v/>
      </c>
      <c r="AB4844">
        <f>RAND()</f>
        <v/>
      </c>
      <c r="AC4844">
        <f>RAND()</f>
        <v/>
      </c>
      <c r="AD4844">
        <f>RAND()</f>
        <v/>
      </c>
      <c r="AE4844">
        <f>RAND()</f>
        <v/>
      </c>
      <c r="AF4844">
        <f>RAND()</f>
        <v/>
      </c>
    </row>
    <row r="4845">
      <c r="M4845" s="14">
        <f>_xlfn.BETA.INV($AA4845,1+4*($D$5-$C$5)/($E$5-$C$5),1+4*($E$5-$D$5)/($E$5-$C$5),$C$5,$E$5)</f>
        <v/>
      </c>
      <c r="N4845" s="14">
        <f>IF($AB4845&lt;($D$6-$C$6)/($E$6-$C$6),$C$6+SQRT($AB4845*($E$6-$C$6)*($D$6-$C$6)),$E$6-SQRT((1-$AB4845)*($E$6-$C$6)*($E$6-$D$6)))</f>
        <v/>
      </c>
      <c r="O4845" s="14">
        <f>_xlfn.NORM.INV($AC4845,$C$7,$D$7)</f>
        <v/>
      </c>
      <c r="P4845" s="14">
        <f>$C$8+($D$8-$C$8)*$AD4845</f>
        <v/>
      </c>
      <c r="Q4845" s="14">
        <f>$C$9</f>
        <v/>
      </c>
      <c r="R4845" s="14">
        <f>_xlfn.LOGNORM.INV($AF4845,LN($C$10)-0.5*LN(1+($D$10/$C$10)^2),SQRT(LN(1+($D$10/$C$10)^2)))</f>
        <v/>
      </c>
      <c r="S4845" s="14">
        <f>SUM(M4845:R4845)</f>
        <v/>
      </c>
      <c r="AA4845">
        <f>RAND()</f>
        <v/>
      </c>
      <c r="AB4845">
        <f>RAND()</f>
        <v/>
      </c>
      <c r="AC4845">
        <f>RAND()</f>
        <v/>
      </c>
      <c r="AD4845">
        <f>RAND()</f>
        <v/>
      </c>
      <c r="AE4845">
        <f>RAND()</f>
        <v/>
      </c>
      <c r="AF4845">
        <f>RAND()</f>
        <v/>
      </c>
    </row>
    <row r="4846">
      <c r="M4846" s="14">
        <f>_xlfn.BETA.INV($AA4846,1+4*($D$5-$C$5)/($E$5-$C$5),1+4*($E$5-$D$5)/($E$5-$C$5),$C$5,$E$5)</f>
        <v/>
      </c>
      <c r="N4846" s="14">
        <f>IF($AB4846&lt;($D$6-$C$6)/($E$6-$C$6),$C$6+SQRT($AB4846*($E$6-$C$6)*($D$6-$C$6)),$E$6-SQRT((1-$AB4846)*($E$6-$C$6)*($E$6-$D$6)))</f>
        <v/>
      </c>
      <c r="O4846" s="14">
        <f>_xlfn.NORM.INV($AC4846,$C$7,$D$7)</f>
        <v/>
      </c>
      <c r="P4846" s="14">
        <f>$C$8+($D$8-$C$8)*$AD4846</f>
        <v/>
      </c>
      <c r="Q4846" s="14">
        <f>$C$9</f>
        <v/>
      </c>
      <c r="R4846" s="14">
        <f>_xlfn.LOGNORM.INV($AF4846,LN($C$10)-0.5*LN(1+($D$10/$C$10)^2),SQRT(LN(1+($D$10/$C$10)^2)))</f>
        <v/>
      </c>
      <c r="S4846" s="14">
        <f>SUM(M4846:R4846)</f>
        <v/>
      </c>
      <c r="AA4846">
        <f>RAND()</f>
        <v/>
      </c>
      <c r="AB4846">
        <f>RAND()</f>
        <v/>
      </c>
      <c r="AC4846">
        <f>RAND()</f>
        <v/>
      </c>
      <c r="AD4846">
        <f>RAND()</f>
        <v/>
      </c>
      <c r="AE4846">
        <f>RAND()</f>
        <v/>
      </c>
      <c r="AF4846">
        <f>RAND()</f>
        <v/>
      </c>
    </row>
    <row r="4847">
      <c r="M4847" s="14">
        <f>_xlfn.BETA.INV($AA4847,1+4*($D$5-$C$5)/($E$5-$C$5),1+4*($E$5-$D$5)/($E$5-$C$5),$C$5,$E$5)</f>
        <v/>
      </c>
      <c r="N4847" s="14">
        <f>IF($AB4847&lt;($D$6-$C$6)/($E$6-$C$6),$C$6+SQRT($AB4847*($E$6-$C$6)*($D$6-$C$6)),$E$6-SQRT((1-$AB4847)*($E$6-$C$6)*($E$6-$D$6)))</f>
        <v/>
      </c>
      <c r="O4847" s="14">
        <f>_xlfn.NORM.INV($AC4847,$C$7,$D$7)</f>
        <v/>
      </c>
      <c r="P4847" s="14">
        <f>$C$8+($D$8-$C$8)*$AD4847</f>
        <v/>
      </c>
      <c r="Q4847" s="14">
        <f>$C$9</f>
        <v/>
      </c>
      <c r="R4847" s="14">
        <f>_xlfn.LOGNORM.INV($AF4847,LN($C$10)-0.5*LN(1+($D$10/$C$10)^2),SQRT(LN(1+($D$10/$C$10)^2)))</f>
        <v/>
      </c>
      <c r="S4847" s="14">
        <f>SUM(M4847:R4847)</f>
        <v/>
      </c>
      <c r="AA4847">
        <f>RAND()</f>
        <v/>
      </c>
      <c r="AB4847">
        <f>RAND()</f>
        <v/>
      </c>
      <c r="AC4847">
        <f>RAND()</f>
        <v/>
      </c>
      <c r="AD4847">
        <f>RAND()</f>
        <v/>
      </c>
      <c r="AE4847">
        <f>RAND()</f>
        <v/>
      </c>
      <c r="AF4847">
        <f>RAND()</f>
        <v/>
      </c>
    </row>
    <row r="4848">
      <c r="M4848" s="14">
        <f>_xlfn.BETA.INV($AA4848,1+4*($D$5-$C$5)/($E$5-$C$5),1+4*($E$5-$D$5)/($E$5-$C$5),$C$5,$E$5)</f>
        <v/>
      </c>
      <c r="N4848" s="14">
        <f>IF($AB4848&lt;($D$6-$C$6)/($E$6-$C$6),$C$6+SQRT($AB4848*($E$6-$C$6)*($D$6-$C$6)),$E$6-SQRT((1-$AB4848)*($E$6-$C$6)*($E$6-$D$6)))</f>
        <v/>
      </c>
      <c r="O4848" s="14">
        <f>_xlfn.NORM.INV($AC4848,$C$7,$D$7)</f>
        <v/>
      </c>
      <c r="P4848" s="14">
        <f>$C$8+($D$8-$C$8)*$AD4848</f>
        <v/>
      </c>
      <c r="Q4848" s="14">
        <f>$C$9</f>
        <v/>
      </c>
      <c r="R4848" s="14">
        <f>_xlfn.LOGNORM.INV($AF4848,LN($C$10)-0.5*LN(1+($D$10/$C$10)^2),SQRT(LN(1+($D$10/$C$10)^2)))</f>
        <v/>
      </c>
      <c r="S4848" s="14">
        <f>SUM(M4848:R4848)</f>
        <v/>
      </c>
      <c r="AA4848">
        <f>RAND()</f>
        <v/>
      </c>
      <c r="AB4848">
        <f>RAND()</f>
        <v/>
      </c>
      <c r="AC4848">
        <f>RAND()</f>
        <v/>
      </c>
      <c r="AD4848">
        <f>RAND()</f>
        <v/>
      </c>
      <c r="AE4848">
        <f>RAND()</f>
        <v/>
      </c>
      <c r="AF4848">
        <f>RAND()</f>
        <v/>
      </c>
    </row>
    <row r="4849">
      <c r="M4849" s="14">
        <f>_xlfn.BETA.INV($AA4849,1+4*($D$5-$C$5)/($E$5-$C$5),1+4*($E$5-$D$5)/($E$5-$C$5),$C$5,$E$5)</f>
        <v/>
      </c>
      <c r="N4849" s="14">
        <f>IF($AB4849&lt;($D$6-$C$6)/($E$6-$C$6),$C$6+SQRT($AB4849*($E$6-$C$6)*($D$6-$C$6)),$E$6-SQRT((1-$AB4849)*($E$6-$C$6)*($E$6-$D$6)))</f>
        <v/>
      </c>
      <c r="O4849" s="14">
        <f>_xlfn.NORM.INV($AC4849,$C$7,$D$7)</f>
        <v/>
      </c>
      <c r="P4849" s="14">
        <f>$C$8+($D$8-$C$8)*$AD4849</f>
        <v/>
      </c>
      <c r="Q4849" s="14">
        <f>$C$9</f>
        <v/>
      </c>
      <c r="R4849" s="14">
        <f>_xlfn.LOGNORM.INV($AF4849,LN($C$10)-0.5*LN(1+($D$10/$C$10)^2),SQRT(LN(1+($D$10/$C$10)^2)))</f>
        <v/>
      </c>
      <c r="S4849" s="14">
        <f>SUM(M4849:R4849)</f>
        <v/>
      </c>
      <c r="AA4849">
        <f>RAND()</f>
        <v/>
      </c>
      <c r="AB4849">
        <f>RAND()</f>
        <v/>
      </c>
      <c r="AC4849">
        <f>RAND()</f>
        <v/>
      </c>
      <c r="AD4849">
        <f>RAND()</f>
        <v/>
      </c>
      <c r="AE4849">
        <f>RAND()</f>
        <v/>
      </c>
      <c r="AF4849">
        <f>RAND()</f>
        <v/>
      </c>
    </row>
    <row r="4850">
      <c r="M4850" s="14">
        <f>_xlfn.BETA.INV($AA4850,1+4*($D$5-$C$5)/($E$5-$C$5),1+4*($E$5-$D$5)/($E$5-$C$5),$C$5,$E$5)</f>
        <v/>
      </c>
      <c r="N4850" s="14">
        <f>IF($AB4850&lt;($D$6-$C$6)/($E$6-$C$6),$C$6+SQRT($AB4850*($E$6-$C$6)*($D$6-$C$6)),$E$6-SQRT((1-$AB4850)*($E$6-$C$6)*($E$6-$D$6)))</f>
        <v/>
      </c>
      <c r="O4850" s="14">
        <f>_xlfn.NORM.INV($AC4850,$C$7,$D$7)</f>
        <v/>
      </c>
      <c r="P4850" s="14">
        <f>$C$8+($D$8-$C$8)*$AD4850</f>
        <v/>
      </c>
      <c r="Q4850" s="14">
        <f>$C$9</f>
        <v/>
      </c>
      <c r="R4850" s="14">
        <f>_xlfn.LOGNORM.INV($AF4850,LN($C$10)-0.5*LN(1+($D$10/$C$10)^2),SQRT(LN(1+($D$10/$C$10)^2)))</f>
        <v/>
      </c>
      <c r="S4850" s="14">
        <f>SUM(M4850:R4850)</f>
        <v/>
      </c>
      <c r="AA4850">
        <f>RAND()</f>
        <v/>
      </c>
      <c r="AB4850">
        <f>RAND()</f>
        <v/>
      </c>
      <c r="AC4850">
        <f>RAND()</f>
        <v/>
      </c>
      <c r="AD4850">
        <f>RAND()</f>
        <v/>
      </c>
      <c r="AE4850">
        <f>RAND()</f>
        <v/>
      </c>
      <c r="AF4850">
        <f>RAND()</f>
        <v/>
      </c>
    </row>
    <row r="4851">
      <c r="M4851" s="14">
        <f>_xlfn.BETA.INV($AA4851,1+4*($D$5-$C$5)/($E$5-$C$5),1+4*($E$5-$D$5)/($E$5-$C$5),$C$5,$E$5)</f>
        <v/>
      </c>
      <c r="N4851" s="14">
        <f>IF($AB4851&lt;($D$6-$C$6)/($E$6-$C$6),$C$6+SQRT($AB4851*($E$6-$C$6)*($D$6-$C$6)),$E$6-SQRT((1-$AB4851)*($E$6-$C$6)*($E$6-$D$6)))</f>
        <v/>
      </c>
      <c r="O4851" s="14">
        <f>_xlfn.NORM.INV($AC4851,$C$7,$D$7)</f>
        <v/>
      </c>
      <c r="P4851" s="14">
        <f>$C$8+($D$8-$C$8)*$AD4851</f>
        <v/>
      </c>
      <c r="Q4851" s="14">
        <f>$C$9</f>
        <v/>
      </c>
      <c r="R4851" s="14">
        <f>_xlfn.LOGNORM.INV($AF4851,LN($C$10)-0.5*LN(1+($D$10/$C$10)^2),SQRT(LN(1+($D$10/$C$10)^2)))</f>
        <v/>
      </c>
      <c r="S4851" s="14">
        <f>SUM(M4851:R4851)</f>
        <v/>
      </c>
      <c r="AA4851">
        <f>RAND()</f>
        <v/>
      </c>
      <c r="AB4851">
        <f>RAND()</f>
        <v/>
      </c>
      <c r="AC4851">
        <f>RAND()</f>
        <v/>
      </c>
      <c r="AD4851">
        <f>RAND()</f>
        <v/>
      </c>
      <c r="AE4851">
        <f>RAND()</f>
        <v/>
      </c>
      <c r="AF4851">
        <f>RAND()</f>
        <v/>
      </c>
    </row>
    <row r="4852">
      <c r="M4852" s="14">
        <f>_xlfn.BETA.INV($AA4852,1+4*($D$5-$C$5)/($E$5-$C$5),1+4*($E$5-$D$5)/($E$5-$C$5),$C$5,$E$5)</f>
        <v/>
      </c>
      <c r="N4852" s="14">
        <f>IF($AB4852&lt;($D$6-$C$6)/($E$6-$C$6),$C$6+SQRT($AB4852*($E$6-$C$6)*($D$6-$C$6)),$E$6-SQRT((1-$AB4852)*($E$6-$C$6)*($E$6-$D$6)))</f>
        <v/>
      </c>
      <c r="O4852" s="14">
        <f>_xlfn.NORM.INV($AC4852,$C$7,$D$7)</f>
        <v/>
      </c>
      <c r="P4852" s="14">
        <f>$C$8+($D$8-$C$8)*$AD4852</f>
        <v/>
      </c>
      <c r="Q4852" s="14">
        <f>$C$9</f>
        <v/>
      </c>
      <c r="R4852" s="14">
        <f>_xlfn.LOGNORM.INV($AF4852,LN($C$10)-0.5*LN(1+($D$10/$C$10)^2),SQRT(LN(1+($D$10/$C$10)^2)))</f>
        <v/>
      </c>
      <c r="S4852" s="14">
        <f>SUM(M4852:R4852)</f>
        <v/>
      </c>
      <c r="AA4852">
        <f>RAND()</f>
        <v/>
      </c>
      <c r="AB4852">
        <f>RAND()</f>
        <v/>
      </c>
      <c r="AC4852">
        <f>RAND()</f>
        <v/>
      </c>
      <c r="AD4852">
        <f>RAND()</f>
        <v/>
      </c>
      <c r="AE4852">
        <f>RAND()</f>
        <v/>
      </c>
      <c r="AF4852">
        <f>RAND()</f>
        <v/>
      </c>
    </row>
    <row r="4853">
      <c r="M4853" s="14">
        <f>_xlfn.BETA.INV($AA4853,1+4*($D$5-$C$5)/($E$5-$C$5),1+4*($E$5-$D$5)/($E$5-$C$5),$C$5,$E$5)</f>
        <v/>
      </c>
      <c r="N4853" s="14">
        <f>IF($AB4853&lt;($D$6-$C$6)/($E$6-$C$6),$C$6+SQRT($AB4853*($E$6-$C$6)*($D$6-$C$6)),$E$6-SQRT((1-$AB4853)*($E$6-$C$6)*($E$6-$D$6)))</f>
        <v/>
      </c>
      <c r="O4853" s="14">
        <f>_xlfn.NORM.INV($AC4853,$C$7,$D$7)</f>
        <v/>
      </c>
      <c r="P4853" s="14">
        <f>$C$8+($D$8-$C$8)*$AD4853</f>
        <v/>
      </c>
      <c r="Q4853" s="14">
        <f>$C$9</f>
        <v/>
      </c>
      <c r="R4853" s="14">
        <f>_xlfn.LOGNORM.INV($AF4853,LN($C$10)-0.5*LN(1+($D$10/$C$10)^2),SQRT(LN(1+($D$10/$C$10)^2)))</f>
        <v/>
      </c>
      <c r="S4853" s="14">
        <f>SUM(M4853:R4853)</f>
        <v/>
      </c>
      <c r="AA4853">
        <f>RAND()</f>
        <v/>
      </c>
      <c r="AB4853">
        <f>RAND()</f>
        <v/>
      </c>
      <c r="AC4853">
        <f>RAND()</f>
        <v/>
      </c>
      <c r="AD4853">
        <f>RAND()</f>
        <v/>
      </c>
      <c r="AE4853">
        <f>RAND()</f>
        <v/>
      </c>
      <c r="AF4853">
        <f>RAND()</f>
        <v/>
      </c>
    </row>
    <row r="4854">
      <c r="M4854" s="14">
        <f>_xlfn.BETA.INV($AA4854,1+4*($D$5-$C$5)/($E$5-$C$5),1+4*($E$5-$D$5)/($E$5-$C$5),$C$5,$E$5)</f>
        <v/>
      </c>
      <c r="N4854" s="14">
        <f>IF($AB4854&lt;($D$6-$C$6)/($E$6-$C$6),$C$6+SQRT($AB4854*($E$6-$C$6)*($D$6-$C$6)),$E$6-SQRT((1-$AB4854)*($E$6-$C$6)*($E$6-$D$6)))</f>
        <v/>
      </c>
      <c r="O4854" s="14">
        <f>_xlfn.NORM.INV($AC4854,$C$7,$D$7)</f>
        <v/>
      </c>
      <c r="P4854" s="14">
        <f>$C$8+($D$8-$C$8)*$AD4854</f>
        <v/>
      </c>
      <c r="Q4854" s="14">
        <f>$C$9</f>
        <v/>
      </c>
      <c r="R4854" s="14">
        <f>_xlfn.LOGNORM.INV($AF4854,LN($C$10)-0.5*LN(1+($D$10/$C$10)^2),SQRT(LN(1+($D$10/$C$10)^2)))</f>
        <v/>
      </c>
      <c r="S4854" s="14">
        <f>SUM(M4854:R4854)</f>
        <v/>
      </c>
      <c r="AA4854">
        <f>RAND()</f>
        <v/>
      </c>
      <c r="AB4854">
        <f>RAND()</f>
        <v/>
      </c>
      <c r="AC4854">
        <f>RAND()</f>
        <v/>
      </c>
      <c r="AD4854">
        <f>RAND()</f>
        <v/>
      </c>
      <c r="AE4854">
        <f>RAND()</f>
        <v/>
      </c>
      <c r="AF4854">
        <f>RAND()</f>
        <v/>
      </c>
    </row>
    <row r="4855">
      <c r="M4855" s="14">
        <f>_xlfn.BETA.INV($AA4855,1+4*($D$5-$C$5)/($E$5-$C$5),1+4*($E$5-$D$5)/($E$5-$C$5),$C$5,$E$5)</f>
        <v/>
      </c>
      <c r="N4855" s="14">
        <f>IF($AB4855&lt;($D$6-$C$6)/($E$6-$C$6),$C$6+SQRT($AB4855*($E$6-$C$6)*($D$6-$C$6)),$E$6-SQRT((1-$AB4855)*($E$6-$C$6)*($E$6-$D$6)))</f>
        <v/>
      </c>
      <c r="O4855" s="14">
        <f>_xlfn.NORM.INV($AC4855,$C$7,$D$7)</f>
        <v/>
      </c>
      <c r="P4855" s="14">
        <f>$C$8+($D$8-$C$8)*$AD4855</f>
        <v/>
      </c>
      <c r="Q4855" s="14">
        <f>$C$9</f>
        <v/>
      </c>
      <c r="R4855" s="14">
        <f>_xlfn.LOGNORM.INV($AF4855,LN($C$10)-0.5*LN(1+($D$10/$C$10)^2),SQRT(LN(1+($D$10/$C$10)^2)))</f>
        <v/>
      </c>
      <c r="S4855" s="14">
        <f>SUM(M4855:R4855)</f>
        <v/>
      </c>
      <c r="AA4855">
        <f>RAND()</f>
        <v/>
      </c>
      <c r="AB4855">
        <f>RAND()</f>
        <v/>
      </c>
      <c r="AC4855">
        <f>RAND()</f>
        <v/>
      </c>
      <c r="AD4855">
        <f>RAND()</f>
        <v/>
      </c>
      <c r="AE4855">
        <f>RAND()</f>
        <v/>
      </c>
      <c r="AF4855">
        <f>RAND()</f>
        <v/>
      </c>
    </row>
    <row r="4856">
      <c r="M4856" s="14">
        <f>_xlfn.BETA.INV($AA4856,1+4*($D$5-$C$5)/($E$5-$C$5),1+4*($E$5-$D$5)/($E$5-$C$5),$C$5,$E$5)</f>
        <v/>
      </c>
      <c r="N4856" s="14">
        <f>IF($AB4856&lt;($D$6-$C$6)/($E$6-$C$6),$C$6+SQRT($AB4856*($E$6-$C$6)*($D$6-$C$6)),$E$6-SQRT((1-$AB4856)*($E$6-$C$6)*($E$6-$D$6)))</f>
        <v/>
      </c>
      <c r="O4856" s="14">
        <f>_xlfn.NORM.INV($AC4856,$C$7,$D$7)</f>
        <v/>
      </c>
      <c r="P4856" s="14">
        <f>$C$8+($D$8-$C$8)*$AD4856</f>
        <v/>
      </c>
      <c r="Q4856" s="14">
        <f>$C$9</f>
        <v/>
      </c>
      <c r="R4856" s="14">
        <f>_xlfn.LOGNORM.INV($AF4856,LN($C$10)-0.5*LN(1+($D$10/$C$10)^2),SQRT(LN(1+($D$10/$C$10)^2)))</f>
        <v/>
      </c>
      <c r="S4856" s="14">
        <f>SUM(M4856:R4856)</f>
        <v/>
      </c>
      <c r="AA4856">
        <f>RAND()</f>
        <v/>
      </c>
      <c r="AB4856">
        <f>RAND()</f>
        <v/>
      </c>
      <c r="AC4856">
        <f>RAND()</f>
        <v/>
      </c>
      <c r="AD4856">
        <f>RAND()</f>
        <v/>
      </c>
      <c r="AE4856">
        <f>RAND()</f>
        <v/>
      </c>
      <c r="AF4856">
        <f>RAND()</f>
        <v/>
      </c>
    </row>
    <row r="4857">
      <c r="M4857" s="14">
        <f>_xlfn.BETA.INV($AA4857,1+4*($D$5-$C$5)/($E$5-$C$5),1+4*($E$5-$D$5)/($E$5-$C$5),$C$5,$E$5)</f>
        <v/>
      </c>
      <c r="N4857" s="14">
        <f>IF($AB4857&lt;($D$6-$C$6)/($E$6-$C$6),$C$6+SQRT($AB4857*($E$6-$C$6)*($D$6-$C$6)),$E$6-SQRT((1-$AB4857)*($E$6-$C$6)*($E$6-$D$6)))</f>
        <v/>
      </c>
      <c r="O4857" s="14">
        <f>_xlfn.NORM.INV($AC4857,$C$7,$D$7)</f>
        <v/>
      </c>
      <c r="P4857" s="14">
        <f>$C$8+($D$8-$C$8)*$AD4857</f>
        <v/>
      </c>
      <c r="Q4857" s="14">
        <f>$C$9</f>
        <v/>
      </c>
      <c r="R4857" s="14">
        <f>_xlfn.LOGNORM.INV($AF4857,LN($C$10)-0.5*LN(1+($D$10/$C$10)^2),SQRT(LN(1+($D$10/$C$10)^2)))</f>
        <v/>
      </c>
      <c r="S4857" s="14">
        <f>SUM(M4857:R4857)</f>
        <v/>
      </c>
      <c r="AA4857">
        <f>RAND()</f>
        <v/>
      </c>
      <c r="AB4857">
        <f>RAND()</f>
        <v/>
      </c>
      <c r="AC4857">
        <f>RAND()</f>
        <v/>
      </c>
      <c r="AD4857">
        <f>RAND()</f>
        <v/>
      </c>
      <c r="AE4857">
        <f>RAND()</f>
        <v/>
      </c>
      <c r="AF4857">
        <f>RAND()</f>
        <v/>
      </c>
    </row>
    <row r="4858">
      <c r="M4858" s="14">
        <f>_xlfn.BETA.INV($AA4858,1+4*($D$5-$C$5)/($E$5-$C$5),1+4*($E$5-$D$5)/($E$5-$C$5),$C$5,$E$5)</f>
        <v/>
      </c>
      <c r="N4858" s="14">
        <f>IF($AB4858&lt;($D$6-$C$6)/($E$6-$C$6),$C$6+SQRT($AB4858*($E$6-$C$6)*($D$6-$C$6)),$E$6-SQRT((1-$AB4858)*($E$6-$C$6)*($E$6-$D$6)))</f>
        <v/>
      </c>
      <c r="O4858" s="14">
        <f>_xlfn.NORM.INV($AC4858,$C$7,$D$7)</f>
        <v/>
      </c>
      <c r="P4858" s="14">
        <f>$C$8+($D$8-$C$8)*$AD4858</f>
        <v/>
      </c>
      <c r="Q4858" s="14">
        <f>$C$9</f>
        <v/>
      </c>
      <c r="R4858" s="14">
        <f>_xlfn.LOGNORM.INV($AF4858,LN($C$10)-0.5*LN(1+($D$10/$C$10)^2),SQRT(LN(1+($D$10/$C$10)^2)))</f>
        <v/>
      </c>
      <c r="S4858" s="14">
        <f>SUM(M4858:R4858)</f>
        <v/>
      </c>
      <c r="AA4858">
        <f>RAND()</f>
        <v/>
      </c>
      <c r="AB4858">
        <f>RAND()</f>
        <v/>
      </c>
      <c r="AC4858">
        <f>RAND()</f>
        <v/>
      </c>
      <c r="AD4858">
        <f>RAND()</f>
        <v/>
      </c>
      <c r="AE4858">
        <f>RAND()</f>
        <v/>
      </c>
      <c r="AF4858">
        <f>RAND()</f>
        <v/>
      </c>
    </row>
    <row r="4859">
      <c r="M4859" s="14">
        <f>_xlfn.BETA.INV($AA4859,1+4*($D$5-$C$5)/($E$5-$C$5),1+4*($E$5-$D$5)/($E$5-$C$5),$C$5,$E$5)</f>
        <v/>
      </c>
      <c r="N4859" s="14">
        <f>IF($AB4859&lt;($D$6-$C$6)/($E$6-$C$6),$C$6+SQRT($AB4859*($E$6-$C$6)*($D$6-$C$6)),$E$6-SQRT((1-$AB4859)*($E$6-$C$6)*($E$6-$D$6)))</f>
        <v/>
      </c>
      <c r="O4859" s="14">
        <f>_xlfn.NORM.INV($AC4859,$C$7,$D$7)</f>
        <v/>
      </c>
      <c r="P4859" s="14">
        <f>$C$8+($D$8-$C$8)*$AD4859</f>
        <v/>
      </c>
      <c r="Q4859" s="14">
        <f>$C$9</f>
        <v/>
      </c>
      <c r="R4859" s="14">
        <f>_xlfn.LOGNORM.INV($AF4859,LN($C$10)-0.5*LN(1+($D$10/$C$10)^2),SQRT(LN(1+($D$10/$C$10)^2)))</f>
        <v/>
      </c>
      <c r="S4859" s="14">
        <f>SUM(M4859:R4859)</f>
        <v/>
      </c>
      <c r="AA4859">
        <f>RAND()</f>
        <v/>
      </c>
      <c r="AB4859">
        <f>RAND()</f>
        <v/>
      </c>
      <c r="AC4859">
        <f>RAND()</f>
        <v/>
      </c>
      <c r="AD4859">
        <f>RAND()</f>
        <v/>
      </c>
      <c r="AE4859">
        <f>RAND()</f>
        <v/>
      </c>
      <c r="AF4859">
        <f>RAND()</f>
        <v/>
      </c>
    </row>
    <row r="4860">
      <c r="M4860" s="14">
        <f>_xlfn.BETA.INV($AA4860,1+4*($D$5-$C$5)/($E$5-$C$5),1+4*($E$5-$D$5)/($E$5-$C$5),$C$5,$E$5)</f>
        <v/>
      </c>
      <c r="N4860" s="14">
        <f>IF($AB4860&lt;($D$6-$C$6)/($E$6-$C$6),$C$6+SQRT($AB4860*($E$6-$C$6)*($D$6-$C$6)),$E$6-SQRT((1-$AB4860)*($E$6-$C$6)*($E$6-$D$6)))</f>
        <v/>
      </c>
      <c r="O4860" s="14">
        <f>_xlfn.NORM.INV($AC4860,$C$7,$D$7)</f>
        <v/>
      </c>
      <c r="P4860" s="14">
        <f>$C$8+($D$8-$C$8)*$AD4860</f>
        <v/>
      </c>
      <c r="Q4860" s="14">
        <f>$C$9</f>
        <v/>
      </c>
      <c r="R4860" s="14">
        <f>_xlfn.LOGNORM.INV($AF4860,LN($C$10)-0.5*LN(1+($D$10/$C$10)^2),SQRT(LN(1+($D$10/$C$10)^2)))</f>
        <v/>
      </c>
      <c r="S4860" s="14">
        <f>SUM(M4860:R4860)</f>
        <v/>
      </c>
      <c r="AA4860">
        <f>RAND()</f>
        <v/>
      </c>
      <c r="AB4860">
        <f>RAND()</f>
        <v/>
      </c>
      <c r="AC4860">
        <f>RAND()</f>
        <v/>
      </c>
      <c r="AD4860">
        <f>RAND()</f>
        <v/>
      </c>
      <c r="AE4860">
        <f>RAND()</f>
        <v/>
      </c>
      <c r="AF4860">
        <f>RAND()</f>
        <v/>
      </c>
    </row>
    <row r="4861">
      <c r="M4861" s="14">
        <f>_xlfn.BETA.INV($AA4861,1+4*($D$5-$C$5)/($E$5-$C$5),1+4*($E$5-$D$5)/($E$5-$C$5),$C$5,$E$5)</f>
        <v/>
      </c>
      <c r="N4861" s="14">
        <f>IF($AB4861&lt;($D$6-$C$6)/($E$6-$C$6),$C$6+SQRT($AB4861*($E$6-$C$6)*($D$6-$C$6)),$E$6-SQRT((1-$AB4861)*($E$6-$C$6)*($E$6-$D$6)))</f>
        <v/>
      </c>
      <c r="O4861" s="14">
        <f>_xlfn.NORM.INV($AC4861,$C$7,$D$7)</f>
        <v/>
      </c>
      <c r="P4861" s="14">
        <f>$C$8+($D$8-$C$8)*$AD4861</f>
        <v/>
      </c>
      <c r="Q4861" s="14">
        <f>$C$9</f>
        <v/>
      </c>
      <c r="R4861" s="14">
        <f>_xlfn.LOGNORM.INV($AF4861,LN($C$10)-0.5*LN(1+($D$10/$C$10)^2),SQRT(LN(1+($D$10/$C$10)^2)))</f>
        <v/>
      </c>
      <c r="S4861" s="14">
        <f>SUM(M4861:R4861)</f>
        <v/>
      </c>
      <c r="AA4861">
        <f>RAND()</f>
        <v/>
      </c>
      <c r="AB4861">
        <f>RAND()</f>
        <v/>
      </c>
      <c r="AC4861">
        <f>RAND()</f>
        <v/>
      </c>
      <c r="AD4861">
        <f>RAND()</f>
        <v/>
      </c>
      <c r="AE4861">
        <f>RAND()</f>
        <v/>
      </c>
      <c r="AF4861">
        <f>RAND()</f>
        <v/>
      </c>
    </row>
    <row r="4862">
      <c r="M4862" s="14">
        <f>_xlfn.BETA.INV($AA4862,1+4*($D$5-$C$5)/($E$5-$C$5),1+4*($E$5-$D$5)/($E$5-$C$5),$C$5,$E$5)</f>
        <v/>
      </c>
      <c r="N4862" s="14">
        <f>IF($AB4862&lt;($D$6-$C$6)/($E$6-$C$6),$C$6+SQRT($AB4862*($E$6-$C$6)*($D$6-$C$6)),$E$6-SQRT((1-$AB4862)*($E$6-$C$6)*($E$6-$D$6)))</f>
        <v/>
      </c>
      <c r="O4862" s="14">
        <f>_xlfn.NORM.INV($AC4862,$C$7,$D$7)</f>
        <v/>
      </c>
      <c r="P4862" s="14">
        <f>$C$8+($D$8-$C$8)*$AD4862</f>
        <v/>
      </c>
      <c r="Q4862" s="14">
        <f>$C$9</f>
        <v/>
      </c>
      <c r="R4862" s="14">
        <f>_xlfn.LOGNORM.INV($AF4862,LN($C$10)-0.5*LN(1+($D$10/$C$10)^2),SQRT(LN(1+($D$10/$C$10)^2)))</f>
        <v/>
      </c>
      <c r="S4862" s="14">
        <f>SUM(M4862:R4862)</f>
        <v/>
      </c>
      <c r="AA4862">
        <f>RAND()</f>
        <v/>
      </c>
      <c r="AB4862">
        <f>RAND()</f>
        <v/>
      </c>
      <c r="AC4862">
        <f>RAND()</f>
        <v/>
      </c>
      <c r="AD4862">
        <f>RAND()</f>
        <v/>
      </c>
      <c r="AE4862">
        <f>RAND()</f>
        <v/>
      </c>
      <c r="AF4862">
        <f>RAND()</f>
        <v/>
      </c>
    </row>
    <row r="4863">
      <c r="M4863" s="14">
        <f>_xlfn.BETA.INV($AA4863,1+4*($D$5-$C$5)/($E$5-$C$5),1+4*($E$5-$D$5)/($E$5-$C$5),$C$5,$E$5)</f>
        <v/>
      </c>
      <c r="N4863" s="14">
        <f>IF($AB4863&lt;($D$6-$C$6)/($E$6-$C$6),$C$6+SQRT($AB4863*($E$6-$C$6)*($D$6-$C$6)),$E$6-SQRT((1-$AB4863)*($E$6-$C$6)*($E$6-$D$6)))</f>
        <v/>
      </c>
      <c r="O4863" s="14">
        <f>_xlfn.NORM.INV($AC4863,$C$7,$D$7)</f>
        <v/>
      </c>
      <c r="P4863" s="14">
        <f>$C$8+($D$8-$C$8)*$AD4863</f>
        <v/>
      </c>
      <c r="Q4863" s="14">
        <f>$C$9</f>
        <v/>
      </c>
      <c r="R4863" s="14">
        <f>_xlfn.LOGNORM.INV($AF4863,LN($C$10)-0.5*LN(1+($D$10/$C$10)^2),SQRT(LN(1+($D$10/$C$10)^2)))</f>
        <v/>
      </c>
      <c r="S4863" s="14">
        <f>SUM(M4863:R4863)</f>
        <v/>
      </c>
      <c r="AA4863">
        <f>RAND()</f>
        <v/>
      </c>
      <c r="AB4863">
        <f>RAND()</f>
        <v/>
      </c>
      <c r="AC4863">
        <f>RAND()</f>
        <v/>
      </c>
      <c r="AD4863">
        <f>RAND()</f>
        <v/>
      </c>
      <c r="AE4863">
        <f>RAND()</f>
        <v/>
      </c>
      <c r="AF4863">
        <f>RAND()</f>
        <v/>
      </c>
    </row>
    <row r="4864">
      <c r="M4864" s="14">
        <f>_xlfn.BETA.INV($AA4864,1+4*($D$5-$C$5)/($E$5-$C$5),1+4*($E$5-$D$5)/($E$5-$C$5),$C$5,$E$5)</f>
        <v/>
      </c>
      <c r="N4864" s="14">
        <f>IF($AB4864&lt;($D$6-$C$6)/($E$6-$C$6),$C$6+SQRT($AB4864*($E$6-$C$6)*($D$6-$C$6)),$E$6-SQRT((1-$AB4864)*($E$6-$C$6)*($E$6-$D$6)))</f>
        <v/>
      </c>
      <c r="O4864" s="14">
        <f>_xlfn.NORM.INV($AC4864,$C$7,$D$7)</f>
        <v/>
      </c>
      <c r="P4864" s="14">
        <f>$C$8+($D$8-$C$8)*$AD4864</f>
        <v/>
      </c>
      <c r="Q4864" s="14">
        <f>$C$9</f>
        <v/>
      </c>
      <c r="R4864" s="14">
        <f>_xlfn.LOGNORM.INV($AF4864,LN($C$10)-0.5*LN(1+($D$10/$C$10)^2),SQRT(LN(1+($D$10/$C$10)^2)))</f>
        <v/>
      </c>
      <c r="S4864" s="14">
        <f>SUM(M4864:R4864)</f>
        <v/>
      </c>
      <c r="AA4864">
        <f>RAND()</f>
        <v/>
      </c>
      <c r="AB4864">
        <f>RAND()</f>
        <v/>
      </c>
      <c r="AC4864">
        <f>RAND()</f>
        <v/>
      </c>
      <c r="AD4864">
        <f>RAND()</f>
        <v/>
      </c>
      <c r="AE4864">
        <f>RAND()</f>
        <v/>
      </c>
      <c r="AF4864">
        <f>RAND()</f>
        <v/>
      </c>
    </row>
    <row r="4865">
      <c r="M4865" s="14">
        <f>_xlfn.BETA.INV($AA4865,1+4*($D$5-$C$5)/($E$5-$C$5),1+4*($E$5-$D$5)/($E$5-$C$5),$C$5,$E$5)</f>
        <v/>
      </c>
      <c r="N4865" s="14">
        <f>IF($AB4865&lt;($D$6-$C$6)/($E$6-$C$6),$C$6+SQRT($AB4865*($E$6-$C$6)*($D$6-$C$6)),$E$6-SQRT((1-$AB4865)*($E$6-$C$6)*($E$6-$D$6)))</f>
        <v/>
      </c>
      <c r="O4865" s="14">
        <f>_xlfn.NORM.INV($AC4865,$C$7,$D$7)</f>
        <v/>
      </c>
      <c r="P4865" s="14">
        <f>$C$8+($D$8-$C$8)*$AD4865</f>
        <v/>
      </c>
      <c r="Q4865" s="14">
        <f>$C$9</f>
        <v/>
      </c>
      <c r="R4865" s="14">
        <f>_xlfn.LOGNORM.INV($AF4865,LN($C$10)-0.5*LN(1+($D$10/$C$10)^2),SQRT(LN(1+($D$10/$C$10)^2)))</f>
        <v/>
      </c>
      <c r="S4865" s="14">
        <f>SUM(M4865:R4865)</f>
        <v/>
      </c>
      <c r="AA4865">
        <f>RAND()</f>
        <v/>
      </c>
      <c r="AB4865">
        <f>RAND()</f>
        <v/>
      </c>
      <c r="AC4865">
        <f>RAND()</f>
        <v/>
      </c>
      <c r="AD4865">
        <f>RAND()</f>
        <v/>
      </c>
      <c r="AE4865">
        <f>RAND()</f>
        <v/>
      </c>
      <c r="AF4865">
        <f>RAND()</f>
        <v/>
      </c>
    </row>
    <row r="4866">
      <c r="M4866" s="14">
        <f>_xlfn.BETA.INV($AA4866,1+4*($D$5-$C$5)/($E$5-$C$5),1+4*($E$5-$D$5)/($E$5-$C$5),$C$5,$E$5)</f>
        <v/>
      </c>
      <c r="N4866" s="14">
        <f>IF($AB4866&lt;($D$6-$C$6)/($E$6-$C$6),$C$6+SQRT($AB4866*($E$6-$C$6)*($D$6-$C$6)),$E$6-SQRT((1-$AB4866)*($E$6-$C$6)*($E$6-$D$6)))</f>
        <v/>
      </c>
      <c r="O4866" s="14">
        <f>_xlfn.NORM.INV($AC4866,$C$7,$D$7)</f>
        <v/>
      </c>
      <c r="P4866" s="14">
        <f>$C$8+($D$8-$C$8)*$AD4866</f>
        <v/>
      </c>
      <c r="Q4866" s="14">
        <f>$C$9</f>
        <v/>
      </c>
      <c r="R4866" s="14">
        <f>_xlfn.LOGNORM.INV($AF4866,LN($C$10)-0.5*LN(1+($D$10/$C$10)^2),SQRT(LN(1+($D$10/$C$10)^2)))</f>
        <v/>
      </c>
      <c r="S4866" s="14">
        <f>SUM(M4866:R4866)</f>
        <v/>
      </c>
      <c r="AA4866">
        <f>RAND()</f>
        <v/>
      </c>
      <c r="AB4866">
        <f>RAND()</f>
        <v/>
      </c>
      <c r="AC4866">
        <f>RAND()</f>
        <v/>
      </c>
      <c r="AD4866">
        <f>RAND()</f>
        <v/>
      </c>
      <c r="AE4866">
        <f>RAND()</f>
        <v/>
      </c>
      <c r="AF4866">
        <f>RAND()</f>
        <v/>
      </c>
    </row>
    <row r="4867">
      <c r="M4867" s="14">
        <f>_xlfn.BETA.INV($AA4867,1+4*($D$5-$C$5)/($E$5-$C$5),1+4*($E$5-$D$5)/($E$5-$C$5),$C$5,$E$5)</f>
        <v/>
      </c>
      <c r="N4867" s="14">
        <f>IF($AB4867&lt;($D$6-$C$6)/($E$6-$C$6),$C$6+SQRT($AB4867*($E$6-$C$6)*($D$6-$C$6)),$E$6-SQRT((1-$AB4867)*($E$6-$C$6)*($E$6-$D$6)))</f>
        <v/>
      </c>
      <c r="O4867" s="14">
        <f>_xlfn.NORM.INV($AC4867,$C$7,$D$7)</f>
        <v/>
      </c>
      <c r="P4867" s="14">
        <f>$C$8+($D$8-$C$8)*$AD4867</f>
        <v/>
      </c>
      <c r="Q4867" s="14">
        <f>$C$9</f>
        <v/>
      </c>
      <c r="R4867" s="14">
        <f>_xlfn.LOGNORM.INV($AF4867,LN($C$10)-0.5*LN(1+($D$10/$C$10)^2),SQRT(LN(1+($D$10/$C$10)^2)))</f>
        <v/>
      </c>
      <c r="S4867" s="14">
        <f>SUM(M4867:R4867)</f>
        <v/>
      </c>
      <c r="AA4867">
        <f>RAND()</f>
        <v/>
      </c>
      <c r="AB4867">
        <f>RAND()</f>
        <v/>
      </c>
      <c r="AC4867">
        <f>RAND()</f>
        <v/>
      </c>
      <c r="AD4867">
        <f>RAND()</f>
        <v/>
      </c>
      <c r="AE4867">
        <f>RAND()</f>
        <v/>
      </c>
      <c r="AF4867">
        <f>RAND()</f>
        <v/>
      </c>
    </row>
    <row r="4868">
      <c r="M4868" s="14">
        <f>_xlfn.BETA.INV($AA4868,1+4*($D$5-$C$5)/($E$5-$C$5),1+4*($E$5-$D$5)/($E$5-$C$5),$C$5,$E$5)</f>
        <v/>
      </c>
      <c r="N4868" s="14">
        <f>IF($AB4868&lt;($D$6-$C$6)/($E$6-$C$6),$C$6+SQRT($AB4868*($E$6-$C$6)*($D$6-$C$6)),$E$6-SQRT((1-$AB4868)*($E$6-$C$6)*($E$6-$D$6)))</f>
        <v/>
      </c>
      <c r="O4868" s="14">
        <f>_xlfn.NORM.INV($AC4868,$C$7,$D$7)</f>
        <v/>
      </c>
      <c r="P4868" s="14">
        <f>$C$8+($D$8-$C$8)*$AD4868</f>
        <v/>
      </c>
      <c r="Q4868" s="14">
        <f>$C$9</f>
        <v/>
      </c>
      <c r="R4868" s="14">
        <f>_xlfn.LOGNORM.INV($AF4868,LN($C$10)-0.5*LN(1+($D$10/$C$10)^2),SQRT(LN(1+($D$10/$C$10)^2)))</f>
        <v/>
      </c>
      <c r="S4868" s="14">
        <f>SUM(M4868:R4868)</f>
        <v/>
      </c>
      <c r="AA4868">
        <f>RAND()</f>
        <v/>
      </c>
      <c r="AB4868">
        <f>RAND()</f>
        <v/>
      </c>
      <c r="AC4868">
        <f>RAND()</f>
        <v/>
      </c>
      <c r="AD4868">
        <f>RAND()</f>
        <v/>
      </c>
      <c r="AE4868">
        <f>RAND()</f>
        <v/>
      </c>
      <c r="AF4868">
        <f>RAND()</f>
        <v/>
      </c>
    </row>
    <row r="4869">
      <c r="M4869" s="14">
        <f>_xlfn.BETA.INV($AA4869,1+4*($D$5-$C$5)/($E$5-$C$5),1+4*($E$5-$D$5)/($E$5-$C$5),$C$5,$E$5)</f>
        <v/>
      </c>
      <c r="N4869" s="14">
        <f>IF($AB4869&lt;($D$6-$C$6)/($E$6-$C$6),$C$6+SQRT($AB4869*($E$6-$C$6)*($D$6-$C$6)),$E$6-SQRT((1-$AB4869)*($E$6-$C$6)*($E$6-$D$6)))</f>
        <v/>
      </c>
      <c r="O4869" s="14">
        <f>_xlfn.NORM.INV($AC4869,$C$7,$D$7)</f>
        <v/>
      </c>
      <c r="P4869" s="14">
        <f>$C$8+($D$8-$C$8)*$AD4869</f>
        <v/>
      </c>
      <c r="Q4869" s="14">
        <f>$C$9</f>
        <v/>
      </c>
      <c r="R4869" s="14">
        <f>_xlfn.LOGNORM.INV($AF4869,LN($C$10)-0.5*LN(1+($D$10/$C$10)^2),SQRT(LN(1+($D$10/$C$10)^2)))</f>
        <v/>
      </c>
      <c r="S4869" s="14">
        <f>SUM(M4869:R4869)</f>
        <v/>
      </c>
      <c r="AA4869">
        <f>RAND()</f>
        <v/>
      </c>
      <c r="AB4869">
        <f>RAND()</f>
        <v/>
      </c>
      <c r="AC4869">
        <f>RAND()</f>
        <v/>
      </c>
      <c r="AD4869">
        <f>RAND()</f>
        <v/>
      </c>
      <c r="AE4869">
        <f>RAND()</f>
        <v/>
      </c>
      <c r="AF4869">
        <f>RAND()</f>
        <v/>
      </c>
    </row>
    <row r="4870">
      <c r="M4870" s="14">
        <f>_xlfn.BETA.INV($AA4870,1+4*($D$5-$C$5)/($E$5-$C$5),1+4*($E$5-$D$5)/($E$5-$C$5),$C$5,$E$5)</f>
        <v/>
      </c>
      <c r="N4870" s="14">
        <f>IF($AB4870&lt;($D$6-$C$6)/($E$6-$C$6),$C$6+SQRT($AB4870*($E$6-$C$6)*($D$6-$C$6)),$E$6-SQRT((1-$AB4870)*($E$6-$C$6)*($E$6-$D$6)))</f>
        <v/>
      </c>
      <c r="O4870" s="14">
        <f>_xlfn.NORM.INV($AC4870,$C$7,$D$7)</f>
        <v/>
      </c>
      <c r="P4870" s="14">
        <f>$C$8+($D$8-$C$8)*$AD4870</f>
        <v/>
      </c>
      <c r="Q4870" s="14">
        <f>$C$9</f>
        <v/>
      </c>
      <c r="R4870" s="14">
        <f>_xlfn.LOGNORM.INV($AF4870,LN($C$10)-0.5*LN(1+($D$10/$C$10)^2),SQRT(LN(1+($D$10/$C$10)^2)))</f>
        <v/>
      </c>
      <c r="S4870" s="14">
        <f>SUM(M4870:R4870)</f>
        <v/>
      </c>
      <c r="AA4870">
        <f>RAND()</f>
        <v/>
      </c>
      <c r="AB4870">
        <f>RAND()</f>
        <v/>
      </c>
      <c r="AC4870">
        <f>RAND()</f>
        <v/>
      </c>
      <c r="AD4870">
        <f>RAND()</f>
        <v/>
      </c>
      <c r="AE4870">
        <f>RAND()</f>
        <v/>
      </c>
      <c r="AF4870">
        <f>RAND()</f>
        <v/>
      </c>
    </row>
    <row r="4871">
      <c r="M4871" s="14">
        <f>_xlfn.BETA.INV($AA4871,1+4*($D$5-$C$5)/($E$5-$C$5),1+4*($E$5-$D$5)/($E$5-$C$5),$C$5,$E$5)</f>
        <v/>
      </c>
      <c r="N4871" s="14">
        <f>IF($AB4871&lt;($D$6-$C$6)/($E$6-$C$6),$C$6+SQRT($AB4871*($E$6-$C$6)*($D$6-$C$6)),$E$6-SQRT((1-$AB4871)*($E$6-$C$6)*($E$6-$D$6)))</f>
        <v/>
      </c>
      <c r="O4871" s="14">
        <f>_xlfn.NORM.INV($AC4871,$C$7,$D$7)</f>
        <v/>
      </c>
      <c r="P4871" s="14">
        <f>$C$8+($D$8-$C$8)*$AD4871</f>
        <v/>
      </c>
      <c r="Q4871" s="14">
        <f>$C$9</f>
        <v/>
      </c>
      <c r="R4871" s="14">
        <f>_xlfn.LOGNORM.INV($AF4871,LN($C$10)-0.5*LN(1+($D$10/$C$10)^2),SQRT(LN(1+($D$10/$C$10)^2)))</f>
        <v/>
      </c>
      <c r="S4871" s="14">
        <f>SUM(M4871:R4871)</f>
        <v/>
      </c>
      <c r="AA4871">
        <f>RAND()</f>
        <v/>
      </c>
      <c r="AB4871">
        <f>RAND()</f>
        <v/>
      </c>
      <c r="AC4871">
        <f>RAND()</f>
        <v/>
      </c>
      <c r="AD4871">
        <f>RAND()</f>
        <v/>
      </c>
      <c r="AE4871">
        <f>RAND()</f>
        <v/>
      </c>
      <c r="AF4871">
        <f>RAND()</f>
        <v/>
      </c>
    </row>
    <row r="4872">
      <c r="M4872" s="14">
        <f>_xlfn.BETA.INV($AA4872,1+4*($D$5-$C$5)/($E$5-$C$5),1+4*($E$5-$D$5)/($E$5-$C$5),$C$5,$E$5)</f>
        <v/>
      </c>
      <c r="N4872" s="14">
        <f>IF($AB4872&lt;($D$6-$C$6)/($E$6-$C$6),$C$6+SQRT($AB4872*($E$6-$C$6)*($D$6-$C$6)),$E$6-SQRT((1-$AB4872)*($E$6-$C$6)*($E$6-$D$6)))</f>
        <v/>
      </c>
      <c r="O4872" s="14">
        <f>_xlfn.NORM.INV($AC4872,$C$7,$D$7)</f>
        <v/>
      </c>
      <c r="P4872" s="14">
        <f>$C$8+($D$8-$C$8)*$AD4872</f>
        <v/>
      </c>
      <c r="Q4872" s="14">
        <f>$C$9</f>
        <v/>
      </c>
      <c r="R4872" s="14">
        <f>_xlfn.LOGNORM.INV($AF4872,LN($C$10)-0.5*LN(1+($D$10/$C$10)^2),SQRT(LN(1+($D$10/$C$10)^2)))</f>
        <v/>
      </c>
      <c r="S4872" s="14">
        <f>SUM(M4872:R4872)</f>
        <v/>
      </c>
      <c r="AA4872">
        <f>RAND()</f>
        <v/>
      </c>
      <c r="AB4872">
        <f>RAND()</f>
        <v/>
      </c>
      <c r="AC4872">
        <f>RAND()</f>
        <v/>
      </c>
      <c r="AD4872">
        <f>RAND()</f>
        <v/>
      </c>
      <c r="AE4872">
        <f>RAND()</f>
        <v/>
      </c>
      <c r="AF4872">
        <f>RAND()</f>
        <v/>
      </c>
    </row>
    <row r="4873">
      <c r="M4873" s="14">
        <f>_xlfn.BETA.INV($AA4873,1+4*($D$5-$C$5)/($E$5-$C$5),1+4*($E$5-$D$5)/($E$5-$C$5),$C$5,$E$5)</f>
        <v/>
      </c>
      <c r="N4873" s="14">
        <f>IF($AB4873&lt;($D$6-$C$6)/($E$6-$C$6),$C$6+SQRT($AB4873*($E$6-$C$6)*($D$6-$C$6)),$E$6-SQRT((1-$AB4873)*($E$6-$C$6)*($E$6-$D$6)))</f>
        <v/>
      </c>
      <c r="O4873" s="14">
        <f>_xlfn.NORM.INV($AC4873,$C$7,$D$7)</f>
        <v/>
      </c>
      <c r="P4873" s="14">
        <f>$C$8+($D$8-$C$8)*$AD4873</f>
        <v/>
      </c>
      <c r="Q4873" s="14">
        <f>$C$9</f>
        <v/>
      </c>
      <c r="R4873" s="14">
        <f>_xlfn.LOGNORM.INV($AF4873,LN($C$10)-0.5*LN(1+($D$10/$C$10)^2),SQRT(LN(1+($D$10/$C$10)^2)))</f>
        <v/>
      </c>
      <c r="S4873" s="14">
        <f>SUM(M4873:R4873)</f>
        <v/>
      </c>
      <c r="AA4873">
        <f>RAND()</f>
        <v/>
      </c>
      <c r="AB4873">
        <f>RAND()</f>
        <v/>
      </c>
      <c r="AC4873">
        <f>RAND()</f>
        <v/>
      </c>
      <c r="AD4873">
        <f>RAND()</f>
        <v/>
      </c>
      <c r="AE4873">
        <f>RAND()</f>
        <v/>
      </c>
      <c r="AF4873">
        <f>RAND()</f>
        <v/>
      </c>
    </row>
    <row r="4874">
      <c r="M4874" s="14">
        <f>_xlfn.BETA.INV($AA4874,1+4*($D$5-$C$5)/($E$5-$C$5),1+4*($E$5-$D$5)/($E$5-$C$5),$C$5,$E$5)</f>
        <v/>
      </c>
      <c r="N4874" s="14">
        <f>IF($AB4874&lt;($D$6-$C$6)/($E$6-$C$6),$C$6+SQRT($AB4874*($E$6-$C$6)*($D$6-$C$6)),$E$6-SQRT((1-$AB4874)*($E$6-$C$6)*($E$6-$D$6)))</f>
        <v/>
      </c>
      <c r="O4874" s="14">
        <f>_xlfn.NORM.INV($AC4874,$C$7,$D$7)</f>
        <v/>
      </c>
      <c r="P4874" s="14">
        <f>$C$8+($D$8-$C$8)*$AD4874</f>
        <v/>
      </c>
      <c r="Q4874" s="14">
        <f>$C$9</f>
        <v/>
      </c>
      <c r="R4874" s="14">
        <f>_xlfn.LOGNORM.INV($AF4874,LN($C$10)-0.5*LN(1+($D$10/$C$10)^2),SQRT(LN(1+($D$10/$C$10)^2)))</f>
        <v/>
      </c>
      <c r="S4874" s="14">
        <f>SUM(M4874:R4874)</f>
        <v/>
      </c>
      <c r="AA4874">
        <f>RAND()</f>
        <v/>
      </c>
      <c r="AB4874">
        <f>RAND()</f>
        <v/>
      </c>
      <c r="AC4874">
        <f>RAND()</f>
        <v/>
      </c>
      <c r="AD4874">
        <f>RAND()</f>
        <v/>
      </c>
      <c r="AE4874">
        <f>RAND()</f>
        <v/>
      </c>
      <c r="AF4874">
        <f>RAND()</f>
        <v/>
      </c>
    </row>
    <row r="4875">
      <c r="M4875" s="14">
        <f>_xlfn.BETA.INV($AA4875,1+4*($D$5-$C$5)/($E$5-$C$5),1+4*($E$5-$D$5)/($E$5-$C$5),$C$5,$E$5)</f>
        <v/>
      </c>
      <c r="N4875" s="14">
        <f>IF($AB4875&lt;($D$6-$C$6)/($E$6-$C$6),$C$6+SQRT($AB4875*($E$6-$C$6)*($D$6-$C$6)),$E$6-SQRT((1-$AB4875)*($E$6-$C$6)*($E$6-$D$6)))</f>
        <v/>
      </c>
      <c r="O4875" s="14">
        <f>_xlfn.NORM.INV($AC4875,$C$7,$D$7)</f>
        <v/>
      </c>
      <c r="P4875" s="14">
        <f>$C$8+($D$8-$C$8)*$AD4875</f>
        <v/>
      </c>
      <c r="Q4875" s="14">
        <f>$C$9</f>
        <v/>
      </c>
      <c r="R4875" s="14">
        <f>_xlfn.LOGNORM.INV($AF4875,LN($C$10)-0.5*LN(1+($D$10/$C$10)^2),SQRT(LN(1+($D$10/$C$10)^2)))</f>
        <v/>
      </c>
      <c r="S4875" s="14">
        <f>SUM(M4875:R4875)</f>
        <v/>
      </c>
      <c r="AA4875">
        <f>RAND()</f>
        <v/>
      </c>
      <c r="AB4875">
        <f>RAND()</f>
        <v/>
      </c>
      <c r="AC4875">
        <f>RAND()</f>
        <v/>
      </c>
      <c r="AD4875">
        <f>RAND()</f>
        <v/>
      </c>
      <c r="AE4875">
        <f>RAND()</f>
        <v/>
      </c>
      <c r="AF4875">
        <f>RAND()</f>
        <v/>
      </c>
    </row>
    <row r="4876">
      <c r="M4876" s="14">
        <f>_xlfn.BETA.INV($AA4876,1+4*($D$5-$C$5)/($E$5-$C$5),1+4*($E$5-$D$5)/($E$5-$C$5),$C$5,$E$5)</f>
        <v/>
      </c>
      <c r="N4876" s="14">
        <f>IF($AB4876&lt;($D$6-$C$6)/($E$6-$C$6),$C$6+SQRT($AB4876*($E$6-$C$6)*($D$6-$C$6)),$E$6-SQRT((1-$AB4876)*($E$6-$C$6)*($E$6-$D$6)))</f>
        <v/>
      </c>
      <c r="O4876" s="14">
        <f>_xlfn.NORM.INV($AC4876,$C$7,$D$7)</f>
        <v/>
      </c>
      <c r="P4876" s="14">
        <f>$C$8+($D$8-$C$8)*$AD4876</f>
        <v/>
      </c>
      <c r="Q4876" s="14">
        <f>$C$9</f>
        <v/>
      </c>
      <c r="R4876" s="14">
        <f>_xlfn.LOGNORM.INV($AF4876,LN($C$10)-0.5*LN(1+($D$10/$C$10)^2),SQRT(LN(1+($D$10/$C$10)^2)))</f>
        <v/>
      </c>
      <c r="S4876" s="14">
        <f>SUM(M4876:R4876)</f>
        <v/>
      </c>
      <c r="AA4876">
        <f>RAND()</f>
        <v/>
      </c>
      <c r="AB4876">
        <f>RAND()</f>
        <v/>
      </c>
      <c r="AC4876">
        <f>RAND()</f>
        <v/>
      </c>
      <c r="AD4876">
        <f>RAND()</f>
        <v/>
      </c>
      <c r="AE4876">
        <f>RAND()</f>
        <v/>
      </c>
      <c r="AF4876">
        <f>RAND()</f>
        <v/>
      </c>
    </row>
    <row r="4877">
      <c r="M4877" s="14">
        <f>_xlfn.BETA.INV($AA4877,1+4*($D$5-$C$5)/($E$5-$C$5),1+4*($E$5-$D$5)/($E$5-$C$5),$C$5,$E$5)</f>
        <v/>
      </c>
      <c r="N4877" s="14">
        <f>IF($AB4877&lt;($D$6-$C$6)/($E$6-$C$6),$C$6+SQRT($AB4877*($E$6-$C$6)*($D$6-$C$6)),$E$6-SQRT((1-$AB4877)*($E$6-$C$6)*($E$6-$D$6)))</f>
        <v/>
      </c>
      <c r="O4877" s="14">
        <f>_xlfn.NORM.INV($AC4877,$C$7,$D$7)</f>
        <v/>
      </c>
      <c r="P4877" s="14">
        <f>$C$8+($D$8-$C$8)*$AD4877</f>
        <v/>
      </c>
      <c r="Q4877" s="14">
        <f>$C$9</f>
        <v/>
      </c>
      <c r="R4877" s="14">
        <f>_xlfn.LOGNORM.INV($AF4877,LN($C$10)-0.5*LN(1+($D$10/$C$10)^2),SQRT(LN(1+($D$10/$C$10)^2)))</f>
        <v/>
      </c>
      <c r="S4877" s="14">
        <f>SUM(M4877:R4877)</f>
        <v/>
      </c>
      <c r="AA4877">
        <f>RAND()</f>
        <v/>
      </c>
      <c r="AB4877">
        <f>RAND()</f>
        <v/>
      </c>
      <c r="AC4877">
        <f>RAND()</f>
        <v/>
      </c>
      <c r="AD4877">
        <f>RAND()</f>
        <v/>
      </c>
      <c r="AE4877">
        <f>RAND()</f>
        <v/>
      </c>
      <c r="AF4877">
        <f>RAND()</f>
        <v/>
      </c>
    </row>
    <row r="4878">
      <c r="M4878" s="14">
        <f>_xlfn.BETA.INV($AA4878,1+4*($D$5-$C$5)/($E$5-$C$5),1+4*($E$5-$D$5)/($E$5-$C$5),$C$5,$E$5)</f>
        <v/>
      </c>
      <c r="N4878" s="14">
        <f>IF($AB4878&lt;($D$6-$C$6)/($E$6-$C$6),$C$6+SQRT($AB4878*($E$6-$C$6)*($D$6-$C$6)),$E$6-SQRT((1-$AB4878)*($E$6-$C$6)*($E$6-$D$6)))</f>
        <v/>
      </c>
      <c r="O4878" s="14">
        <f>_xlfn.NORM.INV($AC4878,$C$7,$D$7)</f>
        <v/>
      </c>
      <c r="P4878" s="14">
        <f>$C$8+($D$8-$C$8)*$AD4878</f>
        <v/>
      </c>
      <c r="Q4878" s="14">
        <f>$C$9</f>
        <v/>
      </c>
      <c r="R4878" s="14">
        <f>_xlfn.LOGNORM.INV($AF4878,LN($C$10)-0.5*LN(1+($D$10/$C$10)^2),SQRT(LN(1+($D$10/$C$10)^2)))</f>
        <v/>
      </c>
      <c r="S4878" s="14">
        <f>SUM(M4878:R4878)</f>
        <v/>
      </c>
      <c r="AA4878">
        <f>RAND()</f>
        <v/>
      </c>
      <c r="AB4878">
        <f>RAND()</f>
        <v/>
      </c>
      <c r="AC4878">
        <f>RAND()</f>
        <v/>
      </c>
      <c r="AD4878">
        <f>RAND()</f>
        <v/>
      </c>
      <c r="AE4878">
        <f>RAND()</f>
        <v/>
      </c>
      <c r="AF4878">
        <f>RAND()</f>
        <v/>
      </c>
    </row>
    <row r="4879">
      <c r="M4879" s="14">
        <f>_xlfn.BETA.INV($AA4879,1+4*($D$5-$C$5)/($E$5-$C$5),1+4*($E$5-$D$5)/($E$5-$C$5),$C$5,$E$5)</f>
        <v/>
      </c>
      <c r="N4879" s="14">
        <f>IF($AB4879&lt;($D$6-$C$6)/($E$6-$C$6),$C$6+SQRT($AB4879*($E$6-$C$6)*($D$6-$C$6)),$E$6-SQRT((1-$AB4879)*($E$6-$C$6)*($E$6-$D$6)))</f>
        <v/>
      </c>
      <c r="O4879" s="14">
        <f>_xlfn.NORM.INV($AC4879,$C$7,$D$7)</f>
        <v/>
      </c>
      <c r="P4879" s="14">
        <f>$C$8+($D$8-$C$8)*$AD4879</f>
        <v/>
      </c>
      <c r="Q4879" s="14">
        <f>$C$9</f>
        <v/>
      </c>
      <c r="R4879" s="14">
        <f>_xlfn.LOGNORM.INV($AF4879,LN($C$10)-0.5*LN(1+($D$10/$C$10)^2),SQRT(LN(1+($D$10/$C$10)^2)))</f>
        <v/>
      </c>
      <c r="S4879" s="14">
        <f>SUM(M4879:R4879)</f>
        <v/>
      </c>
      <c r="AA4879">
        <f>RAND()</f>
        <v/>
      </c>
      <c r="AB4879">
        <f>RAND()</f>
        <v/>
      </c>
      <c r="AC4879">
        <f>RAND()</f>
        <v/>
      </c>
      <c r="AD4879">
        <f>RAND()</f>
        <v/>
      </c>
      <c r="AE4879">
        <f>RAND()</f>
        <v/>
      </c>
      <c r="AF4879">
        <f>RAND()</f>
        <v/>
      </c>
    </row>
    <row r="4880">
      <c r="M4880" s="14">
        <f>_xlfn.BETA.INV($AA4880,1+4*($D$5-$C$5)/($E$5-$C$5),1+4*($E$5-$D$5)/($E$5-$C$5),$C$5,$E$5)</f>
        <v/>
      </c>
      <c r="N4880" s="14">
        <f>IF($AB4880&lt;($D$6-$C$6)/($E$6-$C$6),$C$6+SQRT($AB4880*($E$6-$C$6)*($D$6-$C$6)),$E$6-SQRT((1-$AB4880)*($E$6-$C$6)*($E$6-$D$6)))</f>
        <v/>
      </c>
      <c r="O4880" s="14">
        <f>_xlfn.NORM.INV($AC4880,$C$7,$D$7)</f>
        <v/>
      </c>
      <c r="P4880" s="14">
        <f>$C$8+($D$8-$C$8)*$AD4880</f>
        <v/>
      </c>
      <c r="Q4880" s="14">
        <f>$C$9</f>
        <v/>
      </c>
      <c r="R4880" s="14">
        <f>_xlfn.LOGNORM.INV($AF4880,LN($C$10)-0.5*LN(1+($D$10/$C$10)^2),SQRT(LN(1+($D$10/$C$10)^2)))</f>
        <v/>
      </c>
      <c r="S4880" s="14">
        <f>SUM(M4880:R4880)</f>
        <v/>
      </c>
      <c r="AA4880">
        <f>RAND()</f>
        <v/>
      </c>
      <c r="AB4880">
        <f>RAND()</f>
        <v/>
      </c>
      <c r="AC4880">
        <f>RAND()</f>
        <v/>
      </c>
      <c r="AD4880">
        <f>RAND()</f>
        <v/>
      </c>
      <c r="AE4880">
        <f>RAND()</f>
        <v/>
      </c>
      <c r="AF4880">
        <f>RAND()</f>
        <v/>
      </c>
    </row>
    <row r="4881">
      <c r="M4881" s="14">
        <f>_xlfn.BETA.INV($AA4881,1+4*($D$5-$C$5)/($E$5-$C$5),1+4*($E$5-$D$5)/($E$5-$C$5),$C$5,$E$5)</f>
        <v/>
      </c>
      <c r="N4881" s="14">
        <f>IF($AB4881&lt;($D$6-$C$6)/($E$6-$C$6),$C$6+SQRT($AB4881*($E$6-$C$6)*($D$6-$C$6)),$E$6-SQRT((1-$AB4881)*($E$6-$C$6)*($E$6-$D$6)))</f>
        <v/>
      </c>
      <c r="O4881" s="14">
        <f>_xlfn.NORM.INV($AC4881,$C$7,$D$7)</f>
        <v/>
      </c>
      <c r="P4881" s="14">
        <f>$C$8+($D$8-$C$8)*$AD4881</f>
        <v/>
      </c>
      <c r="Q4881" s="14">
        <f>$C$9</f>
        <v/>
      </c>
      <c r="R4881" s="14">
        <f>_xlfn.LOGNORM.INV($AF4881,LN($C$10)-0.5*LN(1+($D$10/$C$10)^2),SQRT(LN(1+($D$10/$C$10)^2)))</f>
        <v/>
      </c>
      <c r="S4881" s="14">
        <f>SUM(M4881:R4881)</f>
        <v/>
      </c>
      <c r="AA4881">
        <f>RAND()</f>
        <v/>
      </c>
      <c r="AB4881">
        <f>RAND()</f>
        <v/>
      </c>
      <c r="AC4881">
        <f>RAND()</f>
        <v/>
      </c>
      <c r="AD4881">
        <f>RAND()</f>
        <v/>
      </c>
      <c r="AE4881">
        <f>RAND()</f>
        <v/>
      </c>
      <c r="AF4881">
        <f>RAND()</f>
        <v/>
      </c>
    </row>
    <row r="4882">
      <c r="M4882" s="14">
        <f>_xlfn.BETA.INV($AA4882,1+4*($D$5-$C$5)/($E$5-$C$5),1+4*($E$5-$D$5)/($E$5-$C$5),$C$5,$E$5)</f>
        <v/>
      </c>
      <c r="N4882" s="14">
        <f>IF($AB4882&lt;($D$6-$C$6)/($E$6-$C$6),$C$6+SQRT($AB4882*($E$6-$C$6)*($D$6-$C$6)),$E$6-SQRT((1-$AB4882)*($E$6-$C$6)*($E$6-$D$6)))</f>
        <v/>
      </c>
      <c r="O4882" s="14">
        <f>_xlfn.NORM.INV($AC4882,$C$7,$D$7)</f>
        <v/>
      </c>
      <c r="P4882" s="14">
        <f>$C$8+($D$8-$C$8)*$AD4882</f>
        <v/>
      </c>
      <c r="Q4882" s="14">
        <f>$C$9</f>
        <v/>
      </c>
      <c r="R4882" s="14">
        <f>_xlfn.LOGNORM.INV($AF4882,LN($C$10)-0.5*LN(1+($D$10/$C$10)^2),SQRT(LN(1+($D$10/$C$10)^2)))</f>
        <v/>
      </c>
      <c r="S4882" s="14">
        <f>SUM(M4882:R4882)</f>
        <v/>
      </c>
      <c r="AA4882">
        <f>RAND()</f>
        <v/>
      </c>
      <c r="AB4882">
        <f>RAND()</f>
        <v/>
      </c>
      <c r="AC4882">
        <f>RAND()</f>
        <v/>
      </c>
      <c r="AD4882">
        <f>RAND()</f>
        <v/>
      </c>
      <c r="AE4882">
        <f>RAND()</f>
        <v/>
      </c>
      <c r="AF4882">
        <f>RAND()</f>
        <v/>
      </c>
    </row>
    <row r="4883">
      <c r="M4883" s="14">
        <f>_xlfn.BETA.INV($AA4883,1+4*($D$5-$C$5)/($E$5-$C$5),1+4*($E$5-$D$5)/($E$5-$C$5),$C$5,$E$5)</f>
        <v/>
      </c>
      <c r="N4883" s="14">
        <f>IF($AB4883&lt;($D$6-$C$6)/($E$6-$C$6),$C$6+SQRT($AB4883*($E$6-$C$6)*($D$6-$C$6)),$E$6-SQRT((1-$AB4883)*($E$6-$C$6)*($E$6-$D$6)))</f>
        <v/>
      </c>
      <c r="O4883" s="14">
        <f>_xlfn.NORM.INV($AC4883,$C$7,$D$7)</f>
        <v/>
      </c>
      <c r="P4883" s="14">
        <f>$C$8+($D$8-$C$8)*$AD4883</f>
        <v/>
      </c>
      <c r="Q4883" s="14">
        <f>$C$9</f>
        <v/>
      </c>
      <c r="R4883" s="14">
        <f>_xlfn.LOGNORM.INV($AF4883,LN($C$10)-0.5*LN(1+($D$10/$C$10)^2),SQRT(LN(1+($D$10/$C$10)^2)))</f>
        <v/>
      </c>
      <c r="S4883" s="14">
        <f>SUM(M4883:R4883)</f>
        <v/>
      </c>
      <c r="AA4883">
        <f>RAND()</f>
        <v/>
      </c>
      <c r="AB4883">
        <f>RAND()</f>
        <v/>
      </c>
      <c r="AC4883">
        <f>RAND()</f>
        <v/>
      </c>
      <c r="AD4883">
        <f>RAND()</f>
        <v/>
      </c>
      <c r="AE4883">
        <f>RAND()</f>
        <v/>
      </c>
      <c r="AF4883">
        <f>RAND()</f>
        <v/>
      </c>
    </row>
    <row r="4884">
      <c r="M4884" s="14">
        <f>_xlfn.BETA.INV($AA4884,1+4*($D$5-$C$5)/($E$5-$C$5),1+4*($E$5-$D$5)/($E$5-$C$5),$C$5,$E$5)</f>
        <v/>
      </c>
      <c r="N4884" s="14">
        <f>IF($AB4884&lt;($D$6-$C$6)/($E$6-$C$6),$C$6+SQRT($AB4884*($E$6-$C$6)*($D$6-$C$6)),$E$6-SQRT((1-$AB4884)*($E$6-$C$6)*($E$6-$D$6)))</f>
        <v/>
      </c>
      <c r="O4884" s="14">
        <f>_xlfn.NORM.INV($AC4884,$C$7,$D$7)</f>
        <v/>
      </c>
      <c r="P4884" s="14">
        <f>$C$8+($D$8-$C$8)*$AD4884</f>
        <v/>
      </c>
      <c r="Q4884" s="14">
        <f>$C$9</f>
        <v/>
      </c>
      <c r="R4884" s="14">
        <f>_xlfn.LOGNORM.INV($AF4884,LN($C$10)-0.5*LN(1+($D$10/$C$10)^2),SQRT(LN(1+($D$10/$C$10)^2)))</f>
        <v/>
      </c>
      <c r="S4884" s="14">
        <f>SUM(M4884:R4884)</f>
        <v/>
      </c>
      <c r="AA4884">
        <f>RAND()</f>
        <v/>
      </c>
      <c r="AB4884">
        <f>RAND()</f>
        <v/>
      </c>
      <c r="AC4884">
        <f>RAND()</f>
        <v/>
      </c>
      <c r="AD4884">
        <f>RAND()</f>
        <v/>
      </c>
      <c r="AE4884">
        <f>RAND()</f>
        <v/>
      </c>
      <c r="AF4884">
        <f>RAND()</f>
        <v/>
      </c>
    </row>
    <row r="4885">
      <c r="M4885" s="14">
        <f>_xlfn.BETA.INV($AA4885,1+4*($D$5-$C$5)/($E$5-$C$5),1+4*($E$5-$D$5)/($E$5-$C$5),$C$5,$E$5)</f>
        <v/>
      </c>
      <c r="N4885" s="14">
        <f>IF($AB4885&lt;($D$6-$C$6)/($E$6-$C$6),$C$6+SQRT($AB4885*($E$6-$C$6)*($D$6-$C$6)),$E$6-SQRT((1-$AB4885)*($E$6-$C$6)*($E$6-$D$6)))</f>
        <v/>
      </c>
      <c r="O4885" s="14">
        <f>_xlfn.NORM.INV($AC4885,$C$7,$D$7)</f>
        <v/>
      </c>
      <c r="P4885" s="14">
        <f>$C$8+($D$8-$C$8)*$AD4885</f>
        <v/>
      </c>
      <c r="Q4885" s="14">
        <f>$C$9</f>
        <v/>
      </c>
      <c r="R4885" s="14">
        <f>_xlfn.LOGNORM.INV($AF4885,LN($C$10)-0.5*LN(1+($D$10/$C$10)^2),SQRT(LN(1+($D$10/$C$10)^2)))</f>
        <v/>
      </c>
      <c r="S4885" s="14">
        <f>SUM(M4885:R4885)</f>
        <v/>
      </c>
      <c r="AA4885">
        <f>RAND()</f>
        <v/>
      </c>
      <c r="AB4885">
        <f>RAND()</f>
        <v/>
      </c>
      <c r="AC4885">
        <f>RAND()</f>
        <v/>
      </c>
      <c r="AD4885">
        <f>RAND()</f>
        <v/>
      </c>
      <c r="AE4885">
        <f>RAND()</f>
        <v/>
      </c>
      <c r="AF4885">
        <f>RAND()</f>
        <v/>
      </c>
    </row>
    <row r="4886">
      <c r="M4886" s="14">
        <f>_xlfn.BETA.INV($AA4886,1+4*($D$5-$C$5)/($E$5-$C$5),1+4*($E$5-$D$5)/($E$5-$C$5),$C$5,$E$5)</f>
        <v/>
      </c>
      <c r="N4886" s="14">
        <f>IF($AB4886&lt;($D$6-$C$6)/($E$6-$C$6),$C$6+SQRT($AB4886*($E$6-$C$6)*($D$6-$C$6)),$E$6-SQRT((1-$AB4886)*($E$6-$C$6)*($E$6-$D$6)))</f>
        <v/>
      </c>
      <c r="O4886" s="14">
        <f>_xlfn.NORM.INV($AC4886,$C$7,$D$7)</f>
        <v/>
      </c>
      <c r="P4886" s="14">
        <f>$C$8+($D$8-$C$8)*$AD4886</f>
        <v/>
      </c>
      <c r="Q4886" s="14">
        <f>$C$9</f>
        <v/>
      </c>
      <c r="R4886" s="14">
        <f>_xlfn.LOGNORM.INV($AF4886,LN($C$10)-0.5*LN(1+($D$10/$C$10)^2),SQRT(LN(1+($D$10/$C$10)^2)))</f>
        <v/>
      </c>
      <c r="S4886" s="14">
        <f>SUM(M4886:R4886)</f>
        <v/>
      </c>
      <c r="AA4886">
        <f>RAND()</f>
        <v/>
      </c>
      <c r="AB4886">
        <f>RAND()</f>
        <v/>
      </c>
      <c r="AC4886">
        <f>RAND()</f>
        <v/>
      </c>
      <c r="AD4886">
        <f>RAND()</f>
        <v/>
      </c>
      <c r="AE4886">
        <f>RAND()</f>
        <v/>
      </c>
      <c r="AF4886">
        <f>RAND()</f>
        <v/>
      </c>
    </row>
    <row r="4887">
      <c r="M4887" s="14">
        <f>_xlfn.BETA.INV($AA4887,1+4*($D$5-$C$5)/($E$5-$C$5),1+4*($E$5-$D$5)/($E$5-$C$5),$C$5,$E$5)</f>
        <v/>
      </c>
      <c r="N4887" s="14">
        <f>IF($AB4887&lt;($D$6-$C$6)/($E$6-$C$6),$C$6+SQRT($AB4887*($E$6-$C$6)*($D$6-$C$6)),$E$6-SQRT((1-$AB4887)*($E$6-$C$6)*($E$6-$D$6)))</f>
        <v/>
      </c>
      <c r="O4887" s="14">
        <f>_xlfn.NORM.INV($AC4887,$C$7,$D$7)</f>
        <v/>
      </c>
      <c r="P4887" s="14">
        <f>$C$8+($D$8-$C$8)*$AD4887</f>
        <v/>
      </c>
      <c r="Q4887" s="14">
        <f>$C$9</f>
        <v/>
      </c>
      <c r="R4887" s="14">
        <f>_xlfn.LOGNORM.INV($AF4887,LN($C$10)-0.5*LN(1+($D$10/$C$10)^2),SQRT(LN(1+($D$10/$C$10)^2)))</f>
        <v/>
      </c>
      <c r="S4887" s="14">
        <f>SUM(M4887:R4887)</f>
        <v/>
      </c>
      <c r="AA4887">
        <f>RAND()</f>
        <v/>
      </c>
      <c r="AB4887">
        <f>RAND()</f>
        <v/>
      </c>
      <c r="AC4887">
        <f>RAND()</f>
        <v/>
      </c>
      <c r="AD4887">
        <f>RAND()</f>
        <v/>
      </c>
      <c r="AE4887">
        <f>RAND()</f>
        <v/>
      </c>
      <c r="AF4887">
        <f>RAND()</f>
        <v/>
      </c>
    </row>
    <row r="4888">
      <c r="M4888" s="14">
        <f>_xlfn.BETA.INV($AA4888,1+4*($D$5-$C$5)/($E$5-$C$5),1+4*($E$5-$D$5)/($E$5-$C$5),$C$5,$E$5)</f>
        <v/>
      </c>
      <c r="N4888" s="14">
        <f>IF($AB4888&lt;($D$6-$C$6)/($E$6-$C$6),$C$6+SQRT($AB4888*($E$6-$C$6)*($D$6-$C$6)),$E$6-SQRT((1-$AB4888)*($E$6-$C$6)*($E$6-$D$6)))</f>
        <v/>
      </c>
      <c r="O4888" s="14">
        <f>_xlfn.NORM.INV($AC4888,$C$7,$D$7)</f>
        <v/>
      </c>
      <c r="P4888" s="14">
        <f>$C$8+($D$8-$C$8)*$AD4888</f>
        <v/>
      </c>
      <c r="Q4888" s="14">
        <f>$C$9</f>
        <v/>
      </c>
      <c r="R4888" s="14">
        <f>_xlfn.LOGNORM.INV($AF4888,LN($C$10)-0.5*LN(1+($D$10/$C$10)^2),SQRT(LN(1+($D$10/$C$10)^2)))</f>
        <v/>
      </c>
      <c r="S4888" s="14">
        <f>SUM(M4888:R4888)</f>
        <v/>
      </c>
      <c r="AA4888">
        <f>RAND()</f>
        <v/>
      </c>
      <c r="AB4888">
        <f>RAND()</f>
        <v/>
      </c>
      <c r="AC4888">
        <f>RAND()</f>
        <v/>
      </c>
      <c r="AD4888">
        <f>RAND()</f>
        <v/>
      </c>
      <c r="AE4888">
        <f>RAND()</f>
        <v/>
      </c>
      <c r="AF4888">
        <f>RAND()</f>
        <v/>
      </c>
    </row>
    <row r="4889">
      <c r="M4889" s="14">
        <f>_xlfn.BETA.INV($AA4889,1+4*($D$5-$C$5)/($E$5-$C$5),1+4*($E$5-$D$5)/($E$5-$C$5),$C$5,$E$5)</f>
        <v/>
      </c>
      <c r="N4889" s="14">
        <f>IF($AB4889&lt;($D$6-$C$6)/($E$6-$C$6),$C$6+SQRT($AB4889*($E$6-$C$6)*($D$6-$C$6)),$E$6-SQRT((1-$AB4889)*($E$6-$C$6)*($E$6-$D$6)))</f>
        <v/>
      </c>
      <c r="O4889" s="14">
        <f>_xlfn.NORM.INV($AC4889,$C$7,$D$7)</f>
        <v/>
      </c>
      <c r="P4889" s="14">
        <f>$C$8+($D$8-$C$8)*$AD4889</f>
        <v/>
      </c>
      <c r="Q4889" s="14">
        <f>$C$9</f>
        <v/>
      </c>
      <c r="R4889" s="14">
        <f>_xlfn.LOGNORM.INV($AF4889,LN($C$10)-0.5*LN(1+($D$10/$C$10)^2),SQRT(LN(1+($D$10/$C$10)^2)))</f>
        <v/>
      </c>
      <c r="S4889" s="14">
        <f>SUM(M4889:R4889)</f>
        <v/>
      </c>
      <c r="AA4889">
        <f>RAND()</f>
        <v/>
      </c>
      <c r="AB4889">
        <f>RAND()</f>
        <v/>
      </c>
      <c r="AC4889">
        <f>RAND()</f>
        <v/>
      </c>
      <c r="AD4889">
        <f>RAND()</f>
        <v/>
      </c>
      <c r="AE4889">
        <f>RAND()</f>
        <v/>
      </c>
      <c r="AF4889">
        <f>RAND()</f>
        <v/>
      </c>
    </row>
    <row r="4890">
      <c r="M4890" s="14">
        <f>_xlfn.BETA.INV($AA4890,1+4*($D$5-$C$5)/($E$5-$C$5),1+4*($E$5-$D$5)/($E$5-$C$5),$C$5,$E$5)</f>
        <v/>
      </c>
      <c r="N4890" s="14">
        <f>IF($AB4890&lt;($D$6-$C$6)/($E$6-$C$6),$C$6+SQRT($AB4890*($E$6-$C$6)*($D$6-$C$6)),$E$6-SQRT((1-$AB4890)*($E$6-$C$6)*($E$6-$D$6)))</f>
        <v/>
      </c>
      <c r="O4890" s="14">
        <f>_xlfn.NORM.INV($AC4890,$C$7,$D$7)</f>
        <v/>
      </c>
      <c r="P4890" s="14">
        <f>$C$8+($D$8-$C$8)*$AD4890</f>
        <v/>
      </c>
      <c r="Q4890" s="14">
        <f>$C$9</f>
        <v/>
      </c>
      <c r="R4890" s="14">
        <f>_xlfn.LOGNORM.INV($AF4890,LN($C$10)-0.5*LN(1+($D$10/$C$10)^2),SQRT(LN(1+($D$10/$C$10)^2)))</f>
        <v/>
      </c>
      <c r="S4890" s="14">
        <f>SUM(M4890:R4890)</f>
        <v/>
      </c>
      <c r="AA4890">
        <f>RAND()</f>
        <v/>
      </c>
      <c r="AB4890">
        <f>RAND()</f>
        <v/>
      </c>
      <c r="AC4890">
        <f>RAND()</f>
        <v/>
      </c>
      <c r="AD4890">
        <f>RAND()</f>
        <v/>
      </c>
      <c r="AE4890">
        <f>RAND()</f>
        <v/>
      </c>
      <c r="AF4890">
        <f>RAND()</f>
        <v/>
      </c>
    </row>
    <row r="4891">
      <c r="M4891" s="14">
        <f>_xlfn.BETA.INV($AA4891,1+4*($D$5-$C$5)/($E$5-$C$5),1+4*($E$5-$D$5)/($E$5-$C$5),$C$5,$E$5)</f>
        <v/>
      </c>
      <c r="N4891" s="14">
        <f>IF($AB4891&lt;($D$6-$C$6)/($E$6-$C$6),$C$6+SQRT($AB4891*($E$6-$C$6)*($D$6-$C$6)),$E$6-SQRT((1-$AB4891)*($E$6-$C$6)*($E$6-$D$6)))</f>
        <v/>
      </c>
      <c r="O4891" s="14">
        <f>_xlfn.NORM.INV($AC4891,$C$7,$D$7)</f>
        <v/>
      </c>
      <c r="P4891" s="14">
        <f>$C$8+($D$8-$C$8)*$AD4891</f>
        <v/>
      </c>
      <c r="Q4891" s="14">
        <f>$C$9</f>
        <v/>
      </c>
      <c r="R4891" s="14">
        <f>_xlfn.LOGNORM.INV($AF4891,LN($C$10)-0.5*LN(1+($D$10/$C$10)^2),SQRT(LN(1+($D$10/$C$10)^2)))</f>
        <v/>
      </c>
      <c r="S4891" s="14">
        <f>SUM(M4891:R4891)</f>
        <v/>
      </c>
      <c r="AA4891">
        <f>RAND()</f>
        <v/>
      </c>
      <c r="AB4891">
        <f>RAND()</f>
        <v/>
      </c>
      <c r="AC4891">
        <f>RAND()</f>
        <v/>
      </c>
      <c r="AD4891">
        <f>RAND()</f>
        <v/>
      </c>
      <c r="AE4891">
        <f>RAND()</f>
        <v/>
      </c>
      <c r="AF4891">
        <f>RAND()</f>
        <v/>
      </c>
    </row>
    <row r="4892">
      <c r="M4892" s="14">
        <f>_xlfn.BETA.INV($AA4892,1+4*($D$5-$C$5)/($E$5-$C$5),1+4*($E$5-$D$5)/($E$5-$C$5),$C$5,$E$5)</f>
        <v/>
      </c>
      <c r="N4892" s="14">
        <f>IF($AB4892&lt;($D$6-$C$6)/($E$6-$C$6),$C$6+SQRT($AB4892*($E$6-$C$6)*($D$6-$C$6)),$E$6-SQRT((1-$AB4892)*($E$6-$C$6)*($E$6-$D$6)))</f>
        <v/>
      </c>
      <c r="O4892" s="14">
        <f>_xlfn.NORM.INV($AC4892,$C$7,$D$7)</f>
        <v/>
      </c>
      <c r="P4892" s="14">
        <f>$C$8+($D$8-$C$8)*$AD4892</f>
        <v/>
      </c>
      <c r="Q4892" s="14">
        <f>$C$9</f>
        <v/>
      </c>
      <c r="R4892" s="14">
        <f>_xlfn.LOGNORM.INV($AF4892,LN($C$10)-0.5*LN(1+($D$10/$C$10)^2),SQRT(LN(1+($D$10/$C$10)^2)))</f>
        <v/>
      </c>
      <c r="S4892" s="14">
        <f>SUM(M4892:R4892)</f>
        <v/>
      </c>
      <c r="AA4892">
        <f>RAND()</f>
        <v/>
      </c>
      <c r="AB4892">
        <f>RAND()</f>
        <v/>
      </c>
      <c r="AC4892">
        <f>RAND()</f>
        <v/>
      </c>
      <c r="AD4892">
        <f>RAND()</f>
        <v/>
      </c>
      <c r="AE4892">
        <f>RAND()</f>
        <v/>
      </c>
      <c r="AF4892">
        <f>RAND()</f>
        <v/>
      </c>
    </row>
    <row r="4893">
      <c r="M4893" s="14">
        <f>_xlfn.BETA.INV($AA4893,1+4*($D$5-$C$5)/($E$5-$C$5),1+4*($E$5-$D$5)/($E$5-$C$5),$C$5,$E$5)</f>
        <v/>
      </c>
      <c r="N4893" s="14">
        <f>IF($AB4893&lt;($D$6-$C$6)/($E$6-$C$6),$C$6+SQRT($AB4893*($E$6-$C$6)*($D$6-$C$6)),$E$6-SQRT((1-$AB4893)*($E$6-$C$6)*($E$6-$D$6)))</f>
        <v/>
      </c>
      <c r="O4893" s="14">
        <f>_xlfn.NORM.INV($AC4893,$C$7,$D$7)</f>
        <v/>
      </c>
      <c r="P4893" s="14">
        <f>$C$8+($D$8-$C$8)*$AD4893</f>
        <v/>
      </c>
      <c r="Q4893" s="14">
        <f>$C$9</f>
        <v/>
      </c>
      <c r="R4893" s="14">
        <f>_xlfn.LOGNORM.INV($AF4893,LN($C$10)-0.5*LN(1+($D$10/$C$10)^2),SQRT(LN(1+($D$10/$C$10)^2)))</f>
        <v/>
      </c>
      <c r="S4893" s="14">
        <f>SUM(M4893:R4893)</f>
        <v/>
      </c>
      <c r="AA4893">
        <f>RAND()</f>
        <v/>
      </c>
      <c r="AB4893">
        <f>RAND()</f>
        <v/>
      </c>
      <c r="AC4893">
        <f>RAND()</f>
        <v/>
      </c>
      <c r="AD4893">
        <f>RAND()</f>
        <v/>
      </c>
      <c r="AE4893">
        <f>RAND()</f>
        <v/>
      </c>
      <c r="AF4893">
        <f>RAND()</f>
        <v/>
      </c>
    </row>
    <row r="4894">
      <c r="M4894" s="14">
        <f>_xlfn.BETA.INV($AA4894,1+4*($D$5-$C$5)/($E$5-$C$5),1+4*($E$5-$D$5)/($E$5-$C$5),$C$5,$E$5)</f>
        <v/>
      </c>
      <c r="N4894" s="14">
        <f>IF($AB4894&lt;($D$6-$C$6)/($E$6-$C$6),$C$6+SQRT($AB4894*($E$6-$C$6)*($D$6-$C$6)),$E$6-SQRT((1-$AB4894)*($E$6-$C$6)*($E$6-$D$6)))</f>
        <v/>
      </c>
      <c r="O4894" s="14">
        <f>_xlfn.NORM.INV($AC4894,$C$7,$D$7)</f>
        <v/>
      </c>
      <c r="P4894" s="14">
        <f>$C$8+($D$8-$C$8)*$AD4894</f>
        <v/>
      </c>
      <c r="Q4894" s="14">
        <f>$C$9</f>
        <v/>
      </c>
      <c r="R4894" s="14">
        <f>_xlfn.LOGNORM.INV($AF4894,LN($C$10)-0.5*LN(1+($D$10/$C$10)^2),SQRT(LN(1+($D$10/$C$10)^2)))</f>
        <v/>
      </c>
      <c r="S4894" s="14">
        <f>SUM(M4894:R4894)</f>
        <v/>
      </c>
      <c r="AA4894">
        <f>RAND()</f>
        <v/>
      </c>
      <c r="AB4894">
        <f>RAND()</f>
        <v/>
      </c>
      <c r="AC4894">
        <f>RAND()</f>
        <v/>
      </c>
      <c r="AD4894">
        <f>RAND()</f>
        <v/>
      </c>
      <c r="AE4894">
        <f>RAND()</f>
        <v/>
      </c>
      <c r="AF4894">
        <f>RAND()</f>
        <v/>
      </c>
    </row>
    <row r="4895">
      <c r="M4895" s="14">
        <f>_xlfn.BETA.INV($AA4895,1+4*($D$5-$C$5)/($E$5-$C$5),1+4*($E$5-$D$5)/($E$5-$C$5),$C$5,$E$5)</f>
        <v/>
      </c>
      <c r="N4895" s="14">
        <f>IF($AB4895&lt;($D$6-$C$6)/($E$6-$C$6),$C$6+SQRT($AB4895*($E$6-$C$6)*($D$6-$C$6)),$E$6-SQRT((1-$AB4895)*($E$6-$C$6)*($E$6-$D$6)))</f>
        <v/>
      </c>
      <c r="O4895" s="14">
        <f>_xlfn.NORM.INV($AC4895,$C$7,$D$7)</f>
        <v/>
      </c>
      <c r="P4895" s="14">
        <f>$C$8+($D$8-$C$8)*$AD4895</f>
        <v/>
      </c>
      <c r="Q4895" s="14">
        <f>$C$9</f>
        <v/>
      </c>
      <c r="R4895" s="14">
        <f>_xlfn.LOGNORM.INV($AF4895,LN($C$10)-0.5*LN(1+($D$10/$C$10)^2),SQRT(LN(1+($D$10/$C$10)^2)))</f>
        <v/>
      </c>
      <c r="S4895" s="14">
        <f>SUM(M4895:R4895)</f>
        <v/>
      </c>
      <c r="AA4895">
        <f>RAND()</f>
        <v/>
      </c>
      <c r="AB4895">
        <f>RAND()</f>
        <v/>
      </c>
      <c r="AC4895">
        <f>RAND()</f>
        <v/>
      </c>
      <c r="AD4895">
        <f>RAND()</f>
        <v/>
      </c>
      <c r="AE4895">
        <f>RAND()</f>
        <v/>
      </c>
      <c r="AF4895">
        <f>RAND()</f>
        <v/>
      </c>
    </row>
    <row r="4896">
      <c r="M4896" s="14">
        <f>_xlfn.BETA.INV($AA4896,1+4*($D$5-$C$5)/($E$5-$C$5),1+4*($E$5-$D$5)/($E$5-$C$5),$C$5,$E$5)</f>
        <v/>
      </c>
      <c r="N4896" s="14">
        <f>IF($AB4896&lt;($D$6-$C$6)/($E$6-$C$6),$C$6+SQRT($AB4896*($E$6-$C$6)*($D$6-$C$6)),$E$6-SQRT((1-$AB4896)*($E$6-$C$6)*($E$6-$D$6)))</f>
        <v/>
      </c>
      <c r="O4896" s="14">
        <f>_xlfn.NORM.INV($AC4896,$C$7,$D$7)</f>
        <v/>
      </c>
      <c r="P4896" s="14">
        <f>$C$8+($D$8-$C$8)*$AD4896</f>
        <v/>
      </c>
      <c r="Q4896" s="14">
        <f>$C$9</f>
        <v/>
      </c>
      <c r="R4896" s="14">
        <f>_xlfn.LOGNORM.INV($AF4896,LN($C$10)-0.5*LN(1+($D$10/$C$10)^2),SQRT(LN(1+($D$10/$C$10)^2)))</f>
        <v/>
      </c>
      <c r="S4896" s="14">
        <f>SUM(M4896:R4896)</f>
        <v/>
      </c>
      <c r="AA4896">
        <f>RAND()</f>
        <v/>
      </c>
      <c r="AB4896">
        <f>RAND()</f>
        <v/>
      </c>
      <c r="AC4896">
        <f>RAND()</f>
        <v/>
      </c>
      <c r="AD4896">
        <f>RAND()</f>
        <v/>
      </c>
      <c r="AE4896">
        <f>RAND()</f>
        <v/>
      </c>
      <c r="AF4896">
        <f>RAND()</f>
        <v/>
      </c>
    </row>
    <row r="4897">
      <c r="M4897" s="14">
        <f>_xlfn.BETA.INV($AA4897,1+4*($D$5-$C$5)/($E$5-$C$5),1+4*($E$5-$D$5)/($E$5-$C$5),$C$5,$E$5)</f>
        <v/>
      </c>
      <c r="N4897" s="14">
        <f>IF($AB4897&lt;($D$6-$C$6)/($E$6-$C$6),$C$6+SQRT($AB4897*($E$6-$C$6)*($D$6-$C$6)),$E$6-SQRT((1-$AB4897)*($E$6-$C$6)*($E$6-$D$6)))</f>
        <v/>
      </c>
      <c r="O4897" s="14">
        <f>_xlfn.NORM.INV($AC4897,$C$7,$D$7)</f>
        <v/>
      </c>
      <c r="P4897" s="14">
        <f>$C$8+($D$8-$C$8)*$AD4897</f>
        <v/>
      </c>
      <c r="Q4897" s="14">
        <f>$C$9</f>
        <v/>
      </c>
      <c r="R4897" s="14">
        <f>_xlfn.LOGNORM.INV($AF4897,LN($C$10)-0.5*LN(1+($D$10/$C$10)^2),SQRT(LN(1+($D$10/$C$10)^2)))</f>
        <v/>
      </c>
      <c r="S4897" s="14">
        <f>SUM(M4897:R4897)</f>
        <v/>
      </c>
      <c r="AA4897">
        <f>RAND()</f>
        <v/>
      </c>
      <c r="AB4897">
        <f>RAND()</f>
        <v/>
      </c>
      <c r="AC4897">
        <f>RAND()</f>
        <v/>
      </c>
      <c r="AD4897">
        <f>RAND()</f>
        <v/>
      </c>
      <c r="AE4897">
        <f>RAND()</f>
        <v/>
      </c>
      <c r="AF4897">
        <f>RAND()</f>
        <v/>
      </c>
    </row>
    <row r="4898">
      <c r="M4898" s="14">
        <f>_xlfn.BETA.INV($AA4898,1+4*($D$5-$C$5)/($E$5-$C$5),1+4*($E$5-$D$5)/($E$5-$C$5),$C$5,$E$5)</f>
        <v/>
      </c>
      <c r="N4898" s="14">
        <f>IF($AB4898&lt;($D$6-$C$6)/($E$6-$C$6),$C$6+SQRT($AB4898*($E$6-$C$6)*($D$6-$C$6)),$E$6-SQRT((1-$AB4898)*($E$6-$C$6)*($E$6-$D$6)))</f>
        <v/>
      </c>
      <c r="O4898" s="14">
        <f>_xlfn.NORM.INV($AC4898,$C$7,$D$7)</f>
        <v/>
      </c>
      <c r="P4898" s="14">
        <f>$C$8+($D$8-$C$8)*$AD4898</f>
        <v/>
      </c>
      <c r="Q4898" s="14">
        <f>$C$9</f>
        <v/>
      </c>
      <c r="R4898" s="14">
        <f>_xlfn.LOGNORM.INV($AF4898,LN($C$10)-0.5*LN(1+($D$10/$C$10)^2),SQRT(LN(1+($D$10/$C$10)^2)))</f>
        <v/>
      </c>
      <c r="S4898" s="14">
        <f>SUM(M4898:R4898)</f>
        <v/>
      </c>
      <c r="AA4898">
        <f>RAND()</f>
        <v/>
      </c>
      <c r="AB4898">
        <f>RAND()</f>
        <v/>
      </c>
      <c r="AC4898">
        <f>RAND()</f>
        <v/>
      </c>
      <c r="AD4898">
        <f>RAND()</f>
        <v/>
      </c>
      <c r="AE4898">
        <f>RAND()</f>
        <v/>
      </c>
      <c r="AF4898">
        <f>RAND()</f>
        <v/>
      </c>
    </row>
    <row r="4899">
      <c r="M4899" s="14">
        <f>_xlfn.BETA.INV($AA4899,1+4*($D$5-$C$5)/($E$5-$C$5),1+4*($E$5-$D$5)/($E$5-$C$5),$C$5,$E$5)</f>
        <v/>
      </c>
      <c r="N4899" s="14">
        <f>IF($AB4899&lt;($D$6-$C$6)/($E$6-$C$6),$C$6+SQRT($AB4899*($E$6-$C$6)*($D$6-$C$6)),$E$6-SQRT((1-$AB4899)*($E$6-$C$6)*($E$6-$D$6)))</f>
        <v/>
      </c>
      <c r="O4899" s="14">
        <f>_xlfn.NORM.INV($AC4899,$C$7,$D$7)</f>
        <v/>
      </c>
      <c r="P4899" s="14">
        <f>$C$8+($D$8-$C$8)*$AD4899</f>
        <v/>
      </c>
      <c r="Q4899" s="14">
        <f>$C$9</f>
        <v/>
      </c>
      <c r="R4899" s="14">
        <f>_xlfn.LOGNORM.INV($AF4899,LN($C$10)-0.5*LN(1+($D$10/$C$10)^2),SQRT(LN(1+($D$10/$C$10)^2)))</f>
        <v/>
      </c>
      <c r="S4899" s="14">
        <f>SUM(M4899:R4899)</f>
        <v/>
      </c>
      <c r="AA4899">
        <f>RAND()</f>
        <v/>
      </c>
      <c r="AB4899">
        <f>RAND()</f>
        <v/>
      </c>
      <c r="AC4899">
        <f>RAND()</f>
        <v/>
      </c>
      <c r="AD4899">
        <f>RAND()</f>
        <v/>
      </c>
      <c r="AE4899">
        <f>RAND()</f>
        <v/>
      </c>
      <c r="AF4899">
        <f>RAND()</f>
        <v/>
      </c>
    </row>
    <row r="4900">
      <c r="M4900" s="14">
        <f>_xlfn.BETA.INV($AA4900,1+4*($D$5-$C$5)/($E$5-$C$5),1+4*($E$5-$D$5)/($E$5-$C$5),$C$5,$E$5)</f>
        <v/>
      </c>
      <c r="N4900" s="14">
        <f>IF($AB4900&lt;($D$6-$C$6)/($E$6-$C$6),$C$6+SQRT($AB4900*($E$6-$C$6)*($D$6-$C$6)),$E$6-SQRT((1-$AB4900)*($E$6-$C$6)*($E$6-$D$6)))</f>
        <v/>
      </c>
      <c r="O4900" s="14">
        <f>_xlfn.NORM.INV($AC4900,$C$7,$D$7)</f>
        <v/>
      </c>
      <c r="P4900" s="14">
        <f>$C$8+($D$8-$C$8)*$AD4900</f>
        <v/>
      </c>
      <c r="Q4900" s="14">
        <f>$C$9</f>
        <v/>
      </c>
      <c r="R4900" s="14">
        <f>_xlfn.LOGNORM.INV($AF4900,LN($C$10)-0.5*LN(1+($D$10/$C$10)^2),SQRT(LN(1+($D$10/$C$10)^2)))</f>
        <v/>
      </c>
      <c r="S4900" s="14">
        <f>SUM(M4900:R4900)</f>
        <v/>
      </c>
      <c r="AA4900">
        <f>RAND()</f>
        <v/>
      </c>
      <c r="AB4900">
        <f>RAND()</f>
        <v/>
      </c>
      <c r="AC4900">
        <f>RAND()</f>
        <v/>
      </c>
      <c r="AD4900">
        <f>RAND()</f>
        <v/>
      </c>
      <c r="AE4900">
        <f>RAND()</f>
        <v/>
      </c>
      <c r="AF4900">
        <f>RAND()</f>
        <v/>
      </c>
    </row>
    <row r="4901">
      <c r="M4901" s="14">
        <f>_xlfn.BETA.INV($AA4901,1+4*($D$5-$C$5)/($E$5-$C$5),1+4*($E$5-$D$5)/($E$5-$C$5),$C$5,$E$5)</f>
        <v/>
      </c>
      <c r="N4901" s="14">
        <f>IF($AB4901&lt;($D$6-$C$6)/($E$6-$C$6),$C$6+SQRT($AB4901*($E$6-$C$6)*($D$6-$C$6)),$E$6-SQRT((1-$AB4901)*($E$6-$C$6)*($E$6-$D$6)))</f>
        <v/>
      </c>
      <c r="O4901" s="14">
        <f>_xlfn.NORM.INV($AC4901,$C$7,$D$7)</f>
        <v/>
      </c>
      <c r="P4901" s="14">
        <f>$C$8+($D$8-$C$8)*$AD4901</f>
        <v/>
      </c>
      <c r="Q4901" s="14">
        <f>$C$9</f>
        <v/>
      </c>
      <c r="R4901" s="14">
        <f>_xlfn.LOGNORM.INV($AF4901,LN($C$10)-0.5*LN(1+($D$10/$C$10)^2),SQRT(LN(1+($D$10/$C$10)^2)))</f>
        <v/>
      </c>
      <c r="S4901" s="14">
        <f>SUM(M4901:R4901)</f>
        <v/>
      </c>
      <c r="AA4901">
        <f>RAND()</f>
        <v/>
      </c>
      <c r="AB4901">
        <f>RAND()</f>
        <v/>
      </c>
      <c r="AC4901">
        <f>RAND()</f>
        <v/>
      </c>
      <c r="AD4901">
        <f>RAND()</f>
        <v/>
      </c>
      <c r="AE4901">
        <f>RAND()</f>
        <v/>
      </c>
      <c r="AF4901">
        <f>RAND()</f>
        <v/>
      </c>
    </row>
    <row r="4902">
      <c r="M4902" s="14">
        <f>_xlfn.BETA.INV($AA4902,1+4*($D$5-$C$5)/($E$5-$C$5),1+4*($E$5-$D$5)/($E$5-$C$5),$C$5,$E$5)</f>
        <v/>
      </c>
      <c r="N4902" s="14">
        <f>IF($AB4902&lt;($D$6-$C$6)/($E$6-$C$6),$C$6+SQRT($AB4902*($E$6-$C$6)*($D$6-$C$6)),$E$6-SQRT((1-$AB4902)*($E$6-$C$6)*($E$6-$D$6)))</f>
        <v/>
      </c>
      <c r="O4902" s="14">
        <f>_xlfn.NORM.INV($AC4902,$C$7,$D$7)</f>
        <v/>
      </c>
      <c r="P4902" s="14">
        <f>$C$8+($D$8-$C$8)*$AD4902</f>
        <v/>
      </c>
      <c r="Q4902" s="14">
        <f>$C$9</f>
        <v/>
      </c>
      <c r="R4902" s="14">
        <f>_xlfn.LOGNORM.INV($AF4902,LN($C$10)-0.5*LN(1+($D$10/$C$10)^2),SQRT(LN(1+($D$10/$C$10)^2)))</f>
        <v/>
      </c>
      <c r="S4902" s="14">
        <f>SUM(M4902:R4902)</f>
        <v/>
      </c>
      <c r="AA4902">
        <f>RAND()</f>
        <v/>
      </c>
      <c r="AB4902">
        <f>RAND()</f>
        <v/>
      </c>
      <c r="AC4902">
        <f>RAND()</f>
        <v/>
      </c>
      <c r="AD4902">
        <f>RAND()</f>
        <v/>
      </c>
      <c r="AE4902">
        <f>RAND()</f>
        <v/>
      </c>
      <c r="AF4902">
        <f>RAND()</f>
        <v/>
      </c>
    </row>
    <row r="4903">
      <c r="M4903" s="14">
        <f>_xlfn.BETA.INV($AA4903,1+4*($D$5-$C$5)/($E$5-$C$5),1+4*($E$5-$D$5)/($E$5-$C$5),$C$5,$E$5)</f>
        <v/>
      </c>
      <c r="N4903" s="14">
        <f>IF($AB4903&lt;($D$6-$C$6)/($E$6-$C$6),$C$6+SQRT($AB4903*($E$6-$C$6)*($D$6-$C$6)),$E$6-SQRT((1-$AB4903)*($E$6-$C$6)*($E$6-$D$6)))</f>
        <v/>
      </c>
      <c r="O4903" s="14">
        <f>_xlfn.NORM.INV($AC4903,$C$7,$D$7)</f>
        <v/>
      </c>
      <c r="P4903" s="14">
        <f>$C$8+($D$8-$C$8)*$AD4903</f>
        <v/>
      </c>
      <c r="Q4903" s="14">
        <f>$C$9</f>
        <v/>
      </c>
      <c r="R4903" s="14">
        <f>_xlfn.LOGNORM.INV($AF4903,LN($C$10)-0.5*LN(1+($D$10/$C$10)^2),SQRT(LN(1+($D$10/$C$10)^2)))</f>
        <v/>
      </c>
      <c r="S4903" s="14">
        <f>SUM(M4903:R4903)</f>
        <v/>
      </c>
      <c r="AA4903">
        <f>RAND()</f>
        <v/>
      </c>
      <c r="AB4903">
        <f>RAND()</f>
        <v/>
      </c>
      <c r="AC4903">
        <f>RAND()</f>
        <v/>
      </c>
      <c r="AD4903">
        <f>RAND()</f>
        <v/>
      </c>
      <c r="AE4903">
        <f>RAND()</f>
        <v/>
      </c>
      <c r="AF4903">
        <f>RAND()</f>
        <v/>
      </c>
    </row>
    <row r="4904">
      <c r="M4904" s="14">
        <f>_xlfn.BETA.INV($AA4904,1+4*($D$5-$C$5)/($E$5-$C$5),1+4*($E$5-$D$5)/($E$5-$C$5),$C$5,$E$5)</f>
        <v/>
      </c>
      <c r="N4904" s="14">
        <f>IF($AB4904&lt;($D$6-$C$6)/($E$6-$C$6),$C$6+SQRT($AB4904*($E$6-$C$6)*($D$6-$C$6)),$E$6-SQRT((1-$AB4904)*($E$6-$C$6)*($E$6-$D$6)))</f>
        <v/>
      </c>
      <c r="O4904" s="14">
        <f>_xlfn.NORM.INV($AC4904,$C$7,$D$7)</f>
        <v/>
      </c>
      <c r="P4904" s="14">
        <f>$C$8+($D$8-$C$8)*$AD4904</f>
        <v/>
      </c>
      <c r="Q4904" s="14">
        <f>$C$9</f>
        <v/>
      </c>
      <c r="R4904" s="14">
        <f>_xlfn.LOGNORM.INV($AF4904,LN($C$10)-0.5*LN(1+($D$10/$C$10)^2),SQRT(LN(1+($D$10/$C$10)^2)))</f>
        <v/>
      </c>
      <c r="S4904" s="14">
        <f>SUM(M4904:R4904)</f>
        <v/>
      </c>
      <c r="AA4904">
        <f>RAND()</f>
        <v/>
      </c>
      <c r="AB4904">
        <f>RAND()</f>
        <v/>
      </c>
      <c r="AC4904">
        <f>RAND()</f>
        <v/>
      </c>
      <c r="AD4904">
        <f>RAND()</f>
        <v/>
      </c>
      <c r="AE4904">
        <f>RAND()</f>
        <v/>
      </c>
      <c r="AF4904">
        <f>RAND()</f>
        <v/>
      </c>
    </row>
    <row r="4905">
      <c r="M4905" s="14">
        <f>_xlfn.BETA.INV($AA4905,1+4*($D$5-$C$5)/($E$5-$C$5),1+4*($E$5-$D$5)/($E$5-$C$5),$C$5,$E$5)</f>
        <v/>
      </c>
      <c r="N4905" s="14">
        <f>IF($AB4905&lt;($D$6-$C$6)/($E$6-$C$6),$C$6+SQRT($AB4905*($E$6-$C$6)*($D$6-$C$6)),$E$6-SQRT((1-$AB4905)*($E$6-$C$6)*($E$6-$D$6)))</f>
        <v/>
      </c>
      <c r="O4905" s="14">
        <f>_xlfn.NORM.INV($AC4905,$C$7,$D$7)</f>
        <v/>
      </c>
      <c r="P4905" s="14">
        <f>$C$8+($D$8-$C$8)*$AD4905</f>
        <v/>
      </c>
      <c r="Q4905" s="14">
        <f>$C$9</f>
        <v/>
      </c>
      <c r="R4905" s="14">
        <f>_xlfn.LOGNORM.INV($AF4905,LN($C$10)-0.5*LN(1+($D$10/$C$10)^2),SQRT(LN(1+($D$10/$C$10)^2)))</f>
        <v/>
      </c>
      <c r="S4905" s="14">
        <f>SUM(M4905:R4905)</f>
        <v/>
      </c>
      <c r="AA4905">
        <f>RAND()</f>
        <v/>
      </c>
      <c r="AB4905">
        <f>RAND()</f>
        <v/>
      </c>
      <c r="AC4905">
        <f>RAND()</f>
        <v/>
      </c>
      <c r="AD4905">
        <f>RAND()</f>
        <v/>
      </c>
      <c r="AE4905">
        <f>RAND()</f>
        <v/>
      </c>
      <c r="AF4905">
        <f>RAND()</f>
        <v/>
      </c>
    </row>
    <row r="4906">
      <c r="M4906" s="14">
        <f>_xlfn.BETA.INV($AA4906,1+4*($D$5-$C$5)/($E$5-$C$5),1+4*($E$5-$D$5)/($E$5-$C$5),$C$5,$E$5)</f>
        <v/>
      </c>
      <c r="N4906" s="14">
        <f>IF($AB4906&lt;($D$6-$C$6)/($E$6-$C$6),$C$6+SQRT($AB4906*($E$6-$C$6)*($D$6-$C$6)),$E$6-SQRT((1-$AB4906)*($E$6-$C$6)*($E$6-$D$6)))</f>
        <v/>
      </c>
      <c r="O4906" s="14">
        <f>_xlfn.NORM.INV($AC4906,$C$7,$D$7)</f>
        <v/>
      </c>
      <c r="P4906" s="14">
        <f>$C$8+($D$8-$C$8)*$AD4906</f>
        <v/>
      </c>
      <c r="Q4906" s="14">
        <f>$C$9</f>
        <v/>
      </c>
      <c r="R4906" s="14">
        <f>_xlfn.LOGNORM.INV($AF4906,LN($C$10)-0.5*LN(1+($D$10/$C$10)^2),SQRT(LN(1+($D$10/$C$10)^2)))</f>
        <v/>
      </c>
      <c r="S4906" s="14">
        <f>SUM(M4906:R4906)</f>
        <v/>
      </c>
      <c r="AA4906">
        <f>RAND()</f>
        <v/>
      </c>
      <c r="AB4906">
        <f>RAND()</f>
        <v/>
      </c>
      <c r="AC4906">
        <f>RAND()</f>
        <v/>
      </c>
      <c r="AD4906">
        <f>RAND()</f>
        <v/>
      </c>
      <c r="AE4906">
        <f>RAND()</f>
        <v/>
      </c>
      <c r="AF4906">
        <f>RAND()</f>
        <v/>
      </c>
    </row>
    <row r="4907">
      <c r="M4907" s="14">
        <f>_xlfn.BETA.INV($AA4907,1+4*($D$5-$C$5)/($E$5-$C$5),1+4*($E$5-$D$5)/($E$5-$C$5),$C$5,$E$5)</f>
        <v/>
      </c>
      <c r="N4907" s="14">
        <f>IF($AB4907&lt;($D$6-$C$6)/($E$6-$C$6),$C$6+SQRT($AB4907*($E$6-$C$6)*($D$6-$C$6)),$E$6-SQRT((1-$AB4907)*($E$6-$C$6)*($E$6-$D$6)))</f>
        <v/>
      </c>
      <c r="O4907" s="14">
        <f>_xlfn.NORM.INV($AC4907,$C$7,$D$7)</f>
        <v/>
      </c>
      <c r="P4907" s="14">
        <f>$C$8+($D$8-$C$8)*$AD4907</f>
        <v/>
      </c>
      <c r="Q4907" s="14">
        <f>$C$9</f>
        <v/>
      </c>
      <c r="R4907" s="14">
        <f>_xlfn.LOGNORM.INV($AF4907,LN($C$10)-0.5*LN(1+($D$10/$C$10)^2),SQRT(LN(1+($D$10/$C$10)^2)))</f>
        <v/>
      </c>
      <c r="S4907" s="14">
        <f>SUM(M4907:R4907)</f>
        <v/>
      </c>
      <c r="AA4907">
        <f>RAND()</f>
        <v/>
      </c>
      <c r="AB4907">
        <f>RAND()</f>
        <v/>
      </c>
      <c r="AC4907">
        <f>RAND()</f>
        <v/>
      </c>
      <c r="AD4907">
        <f>RAND()</f>
        <v/>
      </c>
      <c r="AE4907">
        <f>RAND()</f>
        <v/>
      </c>
      <c r="AF4907">
        <f>RAND()</f>
        <v/>
      </c>
    </row>
    <row r="4908">
      <c r="M4908" s="14">
        <f>_xlfn.BETA.INV($AA4908,1+4*($D$5-$C$5)/($E$5-$C$5),1+4*($E$5-$D$5)/($E$5-$C$5),$C$5,$E$5)</f>
        <v/>
      </c>
      <c r="N4908" s="14">
        <f>IF($AB4908&lt;($D$6-$C$6)/($E$6-$C$6),$C$6+SQRT($AB4908*($E$6-$C$6)*($D$6-$C$6)),$E$6-SQRT((1-$AB4908)*($E$6-$C$6)*($E$6-$D$6)))</f>
        <v/>
      </c>
      <c r="O4908" s="14">
        <f>_xlfn.NORM.INV($AC4908,$C$7,$D$7)</f>
        <v/>
      </c>
      <c r="P4908" s="14">
        <f>$C$8+($D$8-$C$8)*$AD4908</f>
        <v/>
      </c>
      <c r="Q4908" s="14">
        <f>$C$9</f>
        <v/>
      </c>
      <c r="R4908" s="14">
        <f>_xlfn.LOGNORM.INV($AF4908,LN($C$10)-0.5*LN(1+($D$10/$C$10)^2),SQRT(LN(1+($D$10/$C$10)^2)))</f>
        <v/>
      </c>
      <c r="S4908" s="14">
        <f>SUM(M4908:R4908)</f>
        <v/>
      </c>
      <c r="AA4908">
        <f>RAND()</f>
        <v/>
      </c>
      <c r="AB4908">
        <f>RAND()</f>
        <v/>
      </c>
      <c r="AC4908">
        <f>RAND()</f>
        <v/>
      </c>
      <c r="AD4908">
        <f>RAND()</f>
        <v/>
      </c>
      <c r="AE4908">
        <f>RAND()</f>
        <v/>
      </c>
      <c r="AF4908">
        <f>RAND()</f>
        <v/>
      </c>
    </row>
    <row r="4909">
      <c r="M4909" s="14">
        <f>_xlfn.BETA.INV($AA4909,1+4*($D$5-$C$5)/($E$5-$C$5),1+4*($E$5-$D$5)/($E$5-$C$5),$C$5,$E$5)</f>
        <v/>
      </c>
      <c r="N4909" s="14">
        <f>IF($AB4909&lt;($D$6-$C$6)/($E$6-$C$6),$C$6+SQRT($AB4909*($E$6-$C$6)*($D$6-$C$6)),$E$6-SQRT((1-$AB4909)*($E$6-$C$6)*($E$6-$D$6)))</f>
        <v/>
      </c>
      <c r="O4909" s="14">
        <f>_xlfn.NORM.INV($AC4909,$C$7,$D$7)</f>
        <v/>
      </c>
      <c r="P4909" s="14">
        <f>$C$8+($D$8-$C$8)*$AD4909</f>
        <v/>
      </c>
      <c r="Q4909" s="14">
        <f>$C$9</f>
        <v/>
      </c>
      <c r="R4909" s="14">
        <f>_xlfn.LOGNORM.INV($AF4909,LN($C$10)-0.5*LN(1+($D$10/$C$10)^2),SQRT(LN(1+($D$10/$C$10)^2)))</f>
        <v/>
      </c>
      <c r="S4909" s="14">
        <f>SUM(M4909:R4909)</f>
        <v/>
      </c>
      <c r="AA4909">
        <f>RAND()</f>
        <v/>
      </c>
      <c r="AB4909">
        <f>RAND()</f>
        <v/>
      </c>
      <c r="AC4909">
        <f>RAND()</f>
        <v/>
      </c>
      <c r="AD4909">
        <f>RAND()</f>
        <v/>
      </c>
      <c r="AE4909">
        <f>RAND()</f>
        <v/>
      </c>
      <c r="AF4909">
        <f>RAND()</f>
        <v/>
      </c>
    </row>
    <row r="4910">
      <c r="M4910" s="14">
        <f>_xlfn.BETA.INV($AA4910,1+4*($D$5-$C$5)/($E$5-$C$5),1+4*($E$5-$D$5)/($E$5-$C$5),$C$5,$E$5)</f>
        <v/>
      </c>
      <c r="N4910" s="14">
        <f>IF($AB4910&lt;($D$6-$C$6)/($E$6-$C$6),$C$6+SQRT($AB4910*($E$6-$C$6)*($D$6-$C$6)),$E$6-SQRT((1-$AB4910)*($E$6-$C$6)*($E$6-$D$6)))</f>
        <v/>
      </c>
      <c r="O4910" s="14">
        <f>_xlfn.NORM.INV($AC4910,$C$7,$D$7)</f>
        <v/>
      </c>
      <c r="P4910" s="14">
        <f>$C$8+($D$8-$C$8)*$AD4910</f>
        <v/>
      </c>
      <c r="Q4910" s="14">
        <f>$C$9</f>
        <v/>
      </c>
      <c r="R4910" s="14">
        <f>_xlfn.LOGNORM.INV($AF4910,LN($C$10)-0.5*LN(1+($D$10/$C$10)^2),SQRT(LN(1+($D$10/$C$10)^2)))</f>
        <v/>
      </c>
      <c r="S4910" s="14">
        <f>SUM(M4910:R4910)</f>
        <v/>
      </c>
      <c r="AA4910">
        <f>RAND()</f>
        <v/>
      </c>
      <c r="AB4910">
        <f>RAND()</f>
        <v/>
      </c>
      <c r="AC4910">
        <f>RAND()</f>
        <v/>
      </c>
      <c r="AD4910">
        <f>RAND()</f>
        <v/>
      </c>
      <c r="AE4910">
        <f>RAND()</f>
        <v/>
      </c>
      <c r="AF4910">
        <f>RAND()</f>
        <v/>
      </c>
    </row>
    <row r="4911">
      <c r="M4911" s="14">
        <f>_xlfn.BETA.INV($AA4911,1+4*($D$5-$C$5)/($E$5-$C$5),1+4*($E$5-$D$5)/($E$5-$C$5),$C$5,$E$5)</f>
        <v/>
      </c>
      <c r="N4911" s="14">
        <f>IF($AB4911&lt;($D$6-$C$6)/($E$6-$C$6),$C$6+SQRT($AB4911*($E$6-$C$6)*($D$6-$C$6)),$E$6-SQRT((1-$AB4911)*($E$6-$C$6)*($E$6-$D$6)))</f>
        <v/>
      </c>
      <c r="O4911" s="14">
        <f>_xlfn.NORM.INV($AC4911,$C$7,$D$7)</f>
        <v/>
      </c>
      <c r="P4911" s="14">
        <f>$C$8+($D$8-$C$8)*$AD4911</f>
        <v/>
      </c>
      <c r="Q4911" s="14">
        <f>$C$9</f>
        <v/>
      </c>
      <c r="R4911" s="14">
        <f>_xlfn.LOGNORM.INV($AF4911,LN($C$10)-0.5*LN(1+($D$10/$C$10)^2),SQRT(LN(1+($D$10/$C$10)^2)))</f>
        <v/>
      </c>
      <c r="S4911" s="14">
        <f>SUM(M4911:R4911)</f>
        <v/>
      </c>
      <c r="AA4911">
        <f>RAND()</f>
        <v/>
      </c>
      <c r="AB4911">
        <f>RAND()</f>
        <v/>
      </c>
      <c r="AC4911">
        <f>RAND()</f>
        <v/>
      </c>
      <c r="AD4911">
        <f>RAND()</f>
        <v/>
      </c>
      <c r="AE4911">
        <f>RAND()</f>
        <v/>
      </c>
      <c r="AF4911">
        <f>RAND()</f>
        <v/>
      </c>
    </row>
    <row r="4912">
      <c r="M4912" s="14">
        <f>_xlfn.BETA.INV($AA4912,1+4*($D$5-$C$5)/($E$5-$C$5),1+4*($E$5-$D$5)/($E$5-$C$5),$C$5,$E$5)</f>
        <v/>
      </c>
      <c r="N4912" s="14">
        <f>IF($AB4912&lt;($D$6-$C$6)/($E$6-$C$6),$C$6+SQRT($AB4912*($E$6-$C$6)*($D$6-$C$6)),$E$6-SQRT((1-$AB4912)*($E$6-$C$6)*($E$6-$D$6)))</f>
        <v/>
      </c>
      <c r="O4912" s="14">
        <f>_xlfn.NORM.INV($AC4912,$C$7,$D$7)</f>
        <v/>
      </c>
      <c r="P4912" s="14">
        <f>$C$8+($D$8-$C$8)*$AD4912</f>
        <v/>
      </c>
      <c r="Q4912" s="14">
        <f>$C$9</f>
        <v/>
      </c>
      <c r="R4912" s="14">
        <f>_xlfn.LOGNORM.INV($AF4912,LN($C$10)-0.5*LN(1+($D$10/$C$10)^2),SQRT(LN(1+($D$10/$C$10)^2)))</f>
        <v/>
      </c>
      <c r="S4912" s="14">
        <f>SUM(M4912:R4912)</f>
        <v/>
      </c>
      <c r="AA4912">
        <f>RAND()</f>
        <v/>
      </c>
      <c r="AB4912">
        <f>RAND()</f>
        <v/>
      </c>
      <c r="AC4912">
        <f>RAND()</f>
        <v/>
      </c>
      <c r="AD4912">
        <f>RAND()</f>
        <v/>
      </c>
      <c r="AE4912">
        <f>RAND()</f>
        <v/>
      </c>
      <c r="AF4912">
        <f>RAND()</f>
        <v/>
      </c>
    </row>
    <row r="4913">
      <c r="M4913" s="14">
        <f>_xlfn.BETA.INV($AA4913,1+4*($D$5-$C$5)/($E$5-$C$5),1+4*($E$5-$D$5)/($E$5-$C$5),$C$5,$E$5)</f>
        <v/>
      </c>
      <c r="N4913" s="14">
        <f>IF($AB4913&lt;($D$6-$C$6)/($E$6-$C$6),$C$6+SQRT($AB4913*($E$6-$C$6)*($D$6-$C$6)),$E$6-SQRT((1-$AB4913)*($E$6-$C$6)*($E$6-$D$6)))</f>
        <v/>
      </c>
      <c r="O4913" s="14">
        <f>_xlfn.NORM.INV($AC4913,$C$7,$D$7)</f>
        <v/>
      </c>
      <c r="P4913" s="14">
        <f>$C$8+($D$8-$C$8)*$AD4913</f>
        <v/>
      </c>
      <c r="Q4913" s="14">
        <f>$C$9</f>
        <v/>
      </c>
      <c r="R4913" s="14">
        <f>_xlfn.LOGNORM.INV($AF4913,LN($C$10)-0.5*LN(1+($D$10/$C$10)^2),SQRT(LN(1+($D$10/$C$10)^2)))</f>
        <v/>
      </c>
      <c r="S4913" s="14">
        <f>SUM(M4913:R4913)</f>
        <v/>
      </c>
      <c r="AA4913">
        <f>RAND()</f>
        <v/>
      </c>
      <c r="AB4913">
        <f>RAND()</f>
        <v/>
      </c>
      <c r="AC4913">
        <f>RAND()</f>
        <v/>
      </c>
      <c r="AD4913">
        <f>RAND()</f>
        <v/>
      </c>
      <c r="AE4913">
        <f>RAND()</f>
        <v/>
      </c>
      <c r="AF4913">
        <f>RAND()</f>
        <v/>
      </c>
    </row>
    <row r="4914">
      <c r="M4914" s="14">
        <f>_xlfn.BETA.INV($AA4914,1+4*($D$5-$C$5)/($E$5-$C$5),1+4*($E$5-$D$5)/($E$5-$C$5),$C$5,$E$5)</f>
        <v/>
      </c>
      <c r="N4914" s="14">
        <f>IF($AB4914&lt;($D$6-$C$6)/($E$6-$C$6),$C$6+SQRT($AB4914*($E$6-$C$6)*($D$6-$C$6)),$E$6-SQRT((1-$AB4914)*($E$6-$C$6)*($E$6-$D$6)))</f>
        <v/>
      </c>
      <c r="O4914" s="14">
        <f>_xlfn.NORM.INV($AC4914,$C$7,$D$7)</f>
        <v/>
      </c>
      <c r="P4914" s="14">
        <f>$C$8+($D$8-$C$8)*$AD4914</f>
        <v/>
      </c>
      <c r="Q4914" s="14">
        <f>$C$9</f>
        <v/>
      </c>
      <c r="R4914" s="14">
        <f>_xlfn.LOGNORM.INV($AF4914,LN($C$10)-0.5*LN(1+($D$10/$C$10)^2),SQRT(LN(1+($D$10/$C$10)^2)))</f>
        <v/>
      </c>
      <c r="S4914" s="14">
        <f>SUM(M4914:R4914)</f>
        <v/>
      </c>
      <c r="AA4914">
        <f>RAND()</f>
        <v/>
      </c>
      <c r="AB4914">
        <f>RAND()</f>
        <v/>
      </c>
      <c r="AC4914">
        <f>RAND()</f>
        <v/>
      </c>
      <c r="AD4914">
        <f>RAND()</f>
        <v/>
      </c>
      <c r="AE4914">
        <f>RAND()</f>
        <v/>
      </c>
      <c r="AF4914">
        <f>RAND()</f>
        <v/>
      </c>
    </row>
    <row r="4915">
      <c r="M4915" s="14">
        <f>_xlfn.BETA.INV($AA4915,1+4*($D$5-$C$5)/($E$5-$C$5),1+4*($E$5-$D$5)/($E$5-$C$5),$C$5,$E$5)</f>
        <v/>
      </c>
      <c r="N4915" s="14">
        <f>IF($AB4915&lt;($D$6-$C$6)/($E$6-$C$6),$C$6+SQRT($AB4915*($E$6-$C$6)*($D$6-$C$6)),$E$6-SQRT((1-$AB4915)*($E$6-$C$6)*($E$6-$D$6)))</f>
        <v/>
      </c>
      <c r="O4915" s="14">
        <f>_xlfn.NORM.INV($AC4915,$C$7,$D$7)</f>
        <v/>
      </c>
      <c r="P4915" s="14">
        <f>$C$8+($D$8-$C$8)*$AD4915</f>
        <v/>
      </c>
      <c r="Q4915" s="14">
        <f>$C$9</f>
        <v/>
      </c>
      <c r="R4915" s="14">
        <f>_xlfn.LOGNORM.INV($AF4915,LN($C$10)-0.5*LN(1+($D$10/$C$10)^2),SQRT(LN(1+($D$10/$C$10)^2)))</f>
        <v/>
      </c>
      <c r="S4915" s="14">
        <f>SUM(M4915:R4915)</f>
        <v/>
      </c>
      <c r="AA4915">
        <f>RAND()</f>
        <v/>
      </c>
      <c r="AB4915">
        <f>RAND()</f>
        <v/>
      </c>
      <c r="AC4915">
        <f>RAND()</f>
        <v/>
      </c>
      <c r="AD4915">
        <f>RAND()</f>
        <v/>
      </c>
      <c r="AE4915">
        <f>RAND()</f>
        <v/>
      </c>
      <c r="AF4915">
        <f>RAND()</f>
        <v/>
      </c>
    </row>
    <row r="4916">
      <c r="M4916" s="14">
        <f>_xlfn.BETA.INV($AA4916,1+4*($D$5-$C$5)/($E$5-$C$5),1+4*($E$5-$D$5)/($E$5-$C$5),$C$5,$E$5)</f>
        <v/>
      </c>
      <c r="N4916" s="14">
        <f>IF($AB4916&lt;($D$6-$C$6)/($E$6-$C$6),$C$6+SQRT($AB4916*($E$6-$C$6)*($D$6-$C$6)),$E$6-SQRT((1-$AB4916)*($E$6-$C$6)*($E$6-$D$6)))</f>
        <v/>
      </c>
      <c r="O4916" s="14">
        <f>_xlfn.NORM.INV($AC4916,$C$7,$D$7)</f>
        <v/>
      </c>
      <c r="P4916" s="14">
        <f>$C$8+($D$8-$C$8)*$AD4916</f>
        <v/>
      </c>
      <c r="Q4916" s="14">
        <f>$C$9</f>
        <v/>
      </c>
      <c r="R4916" s="14">
        <f>_xlfn.LOGNORM.INV($AF4916,LN($C$10)-0.5*LN(1+($D$10/$C$10)^2),SQRT(LN(1+($D$10/$C$10)^2)))</f>
        <v/>
      </c>
      <c r="S4916" s="14">
        <f>SUM(M4916:R4916)</f>
        <v/>
      </c>
      <c r="AA4916">
        <f>RAND()</f>
        <v/>
      </c>
      <c r="AB4916">
        <f>RAND()</f>
        <v/>
      </c>
      <c r="AC4916">
        <f>RAND()</f>
        <v/>
      </c>
      <c r="AD4916">
        <f>RAND()</f>
        <v/>
      </c>
      <c r="AE4916">
        <f>RAND()</f>
        <v/>
      </c>
      <c r="AF4916">
        <f>RAND()</f>
        <v/>
      </c>
    </row>
    <row r="4917">
      <c r="M4917" s="14">
        <f>_xlfn.BETA.INV($AA4917,1+4*($D$5-$C$5)/($E$5-$C$5),1+4*($E$5-$D$5)/($E$5-$C$5),$C$5,$E$5)</f>
        <v/>
      </c>
      <c r="N4917" s="14">
        <f>IF($AB4917&lt;($D$6-$C$6)/($E$6-$C$6),$C$6+SQRT($AB4917*($E$6-$C$6)*($D$6-$C$6)),$E$6-SQRT((1-$AB4917)*($E$6-$C$6)*($E$6-$D$6)))</f>
        <v/>
      </c>
      <c r="O4917" s="14">
        <f>_xlfn.NORM.INV($AC4917,$C$7,$D$7)</f>
        <v/>
      </c>
      <c r="P4917" s="14">
        <f>$C$8+($D$8-$C$8)*$AD4917</f>
        <v/>
      </c>
      <c r="Q4917" s="14">
        <f>$C$9</f>
        <v/>
      </c>
      <c r="R4917" s="14">
        <f>_xlfn.LOGNORM.INV($AF4917,LN($C$10)-0.5*LN(1+($D$10/$C$10)^2),SQRT(LN(1+($D$10/$C$10)^2)))</f>
        <v/>
      </c>
      <c r="S4917" s="14">
        <f>SUM(M4917:R4917)</f>
        <v/>
      </c>
      <c r="AA4917">
        <f>RAND()</f>
        <v/>
      </c>
      <c r="AB4917">
        <f>RAND()</f>
        <v/>
      </c>
      <c r="AC4917">
        <f>RAND()</f>
        <v/>
      </c>
      <c r="AD4917">
        <f>RAND()</f>
        <v/>
      </c>
      <c r="AE4917">
        <f>RAND()</f>
        <v/>
      </c>
      <c r="AF4917">
        <f>RAND()</f>
        <v/>
      </c>
    </row>
    <row r="4918">
      <c r="M4918" s="14">
        <f>_xlfn.BETA.INV($AA4918,1+4*($D$5-$C$5)/($E$5-$C$5),1+4*($E$5-$D$5)/($E$5-$C$5),$C$5,$E$5)</f>
        <v/>
      </c>
      <c r="N4918" s="14">
        <f>IF($AB4918&lt;($D$6-$C$6)/($E$6-$C$6),$C$6+SQRT($AB4918*($E$6-$C$6)*($D$6-$C$6)),$E$6-SQRT((1-$AB4918)*($E$6-$C$6)*($E$6-$D$6)))</f>
        <v/>
      </c>
      <c r="O4918" s="14">
        <f>_xlfn.NORM.INV($AC4918,$C$7,$D$7)</f>
        <v/>
      </c>
      <c r="P4918" s="14">
        <f>$C$8+($D$8-$C$8)*$AD4918</f>
        <v/>
      </c>
      <c r="Q4918" s="14">
        <f>$C$9</f>
        <v/>
      </c>
      <c r="R4918" s="14">
        <f>_xlfn.LOGNORM.INV($AF4918,LN($C$10)-0.5*LN(1+($D$10/$C$10)^2),SQRT(LN(1+($D$10/$C$10)^2)))</f>
        <v/>
      </c>
      <c r="S4918" s="14">
        <f>SUM(M4918:R4918)</f>
        <v/>
      </c>
      <c r="AA4918">
        <f>RAND()</f>
        <v/>
      </c>
      <c r="AB4918">
        <f>RAND()</f>
        <v/>
      </c>
      <c r="AC4918">
        <f>RAND()</f>
        <v/>
      </c>
      <c r="AD4918">
        <f>RAND()</f>
        <v/>
      </c>
      <c r="AE4918">
        <f>RAND()</f>
        <v/>
      </c>
      <c r="AF4918">
        <f>RAND()</f>
        <v/>
      </c>
    </row>
    <row r="4919">
      <c r="M4919" s="14">
        <f>_xlfn.BETA.INV($AA4919,1+4*($D$5-$C$5)/($E$5-$C$5),1+4*($E$5-$D$5)/($E$5-$C$5),$C$5,$E$5)</f>
        <v/>
      </c>
      <c r="N4919" s="14">
        <f>IF($AB4919&lt;($D$6-$C$6)/($E$6-$C$6),$C$6+SQRT($AB4919*($E$6-$C$6)*($D$6-$C$6)),$E$6-SQRT((1-$AB4919)*($E$6-$C$6)*($E$6-$D$6)))</f>
        <v/>
      </c>
      <c r="O4919" s="14">
        <f>_xlfn.NORM.INV($AC4919,$C$7,$D$7)</f>
        <v/>
      </c>
      <c r="P4919" s="14">
        <f>$C$8+($D$8-$C$8)*$AD4919</f>
        <v/>
      </c>
      <c r="Q4919" s="14">
        <f>$C$9</f>
        <v/>
      </c>
      <c r="R4919" s="14">
        <f>_xlfn.LOGNORM.INV($AF4919,LN($C$10)-0.5*LN(1+($D$10/$C$10)^2),SQRT(LN(1+($D$10/$C$10)^2)))</f>
        <v/>
      </c>
      <c r="S4919" s="14">
        <f>SUM(M4919:R4919)</f>
        <v/>
      </c>
      <c r="AA4919">
        <f>RAND()</f>
        <v/>
      </c>
      <c r="AB4919">
        <f>RAND()</f>
        <v/>
      </c>
      <c r="AC4919">
        <f>RAND()</f>
        <v/>
      </c>
      <c r="AD4919">
        <f>RAND()</f>
        <v/>
      </c>
      <c r="AE4919">
        <f>RAND()</f>
        <v/>
      </c>
      <c r="AF4919">
        <f>RAND()</f>
        <v/>
      </c>
    </row>
    <row r="4920">
      <c r="M4920" s="14">
        <f>_xlfn.BETA.INV($AA4920,1+4*($D$5-$C$5)/($E$5-$C$5),1+4*($E$5-$D$5)/($E$5-$C$5),$C$5,$E$5)</f>
        <v/>
      </c>
      <c r="N4920" s="14">
        <f>IF($AB4920&lt;($D$6-$C$6)/($E$6-$C$6),$C$6+SQRT($AB4920*($E$6-$C$6)*($D$6-$C$6)),$E$6-SQRT((1-$AB4920)*($E$6-$C$6)*($E$6-$D$6)))</f>
        <v/>
      </c>
      <c r="O4920" s="14">
        <f>_xlfn.NORM.INV($AC4920,$C$7,$D$7)</f>
        <v/>
      </c>
      <c r="P4920" s="14">
        <f>$C$8+($D$8-$C$8)*$AD4920</f>
        <v/>
      </c>
      <c r="Q4920" s="14">
        <f>$C$9</f>
        <v/>
      </c>
      <c r="R4920" s="14">
        <f>_xlfn.LOGNORM.INV($AF4920,LN($C$10)-0.5*LN(1+($D$10/$C$10)^2),SQRT(LN(1+($D$10/$C$10)^2)))</f>
        <v/>
      </c>
      <c r="S4920" s="14">
        <f>SUM(M4920:R4920)</f>
        <v/>
      </c>
      <c r="AA4920">
        <f>RAND()</f>
        <v/>
      </c>
      <c r="AB4920">
        <f>RAND()</f>
        <v/>
      </c>
      <c r="AC4920">
        <f>RAND()</f>
        <v/>
      </c>
      <c r="AD4920">
        <f>RAND()</f>
        <v/>
      </c>
      <c r="AE4920">
        <f>RAND()</f>
        <v/>
      </c>
      <c r="AF4920">
        <f>RAND()</f>
        <v/>
      </c>
    </row>
    <row r="4921">
      <c r="M4921" s="14">
        <f>_xlfn.BETA.INV($AA4921,1+4*($D$5-$C$5)/($E$5-$C$5),1+4*($E$5-$D$5)/($E$5-$C$5),$C$5,$E$5)</f>
        <v/>
      </c>
      <c r="N4921" s="14">
        <f>IF($AB4921&lt;($D$6-$C$6)/($E$6-$C$6),$C$6+SQRT($AB4921*($E$6-$C$6)*($D$6-$C$6)),$E$6-SQRT((1-$AB4921)*($E$6-$C$6)*($E$6-$D$6)))</f>
        <v/>
      </c>
      <c r="O4921" s="14">
        <f>_xlfn.NORM.INV($AC4921,$C$7,$D$7)</f>
        <v/>
      </c>
      <c r="P4921" s="14">
        <f>$C$8+($D$8-$C$8)*$AD4921</f>
        <v/>
      </c>
      <c r="Q4921" s="14">
        <f>$C$9</f>
        <v/>
      </c>
      <c r="R4921" s="14">
        <f>_xlfn.LOGNORM.INV($AF4921,LN($C$10)-0.5*LN(1+($D$10/$C$10)^2),SQRT(LN(1+($D$10/$C$10)^2)))</f>
        <v/>
      </c>
      <c r="S4921" s="14">
        <f>SUM(M4921:R4921)</f>
        <v/>
      </c>
      <c r="AA4921">
        <f>RAND()</f>
        <v/>
      </c>
      <c r="AB4921">
        <f>RAND()</f>
        <v/>
      </c>
      <c r="AC4921">
        <f>RAND()</f>
        <v/>
      </c>
      <c r="AD4921">
        <f>RAND()</f>
        <v/>
      </c>
      <c r="AE4921">
        <f>RAND()</f>
        <v/>
      </c>
      <c r="AF4921">
        <f>RAND()</f>
        <v/>
      </c>
    </row>
    <row r="4922">
      <c r="M4922" s="14">
        <f>_xlfn.BETA.INV($AA4922,1+4*($D$5-$C$5)/($E$5-$C$5),1+4*($E$5-$D$5)/($E$5-$C$5),$C$5,$E$5)</f>
        <v/>
      </c>
      <c r="N4922" s="14">
        <f>IF($AB4922&lt;($D$6-$C$6)/($E$6-$C$6),$C$6+SQRT($AB4922*($E$6-$C$6)*($D$6-$C$6)),$E$6-SQRT((1-$AB4922)*($E$6-$C$6)*($E$6-$D$6)))</f>
        <v/>
      </c>
      <c r="O4922" s="14">
        <f>_xlfn.NORM.INV($AC4922,$C$7,$D$7)</f>
        <v/>
      </c>
      <c r="P4922" s="14">
        <f>$C$8+($D$8-$C$8)*$AD4922</f>
        <v/>
      </c>
      <c r="Q4922" s="14">
        <f>$C$9</f>
        <v/>
      </c>
      <c r="R4922" s="14">
        <f>_xlfn.LOGNORM.INV($AF4922,LN($C$10)-0.5*LN(1+($D$10/$C$10)^2),SQRT(LN(1+($D$10/$C$10)^2)))</f>
        <v/>
      </c>
      <c r="S4922" s="14">
        <f>SUM(M4922:R4922)</f>
        <v/>
      </c>
      <c r="AA4922">
        <f>RAND()</f>
        <v/>
      </c>
      <c r="AB4922">
        <f>RAND()</f>
        <v/>
      </c>
      <c r="AC4922">
        <f>RAND()</f>
        <v/>
      </c>
      <c r="AD4922">
        <f>RAND()</f>
        <v/>
      </c>
      <c r="AE4922">
        <f>RAND()</f>
        <v/>
      </c>
      <c r="AF4922">
        <f>RAND()</f>
        <v/>
      </c>
    </row>
    <row r="4923">
      <c r="M4923" s="14">
        <f>_xlfn.BETA.INV($AA4923,1+4*($D$5-$C$5)/($E$5-$C$5),1+4*($E$5-$D$5)/($E$5-$C$5),$C$5,$E$5)</f>
        <v/>
      </c>
      <c r="N4923" s="14">
        <f>IF($AB4923&lt;($D$6-$C$6)/($E$6-$C$6),$C$6+SQRT($AB4923*($E$6-$C$6)*($D$6-$C$6)),$E$6-SQRT((1-$AB4923)*($E$6-$C$6)*($E$6-$D$6)))</f>
        <v/>
      </c>
      <c r="O4923" s="14">
        <f>_xlfn.NORM.INV($AC4923,$C$7,$D$7)</f>
        <v/>
      </c>
      <c r="P4923" s="14">
        <f>$C$8+($D$8-$C$8)*$AD4923</f>
        <v/>
      </c>
      <c r="Q4923" s="14">
        <f>$C$9</f>
        <v/>
      </c>
      <c r="R4923" s="14">
        <f>_xlfn.LOGNORM.INV($AF4923,LN($C$10)-0.5*LN(1+($D$10/$C$10)^2),SQRT(LN(1+($D$10/$C$10)^2)))</f>
        <v/>
      </c>
      <c r="S4923" s="14">
        <f>SUM(M4923:R4923)</f>
        <v/>
      </c>
      <c r="AA4923">
        <f>RAND()</f>
        <v/>
      </c>
      <c r="AB4923">
        <f>RAND()</f>
        <v/>
      </c>
      <c r="AC4923">
        <f>RAND()</f>
        <v/>
      </c>
      <c r="AD4923">
        <f>RAND()</f>
        <v/>
      </c>
      <c r="AE4923">
        <f>RAND()</f>
        <v/>
      </c>
      <c r="AF4923">
        <f>RAND()</f>
        <v/>
      </c>
    </row>
    <row r="4924">
      <c r="M4924" s="14">
        <f>_xlfn.BETA.INV($AA4924,1+4*($D$5-$C$5)/($E$5-$C$5),1+4*($E$5-$D$5)/($E$5-$C$5),$C$5,$E$5)</f>
        <v/>
      </c>
      <c r="N4924" s="14">
        <f>IF($AB4924&lt;($D$6-$C$6)/($E$6-$C$6),$C$6+SQRT($AB4924*($E$6-$C$6)*($D$6-$C$6)),$E$6-SQRT((1-$AB4924)*($E$6-$C$6)*($E$6-$D$6)))</f>
        <v/>
      </c>
      <c r="O4924" s="14">
        <f>_xlfn.NORM.INV($AC4924,$C$7,$D$7)</f>
        <v/>
      </c>
      <c r="P4924" s="14">
        <f>$C$8+($D$8-$C$8)*$AD4924</f>
        <v/>
      </c>
      <c r="Q4924" s="14">
        <f>$C$9</f>
        <v/>
      </c>
      <c r="R4924" s="14">
        <f>_xlfn.LOGNORM.INV($AF4924,LN($C$10)-0.5*LN(1+($D$10/$C$10)^2),SQRT(LN(1+($D$10/$C$10)^2)))</f>
        <v/>
      </c>
      <c r="S4924" s="14">
        <f>SUM(M4924:R4924)</f>
        <v/>
      </c>
      <c r="AA4924">
        <f>RAND()</f>
        <v/>
      </c>
      <c r="AB4924">
        <f>RAND()</f>
        <v/>
      </c>
      <c r="AC4924">
        <f>RAND()</f>
        <v/>
      </c>
      <c r="AD4924">
        <f>RAND()</f>
        <v/>
      </c>
      <c r="AE4924">
        <f>RAND()</f>
        <v/>
      </c>
      <c r="AF4924">
        <f>RAND()</f>
        <v/>
      </c>
    </row>
    <row r="4925">
      <c r="M4925" s="14">
        <f>_xlfn.BETA.INV($AA4925,1+4*($D$5-$C$5)/($E$5-$C$5),1+4*($E$5-$D$5)/($E$5-$C$5),$C$5,$E$5)</f>
        <v/>
      </c>
      <c r="N4925" s="14">
        <f>IF($AB4925&lt;($D$6-$C$6)/($E$6-$C$6),$C$6+SQRT($AB4925*($E$6-$C$6)*($D$6-$C$6)),$E$6-SQRT((1-$AB4925)*($E$6-$C$6)*($E$6-$D$6)))</f>
        <v/>
      </c>
      <c r="O4925" s="14">
        <f>_xlfn.NORM.INV($AC4925,$C$7,$D$7)</f>
        <v/>
      </c>
      <c r="P4925" s="14">
        <f>$C$8+($D$8-$C$8)*$AD4925</f>
        <v/>
      </c>
      <c r="Q4925" s="14">
        <f>$C$9</f>
        <v/>
      </c>
      <c r="R4925" s="14">
        <f>_xlfn.LOGNORM.INV($AF4925,LN($C$10)-0.5*LN(1+($D$10/$C$10)^2),SQRT(LN(1+($D$10/$C$10)^2)))</f>
        <v/>
      </c>
      <c r="S4925" s="14">
        <f>SUM(M4925:R4925)</f>
        <v/>
      </c>
      <c r="AA4925">
        <f>RAND()</f>
        <v/>
      </c>
      <c r="AB4925">
        <f>RAND()</f>
        <v/>
      </c>
      <c r="AC4925">
        <f>RAND()</f>
        <v/>
      </c>
      <c r="AD4925">
        <f>RAND()</f>
        <v/>
      </c>
      <c r="AE4925">
        <f>RAND()</f>
        <v/>
      </c>
      <c r="AF4925">
        <f>RAND()</f>
        <v/>
      </c>
    </row>
    <row r="4926">
      <c r="M4926" s="14">
        <f>_xlfn.BETA.INV($AA4926,1+4*($D$5-$C$5)/($E$5-$C$5),1+4*($E$5-$D$5)/($E$5-$C$5),$C$5,$E$5)</f>
        <v/>
      </c>
      <c r="N4926" s="14">
        <f>IF($AB4926&lt;($D$6-$C$6)/($E$6-$C$6),$C$6+SQRT($AB4926*($E$6-$C$6)*($D$6-$C$6)),$E$6-SQRT((1-$AB4926)*($E$6-$C$6)*($E$6-$D$6)))</f>
        <v/>
      </c>
      <c r="O4926" s="14">
        <f>_xlfn.NORM.INV($AC4926,$C$7,$D$7)</f>
        <v/>
      </c>
      <c r="P4926" s="14">
        <f>$C$8+($D$8-$C$8)*$AD4926</f>
        <v/>
      </c>
      <c r="Q4926" s="14">
        <f>$C$9</f>
        <v/>
      </c>
      <c r="R4926" s="14">
        <f>_xlfn.LOGNORM.INV($AF4926,LN($C$10)-0.5*LN(1+($D$10/$C$10)^2),SQRT(LN(1+($D$10/$C$10)^2)))</f>
        <v/>
      </c>
      <c r="S4926" s="14">
        <f>SUM(M4926:R4926)</f>
        <v/>
      </c>
      <c r="AA4926">
        <f>RAND()</f>
        <v/>
      </c>
      <c r="AB4926">
        <f>RAND()</f>
        <v/>
      </c>
      <c r="AC4926">
        <f>RAND()</f>
        <v/>
      </c>
      <c r="AD4926">
        <f>RAND()</f>
        <v/>
      </c>
      <c r="AE4926">
        <f>RAND()</f>
        <v/>
      </c>
      <c r="AF4926">
        <f>RAND()</f>
        <v/>
      </c>
    </row>
    <row r="4927">
      <c r="M4927" s="14">
        <f>_xlfn.BETA.INV($AA4927,1+4*($D$5-$C$5)/($E$5-$C$5),1+4*($E$5-$D$5)/($E$5-$C$5),$C$5,$E$5)</f>
        <v/>
      </c>
      <c r="N4927" s="14">
        <f>IF($AB4927&lt;($D$6-$C$6)/($E$6-$C$6),$C$6+SQRT($AB4927*($E$6-$C$6)*($D$6-$C$6)),$E$6-SQRT((1-$AB4927)*($E$6-$C$6)*($E$6-$D$6)))</f>
        <v/>
      </c>
      <c r="O4927" s="14">
        <f>_xlfn.NORM.INV($AC4927,$C$7,$D$7)</f>
        <v/>
      </c>
      <c r="P4927" s="14">
        <f>$C$8+($D$8-$C$8)*$AD4927</f>
        <v/>
      </c>
      <c r="Q4927" s="14">
        <f>$C$9</f>
        <v/>
      </c>
      <c r="R4927" s="14">
        <f>_xlfn.LOGNORM.INV($AF4927,LN($C$10)-0.5*LN(1+($D$10/$C$10)^2),SQRT(LN(1+($D$10/$C$10)^2)))</f>
        <v/>
      </c>
      <c r="S4927" s="14">
        <f>SUM(M4927:R4927)</f>
        <v/>
      </c>
      <c r="AA4927">
        <f>RAND()</f>
        <v/>
      </c>
      <c r="AB4927">
        <f>RAND()</f>
        <v/>
      </c>
      <c r="AC4927">
        <f>RAND()</f>
        <v/>
      </c>
      <c r="AD4927">
        <f>RAND()</f>
        <v/>
      </c>
      <c r="AE4927">
        <f>RAND()</f>
        <v/>
      </c>
      <c r="AF4927">
        <f>RAND()</f>
        <v/>
      </c>
    </row>
    <row r="4928">
      <c r="M4928" s="14">
        <f>_xlfn.BETA.INV($AA4928,1+4*($D$5-$C$5)/($E$5-$C$5),1+4*($E$5-$D$5)/($E$5-$C$5),$C$5,$E$5)</f>
        <v/>
      </c>
      <c r="N4928" s="14">
        <f>IF($AB4928&lt;($D$6-$C$6)/($E$6-$C$6),$C$6+SQRT($AB4928*($E$6-$C$6)*($D$6-$C$6)),$E$6-SQRT((1-$AB4928)*($E$6-$C$6)*($E$6-$D$6)))</f>
        <v/>
      </c>
      <c r="O4928" s="14">
        <f>_xlfn.NORM.INV($AC4928,$C$7,$D$7)</f>
        <v/>
      </c>
      <c r="P4928" s="14">
        <f>$C$8+($D$8-$C$8)*$AD4928</f>
        <v/>
      </c>
      <c r="Q4928" s="14">
        <f>$C$9</f>
        <v/>
      </c>
      <c r="R4928" s="14">
        <f>_xlfn.LOGNORM.INV($AF4928,LN($C$10)-0.5*LN(1+($D$10/$C$10)^2),SQRT(LN(1+($D$10/$C$10)^2)))</f>
        <v/>
      </c>
      <c r="S4928" s="14">
        <f>SUM(M4928:R4928)</f>
        <v/>
      </c>
      <c r="AA4928">
        <f>RAND()</f>
        <v/>
      </c>
      <c r="AB4928">
        <f>RAND()</f>
        <v/>
      </c>
      <c r="AC4928">
        <f>RAND()</f>
        <v/>
      </c>
      <c r="AD4928">
        <f>RAND()</f>
        <v/>
      </c>
      <c r="AE4928">
        <f>RAND()</f>
        <v/>
      </c>
      <c r="AF4928">
        <f>RAND()</f>
        <v/>
      </c>
    </row>
    <row r="4929">
      <c r="M4929" s="14">
        <f>_xlfn.BETA.INV($AA4929,1+4*($D$5-$C$5)/($E$5-$C$5),1+4*($E$5-$D$5)/($E$5-$C$5),$C$5,$E$5)</f>
        <v/>
      </c>
      <c r="N4929" s="14">
        <f>IF($AB4929&lt;($D$6-$C$6)/($E$6-$C$6),$C$6+SQRT($AB4929*($E$6-$C$6)*($D$6-$C$6)),$E$6-SQRT((1-$AB4929)*($E$6-$C$6)*($E$6-$D$6)))</f>
        <v/>
      </c>
      <c r="O4929" s="14">
        <f>_xlfn.NORM.INV($AC4929,$C$7,$D$7)</f>
        <v/>
      </c>
      <c r="P4929" s="14">
        <f>$C$8+($D$8-$C$8)*$AD4929</f>
        <v/>
      </c>
      <c r="Q4929" s="14">
        <f>$C$9</f>
        <v/>
      </c>
      <c r="R4929" s="14">
        <f>_xlfn.LOGNORM.INV($AF4929,LN($C$10)-0.5*LN(1+($D$10/$C$10)^2),SQRT(LN(1+($D$10/$C$10)^2)))</f>
        <v/>
      </c>
      <c r="S4929" s="14">
        <f>SUM(M4929:R4929)</f>
        <v/>
      </c>
      <c r="AA4929">
        <f>RAND()</f>
        <v/>
      </c>
      <c r="AB4929">
        <f>RAND()</f>
        <v/>
      </c>
      <c r="AC4929">
        <f>RAND()</f>
        <v/>
      </c>
      <c r="AD4929">
        <f>RAND()</f>
        <v/>
      </c>
      <c r="AE4929">
        <f>RAND()</f>
        <v/>
      </c>
      <c r="AF4929">
        <f>RAND()</f>
        <v/>
      </c>
    </row>
    <row r="4930">
      <c r="M4930" s="14">
        <f>_xlfn.BETA.INV($AA4930,1+4*($D$5-$C$5)/($E$5-$C$5),1+4*($E$5-$D$5)/($E$5-$C$5),$C$5,$E$5)</f>
        <v/>
      </c>
      <c r="N4930" s="14">
        <f>IF($AB4930&lt;($D$6-$C$6)/($E$6-$C$6),$C$6+SQRT($AB4930*($E$6-$C$6)*($D$6-$C$6)),$E$6-SQRT((1-$AB4930)*($E$6-$C$6)*($E$6-$D$6)))</f>
        <v/>
      </c>
      <c r="O4930" s="14">
        <f>_xlfn.NORM.INV($AC4930,$C$7,$D$7)</f>
        <v/>
      </c>
      <c r="P4930" s="14">
        <f>$C$8+($D$8-$C$8)*$AD4930</f>
        <v/>
      </c>
      <c r="Q4930" s="14">
        <f>$C$9</f>
        <v/>
      </c>
      <c r="R4930" s="14">
        <f>_xlfn.LOGNORM.INV($AF4930,LN($C$10)-0.5*LN(1+($D$10/$C$10)^2),SQRT(LN(1+($D$10/$C$10)^2)))</f>
        <v/>
      </c>
      <c r="S4930" s="14">
        <f>SUM(M4930:R4930)</f>
        <v/>
      </c>
      <c r="AA4930">
        <f>RAND()</f>
        <v/>
      </c>
      <c r="AB4930">
        <f>RAND()</f>
        <v/>
      </c>
      <c r="AC4930">
        <f>RAND()</f>
        <v/>
      </c>
      <c r="AD4930">
        <f>RAND()</f>
        <v/>
      </c>
      <c r="AE4930">
        <f>RAND()</f>
        <v/>
      </c>
      <c r="AF4930">
        <f>RAND()</f>
        <v/>
      </c>
    </row>
    <row r="4931">
      <c r="M4931" s="14">
        <f>_xlfn.BETA.INV($AA4931,1+4*($D$5-$C$5)/($E$5-$C$5),1+4*($E$5-$D$5)/($E$5-$C$5),$C$5,$E$5)</f>
        <v/>
      </c>
      <c r="N4931" s="14">
        <f>IF($AB4931&lt;($D$6-$C$6)/($E$6-$C$6),$C$6+SQRT($AB4931*($E$6-$C$6)*($D$6-$C$6)),$E$6-SQRT((1-$AB4931)*($E$6-$C$6)*($E$6-$D$6)))</f>
        <v/>
      </c>
      <c r="O4931" s="14">
        <f>_xlfn.NORM.INV($AC4931,$C$7,$D$7)</f>
        <v/>
      </c>
      <c r="P4931" s="14">
        <f>$C$8+($D$8-$C$8)*$AD4931</f>
        <v/>
      </c>
      <c r="Q4931" s="14">
        <f>$C$9</f>
        <v/>
      </c>
      <c r="R4931" s="14">
        <f>_xlfn.LOGNORM.INV($AF4931,LN($C$10)-0.5*LN(1+($D$10/$C$10)^2),SQRT(LN(1+($D$10/$C$10)^2)))</f>
        <v/>
      </c>
      <c r="S4931" s="14">
        <f>SUM(M4931:R4931)</f>
        <v/>
      </c>
      <c r="AA4931">
        <f>RAND()</f>
        <v/>
      </c>
      <c r="AB4931">
        <f>RAND()</f>
        <v/>
      </c>
      <c r="AC4931">
        <f>RAND()</f>
        <v/>
      </c>
      <c r="AD4931">
        <f>RAND()</f>
        <v/>
      </c>
      <c r="AE4931">
        <f>RAND()</f>
        <v/>
      </c>
      <c r="AF4931">
        <f>RAND()</f>
        <v/>
      </c>
    </row>
    <row r="4932">
      <c r="M4932" s="14">
        <f>_xlfn.BETA.INV($AA4932,1+4*($D$5-$C$5)/($E$5-$C$5),1+4*($E$5-$D$5)/($E$5-$C$5),$C$5,$E$5)</f>
        <v/>
      </c>
      <c r="N4932" s="14">
        <f>IF($AB4932&lt;($D$6-$C$6)/($E$6-$C$6),$C$6+SQRT($AB4932*($E$6-$C$6)*($D$6-$C$6)),$E$6-SQRT((1-$AB4932)*($E$6-$C$6)*($E$6-$D$6)))</f>
        <v/>
      </c>
      <c r="O4932" s="14">
        <f>_xlfn.NORM.INV($AC4932,$C$7,$D$7)</f>
        <v/>
      </c>
      <c r="P4932" s="14">
        <f>$C$8+($D$8-$C$8)*$AD4932</f>
        <v/>
      </c>
      <c r="Q4932" s="14">
        <f>$C$9</f>
        <v/>
      </c>
      <c r="R4932" s="14">
        <f>_xlfn.LOGNORM.INV($AF4932,LN($C$10)-0.5*LN(1+($D$10/$C$10)^2),SQRT(LN(1+($D$10/$C$10)^2)))</f>
        <v/>
      </c>
      <c r="S4932" s="14">
        <f>SUM(M4932:R4932)</f>
        <v/>
      </c>
      <c r="AA4932">
        <f>RAND()</f>
        <v/>
      </c>
      <c r="AB4932">
        <f>RAND()</f>
        <v/>
      </c>
      <c r="AC4932">
        <f>RAND()</f>
        <v/>
      </c>
      <c r="AD4932">
        <f>RAND()</f>
        <v/>
      </c>
      <c r="AE4932">
        <f>RAND()</f>
        <v/>
      </c>
      <c r="AF4932">
        <f>RAND()</f>
        <v/>
      </c>
    </row>
    <row r="4933">
      <c r="M4933" s="14">
        <f>_xlfn.BETA.INV($AA4933,1+4*($D$5-$C$5)/($E$5-$C$5),1+4*($E$5-$D$5)/($E$5-$C$5),$C$5,$E$5)</f>
        <v/>
      </c>
      <c r="N4933" s="14">
        <f>IF($AB4933&lt;($D$6-$C$6)/($E$6-$C$6),$C$6+SQRT($AB4933*($E$6-$C$6)*($D$6-$C$6)),$E$6-SQRT((1-$AB4933)*($E$6-$C$6)*($E$6-$D$6)))</f>
        <v/>
      </c>
      <c r="O4933" s="14">
        <f>_xlfn.NORM.INV($AC4933,$C$7,$D$7)</f>
        <v/>
      </c>
      <c r="P4933" s="14">
        <f>$C$8+($D$8-$C$8)*$AD4933</f>
        <v/>
      </c>
      <c r="Q4933" s="14">
        <f>$C$9</f>
        <v/>
      </c>
      <c r="R4933" s="14">
        <f>_xlfn.LOGNORM.INV($AF4933,LN($C$10)-0.5*LN(1+($D$10/$C$10)^2),SQRT(LN(1+($D$10/$C$10)^2)))</f>
        <v/>
      </c>
      <c r="S4933" s="14">
        <f>SUM(M4933:R4933)</f>
        <v/>
      </c>
      <c r="AA4933">
        <f>RAND()</f>
        <v/>
      </c>
      <c r="AB4933">
        <f>RAND()</f>
        <v/>
      </c>
      <c r="AC4933">
        <f>RAND()</f>
        <v/>
      </c>
      <c r="AD4933">
        <f>RAND()</f>
        <v/>
      </c>
      <c r="AE4933">
        <f>RAND()</f>
        <v/>
      </c>
      <c r="AF4933">
        <f>RAND()</f>
        <v/>
      </c>
    </row>
    <row r="4934">
      <c r="M4934" s="14">
        <f>_xlfn.BETA.INV($AA4934,1+4*($D$5-$C$5)/($E$5-$C$5),1+4*($E$5-$D$5)/($E$5-$C$5),$C$5,$E$5)</f>
        <v/>
      </c>
      <c r="N4934" s="14">
        <f>IF($AB4934&lt;($D$6-$C$6)/($E$6-$C$6),$C$6+SQRT($AB4934*($E$6-$C$6)*($D$6-$C$6)),$E$6-SQRT((1-$AB4934)*($E$6-$C$6)*($E$6-$D$6)))</f>
        <v/>
      </c>
      <c r="O4934" s="14">
        <f>_xlfn.NORM.INV($AC4934,$C$7,$D$7)</f>
        <v/>
      </c>
      <c r="P4934" s="14">
        <f>$C$8+($D$8-$C$8)*$AD4934</f>
        <v/>
      </c>
      <c r="Q4934" s="14">
        <f>$C$9</f>
        <v/>
      </c>
      <c r="R4934" s="14">
        <f>_xlfn.LOGNORM.INV($AF4934,LN($C$10)-0.5*LN(1+($D$10/$C$10)^2),SQRT(LN(1+($D$10/$C$10)^2)))</f>
        <v/>
      </c>
      <c r="S4934" s="14">
        <f>SUM(M4934:R4934)</f>
        <v/>
      </c>
      <c r="AA4934">
        <f>RAND()</f>
        <v/>
      </c>
      <c r="AB4934">
        <f>RAND()</f>
        <v/>
      </c>
      <c r="AC4934">
        <f>RAND()</f>
        <v/>
      </c>
      <c r="AD4934">
        <f>RAND()</f>
        <v/>
      </c>
      <c r="AE4934">
        <f>RAND()</f>
        <v/>
      </c>
      <c r="AF4934">
        <f>RAND()</f>
        <v/>
      </c>
    </row>
    <row r="4935">
      <c r="M4935" s="14">
        <f>_xlfn.BETA.INV($AA4935,1+4*($D$5-$C$5)/($E$5-$C$5),1+4*($E$5-$D$5)/($E$5-$C$5),$C$5,$E$5)</f>
        <v/>
      </c>
      <c r="N4935" s="14">
        <f>IF($AB4935&lt;($D$6-$C$6)/($E$6-$C$6),$C$6+SQRT($AB4935*($E$6-$C$6)*($D$6-$C$6)),$E$6-SQRT((1-$AB4935)*($E$6-$C$6)*($E$6-$D$6)))</f>
        <v/>
      </c>
      <c r="O4935" s="14">
        <f>_xlfn.NORM.INV($AC4935,$C$7,$D$7)</f>
        <v/>
      </c>
      <c r="P4935" s="14">
        <f>$C$8+($D$8-$C$8)*$AD4935</f>
        <v/>
      </c>
      <c r="Q4935" s="14">
        <f>$C$9</f>
        <v/>
      </c>
      <c r="R4935" s="14">
        <f>_xlfn.LOGNORM.INV($AF4935,LN($C$10)-0.5*LN(1+($D$10/$C$10)^2),SQRT(LN(1+($D$10/$C$10)^2)))</f>
        <v/>
      </c>
      <c r="S4935" s="14">
        <f>SUM(M4935:R4935)</f>
        <v/>
      </c>
      <c r="AA4935">
        <f>RAND()</f>
        <v/>
      </c>
      <c r="AB4935">
        <f>RAND()</f>
        <v/>
      </c>
      <c r="AC4935">
        <f>RAND()</f>
        <v/>
      </c>
      <c r="AD4935">
        <f>RAND()</f>
        <v/>
      </c>
      <c r="AE4935">
        <f>RAND()</f>
        <v/>
      </c>
      <c r="AF4935">
        <f>RAND()</f>
        <v/>
      </c>
    </row>
    <row r="4936">
      <c r="M4936" s="14">
        <f>_xlfn.BETA.INV($AA4936,1+4*($D$5-$C$5)/($E$5-$C$5),1+4*($E$5-$D$5)/($E$5-$C$5),$C$5,$E$5)</f>
        <v/>
      </c>
      <c r="N4936" s="14">
        <f>IF($AB4936&lt;($D$6-$C$6)/($E$6-$C$6),$C$6+SQRT($AB4936*($E$6-$C$6)*($D$6-$C$6)),$E$6-SQRT((1-$AB4936)*($E$6-$C$6)*($E$6-$D$6)))</f>
        <v/>
      </c>
      <c r="O4936" s="14">
        <f>_xlfn.NORM.INV($AC4936,$C$7,$D$7)</f>
        <v/>
      </c>
      <c r="P4936" s="14">
        <f>$C$8+($D$8-$C$8)*$AD4936</f>
        <v/>
      </c>
      <c r="Q4936" s="14">
        <f>$C$9</f>
        <v/>
      </c>
      <c r="R4936" s="14">
        <f>_xlfn.LOGNORM.INV($AF4936,LN($C$10)-0.5*LN(1+($D$10/$C$10)^2),SQRT(LN(1+($D$10/$C$10)^2)))</f>
        <v/>
      </c>
      <c r="S4936" s="14">
        <f>SUM(M4936:R4936)</f>
        <v/>
      </c>
      <c r="AA4936">
        <f>RAND()</f>
        <v/>
      </c>
      <c r="AB4936">
        <f>RAND()</f>
        <v/>
      </c>
      <c r="AC4936">
        <f>RAND()</f>
        <v/>
      </c>
      <c r="AD4936">
        <f>RAND()</f>
        <v/>
      </c>
      <c r="AE4936">
        <f>RAND()</f>
        <v/>
      </c>
      <c r="AF4936">
        <f>RAND()</f>
        <v/>
      </c>
    </row>
    <row r="4937">
      <c r="M4937" s="14">
        <f>_xlfn.BETA.INV($AA4937,1+4*($D$5-$C$5)/($E$5-$C$5),1+4*($E$5-$D$5)/($E$5-$C$5),$C$5,$E$5)</f>
        <v/>
      </c>
      <c r="N4937" s="14">
        <f>IF($AB4937&lt;($D$6-$C$6)/($E$6-$C$6),$C$6+SQRT($AB4937*($E$6-$C$6)*($D$6-$C$6)),$E$6-SQRT((1-$AB4937)*($E$6-$C$6)*($E$6-$D$6)))</f>
        <v/>
      </c>
      <c r="O4937" s="14">
        <f>_xlfn.NORM.INV($AC4937,$C$7,$D$7)</f>
        <v/>
      </c>
      <c r="P4937" s="14">
        <f>$C$8+($D$8-$C$8)*$AD4937</f>
        <v/>
      </c>
      <c r="Q4937" s="14">
        <f>$C$9</f>
        <v/>
      </c>
      <c r="R4937" s="14">
        <f>_xlfn.LOGNORM.INV($AF4937,LN($C$10)-0.5*LN(1+($D$10/$C$10)^2),SQRT(LN(1+($D$10/$C$10)^2)))</f>
        <v/>
      </c>
      <c r="S4937" s="14">
        <f>SUM(M4937:R4937)</f>
        <v/>
      </c>
      <c r="AA4937">
        <f>RAND()</f>
        <v/>
      </c>
      <c r="AB4937">
        <f>RAND()</f>
        <v/>
      </c>
      <c r="AC4937">
        <f>RAND()</f>
        <v/>
      </c>
      <c r="AD4937">
        <f>RAND()</f>
        <v/>
      </c>
      <c r="AE4937">
        <f>RAND()</f>
        <v/>
      </c>
      <c r="AF4937">
        <f>RAND()</f>
        <v/>
      </c>
    </row>
    <row r="4938">
      <c r="M4938" s="14">
        <f>_xlfn.BETA.INV($AA4938,1+4*($D$5-$C$5)/($E$5-$C$5),1+4*($E$5-$D$5)/($E$5-$C$5),$C$5,$E$5)</f>
        <v/>
      </c>
      <c r="N4938" s="14">
        <f>IF($AB4938&lt;($D$6-$C$6)/($E$6-$C$6),$C$6+SQRT($AB4938*($E$6-$C$6)*($D$6-$C$6)),$E$6-SQRT((1-$AB4938)*($E$6-$C$6)*($E$6-$D$6)))</f>
        <v/>
      </c>
      <c r="O4938" s="14">
        <f>_xlfn.NORM.INV($AC4938,$C$7,$D$7)</f>
        <v/>
      </c>
      <c r="P4938" s="14">
        <f>$C$8+($D$8-$C$8)*$AD4938</f>
        <v/>
      </c>
      <c r="Q4938" s="14">
        <f>$C$9</f>
        <v/>
      </c>
      <c r="R4938" s="14">
        <f>_xlfn.LOGNORM.INV($AF4938,LN($C$10)-0.5*LN(1+($D$10/$C$10)^2),SQRT(LN(1+($D$10/$C$10)^2)))</f>
        <v/>
      </c>
      <c r="S4938" s="14">
        <f>SUM(M4938:R4938)</f>
        <v/>
      </c>
      <c r="AA4938">
        <f>RAND()</f>
        <v/>
      </c>
      <c r="AB4938">
        <f>RAND()</f>
        <v/>
      </c>
      <c r="AC4938">
        <f>RAND()</f>
        <v/>
      </c>
      <c r="AD4938">
        <f>RAND()</f>
        <v/>
      </c>
      <c r="AE4938">
        <f>RAND()</f>
        <v/>
      </c>
      <c r="AF4938">
        <f>RAND()</f>
        <v/>
      </c>
    </row>
    <row r="4939">
      <c r="M4939" s="14">
        <f>_xlfn.BETA.INV($AA4939,1+4*($D$5-$C$5)/($E$5-$C$5),1+4*($E$5-$D$5)/($E$5-$C$5),$C$5,$E$5)</f>
        <v/>
      </c>
      <c r="N4939" s="14">
        <f>IF($AB4939&lt;($D$6-$C$6)/($E$6-$C$6),$C$6+SQRT($AB4939*($E$6-$C$6)*($D$6-$C$6)),$E$6-SQRT((1-$AB4939)*($E$6-$C$6)*($E$6-$D$6)))</f>
        <v/>
      </c>
      <c r="O4939" s="14">
        <f>_xlfn.NORM.INV($AC4939,$C$7,$D$7)</f>
        <v/>
      </c>
      <c r="P4939" s="14">
        <f>$C$8+($D$8-$C$8)*$AD4939</f>
        <v/>
      </c>
      <c r="Q4939" s="14">
        <f>$C$9</f>
        <v/>
      </c>
      <c r="R4939" s="14">
        <f>_xlfn.LOGNORM.INV($AF4939,LN($C$10)-0.5*LN(1+($D$10/$C$10)^2),SQRT(LN(1+($D$10/$C$10)^2)))</f>
        <v/>
      </c>
      <c r="S4939" s="14">
        <f>SUM(M4939:R4939)</f>
        <v/>
      </c>
      <c r="AA4939">
        <f>RAND()</f>
        <v/>
      </c>
      <c r="AB4939">
        <f>RAND()</f>
        <v/>
      </c>
      <c r="AC4939">
        <f>RAND()</f>
        <v/>
      </c>
      <c r="AD4939">
        <f>RAND()</f>
        <v/>
      </c>
      <c r="AE4939">
        <f>RAND()</f>
        <v/>
      </c>
      <c r="AF4939">
        <f>RAND()</f>
        <v/>
      </c>
    </row>
    <row r="4940">
      <c r="M4940" s="14">
        <f>_xlfn.BETA.INV($AA4940,1+4*($D$5-$C$5)/($E$5-$C$5),1+4*($E$5-$D$5)/($E$5-$C$5),$C$5,$E$5)</f>
        <v/>
      </c>
      <c r="N4940" s="14">
        <f>IF($AB4940&lt;($D$6-$C$6)/($E$6-$C$6),$C$6+SQRT($AB4940*($E$6-$C$6)*($D$6-$C$6)),$E$6-SQRT((1-$AB4940)*($E$6-$C$6)*($E$6-$D$6)))</f>
        <v/>
      </c>
      <c r="O4940" s="14">
        <f>_xlfn.NORM.INV($AC4940,$C$7,$D$7)</f>
        <v/>
      </c>
      <c r="P4940" s="14">
        <f>$C$8+($D$8-$C$8)*$AD4940</f>
        <v/>
      </c>
      <c r="Q4940" s="14">
        <f>$C$9</f>
        <v/>
      </c>
      <c r="R4940" s="14">
        <f>_xlfn.LOGNORM.INV($AF4940,LN($C$10)-0.5*LN(1+($D$10/$C$10)^2),SQRT(LN(1+($D$10/$C$10)^2)))</f>
        <v/>
      </c>
      <c r="S4940" s="14">
        <f>SUM(M4940:R4940)</f>
        <v/>
      </c>
      <c r="AA4940">
        <f>RAND()</f>
        <v/>
      </c>
      <c r="AB4940">
        <f>RAND()</f>
        <v/>
      </c>
      <c r="AC4940">
        <f>RAND()</f>
        <v/>
      </c>
      <c r="AD4940">
        <f>RAND()</f>
        <v/>
      </c>
      <c r="AE4940">
        <f>RAND()</f>
        <v/>
      </c>
      <c r="AF4940">
        <f>RAND()</f>
        <v/>
      </c>
    </row>
    <row r="4941">
      <c r="M4941" s="14">
        <f>_xlfn.BETA.INV($AA4941,1+4*($D$5-$C$5)/($E$5-$C$5),1+4*($E$5-$D$5)/($E$5-$C$5),$C$5,$E$5)</f>
        <v/>
      </c>
      <c r="N4941" s="14">
        <f>IF($AB4941&lt;($D$6-$C$6)/($E$6-$C$6),$C$6+SQRT($AB4941*($E$6-$C$6)*($D$6-$C$6)),$E$6-SQRT((1-$AB4941)*($E$6-$C$6)*($E$6-$D$6)))</f>
        <v/>
      </c>
      <c r="O4941" s="14">
        <f>_xlfn.NORM.INV($AC4941,$C$7,$D$7)</f>
        <v/>
      </c>
      <c r="P4941" s="14">
        <f>$C$8+($D$8-$C$8)*$AD4941</f>
        <v/>
      </c>
      <c r="Q4941" s="14">
        <f>$C$9</f>
        <v/>
      </c>
      <c r="R4941" s="14">
        <f>_xlfn.LOGNORM.INV($AF4941,LN($C$10)-0.5*LN(1+($D$10/$C$10)^2),SQRT(LN(1+($D$10/$C$10)^2)))</f>
        <v/>
      </c>
      <c r="S4941" s="14">
        <f>SUM(M4941:R4941)</f>
        <v/>
      </c>
      <c r="AA4941">
        <f>RAND()</f>
        <v/>
      </c>
      <c r="AB4941">
        <f>RAND()</f>
        <v/>
      </c>
      <c r="AC4941">
        <f>RAND()</f>
        <v/>
      </c>
      <c r="AD4941">
        <f>RAND()</f>
        <v/>
      </c>
      <c r="AE4941">
        <f>RAND()</f>
        <v/>
      </c>
      <c r="AF4941">
        <f>RAND()</f>
        <v/>
      </c>
    </row>
    <row r="4942">
      <c r="M4942" s="14">
        <f>_xlfn.BETA.INV($AA4942,1+4*($D$5-$C$5)/($E$5-$C$5),1+4*($E$5-$D$5)/($E$5-$C$5),$C$5,$E$5)</f>
        <v/>
      </c>
      <c r="N4942" s="14">
        <f>IF($AB4942&lt;($D$6-$C$6)/($E$6-$C$6),$C$6+SQRT($AB4942*($E$6-$C$6)*($D$6-$C$6)),$E$6-SQRT((1-$AB4942)*($E$6-$C$6)*($E$6-$D$6)))</f>
        <v/>
      </c>
      <c r="O4942" s="14">
        <f>_xlfn.NORM.INV($AC4942,$C$7,$D$7)</f>
        <v/>
      </c>
      <c r="P4942" s="14">
        <f>$C$8+($D$8-$C$8)*$AD4942</f>
        <v/>
      </c>
      <c r="Q4942" s="14">
        <f>$C$9</f>
        <v/>
      </c>
      <c r="R4942" s="14">
        <f>_xlfn.LOGNORM.INV($AF4942,LN($C$10)-0.5*LN(1+($D$10/$C$10)^2),SQRT(LN(1+($D$10/$C$10)^2)))</f>
        <v/>
      </c>
      <c r="S4942" s="14">
        <f>SUM(M4942:R4942)</f>
        <v/>
      </c>
      <c r="AA4942">
        <f>RAND()</f>
        <v/>
      </c>
      <c r="AB4942">
        <f>RAND()</f>
        <v/>
      </c>
      <c r="AC4942">
        <f>RAND()</f>
        <v/>
      </c>
      <c r="AD4942">
        <f>RAND()</f>
        <v/>
      </c>
      <c r="AE4942">
        <f>RAND()</f>
        <v/>
      </c>
      <c r="AF4942">
        <f>RAND()</f>
        <v/>
      </c>
    </row>
    <row r="4943">
      <c r="M4943" s="14">
        <f>_xlfn.BETA.INV($AA4943,1+4*($D$5-$C$5)/($E$5-$C$5),1+4*($E$5-$D$5)/($E$5-$C$5),$C$5,$E$5)</f>
        <v/>
      </c>
      <c r="N4943" s="14">
        <f>IF($AB4943&lt;($D$6-$C$6)/($E$6-$C$6),$C$6+SQRT($AB4943*($E$6-$C$6)*($D$6-$C$6)),$E$6-SQRT((1-$AB4943)*($E$6-$C$6)*($E$6-$D$6)))</f>
        <v/>
      </c>
      <c r="O4943" s="14">
        <f>_xlfn.NORM.INV($AC4943,$C$7,$D$7)</f>
        <v/>
      </c>
      <c r="P4943" s="14">
        <f>$C$8+($D$8-$C$8)*$AD4943</f>
        <v/>
      </c>
      <c r="Q4943" s="14">
        <f>$C$9</f>
        <v/>
      </c>
      <c r="R4943" s="14">
        <f>_xlfn.LOGNORM.INV($AF4943,LN($C$10)-0.5*LN(1+($D$10/$C$10)^2),SQRT(LN(1+($D$10/$C$10)^2)))</f>
        <v/>
      </c>
      <c r="S4943" s="14">
        <f>SUM(M4943:R4943)</f>
        <v/>
      </c>
      <c r="AA4943">
        <f>RAND()</f>
        <v/>
      </c>
      <c r="AB4943">
        <f>RAND()</f>
        <v/>
      </c>
      <c r="AC4943">
        <f>RAND()</f>
        <v/>
      </c>
      <c r="AD4943">
        <f>RAND()</f>
        <v/>
      </c>
      <c r="AE4943">
        <f>RAND()</f>
        <v/>
      </c>
      <c r="AF4943">
        <f>RAND()</f>
        <v/>
      </c>
    </row>
    <row r="4944">
      <c r="M4944" s="14">
        <f>_xlfn.BETA.INV($AA4944,1+4*($D$5-$C$5)/($E$5-$C$5),1+4*($E$5-$D$5)/($E$5-$C$5),$C$5,$E$5)</f>
        <v/>
      </c>
      <c r="N4944" s="14">
        <f>IF($AB4944&lt;($D$6-$C$6)/($E$6-$C$6),$C$6+SQRT($AB4944*($E$6-$C$6)*($D$6-$C$6)),$E$6-SQRT((1-$AB4944)*($E$6-$C$6)*($E$6-$D$6)))</f>
        <v/>
      </c>
      <c r="O4944" s="14">
        <f>_xlfn.NORM.INV($AC4944,$C$7,$D$7)</f>
        <v/>
      </c>
      <c r="P4944" s="14">
        <f>$C$8+($D$8-$C$8)*$AD4944</f>
        <v/>
      </c>
      <c r="Q4944" s="14">
        <f>$C$9</f>
        <v/>
      </c>
      <c r="R4944" s="14">
        <f>_xlfn.LOGNORM.INV($AF4944,LN($C$10)-0.5*LN(1+($D$10/$C$10)^2),SQRT(LN(1+($D$10/$C$10)^2)))</f>
        <v/>
      </c>
      <c r="S4944" s="14">
        <f>SUM(M4944:R4944)</f>
        <v/>
      </c>
      <c r="AA4944">
        <f>RAND()</f>
        <v/>
      </c>
      <c r="AB4944">
        <f>RAND()</f>
        <v/>
      </c>
      <c r="AC4944">
        <f>RAND()</f>
        <v/>
      </c>
      <c r="AD4944">
        <f>RAND()</f>
        <v/>
      </c>
      <c r="AE4944">
        <f>RAND()</f>
        <v/>
      </c>
      <c r="AF4944">
        <f>RAND()</f>
        <v/>
      </c>
    </row>
    <row r="4945">
      <c r="M4945" s="14">
        <f>_xlfn.BETA.INV($AA4945,1+4*($D$5-$C$5)/($E$5-$C$5),1+4*($E$5-$D$5)/($E$5-$C$5),$C$5,$E$5)</f>
        <v/>
      </c>
      <c r="N4945" s="14">
        <f>IF($AB4945&lt;($D$6-$C$6)/($E$6-$C$6),$C$6+SQRT($AB4945*($E$6-$C$6)*($D$6-$C$6)),$E$6-SQRT((1-$AB4945)*($E$6-$C$6)*($E$6-$D$6)))</f>
        <v/>
      </c>
      <c r="O4945" s="14">
        <f>_xlfn.NORM.INV($AC4945,$C$7,$D$7)</f>
        <v/>
      </c>
      <c r="P4945" s="14">
        <f>$C$8+($D$8-$C$8)*$AD4945</f>
        <v/>
      </c>
      <c r="Q4945" s="14">
        <f>$C$9</f>
        <v/>
      </c>
      <c r="R4945" s="14">
        <f>_xlfn.LOGNORM.INV($AF4945,LN($C$10)-0.5*LN(1+($D$10/$C$10)^2),SQRT(LN(1+($D$10/$C$10)^2)))</f>
        <v/>
      </c>
      <c r="S4945" s="14">
        <f>SUM(M4945:R4945)</f>
        <v/>
      </c>
      <c r="AA4945">
        <f>RAND()</f>
        <v/>
      </c>
      <c r="AB4945">
        <f>RAND()</f>
        <v/>
      </c>
      <c r="AC4945">
        <f>RAND()</f>
        <v/>
      </c>
      <c r="AD4945">
        <f>RAND()</f>
        <v/>
      </c>
      <c r="AE4945">
        <f>RAND()</f>
        <v/>
      </c>
      <c r="AF4945">
        <f>RAND()</f>
        <v/>
      </c>
    </row>
    <row r="4946">
      <c r="M4946" s="14">
        <f>_xlfn.BETA.INV($AA4946,1+4*($D$5-$C$5)/($E$5-$C$5),1+4*($E$5-$D$5)/($E$5-$C$5),$C$5,$E$5)</f>
        <v/>
      </c>
      <c r="N4946" s="14">
        <f>IF($AB4946&lt;($D$6-$C$6)/($E$6-$C$6),$C$6+SQRT($AB4946*($E$6-$C$6)*($D$6-$C$6)),$E$6-SQRT((1-$AB4946)*($E$6-$C$6)*($E$6-$D$6)))</f>
        <v/>
      </c>
      <c r="O4946" s="14">
        <f>_xlfn.NORM.INV($AC4946,$C$7,$D$7)</f>
        <v/>
      </c>
      <c r="P4946" s="14">
        <f>$C$8+($D$8-$C$8)*$AD4946</f>
        <v/>
      </c>
      <c r="Q4946" s="14">
        <f>$C$9</f>
        <v/>
      </c>
      <c r="R4946" s="14">
        <f>_xlfn.LOGNORM.INV($AF4946,LN($C$10)-0.5*LN(1+($D$10/$C$10)^2),SQRT(LN(1+($D$10/$C$10)^2)))</f>
        <v/>
      </c>
      <c r="S4946" s="14">
        <f>SUM(M4946:R4946)</f>
        <v/>
      </c>
      <c r="AA4946">
        <f>RAND()</f>
        <v/>
      </c>
      <c r="AB4946">
        <f>RAND()</f>
        <v/>
      </c>
      <c r="AC4946">
        <f>RAND()</f>
        <v/>
      </c>
      <c r="AD4946">
        <f>RAND()</f>
        <v/>
      </c>
      <c r="AE4946">
        <f>RAND()</f>
        <v/>
      </c>
      <c r="AF4946">
        <f>RAND()</f>
        <v/>
      </c>
    </row>
    <row r="4947">
      <c r="M4947" s="14">
        <f>_xlfn.BETA.INV($AA4947,1+4*($D$5-$C$5)/($E$5-$C$5),1+4*($E$5-$D$5)/($E$5-$C$5),$C$5,$E$5)</f>
        <v/>
      </c>
      <c r="N4947" s="14">
        <f>IF($AB4947&lt;($D$6-$C$6)/($E$6-$C$6),$C$6+SQRT($AB4947*($E$6-$C$6)*($D$6-$C$6)),$E$6-SQRT((1-$AB4947)*($E$6-$C$6)*($E$6-$D$6)))</f>
        <v/>
      </c>
      <c r="O4947" s="14">
        <f>_xlfn.NORM.INV($AC4947,$C$7,$D$7)</f>
        <v/>
      </c>
      <c r="P4947" s="14">
        <f>$C$8+($D$8-$C$8)*$AD4947</f>
        <v/>
      </c>
      <c r="Q4947" s="14">
        <f>$C$9</f>
        <v/>
      </c>
      <c r="R4947" s="14">
        <f>_xlfn.LOGNORM.INV($AF4947,LN($C$10)-0.5*LN(1+($D$10/$C$10)^2),SQRT(LN(1+($D$10/$C$10)^2)))</f>
        <v/>
      </c>
      <c r="S4947" s="14">
        <f>SUM(M4947:R4947)</f>
        <v/>
      </c>
      <c r="AA4947">
        <f>RAND()</f>
        <v/>
      </c>
      <c r="AB4947">
        <f>RAND()</f>
        <v/>
      </c>
      <c r="AC4947">
        <f>RAND()</f>
        <v/>
      </c>
      <c r="AD4947">
        <f>RAND()</f>
        <v/>
      </c>
      <c r="AE4947">
        <f>RAND()</f>
        <v/>
      </c>
      <c r="AF4947">
        <f>RAND()</f>
        <v/>
      </c>
    </row>
    <row r="4948">
      <c r="M4948" s="14">
        <f>_xlfn.BETA.INV($AA4948,1+4*($D$5-$C$5)/($E$5-$C$5),1+4*($E$5-$D$5)/($E$5-$C$5),$C$5,$E$5)</f>
        <v/>
      </c>
      <c r="N4948" s="14">
        <f>IF($AB4948&lt;($D$6-$C$6)/($E$6-$C$6),$C$6+SQRT($AB4948*($E$6-$C$6)*($D$6-$C$6)),$E$6-SQRT((1-$AB4948)*($E$6-$C$6)*($E$6-$D$6)))</f>
        <v/>
      </c>
      <c r="O4948" s="14">
        <f>_xlfn.NORM.INV($AC4948,$C$7,$D$7)</f>
        <v/>
      </c>
      <c r="P4948" s="14">
        <f>$C$8+($D$8-$C$8)*$AD4948</f>
        <v/>
      </c>
      <c r="Q4948" s="14">
        <f>$C$9</f>
        <v/>
      </c>
      <c r="R4948" s="14">
        <f>_xlfn.LOGNORM.INV($AF4948,LN($C$10)-0.5*LN(1+($D$10/$C$10)^2),SQRT(LN(1+($D$10/$C$10)^2)))</f>
        <v/>
      </c>
      <c r="S4948" s="14">
        <f>SUM(M4948:R4948)</f>
        <v/>
      </c>
      <c r="AA4948">
        <f>RAND()</f>
        <v/>
      </c>
      <c r="AB4948">
        <f>RAND()</f>
        <v/>
      </c>
      <c r="AC4948">
        <f>RAND()</f>
        <v/>
      </c>
      <c r="AD4948">
        <f>RAND()</f>
        <v/>
      </c>
      <c r="AE4948">
        <f>RAND()</f>
        <v/>
      </c>
      <c r="AF4948">
        <f>RAND()</f>
        <v/>
      </c>
    </row>
    <row r="4949">
      <c r="M4949" s="14">
        <f>_xlfn.BETA.INV($AA4949,1+4*($D$5-$C$5)/($E$5-$C$5),1+4*($E$5-$D$5)/($E$5-$C$5),$C$5,$E$5)</f>
        <v/>
      </c>
      <c r="N4949" s="14">
        <f>IF($AB4949&lt;($D$6-$C$6)/($E$6-$C$6),$C$6+SQRT($AB4949*($E$6-$C$6)*($D$6-$C$6)),$E$6-SQRT((1-$AB4949)*($E$6-$C$6)*($E$6-$D$6)))</f>
        <v/>
      </c>
      <c r="O4949" s="14">
        <f>_xlfn.NORM.INV($AC4949,$C$7,$D$7)</f>
        <v/>
      </c>
      <c r="P4949" s="14">
        <f>$C$8+($D$8-$C$8)*$AD4949</f>
        <v/>
      </c>
      <c r="Q4949" s="14">
        <f>$C$9</f>
        <v/>
      </c>
      <c r="R4949" s="14">
        <f>_xlfn.LOGNORM.INV($AF4949,LN($C$10)-0.5*LN(1+($D$10/$C$10)^2),SQRT(LN(1+($D$10/$C$10)^2)))</f>
        <v/>
      </c>
      <c r="S4949" s="14">
        <f>SUM(M4949:R4949)</f>
        <v/>
      </c>
      <c r="AA4949">
        <f>RAND()</f>
        <v/>
      </c>
      <c r="AB4949">
        <f>RAND()</f>
        <v/>
      </c>
      <c r="AC4949">
        <f>RAND()</f>
        <v/>
      </c>
      <c r="AD4949">
        <f>RAND()</f>
        <v/>
      </c>
      <c r="AE4949">
        <f>RAND()</f>
        <v/>
      </c>
      <c r="AF4949">
        <f>RAND()</f>
        <v/>
      </c>
    </row>
    <row r="4950">
      <c r="M4950" s="14">
        <f>_xlfn.BETA.INV($AA4950,1+4*($D$5-$C$5)/($E$5-$C$5),1+4*($E$5-$D$5)/($E$5-$C$5),$C$5,$E$5)</f>
        <v/>
      </c>
      <c r="N4950" s="14">
        <f>IF($AB4950&lt;($D$6-$C$6)/($E$6-$C$6),$C$6+SQRT($AB4950*($E$6-$C$6)*($D$6-$C$6)),$E$6-SQRT((1-$AB4950)*($E$6-$C$6)*($E$6-$D$6)))</f>
        <v/>
      </c>
      <c r="O4950" s="14">
        <f>_xlfn.NORM.INV($AC4950,$C$7,$D$7)</f>
        <v/>
      </c>
      <c r="P4950" s="14">
        <f>$C$8+($D$8-$C$8)*$AD4950</f>
        <v/>
      </c>
      <c r="Q4950" s="14">
        <f>$C$9</f>
        <v/>
      </c>
      <c r="R4950" s="14">
        <f>_xlfn.LOGNORM.INV($AF4950,LN($C$10)-0.5*LN(1+($D$10/$C$10)^2),SQRT(LN(1+($D$10/$C$10)^2)))</f>
        <v/>
      </c>
      <c r="S4950" s="14">
        <f>SUM(M4950:R4950)</f>
        <v/>
      </c>
      <c r="AA4950">
        <f>RAND()</f>
        <v/>
      </c>
      <c r="AB4950">
        <f>RAND()</f>
        <v/>
      </c>
      <c r="AC4950">
        <f>RAND()</f>
        <v/>
      </c>
      <c r="AD4950">
        <f>RAND()</f>
        <v/>
      </c>
      <c r="AE4950">
        <f>RAND()</f>
        <v/>
      </c>
      <c r="AF4950">
        <f>RAND()</f>
        <v/>
      </c>
    </row>
    <row r="4951">
      <c r="M4951" s="14">
        <f>_xlfn.BETA.INV($AA4951,1+4*($D$5-$C$5)/($E$5-$C$5),1+4*($E$5-$D$5)/($E$5-$C$5),$C$5,$E$5)</f>
        <v/>
      </c>
      <c r="N4951" s="14">
        <f>IF($AB4951&lt;($D$6-$C$6)/($E$6-$C$6),$C$6+SQRT($AB4951*($E$6-$C$6)*($D$6-$C$6)),$E$6-SQRT((1-$AB4951)*($E$6-$C$6)*($E$6-$D$6)))</f>
        <v/>
      </c>
      <c r="O4951" s="14">
        <f>_xlfn.NORM.INV($AC4951,$C$7,$D$7)</f>
        <v/>
      </c>
      <c r="P4951" s="14">
        <f>$C$8+($D$8-$C$8)*$AD4951</f>
        <v/>
      </c>
      <c r="Q4951" s="14">
        <f>$C$9</f>
        <v/>
      </c>
      <c r="R4951" s="14">
        <f>_xlfn.LOGNORM.INV($AF4951,LN($C$10)-0.5*LN(1+($D$10/$C$10)^2),SQRT(LN(1+($D$10/$C$10)^2)))</f>
        <v/>
      </c>
      <c r="S4951" s="14">
        <f>SUM(M4951:R4951)</f>
        <v/>
      </c>
      <c r="AA4951">
        <f>RAND()</f>
        <v/>
      </c>
      <c r="AB4951">
        <f>RAND()</f>
        <v/>
      </c>
      <c r="AC4951">
        <f>RAND()</f>
        <v/>
      </c>
      <c r="AD4951">
        <f>RAND()</f>
        <v/>
      </c>
      <c r="AE4951">
        <f>RAND()</f>
        <v/>
      </c>
      <c r="AF4951">
        <f>RAND()</f>
        <v/>
      </c>
    </row>
    <row r="4952">
      <c r="M4952" s="14">
        <f>_xlfn.BETA.INV($AA4952,1+4*($D$5-$C$5)/($E$5-$C$5),1+4*($E$5-$D$5)/($E$5-$C$5),$C$5,$E$5)</f>
        <v/>
      </c>
      <c r="N4952" s="14">
        <f>IF($AB4952&lt;($D$6-$C$6)/($E$6-$C$6),$C$6+SQRT($AB4952*($E$6-$C$6)*($D$6-$C$6)),$E$6-SQRT((1-$AB4952)*($E$6-$C$6)*($E$6-$D$6)))</f>
        <v/>
      </c>
      <c r="O4952" s="14">
        <f>_xlfn.NORM.INV($AC4952,$C$7,$D$7)</f>
        <v/>
      </c>
      <c r="P4952" s="14">
        <f>$C$8+($D$8-$C$8)*$AD4952</f>
        <v/>
      </c>
      <c r="Q4952" s="14">
        <f>$C$9</f>
        <v/>
      </c>
      <c r="R4952" s="14">
        <f>_xlfn.LOGNORM.INV($AF4952,LN($C$10)-0.5*LN(1+($D$10/$C$10)^2),SQRT(LN(1+($D$10/$C$10)^2)))</f>
        <v/>
      </c>
      <c r="S4952" s="14">
        <f>SUM(M4952:R4952)</f>
        <v/>
      </c>
      <c r="AA4952">
        <f>RAND()</f>
        <v/>
      </c>
      <c r="AB4952">
        <f>RAND()</f>
        <v/>
      </c>
      <c r="AC4952">
        <f>RAND()</f>
        <v/>
      </c>
      <c r="AD4952">
        <f>RAND()</f>
        <v/>
      </c>
      <c r="AE4952">
        <f>RAND()</f>
        <v/>
      </c>
      <c r="AF4952">
        <f>RAND()</f>
        <v/>
      </c>
    </row>
    <row r="4953">
      <c r="M4953" s="14">
        <f>_xlfn.BETA.INV($AA4953,1+4*($D$5-$C$5)/($E$5-$C$5),1+4*($E$5-$D$5)/($E$5-$C$5),$C$5,$E$5)</f>
        <v/>
      </c>
      <c r="N4953" s="14">
        <f>IF($AB4953&lt;($D$6-$C$6)/($E$6-$C$6),$C$6+SQRT($AB4953*($E$6-$C$6)*($D$6-$C$6)),$E$6-SQRT((1-$AB4953)*($E$6-$C$6)*($E$6-$D$6)))</f>
        <v/>
      </c>
      <c r="O4953" s="14">
        <f>_xlfn.NORM.INV($AC4953,$C$7,$D$7)</f>
        <v/>
      </c>
      <c r="P4953" s="14">
        <f>$C$8+($D$8-$C$8)*$AD4953</f>
        <v/>
      </c>
      <c r="Q4953" s="14">
        <f>$C$9</f>
        <v/>
      </c>
      <c r="R4953" s="14">
        <f>_xlfn.LOGNORM.INV($AF4953,LN($C$10)-0.5*LN(1+($D$10/$C$10)^2),SQRT(LN(1+($D$10/$C$10)^2)))</f>
        <v/>
      </c>
      <c r="S4953" s="14">
        <f>SUM(M4953:R4953)</f>
        <v/>
      </c>
      <c r="AA4953">
        <f>RAND()</f>
        <v/>
      </c>
      <c r="AB4953">
        <f>RAND()</f>
        <v/>
      </c>
      <c r="AC4953">
        <f>RAND()</f>
        <v/>
      </c>
      <c r="AD4953">
        <f>RAND()</f>
        <v/>
      </c>
      <c r="AE4953">
        <f>RAND()</f>
        <v/>
      </c>
      <c r="AF4953">
        <f>RAND()</f>
        <v/>
      </c>
    </row>
    <row r="4954">
      <c r="M4954" s="14">
        <f>_xlfn.BETA.INV($AA4954,1+4*($D$5-$C$5)/($E$5-$C$5),1+4*($E$5-$D$5)/($E$5-$C$5),$C$5,$E$5)</f>
        <v/>
      </c>
      <c r="N4954" s="14">
        <f>IF($AB4954&lt;($D$6-$C$6)/($E$6-$C$6),$C$6+SQRT($AB4954*($E$6-$C$6)*($D$6-$C$6)),$E$6-SQRT((1-$AB4954)*($E$6-$C$6)*($E$6-$D$6)))</f>
        <v/>
      </c>
      <c r="O4954" s="14">
        <f>_xlfn.NORM.INV($AC4954,$C$7,$D$7)</f>
        <v/>
      </c>
      <c r="P4954" s="14">
        <f>$C$8+($D$8-$C$8)*$AD4954</f>
        <v/>
      </c>
      <c r="Q4954" s="14">
        <f>$C$9</f>
        <v/>
      </c>
      <c r="R4954" s="14">
        <f>_xlfn.LOGNORM.INV($AF4954,LN($C$10)-0.5*LN(1+($D$10/$C$10)^2),SQRT(LN(1+($D$10/$C$10)^2)))</f>
        <v/>
      </c>
      <c r="S4954" s="14">
        <f>SUM(M4954:R4954)</f>
        <v/>
      </c>
      <c r="AA4954">
        <f>RAND()</f>
        <v/>
      </c>
      <c r="AB4954">
        <f>RAND()</f>
        <v/>
      </c>
      <c r="AC4954">
        <f>RAND()</f>
        <v/>
      </c>
      <c r="AD4954">
        <f>RAND()</f>
        <v/>
      </c>
      <c r="AE4954">
        <f>RAND()</f>
        <v/>
      </c>
      <c r="AF4954">
        <f>RAND()</f>
        <v/>
      </c>
    </row>
    <row r="4955">
      <c r="M4955" s="14">
        <f>_xlfn.BETA.INV($AA4955,1+4*($D$5-$C$5)/($E$5-$C$5),1+4*($E$5-$D$5)/($E$5-$C$5),$C$5,$E$5)</f>
        <v/>
      </c>
      <c r="N4955" s="14">
        <f>IF($AB4955&lt;($D$6-$C$6)/($E$6-$C$6),$C$6+SQRT($AB4955*($E$6-$C$6)*($D$6-$C$6)),$E$6-SQRT((1-$AB4955)*($E$6-$C$6)*($E$6-$D$6)))</f>
        <v/>
      </c>
      <c r="O4955" s="14">
        <f>_xlfn.NORM.INV($AC4955,$C$7,$D$7)</f>
        <v/>
      </c>
      <c r="P4955" s="14">
        <f>$C$8+($D$8-$C$8)*$AD4955</f>
        <v/>
      </c>
      <c r="Q4955" s="14">
        <f>$C$9</f>
        <v/>
      </c>
      <c r="R4955" s="14">
        <f>_xlfn.LOGNORM.INV($AF4955,LN($C$10)-0.5*LN(1+($D$10/$C$10)^2),SQRT(LN(1+($D$10/$C$10)^2)))</f>
        <v/>
      </c>
      <c r="S4955" s="14">
        <f>SUM(M4955:R4955)</f>
        <v/>
      </c>
      <c r="AA4955">
        <f>RAND()</f>
        <v/>
      </c>
      <c r="AB4955">
        <f>RAND()</f>
        <v/>
      </c>
      <c r="AC4955">
        <f>RAND()</f>
        <v/>
      </c>
      <c r="AD4955">
        <f>RAND()</f>
        <v/>
      </c>
      <c r="AE4955">
        <f>RAND()</f>
        <v/>
      </c>
      <c r="AF4955">
        <f>RAND()</f>
        <v/>
      </c>
    </row>
    <row r="4956">
      <c r="M4956" s="14">
        <f>_xlfn.BETA.INV($AA4956,1+4*($D$5-$C$5)/($E$5-$C$5),1+4*($E$5-$D$5)/($E$5-$C$5),$C$5,$E$5)</f>
        <v/>
      </c>
      <c r="N4956" s="14">
        <f>IF($AB4956&lt;($D$6-$C$6)/($E$6-$C$6),$C$6+SQRT($AB4956*($E$6-$C$6)*($D$6-$C$6)),$E$6-SQRT((1-$AB4956)*($E$6-$C$6)*($E$6-$D$6)))</f>
        <v/>
      </c>
      <c r="O4956" s="14">
        <f>_xlfn.NORM.INV($AC4956,$C$7,$D$7)</f>
        <v/>
      </c>
      <c r="P4956" s="14">
        <f>$C$8+($D$8-$C$8)*$AD4956</f>
        <v/>
      </c>
      <c r="Q4956" s="14">
        <f>$C$9</f>
        <v/>
      </c>
      <c r="R4956" s="14">
        <f>_xlfn.LOGNORM.INV($AF4956,LN($C$10)-0.5*LN(1+($D$10/$C$10)^2),SQRT(LN(1+($D$10/$C$10)^2)))</f>
        <v/>
      </c>
      <c r="S4956" s="14">
        <f>SUM(M4956:R4956)</f>
        <v/>
      </c>
      <c r="AA4956">
        <f>RAND()</f>
        <v/>
      </c>
      <c r="AB4956">
        <f>RAND()</f>
        <v/>
      </c>
      <c r="AC4956">
        <f>RAND()</f>
        <v/>
      </c>
      <c r="AD4956">
        <f>RAND()</f>
        <v/>
      </c>
      <c r="AE4956">
        <f>RAND()</f>
        <v/>
      </c>
      <c r="AF4956">
        <f>RAND()</f>
        <v/>
      </c>
    </row>
    <row r="4957">
      <c r="M4957" s="14">
        <f>_xlfn.BETA.INV($AA4957,1+4*($D$5-$C$5)/($E$5-$C$5),1+4*($E$5-$D$5)/($E$5-$C$5),$C$5,$E$5)</f>
        <v/>
      </c>
      <c r="N4957" s="14">
        <f>IF($AB4957&lt;($D$6-$C$6)/($E$6-$C$6),$C$6+SQRT($AB4957*($E$6-$C$6)*($D$6-$C$6)),$E$6-SQRT((1-$AB4957)*($E$6-$C$6)*($E$6-$D$6)))</f>
        <v/>
      </c>
      <c r="O4957" s="14">
        <f>_xlfn.NORM.INV($AC4957,$C$7,$D$7)</f>
        <v/>
      </c>
      <c r="P4957" s="14">
        <f>$C$8+($D$8-$C$8)*$AD4957</f>
        <v/>
      </c>
      <c r="Q4957" s="14">
        <f>$C$9</f>
        <v/>
      </c>
      <c r="R4957" s="14">
        <f>_xlfn.LOGNORM.INV($AF4957,LN($C$10)-0.5*LN(1+($D$10/$C$10)^2),SQRT(LN(1+($D$10/$C$10)^2)))</f>
        <v/>
      </c>
      <c r="S4957" s="14">
        <f>SUM(M4957:R4957)</f>
        <v/>
      </c>
      <c r="AA4957">
        <f>RAND()</f>
        <v/>
      </c>
      <c r="AB4957">
        <f>RAND()</f>
        <v/>
      </c>
      <c r="AC4957">
        <f>RAND()</f>
        <v/>
      </c>
      <c r="AD4957">
        <f>RAND()</f>
        <v/>
      </c>
      <c r="AE4957">
        <f>RAND()</f>
        <v/>
      </c>
      <c r="AF4957">
        <f>RAND()</f>
        <v/>
      </c>
    </row>
    <row r="4958">
      <c r="M4958" s="14">
        <f>_xlfn.BETA.INV($AA4958,1+4*($D$5-$C$5)/($E$5-$C$5),1+4*($E$5-$D$5)/($E$5-$C$5),$C$5,$E$5)</f>
        <v/>
      </c>
      <c r="N4958" s="14">
        <f>IF($AB4958&lt;($D$6-$C$6)/($E$6-$C$6),$C$6+SQRT($AB4958*($E$6-$C$6)*($D$6-$C$6)),$E$6-SQRT((1-$AB4958)*($E$6-$C$6)*($E$6-$D$6)))</f>
        <v/>
      </c>
      <c r="O4958" s="14">
        <f>_xlfn.NORM.INV($AC4958,$C$7,$D$7)</f>
        <v/>
      </c>
      <c r="P4958" s="14">
        <f>$C$8+($D$8-$C$8)*$AD4958</f>
        <v/>
      </c>
      <c r="Q4958" s="14">
        <f>$C$9</f>
        <v/>
      </c>
      <c r="R4958" s="14">
        <f>_xlfn.LOGNORM.INV($AF4958,LN($C$10)-0.5*LN(1+($D$10/$C$10)^2),SQRT(LN(1+($D$10/$C$10)^2)))</f>
        <v/>
      </c>
      <c r="S4958" s="14">
        <f>SUM(M4958:R4958)</f>
        <v/>
      </c>
      <c r="AA4958">
        <f>RAND()</f>
        <v/>
      </c>
      <c r="AB4958">
        <f>RAND()</f>
        <v/>
      </c>
      <c r="AC4958">
        <f>RAND()</f>
        <v/>
      </c>
      <c r="AD4958">
        <f>RAND()</f>
        <v/>
      </c>
      <c r="AE4958">
        <f>RAND()</f>
        <v/>
      </c>
      <c r="AF4958">
        <f>RAND()</f>
        <v/>
      </c>
    </row>
    <row r="4959">
      <c r="M4959" s="14">
        <f>_xlfn.BETA.INV($AA4959,1+4*($D$5-$C$5)/($E$5-$C$5),1+4*($E$5-$D$5)/($E$5-$C$5),$C$5,$E$5)</f>
        <v/>
      </c>
      <c r="N4959" s="14">
        <f>IF($AB4959&lt;($D$6-$C$6)/($E$6-$C$6),$C$6+SQRT($AB4959*($E$6-$C$6)*($D$6-$C$6)),$E$6-SQRT((1-$AB4959)*($E$6-$C$6)*($E$6-$D$6)))</f>
        <v/>
      </c>
      <c r="O4959" s="14">
        <f>_xlfn.NORM.INV($AC4959,$C$7,$D$7)</f>
        <v/>
      </c>
      <c r="P4959" s="14">
        <f>$C$8+($D$8-$C$8)*$AD4959</f>
        <v/>
      </c>
      <c r="Q4959" s="14">
        <f>$C$9</f>
        <v/>
      </c>
      <c r="R4959" s="14">
        <f>_xlfn.LOGNORM.INV($AF4959,LN($C$10)-0.5*LN(1+($D$10/$C$10)^2),SQRT(LN(1+($D$10/$C$10)^2)))</f>
        <v/>
      </c>
      <c r="S4959" s="14">
        <f>SUM(M4959:R4959)</f>
        <v/>
      </c>
      <c r="AA4959">
        <f>RAND()</f>
        <v/>
      </c>
      <c r="AB4959">
        <f>RAND()</f>
        <v/>
      </c>
      <c r="AC4959">
        <f>RAND()</f>
        <v/>
      </c>
      <c r="AD4959">
        <f>RAND()</f>
        <v/>
      </c>
      <c r="AE4959">
        <f>RAND()</f>
        <v/>
      </c>
      <c r="AF4959">
        <f>RAND()</f>
        <v/>
      </c>
    </row>
    <row r="4960">
      <c r="M4960" s="14">
        <f>_xlfn.BETA.INV($AA4960,1+4*($D$5-$C$5)/($E$5-$C$5),1+4*($E$5-$D$5)/($E$5-$C$5),$C$5,$E$5)</f>
        <v/>
      </c>
      <c r="N4960" s="14">
        <f>IF($AB4960&lt;($D$6-$C$6)/($E$6-$C$6),$C$6+SQRT($AB4960*($E$6-$C$6)*($D$6-$C$6)),$E$6-SQRT((1-$AB4960)*($E$6-$C$6)*($E$6-$D$6)))</f>
        <v/>
      </c>
      <c r="O4960" s="14">
        <f>_xlfn.NORM.INV($AC4960,$C$7,$D$7)</f>
        <v/>
      </c>
      <c r="P4960" s="14">
        <f>$C$8+($D$8-$C$8)*$AD4960</f>
        <v/>
      </c>
      <c r="Q4960" s="14">
        <f>$C$9</f>
        <v/>
      </c>
      <c r="R4960" s="14">
        <f>_xlfn.LOGNORM.INV($AF4960,LN($C$10)-0.5*LN(1+($D$10/$C$10)^2),SQRT(LN(1+($D$10/$C$10)^2)))</f>
        <v/>
      </c>
      <c r="S4960" s="14">
        <f>SUM(M4960:R4960)</f>
        <v/>
      </c>
      <c r="AA4960">
        <f>RAND()</f>
        <v/>
      </c>
      <c r="AB4960">
        <f>RAND()</f>
        <v/>
      </c>
      <c r="AC4960">
        <f>RAND()</f>
        <v/>
      </c>
      <c r="AD4960">
        <f>RAND()</f>
        <v/>
      </c>
      <c r="AE4960">
        <f>RAND()</f>
        <v/>
      </c>
      <c r="AF4960">
        <f>RAND()</f>
        <v/>
      </c>
    </row>
    <row r="4961">
      <c r="M4961" s="14">
        <f>_xlfn.BETA.INV($AA4961,1+4*($D$5-$C$5)/($E$5-$C$5),1+4*($E$5-$D$5)/($E$5-$C$5),$C$5,$E$5)</f>
        <v/>
      </c>
      <c r="N4961" s="14">
        <f>IF($AB4961&lt;($D$6-$C$6)/($E$6-$C$6),$C$6+SQRT($AB4961*($E$6-$C$6)*($D$6-$C$6)),$E$6-SQRT((1-$AB4961)*($E$6-$C$6)*($E$6-$D$6)))</f>
        <v/>
      </c>
      <c r="O4961" s="14">
        <f>_xlfn.NORM.INV($AC4961,$C$7,$D$7)</f>
        <v/>
      </c>
      <c r="P4961" s="14">
        <f>$C$8+($D$8-$C$8)*$AD4961</f>
        <v/>
      </c>
      <c r="Q4961" s="14">
        <f>$C$9</f>
        <v/>
      </c>
      <c r="R4961" s="14">
        <f>_xlfn.LOGNORM.INV($AF4961,LN($C$10)-0.5*LN(1+($D$10/$C$10)^2),SQRT(LN(1+($D$10/$C$10)^2)))</f>
        <v/>
      </c>
      <c r="S4961" s="14">
        <f>SUM(M4961:R4961)</f>
        <v/>
      </c>
      <c r="AA4961">
        <f>RAND()</f>
        <v/>
      </c>
      <c r="AB4961">
        <f>RAND()</f>
        <v/>
      </c>
      <c r="AC4961">
        <f>RAND()</f>
        <v/>
      </c>
      <c r="AD4961">
        <f>RAND()</f>
        <v/>
      </c>
      <c r="AE4961">
        <f>RAND()</f>
        <v/>
      </c>
      <c r="AF4961">
        <f>RAND()</f>
        <v/>
      </c>
    </row>
    <row r="4962">
      <c r="M4962" s="14">
        <f>_xlfn.BETA.INV($AA4962,1+4*($D$5-$C$5)/($E$5-$C$5),1+4*($E$5-$D$5)/($E$5-$C$5),$C$5,$E$5)</f>
        <v/>
      </c>
      <c r="N4962" s="14">
        <f>IF($AB4962&lt;($D$6-$C$6)/($E$6-$C$6),$C$6+SQRT($AB4962*($E$6-$C$6)*($D$6-$C$6)),$E$6-SQRT((1-$AB4962)*($E$6-$C$6)*($E$6-$D$6)))</f>
        <v/>
      </c>
      <c r="O4962" s="14">
        <f>_xlfn.NORM.INV($AC4962,$C$7,$D$7)</f>
        <v/>
      </c>
      <c r="P4962" s="14">
        <f>$C$8+($D$8-$C$8)*$AD4962</f>
        <v/>
      </c>
      <c r="Q4962" s="14">
        <f>$C$9</f>
        <v/>
      </c>
      <c r="R4962" s="14">
        <f>_xlfn.LOGNORM.INV($AF4962,LN($C$10)-0.5*LN(1+($D$10/$C$10)^2),SQRT(LN(1+($D$10/$C$10)^2)))</f>
        <v/>
      </c>
      <c r="S4962" s="14">
        <f>SUM(M4962:R4962)</f>
        <v/>
      </c>
      <c r="AA4962">
        <f>RAND()</f>
        <v/>
      </c>
      <c r="AB4962">
        <f>RAND()</f>
        <v/>
      </c>
      <c r="AC4962">
        <f>RAND()</f>
        <v/>
      </c>
      <c r="AD4962">
        <f>RAND()</f>
        <v/>
      </c>
      <c r="AE4962">
        <f>RAND()</f>
        <v/>
      </c>
      <c r="AF4962">
        <f>RAND()</f>
        <v/>
      </c>
    </row>
    <row r="4963">
      <c r="M4963" s="14">
        <f>_xlfn.BETA.INV($AA4963,1+4*($D$5-$C$5)/($E$5-$C$5),1+4*($E$5-$D$5)/($E$5-$C$5),$C$5,$E$5)</f>
        <v/>
      </c>
      <c r="N4963" s="14">
        <f>IF($AB4963&lt;($D$6-$C$6)/($E$6-$C$6),$C$6+SQRT($AB4963*($E$6-$C$6)*($D$6-$C$6)),$E$6-SQRT((1-$AB4963)*($E$6-$C$6)*($E$6-$D$6)))</f>
        <v/>
      </c>
      <c r="O4963" s="14">
        <f>_xlfn.NORM.INV($AC4963,$C$7,$D$7)</f>
        <v/>
      </c>
      <c r="P4963" s="14">
        <f>$C$8+($D$8-$C$8)*$AD4963</f>
        <v/>
      </c>
      <c r="Q4963" s="14">
        <f>$C$9</f>
        <v/>
      </c>
      <c r="R4963" s="14">
        <f>_xlfn.LOGNORM.INV($AF4963,LN($C$10)-0.5*LN(1+($D$10/$C$10)^2),SQRT(LN(1+($D$10/$C$10)^2)))</f>
        <v/>
      </c>
      <c r="S4963" s="14">
        <f>SUM(M4963:R4963)</f>
        <v/>
      </c>
      <c r="AA4963">
        <f>RAND()</f>
        <v/>
      </c>
      <c r="AB4963">
        <f>RAND()</f>
        <v/>
      </c>
      <c r="AC4963">
        <f>RAND()</f>
        <v/>
      </c>
      <c r="AD4963">
        <f>RAND()</f>
        <v/>
      </c>
      <c r="AE4963">
        <f>RAND()</f>
        <v/>
      </c>
      <c r="AF4963">
        <f>RAND()</f>
        <v/>
      </c>
    </row>
    <row r="4964">
      <c r="M4964" s="14">
        <f>_xlfn.BETA.INV($AA4964,1+4*($D$5-$C$5)/($E$5-$C$5),1+4*($E$5-$D$5)/($E$5-$C$5),$C$5,$E$5)</f>
        <v/>
      </c>
      <c r="N4964" s="14">
        <f>IF($AB4964&lt;($D$6-$C$6)/($E$6-$C$6),$C$6+SQRT($AB4964*($E$6-$C$6)*($D$6-$C$6)),$E$6-SQRT((1-$AB4964)*($E$6-$C$6)*($E$6-$D$6)))</f>
        <v/>
      </c>
      <c r="O4964" s="14">
        <f>_xlfn.NORM.INV($AC4964,$C$7,$D$7)</f>
        <v/>
      </c>
      <c r="P4964" s="14">
        <f>$C$8+($D$8-$C$8)*$AD4964</f>
        <v/>
      </c>
      <c r="Q4964" s="14">
        <f>$C$9</f>
        <v/>
      </c>
      <c r="R4964" s="14">
        <f>_xlfn.LOGNORM.INV($AF4964,LN($C$10)-0.5*LN(1+($D$10/$C$10)^2),SQRT(LN(1+($D$10/$C$10)^2)))</f>
        <v/>
      </c>
      <c r="S4964" s="14">
        <f>SUM(M4964:R4964)</f>
        <v/>
      </c>
      <c r="AA4964">
        <f>RAND()</f>
        <v/>
      </c>
      <c r="AB4964">
        <f>RAND()</f>
        <v/>
      </c>
      <c r="AC4964">
        <f>RAND()</f>
        <v/>
      </c>
      <c r="AD4964">
        <f>RAND()</f>
        <v/>
      </c>
      <c r="AE4964">
        <f>RAND()</f>
        <v/>
      </c>
      <c r="AF4964">
        <f>RAND()</f>
        <v/>
      </c>
    </row>
    <row r="4965">
      <c r="M4965" s="14">
        <f>_xlfn.BETA.INV($AA4965,1+4*($D$5-$C$5)/($E$5-$C$5),1+4*($E$5-$D$5)/($E$5-$C$5),$C$5,$E$5)</f>
        <v/>
      </c>
      <c r="N4965" s="14">
        <f>IF($AB4965&lt;($D$6-$C$6)/($E$6-$C$6),$C$6+SQRT($AB4965*($E$6-$C$6)*($D$6-$C$6)),$E$6-SQRT((1-$AB4965)*($E$6-$C$6)*($E$6-$D$6)))</f>
        <v/>
      </c>
      <c r="O4965" s="14">
        <f>_xlfn.NORM.INV($AC4965,$C$7,$D$7)</f>
        <v/>
      </c>
      <c r="P4965" s="14">
        <f>$C$8+($D$8-$C$8)*$AD4965</f>
        <v/>
      </c>
      <c r="Q4965" s="14">
        <f>$C$9</f>
        <v/>
      </c>
      <c r="R4965" s="14">
        <f>_xlfn.LOGNORM.INV($AF4965,LN($C$10)-0.5*LN(1+($D$10/$C$10)^2),SQRT(LN(1+($D$10/$C$10)^2)))</f>
        <v/>
      </c>
      <c r="S4965" s="14">
        <f>SUM(M4965:R4965)</f>
        <v/>
      </c>
      <c r="AA4965">
        <f>RAND()</f>
        <v/>
      </c>
      <c r="AB4965">
        <f>RAND()</f>
        <v/>
      </c>
      <c r="AC4965">
        <f>RAND()</f>
        <v/>
      </c>
      <c r="AD4965">
        <f>RAND()</f>
        <v/>
      </c>
      <c r="AE4965">
        <f>RAND()</f>
        <v/>
      </c>
      <c r="AF4965">
        <f>RAND()</f>
        <v/>
      </c>
    </row>
    <row r="4966">
      <c r="M4966" s="14">
        <f>_xlfn.BETA.INV($AA4966,1+4*($D$5-$C$5)/($E$5-$C$5),1+4*($E$5-$D$5)/($E$5-$C$5),$C$5,$E$5)</f>
        <v/>
      </c>
      <c r="N4966" s="14">
        <f>IF($AB4966&lt;($D$6-$C$6)/($E$6-$C$6),$C$6+SQRT($AB4966*($E$6-$C$6)*($D$6-$C$6)),$E$6-SQRT((1-$AB4966)*($E$6-$C$6)*($E$6-$D$6)))</f>
        <v/>
      </c>
      <c r="O4966" s="14">
        <f>_xlfn.NORM.INV($AC4966,$C$7,$D$7)</f>
        <v/>
      </c>
      <c r="P4966" s="14">
        <f>$C$8+($D$8-$C$8)*$AD4966</f>
        <v/>
      </c>
      <c r="Q4966" s="14">
        <f>$C$9</f>
        <v/>
      </c>
      <c r="R4966" s="14">
        <f>_xlfn.LOGNORM.INV($AF4966,LN($C$10)-0.5*LN(1+($D$10/$C$10)^2),SQRT(LN(1+($D$10/$C$10)^2)))</f>
        <v/>
      </c>
      <c r="S4966" s="14">
        <f>SUM(M4966:R4966)</f>
        <v/>
      </c>
      <c r="AA4966">
        <f>RAND()</f>
        <v/>
      </c>
      <c r="AB4966">
        <f>RAND()</f>
        <v/>
      </c>
      <c r="AC4966">
        <f>RAND()</f>
        <v/>
      </c>
      <c r="AD4966">
        <f>RAND()</f>
        <v/>
      </c>
      <c r="AE4966">
        <f>RAND()</f>
        <v/>
      </c>
      <c r="AF4966">
        <f>RAND()</f>
        <v/>
      </c>
    </row>
    <row r="4967">
      <c r="M4967" s="14">
        <f>_xlfn.BETA.INV($AA4967,1+4*($D$5-$C$5)/($E$5-$C$5),1+4*($E$5-$D$5)/($E$5-$C$5),$C$5,$E$5)</f>
        <v/>
      </c>
      <c r="N4967" s="14">
        <f>IF($AB4967&lt;($D$6-$C$6)/($E$6-$C$6),$C$6+SQRT($AB4967*($E$6-$C$6)*($D$6-$C$6)),$E$6-SQRT((1-$AB4967)*($E$6-$C$6)*($E$6-$D$6)))</f>
        <v/>
      </c>
      <c r="O4967" s="14">
        <f>_xlfn.NORM.INV($AC4967,$C$7,$D$7)</f>
        <v/>
      </c>
      <c r="P4967" s="14">
        <f>$C$8+($D$8-$C$8)*$AD4967</f>
        <v/>
      </c>
      <c r="Q4967" s="14">
        <f>$C$9</f>
        <v/>
      </c>
      <c r="R4967" s="14">
        <f>_xlfn.LOGNORM.INV($AF4967,LN($C$10)-0.5*LN(1+($D$10/$C$10)^2),SQRT(LN(1+($D$10/$C$10)^2)))</f>
        <v/>
      </c>
      <c r="S4967" s="14">
        <f>SUM(M4967:R4967)</f>
        <v/>
      </c>
      <c r="AA4967">
        <f>RAND()</f>
        <v/>
      </c>
      <c r="AB4967">
        <f>RAND()</f>
        <v/>
      </c>
      <c r="AC4967">
        <f>RAND()</f>
        <v/>
      </c>
      <c r="AD4967">
        <f>RAND()</f>
        <v/>
      </c>
      <c r="AE4967">
        <f>RAND()</f>
        <v/>
      </c>
      <c r="AF4967">
        <f>RAND()</f>
        <v/>
      </c>
    </row>
    <row r="4968">
      <c r="M4968" s="14">
        <f>_xlfn.BETA.INV($AA4968,1+4*($D$5-$C$5)/($E$5-$C$5),1+4*($E$5-$D$5)/($E$5-$C$5),$C$5,$E$5)</f>
        <v/>
      </c>
      <c r="N4968" s="14">
        <f>IF($AB4968&lt;($D$6-$C$6)/($E$6-$C$6),$C$6+SQRT($AB4968*($E$6-$C$6)*($D$6-$C$6)),$E$6-SQRT((1-$AB4968)*($E$6-$C$6)*($E$6-$D$6)))</f>
        <v/>
      </c>
      <c r="O4968" s="14">
        <f>_xlfn.NORM.INV($AC4968,$C$7,$D$7)</f>
        <v/>
      </c>
      <c r="P4968" s="14">
        <f>$C$8+($D$8-$C$8)*$AD4968</f>
        <v/>
      </c>
      <c r="Q4968" s="14">
        <f>$C$9</f>
        <v/>
      </c>
      <c r="R4968" s="14">
        <f>_xlfn.LOGNORM.INV($AF4968,LN($C$10)-0.5*LN(1+($D$10/$C$10)^2),SQRT(LN(1+($D$10/$C$10)^2)))</f>
        <v/>
      </c>
      <c r="S4968" s="14">
        <f>SUM(M4968:R4968)</f>
        <v/>
      </c>
      <c r="AA4968">
        <f>RAND()</f>
        <v/>
      </c>
      <c r="AB4968">
        <f>RAND()</f>
        <v/>
      </c>
      <c r="AC4968">
        <f>RAND()</f>
        <v/>
      </c>
      <c r="AD4968">
        <f>RAND()</f>
        <v/>
      </c>
      <c r="AE4968">
        <f>RAND()</f>
        <v/>
      </c>
      <c r="AF4968">
        <f>RAND()</f>
        <v/>
      </c>
    </row>
    <row r="4969">
      <c r="M4969" s="14">
        <f>_xlfn.BETA.INV($AA4969,1+4*($D$5-$C$5)/($E$5-$C$5),1+4*($E$5-$D$5)/($E$5-$C$5),$C$5,$E$5)</f>
        <v/>
      </c>
      <c r="N4969" s="14">
        <f>IF($AB4969&lt;($D$6-$C$6)/($E$6-$C$6),$C$6+SQRT($AB4969*($E$6-$C$6)*($D$6-$C$6)),$E$6-SQRT((1-$AB4969)*($E$6-$C$6)*($E$6-$D$6)))</f>
        <v/>
      </c>
      <c r="O4969" s="14">
        <f>_xlfn.NORM.INV($AC4969,$C$7,$D$7)</f>
        <v/>
      </c>
      <c r="P4969" s="14">
        <f>$C$8+($D$8-$C$8)*$AD4969</f>
        <v/>
      </c>
      <c r="Q4969" s="14">
        <f>$C$9</f>
        <v/>
      </c>
      <c r="R4969" s="14">
        <f>_xlfn.LOGNORM.INV($AF4969,LN($C$10)-0.5*LN(1+($D$10/$C$10)^2),SQRT(LN(1+($D$10/$C$10)^2)))</f>
        <v/>
      </c>
      <c r="S4969" s="14">
        <f>SUM(M4969:R4969)</f>
        <v/>
      </c>
      <c r="AA4969">
        <f>RAND()</f>
        <v/>
      </c>
      <c r="AB4969">
        <f>RAND()</f>
        <v/>
      </c>
      <c r="AC4969">
        <f>RAND()</f>
        <v/>
      </c>
      <c r="AD4969">
        <f>RAND()</f>
        <v/>
      </c>
      <c r="AE4969">
        <f>RAND()</f>
        <v/>
      </c>
      <c r="AF4969">
        <f>RAND()</f>
        <v/>
      </c>
    </row>
    <row r="4970">
      <c r="M4970" s="14">
        <f>_xlfn.BETA.INV($AA4970,1+4*($D$5-$C$5)/($E$5-$C$5),1+4*($E$5-$D$5)/($E$5-$C$5),$C$5,$E$5)</f>
        <v/>
      </c>
      <c r="N4970" s="14">
        <f>IF($AB4970&lt;($D$6-$C$6)/($E$6-$C$6),$C$6+SQRT($AB4970*($E$6-$C$6)*($D$6-$C$6)),$E$6-SQRT((1-$AB4970)*($E$6-$C$6)*($E$6-$D$6)))</f>
        <v/>
      </c>
      <c r="O4970" s="14">
        <f>_xlfn.NORM.INV($AC4970,$C$7,$D$7)</f>
        <v/>
      </c>
      <c r="P4970" s="14">
        <f>$C$8+($D$8-$C$8)*$AD4970</f>
        <v/>
      </c>
      <c r="Q4970" s="14">
        <f>$C$9</f>
        <v/>
      </c>
      <c r="R4970" s="14">
        <f>_xlfn.LOGNORM.INV($AF4970,LN($C$10)-0.5*LN(1+($D$10/$C$10)^2),SQRT(LN(1+($D$10/$C$10)^2)))</f>
        <v/>
      </c>
      <c r="S4970" s="14">
        <f>SUM(M4970:R4970)</f>
        <v/>
      </c>
      <c r="AA4970">
        <f>RAND()</f>
        <v/>
      </c>
      <c r="AB4970">
        <f>RAND()</f>
        <v/>
      </c>
      <c r="AC4970">
        <f>RAND()</f>
        <v/>
      </c>
      <c r="AD4970">
        <f>RAND()</f>
        <v/>
      </c>
      <c r="AE4970">
        <f>RAND()</f>
        <v/>
      </c>
      <c r="AF4970">
        <f>RAND()</f>
        <v/>
      </c>
    </row>
    <row r="4971">
      <c r="M4971" s="14">
        <f>_xlfn.BETA.INV($AA4971,1+4*($D$5-$C$5)/($E$5-$C$5),1+4*($E$5-$D$5)/($E$5-$C$5),$C$5,$E$5)</f>
        <v/>
      </c>
      <c r="N4971" s="14">
        <f>IF($AB4971&lt;($D$6-$C$6)/($E$6-$C$6),$C$6+SQRT($AB4971*($E$6-$C$6)*($D$6-$C$6)),$E$6-SQRT((1-$AB4971)*($E$6-$C$6)*($E$6-$D$6)))</f>
        <v/>
      </c>
      <c r="O4971" s="14">
        <f>_xlfn.NORM.INV($AC4971,$C$7,$D$7)</f>
        <v/>
      </c>
      <c r="P4971" s="14">
        <f>$C$8+($D$8-$C$8)*$AD4971</f>
        <v/>
      </c>
      <c r="Q4971" s="14">
        <f>$C$9</f>
        <v/>
      </c>
      <c r="R4971" s="14">
        <f>_xlfn.LOGNORM.INV($AF4971,LN($C$10)-0.5*LN(1+($D$10/$C$10)^2),SQRT(LN(1+($D$10/$C$10)^2)))</f>
        <v/>
      </c>
      <c r="S4971" s="14">
        <f>SUM(M4971:R4971)</f>
        <v/>
      </c>
      <c r="AA4971">
        <f>RAND()</f>
        <v/>
      </c>
      <c r="AB4971">
        <f>RAND()</f>
        <v/>
      </c>
      <c r="AC4971">
        <f>RAND()</f>
        <v/>
      </c>
      <c r="AD4971">
        <f>RAND()</f>
        <v/>
      </c>
      <c r="AE4971">
        <f>RAND()</f>
        <v/>
      </c>
      <c r="AF4971">
        <f>RAND()</f>
        <v/>
      </c>
    </row>
    <row r="4972">
      <c r="M4972" s="14">
        <f>_xlfn.BETA.INV($AA4972,1+4*($D$5-$C$5)/($E$5-$C$5),1+4*($E$5-$D$5)/($E$5-$C$5),$C$5,$E$5)</f>
        <v/>
      </c>
      <c r="N4972" s="14">
        <f>IF($AB4972&lt;($D$6-$C$6)/($E$6-$C$6),$C$6+SQRT($AB4972*($E$6-$C$6)*($D$6-$C$6)),$E$6-SQRT((1-$AB4972)*($E$6-$C$6)*($E$6-$D$6)))</f>
        <v/>
      </c>
      <c r="O4972" s="14">
        <f>_xlfn.NORM.INV($AC4972,$C$7,$D$7)</f>
        <v/>
      </c>
      <c r="P4972" s="14">
        <f>$C$8+($D$8-$C$8)*$AD4972</f>
        <v/>
      </c>
      <c r="Q4972" s="14">
        <f>$C$9</f>
        <v/>
      </c>
      <c r="R4972" s="14">
        <f>_xlfn.LOGNORM.INV($AF4972,LN($C$10)-0.5*LN(1+($D$10/$C$10)^2),SQRT(LN(1+($D$10/$C$10)^2)))</f>
        <v/>
      </c>
      <c r="S4972" s="14">
        <f>SUM(M4972:R4972)</f>
        <v/>
      </c>
      <c r="AA4972">
        <f>RAND()</f>
        <v/>
      </c>
      <c r="AB4972">
        <f>RAND()</f>
        <v/>
      </c>
      <c r="AC4972">
        <f>RAND()</f>
        <v/>
      </c>
      <c r="AD4972">
        <f>RAND()</f>
        <v/>
      </c>
      <c r="AE4972">
        <f>RAND()</f>
        <v/>
      </c>
      <c r="AF4972">
        <f>RAND()</f>
        <v/>
      </c>
    </row>
    <row r="4973">
      <c r="M4973" s="14">
        <f>_xlfn.BETA.INV($AA4973,1+4*($D$5-$C$5)/($E$5-$C$5),1+4*($E$5-$D$5)/($E$5-$C$5),$C$5,$E$5)</f>
        <v/>
      </c>
      <c r="N4973" s="14">
        <f>IF($AB4973&lt;($D$6-$C$6)/($E$6-$C$6),$C$6+SQRT($AB4973*($E$6-$C$6)*($D$6-$C$6)),$E$6-SQRT((1-$AB4973)*($E$6-$C$6)*($E$6-$D$6)))</f>
        <v/>
      </c>
      <c r="O4973" s="14">
        <f>_xlfn.NORM.INV($AC4973,$C$7,$D$7)</f>
        <v/>
      </c>
      <c r="P4973" s="14">
        <f>$C$8+($D$8-$C$8)*$AD4973</f>
        <v/>
      </c>
      <c r="Q4973" s="14">
        <f>$C$9</f>
        <v/>
      </c>
      <c r="R4973" s="14">
        <f>_xlfn.LOGNORM.INV($AF4973,LN($C$10)-0.5*LN(1+($D$10/$C$10)^2),SQRT(LN(1+($D$10/$C$10)^2)))</f>
        <v/>
      </c>
      <c r="S4973" s="14">
        <f>SUM(M4973:R4973)</f>
        <v/>
      </c>
      <c r="AA4973">
        <f>RAND()</f>
        <v/>
      </c>
      <c r="AB4973">
        <f>RAND()</f>
        <v/>
      </c>
      <c r="AC4973">
        <f>RAND()</f>
        <v/>
      </c>
      <c r="AD4973">
        <f>RAND()</f>
        <v/>
      </c>
      <c r="AE4973">
        <f>RAND()</f>
        <v/>
      </c>
      <c r="AF4973">
        <f>RAND()</f>
        <v/>
      </c>
    </row>
    <row r="4974">
      <c r="M4974" s="14">
        <f>_xlfn.BETA.INV($AA4974,1+4*($D$5-$C$5)/($E$5-$C$5),1+4*($E$5-$D$5)/($E$5-$C$5),$C$5,$E$5)</f>
        <v/>
      </c>
      <c r="N4974" s="14">
        <f>IF($AB4974&lt;($D$6-$C$6)/($E$6-$C$6),$C$6+SQRT($AB4974*($E$6-$C$6)*($D$6-$C$6)),$E$6-SQRT((1-$AB4974)*($E$6-$C$6)*($E$6-$D$6)))</f>
        <v/>
      </c>
      <c r="O4974" s="14">
        <f>_xlfn.NORM.INV($AC4974,$C$7,$D$7)</f>
        <v/>
      </c>
      <c r="P4974" s="14">
        <f>$C$8+($D$8-$C$8)*$AD4974</f>
        <v/>
      </c>
      <c r="Q4974" s="14">
        <f>$C$9</f>
        <v/>
      </c>
      <c r="R4974" s="14">
        <f>_xlfn.LOGNORM.INV($AF4974,LN($C$10)-0.5*LN(1+($D$10/$C$10)^2),SQRT(LN(1+($D$10/$C$10)^2)))</f>
        <v/>
      </c>
      <c r="S4974" s="14">
        <f>SUM(M4974:R4974)</f>
        <v/>
      </c>
      <c r="AA4974">
        <f>RAND()</f>
        <v/>
      </c>
      <c r="AB4974">
        <f>RAND()</f>
        <v/>
      </c>
      <c r="AC4974">
        <f>RAND()</f>
        <v/>
      </c>
      <c r="AD4974">
        <f>RAND()</f>
        <v/>
      </c>
      <c r="AE4974">
        <f>RAND()</f>
        <v/>
      </c>
      <c r="AF4974">
        <f>RAND()</f>
        <v/>
      </c>
    </row>
    <row r="4975">
      <c r="M4975" s="14">
        <f>_xlfn.BETA.INV($AA4975,1+4*($D$5-$C$5)/($E$5-$C$5),1+4*($E$5-$D$5)/($E$5-$C$5),$C$5,$E$5)</f>
        <v/>
      </c>
      <c r="N4975" s="14">
        <f>IF($AB4975&lt;($D$6-$C$6)/($E$6-$C$6),$C$6+SQRT($AB4975*($E$6-$C$6)*($D$6-$C$6)),$E$6-SQRT((1-$AB4975)*($E$6-$C$6)*($E$6-$D$6)))</f>
        <v/>
      </c>
      <c r="O4975" s="14">
        <f>_xlfn.NORM.INV($AC4975,$C$7,$D$7)</f>
        <v/>
      </c>
      <c r="P4975" s="14">
        <f>$C$8+($D$8-$C$8)*$AD4975</f>
        <v/>
      </c>
      <c r="Q4975" s="14">
        <f>$C$9</f>
        <v/>
      </c>
      <c r="R4975" s="14">
        <f>_xlfn.LOGNORM.INV($AF4975,LN($C$10)-0.5*LN(1+($D$10/$C$10)^2),SQRT(LN(1+($D$10/$C$10)^2)))</f>
        <v/>
      </c>
      <c r="S4975" s="14">
        <f>SUM(M4975:R4975)</f>
        <v/>
      </c>
      <c r="AA4975">
        <f>RAND()</f>
        <v/>
      </c>
      <c r="AB4975">
        <f>RAND()</f>
        <v/>
      </c>
      <c r="AC4975">
        <f>RAND()</f>
        <v/>
      </c>
      <c r="AD4975">
        <f>RAND()</f>
        <v/>
      </c>
      <c r="AE4975">
        <f>RAND()</f>
        <v/>
      </c>
      <c r="AF4975">
        <f>RAND()</f>
        <v/>
      </c>
    </row>
    <row r="4976">
      <c r="M4976" s="14">
        <f>_xlfn.BETA.INV($AA4976,1+4*($D$5-$C$5)/($E$5-$C$5),1+4*($E$5-$D$5)/($E$5-$C$5),$C$5,$E$5)</f>
        <v/>
      </c>
      <c r="N4976" s="14">
        <f>IF($AB4976&lt;($D$6-$C$6)/($E$6-$C$6),$C$6+SQRT($AB4976*($E$6-$C$6)*($D$6-$C$6)),$E$6-SQRT((1-$AB4976)*($E$6-$C$6)*($E$6-$D$6)))</f>
        <v/>
      </c>
      <c r="O4976" s="14">
        <f>_xlfn.NORM.INV($AC4976,$C$7,$D$7)</f>
        <v/>
      </c>
      <c r="P4976" s="14">
        <f>$C$8+($D$8-$C$8)*$AD4976</f>
        <v/>
      </c>
      <c r="Q4976" s="14">
        <f>$C$9</f>
        <v/>
      </c>
      <c r="R4976" s="14">
        <f>_xlfn.LOGNORM.INV($AF4976,LN($C$10)-0.5*LN(1+($D$10/$C$10)^2),SQRT(LN(1+($D$10/$C$10)^2)))</f>
        <v/>
      </c>
      <c r="S4976" s="14">
        <f>SUM(M4976:R4976)</f>
        <v/>
      </c>
      <c r="AA4976">
        <f>RAND()</f>
        <v/>
      </c>
      <c r="AB4976">
        <f>RAND()</f>
        <v/>
      </c>
      <c r="AC4976">
        <f>RAND()</f>
        <v/>
      </c>
      <c r="AD4976">
        <f>RAND()</f>
        <v/>
      </c>
      <c r="AE4976">
        <f>RAND()</f>
        <v/>
      </c>
      <c r="AF4976">
        <f>RAND()</f>
        <v/>
      </c>
    </row>
    <row r="4977">
      <c r="M4977" s="14">
        <f>_xlfn.BETA.INV($AA4977,1+4*($D$5-$C$5)/($E$5-$C$5),1+4*($E$5-$D$5)/($E$5-$C$5),$C$5,$E$5)</f>
        <v/>
      </c>
      <c r="N4977" s="14">
        <f>IF($AB4977&lt;($D$6-$C$6)/($E$6-$C$6),$C$6+SQRT($AB4977*($E$6-$C$6)*($D$6-$C$6)),$E$6-SQRT((1-$AB4977)*($E$6-$C$6)*($E$6-$D$6)))</f>
        <v/>
      </c>
      <c r="O4977" s="14">
        <f>_xlfn.NORM.INV($AC4977,$C$7,$D$7)</f>
        <v/>
      </c>
      <c r="P4977" s="14">
        <f>$C$8+($D$8-$C$8)*$AD4977</f>
        <v/>
      </c>
      <c r="Q4977" s="14">
        <f>$C$9</f>
        <v/>
      </c>
      <c r="R4977" s="14">
        <f>_xlfn.LOGNORM.INV($AF4977,LN($C$10)-0.5*LN(1+($D$10/$C$10)^2),SQRT(LN(1+($D$10/$C$10)^2)))</f>
        <v/>
      </c>
      <c r="S4977" s="14">
        <f>SUM(M4977:R4977)</f>
        <v/>
      </c>
      <c r="AA4977">
        <f>RAND()</f>
        <v/>
      </c>
      <c r="AB4977">
        <f>RAND()</f>
        <v/>
      </c>
      <c r="AC4977">
        <f>RAND()</f>
        <v/>
      </c>
      <c r="AD4977">
        <f>RAND()</f>
        <v/>
      </c>
      <c r="AE4977">
        <f>RAND()</f>
        <v/>
      </c>
      <c r="AF4977">
        <f>RAND()</f>
        <v/>
      </c>
    </row>
    <row r="4978">
      <c r="M4978" s="14">
        <f>_xlfn.BETA.INV($AA4978,1+4*($D$5-$C$5)/($E$5-$C$5),1+4*($E$5-$D$5)/($E$5-$C$5),$C$5,$E$5)</f>
        <v/>
      </c>
      <c r="N4978" s="14">
        <f>IF($AB4978&lt;($D$6-$C$6)/($E$6-$C$6),$C$6+SQRT($AB4978*($E$6-$C$6)*($D$6-$C$6)),$E$6-SQRT((1-$AB4978)*($E$6-$C$6)*($E$6-$D$6)))</f>
        <v/>
      </c>
      <c r="O4978" s="14">
        <f>_xlfn.NORM.INV($AC4978,$C$7,$D$7)</f>
        <v/>
      </c>
      <c r="P4978" s="14">
        <f>$C$8+($D$8-$C$8)*$AD4978</f>
        <v/>
      </c>
      <c r="Q4978" s="14">
        <f>$C$9</f>
        <v/>
      </c>
      <c r="R4978" s="14">
        <f>_xlfn.LOGNORM.INV($AF4978,LN($C$10)-0.5*LN(1+($D$10/$C$10)^2),SQRT(LN(1+($D$10/$C$10)^2)))</f>
        <v/>
      </c>
      <c r="S4978" s="14">
        <f>SUM(M4978:R4978)</f>
        <v/>
      </c>
      <c r="AA4978">
        <f>RAND()</f>
        <v/>
      </c>
      <c r="AB4978">
        <f>RAND()</f>
        <v/>
      </c>
      <c r="AC4978">
        <f>RAND()</f>
        <v/>
      </c>
      <c r="AD4978">
        <f>RAND()</f>
        <v/>
      </c>
      <c r="AE4978">
        <f>RAND()</f>
        <v/>
      </c>
      <c r="AF4978">
        <f>RAND()</f>
        <v/>
      </c>
    </row>
    <row r="4979">
      <c r="M4979" s="14">
        <f>_xlfn.BETA.INV($AA4979,1+4*($D$5-$C$5)/($E$5-$C$5),1+4*($E$5-$D$5)/($E$5-$C$5),$C$5,$E$5)</f>
        <v/>
      </c>
      <c r="N4979" s="14">
        <f>IF($AB4979&lt;($D$6-$C$6)/($E$6-$C$6),$C$6+SQRT($AB4979*($E$6-$C$6)*($D$6-$C$6)),$E$6-SQRT((1-$AB4979)*($E$6-$C$6)*($E$6-$D$6)))</f>
        <v/>
      </c>
      <c r="O4979" s="14">
        <f>_xlfn.NORM.INV($AC4979,$C$7,$D$7)</f>
        <v/>
      </c>
      <c r="P4979" s="14">
        <f>$C$8+($D$8-$C$8)*$AD4979</f>
        <v/>
      </c>
      <c r="Q4979" s="14">
        <f>$C$9</f>
        <v/>
      </c>
      <c r="R4979" s="14">
        <f>_xlfn.LOGNORM.INV($AF4979,LN($C$10)-0.5*LN(1+($D$10/$C$10)^2),SQRT(LN(1+($D$10/$C$10)^2)))</f>
        <v/>
      </c>
      <c r="S4979" s="14">
        <f>SUM(M4979:R4979)</f>
        <v/>
      </c>
      <c r="AA4979">
        <f>RAND()</f>
        <v/>
      </c>
      <c r="AB4979">
        <f>RAND()</f>
        <v/>
      </c>
      <c r="AC4979">
        <f>RAND()</f>
        <v/>
      </c>
      <c r="AD4979">
        <f>RAND()</f>
        <v/>
      </c>
      <c r="AE4979">
        <f>RAND()</f>
        <v/>
      </c>
      <c r="AF4979">
        <f>RAND()</f>
        <v/>
      </c>
    </row>
    <row r="4980">
      <c r="M4980" s="14">
        <f>_xlfn.BETA.INV($AA4980,1+4*($D$5-$C$5)/($E$5-$C$5),1+4*($E$5-$D$5)/($E$5-$C$5),$C$5,$E$5)</f>
        <v/>
      </c>
      <c r="N4980" s="14">
        <f>IF($AB4980&lt;($D$6-$C$6)/($E$6-$C$6),$C$6+SQRT($AB4980*($E$6-$C$6)*($D$6-$C$6)),$E$6-SQRT((1-$AB4980)*($E$6-$C$6)*($E$6-$D$6)))</f>
        <v/>
      </c>
      <c r="O4980" s="14">
        <f>_xlfn.NORM.INV($AC4980,$C$7,$D$7)</f>
        <v/>
      </c>
      <c r="P4980" s="14">
        <f>$C$8+($D$8-$C$8)*$AD4980</f>
        <v/>
      </c>
      <c r="Q4980" s="14">
        <f>$C$9</f>
        <v/>
      </c>
      <c r="R4980" s="14">
        <f>_xlfn.LOGNORM.INV($AF4980,LN($C$10)-0.5*LN(1+($D$10/$C$10)^2),SQRT(LN(1+($D$10/$C$10)^2)))</f>
        <v/>
      </c>
      <c r="S4980" s="14">
        <f>SUM(M4980:R4980)</f>
        <v/>
      </c>
      <c r="AA4980">
        <f>RAND()</f>
        <v/>
      </c>
      <c r="AB4980">
        <f>RAND()</f>
        <v/>
      </c>
      <c r="AC4980">
        <f>RAND()</f>
        <v/>
      </c>
      <c r="AD4980">
        <f>RAND()</f>
        <v/>
      </c>
      <c r="AE4980">
        <f>RAND()</f>
        <v/>
      </c>
      <c r="AF4980">
        <f>RAND()</f>
        <v/>
      </c>
    </row>
    <row r="4981">
      <c r="M4981" s="14">
        <f>_xlfn.BETA.INV($AA4981,1+4*($D$5-$C$5)/($E$5-$C$5),1+4*($E$5-$D$5)/($E$5-$C$5),$C$5,$E$5)</f>
        <v/>
      </c>
      <c r="N4981" s="14">
        <f>IF($AB4981&lt;($D$6-$C$6)/($E$6-$C$6),$C$6+SQRT($AB4981*($E$6-$C$6)*($D$6-$C$6)),$E$6-SQRT((1-$AB4981)*($E$6-$C$6)*($E$6-$D$6)))</f>
        <v/>
      </c>
      <c r="O4981" s="14">
        <f>_xlfn.NORM.INV($AC4981,$C$7,$D$7)</f>
        <v/>
      </c>
      <c r="P4981" s="14">
        <f>$C$8+($D$8-$C$8)*$AD4981</f>
        <v/>
      </c>
      <c r="Q4981" s="14">
        <f>$C$9</f>
        <v/>
      </c>
      <c r="R4981" s="14">
        <f>_xlfn.LOGNORM.INV($AF4981,LN($C$10)-0.5*LN(1+($D$10/$C$10)^2),SQRT(LN(1+($D$10/$C$10)^2)))</f>
        <v/>
      </c>
      <c r="S4981" s="14">
        <f>SUM(M4981:R4981)</f>
        <v/>
      </c>
      <c r="AA4981">
        <f>RAND()</f>
        <v/>
      </c>
      <c r="AB4981">
        <f>RAND()</f>
        <v/>
      </c>
      <c r="AC4981">
        <f>RAND()</f>
        <v/>
      </c>
      <c r="AD4981">
        <f>RAND()</f>
        <v/>
      </c>
      <c r="AE4981">
        <f>RAND()</f>
        <v/>
      </c>
      <c r="AF4981">
        <f>RAND()</f>
        <v/>
      </c>
    </row>
    <row r="4982">
      <c r="M4982" s="14">
        <f>_xlfn.BETA.INV($AA4982,1+4*($D$5-$C$5)/($E$5-$C$5),1+4*($E$5-$D$5)/($E$5-$C$5),$C$5,$E$5)</f>
        <v/>
      </c>
      <c r="N4982" s="14">
        <f>IF($AB4982&lt;($D$6-$C$6)/($E$6-$C$6),$C$6+SQRT($AB4982*($E$6-$C$6)*($D$6-$C$6)),$E$6-SQRT((1-$AB4982)*($E$6-$C$6)*($E$6-$D$6)))</f>
        <v/>
      </c>
      <c r="O4982" s="14">
        <f>_xlfn.NORM.INV($AC4982,$C$7,$D$7)</f>
        <v/>
      </c>
      <c r="P4982" s="14">
        <f>$C$8+($D$8-$C$8)*$AD4982</f>
        <v/>
      </c>
      <c r="Q4982" s="14">
        <f>$C$9</f>
        <v/>
      </c>
      <c r="R4982" s="14">
        <f>_xlfn.LOGNORM.INV($AF4982,LN($C$10)-0.5*LN(1+($D$10/$C$10)^2),SQRT(LN(1+($D$10/$C$10)^2)))</f>
        <v/>
      </c>
      <c r="S4982" s="14">
        <f>SUM(M4982:R4982)</f>
        <v/>
      </c>
      <c r="AA4982">
        <f>RAND()</f>
        <v/>
      </c>
      <c r="AB4982">
        <f>RAND()</f>
        <v/>
      </c>
      <c r="AC4982">
        <f>RAND()</f>
        <v/>
      </c>
      <c r="AD4982">
        <f>RAND()</f>
        <v/>
      </c>
      <c r="AE4982">
        <f>RAND()</f>
        <v/>
      </c>
      <c r="AF4982">
        <f>RAND()</f>
        <v/>
      </c>
    </row>
    <row r="4983">
      <c r="M4983" s="14">
        <f>_xlfn.BETA.INV($AA4983,1+4*($D$5-$C$5)/($E$5-$C$5),1+4*($E$5-$D$5)/($E$5-$C$5),$C$5,$E$5)</f>
        <v/>
      </c>
      <c r="N4983" s="14">
        <f>IF($AB4983&lt;($D$6-$C$6)/($E$6-$C$6),$C$6+SQRT($AB4983*($E$6-$C$6)*($D$6-$C$6)),$E$6-SQRT((1-$AB4983)*($E$6-$C$6)*($E$6-$D$6)))</f>
        <v/>
      </c>
      <c r="O4983" s="14">
        <f>_xlfn.NORM.INV($AC4983,$C$7,$D$7)</f>
        <v/>
      </c>
      <c r="P4983" s="14">
        <f>$C$8+($D$8-$C$8)*$AD4983</f>
        <v/>
      </c>
      <c r="Q4983" s="14">
        <f>$C$9</f>
        <v/>
      </c>
      <c r="R4983" s="14">
        <f>_xlfn.LOGNORM.INV($AF4983,LN($C$10)-0.5*LN(1+($D$10/$C$10)^2),SQRT(LN(1+($D$10/$C$10)^2)))</f>
        <v/>
      </c>
      <c r="S4983" s="14">
        <f>SUM(M4983:R4983)</f>
        <v/>
      </c>
      <c r="AA4983">
        <f>RAND()</f>
        <v/>
      </c>
      <c r="AB4983">
        <f>RAND()</f>
        <v/>
      </c>
      <c r="AC4983">
        <f>RAND()</f>
        <v/>
      </c>
      <c r="AD4983">
        <f>RAND()</f>
        <v/>
      </c>
      <c r="AE4983">
        <f>RAND()</f>
        <v/>
      </c>
      <c r="AF4983">
        <f>RAND()</f>
        <v/>
      </c>
    </row>
    <row r="4984">
      <c r="M4984" s="14">
        <f>_xlfn.BETA.INV($AA4984,1+4*($D$5-$C$5)/($E$5-$C$5),1+4*($E$5-$D$5)/($E$5-$C$5),$C$5,$E$5)</f>
        <v/>
      </c>
      <c r="N4984" s="14">
        <f>IF($AB4984&lt;($D$6-$C$6)/($E$6-$C$6),$C$6+SQRT($AB4984*($E$6-$C$6)*($D$6-$C$6)),$E$6-SQRT((1-$AB4984)*($E$6-$C$6)*($E$6-$D$6)))</f>
        <v/>
      </c>
      <c r="O4984" s="14">
        <f>_xlfn.NORM.INV($AC4984,$C$7,$D$7)</f>
        <v/>
      </c>
      <c r="P4984" s="14">
        <f>$C$8+($D$8-$C$8)*$AD4984</f>
        <v/>
      </c>
      <c r="Q4984" s="14">
        <f>$C$9</f>
        <v/>
      </c>
      <c r="R4984" s="14">
        <f>_xlfn.LOGNORM.INV($AF4984,LN($C$10)-0.5*LN(1+($D$10/$C$10)^2),SQRT(LN(1+($D$10/$C$10)^2)))</f>
        <v/>
      </c>
      <c r="S4984" s="14">
        <f>SUM(M4984:R4984)</f>
        <v/>
      </c>
      <c r="AA4984">
        <f>RAND()</f>
        <v/>
      </c>
      <c r="AB4984">
        <f>RAND()</f>
        <v/>
      </c>
      <c r="AC4984">
        <f>RAND()</f>
        <v/>
      </c>
      <c r="AD4984">
        <f>RAND()</f>
        <v/>
      </c>
      <c r="AE4984">
        <f>RAND()</f>
        <v/>
      </c>
      <c r="AF4984">
        <f>RAND()</f>
        <v/>
      </c>
    </row>
    <row r="4985">
      <c r="M4985" s="14">
        <f>_xlfn.BETA.INV($AA4985,1+4*($D$5-$C$5)/($E$5-$C$5),1+4*($E$5-$D$5)/($E$5-$C$5),$C$5,$E$5)</f>
        <v/>
      </c>
      <c r="N4985" s="14">
        <f>IF($AB4985&lt;($D$6-$C$6)/($E$6-$C$6),$C$6+SQRT($AB4985*($E$6-$C$6)*($D$6-$C$6)),$E$6-SQRT((1-$AB4985)*($E$6-$C$6)*($E$6-$D$6)))</f>
        <v/>
      </c>
      <c r="O4985" s="14">
        <f>_xlfn.NORM.INV($AC4985,$C$7,$D$7)</f>
        <v/>
      </c>
      <c r="P4985" s="14">
        <f>$C$8+($D$8-$C$8)*$AD4985</f>
        <v/>
      </c>
      <c r="Q4985" s="14">
        <f>$C$9</f>
        <v/>
      </c>
      <c r="R4985" s="14">
        <f>_xlfn.LOGNORM.INV($AF4985,LN($C$10)-0.5*LN(1+($D$10/$C$10)^2),SQRT(LN(1+($D$10/$C$10)^2)))</f>
        <v/>
      </c>
      <c r="S4985" s="14">
        <f>SUM(M4985:R4985)</f>
        <v/>
      </c>
      <c r="AA4985">
        <f>RAND()</f>
        <v/>
      </c>
      <c r="AB4985">
        <f>RAND()</f>
        <v/>
      </c>
      <c r="AC4985">
        <f>RAND()</f>
        <v/>
      </c>
      <c r="AD4985">
        <f>RAND()</f>
        <v/>
      </c>
      <c r="AE4985">
        <f>RAND()</f>
        <v/>
      </c>
      <c r="AF4985">
        <f>RAND()</f>
        <v/>
      </c>
    </row>
    <row r="4986">
      <c r="M4986" s="14">
        <f>_xlfn.BETA.INV($AA4986,1+4*($D$5-$C$5)/($E$5-$C$5),1+4*($E$5-$D$5)/($E$5-$C$5),$C$5,$E$5)</f>
        <v/>
      </c>
      <c r="N4986" s="14">
        <f>IF($AB4986&lt;($D$6-$C$6)/($E$6-$C$6),$C$6+SQRT($AB4986*($E$6-$C$6)*($D$6-$C$6)),$E$6-SQRT((1-$AB4986)*($E$6-$C$6)*($E$6-$D$6)))</f>
        <v/>
      </c>
      <c r="O4986" s="14">
        <f>_xlfn.NORM.INV($AC4986,$C$7,$D$7)</f>
        <v/>
      </c>
      <c r="P4986" s="14">
        <f>$C$8+($D$8-$C$8)*$AD4986</f>
        <v/>
      </c>
      <c r="Q4986" s="14">
        <f>$C$9</f>
        <v/>
      </c>
      <c r="R4986" s="14">
        <f>_xlfn.LOGNORM.INV($AF4986,LN($C$10)-0.5*LN(1+($D$10/$C$10)^2),SQRT(LN(1+($D$10/$C$10)^2)))</f>
        <v/>
      </c>
      <c r="S4986" s="14">
        <f>SUM(M4986:R4986)</f>
        <v/>
      </c>
      <c r="AA4986">
        <f>RAND()</f>
        <v/>
      </c>
      <c r="AB4986">
        <f>RAND()</f>
        <v/>
      </c>
      <c r="AC4986">
        <f>RAND()</f>
        <v/>
      </c>
      <c r="AD4986">
        <f>RAND()</f>
        <v/>
      </c>
      <c r="AE4986">
        <f>RAND()</f>
        <v/>
      </c>
      <c r="AF4986">
        <f>RAND()</f>
        <v/>
      </c>
    </row>
    <row r="4987">
      <c r="M4987" s="14">
        <f>_xlfn.BETA.INV($AA4987,1+4*($D$5-$C$5)/($E$5-$C$5),1+4*($E$5-$D$5)/($E$5-$C$5),$C$5,$E$5)</f>
        <v/>
      </c>
      <c r="N4987" s="14">
        <f>IF($AB4987&lt;($D$6-$C$6)/($E$6-$C$6),$C$6+SQRT($AB4987*($E$6-$C$6)*($D$6-$C$6)),$E$6-SQRT((1-$AB4987)*($E$6-$C$6)*($E$6-$D$6)))</f>
        <v/>
      </c>
      <c r="O4987" s="14">
        <f>_xlfn.NORM.INV($AC4987,$C$7,$D$7)</f>
        <v/>
      </c>
      <c r="P4987" s="14">
        <f>$C$8+($D$8-$C$8)*$AD4987</f>
        <v/>
      </c>
      <c r="Q4987" s="14">
        <f>$C$9</f>
        <v/>
      </c>
      <c r="R4987" s="14">
        <f>_xlfn.LOGNORM.INV($AF4987,LN($C$10)-0.5*LN(1+($D$10/$C$10)^2),SQRT(LN(1+($D$10/$C$10)^2)))</f>
        <v/>
      </c>
      <c r="S4987" s="14">
        <f>SUM(M4987:R4987)</f>
        <v/>
      </c>
      <c r="AA4987">
        <f>RAND()</f>
        <v/>
      </c>
      <c r="AB4987">
        <f>RAND()</f>
        <v/>
      </c>
      <c r="AC4987">
        <f>RAND()</f>
        <v/>
      </c>
      <c r="AD4987">
        <f>RAND()</f>
        <v/>
      </c>
      <c r="AE4987">
        <f>RAND()</f>
        <v/>
      </c>
      <c r="AF4987">
        <f>RAND()</f>
        <v/>
      </c>
    </row>
    <row r="4988">
      <c r="M4988" s="14">
        <f>_xlfn.BETA.INV($AA4988,1+4*($D$5-$C$5)/($E$5-$C$5),1+4*($E$5-$D$5)/($E$5-$C$5),$C$5,$E$5)</f>
        <v/>
      </c>
      <c r="N4988" s="14">
        <f>IF($AB4988&lt;($D$6-$C$6)/($E$6-$C$6),$C$6+SQRT($AB4988*($E$6-$C$6)*($D$6-$C$6)),$E$6-SQRT((1-$AB4988)*($E$6-$C$6)*($E$6-$D$6)))</f>
        <v/>
      </c>
      <c r="O4988" s="14">
        <f>_xlfn.NORM.INV($AC4988,$C$7,$D$7)</f>
        <v/>
      </c>
      <c r="P4988" s="14">
        <f>$C$8+($D$8-$C$8)*$AD4988</f>
        <v/>
      </c>
      <c r="Q4988" s="14">
        <f>$C$9</f>
        <v/>
      </c>
      <c r="R4988" s="14">
        <f>_xlfn.LOGNORM.INV($AF4988,LN($C$10)-0.5*LN(1+($D$10/$C$10)^2),SQRT(LN(1+($D$10/$C$10)^2)))</f>
        <v/>
      </c>
      <c r="S4988" s="14">
        <f>SUM(M4988:R4988)</f>
        <v/>
      </c>
      <c r="AA4988">
        <f>RAND()</f>
        <v/>
      </c>
      <c r="AB4988">
        <f>RAND()</f>
        <v/>
      </c>
      <c r="AC4988">
        <f>RAND()</f>
        <v/>
      </c>
      <c r="AD4988">
        <f>RAND()</f>
        <v/>
      </c>
      <c r="AE4988">
        <f>RAND()</f>
        <v/>
      </c>
      <c r="AF4988">
        <f>RAND()</f>
        <v/>
      </c>
    </row>
    <row r="4989">
      <c r="M4989" s="14">
        <f>_xlfn.BETA.INV($AA4989,1+4*($D$5-$C$5)/($E$5-$C$5),1+4*($E$5-$D$5)/($E$5-$C$5),$C$5,$E$5)</f>
        <v/>
      </c>
      <c r="N4989" s="14">
        <f>IF($AB4989&lt;($D$6-$C$6)/($E$6-$C$6),$C$6+SQRT($AB4989*($E$6-$C$6)*($D$6-$C$6)),$E$6-SQRT((1-$AB4989)*($E$6-$C$6)*($E$6-$D$6)))</f>
        <v/>
      </c>
      <c r="O4989" s="14">
        <f>_xlfn.NORM.INV($AC4989,$C$7,$D$7)</f>
        <v/>
      </c>
      <c r="P4989" s="14">
        <f>$C$8+($D$8-$C$8)*$AD4989</f>
        <v/>
      </c>
      <c r="Q4989" s="14">
        <f>$C$9</f>
        <v/>
      </c>
      <c r="R4989" s="14">
        <f>_xlfn.LOGNORM.INV($AF4989,LN($C$10)-0.5*LN(1+($D$10/$C$10)^2),SQRT(LN(1+($D$10/$C$10)^2)))</f>
        <v/>
      </c>
      <c r="S4989" s="14">
        <f>SUM(M4989:R4989)</f>
        <v/>
      </c>
      <c r="AA4989">
        <f>RAND()</f>
        <v/>
      </c>
      <c r="AB4989">
        <f>RAND()</f>
        <v/>
      </c>
      <c r="AC4989">
        <f>RAND()</f>
        <v/>
      </c>
      <c r="AD4989">
        <f>RAND()</f>
        <v/>
      </c>
      <c r="AE4989">
        <f>RAND()</f>
        <v/>
      </c>
      <c r="AF4989">
        <f>RAND()</f>
        <v/>
      </c>
    </row>
    <row r="4990">
      <c r="M4990" s="14">
        <f>_xlfn.BETA.INV($AA4990,1+4*($D$5-$C$5)/($E$5-$C$5),1+4*($E$5-$D$5)/($E$5-$C$5),$C$5,$E$5)</f>
        <v/>
      </c>
      <c r="N4990" s="14">
        <f>IF($AB4990&lt;($D$6-$C$6)/($E$6-$C$6),$C$6+SQRT($AB4990*($E$6-$C$6)*($D$6-$C$6)),$E$6-SQRT((1-$AB4990)*($E$6-$C$6)*($E$6-$D$6)))</f>
        <v/>
      </c>
      <c r="O4990" s="14">
        <f>_xlfn.NORM.INV($AC4990,$C$7,$D$7)</f>
        <v/>
      </c>
      <c r="P4990" s="14">
        <f>$C$8+($D$8-$C$8)*$AD4990</f>
        <v/>
      </c>
      <c r="Q4990" s="14">
        <f>$C$9</f>
        <v/>
      </c>
      <c r="R4990" s="14">
        <f>_xlfn.LOGNORM.INV($AF4990,LN($C$10)-0.5*LN(1+($D$10/$C$10)^2),SQRT(LN(1+($D$10/$C$10)^2)))</f>
        <v/>
      </c>
      <c r="S4990" s="14">
        <f>SUM(M4990:R4990)</f>
        <v/>
      </c>
      <c r="AA4990">
        <f>RAND()</f>
        <v/>
      </c>
      <c r="AB4990">
        <f>RAND()</f>
        <v/>
      </c>
      <c r="AC4990">
        <f>RAND()</f>
        <v/>
      </c>
      <c r="AD4990">
        <f>RAND()</f>
        <v/>
      </c>
      <c r="AE4990">
        <f>RAND()</f>
        <v/>
      </c>
      <c r="AF4990">
        <f>RAND()</f>
        <v/>
      </c>
    </row>
    <row r="4991">
      <c r="M4991" s="14">
        <f>_xlfn.BETA.INV($AA4991,1+4*($D$5-$C$5)/($E$5-$C$5),1+4*($E$5-$D$5)/($E$5-$C$5),$C$5,$E$5)</f>
        <v/>
      </c>
      <c r="N4991" s="14">
        <f>IF($AB4991&lt;($D$6-$C$6)/($E$6-$C$6),$C$6+SQRT($AB4991*($E$6-$C$6)*($D$6-$C$6)),$E$6-SQRT((1-$AB4991)*($E$6-$C$6)*($E$6-$D$6)))</f>
        <v/>
      </c>
      <c r="O4991" s="14">
        <f>_xlfn.NORM.INV($AC4991,$C$7,$D$7)</f>
        <v/>
      </c>
      <c r="P4991" s="14">
        <f>$C$8+($D$8-$C$8)*$AD4991</f>
        <v/>
      </c>
      <c r="Q4991" s="14">
        <f>$C$9</f>
        <v/>
      </c>
      <c r="R4991" s="14">
        <f>_xlfn.LOGNORM.INV($AF4991,LN($C$10)-0.5*LN(1+($D$10/$C$10)^2),SQRT(LN(1+($D$10/$C$10)^2)))</f>
        <v/>
      </c>
      <c r="S4991" s="14">
        <f>SUM(M4991:R4991)</f>
        <v/>
      </c>
      <c r="AA4991">
        <f>RAND()</f>
        <v/>
      </c>
      <c r="AB4991">
        <f>RAND()</f>
        <v/>
      </c>
      <c r="AC4991">
        <f>RAND()</f>
        <v/>
      </c>
      <c r="AD4991">
        <f>RAND()</f>
        <v/>
      </c>
      <c r="AE4991">
        <f>RAND()</f>
        <v/>
      </c>
      <c r="AF4991">
        <f>RAND()</f>
        <v/>
      </c>
    </row>
    <row r="4992">
      <c r="M4992" s="14">
        <f>_xlfn.BETA.INV($AA4992,1+4*($D$5-$C$5)/($E$5-$C$5),1+4*($E$5-$D$5)/($E$5-$C$5),$C$5,$E$5)</f>
        <v/>
      </c>
      <c r="N4992" s="14">
        <f>IF($AB4992&lt;($D$6-$C$6)/($E$6-$C$6),$C$6+SQRT($AB4992*($E$6-$C$6)*($D$6-$C$6)),$E$6-SQRT((1-$AB4992)*($E$6-$C$6)*($E$6-$D$6)))</f>
        <v/>
      </c>
      <c r="O4992" s="14">
        <f>_xlfn.NORM.INV($AC4992,$C$7,$D$7)</f>
        <v/>
      </c>
      <c r="P4992" s="14">
        <f>$C$8+($D$8-$C$8)*$AD4992</f>
        <v/>
      </c>
      <c r="Q4992" s="14">
        <f>$C$9</f>
        <v/>
      </c>
      <c r="R4992" s="14">
        <f>_xlfn.LOGNORM.INV($AF4992,LN($C$10)-0.5*LN(1+($D$10/$C$10)^2),SQRT(LN(1+($D$10/$C$10)^2)))</f>
        <v/>
      </c>
      <c r="S4992" s="14">
        <f>SUM(M4992:R4992)</f>
        <v/>
      </c>
      <c r="AA4992">
        <f>RAND()</f>
        <v/>
      </c>
      <c r="AB4992">
        <f>RAND()</f>
        <v/>
      </c>
      <c r="AC4992">
        <f>RAND()</f>
        <v/>
      </c>
      <c r="AD4992">
        <f>RAND()</f>
        <v/>
      </c>
      <c r="AE4992">
        <f>RAND()</f>
        <v/>
      </c>
      <c r="AF4992">
        <f>RAND()</f>
        <v/>
      </c>
    </row>
    <row r="4993">
      <c r="M4993" s="14">
        <f>_xlfn.BETA.INV($AA4993,1+4*($D$5-$C$5)/($E$5-$C$5),1+4*($E$5-$D$5)/($E$5-$C$5),$C$5,$E$5)</f>
        <v/>
      </c>
      <c r="N4993" s="14">
        <f>IF($AB4993&lt;($D$6-$C$6)/($E$6-$C$6),$C$6+SQRT($AB4993*($E$6-$C$6)*($D$6-$C$6)),$E$6-SQRT((1-$AB4993)*($E$6-$C$6)*($E$6-$D$6)))</f>
        <v/>
      </c>
      <c r="O4993" s="14">
        <f>_xlfn.NORM.INV($AC4993,$C$7,$D$7)</f>
        <v/>
      </c>
      <c r="P4993" s="14">
        <f>$C$8+($D$8-$C$8)*$AD4993</f>
        <v/>
      </c>
      <c r="Q4993" s="14">
        <f>$C$9</f>
        <v/>
      </c>
      <c r="R4993" s="14">
        <f>_xlfn.LOGNORM.INV($AF4993,LN($C$10)-0.5*LN(1+($D$10/$C$10)^2),SQRT(LN(1+($D$10/$C$10)^2)))</f>
        <v/>
      </c>
      <c r="S4993" s="14">
        <f>SUM(M4993:R4993)</f>
        <v/>
      </c>
      <c r="AA4993">
        <f>RAND()</f>
        <v/>
      </c>
      <c r="AB4993">
        <f>RAND()</f>
        <v/>
      </c>
      <c r="AC4993">
        <f>RAND()</f>
        <v/>
      </c>
      <c r="AD4993">
        <f>RAND()</f>
        <v/>
      </c>
      <c r="AE4993">
        <f>RAND()</f>
        <v/>
      </c>
      <c r="AF4993">
        <f>RAND()</f>
        <v/>
      </c>
    </row>
    <row r="4994">
      <c r="M4994" s="14">
        <f>_xlfn.BETA.INV($AA4994,1+4*($D$5-$C$5)/($E$5-$C$5),1+4*($E$5-$D$5)/($E$5-$C$5),$C$5,$E$5)</f>
        <v/>
      </c>
      <c r="N4994" s="14">
        <f>IF($AB4994&lt;($D$6-$C$6)/($E$6-$C$6),$C$6+SQRT($AB4994*($E$6-$C$6)*($D$6-$C$6)),$E$6-SQRT((1-$AB4994)*($E$6-$C$6)*($E$6-$D$6)))</f>
        <v/>
      </c>
      <c r="O4994" s="14">
        <f>_xlfn.NORM.INV($AC4994,$C$7,$D$7)</f>
        <v/>
      </c>
      <c r="P4994" s="14">
        <f>$C$8+($D$8-$C$8)*$AD4994</f>
        <v/>
      </c>
      <c r="Q4994" s="14">
        <f>$C$9</f>
        <v/>
      </c>
      <c r="R4994" s="14">
        <f>_xlfn.LOGNORM.INV($AF4994,LN($C$10)-0.5*LN(1+($D$10/$C$10)^2),SQRT(LN(1+($D$10/$C$10)^2)))</f>
        <v/>
      </c>
      <c r="S4994" s="14">
        <f>SUM(M4994:R4994)</f>
        <v/>
      </c>
      <c r="AA4994">
        <f>RAND()</f>
        <v/>
      </c>
      <c r="AB4994">
        <f>RAND()</f>
        <v/>
      </c>
      <c r="AC4994">
        <f>RAND()</f>
        <v/>
      </c>
      <c r="AD4994">
        <f>RAND()</f>
        <v/>
      </c>
      <c r="AE4994">
        <f>RAND()</f>
        <v/>
      </c>
      <c r="AF4994">
        <f>RAND()</f>
        <v/>
      </c>
    </row>
    <row r="4995">
      <c r="M4995" s="14">
        <f>_xlfn.BETA.INV($AA4995,1+4*($D$5-$C$5)/($E$5-$C$5),1+4*($E$5-$D$5)/($E$5-$C$5),$C$5,$E$5)</f>
        <v/>
      </c>
      <c r="N4995" s="14">
        <f>IF($AB4995&lt;($D$6-$C$6)/($E$6-$C$6),$C$6+SQRT($AB4995*($E$6-$C$6)*($D$6-$C$6)),$E$6-SQRT((1-$AB4995)*($E$6-$C$6)*($E$6-$D$6)))</f>
        <v/>
      </c>
      <c r="O4995" s="14">
        <f>_xlfn.NORM.INV($AC4995,$C$7,$D$7)</f>
        <v/>
      </c>
      <c r="P4995" s="14">
        <f>$C$8+($D$8-$C$8)*$AD4995</f>
        <v/>
      </c>
      <c r="Q4995" s="14">
        <f>$C$9</f>
        <v/>
      </c>
      <c r="R4995" s="14">
        <f>_xlfn.LOGNORM.INV($AF4995,LN($C$10)-0.5*LN(1+($D$10/$C$10)^2),SQRT(LN(1+($D$10/$C$10)^2)))</f>
        <v/>
      </c>
      <c r="S4995" s="14">
        <f>SUM(M4995:R4995)</f>
        <v/>
      </c>
      <c r="AA4995">
        <f>RAND()</f>
        <v/>
      </c>
      <c r="AB4995">
        <f>RAND()</f>
        <v/>
      </c>
      <c r="AC4995">
        <f>RAND()</f>
        <v/>
      </c>
      <c r="AD4995">
        <f>RAND()</f>
        <v/>
      </c>
      <c r="AE4995">
        <f>RAND()</f>
        <v/>
      </c>
      <c r="AF4995">
        <f>RAND()</f>
        <v/>
      </c>
    </row>
    <row r="4996">
      <c r="M4996" s="14">
        <f>_xlfn.BETA.INV($AA4996,1+4*($D$5-$C$5)/($E$5-$C$5),1+4*($E$5-$D$5)/($E$5-$C$5),$C$5,$E$5)</f>
        <v/>
      </c>
      <c r="N4996" s="14">
        <f>IF($AB4996&lt;($D$6-$C$6)/($E$6-$C$6),$C$6+SQRT($AB4996*($E$6-$C$6)*($D$6-$C$6)),$E$6-SQRT((1-$AB4996)*($E$6-$C$6)*($E$6-$D$6)))</f>
        <v/>
      </c>
      <c r="O4996" s="14">
        <f>_xlfn.NORM.INV($AC4996,$C$7,$D$7)</f>
        <v/>
      </c>
      <c r="P4996" s="14">
        <f>$C$8+($D$8-$C$8)*$AD4996</f>
        <v/>
      </c>
      <c r="Q4996" s="14">
        <f>$C$9</f>
        <v/>
      </c>
      <c r="R4996" s="14">
        <f>_xlfn.LOGNORM.INV($AF4996,LN($C$10)-0.5*LN(1+($D$10/$C$10)^2),SQRT(LN(1+($D$10/$C$10)^2)))</f>
        <v/>
      </c>
      <c r="S4996" s="14">
        <f>SUM(M4996:R4996)</f>
        <v/>
      </c>
      <c r="AA4996">
        <f>RAND()</f>
        <v/>
      </c>
      <c r="AB4996">
        <f>RAND()</f>
        <v/>
      </c>
      <c r="AC4996">
        <f>RAND()</f>
        <v/>
      </c>
      <c r="AD4996">
        <f>RAND()</f>
        <v/>
      </c>
      <c r="AE4996">
        <f>RAND()</f>
        <v/>
      </c>
      <c r="AF4996">
        <f>RAND()</f>
        <v/>
      </c>
    </row>
    <row r="4997">
      <c r="M4997" s="14">
        <f>_xlfn.BETA.INV($AA4997,1+4*($D$5-$C$5)/($E$5-$C$5),1+4*($E$5-$D$5)/($E$5-$C$5),$C$5,$E$5)</f>
        <v/>
      </c>
      <c r="N4997" s="14">
        <f>IF($AB4997&lt;($D$6-$C$6)/($E$6-$C$6),$C$6+SQRT($AB4997*($E$6-$C$6)*($D$6-$C$6)),$E$6-SQRT((1-$AB4997)*($E$6-$C$6)*($E$6-$D$6)))</f>
        <v/>
      </c>
      <c r="O4997" s="14">
        <f>_xlfn.NORM.INV($AC4997,$C$7,$D$7)</f>
        <v/>
      </c>
      <c r="P4997" s="14">
        <f>$C$8+($D$8-$C$8)*$AD4997</f>
        <v/>
      </c>
      <c r="Q4997" s="14">
        <f>$C$9</f>
        <v/>
      </c>
      <c r="R4997" s="14">
        <f>_xlfn.LOGNORM.INV($AF4997,LN($C$10)-0.5*LN(1+($D$10/$C$10)^2),SQRT(LN(1+($D$10/$C$10)^2)))</f>
        <v/>
      </c>
      <c r="S4997" s="14">
        <f>SUM(M4997:R4997)</f>
        <v/>
      </c>
      <c r="AA4997">
        <f>RAND()</f>
        <v/>
      </c>
      <c r="AB4997">
        <f>RAND()</f>
        <v/>
      </c>
      <c r="AC4997">
        <f>RAND()</f>
        <v/>
      </c>
      <c r="AD4997">
        <f>RAND()</f>
        <v/>
      </c>
      <c r="AE4997">
        <f>RAND()</f>
        <v/>
      </c>
      <c r="AF4997">
        <f>RAND()</f>
        <v/>
      </c>
    </row>
    <row r="4998">
      <c r="M4998" s="14">
        <f>_xlfn.BETA.INV($AA4998,1+4*($D$5-$C$5)/($E$5-$C$5),1+4*($E$5-$D$5)/($E$5-$C$5),$C$5,$E$5)</f>
        <v/>
      </c>
      <c r="N4998" s="14">
        <f>IF($AB4998&lt;($D$6-$C$6)/($E$6-$C$6),$C$6+SQRT($AB4998*($E$6-$C$6)*($D$6-$C$6)),$E$6-SQRT((1-$AB4998)*($E$6-$C$6)*($E$6-$D$6)))</f>
        <v/>
      </c>
      <c r="O4998" s="14">
        <f>_xlfn.NORM.INV($AC4998,$C$7,$D$7)</f>
        <v/>
      </c>
      <c r="P4998" s="14">
        <f>$C$8+($D$8-$C$8)*$AD4998</f>
        <v/>
      </c>
      <c r="Q4998" s="14">
        <f>$C$9</f>
        <v/>
      </c>
      <c r="R4998" s="14">
        <f>_xlfn.LOGNORM.INV($AF4998,LN($C$10)-0.5*LN(1+($D$10/$C$10)^2),SQRT(LN(1+($D$10/$C$10)^2)))</f>
        <v/>
      </c>
      <c r="S4998" s="14">
        <f>SUM(M4998:R4998)</f>
        <v/>
      </c>
      <c r="AA4998">
        <f>RAND()</f>
        <v/>
      </c>
      <c r="AB4998">
        <f>RAND()</f>
        <v/>
      </c>
      <c r="AC4998">
        <f>RAND()</f>
        <v/>
      </c>
      <c r="AD4998">
        <f>RAND()</f>
        <v/>
      </c>
      <c r="AE4998">
        <f>RAND()</f>
        <v/>
      </c>
      <c r="AF4998">
        <f>RAND()</f>
        <v/>
      </c>
    </row>
    <row r="4999">
      <c r="M4999" s="14">
        <f>_xlfn.BETA.INV($AA4999,1+4*($D$5-$C$5)/($E$5-$C$5),1+4*($E$5-$D$5)/($E$5-$C$5),$C$5,$E$5)</f>
        <v/>
      </c>
      <c r="N4999" s="14">
        <f>IF($AB4999&lt;($D$6-$C$6)/($E$6-$C$6),$C$6+SQRT($AB4999*($E$6-$C$6)*($D$6-$C$6)),$E$6-SQRT((1-$AB4999)*($E$6-$C$6)*($E$6-$D$6)))</f>
        <v/>
      </c>
      <c r="O4999" s="14">
        <f>_xlfn.NORM.INV($AC4999,$C$7,$D$7)</f>
        <v/>
      </c>
      <c r="P4999" s="14">
        <f>$C$8+($D$8-$C$8)*$AD4999</f>
        <v/>
      </c>
      <c r="Q4999" s="14">
        <f>$C$9</f>
        <v/>
      </c>
      <c r="R4999" s="14">
        <f>_xlfn.LOGNORM.INV($AF4999,LN($C$10)-0.5*LN(1+($D$10/$C$10)^2),SQRT(LN(1+($D$10/$C$10)^2)))</f>
        <v/>
      </c>
      <c r="S4999" s="14">
        <f>SUM(M4999:R4999)</f>
        <v/>
      </c>
      <c r="AA4999">
        <f>RAND()</f>
        <v/>
      </c>
      <c r="AB4999">
        <f>RAND()</f>
        <v/>
      </c>
      <c r="AC4999">
        <f>RAND()</f>
        <v/>
      </c>
      <c r="AD4999">
        <f>RAND()</f>
        <v/>
      </c>
      <c r="AE4999">
        <f>RAND()</f>
        <v/>
      </c>
      <c r="AF4999">
        <f>RAND()</f>
        <v/>
      </c>
    </row>
    <row r="5000">
      <c r="M5000" s="14">
        <f>_xlfn.BETA.INV($AA5000,1+4*($D$5-$C$5)/($E$5-$C$5),1+4*($E$5-$D$5)/($E$5-$C$5),$C$5,$E$5)</f>
        <v/>
      </c>
      <c r="N5000" s="14">
        <f>IF($AB5000&lt;($D$6-$C$6)/($E$6-$C$6),$C$6+SQRT($AB5000*($E$6-$C$6)*($D$6-$C$6)),$E$6-SQRT((1-$AB5000)*($E$6-$C$6)*($E$6-$D$6)))</f>
        <v/>
      </c>
      <c r="O5000" s="14">
        <f>_xlfn.NORM.INV($AC5000,$C$7,$D$7)</f>
        <v/>
      </c>
      <c r="P5000" s="14">
        <f>$C$8+($D$8-$C$8)*$AD5000</f>
        <v/>
      </c>
      <c r="Q5000" s="14">
        <f>$C$9</f>
        <v/>
      </c>
      <c r="R5000" s="14">
        <f>_xlfn.LOGNORM.INV($AF5000,LN($C$10)-0.5*LN(1+($D$10/$C$10)^2),SQRT(LN(1+($D$10/$C$10)^2)))</f>
        <v/>
      </c>
      <c r="S5000" s="14">
        <f>SUM(M5000:R5000)</f>
        <v/>
      </c>
      <c r="AA5000">
        <f>RAND()</f>
        <v/>
      </c>
      <c r="AB5000">
        <f>RAND()</f>
        <v/>
      </c>
      <c r="AC5000">
        <f>RAND()</f>
        <v/>
      </c>
      <c r="AD5000">
        <f>RAND()</f>
        <v/>
      </c>
      <c r="AE5000">
        <f>RAND()</f>
        <v/>
      </c>
      <c r="AF5000">
        <f>RAND()</f>
        <v/>
      </c>
    </row>
    <row r="5001">
      <c r="M5001" s="14">
        <f>_xlfn.BETA.INV($AA5001,1+4*($D$5-$C$5)/($E$5-$C$5),1+4*($E$5-$D$5)/($E$5-$C$5),$C$5,$E$5)</f>
        <v/>
      </c>
      <c r="N5001" s="14">
        <f>IF($AB5001&lt;($D$6-$C$6)/($E$6-$C$6),$C$6+SQRT($AB5001*($E$6-$C$6)*($D$6-$C$6)),$E$6-SQRT((1-$AB5001)*($E$6-$C$6)*($E$6-$D$6)))</f>
        <v/>
      </c>
      <c r="O5001" s="14">
        <f>_xlfn.NORM.INV($AC5001,$C$7,$D$7)</f>
        <v/>
      </c>
      <c r="P5001" s="14">
        <f>$C$8+($D$8-$C$8)*$AD5001</f>
        <v/>
      </c>
      <c r="Q5001" s="14">
        <f>$C$9</f>
        <v/>
      </c>
      <c r="R5001" s="14">
        <f>_xlfn.LOGNORM.INV($AF5001,LN($C$10)-0.5*LN(1+($D$10/$C$10)^2),SQRT(LN(1+($D$10/$C$10)^2)))</f>
        <v/>
      </c>
      <c r="S5001" s="14">
        <f>SUM(M5001:R5001)</f>
        <v/>
      </c>
      <c r="AA5001">
        <f>RAND()</f>
        <v/>
      </c>
      <c r="AB5001">
        <f>RAND()</f>
        <v/>
      </c>
      <c r="AC5001">
        <f>RAND()</f>
        <v/>
      </c>
      <c r="AD5001">
        <f>RAND()</f>
        <v/>
      </c>
      <c r="AE5001">
        <f>RAND()</f>
        <v/>
      </c>
      <c r="AF5001">
        <f>RAND()</f>
        <v/>
      </c>
    </row>
    <row r="5002">
      <c r="M5002" s="14">
        <f>_xlfn.BETA.INV($AA5002,1+4*($D$5-$C$5)/($E$5-$C$5),1+4*($E$5-$D$5)/($E$5-$C$5),$C$5,$E$5)</f>
        <v/>
      </c>
      <c r="N5002" s="14">
        <f>IF($AB5002&lt;($D$6-$C$6)/($E$6-$C$6),$C$6+SQRT($AB5002*($E$6-$C$6)*($D$6-$C$6)),$E$6-SQRT((1-$AB5002)*($E$6-$C$6)*($E$6-$D$6)))</f>
        <v/>
      </c>
      <c r="O5002" s="14">
        <f>_xlfn.NORM.INV($AC5002,$C$7,$D$7)</f>
        <v/>
      </c>
      <c r="P5002" s="14">
        <f>$C$8+($D$8-$C$8)*$AD5002</f>
        <v/>
      </c>
      <c r="Q5002" s="14">
        <f>$C$9</f>
        <v/>
      </c>
      <c r="R5002" s="14">
        <f>_xlfn.LOGNORM.INV($AF5002,LN($C$10)-0.5*LN(1+($D$10/$C$10)^2),SQRT(LN(1+($D$10/$C$10)^2)))</f>
        <v/>
      </c>
      <c r="S5002" s="14">
        <f>SUM(M5002:R5002)</f>
        <v/>
      </c>
      <c r="AA5002">
        <f>RAND()</f>
        <v/>
      </c>
      <c r="AB5002">
        <f>RAND()</f>
        <v/>
      </c>
      <c r="AC5002">
        <f>RAND()</f>
        <v/>
      </c>
      <c r="AD5002">
        <f>RAND()</f>
        <v/>
      </c>
      <c r="AE5002">
        <f>RAND()</f>
        <v/>
      </c>
      <c r="AF5002">
        <f>RAND()</f>
        <v/>
      </c>
    </row>
    <row r="5003">
      <c r="M5003" s="14">
        <f>_xlfn.BETA.INV($AA5003,1+4*($D$5-$C$5)/($E$5-$C$5),1+4*($E$5-$D$5)/($E$5-$C$5),$C$5,$E$5)</f>
        <v/>
      </c>
      <c r="N5003" s="14">
        <f>IF($AB5003&lt;($D$6-$C$6)/($E$6-$C$6),$C$6+SQRT($AB5003*($E$6-$C$6)*($D$6-$C$6)),$E$6-SQRT((1-$AB5003)*($E$6-$C$6)*($E$6-$D$6)))</f>
        <v/>
      </c>
      <c r="O5003" s="14">
        <f>_xlfn.NORM.INV($AC5003,$C$7,$D$7)</f>
        <v/>
      </c>
      <c r="P5003" s="14">
        <f>$C$8+($D$8-$C$8)*$AD5003</f>
        <v/>
      </c>
      <c r="Q5003" s="14">
        <f>$C$9</f>
        <v/>
      </c>
      <c r="R5003" s="14">
        <f>_xlfn.LOGNORM.INV($AF5003,LN($C$10)-0.5*LN(1+($D$10/$C$10)^2),SQRT(LN(1+($D$10/$C$10)^2)))</f>
        <v/>
      </c>
      <c r="S5003" s="14">
        <f>SUM(M5003:R5003)</f>
        <v/>
      </c>
      <c r="AA5003">
        <f>RAND()</f>
        <v/>
      </c>
      <c r="AB5003">
        <f>RAND()</f>
        <v/>
      </c>
      <c r="AC5003">
        <f>RAND()</f>
        <v/>
      </c>
      <c r="AD5003">
        <f>RAND()</f>
        <v/>
      </c>
      <c r="AE5003">
        <f>RAND()</f>
        <v/>
      </c>
      <c r="AF5003">
        <f>RAND()</f>
        <v/>
      </c>
    </row>
    <row r="5004">
      <c r="M5004" s="14">
        <f>_xlfn.BETA.INV($AA5004,1+4*($D$5-$C$5)/($E$5-$C$5),1+4*($E$5-$D$5)/($E$5-$C$5),$C$5,$E$5)</f>
        <v/>
      </c>
      <c r="N5004" s="14">
        <f>IF($AB5004&lt;($D$6-$C$6)/($E$6-$C$6),$C$6+SQRT($AB5004*($E$6-$C$6)*($D$6-$C$6)),$E$6-SQRT((1-$AB5004)*($E$6-$C$6)*($E$6-$D$6)))</f>
        <v/>
      </c>
      <c r="O5004" s="14">
        <f>_xlfn.NORM.INV($AC5004,$C$7,$D$7)</f>
        <v/>
      </c>
      <c r="P5004" s="14">
        <f>$C$8+($D$8-$C$8)*$AD5004</f>
        <v/>
      </c>
      <c r="Q5004" s="14">
        <f>$C$9</f>
        <v/>
      </c>
      <c r="R5004" s="14">
        <f>_xlfn.LOGNORM.INV($AF5004,LN($C$10)-0.5*LN(1+($D$10/$C$10)^2),SQRT(LN(1+($D$10/$C$10)^2)))</f>
        <v/>
      </c>
      <c r="S5004" s="14">
        <f>SUM(M5004:R5004)</f>
        <v/>
      </c>
      <c r="AA5004">
        <f>RAND()</f>
        <v/>
      </c>
      <c r="AB5004">
        <f>RAND()</f>
        <v/>
      </c>
      <c r="AC5004">
        <f>RAND()</f>
        <v/>
      </c>
      <c r="AD5004">
        <f>RAND()</f>
        <v/>
      </c>
      <c r="AE5004">
        <f>RAND()</f>
        <v/>
      </c>
      <c r="AF5004">
        <f>RAND()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22" t="inlineStr">
        <is>
          <t>DISTRIBUTION OF TOTAL COST</t>
        </is>
      </c>
    </row>
    <row r="3">
      <c r="A3" s="7" t="inlineStr">
        <is>
          <t>Bin #</t>
        </is>
      </c>
      <c r="B3" s="7" t="inlineStr">
        <is>
          <t>Low</t>
        </is>
      </c>
      <c r="C3" s="7" t="inlineStr">
        <is>
          <t>High</t>
        </is>
      </c>
      <c r="D3" s="7" t="inlineStr">
        <is>
          <t>Center</t>
        </is>
      </c>
      <c r="E3" s="7" t="inlineStr">
        <is>
          <t>Count</t>
        </is>
      </c>
    </row>
    <row r="4">
      <c r="A4" s="14" t="n">
        <v>1</v>
      </c>
      <c r="B4" s="14">
        <f>MIN('Monte Carlo'!$S$5:$S$5004)+(0)*(MAX('Monte Carlo'!$S$5:$S$5004)-MIN('Monte Carlo'!$S$5:$S$5004))/30</f>
        <v/>
      </c>
      <c r="C4" s="14">
        <f>MIN('Monte Carlo'!$S$5:$S$5004)+(1)*(MAX('Monte Carlo'!$S$5:$S$5004)-MIN('Monte Carlo'!$S$5:$S$5004))/30</f>
        <v/>
      </c>
      <c r="D4" s="14">
        <f>(B4+C4)/2</f>
        <v/>
      </c>
      <c r="E4" s="14">
        <f>COUNTIF('Monte Carlo'!$S$5:$S$5004,"&lt;"&amp;C4)-COUNTIF('Monte Carlo'!$S$5:$S$5004,"&lt;"&amp;B4)</f>
        <v/>
      </c>
    </row>
    <row r="5">
      <c r="A5" s="14" t="n">
        <v>2</v>
      </c>
      <c r="B5" s="14">
        <f>MIN('Monte Carlo'!$S$5:$S$5004)+(1)*(MAX('Monte Carlo'!$S$5:$S$5004)-MIN('Monte Carlo'!$S$5:$S$5004))/30</f>
        <v/>
      </c>
      <c r="C5" s="14">
        <f>MIN('Monte Carlo'!$S$5:$S$5004)+(2)*(MAX('Monte Carlo'!$S$5:$S$5004)-MIN('Monte Carlo'!$S$5:$S$5004))/30</f>
        <v/>
      </c>
      <c r="D5" s="14">
        <f>(B5+C5)/2</f>
        <v/>
      </c>
      <c r="E5" s="14">
        <f>COUNTIF('Monte Carlo'!$S$5:$S$5004,"&lt;"&amp;C5)-COUNTIF('Monte Carlo'!$S$5:$S$5004,"&lt;"&amp;B5)</f>
        <v/>
      </c>
    </row>
    <row r="6">
      <c r="A6" s="14" t="n">
        <v>3</v>
      </c>
      <c r="B6" s="14">
        <f>MIN('Monte Carlo'!$S$5:$S$5004)+(2)*(MAX('Monte Carlo'!$S$5:$S$5004)-MIN('Monte Carlo'!$S$5:$S$5004))/30</f>
        <v/>
      </c>
      <c r="C6" s="14">
        <f>MIN('Monte Carlo'!$S$5:$S$5004)+(3)*(MAX('Monte Carlo'!$S$5:$S$5004)-MIN('Monte Carlo'!$S$5:$S$5004))/30</f>
        <v/>
      </c>
      <c r="D6" s="14">
        <f>(B6+C6)/2</f>
        <v/>
      </c>
      <c r="E6" s="14">
        <f>COUNTIF('Monte Carlo'!$S$5:$S$5004,"&lt;"&amp;C6)-COUNTIF('Monte Carlo'!$S$5:$S$5004,"&lt;"&amp;B6)</f>
        <v/>
      </c>
    </row>
    <row r="7">
      <c r="A7" s="14" t="n">
        <v>4</v>
      </c>
      <c r="B7" s="14">
        <f>MIN('Monte Carlo'!$S$5:$S$5004)+(3)*(MAX('Monte Carlo'!$S$5:$S$5004)-MIN('Monte Carlo'!$S$5:$S$5004))/30</f>
        <v/>
      </c>
      <c r="C7" s="14">
        <f>MIN('Monte Carlo'!$S$5:$S$5004)+(4)*(MAX('Monte Carlo'!$S$5:$S$5004)-MIN('Monte Carlo'!$S$5:$S$5004))/30</f>
        <v/>
      </c>
      <c r="D7" s="14">
        <f>(B7+C7)/2</f>
        <v/>
      </c>
      <c r="E7" s="14">
        <f>COUNTIF('Monte Carlo'!$S$5:$S$5004,"&lt;"&amp;C7)-COUNTIF('Monte Carlo'!$S$5:$S$5004,"&lt;"&amp;B7)</f>
        <v/>
      </c>
    </row>
    <row r="8">
      <c r="A8" s="14" t="n">
        <v>5</v>
      </c>
      <c r="B8" s="14">
        <f>MIN('Monte Carlo'!$S$5:$S$5004)+(4)*(MAX('Monte Carlo'!$S$5:$S$5004)-MIN('Monte Carlo'!$S$5:$S$5004))/30</f>
        <v/>
      </c>
      <c r="C8" s="14">
        <f>MIN('Monte Carlo'!$S$5:$S$5004)+(5)*(MAX('Monte Carlo'!$S$5:$S$5004)-MIN('Monte Carlo'!$S$5:$S$5004))/30</f>
        <v/>
      </c>
      <c r="D8" s="14">
        <f>(B8+C8)/2</f>
        <v/>
      </c>
      <c r="E8" s="14">
        <f>COUNTIF('Monte Carlo'!$S$5:$S$5004,"&lt;"&amp;C8)-COUNTIF('Monte Carlo'!$S$5:$S$5004,"&lt;"&amp;B8)</f>
        <v/>
      </c>
    </row>
    <row r="9">
      <c r="A9" s="14" t="n">
        <v>6</v>
      </c>
      <c r="B9" s="14">
        <f>MIN('Monte Carlo'!$S$5:$S$5004)+(5)*(MAX('Monte Carlo'!$S$5:$S$5004)-MIN('Monte Carlo'!$S$5:$S$5004))/30</f>
        <v/>
      </c>
      <c r="C9" s="14">
        <f>MIN('Monte Carlo'!$S$5:$S$5004)+(6)*(MAX('Monte Carlo'!$S$5:$S$5004)-MIN('Monte Carlo'!$S$5:$S$5004))/30</f>
        <v/>
      </c>
      <c r="D9" s="14">
        <f>(B9+C9)/2</f>
        <v/>
      </c>
      <c r="E9" s="14">
        <f>COUNTIF('Monte Carlo'!$S$5:$S$5004,"&lt;"&amp;C9)-COUNTIF('Monte Carlo'!$S$5:$S$5004,"&lt;"&amp;B9)</f>
        <v/>
      </c>
    </row>
    <row r="10">
      <c r="A10" s="14" t="n">
        <v>7</v>
      </c>
      <c r="B10" s="14">
        <f>MIN('Monte Carlo'!$S$5:$S$5004)+(6)*(MAX('Monte Carlo'!$S$5:$S$5004)-MIN('Monte Carlo'!$S$5:$S$5004))/30</f>
        <v/>
      </c>
      <c r="C10" s="14">
        <f>MIN('Monte Carlo'!$S$5:$S$5004)+(7)*(MAX('Monte Carlo'!$S$5:$S$5004)-MIN('Monte Carlo'!$S$5:$S$5004))/30</f>
        <v/>
      </c>
      <c r="D10" s="14">
        <f>(B10+C10)/2</f>
        <v/>
      </c>
      <c r="E10" s="14">
        <f>COUNTIF('Monte Carlo'!$S$5:$S$5004,"&lt;"&amp;C10)-COUNTIF('Monte Carlo'!$S$5:$S$5004,"&lt;"&amp;B10)</f>
        <v/>
      </c>
    </row>
    <row r="11">
      <c r="A11" s="14" t="n">
        <v>8</v>
      </c>
      <c r="B11" s="14">
        <f>MIN('Monte Carlo'!$S$5:$S$5004)+(7)*(MAX('Monte Carlo'!$S$5:$S$5004)-MIN('Monte Carlo'!$S$5:$S$5004))/30</f>
        <v/>
      </c>
      <c r="C11" s="14">
        <f>MIN('Monte Carlo'!$S$5:$S$5004)+(8)*(MAX('Monte Carlo'!$S$5:$S$5004)-MIN('Monte Carlo'!$S$5:$S$5004))/30</f>
        <v/>
      </c>
      <c r="D11" s="14">
        <f>(B11+C11)/2</f>
        <v/>
      </c>
      <c r="E11" s="14">
        <f>COUNTIF('Monte Carlo'!$S$5:$S$5004,"&lt;"&amp;C11)-COUNTIF('Monte Carlo'!$S$5:$S$5004,"&lt;"&amp;B11)</f>
        <v/>
      </c>
    </row>
    <row r="12">
      <c r="A12" s="14" t="n">
        <v>9</v>
      </c>
      <c r="B12" s="14">
        <f>MIN('Monte Carlo'!$S$5:$S$5004)+(8)*(MAX('Monte Carlo'!$S$5:$S$5004)-MIN('Monte Carlo'!$S$5:$S$5004))/30</f>
        <v/>
      </c>
      <c r="C12" s="14">
        <f>MIN('Monte Carlo'!$S$5:$S$5004)+(9)*(MAX('Monte Carlo'!$S$5:$S$5004)-MIN('Monte Carlo'!$S$5:$S$5004))/30</f>
        <v/>
      </c>
      <c r="D12" s="14">
        <f>(B12+C12)/2</f>
        <v/>
      </c>
      <c r="E12" s="14">
        <f>COUNTIF('Monte Carlo'!$S$5:$S$5004,"&lt;"&amp;C12)-COUNTIF('Monte Carlo'!$S$5:$S$5004,"&lt;"&amp;B12)</f>
        <v/>
      </c>
    </row>
    <row r="13">
      <c r="A13" s="14" t="n">
        <v>10</v>
      </c>
      <c r="B13" s="14">
        <f>MIN('Monte Carlo'!$S$5:$S$5004)+(9)*(MAX('Monte Carlo'!$S$5:$S$5004)-MIN('Monte Carlo'!$S$5:$S$5004))/30</f>
        <v/>
      </c>
      <c r="C13" s="14">
        <f>MIN('Monte Carlo'!$S$5:$S$5004)+(10)*(MAX('Monte Carlo'!$S$5:$S$5004)-MIN('Monte Carlo'!$S$5:$S$5004))/30</f>
        <v/>
      </c>
      <c r="D13" s="14">
        <f>(B13+C13)/2</f>
        <v/>
      </c>
      <c r="E13" s="14">
        <f>COUNTIF('Monte Carlo'!$S$5:$S$5004,"&lt;"&amp;C13)-COUNTIF('Monte Carlo'!$S$5:$S$5004,"&lt;"&amp;B13)</f>
        <v/>
      </c>
    </row>
    <row r="14">
      <c r="A14" s="14" t="n">
        <v>11</v>
      </c>
      <c r="B14" s="14">
        <f>MIN('Monte Carlo'!$S$5:$S$5004)+(10)*(MAX('Monte Carlo'!$S$5:$S$5004)-MIN('Monte Carlo'!$S$5:$S$5004))/30</f>
        <v/>
      </c>
      <c r="C14" s="14">
        <f>MIN('Monte Carlo'!$S$5:$S$5004)+(11)*(MAX('Monte Carlo'!$S$5:$S$5004)-MIN('Monte Carlo'!$S$5:$S$5004))/30</f>
        <v/>
      </c>
      <c r="D14" s="14">
        <f>(B14+C14)/2</f>
        <v/>
      </c>
      <c r="E14" s="14">
        <f>COUNTIF('Monte Carlo'!$S$5:$S$5004,"&lt;"&amp;C14)-COUNTIF('Monte Carlo'!$S$5:$S$5004,"&lt;"&amp;B14)</f>
        <v/>
      </c>
    </row>
    <row r="15">
      <c r="A15" s="14" t="n">
        <v>12</v>
      </c>
      <c r="B15" s="14">
        <f>MIN('Monte Carlo'!$S$5:$S$5004)+(11)*(MAX('Monte Carlo'!$S$5:$S$5004)-MIN('Monte Carlo'!$S$5:$S$5004))/30</f>
        <v/>
      </c>
      <c r="C15" s="14">
        <f>MIN('Monte Carlo'!$S$5:$S$5004)+(12)*(MAX('Monte Carlo'!$S$5:$S$5004)-MIN('Monte Carlo'!$S$5:$S$5004))/30</f>
        <v/>
      </c>
      <c r="D15" s="14">
        <f>(B15+C15)/2</f>
        <v/>
      </c>
      <c r="E15" s="14">
        <f>COUNTIF('Monte Carlo'!$S$5:$S$5004,"&lt;"&amp;C15)-COUNTIF('Monte Carlo'!$S$5:$S$5004,"&lt;"&amp;B15)</f>
        <v/>
      </c>
    </row>
    <row r="16">
      <c r="A16" s="14" t="n">
        <v>13</v>
      </c>
      <c r="B16" s="14">
        <f>MIN('Monte Carlo'!$S$5:$S$5004)+(12)*(MAX('Monte Carlo'!$S$5:$S$5004)-MIN('Monte Carlo'!$S$5:$S$5004))/30</f>
        <v/>
      </c>
      <c r="C16" s="14">
        <f>MIN('Monte Carlo'!$S$5:$S$5004)+(13)*(MAX('Monte Carlo'!$S$5:$S$5004)-MIN('Monte Carlo'!$S$5:$S$5004))/30</f>
        <v/>
      </c>
      <c r="D16" s="14">
        <f>(B16+C16)/2</f>
        <v/>
      </c>
      <c r="E16" s="14">
        <f>COUNTIF('Monte Carlo'!$S$5:$S$5004,"&lt;"&amp;C16)-COUNTIF('Monte Carlo'!$S$5:$S$5004,"&lt;"&amp;B16)</f>
        <v/>
      </c>
    </row>
    <row r="17">
      <c r="A17" s="14" t="n">
        <v>14</v>
      </c>
      <c r="B17" s="14">
        <f>MIN('Monte Carlo'!$S$5:$S$5004)+(13)*(MAX('Monte Carlo'!$S$5:$S$5004)-MIN('Monte Carlo'!$S$5:$S$5004))/30</f>
        <v/>
      </c>
      <c r="C17" s="14">
        <f>MIN('Monte Carlo'!$S$5:$S$5004)+(14)*(MAX('Monte Carlo'!$S$5:$S$5004)-MIN('Monte Carlo'!$S$5:$S$5004))/30</f>
        <v/>
      </c>
      <c r="D17" s="14">
        <f>(B17+C17)/2</f>
        <v/>
      </c>
      <c r="E17" s="14">
        <f>COUNTIF('Monte Carlo'!$S$5:$S$5004,"&lt;"&amp;C17)-COUNTIF('Monte Carlo'!$S$5:$S$5004,"&lt;"&amp;B17)</f>
        <v/>
      </c>
    </row>
    <row r="18">
      <c r="A18" s="14" t="n">
        <v>15</v>
      </c>
      <c r="B18" s="14">
        <f>MIN('Monte Carlo'!$S$5:$S$5004)+(14)*(MAX('Monte Carlo'!$S$5:$S$5004)-MIN('Monte Carlo'!$S$5:$S$5004))/30</f>
        <v/>
      </c>
      <c r="C18" s="14">
        <f>MIN('Monte Carlo'!$S$5:$S$5004)+(15)*(MAX('Monte Carlo'!$S$5:$S$5004)-MIN('Monte Carlo'!$S$5:$S$5004))/30</f>
        <v/>
      </c>
      <c r="D18" s="14">
        <f>(B18+C18)/2</f>
        <v/>
      </c>
      <c r="E18" s="14">
        <f>COUNTIF('Monte Carlo'!$S$5:$S$5004,"&lt;"&amp;C18)-COUNTIF('Monte Carlo'!$S$5:$S$5004,"&lt;"&amp;B18)</f>
        <v/>
      </c>
    </row>
    <row r="19">
      <c r="A19" s="14" t="n">
        <v>16</v>
      </c>
      <c r="B19" s="14">
        <f>MIN('Monte Carlo'!$S$5:$S$5004)+(15)*(MAX('Monte Carlo'!$S$5:$S$5004)-MIN('Monte Carlo'!$S$5:$S$5004))/30</f>
        <v/>
      </c>
      <c r="C19" s="14">
        <f>MIN('Monte Carlo'!$S$5:$S$5004)+(16)*(MAX('Monte Carlo'!$S$5:$S$5004)-MIN('Monte Carlo'!$S$5:$S$5004))/30</f>
        <v/>
      </c>
      <c r="D19" s="14">
        <f>(B19+C19)/2</f>
        <v/>
      </c>
      <c r="E19" s="14">
        <f>COUNTIF('Monte Carlo'!$S$5:$S$5004,"&lt;"&amp;C19)-COUNTIF('Monte Carlo'!$S$5:$S$5004,"&lt;"&amp;B19)</f>
        <v/>
      </c>
    </row>
    <row r="20">
      <c r="A20" s="14" t="n">
        <v>17</v>
      </c>
      <c r="B20" s="14">
        <f>MIN('Monte Carlo'!$S$5:$S$5004)+(16)*(MAX('Monte Carlo'!$S$5:$S$5004)-MIN('Monte Carlo'!$S$5:$S$5004))/30</f>
        <v/>
      </c>
      <c r="C20" s="14">
        <f>MIN('Monte Carlo'!$S$5:$S$5004)+(17)*(MAX('Monte Carlo'!$S$5:$S$5004)-MIN('Monte Carlo'!$S$5:$S$5004))/30</f>
        <v/>
      </c>
      <c r="D20" s="14">
        <f>(B20+C20)/2</f>
        <v/>
      </c>
      <c r="E20" s="14">
        <f>COUNTIF('Monte Carlo'!$S$5:$S$5004,"&lt;"&amp;C20)-COUNTIF('Monte Carlo'!$S$5:$S$5004,"&lt;"&amp;B20)</f>
        <v/>
      </c>
    </row>
    <row r="21">
      <c r="A21" s="14" t="n">
        <v>18</v>
      </c>
      <c r="B21" s="14">
        <f>MIN('Monte Carlo'!$S$5:$S$5004)+(17)*(MAX('Monte Carlo'!$S$5:$S$5004)-MIN('Monte Carlo'!$S$5:$S$5004))/30</f>
        <v/>
      </c>
      <c r="C21" s="14">
        <f>MIN('Monte Carlo'!$S$5:$S$5004)+(18)*(MAX('Monte Carlo'!$S$5:$S$5004)-MIN('Monte Carlo'!$S$5:$S$5004))/30</f>
        <v/>
      </c>
      <c r="D21" s="14">
        <f>(B21+C21)/2</f>
        <v/>
      </c>
      <c r="E21" s="14">
        <f>COUNTIF('Monte Carlo'!$S$5:$S$5004,"&lt;"&amp;C21)-COUNTIF('Monte Carlo'!$S$5:$S$5004,"&lt;"&amp;B21)</f>
        <v/>
      </c>
    </row>
    <row r="22">
      <c r="A22" s="14" t="n">
        <v>19</v>
      </c>
      <c r="B22" s="14">
        <f>MIN('Monte Carlo'!$S$5:$S$5004)+(18)*(MAX('Monte Carlo'!$S$5:$S$5004)-MIN('Monte Carlo'!$S$5:$S$5004))/30</f>
        <v/>
      </c>
      <c r="C22" s="14">
        <f>MIN('Monte Carlo'!$S$5:$S$5004)+(19)*(MAX('Monte Carlo'!$S$5:$S$5004)-MIN('Monte Carlo'!$S$5:$S$5004))/30</f>
        <v/>
      </c>
      <c r="D22" s="14">
        <f>(B22+C22)/2</f>
        <v/>
      </c>
      <c r="E22" s="14">
        <f>COUNTIF('Monte Carlo'!$S$5:$S$5004,"&lt;"&amp;C22)-COUNTIF('Monte Carlo'!$S$5:$S$5004,"&lt;"&amp;B22)</f>
        <v/>
      </c>
    </row>
    <row r="23">
      <c r="A23" s="14" t="n">
        <v>20</v>
      </c>
      <c r="B23" s="14">
        <f>MIN('Monte Carlo'!$S$5:$S$5004)+(19)*(MAX('Monte Carlo'!$S$5:$S$5004)-MIN('Monte Carlo'!$S$5:$S$5004))/30</f>
        <v/>
      </c>
      <c r="C23" s="14">
        <f>MIN('Monte Carlo'!$S$5:$S$5004)+(20)*(MAX('Monte Carlo'!$S$5:$S$5004)-MIN('Monte Carlo'!$S$5:$S$5004))/30</f>
        <v/>
      </c>
      <c r="D23" s="14">
        <f>(B23+C23)/2</f>
        <v/>
      </c>
      <c r="E23" s="14">
        <f>COUNTIF('Monte Carlo'!$S$5:$S$5004,"&lt;"&amp;C23)-COUNTIF('Monte Carlo'!$S$5:$S$5004,"&lt;"&amp;B23)</f>
        <v/>
      </c>
    </row>
    <row r="24">
      <c r="A24" s="14" t="n">
        <v>21</v>
      </c>
      <c r="B24" s="14">
        <f>MIN('Monte Carlo'!$S$5:$S$5004)+(20)*(MAX('Monte Carlo'!$S$5:$S$5004)-MIN('Monte Carlo'!$S$5:$S$5004))/30</f>
        <v/>
      </c>
      <c r="C24" s="14">
        <f>MIN('Monte Carlo'!$S$5:$S$5004)+(21)*(MAX('Monte Carlo'!$S$5:$S$5004)-MIN('Monte Carlo'!$S$5:$S$5004))/30</f>
        <v/>
      </c>
      <c r="D24" s="14">
        <f>(B24+C24)/2</f>
        <v/>
      </c>
      <c r="E24" s="14">
        <f>COUNTIF('Monte Carlo'!$S$5:$S$5004,"&lt;"&amp;C24)-COUNTIF('Monte Carlo'!$S$5:$S$5004,"&lt;"&amp;B24)</f>
        <v/>
      </c>
    </row>
    <row r="25">
      <c r="A25" s="14" t="n">
        <v>22</v>
      </c>
      <c r="B25" s="14">
        <f>MIN('Monte Carlo'!$S$5:$S$5004)+(21)*(MAX('Monte Carlo'!$S$5:$S$5004)-MIN('Monte Carlo'!$S$5:$S$5004))/30</f>
        <v/>
      </c>
      <c r="C25" s="14">
        <f>MIN('Monte Carlo'!$S$5:$S$5004)+(22)*(MAX('Monte Carlo'!$S$5:$S$5004)-MIN('Monte Carlo'!$S$5:$S$5004))/30</f>
        <v/>
      </c>
      <c r="D25" s="14">
        <f>(B25+C25)/2</f>
        <v/>
      </c>
      <c r="E25" s="14">
        <f>COUNTIF('Monte Carlo'!$S$5:$S$5004,"&lt;"&amp;C25)-COUNTIF('Monte Carlo'!$S$5:$S$5004,"&lt;"&amp;B25)</f>
        <v/>
      </c>
    </row>
    <row r="26">
      <c r="A26" s="14" t="n">
        <v>23</v>
      </c>
      <c r="B26" s="14">
        <f>MIN('Monte Carlo'!$S$5:$S$5004)+(22)*(MAX('Monte Carlo'!$S$5:$S$5004)-MIN('Monte Carlo'!$S$5:$S$5004))/30</f>
        <v/>
      </c>
      <c r="C26" s="14">
        <f>MIN('Monte Carlo'!$S$5:$S$5004)+(23)*(MAX('Monte Carlo'!$S$5:$S$5004)-MIN('Monte Carlo'!$S$5:$S$5004))/30</f>
        <v/>
      </c>
      <c r="D26" s="14">
        <f>(B26+C26)/2</f>
        <v/>
      </c>
      <c r="E26" s="14">
        <f>COUNTIF('Monte Carlo'!$S$5:$S$5004,"&lt;"&amp;C26)-COUNTIF('Monte Carlo'!$S$5:$S$5004,"&lt;"&amp;B26)</f>
        <v/>
      </c>
    </row>
    <row r="27">
      <c r="A27" s="14" t="n">
        <v>24</v>
      </c>
      <c r="B27" s="14">
        <f>MIN('Monte Carlo'!$S$5:$S$5004)+(23)*(MAX('Monte Carlo'!$S$5:$S$5004)-MIN('Monte Carlo'!$S$5:$S$5004))/30</f>
        <v/>
      </c>
      <c r="C27" s="14">
        <f>MIN('Monte Carlo'!$S$5:$S$5004)+(24)*(MAX('Monte Carlo'!$S$5:$S$5004)-MIN('Monte Carlo'!$S$5:$S$5004))/30</f>
        <v/>
      </c>
      <c r="D27" s="14">
        <f>(B27+C27)/2</f>
        <v/>
      </c>
      <c r="E27" s="14">
        <f>COUNTIF('Monte Carlo'!$S$5:$S$5004,"&lt;"&amp;C27)-COUNTIF('Monte Carlo'!$S$5:$S$5004,"&lt;"&amp;B27)</f>
        <v/>
      </c>
    </row>
    <row r="28">
      <c r="A28" s="14" t="n">
        <v>25</v>
      </c>
      <c r="B28" s="14">
        <f>MIN('Monte Carlo'!$S$5:$S$5004)+(24)*(MAX('Monte Carlo'!$S$5:$S$5004)-MIN('Monte Carlo'!$S$5:$S$5004))/30</f>
        <v/>
      </c>
      <c r="C28" s="14">
        <f>MIN('Monte Carlo'!$S$5:$S$5004)+(25)*(MAX('Monte Carlo'!$S$5:$S$5004)-MIN('Monte Carlo'!$S$5:$S$5004))/30</f>
        <v/>
      </c>
      <c r="D28" s="14">
        <f>(B28+C28)/2</f>
        <v/>
      </c>
      <c r="E28" s="14">
        <f>COUNTIF('Monte Carlo'!$S$5:$S$5004,"&lt;"&amp;C28)-COUNTIF('Monte Carlo'!$S$5:$S$5004,"&lt;"&amp;B28)</f>
        <v/>
      </c>
    </row>
    <row r="29">
      <c r="A29" s="14" t="n">
        <v>26</v>
      </c>
      <c r="B29" s="14">
        <f>MIN('Monte Carlo'!$S$5:$S$5004)+(25)*(MAX('Monte Carlo'!$S$5:$S$5004)-MIN('Monte Carlo'!$S$5:$S$5004))/30</f>
        <v/>
      </c>
      <c r="C29" s="14">
        <f>MIN('Monte Carlo'!$S$5:$S$5004)+(26)*(MAX('Monte Carlo'!$S$5:$S$5004)-MIN('Monte Carlo'!$S$5:$S$5004))/30</f>
        <v/>
      </c>
      <c r="D29" s="14">
        <f>(B29+C29)/2</f>
        <v/>
      </c>
      <c r="E29" s="14">
        <f>COUNTIF('Monte Carlo'!$S$5:$S$5004,"&lt;"&amp;C29)-COUNTIF('Monte Carlo'!$S$5:$S$5004,"&lt;"&amp;B29)</f>
        <v/>
      </c>
    </row>
    <row r="30">
      <c r="A30" s="14" t="n">
        <v>27</v>
      </c>
      <c r="B30" s="14">
        <f>MIN('Monte Carlo'!$S$5:$S$5004)+(26)*(MAX('Monte Carlo'!$S$5:$S$5004)-MIN('Monte Carlo'!$S$5:$S$5004))/30</f>
        <v/>
      </c>
      <c r="C30" s="14">
        <f>MIN('Monte Carlo'!$S$5:$S$5004)+(27)*(MAX('Monte Carlo'!$S$5:$S$5004)-MIN('Monte Carlo'!$S$5:$S$5004))/30</f>
        <v/>
      </c>
      <c r="D30" s="14">
        <f>(B30+C30)/2</f>
        <v/>
      </c>
      <c r="E30" s="14">
        <f>COUNTIF('Monte Carlo'!$S$5:$S$5004,"&lt;"&amp;C30)-COUNTIF('Monte Carlo'!$S$5:$S$5004,"&lt;"&amp;B30)</f>
        <v/>
      </c>
    </row>
    <row r="31">
      <c r="A31" s="14" t="n">
        <v>28</v>
      </c>
      <c r="B31" s="14">
        <f>MIN('Monte Carlo'!$S$5:$S$5004)+(27)*(MAX('Monte Carlo'!$S$5:$S$5004)-MIN('Monte Carlo'!$S$5:$S$5004))/30</f>
        <v/>
      </c>
      <c r="C31" s="14">
        <f>MIN('Monte Carlo'!$S$5:$S$5004)+(28)*(MAX('Monte Carlo'!$S$5:$S$5004)-MIN('Monte Carlo'!$S$5:$S$5004))/30</f>
        <v/>
      </c>
      <c r="D31" s="14">
        <f>(B31+C31)/2</f>
        <v/>
      </c>
      <c r="E31" s="14">
        <f>COUNTIF('Monte Carlo'!$S$5:$S$5004,"&lt;"&amp;C31)-COUNTIF('Monte Carlo'!$S$5:$S$5004,"&lt;"&amp;B31)</f>
        <v/>
      </c>
    </row>
    <row r="32">
      <c r="A32" s="14" t="n">
        <v>29</v>
      </c>
      <c r="B32" s="14">
        <f>MIN('Monte Carlo'!$S$5:$S$5004)+(28)*(MAX('Monte Carlo'!$S$5:$S$5004)-MIN('Monte Carlo'!$S$5:$S$5004))/30</f>
        <v/>
      </c>
      <c r="C32" s="14">
        <f>MIN('Monte Carlo'!$S$5:$S$5004)+(29)*(MAX('Monte Carlo'!$S$5:$S$5004)-MIN('Monte Carlo'!$S$5:$S$5004))/30</f>
        <v/>
      </c>
      <c r="D32" s="14">
        <f>(B32+C32)/2</f>
        <v/>
      </c>
      <c r="E32" s="14">
        <f>COUNTIF('Monte Carlo'!$S$5:$S$5004,"&lt;"&amp;C32)-COUNTIF('Monte Carlo'!$S$5:$S$5004,"&lt;"&amp;B32)</f>
        <v/>
      </c>
    </row>
    <row r="33">
      <c r="A33" s="14" t="n">
        <v>30</v>
      </c>
      <c r="B33" s="14">
        <f>MIN('Monte Carlo'!$S$5:$S$5004)+(29)*(MAX('Monte Carlo'!$S$5:$S$5004)-MIN('Monte Carlo'!$S$5:$S$5004))/30</f>
        <v/>
      </c>
      <c r="C33" s="14">
        <f>MIN('Monte Carlo'!$S$5:$S$5004)+(30)*(MAX('Monte Carlo'!$S$5:$S$5004)-MIN('Monte Carlo'!$S$5:$S$5004))/30</f>
        <v/>
      </c>
      <c r="D33" s="14">
        <f>(B33+C33)/2</f>
        <v/>
      </c>
      <c r="E33" s="14">
        <f>COUNTIF('Monte Carlo'!$S$5:$S$5004,"&lt;"&amp;C33)-COUNTIF('Monte Carlo'!$S$5:$S$5004,"&lt;"&amp;B33)</f>
        <v/>
      </c>
    </row>
    <row r="40">
      <c r="A40" s="23" t="inlineStr">
        <is>
          <t>CUMULATIVE PROBABILITY (S-CURVE)</t>
        </is>
      </c>
    </row>
    <row r="42">
      <c r="A42" s="7" t="inlineStr">
        <is>
          <t>Cumulative %</t>
        </is>
      </c>
      <c r="B42" s="7" t="inlineStr">
        <is>
          <t>Total cost</t>
        </is>
      </c>
    </row>
    <row r="43">
      <c r="A43" s="24" t="n">
        <v>0</v>
      </c>
      <c r="B43" s="14">
        <f>_xlfn.PERCENTILE.INC('Monte Carlo'!$S$5:$S$5004,A43)</f>
        <v/>
      </c>
    </row>
    <row r="44">
      <c r="A44" s="24" t="n">
        <v>0.05</v>
      </c>
      <c r="B44" s="14">
        <f>_xlfn.PERCENTILE.INC('Monte Carlo'!$S$5:$S$5004,A44)</f>
        <v/>
      </c>
    </row>
    <row r="45">
      <c r="A45" s="24" t="n">
        <v>0.1</v>
      </c>
      <c r="B45" s="14">
        <f>_xlfn.PERCENTILE.INC('Monte Carlo'!$S$5:$S$5004,A45)</f>
        <v/>
      </c>
    </row>
    <row r="46">
      <c r="A46" s="24" t="n">
        <v>0.15</v>
      </c>
      <c r="B46" s="14">
        <f>_xlfn.PERCENTILE.INC('Monte Carlo'!$S$5:$S$5004,A46)</f>
        <v/>
      </c>
    </row>
    <row r="47">
      <c r="A47" s="24" t="n">
        <v>0.2</v>
      </c>
      <c r="B47" s="14">
        <f>_xlfn.PERCENTILE.INC('Monte Carlo'!$S$5:$S$5004,A47)</f>
        <v/>
      </c>
    </row>
    <row r="48">
      <c r="A48" s="24" t="n">
        <v>0.25</v>
      </c>
      <c r="B48" s="14">
        <f>_xlfn.PERCENTILE.INC('Monte Carlo'!$S$5:$S$5004,A48)</f>
        <v/>
      </c>
    </row>
    <row r="49">
      <c r="A49" s="24" t="n">
        <v>0.3</v>
      </c>
      <c r="B49" s="14">
        <f>_xlfn.PERCENTILE.INC('Monte Carlo'!$S$5:$S$5004,A49)</f>
        <v/>
      </c>
    </row>
    <row r="50">
      <c r="A50" s="24" t="n">
        <v>0.35</v>
      </c>
      <c r="B50" s="14">
        <f>_xlfn.PERCENTILE.INC('Monte Carlo'!$S$5:$S$5004,A50)</f>
        <v/>
      </c>
    </row>
    <row r="51">
      <c r="A51" s="24" t="n">
        <v>0.4</v>
      </c>
      <c r="B51" s="14">
        <f>_xlfn.PERCENTILE.INC('Monte Carlo'!$S$5:$S$5004,A51)</f>
        <v/>
      </c>
    </row>
    <row r="52">
      <c r="A52" s="24" t="n">
        <v>0.45</v>
      </c>
      <c r="B52" s="14">
        <f>_xlfn.PERCENTILE.INC('Monte Carlo'!$S$5:$S$5004,A52)</f>
        <v/>
      </c>
    </row>
    <row r="53">
      <c r="A53" s="24" t="n">
        <v>0.5</v>
      </c>
      <c r="B53" s="14">
        <f>_xlfn.PERCENTILE.INC('Monte Carlo'!$S$5:$S$5004,A53)</f>
        <v/>
      </c>
    </row>
    <row r="54">
      <c r="A54" s="24" t="n">
        <v>0.55</v>
      </c>
      <c r="B54" s="14">
        <f>_xlfn.PERCENTILE.INC('Monte Carlo'!$S$5:$S$5004,A54)</f>
        <v/>
      </c>
    </row>
    <row r="55">
      <c r="A55" s="24" t="n">
        <v>0.6</v>
      </c>
      <c r="B55" s="14">
        <f>_xlfn.PERCENTILE.INC('Monte Carlo'!$S$5:$S$5004,A55)</f>
        <v/>
      </c>
    </row>
    <row r="56">
      <c r="A56" s="24" t="n">
        <v>0.65</v>
      </c>
      <c r="B56" s="14">
        <f>_xlfn.PERCENTILE.INC('Monte Carlo'!$S$5:$S$5004,A56)</f>
        <v/>
      </c>
    </row>
    <row r="57">
      <c r="A57" s="24" t="n">
        <v>0.7</v>
      </c>
      <c r="B57" s="14">
        <f>_xlfn.PERCENTILE.INC('Monte Carlo'!$S$5:$S$5004,A57)</f>
        <v/>
      </c>
    </row>
    <row r="58">
      <c r="A58" s="24" t="n">
        <v>0.75</v>
      </c>
      <c r="B58" s="14">
        <f>_xlfn.PERCENTILE.INC('Monte Carlo'!$S$5:$S$5004,A58)</f>
        <v/>
      </c>
    </row>
    <row r="59">
      <c r="A59" s="24" t="n">
        <v>0.8</v>
      </c>
      <c r="B59" s="14">
        <f>_xlfn.PERCENTILE.INC('Monte Carlo'!$S$5:$S$5004,A59)</f>
        <v/>
      </c>
    </row>
    <row r="60">
      <c r="A60" s="24" t="n">
        <v>0.85</v>
      </c>
      <c r="B60" s="14">
        <f>_xlfn.PERCENTILE.INC('Monte Carlo'!$S$5:$S$5004,A60)</f>
        <v/>
      </c>
    </row>
    <row r="61">
      <c r="A61" s="24" t="n">
        <v>0.9</v>
      </c>
      <c r="B61" s="14">
        <f>_xlfn.PERCENTILE.INC('Monte Carlo'!$S$5:$S$5004,A61)</f>
        <v/>
      </c>
    </row>
    <row r="62">
      <c r="A62" s="24" t="n">
        <v>0.95</v>
      </c>
      <c r="B62" s="14">
        <f>_xlfn.PERCENTILE.INC('Monte Carlo'!$S$5:$S$5004,A62)</f>
        <v/>
      </c>
    </row>
    <row r="63">
      <c r="A63" s="24" t="n">
        <v>1</v>
      </c>
      <c r="B63" s="14">
        <f>_xlfn.PERCENTILE.INC('Monte Carlo'!$S$5:$S$5004,A63)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2" t="inlineStr">
        <is>
          <t>MONTE CARLO COST MODEL — HOW IT WORKS</t>
        </is>
      </c>
    </row>
    <row r="2">
      <c r="A2" s="12" t="inlineStr"/>
    </row>
    <row r="3">
      <c r="A3" s="16" t="inlineStr">
        <is>
          <t>1. Go to the 'Monte Carlo' sheet.</t>
        </is>
      </c>
    </row>
    <row r="4">
      <c r="A4" s="12" t="inlineStr">
        <is>
          <t xml:space="preserve">   Edit the YELLOW cells in the input table (P1/P2/P3) and the Budget/Confidence.</t>
        </is>
      </c>
    </row>
    <row r="5">
      <c r="A5" s="12" t="inlineStr">
        <is>
          <t xml:space="preserve">   Each item samples from its distribution using the parameters you enter:</t>
        </is>
      </c>
    </row>
    <row r="6">
      <c r="A6" s="12" t="inlineStr">
        <is>
          <t xml:space="preserve">      fixed       P1 = value</t>
        </is>
      </c>
    </row>
    <row r="7">
      <c r="A7" s="12" t="inlineStr">
        <is>
          <t xml:space="preserve">      uniform     P1 = min,  P2 = max</t>
        </is>
      </c>
    </row>
    <row r="8">
      <c r="A8" s="12" t="inlineStr">
        <is>
          <t xml:space="preserve">      triangular  P1 = min,  P2 = most likely,  P3 = max</t>
        </is>
      </c>
    </row>
    <row r="9">
      <c r="A9" s="12" t="inlineStr">
        <is>
          <t xml:space="preserve">      pert        P1 = min,  P2 = most likely,  P3 = max</t>
        </is>
      </c>
    </row>
    <row r="10">
      <c r="A10" s="12" t="inlineStr">
        <is>
          <t xml:space="preserve">      normal      P1 = mean, P2 = std dev</t>
        </is>
      </c>
    </row>
    <row r="11">
      <c r="A11" s="12" t="inlineStr">
        <is>
          <t xml:space="preserve">      lognormal   P1 = mean, P2 = std dev</t>
        </is>
      </c>
    </row>
    <row r="12">
      <c r="A12" s="12" t="inlineStr"/>
    </row>
    <row r="13">
      <c r="A13" s="16" t="inlineStr">
        <is>
          <t>2. Press F9 to re-roll all iterations. The SUMMARY and the charts update live.</t>
        </is>
      </c>
    </row>
    <row r="14">
      <c r="A14" s="12" t="inlineStr">
        <is>
          <t xml:space="preserve">   (The model is volatile: it also re-rolls on any edit.)</t>
        </is>
      </c>
    </row>
    <row r="15">
      <c r="A15" s="12" t="inlineStr"/>
    </row>
    <row r="16">
      <c r="A16" s="16" t="inlineStr">
        <is>
          <t>3. Read the results:</t>
        </is>
      </c>
    </row>
    <row r="17">
      <c r="A17" s="12" t="inlineStr">
        <is>
          <t xml:space="preserve">   Mean       = expected total cost.</t>
        </is>
      </c>
    </row>
    <row r="18">
      <c r="A18" s="12" t="inlineStr">
        <is>
          <t xml:space="preserve">   P80        = there is an 80% chance the real cost is at or below this.</t>
        </is>
      </c>
    </row>
    <row r="19">
      <c r="A19" s="12" t="inlineStr">
        <is>
          <t xml:space="preserve">   Recommended @ confidence = the budget you should set to hit that confidence.</t>
        </is>
      </c>
    </row>
    <row r="20">
      <c r="A20" s="12" t="inlineStr">
        <is>
          <t xml:space="preserve">   Contingency = recommended budget minus the deterministic base estimate.</t>
        </is>
      </c>
    </row>
    <row r="21">
      <c r="A21" s="12" t="inlineStr">
        <is>
          <t xml:space="preserve">   P(cost &lt;= budget) = probability you finish within the budget you entered.</t>
        </is>
      </c>
    </row>
    <row r="22">
      <c r="A22" s="12" t="inlineStr"/>
    </row>
    <row r="23">
      <c r="A23" s="12" t="inlineStr">
        <is>
          <t>4. To add or remove cost items, re-run generate_excel_model.py after editing</t>
        </is>
      </c>
    </row>
    <row r="24">
      <c r="A24" s="12" t="inlineStr">
        <is>
          <t xml:space="preserve">   the ITEMS list at the top of the script (formulas are wired per item).</t>
        </is>
      </c>
    </row>
    <row r="25">
      <c r="A25" s="12" t="inlineStr"/>
    </row>
    <row r="26">
      <c r="A26" s="2" t="inlineStr">
        <is>
          <t>Note: uses NORM.INV / LOGNORM.INV / BETA.INV / PERCENTILE.INC / STDEV.S</t>
        </is>
      </c>
    </row>
    <row r="27">
      <c r="A27" s="2" t="inlineStr">
        <is>
          <t xml:space="preserve">      → requires Excel 2010 or newer (also works in LibreOffice Calc).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2026-06-29T07:04:54Z</dcterms:created>
  <dcterms:modified xsi:type="dcterms:W3CDTF">2026-06-29T07:04:55Z</dcterms:modified>
</cp:coreProperties>
</file>