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Cost Lines" sheetId="3" state="visible" r:id="rId3"/>
    <sheet name="Cost Profiling" sheetId="4" state="visible" r:id="rId4"/>
    <sheet name="Risk Register" sheetId="5" state="visible" r:id="rId5"/>
    <sheet name="Risk Profiling" sheetId="6" state="visible" r:id="rId6"/>
    <sheet name="Inflation" sheetId="7" state="visible" r:id="rId7"/>
    <sheet name="Results" sheetId="8" state="visible" r:id="rId8"/>
    <sheet name="Sensitivity" sheetId="9" state="visible" r:id="rId9"/>
    <sheet name="Checks" sheetId="10" state="visible" r:id="rId10"/>
    <sheet name="ChartData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9">
    <font>
      <name val="Calibri"/>
      <family val="2"/>
      <color theme="1"/>
      <sz val="11"/>
      <scheme val="minor"/>
    </font>
    <font>
      <name val="Calibri"/>
      <b val="1"/>
      <color rgb="00FF6B35"/>
      <sz val="16"/>
    </font>
    <font>
      <name val="Calibri"/>
      <color rgb="006C6C70"/>
      <sz val="10"/>
    </font>
    <font>
      <name val="Calibri"/>
      <b val="1"/>
      <color rgb="00333333"/>
      <sz val="10"/>
    </font>
    <font>
      <name val="Calibri"/>
      <sz val="10"/>
    </font>
    <font>
      <name val="Calibri"/>
      <b val="1"/>
      <sz val="10"/>
    </font>
    <font>
      <name val="Calibri"/>
      <i val="1"/>
      <color rgb="00888888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FF6B35"/>
      <sz val="10"/>
    </font>
    <font>
      <name val="Calibri"/>
      <b val="1"/>
      <color rgb="00FF6B35"/>
      <sz val="12"/>
    </font>
    <font>
      <name val="Calibri"/>
      <b val="1"/>
      <sz val="11"/>
    </font>
    <font>
      <name val="Calibri"/>
      <b val="1"/>
      <color rgb="00FF6B35"/>
      <sz val="20"/>
    </font>
    <font>
      <name val="Calibri"/>
      <b val="1"/>
      <sz val="12"/>
    </font>
    <font>
      <name val="Calibri"/>
      <color rgb="00888888"/>
      <sz val="9"/>
    </font>
    <font>
      <name val="Calibri"/>
      <b val="1"/>
      <color rgb="001F2A44"/>
      <sz val="14"/>
    </font>
    <font>
      <name val="Calibri"/>
      <b val="1"/>
      <color rgb="00FF6B35"/>
      <sz val="14"/>
    </font>
    <font>
      <name val="Calibri"/>
      <b val="1"/>
      <color rgb="00C0392B"/>
      <sz val="14"/>
    </font>
    <font>
      <name val="Calibri"/>
      <b val="1"/>
      <color rgb="0000A88A"/>
      <sz val="14"/>
    </font>
  </fonts>
  <fills count="9">
    <fill>
      <patternFill/>
    </fill>
    <fill>
      <patternFill patternType="gray125"/>
    </fill>
    <fill>
      <patternFill patternType="solid">
        <fgColor rgb="00FFF7DC"/>
      </patternFill>
    </fill>
    <fill>
      <patternFill patternType="solid">
        <fgColor rgb="001F2A44"/>
      </patternFill>
    </fill>
    <fill>
      <patternFill patternType="solid">
        <fgColor rgb="0000A88A"/>
      </patternFill>
    </fill>
    <fill>
      <patternFill patternType="solid">
        <fgColor rgb="00C0392B"/>
      </patternFill>
    </fill>
    <fill>
      <patternFill patternType="solid">
        <fgColor rgb="00F2F3F5"/>
      </patternFill>
    </fill>
    <fill>
      <patternFill patternType="solid">
        <fgColor rgb="007C5CFC"/>
      </patternFill>
    </fill>
    <fill>
      <patternFill patternType="solid">
        <fgColor rgb="00FF6B35"/>
      </patternFill>
    </fill>
  </fills>
  <borders count="6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  <border>
      <left/>
      <right/>
      <top style="thin">
        <color rgb="00C9CDD6"/>
      </top>
      <bottom/>
      <diagonal/>
    </border>
    <border>
      <left/>
      <right style="thin">
        <color rgb="00C9CDD6"/>
      </right>
      <top style="thin">
        <color rgb="00C9CDD6"/>
      </top>
      <bottom/>
      <diagonal/>
    </border>
    <border>
      <left/>
      <right/>
      <top style="thin">
        <color rgb="00C9CDD6"/>
      </top>
      <bottom style="thin">
        <color rgb="00C9CDD6"/>
      </bottom>
      <diagonal/>
    </border>
    <border>
      <left/>
      <right style="thin">
        <color rgb="00C9CDD6"/>
      </right>
      <top style="thin">
        <color rgb="00C9CDD6"/>
      </top>
      <bottom style="thin">
        <color rgb="00C9CDD6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14" fillId="6" borderId="0" pivotButton="0" quotePrefix="0" xfId="0"/>
    <xf numFmtId="3" fontId="15" fillId="6" borderId="0" pivotButton="0" quotePrefix="0" xfId="0"/>
    <xf numFmtId="3" fontId="16" fillId="6" borderId="0" pivotButton="0" quotePrefix="0" xfId="0"/>
    <xf numFmtId="3" fontId="17" fillId="6" borderId="0" pivotButton="0" quotePrefix="0" xfId="0"/>
    <xf numFmtId="3" fontId="18" fillId="6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1" fontId="5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/>
    </xf>
    <xf numFmtId="9" fontId="6" fillId="0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9" fontId="4" fillId="2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9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Cost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>
              <a:prstDash val="solid"/>
            </a:ln>
          </spPr>
          <cat>
            <numRef>
              <f>'ChartData'!$A$2:$A$31</f>
            </numRef>
          </cat>
          <val>
            <numRef>
              <f>'ChartData'!$B$2:$B$31</f>
            </numRef>
          </val>
        </ser>
        <gapWidth val="6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Probability</a:t>
            </a:r>
          </a:p>
        </rich>
      </tx>
    </title>
    <plotArea>
      <scatterChart>
        <ser>
          <idx val="0"/>
          <order val="0"/>
          <tx>
            <v>S-curve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'ChartData'!$D$2:$D$22</f>
            </numRef>
          </xVal>
          <yVal>
            <numRef>
              <f>'ChartData'!$E$2:$E$22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Prob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Cash Flow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'ChartData'!$G$2:$G$31</f>
            </numRef>
          </cat>
          <val>
            <numRef>
              <f>'ChartData'!$H$2:$H$31</f>
            </numRef>
          </val>
        </ser>
        <ser>
          <idx val="1"/>
          <order val="1"/>
          <tx>
            <strRef>
              <f>'ChartData'!I1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'ChartData'!$G$2:$G$31</f>
            </numRef>
          </cat>
          <val>
            <numRef>
              <f>'ChartData'!$I$2:$I$31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Sensitivity (Tornado)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'Sensitivity'!E4</f>
            </strRef>
          </tx>
          <spPr>
            <a:ln>
              <a:prstDash val="solid"/>
            </a:ln>
          </spPr>
          <cat>
            <numRef>
              <f>'Sensitivity'!$A$5:$A$20</f>
            </numRef>
          </cat>
          <val>
            <numRef>
              <f>'Sensitivity'!$E$5:$E$20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Tornado — uncertainty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'Sensitivity'!E4</f>
            </strRef>
          </tx>
          <spPr>
            <a:ln>
              <a:prstDash val="solid"/>
            </a:ln>
          </spPr>
          <cat>
            <numRef>
              <f>'Sensitivity'!$A$5:$A$20</f>
            </numRef>
          </cat>
          <val>
            <numRef>
              <f>'Sensitivity'!$E$5:$E$20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35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35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ostLines" displayName="tbl_CostLines" ref="A3:O9" headerRowCount="1">
  <autoFilter ref="A3:O9"/>
  <tableColumns count="15">
    <tableColumn id="1" name="No."/>
    <tableColumn id="2" name="Cost Item"/>
    <tableColumn id="3" name="Category"/>
    <tableColumn id="4" name="Description"/>
    <tableColumn id="5" name="Unit"/>
    <tableColumn id="6" name="Quantity"/>
    <tableColumn id="7" name="Min Unit Cost"/>
    <tableColumn id="8" name="Most Likely Unit Cost"/>
    <tableColumn id="9" name="Max Unit Cost"/>
    <tableColumn id="10" name="Min Total Cost"/>
    <tableColumn id="11" name="Most Likely Total Cost"/>
    <tableColumn id="12" name="Max Total Cost"/>
    <tableColumn id="13" name="Distribution"/>
    <tableColumn id="14" name="Include?"/>
    <tableColumn id="15" name="Notes"/>
  </tableColumns>
  <tableStyleInfo name="TableStyleMedium2" showRowStripes="1"/>
</table>
</file>

<file path=xl/tables/table2.xml><?xml version="1.0" encoding="utf-8"?>
<table xmlns="http://schemas.openxmlformats.org/spreadsheetml/2006/main" id="2" name="tbl_CostProfile" displayName="tbl_CostProfile" ref="A3:AG9" headerRowCount="1">
  <autoFilter ref="A3:AG9"/>
  <tableColumns count="33">
    <tableColumn id="1" name="No."/>
    <tableColumn id="2" name="Cost Item"/>
    <tableColumn id="3" name="FY1"/>
    <tableColumn id="4" name="FY2"/>
    <tableColumn id="5" name="FY3"/>
    <tableColumn id="6" name="FY4"/>
    <tableColumn id="7" name="FY5"/>
    <tableColumn id="8" name="FY6"/>
    <tableColumn id="9" name="FY7"/>
    <tableColumn id="10" name="FY8"/>
    <tableColumn id="11" name="FY9"/>
    <tableColumn id="12" name="FY10"/>
    <tableColumn id="13" name="FY11"/>
    <tableColumn id="14" name="FY12"/>
    <tableColumn id="15" name="FY13"/>
    <tableColumn id="16" name="FY14"/>
    <tableColumn id="17" name="FY15"/>
    <tableColumn id="18" name="FY16"/>
    <tableColumn id="19" name="FY17"/>
    <tableColumn id="20" name="FY18"/>
    <tableColumn id="21" name="FY19"/>
    <tableColumn id="22" name="FY20"/>
    <tableColumn id="23" name="FY21"/>
    <tableColumn id="24" name="FY22"/>
    <tableColumn id="25" name="FY23"/>
    <tableColumn id="26" name="FY24"/>
    <tableColumn id="27" name="FY25"/>
    <tableColumn id="28" name="FY26"/>
    <tableColumn id="29" name="FY27"/>
    <tableColumn id="30" name="FY28"/>
    <tableColumn id="31" name="FY29"/>
    <tableColumn id="32" name="FY30"/>
    <tableColumn id="33" name="Total %"/>
  </tableColumns>
  <tableStyleInfo name="TableStyleMedium2" showRowStripes="1"/>
</table>
</file>

<file path=xl/tables/table3.xml><?xml version="1.0" encoding="utf-8"?>
<table xmlns="http://schemas.openxmlformats.org/spreadsheetml/2006/main" id="3" name="tbl_RiskRegister" displayName="tbl_RiskRegister" ref="A3:K7" headerRowCount="1">
  <autoFilter ref="A3:K7"/>
  <tableColumns count="11">
    <tableColumn id="1" name="Risk ID"/>
    <tableColumn id="2" name="Risk Name"/>
    <tableColumn id="3" name="Category"/>
    <tableColumn id="4" name="Probability"/>
    <tableColumn id="5" name="Min Impact"/>
    <tableColumn id="6" name="Most Likely Impact"/>
    <tableColumn id="7" name="Max Impact"/>
    <tableColumn id="8" name="Distribution"/>
    <tableColumn id="9" name="Risk Owner"/>
    <tableColumn id="10" name="Include?"/>
    <tableColumn id="11" name="Notes"/>
  </tableColumns>
  <tableStyleInfo name="TableStyleMedium3" showRowStripes="1"/>
</table>
</file>

<file path=xl/tables/table4.xml><?xml version="1.0" encoding="utf-8"?>
<table xmlns="http://schemas.openxmlformats.org/spreadsheetml/2006/main" id="4" name="tbl_RiskProfile" displayName="tbl_RiskProfile" ref="A3:AG7" headerRowCount="1">
  <autoFilter ref="A3:AG7"/>
  <tableColumns count="33">
    <tableColumn id="1" name="Risk ID"/>
    <tableColumn id="2" name="Risk Name"/>
    <tableColumn id="3" name="FY1"/>
    <tableColumn id="4" name="FY2"/>
    <tableColumn id="5" name="FY3"/>
    <tableColumn id="6" name="FY4"/>
    <tableColumn id="7" name="FY5"/>
    <tableColumn id="8" name="FY6"/>
    <tableColumn id="9" name="FY7"/>
    <tableColumn id="10" name="FY8"/>
    <tableColumn id="11" name="FY9"/>
    <tableColumn id="12" name="FY10"/>
    <tableColumn id="13" name="FY11"/>
    <tableColumn id="14" name="FY12"/>
    <tableColumn id="15" name="FY13"/>
    <tableColumn id="16" name="FY14"/>
    <tableColumn id="17" name="FY15"/>
    <tableColumn id="18" name="FY16"/>
    <tableColumn id="19" name="FY17"/>
    <tableColumn id="20" name="FY18"/>
    <tableColumn id="21" name="FY19"/>
    <tableColumn id="22" name="FY20"/>
    <tableColumn id="23" name="FY21"/>
    <tableColumn id="24" name="FY22"/>
    <tableColumn id="25" name="FY23"/>
    <tableColumn id="26" name="FY24"/>
    <tableColumn id="27" name="FY25"/>
    <tableColumn id="28" name="FY26"/>
    <tableColumn id="29" name="FY27"/>
    <tableColumn id="30" name="FY28"/>
    <tableColumn id="31" name="FY29"/>
    <tableColumn id="32" name="FY30"/>
    <tableColumn id="33" name="Total %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FF6B35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MONTE CARLO COST MODEL</t>
        </is>
      </c>
    </row>
    <row r="2">
      <c r="A2" s="2">
        <f>'Setup'!C4</f>
        <v/>
      </c>
    </row>
    <row r="3">
      <c r="A3" s="3">
        <f>"All figures in "&amp;'Setup'!C5</f>
        <v/>
      </c>
    </row>
    <row r="4">
      <c r="A4" s="4" t="inlineStr">
        <is>
          <t>Currency</t>
        </is>
      </c>
      <c r="B4" s="4" t="inlineStr">
        <is>
          <t>Years</t>
        </is>
      </c>
      <c r="C4" s="4" t="inlineStr">
        <is>
          <t>Iterations</t>
        </is>
      </c>
      <c r="D4" s="4" t="inlineStr">
        <is>
          <t>Confidence</t>
        </is>
      </c>
      <c r="E4" s="4" t="inlineStr">
        <is>
          <t>Discount</t>
        </is>
      </c>
      <c r="F4" s="4" t="inlineStr">
        <is>
          <t>Checks</t>
        </is>
      </c>
    </row>
    <row r="5">
      <c r="A5" s="5">
        <f>'Setup'!C5</f>
        <v/>
      </c>
      <c r="B5" s="5">
        <f>'Setup'!C8</f>
        <v/>
      </c>
      <c r="C5" s="5">
        <f>'Setup'!C9</f>
        <v/>
      </c>
      <c r="D5" s="5">
        <f>'Setup'!C10</f>
        <v/>
      </c>
      <c r="E5" s="5">
        <f>'Setup'!C11</f>
        <v/>
      </c>
      <c r="F5" s="5">
        <f>'Checks'!$B$13</f>
        <v/>
      </c>
    </row>
    <row r="7">
      <c r="A7" s="6" t="inlineStr">
        <is>
          <t>▶  Run Simulation</t>
        </is>
      </c>
      <c r="B7" s="7" t="n"/>
      <c r="C7" s="8" t="n"/>
      <c r="D7" s="9" t="inlineStr">
        <is>
          <t>📅  Apply Years</t>
        </is>
      </c>
      <c r="E7" s="8" t="n"/>
      <c r="F7" s="10" t="inlineStr">
        <is>
          <t>⬇  Export Report</t>
        </is>
      </c>
      <c r="G7" s="8" t="n"/>
    </row>
    <row r="8">
      <c r="A8" s="3" t="inlineStr">
        <is>
          <t>Buttons need the VBA modules (vba/). Save as .xlsm. See vba/VBA_SETUP.md.</t>
        </is>
      </c>
    </row>
    <row r="10">
      <c r="A10" s="11" t="inlineStr">
        <is>
          <t>KEY OUTPUTS  (filled by the macro)</t>
        </is>
      </c>
    </row>
    <row r="11">
      <c r="A11" s="12" t="inlineStr">
        <is>
          <t>Base Cost (ML)</t>
        </is>
      </c>
      <c r="C11" s="12" t="inlineStr">
        <is>
          <t>Expected Cost</t>
        </is>
      </c>
      <c r="E11" s="12" t="inlineStr">
        <is>
          <t>Expected Risk</t>
        </is>
      </c>
      <c r="G11" s="12" t="inlineStr">
        <is>
          <t>Total Expected</t>
        </is>
      </c>
    </row>
    <row r="12">
      <c r="A12" s="13" t="n"/>
      <c r="C12" s="14" t="n"/>
      <c r="E12" s="15" t="n"/>
      <c r="G12" s="14" t="n"/>
    </row>
    <row r="14">
      <c r="A14" s="12" t="inlineStr">
        <is>
          <t>P50</t>
        </is>
      </c>
      <c r="C14" s="12" t="inlineStr">
        <is>
          <t>P70</t>
        </is>
      </c>
      <c r="E14" s="12" t="inlineStr">
        <is>
          <t>P80</t>
        </is>
      </c>
      <c r="G14" s="12" t="inlineStr">
        <is>
          <t>P90</t>
        </is>
      </c>
    </row>
    <row r="15">
      <c r="A15" s="13" t="n"/>
      <c r="C15" s="13" t="n"/>
      <c r="E15" s="16" t="n"/>
      <c r="G15" s="13" t="n"/>
    </row>
    <row r="17">
      <c r="A17" s="12" t="inlineStr">
        <is>
          <t>Contingency</t>
        </is>
      </c>
      <c r="C17" s="12" t="inlineStr">
        <is>
          <t>Recommended Budget</t>
        </is>
      </c>
      <c r="E17" s="12" t="inlineStr">
        <is>
          <t>NPV @ confidence</t>
        </is>
      </c>
      <c r="G17" s="12" t="inlineStr">
        <is>
          <t>P95</t>
        </is>
      </c>
    </row>
    <row r="18">
      <c r="A18" s="16" t="n"/>
      <c r="C18" s="16" t="n"/>
      <c r="E18" s="13" t="n"/>
      <c r="G18" s="15" t="n"/>
    </row>
  </sheetData>
  <mergeCells count="28">
    <mergeCell ref="E12:F12"/>
    <mergeCell ref="G12:H12"/>
    <mergeCell ref="A8:J8"/>
    <mergeCell ref="A15:B15"/>
    <mergeCell ref="C15:D15"/>
    <mergeCell ref="A11:B11"/>
    <mergeCell ref="G11:H11"/>
    <mergeCell ref="C14:D14"/>
    <mergeCell ref="E14:F14"/>
    <mergeCell ref="E17:F17"/>
    <mergeCell ref="G17:H17"/>
    <mergeCell ref="F7:G7"/>
    <mergeCell ref="A18:B18"/>
    <mergeCell ref="G18:H18"/>
    <mergeCell ref="A12:B12"/>
    <mergeCell ref="C12:D12"/>
    <mergeCell ref="D7:E7"/>
    <mergeCell ref="E15:F15"/>
    <mergeCell ref="C11:D11"/>
    <mergeCell ref="G15:H15"/>
    <mergeCell ref="E11:F11"/>
    <mergeCell ref="A14:B14"/>
    <mergeCell ref="G14:H14"/>
    <mergeCell ref="A17:B17"/>
    <mergeCell ref="C17:D17"/>
    <mergeCell ref="C18:D18"/>
    <mergeCell ref="A7:C7"/>
    <mergeCell ref="E18:F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2A44"/>
    <outlinePr summaryBelow="1" summaryRight="1"/>
    <pageSetUpPr/>
  </sheetPr>
  <dimension ref="B1:E16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20" customWidth="1" min="3" max="3"/>
    <col width="36" customWidth="1" min="5" max="5"/>
  </cols>
  <sheetData>
    <row r="1">
      <c r="B1" s="17" t="inlineStr">
        <is>
          <t>MODEL SETUP</t>
        </is>
      </c>
    </row>
    <row r="2">
      <c r="B2" s="3" t="inlineStr">
        <is>
          <t>Yellow cells are inputs. Run the simulation from the Dashboard (or Alt+F8 ▸ RunSimulation).</t>
        </is>
      </c>
    </row>
    <row r="4">
      <c r="B4" s="18" t="inlineStr">
        <is>
          <t>Project name</t>
        </is>
      </c>
      <c r="C4" s="19" t="inlineStr">
        <is>
          <t>Sample Construction Project</t>
        </is>
      </c>
    </row>
    <row r="5">
      <c r="B5" s="18" t="inlineStr">
        <is>
          <t>Currency</t>
        </is>
      </c>
      <c r="C5" s="19" t="inlineStr">
        <is>
          <t>SAR</t>
        </is>
      </c>
    </row>
    <row r="6">
      <c r="B6" s="18" t="inlineStr">
        <is>
          <t>Base year</t>
        </is>
      </c>
      <c r="C6" s="20" t="n">
        <v>2025</v>
      </c>
    </row>
    <row r="7">
      <c r="B7" s="18" t="inlineStr">
        <is>
          <t>Start year</t>
        </is>
      </c>
      <c r="C7" s="20" t="n">
        <v>2025</v>
      </c>
    </row>
    <row r="8">
      <c r="B8" s="18" t="inlineStr">
        <is>
          <t>Number of years</t>
        </is>
      </c>
      <c r="C8" s="20" t="n">
        <v>5</v>
      </c>
    </row>
    <row r="9">
      <c r="B9" s="18" t="inlineStr">
        <is>
          <t>Iterations</t>
        </is>
      </c>
      <c r="C9" s="21" t="n">
        <v>10000</v>
      </c>
    </row>
    <row r="10">
      <c r="B10" s="18" t="inlineStr">
        <is>
          <t>Confidence level</t>
        </is>
      </c>
      <c r="C10" s="19" t="inlineStr">
        <is>
          <t>P80</t>
        </is>
      </c>
    </row>
    <row r="11">
      <c r="B11" s="18" t="inlineStr">
        <is>
          <t>Discount rate</t>
        </is>
      </c>
      <c r="C11" s="22" t="n">
        <v>0.08</v>
      </c>
    </row>
    <row r="12">
      <c r="B12" s="18" t="inlineStr">
        <is>
          <t>VAT treatment</t>
        </is>
      </c>
      <c r="C12" s="19" t="inlineStr">
        <is>
          <t>Excluded</t>
        </is>
      </c>
      <c r="E12" s="23" t="inlineStr">
        <is>
          <t>↳ inflation is per year on the Inflation sheet</t>
        </is>
      </c>
    </row>
    <row r="13">
      <c r="B13" s="18" t="inlineStr">
        <is>
          <t>Prepared by</t>
        </is>
      </c>
      <c r="C13" s="19" t="inlineStr"/>
    </row>
    <row r="14">
      <c r="B14" s="18" t="inlineStr">
        <is>
          <t>Date</t>
        </is>
      </c>
      <c r="C14" s="19" t="inlineStr"/>
    </row>
    <row r="16">
      <c r="B16" s="24" t="inlineStr">
        <is>
          <t>Confidence (numeric)</t>
        </is>
      </c>
      <c r="C16" s="25">
        <f>VALUE(MID(C10,2,2))/100</f>
        <v/>
      </c>
    </row>
  </sheetData>
  <dataValidations count="2">
    <dataValidation sqref="C10" showDropDown="0" showInputMessage="0" showErrorMessage="0" allowBlank="0" type="list">
      <formula1>"P50,P60,P70,P80,P90,P95"</formula1>
    </dataValidation>
    <dataValidation sqref="C12" showDropDown="0" showInputMessage="0" showErrorMessage="0" allowBlank="0" type="list">
      <formula1>"Included,Excluded"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O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6" customWidth="1" min="4" max="4"/>
    <col width="6" customWidth="1" min="5" max="5"/>
    <col width="9" customWidth="1" min="6" max="6"/>
    <col width="12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9" customWidth="1" min="14" max="14"/>
    <col width="14" customWidth="1" min="15" max="15"/>
  </cols>
  <sheetData>
    <row r="1">
      <c r="A1" s="17" t="inlineStr">
        <is>
          <t>COST LINES — 3-Point Estimates  (add rows freely; the macro reads them all)</t>
        </is>
      </c>
    </row>
    <row r="2">
      <c r="A2" s="26" t="inlineStr">
        <is>
          <t>➕ Add  →  AddCostLine</t>
        </is>
      </c>
      <c r="D2" s="27" t="inlineStr">
        <is>
          <t>🗑 Delete selected  →  DeleteCostLine</t>
        </is>
      </c>
    </row>
    <row r="3">
      <c r="A3" s="28" t="inlineStr">
        <is>
          <t>No.</t>
        </is>
      </c>
      <c r="B3" s="28" t="inlineStr">
        <is>
          <t>Cost Item</t>
        </is>
      </c>
      <c r="C3" s="28" t="inlineStr">
        <is>
          <t>Category</t>
        </is>
      </c>
      <c r="D3" s="28" t="inlineStr">
        <is>
          <t>Description</t>
        </is>
      </c>
      <c r="E3" s="28" t="inlineStr">
        <is>
          <t>Unit</t>
        </is>
      </c>
      <c r="F3" s="28" t="inlineStr">
        <is>
          <t>Quantity</t>
        </is>
      </c>
      <c r="G3" s="28" t="inlineStr">
        <is>
          <t>Min Unit Cost</t>
        </is>
      </c>
      <c r="H3" s="28" t="inlineStr">
        <is>
          <t>Most Likely Unit Cost</t>
        </is>
      </c>
      <c r="I3" s="28" t="inlineStr">
        <is>
          <t>Max Unit Cost</t>
        </is>
      </c>
      <c r="J3" s="28" t="inlineStr">
        <is>
          <t>Min Total Cost</t>
        </is>
      </c>
      <c r="K3" s="28" t="inlineStr">
        <is>
          <t>Most Likely Total Cost</t>
        </is>
      </c>
      <c r="L3" s="28" t="inlineStr">
        <is>
          <t>Max Total Cost</t>
        </is>
      </c>
      <c r="M3" s="28" t="inlineStr">
        <is>
          <t>Distribution</t>
        </is>
      </c>
      <c r="N3" s="28" t="inlineStr">
        <is>
          <t>Include?</t>
        </is>
      </c>
      <c r="O3" s="28" t="inlineStr">
        <is>
          <t>Notes</t>
        </is>
      </c>
    </row>
    <row r="4">
      <c r="A4" s="29">
        <f>ROW()-3</f>
        <v/>
      </c>
      <c r="B4" s="30" t="inlineStr">
        <is>
          <t>Site Preparation</t>
        </is>
      </c>
      <c r="C4" s="30" t="inlineStr">
        <is>
          <t>Civil</t>
        </is>
      </c>
      <c r="D4" s="30" t="inlineStr">
        <is>
          <t>Site Preparation works</t>
        </is>
      </c>
      <c r="E4" s="29" t="inlineStr">
        <is>
          <t>LS</t>
        </is>
      </c>
      <c r="F4" s="31" t="n">
        <v>1</v>
      </c>
      <c r="G4" s="31" t="n">
        <v>28000</v>
      </c>
      <c r="H4" s="31" t="n">
        <v>38000</v>
      </c>
      <c r="I4" s="31" t="n">
        <v>60000</v>
      </c>
      <c r="J4" s="32">
        <f>F4*G4</f>
        <v/>
      </c>
      <c r="K4" s="32">
        <f>F4*H4</f>
        <v/>
      </c>
      <c r="L4" s="32">
        <f>F4*I4</f>
        <v/>
      </c>
      <c r="M4" s="29" t="inlineStr">
        <is>
          <t>Triangular</t>
        </is>
      </c>
      <c r="N4" s="29" t="inlineStr">
        <is>
          <t>Yes</t>
        </is>
      </c>
      <c r="O4" s="30" t="inlineStr"/>
    </row>
    <row r="5">
      <c r="A5" s="29">
        <f>ROW()-3</f>
        <v/>
      </c>
      <c r="B5" s="30" t="inlineStr">
        <is>
          <t>Foundations</t>
        </is>
      </c>
      <c r="C5" s="30" t="inlineStr">
        <is>
          <t>Civil</t>
        </is>
      </c>
      <c r="D5" s="30" t="inlineStr">
        <is>
          <t>Foundations works</t>
        </is>
      </c>
      <c r="E5" s="29" t="inlineStr">
        <is>
          <t>LS</t>
        </is>
      </c>
      <c r="F5" s="31" t="n">
        <v>1</v>
      </c>
      <c r="G5" s="31" t="n">
        <v>45000</v>
      </c>
      <c r="H5" s="31" t="n">
        <v>55000</v>
      </c>
      <c r="I5" s="31" t="n">
        <v>75000</v>
      </c>
      <c r="J5" s="32">
        <f>F5*G5</f>
        <v/>
      </c>
      <c r="K5" s="32">
        <f>F5*H5</f>
        <v/>
      </c>
      <c r="L5" s="32">
        <f>F5*I5</f>
        <v/>
      </c>
      <c r="M5" s="29" t="inlineStr">
        <is>
          <t>Triangular</t>
        </is>
      </c>
      <c r="N5" s="29" t="inlineStr">
        <is>
          <t>Yes</t>
        </is>
      </c>
      <c r="O5" s="30" t="inlineStr"/>
    </row>
    <row r="6">
      <c r="A6" s="29">
        <f>ROW()-3</f>
        <v/>
      </c>
      <c r="B6" s="30" t="inlineStr">
        <is>
          <t>Superstructure</t>
        </is>
      </c>
      <c r="C6" s="30" t="inlineStr">
        <is>
          <t>Structural</t>
        </is>
      </c>
      <c r="D6" s="30" t="inlineStr">
        <is>
          <t>Superstructure works</t>
        </is>
      </c>
      <c r="E6" s="29" t="inlineStr">
        <is>
          <t>LS</t>
        </is>
      </c>
      <c r="F6" s="31" t="n">
        <v>1</v>
      </c>
      <c r="G6" s="31" t="n">
        <v>90000</v>
      </c>
      <c r="H6" s="31" t="n">
        <v>120000</v>
      </c>
      <c r="I6" s="31" t="n">
        <v>170000</v>
      </c>
      <c r="J6" s="32">
        <f>F6*G6</f>
        <v/>
      </c>
      <c r="K6" s="32">
        <f>F6*H6</f>
        <v/>
      </c>
      <c r="L6" s="32">
        <f>F6*I6</f>
        <v/>
      </c>
      <c r="M6" s="29" t="inlineStr">
        <is>
          <t>Pert</t>
        </is>
      </c>
      <c r="N6" s="29" t="inlineStr">
        <is>
          <t>Yes</t>
        </is>
      </c>
      <c r="O6" s="30" t="inlineStr"/>
    </row>
    <row r="7">
      <c r="A7" s="29">
        <f>ROW()-3</f>
        <v/>
      </c>
      <c r="B7" s="30" t="inlineStr">
        <is>
          <t>MEP Systems</t>
        </is>
      </c>
      <c r="C7" s="30" t="inlineStr">
        <is>
          <t>MEP</t>
        </is>
      </c>
      <c r="D7" s="30" t="inlineStr">
        <is>
          <t>MEP Systems works</t>
        </is>
      </c>
      <c r="E7" s="29" t="inlineStr">
        <is>
          <t>LS</t>
        </is>
      </c>
      <c r="F7" s="31" t="n">
        <v>1</v>
      </c>
      <c r="G7" s="31" t="n">
        <v>60000</v>
      </c>
      <c r="H7" s="31" t="n">
        <v>80000</v>
      </c>
      <c r="I7" s="31" t="n">
        <v>115000</v>
      </c>
      <c r="J7" s="32">
        <f>F7*G7</f>
        <v/>
      </c>
      <c r="K7" s="32">
        <f>F7*H7</f>
        <v/>
      </c>
      <c r="L7" s="32">
        <f>F7*I7</f>
        <v/>
      </c>
      <c r="M7" s="29" t="inlineStr">
        <is>
          <t>Pert</t>
        </is>
      </c>
      <c r="N7" s="29" t="inlineStr">
        <is>
          <t>Yes</t>
        </is>
      </c>
      <c r="O7" s="30" t="inlineStr"/>
    </row>
    <row r="8">
      <c r="A8" s="29">
        <f>ROW()-3</f>
        <v/>
      </c>
      <c r="B8" s="30" t="inlineStr">
        <is>
          <t>Finishes</t>
        </is>
      </c>
      <c r="C8" s="30" t="inlineStr">
        <is>
          <t>Architectural</t>
        </is>
      </c>
      <c r="D8" s="30" t="inlineStr">
        <is>
          <t>Finishes works</t>
        </is>
      </c>
      <c r="E8" s="29" t="inlineStr">
        <is>
          <t>LS</t>
        </is>
      </c>
      <c r="F8" s="31" t="n">
        <v>1</v>
      </c>
      <c r="G8" s="31" t="n">
        <v>30000</v>
      </c>
      <c r="H8" s="31" t="n">
        <v>45000</v>
      </c>
      <c r="I8" s="31" t="n">
        <v>70000</v>
      </c>
      <c r="J8" s="32">
        <f>F8*G8</f>
        <v/>
      </c>
      <c r="K8" s="32">
        <f>F8*H8</f>
        <v/>
      </c>
      <c r="L8" s="32">
        <f>F8*I8</f>
        <v/>
      </c>
      <c r="M8" s="29" t="inlineStr">
        <is>
          <t>Triangular</t>
        </is>
      </c>
      <c r="N8" s="29" t="inlineStr">
        <is>
          <t>Yes</t>
        </is>
      </c>
      <c r="O8" s="30" t="inlineStr"/>
    </row>
    <row r="9">
      <c r="A9" s="29">
        <f>ROW()-3</f>
        <v/>
      </c>
      <c r="B9" s="30" t="inlineStr">
        <is>
          <t>Project Management</t>
        </is>
      </c>
      <c r="C9" s="30" t="inlineStr">
        <is>
          <t>PM</t>
        </is>
      </c>
      <c r="D9" s="30" t="inlineStr">
        <is>
          <t>Project Management works</t>
        </is>
      </c>
      <c r="E9" s="29" t="inlineStr">
        <is>
          <t>LS</t>
        </is>
      </c>
      <c r="F9" s="31" t="n">
        <v>1</v>
      </c>
      <c r="G9" s="31" t="n">
        <v>20000</v>
      </c>
      <c r="H9" s="31" t="n">
        <v>28000</v>
      </c>
      <c r="I9" s="31" t="n">
        <v>40000</v>
      </c>
      <c r="J9" s="32">
        <f>F9*G9</f>
        <v/>
      </c>
      <c r="K9" s="32">
        <f>F9*H9</f>
        <v/>
      </c>
      <c r="L9" s="32">
        <f>F9*I9</f>
        <v/>
      </c>
      <c r="M9" s="29" t="inlineStr">
        <is>
          <t>Normal</t>
        </is>
      </c>
      <c r="N9" s="29" t="inlineStr">
        <is>
          <t>Yes</t>
        </is>
      </c>
      <c r="O9" s="30" t="inlineStr"/>
    </row>
  </sheetData>
  <mergeCells count="2">
    <mergeCell ref="D2:G2"/>
    <mergeCell ref="A2:C2"/>
  </mergeCells>
  <dataValidations count="2">
    <dataValidation sqref="M4:M69" showDropDown="0" showInputMessage="0" showErrorMessage="0" allowBlank="0" type="list">
      <formula1>"Triangular,Pert,Normal"</formula1>
    </dataValidation>
    <dataValidation sqref="N4:N69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6B35"/>
    <outlinePr summaryBelow="1" summaryRight="1"/>
    <pageSetUpPr/>
  </sheetPr>
  <dimension ref="A1:A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</cols>
  <sheetData>
    <row r="1">
      <c r="A1" s="17" t="inlineStr">
        <is>
          <t>COST PROFILING — % per year (rows must total 100%)</t>
        </is>
      </c>
    </row>
    <row r="3">
      <c r="A3" s="28" t="inlineStr">
        <is>
          <t>No.</t>
        </is>
      </c>
      <c r="B3" s="28" t="inlineStr">
        <is>
          <t>Cost Item</t>
        </is>
      </c>
      <c r="C3" s="28" t="inlineStr">
        <is>
          <t>FY1</t>
        </is>
      </c>
      <c r="D3" s="28" t="inlineStr">
        <is>
          <t>FY2</t>
        </is>
      </c>
      <c r="E3" s="28" t="inlineStr">
        <is>
          <t>FY3</t>
        </is>
      </c>
      <c r="F3" s="28" t="inlineStr">
        <is>
          <t>FY4</t>
        </is>
      </c>
      <c r="G3" s="28" t="inlineStr">
        <is>
          <t>FY5</t>
        </is>
      </c>
      <c r="H3" s="28" t="inlineStr">
        <is>
          <t>FY6</t>
        </is>
      </c>
      <c r="I3" s="28" t="inlineStr">
        <is>
          <t>FY7</t>
        </is>
      </c>
      <c r="J3" s="28" t="inlineStr">
        <is>
          <t>FY8</t>
        </is>
      </c>
      <c r="K3" s="28" t="inlineStr">
        <is>
          <t>FY9</t>
        </is>
      </c>
      <c r="L3" s="28" t="inlineStr">
        <is>
          <t>FY10</t>
        </is>
      </c>
      <c r="M3" s="28" t="inlineStr">
        <is>
          <t>FY11</t>
        </is>
      </c>
      <c r="N3" s="28" t="inlineStr">
        <is>
          <t>FY12</t>
        </is>
      </c>
      <c r="O3" s="28" t="inlineStr">
        <is>
          <t>FY13</t>
        </is>
      </c>
      <c r="P3" s="28" t="inlineStr">
        <is>
          <t>FY14</t>
        </is>
      </c>
      <c r="Q3" s="28" t="inlineStr">
        <is>
          <t>FY15</t>
        </is>
      </c>
      <c r="R3" s="28" t="inlineStr">
        <is>
          <t>FY16</t>
        </is>
      </c>
      <c r="S3" s="28" t="inlineStr">
        <is>
          <t>FY17</t>
        </is>
      </c>
      <c r="T3" s="28" t="inlineStr">
        <is>
          <t>FY18</t>
        </is>
      </c>
      <c r="U3" s="28" t="inlineStr">
        <is>
          <t>FY19</t>
        </is>
      </c>
      <c r="V3" s="28" t="inlineStr">
        <is>
          <t>FY20</t>
        </is>
      </c>
      <c r="W3" s="28" t="inlineStr">
        <is>
          <t>FY21</t>
        </is>
      </c>
      <c r="X3" s="28" t="inlineStr">
        <is>
          <t>FY22</t>
        </is>
      </c>
      <c r="Y3" s="28" t="inlineStr">
        <is>
          <t>FY23</t>
        </is>
      </c>
      <c r="Z3" s="28" t="inlineStr">
        <is>
          <t>FY24</t>
        </is>
      </c>
      <c r="AA3" s="28" t="inlineStr">
        <is>
          <t>FY25</t>
        </is>
      </c>
      <c r="AB3" s="28" t="inlineStr">
        <is>
          <t>FY26</t>
        </is>
      </c>
      <c r="AC3" s="28" t="inlineStr">
        <is>
          <t>FY27</t>
        </is>
      </c>
      <c r="AD3" s="28" t="inlineStr">
        <is>
          <t>FY28</t>
        </is>
      </c>
      <c r="AE3" s="28" t="inlineStr">
        <is>
          <t>FY29</t>
        </is>
      </c>
      <c r="AF3" s="28" t="inlineStr">
        <is>
          <t>FY30</t>
        </is>
      </c>
      <c r="AG3" s="28" t="inlineStr">
        <is>
          <t>Total %</t>
        </is>
      </c>
    </row>
    <row r="4">
      <c r="A4" s="29">
        <f>'Cost Lines'!A4</f>
        <v/>
      </c>
      <c r="B4" s="30">
        <f>'Cost Lines'!B4</f>
        <v/>
      </c>
      <c r="C4" s="33" t="n">
        <v>0.3333333333333333</v>
      </c>
      <c r="D4" s="33" t="n">
        <v>0.2666666666666667</v>
      </c>
      <c r="E4" s="33" t="n">
        <v>0.2</v>
      </c>
      <c r="F4" s="33" t="n">
        <v>0.1333333333333333</v>
      </c>
      <c r="G4" s="33" t="n">
        <v>0.06666666666666667</v>
      </c>
      <c r="H4" s="33" t="n">
        <v>0</v>
      </c>
      <c r="I4" s="33" t="n">
        <v>0</v>
      </c>
      <c r="J4" s="33" t="n">
        <v>0</v>
      </c>
      <c r="K4" s="33" t="n">
        <v>0</v>
      </c>
      <c r="L4" s="33" t="n">
        <v>0</v>
      </c>
      <c r="M4" s="33" t="n">
        <v>0</v>
      </c>
      <c r="N4" s="33" t="n">
        <v>0</v>
      </c>
      <c r="O4" s="33" t="n">
        <v>0</v>
      </c>
      <c r="P4" s="33" t="n">
        <v>0</v>
      </c>
      <c r="Q4" s="33" t="n">
        <v>0</v>
      </c>
      <c r="R4" s="33" t="n">
        <v>0</v>
      </c>
      <c r="S4" s="33" t="n">
        <v>0</v>
      </c>
      <c r="T4" s="33" t="n">
        <v>0</v>
      </c>
      <c r="U4" s="33" t="n">
        <v>0</v>
      </c>
      <c r="V4" s="33" t="n">
        <v>0</v>
      </c>
      <c r="W4" s="33" t="n">
        <v>0</v>
      </c>
      <c r="X4" s="33" t="n">
        <v>0</v>
      </c>
      <c r="Y4" s="33" t="n">
        <v>0</v>
      </c>
      <c r="Z4" s="33" t="n">
        <v>0</v>
      </c>
      <c r="AA4" s="33" t="n">
        <v>0</v>
      </c>
      <c r="AB4" s="33" t="n">
        <v>0</v>
      </c>
      <c r="AC4" s="33" t="n">
        <v>0</v>
      </c>
      <c r="AD4" s="33" t="n">
        <v>0</v>
      </c>
      <c r="AE4" s="33" t="n">
        <v>0</v>
      </c>
      <c r="AF4" s="33" t="n">
        <v>0</v>
      </c>
      <c r="AG4" s="34">
        <f>SUM(C4:INDEX(C4:AF4,1,'Setup'!$C$8))</f>
        <v/>
      </c>
    </row>
    <row r="5">
      <c r="A5" s="29">
        <f>'Cost Lines'!A5</f>
        <v/>
      </c>
      <c r="B5" s="30">
        <f>'Cost Lines'!B5</f>
        <v/>
      </c>
      <c r="C5" s="33" t="n">
        <v>0.3333333333333333</v>
      </c>
      <c r="D5" s="33" t="n">
        <v>0.2666666666666667</v>
      </c>
      <c r="E5" s="33" t="n">
        <v>0.2</v>
      </c>
      <c r="F5" s="33" t="n">
        <v>0.1333333333333333</v>
      </c>
      <c r="G5" s="33" t="n">
        <v>0.06666666666666667</v>
      </c>
      <c r="H5" s="33" t="n">
        <v>0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0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  <c r="W5" s="33" t="n">
        <v>0</v>
      </c>
      <c r="X5" s="33" t="n">
        <v>0</v>
      </c>
      <c r="Y5" s="33" t="n">
        <v>0</v>
      </c>
      <c r="Z5" s="33" t="n">
        <v>0</v>
      </c>
      <c r="AA5" s="33" t="n">
        <v>0</v>
      </c>
      <c r="AB5" s="33" t="n">
        <v>0</v>
      </c>
      <c r="AC5" s="33" t="n">
        <v>0</v>
      </c>
      <c r="AD5" s="33" t="n">
        <v>0</v>
      </c>
      <c r="AE5" s="33" t="n">
        <v>0</v>
      </c>
      <c r="AF5" s="33" t="n">
        <v>0</v>
      </c>
      <c r="AG5" s="34">
        <f>SUM(C5:INDEX(C5:AF5,1,'Setup'!$C$8))</f>
        <v/>
      </c>
    </row>
    <row r="6">
      <c r="A6" s="29">
        <f>'Cost Lines'!A6</f>
        <v/>
      </c>
      <c r="B6" s="30">
        <f>'Cost Lines'!B6</f>
        <v/>
      </c>
      <c r="C6" s="33" t="n">
        <v>0.1111111111111111</v>
      </c>
      <c r="D6" s="33" t="n">
        <v>0.2222222222222222</v>
      </c>
      <c r="E6" s="33" t="n">
        <v>0.3333333333333333</v>
      </c>
      <c r="F6" s="33" t="n">
        <v>0.2222222222222222</v>
      </c>
      <c r="G6" s="33" t="n">
        <v>0.1111111111111111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V6" s="33" t="n">
        <v>0</v>
      </c>
      <c r="W6" s="33" t="n">
        <v>0</v>
      </c>
      <c r="X6" s="33" t="n">
        <v>0</v>
      </c>
      <c r="Y6" s="33" t="n">
        <v>0</v>
      </c>
      <c r="Z6" s="33" t="n">
        <v>0</v>
      </c>
      <c r="AA6" s="33" t="n">
        <v>0</v>
      </c>
      <c r="AB6" s="33" t="n">
        <v>0</v>
      </c>
      <c r="AC6" s="33" t="n">
        <v>0</v>
      </c>
      <c r="AD6" s="33" t="n">
        <v>0</v>
      </c>
      <c r="AE6" s="33" t="n">
        <v>0</v>
      </c>
      <c r="AF6" s="33" t="n">
        <v>0</v>
      </c>
      <c r="AG6" s="34">
        <f>SUM(C6:INDEX(C6:AF6,1,'Setup'!$C$8))</f>
        <v/>
      </c>
    </row>
    <row r="7">
      <c r="A7" s="29">
        <f>'Cost Lines'!A7</f>
        <v/>
      </c>
      <c r="B7" s="30">
        <f>'Cost Lines'!B7</f>
        <v/>
      </c>
      <c r="C7" s="33" t="n">
        <v>0.06666666666666667</v>
      </c>
      <c r="D7" s="33" t="n">
        <v>0.1333333333333333</v>
      </c>
      <c r="E7" s="33" t="n">
        <v>0.2</v>
      </c>
      <c r="F7" s="33" t="n">
        <v>0.2666666666666667</v>
      </c>
      <c r="G7" s="33" t="n">
        <v>0.3333333333333333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0</v>
      </c>
      <c r="N7" s="33" t="n">
        <v>0</v>
      </c>
      <c r="O7" s="33" t="n">
        <v>0</v>
      </c>
      <c r="P7" s="33" t="n">
        <v>0</v>
      </c>
      <c r="Q7" s="33" t="n">
        <v>0</v>
      </c>
      <c r="R7" s="33" t="n">
        <v>0</v>
      </c>
      <c r="S7" s="33" t="n">
        <v>0</v>
      </c>
      <c r="T7" s="33" t="n">
        <v>0</v>
      </c>
      <c r="U7" s="33" t="n">
        <v>0</v>
      </c>
      <c r="V7" s="33" t="n">
        <v>0</v>
      </c>
      <c r="W7" s="33" t="n">
        <v>0</v>
      </c>
      <c r="X7" s="33" t="n">
        <v>0</v>
      </c>
      <c r="Y7" s="33" t="n">
        <v>0</v>
      </c>
      <c r="Z7" s="33" t="n">
        <v>0</v>
      </c>
      <c r="AA7" s="33" t="n">
        <v>0</v>
      </c>
      <c r="AB7" s="33" t="n">
        <v>0</v>
      </c>
      <c r="AC7" s="33" t="n">
        <v>0</v>
      </c>
      <c r="AD7" s="33" t="n">
        <v>0</v>
      </c>
      <c r="AE7" s="33" t="n">
        <v>0</v>
      </c>
      <c r="AF7" s="33" t="n">
        <v>0</v>
      </c>
      <c r="AG7" s="34">
        <f>SUM(C7:INDEX(C7:AF7,1,'Setup'!$C$8))</f>
        <v/>
      </c>
    </row>
    <row r="8">
      <c r="A8" s="29">
        <f>'Cost Lines'!A8</f>
        <v/>
      </c>
      <c r="B8" s="30">
        <f>'Cost Lines'!B8</f>
        <v/>
      </c>
      <c r="C8" s="33" t="n">
        <v>0.06666666666666667</v>
      </c>
      <c r="D8" s="33" t="n">
        <v>0.1333333333333333</v>
      </c>
      <c r="E8" s="33" t="n">
        <v>0.2</v>
      </c>
      <c r="F8" s="33" t="n">
        <v>0.2666666666666667</v>
      </c>
      <c r="G8" s="33" t="n">
        <v>0.3333333333333333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0</v>
      </c>
      <c r="P8" s="33" t="n">
        <v>0</v>
      </c>
      <c r="Q8" s="33" t="n">
        <v>0</v>
      </c>
      <c r="R8" s="33" t="n">
        <v>0</v>
      </c>
      <c r="S8" s="33" t="n">
        <v>0</v>
      </c>
      <c r="T8" s="33" t="n">
        <v>0</v>
      </c>
      <c r="U8" s="33" t="n">
        <v>0</v>
      </c>
      <c r="V8" s="33" t="n">
        <v>0</v>
      </c>
      <c r="W8" s="33" t="n">
        <v>0</v>
      </c>
      <c r="X8" s="33" t="n">
        <v>0</v>
      </c>
      <c r="Y8" s="33" t="n">
        <v>0</v>
      </c>
      <c r="Z8" s="33" t="n">
        <v>0</v>
      </c>
      <c r="AA8" s="33" t="n">
        <v>0</v>
      </c>
      <c r="AB8" s="33" t="n">
        <v>0</v>
      </c>
      <c r="AC8" s="33" t="n">
        <v>0</v>
      </c>
      <c r="AD8" s="33" t="n">
        <v>0</v>
      </c>
      <c r="AE8" s="33" t="n">
        <v>0</v>
      </c>
      <c r="AF8" s="33" t="n">
        <v>0</v>
      </c>
      <c r="AG8" s="34">
        <f>SUM(C8:INDEX(C8:AF8,1,'Setup'!$C$8))</f>
        <v/>
      </c>
    </row>
    <row r="9">
      <c r="A9" s="29">
        <f>'Cost Lines'!A9</f>
        <v/>
      </c>
      <c r="B9" s="30">
        <f>'Cost Lines'!B9</f>
        <v/>
      </c>
      <c r="C9" s="33" t="n">
        <v>0.2</v>
      </c>
      <c r="D9" s="33" t="n">
        <v>0.2</v>
      </c>
      <c r="E9" s="33" t="n">
        <v>0.2</v>
      </c>
      <c r="F9" s="33" t="n">
        <v>0.2</v>
      </c>
      <c r="G9" s="33" t="n">
        <v>0.2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  <c r="P9" s="33" t="n">
        <v>0</v>
      </c>
      <c r="Q9" s="33" t="n">
        <v>0</v>
      </c>
      <c r="R9" s="33" t="n">
        <v>0</v>
      </c>
      <c r="S9" s="33" t="n">
        <v>0</v>
      </c>
      <c r="T9" s="33" t="n">
        <v>0</v>
      </c>
      <c r="U9" s="33" t="n">
        <v>0</v>
      </c>
      <c r="V9" s="33" t="n">
        <v>0</v>
      </c>
      <c r="W9" s="33" t="n">
        <v>0</v>
      </c>
      <c r="X9" s="33" t="n">
        <v>0</v>
      </c>
      <c r="Y9" s="33" t="n">
        <v>0</v>
      </c>
      <c r="Z9" s="33" t="n">
        <v>0</v>
      </c>
      <c r="AA9" s="33" t="n">
        <v>0</v>
      </c>
      <c r="AB9" s="33" t="n">
        <v>0</v>
      </c>
      <c r="AC9" s="33" t="n">
        <v>0</v>
      </c>
      <c r="AD9" s="33" t="n">
        <v>0</v>
      </c>
      <c r="AE9" s="33" t="n">
        <v>0</v>
      </c>
      <c r="AF9" s="33" t="n">
        <v>0</v>
      </c>
      <c r="AG9" s="34">
        <f>SUM(C9:INDEX(C9:AF9,1,'Setup'!$C$8))</f>
        <v/>
      </c>
    </row>
  </sheetData>
  <conditionalFormatting sqref="AG4:AG9">
    <cfRule type="expression" priority="1" dxfId="0">
      <formula>ABS(AG4-1)&gt;0.001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K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1" customWidth="1" min="4" max="4"/>
    <col width="12" customWidth="1" min="5" max="5"/>
    <col width="15" customWidth="1" min="6" max="6"/>
    <col width="12" customWidth="1" min="7" max="7"/>
    <col width="12" customWidth="1" min="8" max="8"/>
    <col width="13" customWidth="1" min="9" max="9"/>
    <col width="9" customWidth="1" min="10" max="10"/>
    <col width="14" customWidth="1" min="11" max="11"/>
  </cols>
  <sheetData>
    <row r="1">
      <c r="A1" s="17" t="inlineStr">
        <is>
          <t>RISK REGISTER — probability-weighted 3PE impacts</t>
        </is>
      </c>
    </row>
    <row r="2">
      <c r="A2" s="26" t="inlineStr">
        <is>
          <t>➕ Add  →  AddRisk</t>
        </is>
      </c>
      <c r="D2" s="27" t="inlineStr">
        <is>
          <t>🗑 Delete selected  →  DeleteRisk</t>
        </is>
      </c>
    </row>
    <row r="3">
      <c r="A3" s="28" t="inlineStr">
        <is>
          <t>Risk ID</t>
        </is>
      </c>
      <c r="B3" s="28" t="inlineStr">
        <is>
          <t>Risk Name</t>
        </is>
      </c>
      <c r="C3" s="28" t="inlineStr">
        <is>
          <t>Category</t>
        </is>
      </c>
      <c r="D3" s="28" t="inlineStr">
        <is>
          <t>Probability</t>
        </is>
      </c>
      <c r="E3" s="28" t="inlineStr">
        <is>
          <t>Min Impact</t>
        </is>
      </c>
      <c r="F3" s="28" t="inlineStr">
        <is>
          <t>Most Likely Impact</t>
        </is>
      </c>
      <c r="G3" s="28" t="inlineStr">
        <is>
          <t>Max Impact</t>
        </is>
      </c>
      <c r="H3" s="28" t="inlineStr">
        <is>
          <t>Distribution</t>
        </is>
      </c>
      <c r="I3" s="28" t="inlineStr">
        <is>
          <t>Risk Owner</t>
        </is>
      </c>
      <c r="J3" s="28" t="inlineStr">
        <is>
          <t>Include?</t>
        </is>
      </c>
      <c r="K3" s="28" t="inlineStr">
        <is>
          <t>Notes</t>
        </is>
      </c>
    </row>
    <row r="4">
      <c r="A4" s="29">
        <f>"R"&amp;(ROW()-3)</f>
        <v/>
      </c>
      <c r="B4" s="30" t="inlineStr">
        <is>
          <t>Adverse ground conditions</t>
        </is>
      </c>
      <c r="C4" s="30" t="inlineStr">
        <is>
          <t>Technical</t>
        </is>
      </c>
      <c r="D4" s="33" t="n">
        <v>0.3</v>
      </c>
      <c r="E4" s="31" t="n">
        <v>20000</v>
      </c>
      <c r="F4" s="31" t="n">
        <v>45000</v>
      </c>
      <c r="G4" s="31" t="n">
        <v>90000</v>
      </c>
      <c r="H4" s="29" t="inlineStr">
        <is>
          <t>Triangular</t>
        </is>
      </c>
      <c r="I4" s="30" t="inlineStr">
        <is>
          <t>Civil Lead</t>
        </is>
      </c>
      <c r="J4" s="29" t="inlineStr">
        <is>
          <t>Yes</t>
        </is>
      </c>
      <c r="K4" s="30" t="inlineStr"/>
    </row>
    <row r="5">
      <c r="A5" s="29">
        <f>"R"&amp;(ROW()-3)</f>
        <v/>
      </c>
      <c r="B5" s="30" t="inlineStr">
        <is>
          <t>Major design change</t>
        </is>
      </c>
      <c r="C5" s="30" t="inlineStr">
        <is>
          <t>Commercial</t>
        </is>
      </c>
      <c r="D5" s="33" t="n">
        <v>0.4</v>
      </c>
      <c r="E5" s="31" t="n">
        <v>15000</v>
      </c>
      <c r="F5" s="31" t="n">
        <v>30000</v>
      </c>
      <c r="G5" s="31" t="n">
        <v>60000</v>
      </c>
      <c r="H5" s="29" t="inlineStr">
        <is>
          <t>Pert</t>
        </is>
      </c>
      <c r="I5" s="30" t="inlineStr">
        <is>
          <t>Design Mgr</t>
        </is>
      </c>
      <c r="J5" s="29" t="inlineStr">
        <is>
          <t>Yes</t>
        </is>
      </c>
      <c r="K5" s="30" t="inlineStr"/>
    </row>
    <row r="6">
      <c r="A6" s="29">
        <f>"R"&amp;(ROW()-3)</f>
        <v/>
      </c>
      <c r="B6" s="30" t="inlineStr">
        <is>
          <t>Material price spike</t>
        </is>
      </c>
      <c r="C6" s="30" t="inlineStr">
        <is>
          <t>Market</t>
        </is>
      </c>
      <c r="D6" s="33" t="n">
        <v>0.5</v>
      </c>
      <c r="E6" s="31" t="n">
        <v>10000</v>
      </c>
      <c r="F6" s="31" t="n">
        <v>25000</v>
      </c>
      <c r="G6" s="31" t="n">
        <v>55000</v>
      </c>
      <c r="H6" s="29" t="inlineStr">
        <is>
          <t>Triangular</t>
        </is>
      </c>
      <c r="I6" s="30" t="inlineStr">
        <is>
          <t>Procurement</t>
        </is>
      </c>
      <c r="J6" s="29" t="inlineStr">
        <is>
          <t>Yes</t>
        </is>
      </c>
      <c r="K6" s="30" t="inlineStr"/>
    </row>
    <row r="7">
      <c r="A7" s="29">
        <f>"R"&amp;(ROW()-3)</f>
        <v/>
      </c>
      <c r="B7" s="30" t="inlineStr">
        <is>
          <t>Schedule delay</t>
        </is>
      </c>
      <c r="C7" s="30" t="inlineStr">
        <is>
          <t>Delivery</t>
        </is>
      </c>
      <c r="D7" s="33" t="n">
        <v>0.25</v>
      </c>
      <c r="E7" s="31" t="n">
        <v>20000</v>
      </c>
      <c r="F7" s="31" t="n">
        <v>40000</v>
      </c>
      <c r="G7" s="31" t="n">
        <v>80000</v>
      </c>
      <c r="H7" s="29" t="inlineStr">
        <is>
          <t>Pert</t>
        </is>
      </c>
      <c r="I7" s="30" t="inlineStr">
        <is>
          <t>PM</t>
        </is>
      </c>
      <c r="J7" s="29" t="inlineStr">
        <is>
          <t>Yes</t>
        </is>
      </c>
      <c r="K7" s="30" t="inlineStr"/>
    </row>
  </sheetData>
  <mergeCells count="2">
    <mergeCell ref="D2:G2"/>
    <mergeCell ref="A2:C2"/>
  </mergeCells>
  <dataValidations count="2">
    <dataValidation sqref="H4:H67" showDropDown="0" showInputMessage="0" showErrorMessage="0" allowBlank="0" type="list">
      <formula1>"Triangular,Pert,Normal"</formula1>
    </dataValidation>
    <dataValidation sqref="J4:J67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AG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</cols>
  <sheetData>
    <row r="1">
      <c r="A1" s="17" t="inlineStr">
        <is>
          <t>RISK PROFILING — % per year (rows must total 100%)</t>
        </is>
      </c>
    </row>
    <row r="3">
      <c r="A3" s="28" t="inlineStr">
        <is>
          <t>Risk ID</t>
        </is>
      </c>
      <c r="B3" s="28" t="inlineStr">
        <is>
          <t>Risk Name</t>
        </is>
      </c>
      <c r="C3" s="28" t="inlineStr">
        <is>
          <t>FY1</t>
        </is>
      </c>
      <c r="D3" s="28" t="inlineStr">
        <is>
          <t>FY2</t>
        </is>
      </c>
      <c r="E3" s="28" t="inlineStr">
        <is>
          <t>FY3</t>
        </is>
      </c>
      <c r="F3" s="28" t="inlineStr">
        <is>
          <t>FY4</t>
        </is>
      </c>
      <c r="G3" s="28" t="inlineStr">
        <is>
          <t>FY5</t>
        </is>
      </c>
      <c r="H3" s="28" t="inlineStr">
        <is>
          <t>FY6</t>
        </is>
      </c>
      <c r="I3" s="28" t="inlineStr">
        <is>
          <t>FY7</t>
        </is>
      </c>
      <c r="J3" s="28" t="inlineStr">
        <is>
          <t>FY8</t>
        </is>
      </c>
      <c r="K3" s="28" t="inlineStr">
        <is>
          <t>FY9</t>
        </is>
      </c>
      <c r="L3" s="28" t="inlineStr">
        <is>
          <t>FY10</t>
        </is>
      </c>
      <c r="M3" s="28" t="inlineStr">
        <is>
          <t>FY11</t>
        </is>
      </c>
      <c r="N3" s="28" t="inlineStr">
        <is>
          <t>FY12</t>
        </is>
      </c>
      <c r="O3" s="28" t="inlineStr">
        <is>
          <t>FY13</t>
        </is>
      </c>
      <c r="P3" s="28" t="inlineStr">
        <is>
          <t>FY14</t>
        </is>
      </c>
      <c r="Q3" s="28" t="inlineStr">
        <is>
          <t>FY15</t>
        </is>
      </c>
      <c r="R3" s="28" t="inlineStr">
        <is>
          <t>FY16</t>
        </is>
      </c>
      <c r="S3" s="28" t="inlineStr">
        <is>
          <t>FY17</t>
        </is>
      </c>
      <c r="T3" s="28" t="inlineStr">
        <is>
          <t>FY18</t>
        </is>
      </c>
      <c r="U3" s="28" t="inlineStr">
        <is>
          <t>FY19</t>
        </is>
      </c>
      <c r="V3" s="28" t="inlineStr">
        <is>
          <t>FY20</t>
        </is>
      </c>
      <c r="W3" s="28" t="inlineStr">
        <is>
          <t>FY21</t>
        </is>
      </c>
      <c r="X3" s="28" t="inlineStr">
        <is>
          <t>FY22</t>
        </is>
      </c>
      <c r="Y3" s="28" t="inlineStr">
        <is>
          <t>FY23</t>
        </is>
      </c>
      <c r="Z3" s="28" t="inlineStr">
        <is>
          <t>FY24</t>
        </is>
      </c>
      <c r="AA3" s="28" t="inlineStr">
        <is>
          <t>FY25</t>
        </is>
      </c>
      <c r="AB3" s="28" t="inlineStr">
        <is>
          <t>FY26</t>
        </is>
      </c>
      <c r="AC3" s="28" t="inlineStr">
        <is>
          <t>FY27</t>
        </is>
      </c>
      <c r="AD3" s="28" t="inlineStr">
        <is>
          <t>FY28</t>
        </is>
      </c>
      <c r="AE3" s="28" t="inlineStr">
        <is>
          <t>FY29</t>
        </is>
      </c>
      <c r="AF3" s="28" t="inlineStr">
        <is>
          <t>FY30</t>
        </is>
      </c>
      <c r="AG3" s="28" t="inlineStr">
        <is>
          <t>Total %</t>
        </is>
      </c>
    </row>
    <row r="4">
      <c r="A4" s="29">
        <f>'Risk Register'!A4</f>
        <v/>
      </c>
      <c r="B4" s="30">
        <f>'Risk Register'!B4</f>
        <v/>
      </c>
      <c r="C4" s="33" t="n">
        <v>0.3333333333333333</v>
      </c>
      <c r="D4" s="33" t="n">
        <v>0.2666666666666667</v>
      </c>
      <c r="E4" s="33" t="n">
        <v>0.2</v>
      </c>
      <c r="F4" s="33" t="n">
        <v>0.1333333333333333</v>
      </c>
      <c r="G4" s="33" t="n">
        <v>0.06666666666666667</v>
      </c>
      <c r="H4" s="33" t="n">
        <v>0</v>
      </c>
      <c r="I4" s="33" t="n">
        <v>0</v>
      </c>
      <c r="J4" s="33" t="n">
        <v>0</v>
      </c>
      <c r="K4" s="33" t="n">
        <v>0</v>
      </c>
      <c r="L4" s="33" t="n">
        <v>0</v>
      </c>
      <c r="M4" s="33" t="n">
        <v>0</v>
      </c>
      <c r="N4" s="33" t="n">
        <v>0</v>
      </c>
      <c r="O4" s="33" t="n">
        <v>0</v>
      </c>
      <c r="P4" s="33" t="n">
        <v>0</v>
      </c>
      <c r="Q4" s="33" t="n">
        <v>0</v>
      </c>
      <c r="R4" s="33" t="n">
        <v>0</v>
      </c>
      <c r="S4" s="33" t="n">
        <v>0</v>
      </c>
      <c r="T4" s="33" t="n">
        <v>0</v>
      </c>
      <c r="U4" s="33" t="n">
        <v>0</v>
      </c>
      <c r="V4" s="33" t="n">
        <v>0</v>
      </c>
      <c r="W4" s="33" t="n">
        <v>0</v>
      </c>
      <c r="X4" s="33" t="n">
        <v>0</v>
      </c>
      <c r="Y4" s="33" t="n">
        <v>0</v>
      </c>
      <c r="Z4" s="33" t="n">
        <v>0</v>
      </c>
      <c r="AA4" s="33" t="n">
        <v>0</v>
      </c>
      <c r="AB4" s="33" t="n">
        <v>0</v>
      </c>
      <c r="AC4" s="33" t="n">
        <v>0</v>
      </c>
      <c r="AD4" s="33" t="n">
        <v>0</v>
      </c>
      <c r="AE4" s="33" t="n">
        <v>0</v>
      </c>
      <c r="AF4" s="33" t="n">
        <v>0</v>
      </c>
      <c r="AG4" s="34">
        <f>SUM(C4:INDEX(C4:AF4,1,'Setup'!$C$8))</f>
        <v/>
      </c>
    </row>
    <row r="5">
      <c r="A5" s="29">
        <f>'Risk Register'!A5</f>
        <v/>
      </c>
      <c r="B5" s="30">
        <f>'Risk Register'!B5</f>
        <v/>
      </c>
      <c r="C5" s="33" t="n">
        <v>0.1111111111111111</v>
      </c>
      <c r="D5" s="33" t="n">
        <v>0.2222222222222222</v>
      </c>
      <c r="E5" s="33" t="n">
        <v>0.3333333333333333</v>
      </c>
      <c r="F5" s="33" t="n">
        <v>0.2222222222222222</v>
      </c>
      <c r="G5" s="33" t="n">
        <v>0.1111111111111111</v>
      </c>
      <c r="H5" s="33" t="n">
        <v>0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0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  <c r="W5" s="33" t="n">
        <v>0</v>
      </c>
      <c r="X5" s="33" t="n">
        <v>0</v>
      </c>
      <c r="Y5" s="33" t="n">
        <v>0</v>
      </c>
      <c r="Z5" s="33" t="n">
        <v>0</v>
      </c>
      <c r="AA5" s="33" t="n">
        <v>0</v>
      </c>
      <c r="AB5" s="33" t="n">
        <v>0</v>
      </c>
      <c r="AC5" s="33" t="n">
        <v>0</v>
      </c>
      <c r="AD5" s="33" t="n">
        <v>0</v>
      </c>
      <c r="AE5" s="33" t="n">
        <v>0</v>
      </c>
      <c r="AF5" s="33" t="n">
        <v>0</v>
      </c>
      <c r="AG5" s="34">
        <f>SUM(C5:INDEX(C5:AF5,1,'Setup'!$C$8))</f>
        <v/>
      </c>
    </row>
    <row r="6">
      <c r="A6" s="29">
        <f>'Risk Register'!A6</f>
        <v/>
      </c>
      <c r="B6" s="30">
        <f>'Risk Register'!B6</f>
        <v/>
      </c>
      <c r="C6" s="33" t="n">
        <v>0.1111111111111111</v>
      </c>
      <c r="D6" s="33" t="n">
        <v>0.2222222222222222</v>
      </c>
      <c r="E6" s="33" t="n">
        <v>0.3333333333333333</v>
      </c>
      <c r="F6" s="33" t="n">
        <v>0.2222222222222222</v>
      </c>
      <c r="G6" s="33" t="n">
        <v>0.1111111111111111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V6" s="33" t="n">
        <v>0</v>
      </c>
      <c r="W6" s="33" t="n">
        <v>0</v>
      </c>
      <c r="X6" s="33" t="n">
        <v>0</v>
      </c>
      <c r="Y6" s="33" t="n">
        <v>0</v>
      </c>
      <c r="Z6" s="33" t="n">
        <v>0</v>
      </c>
      <c r="AA6" s="33" t="n">
        <v>0</v>
      </c>
      <c r="AB6" s="33" t="n">
        <v>0</v>
      </c>
      <c r="AC6" s="33" t="n">
        <v>0</v>
      </c>
      <c r="AD6" s="33" t="n">
        <v>0</v>
      </c>
      <c r="AE6" s="33" t="n">
        <v>0</v>
      </c>
      <c r="AF6" s="33" t="n">
        <v>0</v>
      </c>
      <c r="AG6" s="34">
        <f>SUM(C6:INDEX(C6:AF6,1,'Setup'!$C$8))</f>
        <v/>
      </c>
    </row>
    <row r="7">
      <c r="A7" s="29">
        <f>'Risk Register'!A7</f>
        <v/>
      </c>
      <c r="B7" s="30">
        <f>'Risk Register'!B7</f>
        <v/>
      </c>
      <c r="C7" s="33" t="n">
        <v>0.06666666666666667</v>
      </c>
      <c r="D7" s="33" t="n">
        <v>0.1333333333333333</v>
      </c>
      <c r="E7" s="33" t="n">
        <v>0.2</v>
      </c>
      <c r="F7" s="33" t="n">
        <v>0.2666666666666667</v>
      </c>
      <c r="G7" s="33" t="n">
        <v>0.3333333333333333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0</v>
      </c>
      <c r="N7" s="33" t="n">
        <v>0</v>
      </c>
      <c r="O7" s="33" t="n">
        <v>0</v>
      </c>
      <c r="P7" s="33" t="n">
        <v>0</v>
      </c>
      <c r="Q7" s="33" t="n">
        <v>0</v>
      </c>
      <c r="R7" s="33" t="n">
        <v>0</v>
      </c>
      <c r="S7" s="33" t="n">
        <v>0</v>
      </c>
      <c r="T7" s="33" t="n">
        <v>0</v>
      </c>
      <c r="U7" s="33" t="n">
        <v>0</v>
      </c>
      <c r="V7" s="33" t="n">
        <v>0</v>
      </c>
      <c r="W7" s="33" t="n">
        <v>0</v>
      </c>
      <c r="X7" s="33" t="n">
        <v>0</v>
      </c>
      <c r="Y7" s="33" t="n">
        <v>0</v>
      </c>
      <c r="Z7" s="33" t="n">
        <v>0</v>
      </c>
      <c r="AA7" s="33" t="n">
        <v>0</v>
      </c>
      <c r="AB7" s="33" t="n">
        <v>0</v>
      </c>
      <c r="AC7" s="33" t="n">
        <v>0</v>
      </c>
      <c r="AD7" s="33" t="n">
        <v>0</v>
      </c>
      <c r="AE7" s="33" t="n">
        <v>0</v>
      </c>
      <c r="AF7" s="33" t="n">
        <v>0</v>
      </c>
      <c r="AG7" s="34">
        <f>SUM(C7:INDEX(C7:AF7,1,'Setup'!$C$8))</f>
        <v/>
      </c>
    </row>
  </sheetData>
  <conditionalFormatting sqref="AG4:AG7">
    <cfRule type="expression" priority="1" dxfId="0">
      <formula>ABS(AG4-1)&gt;0.001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A88A"/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</cols>
  <sheetData>
    <row r="1">
      <c r="A1" s="17" t="inlineStr">
        <is>
          <t>INFLATION — rate per year; cumulative factor compounds (FY1 = 1.0)</t>
        </is>
      </c>
    </row>
    <row r="3">
      <c r="A3" s="28" t="inlineStr">
        <is>
          <t>FY</t>
        </is>
      </c>
      <c r="B3" s="28" t="inlineStr">
        <is>
          <t>Year</t>
        </is>
      </c>
      <c r="C3" s="28" t="inlineStr">
        <is>
          <t>Inflation Rate</t>
        </is>
      </c>
      <c r="D3" s="28" t="inlineStr">
        <is>
          <t>Cumulative Factor</t>
        </is>
      </c>
    </row>
    <row r="4">
      <c r="A4" s="29" t="inlineStr">
        <is>
          <t>FY1</t>
        </is>
      </c>
      <c r="B4" s="35">
        <f>'Setup'!$C$7+0</f>
        <v/>
      </c>
      <c r="C4" s="36" t="n">
        <v>0</v>
      </c>
      <c r="D4" s="37">
        <f>1</f>
        <v/>
      </c>
    </row>
    <row r="5">
      <c r="A5" s="29" t="inlineStr">
        <is>
          <t>FY2</t>
        </is>
      </c>
      <c r="B5" s="35">
        <f>'Setup'!$C$7+1</f>
        <v/>
      </c>
      <c r="C5" s="36" t="n">
        <v>0.03</v>
      </c>
      <c r="D5" s="37">
        <f>D4*(1+C5)</f>
        <v/>
      </c>
    </row>
    <row r="6">
      <c r="A6" s="29" t="inlineStr">
        <is>
          <t>FY3</t>
        </is>
      </c>
      <c r="B6" s="35">
        <f>'Setup'!$C$7+2</f>
        <v/>
      </c>
      <c r="C6" s="36" t="n">
        <v>0.03</v>
      </c>
      <c r="D6" s="37">
        <f>D5*(1+C6)</f>
        <v/>
      </c>
    </row>
    <row r="7">
      <c r="A7" s="29" t="inlineStr">
        <is>
          <t>FY4</t>
        </is>
      </c>
      <c r="B7" s="35">
        <f>'Setup'!$C$7+3</f>
        <v/>
      </c>
      <c r="C7" s="36" t="n">
        <v>0.03</v>
      </c>
      <c r="D7" s="37">
        <f>D6*(1+C7)</f>
        <v/>
      </c>
    </row>
    <row r="8">
      <c r="A8" s="29" t="inlineStr">
        <is>
          <t>FY5</t>
        </is>
      </c>
      <c r="B8" s="35">
        <f>'Setup'!$C$7+4</f>
        <v/>
      </c>
      <c r="C8" s="36" t="n">
        <v>0.03</v>
      </c>
      <c r="D8" s="37">
        <f>D7*(1+C8)</f>
        <v/>
      </c>
    </row>
    <row r="9" hidden="1">
      <c r="A9" s="29" t="inlineStr">
        <is>
          <t>FY6</t>
        </is>
      </c>
      <c r="B9" s="35">
        <f>'Setup'!$C$7+5</f>
        <v/>
      </c>
      <c r="C9" s="36" t="n">
        <v>0.03</v>
      </c>
      <c r="D9" s="37">
        <f>D8*(1+C9)</f>
        <v/>
      </c>
    </row>
    <row r="10" hidden="1">
      <c r="A10" s="29" t="inlineStr">
        <is>
          <t>FY7</t>
        </is>
      </c>
      <c r="B10" s="35">
        <f>'Setup'!$C$7+6</f>
        <v/>
      </c>
      <c r="C10" s="36" t="n">
        <v>0.03</v>
      </c>
      <c r="D10" s="37">
        <f>D9*(1+C10)</f>
        <v/>
      </c>
    </row>
    <row r="11" hidden="1">
      <c r="A11" s="29" t="inlineStr">
        <is>
          <t>FY8</t>
        </is>
      </c>
      <c r="B11" s="35">
        <f>'Setup'!$C$7+7</f>
        <v/>
      </c>
      <c r="C11" s="36" t="n">
        <v>0.03</v>
      </c>
      <c r="D11" s="37">
        <f>D10*(1+C11)</f>
        <v/>
      </c>
    </row>
    <row r="12" hidden="1">
      <c r="A12" s="29" t="inlineStr">
        <is>
          <t>FY9</t>
        </is>
      </c>
      <c r="B12" s="35">
        <f>'Setup'!$C$7+8</f>
        <v/>
      </c>
      <c r="C12" s="36" t="n">
        <v>0.03</v>
      </c>
      <c r="D12" s="37">
        <f>D11*(1+C12)</f>
        <v/>
      </c>
    </row>
    <row r="13" hidden="1">
      <c r="A13" s="29" t="inlineStr">
        <is>
          <t>FY10</t>
        </is>
      </c>
      <c r="B13" s="35">
        <f>'Setup'!$C$7+9</f>
        <v/>
      </c>
      <c r="C13" s="36" t="n">
        <v>0.03</v>
      </c>
      <c r="D13" s="37">
        <f>D12*(1+C13)</f>
        <v/>
      </c>
    </row>
    <row r="14" hidden="1">
      <c r="A14" s="29" t="inlineStr">
        <is>
          <t>FY11</t>
        </is>
      </c>
      <c r="B14" s="35">
        <f>'Setup'!$C$7+10</f>
        <v/>
      </c>
      <c r="C14" s="36" t="n">
        <v>0.03</v>
      </c>
      <c r="D14" s="37">
        <f>D13*(1+C14)</f>
        <v/>
      </c>
    </row>
    <row r="15" hidden="1">
      <c r="A15" s="29" t="inlineStr">
        <is>
          <t>FY12</t>
        </is>
      </c>
      <c r="B15" s="35">
        <f>'Setup'!$C$7+11</f>
        <v/>
      </c>
      <c r="C15" s="36" t="n">
        <v>0.03</v>
      </c>
      <c r="D15" s="37">
        <f>D14*(1+C15)</f>
        <v/>
      </c>
    </row>
    <row r="16" hidden="1">
      <c r="A16" s="29" t="inlineStr">
        <is>
          <t>FY13</t>
        </is>
      </c>
      <c r="B16" s="35">
        <f>'Setup'!$C$7+12</f>
        <v/>
      </c>
      <c r="C16" s="36" t="n">
        <v>0.03</v>
      </c>
      <c r="D16" s="37">
        <f>D15*(1+C16)</f>
        <v/>
      </c>
    </row>
    <row r="17" hidden="1">
      <c r="A17" s="29" t="inlineStr">
        <is>
          <t>FY14</t>
        </is>
      </c>
      <c r="B17" s="35">
        <f>'Setup'!$C$7+13</f>
        <v/>
      </c>
      <c r="C17" s="36" t="n">
        <v>0.03</v>
      </c>
      <c r="D17" s="37">
        <f>D16*(1+C17)</f>
        <v/>
      </c>
    </row>
    <row r="18" hidden="1">
      <c r="A18" s="29" t="inlineStr">
        <is>
          <t>FY15</t>
        </is>
      </c>
      <c r="B18" s="35">
        <f>'Setup'!$C$7+14</f>
        <v/>
      </c>
      <c r="C18" s="36" t="n">
        <v>0.03</v>
      </c>
      <c r="D18" s="37">
        <f>D17*(1+C18)</f>
        <v/>
      </c>
    </row>
    <row r="19" hidden="1">
      <c r="A19" s="29" t="inlineStr">
        <is>
          <t>FY16</t>
        </is>
      </c>
      <c r="B19" s="35">
        <f>'Setup'!$C$7+15</f>
        <v/>
      </c>
      <c r="C19" s="36" t="n">
        <v>0.03</v>
      </c>
      <c r="D19" s="37">
        <f>D18*(1+C19)</f>
        <v/>
      </c>
    </row>
    <row r="20" hidden="1">
      <c r="A20" s="29" t="inlineStr">
        <is>
          <t>FY17</t>
        </is>
      </c>
      <c r="B20" s="35">
        <f>'Setup'!$C$7+16</f>
        <v/>
      </c>
      <c r="C20" s="36" t="n">
        <v>0.03</v>
      </c>
      <c r="D20" s="37">
        <f>D19*(1+C20)</f>
        <v/>
      </c>
    </row>
    <row r="21" hidden="1">
      <c r="A21" s="29" t="inlineStr">
        <is>
          <t>FY18</t>
        </is>
      </c>
      <c r="B21" s="35">
        <f>'Setup'!$C$7+17</f>
        <v/>
      </c>
      <c r="C21" s="36" t="n">
        <v>0.03</v>
      </c>
      <c r="D21" s="37">
        <f>D20*(1+C21)</f>
        <v/>
      </c>
    </row>
    <row r="22" hidden="1">
      <c r="A22" s="29" t="inlineStr">
        <is>
          <t>FY19</t>
        </is>
      </c>
      <c r="B22" s="35">
        <f>'Setup'!$C$7+18</f>
        <v/>
      </c>
      <c r="C22" s="36" t="n">
        <v>0.03</v>
      </c>
      <c r="D22" s="37">
        <f>D21*(1+C22)</f>
        <v/>
      </c>
    </row>
    <row r="23" hidden="1">
      <c r="A23" s="29" t="inlineStr">
        <is>
          <t>FY20</t>
        </is>
      </c>
      <c r="B23" s="35">
        <f>'Setup'!$C$7+19</f>
        <v/>
      </c>
      <c r="C23" s="36" t="n">
        <v>0.03</v>
      </c>
      <c r="D23" s="37">
        <f>D22*(1+C23)</f>
        <v/>
      </c>
    </row>
    <row r="24" hidden="1">
      <c r="A24" s="29" t="inlineStr">
        <is>
          <t>FY21</t>
        </is>
      </c>
      <c r="B24" s="35">
        <f>'Setup'!$C$7+20</f>
        <v/>
      </c>
      <c r="C24" s="36" t="n">
        <v>0.03</v>
      </c>
      <c r="D24" s="37">
        <f>D23*(1+C24)</f>
        <v/>
      </c>
    </row>
    <row r="25" hidden="1">
      <c r="A25" s="29" t="inlineStr">
        <is>
          <t>FY22</t>
        </is>
      </c>
      <c r="B25" s="35">
        <f>'Setup'!$C$7+21</f>
        <v/>
      </c>
      <c r="C25" s="36" t="n">
        <v>0.03</v>
      </c>
      <c r="D25" s="37">
        <f>D24*(1+C25)</f>
        <v/>
      </c>
    </row>
    <row r="26" hidden="1">
      <c r="A26" s="29" t="inlineStr">
        <is>
          <t>FY23</t>
        </is>
      </c>
      <c r="B26" s="35">
        <f>'Setup'!$C$7+22</f>
        <v/>
      </c>
      <c r="C26" s="36" t="n">
        <v>0.03</v>
      </c>
      <c r="D26" s="37">
        <f>D25*(1+C26)</f>
        <v/>
      </c>
    </row>
    <row r="27" hidden="1">
      <c r="A27" s="29" t="inlineStr">
        <is>
          <t>FY24</t>
        </is>
      </c>
      <c r="B27" s="35">
        <f>'Setup'!$C$7+23</f>
        <v/>
      </c>
      <c r="C27" s="36" t="n">
        <v>0.03</v>
      </c>
      <c r="D27" s="37">
        <f>D26*(1+C27)</f>
        <v/>
      </c>
    </row>
    <row r="28" hidden="1">
      <c r="A28" s="29" t="inlineStr">
        <is>
          <t>FY25</t>
        </is>
      </c>
      <c r="B28" s="35">
        <f>'Setup'!$C$7+24</f>
        <v/>
      </c>
      <c r="C28" s="36" t="n">
        <v>0.03</v>
      </c>
      <c r="D28" s="37">
        <f>D27*(1+C28)</f>
        <v/>
      </c>
    </row>
    <row r="29" hidden="1">
      <c r="A29" s="29" t="inlineStr">
        <is>
          <t>FY26</t>
        </is>
      </c>
      <c r="B29" s="35">
        <f>'Setup'!$C$7+25</f>
        <v/>
      </c>
      <c r="C29" s="36" t="n">
        <v>0.03</v>
      </c>
      <c r="D29" s="37">
        <f>D28*(1+C29)</f>
        <v/>
      </c>
    </row>
    <row r="30" hidden="1">
      <c r="A30" s="29" t="inlineStr">
        <is>
          <t>FY27</t>
        </is>
      </c>
      <c r="B30" s="35">
        <f>'Setup'!$C$7+26</f>
        <v/>
      </c>
      <c r="C30" s="36" t="n">
        <v>0.03</v>
      </c>
      <c r="D30" s="37">
        <f>D29*(1+C30)</f>
        <v/>
      </c>
    </row>
    <row r="31" hidden="1">
      <c r="A31" s="29" t="inlineStr">
        <is>
          <t>FY28</t>
        </is>
      </c>
      <c r="B31" s="35">
        <f>'Setup'!$C$7+27</f>
        <v/>
      </c>
      <c r="C31" s="36" t="n">
        <v>0.03</v>
      </c>
      <c r="D31" s="37">
        <f>D30*(1+C31)</f>
        <v/>
      </c>
    </row>
    <row r="32" hidden="1">
      <c r="A32" s="29" t="inlineStr">
        <is>
          <t>FY29</t>
        </is>
      </c>
      <c r="B32" s="35">
        <f>'Setup'!$C$7+28</f>
        <v/>
      </c>
      <c r="C32" s="36" t="n">
        <v>0.03</v>
      </c>
      <c r="D32" s="37">
        <f>D31*(1+C32)</f>
        <v/>
      </c>
    </row>
    <row r="33" hidden="1">
      <c r="A33" s="29" t="inlineStr">
        <is>
          <t>FY30</t>
        </is>
      </c>
      <c r="B33" s="35">
        <f>'Setup'!$C$7+29</f>
        <v/>
      </c>
      <c r="C33" s="36" t="n">
        <v>0.03</v>
      </c>
      <c r="D33" s="37">
        <f>D32*(1+C33)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2A44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7" t="inlineStr">
        <is>
          <t>RESULTS</t>
        </is>
      </c>
    </row>
    <row r="2">
      <c r="A2" s="38" t="inlineStr">
        <is>
          <t>▶ Run the simulation (Dashboard button or Alt+F8 ▸ RunSimulation) to populate these.</t>
        </is>
      </c>
    </row>
    <row r="4">
      <c r="A4" s="11" t="inlineStr">
        <is>
          <t>A. Total Cost Percentiles</t>
        </is>
      </c>
    </row>
    <row r="5">
      <c r="A5" s="28" t="inlineStr">
        <is>
          <t>Percentile</t>
        </is>
      </c>
      <c r="B5" s="28" t="inlineStr">
        <is>
          <t>Total Cost</t>
        </is>
      </c>
    </row>
    <row r="6">
      <c r="A6" s="39" t="inlineStr">
        <is>
          <t>P10</t>
        </is>
      </c>
      <c r="B6" s="32" t="n"/>
    </row>
    <row r="7">
      <c r="A7" s="39" t="inlineStr">
        <is>
          <t>P30</t>
        </is>
      </c>
      <c r="B7" s="32" t="n"/>
    </row>
    <row r="8">
      <c r="A8" s="39" t="inlineStr">
        <is>
          <t>P50</t>
        </is>
      </c>
      <c r="B8" s="32" t="n"/>
    </row>
    <row r="9">
      <c r="A9" s="39" t="inlineStr">
        <is>
          <t>P60</t>
        </is>
      </c>
      <c r="B9" s="32" t="n"/>
    </row>
    <row r="10">
      <c r="A10" s="39" t="inlineStr">
        <is>
          <t>P70</t>
        </is>
      </c>
      <c r="B10" s="32" t="n"/>
    </row>
    <row r="11">
      <c r="A11" s="39" t="inlineStr">
        <is>
          <t>P80</t>
        </is>
      </c>
      <c r="B11" s="32" t="n"/>
    </row>
    <row r="12">
      <c r="A12" s="39" t="inlineStr">
        <is>
          <t>P90</t>
        </is>
      </c>
      <c r="B12" s="32" t="n"/>
    </row>
    <row r="13">
      <c r="A13" s="39" t="inlineStr">
        <is>
          <t>P95</t>
        </is>
      </c>
      <c r="B13" s="32" t="n"/>
    </row>
    <row r="15">
      <c r="A15" s="11" t="inlineStr">
        <is>
          <t>B. Contingency by Confidence</t>
        </is>
      </c>
    </row>
    <row r="16">
      <c r="A16" s="28" t="inlineStr">
        <is>
          <t>Confidence</t>
        </is>
      </c>
      <c r="B16" s="28" t="inlineStr">
        <is>
          <t>Total Cost</t>
        </is>
      </c>
      <c r="C16" s="28" t="inlineStr">
        <is>
          <t>Base Cost</t>
        </is>
      </c>
      <c r="D16" s="28" t="inlineStr">
        <is>
          <t>Contingency</t>
        </is>
      </c>
      <c r="E16" s="28" t="inlineStr">
        <is>
          <t>Contingency %</t>
        </is>
      </c>
    </row>
    <row r="17">
      <c r="A17" s="39" t="inlineStr">
        <is>
          <t>P50</t>
        </is>
      </c>
      <c r="B17" s="32" t="n"/>
      <c r="C17" s="32" t="n"/>
      <c r="D17" s="32" t="n"/>
      <c r="E17" s="40" t="n"/>
    </row>
    <row r="18">
      <c r="A18" s="39" t="inlineStr">
        <is>
          <t>P70</t>
        </is>
      </c>
      <c r="B18" s="32" t="n"/>
      <c r="C18" s="32" t="n"/>
      <c r="D18" s="32" t="n"/>
      <c r="E18" s="40" t="n"/>
    </row>
    <row r="19">
      <c r="A19" s="39" t="inlineStr">
        <is>
          <t>P80</t>
        </is>
      </c>
      <c r="B19" s="32" t="n"/>
      <c r="C19" s="32" t="n"/>
      <c r="D19" s="32" t="n"/>
      <c r="E19" s="40" t="n"/>
    </row>
    <row r="20">
      <c r="A20" s="39" t="inlineStr">
        <is>
          <t>P90</t>
        </is>
      </c>
      <c r="B20" s="32" t="n"/>
      <c r="C20" s="32" t="n"/>
      <c r="D20" s="32" t="n"/>
      <c r="E20" s="40" t="n"/>
    </row>
    <row r="22">
      <c r="A22" s="11" t="inlineStr">
        <is>
          <t>C. Annual Cash Flow by Confidence</t>
        </is>
      </c>
    </row>
    <row r="23">
      <c r="A23" s="28" t="inlineStr">
        <is>
          <t>Year</t>
        </is>
      </c>
      <c r="B23" s="28" t="inlineStr">
        <is>
          <t>P50</t>
        </is>
      </c>
      <c r="C23" s="28" t="inlineStr">
        <is>
          <t>P70</t>
        </is>
      </c>
      <c r="D23" s="28" t="inlineStr">
        <is>
          <t>P80</t>
        </is>
      </c>
      <c r="E23" s="28" t="inlineStr">
        <is>
          <t>P90</t>
        </is>
      </c>
    </row>
    <row r="24">
      <c r="A24" s="39" t="n"/>
      <c r="B24" s="32" t="n"/>
      <c r="C24" s="32" t="n"/>
      <c r="D24" s="32" t="n"/>
      <c r="E24" s="32" t="n"/>
    </row>
    <row r="25">
      <c r="A25" s="39" t="n"/>
      <c r="B25" s="32" t="n"/>
      <c r="C25" s="32" t="n"/>
      <c r="D25" s="32" t="n"/>
      <c r="E25" s="32" t="n"/>
    </row>
    <row r="26">
      <c r="A26" s="39" t="n"/>
      <c r="B26" s="32" t="n"/>
      <c r="C26" s="32" t="n"/>
      <c r="D26" s="32" t="n"/>
      <c r="E26" s="32" t="n"/>
    </row>
    <row r="27">
      <c r="A27" s="39" t="n"/>
      <c r="B27" s="32" t="n"/>
      <c r="C27" s="32" t="n"/>
      <c r="D27" s="32" t="n"/>
      <c r="E27" s="32" t="n"/>
    </row>
    <row r="28">
      <c r="A28" s="39" t="n"/>
      <c r="B28" s="32" t="n"/>
      <c r="C28" s="32" t="n"/>
      <c r="D28" s="32" t="n"/>
      <c r="E28" s="32" t="n"/>
    </row>
    <row r="29">
      <c r="A29" s="39" t="n"/>
      <c r="B29" s="32" t="n"/>
      <c r="C29" s="32" t="n"/>
      <c r="D29" s="32" t="n"/>
      <c r="E29" s="32" t="n"/>
    </row>
    <row r="30">
      <c r="A30" s="39" t="n"/>
      <c r="B30" s="32" t="n"/>
      <c r="C30" s="32" t="n"/>
      <c r="D30" s="32" t="n"/>
      <c r="E30" s="32" t="n"/>
    </row>
    <row r="31">
      <c r="A31" s="39" t="n"/>
      <c r="B31" s="32" t="n"/>
      <c r="C31" s="32" t="n"/>
      <c r="D31" s="32" t="n"/>
      <c r="E31" s="32" t="n"/>
    </row>
    <row r="32">
      <c r="A32" s="39" t="n"/>
      <c r="B32" s="32" t="n"/>
      <c r="C32" s="32" t="n"/>
      <c r="D32" s="32" t="n"/>
      <c r="E32" s="32" t="n"/>
    </row>
    <row r="33">
      <c r="A33" s="39" t="n"/>
      <c r="B33" s="32" t="n"/>
      <c r="C33" s="32" t="n"/>
      <c r="D33" s="32" t="n"/>
      <c r="E33" s="32" t="n"/>
    </row>
    <row r="34">
      <c r="A34" s="39" t="n"/>
      <c r="B34" s="32" t="n"/>
      <c r="C34" s="32" t="n"/>
      <c r="D34" s="32" t="n"/>
      <c r="E34" s="32" t="n"/>
    </row>
    <row r="35">
      <c r="A35" s="39" t="n"/>
      <c r="B35" s="32" t="n"/>
      <c r="C35" s="32" t="n"/>
      <c r="D35" s="32" t="n"/>
      <c r="E35" s="32" t="n"/>
    </row>
    <row r="36">
      <c r="A36" s="39" t="n"/>
      <c r="B36" s="32" t="n"/>
      <c r="C36" s="32" t="n"/>
      <c r="D36" s="32" t="n"/>
      <c r="E36" s="32" t="n"/>
    </row>
    <row r="37">
      <c r="A37" s="39" t="n"/>
      <c r="B37" s="32" t="n"/>
      <c r="C37" s="32" t="n"/>
      <c r="D37" s="32" t="n"/>
      <c r="E37" s="32" t="n"/>
    </row>
    <row r="38">
      <c r="A38" s="39" t="n"/>
      <c r="B38" s="32" t="n"/>
      <c r="C38" s="32" t="n"/>
      <c r="D38" s="32" t="n"/>
      <c r="E38" s="32" t="n"/>
    </row>
    <row r="39">
      <c r="A39" s="39" t="n"/>
      <c r="B39" s="32" t="n"/>
      <c r="C39" s="32" t="n"/>
      <c r="D39" s="32" t="n"/>
      <c r="E39" s="32" t="n"/>
    </row>
    <row r="40">
      <c r="A40" s="39" t="n"/>
      <c r="B40" s="32" t="n"/>
      <c r="C40" s="32" t="n"/>
      <c r="D40" s="32" t="n"/>
      <c r="E40" s="32" t="n"/>
    </row>
    <row r="41">
      <c r="A41" s="39" t="n"/>
      <c r="B41" s="32" t="n"/>
      <c r="C41" s="32" t="n"/>
      <c r="D41" s="32" t="n"/>
      <c r="E41" s="32" t="n"/>
    </row>
    <row r="42">
      <c r="A42" s="39" t="n"/>
      <c r="B42" s="32" t="n"/>
      <c r="C42" s="32" t="n"/>
      <c r="D42" s="32" t="n"/>
      <c r="E42" s="32" t="n"/>
    </row>
    <row r="43">
      <c r="A43" s="39" t="n"/>
      <c r="B43" s="32" t="n"/>
      <c r="C43" s="32" t="n"/>
      <c r="D43" s="32" t="n"/>
      <c r="E43" s="32" t="n"/>
    </row>
    <row r="44">
      <c r="A44" s="39" t="n"/>
      <c r="B44" s="32" t="n"/>
      <c r="C44" s="32" t="n"/>
      <c r="D44" s="32" t="n"/>
      <c r="E44" s="32" t="n"/>
    </row>
    <row r="45">
      <c r="A45" s="39" t="n"/>
      <c r="B45" s="32" t="n"/>
      <c r="C45" s="32" t="n"/>
      <c r="D45" s="32" t="n"/>
      <c r="E45" s="32" t="n"/>
    </row>
    <row r="46">
      <c r="A46" s="39" t="n"/>
      <c r="B46" s="32" t="n"/>
      <c r="C46" s="32" t="n"/>
      <c r="D46" s="32" t="n"/>
      <c r="E46" s="32" t="n"/>
    </row>
    <row r="47">
      <c r="A47" s="39" t="n"/>
      <c r="B47" s="32" t="n"/>
      <c r="C47" s="32" t="n"/>
      <c r="D47" s="32" t="n"/>
      <c r="E47" s="32" t="n"/>
    </row>
    <row r="48">
      <c r="A48" s="39" t="n"/>
      <c r="B48" s="32" t="n"/>
      <c r="C48" s="32" t="n"/>
      <c r="D48" s="32" t="n"/>
      <c r="E48" s="32" t="n"/>
    </row>
    <row r="49">
      <c r="A49" s="39" t="n"/>
      <c r="B49" s="32" t="n"/>
      <c r="C49" s="32" t="n"/>
      <c r="D49" s="32" t="n"/>
      <c r="E49" s="32" t="n"/>
    </row>
    <row r="50">
      <c r="A50" s="39" t="n"/>
      <c r="B50" s="32" t="n"/>
      <c r="C50" s="32" t="n"/>
      <c r="D50" s="32" t="n"/>
      <c r="E50" s="32" t="n"/>
    </row>
    <row r="51">
      <c r="A51" s="39" t="n"/>
      <c r="B51" s="32" t="n"/>
      <c r="C51" s="32" t="n"/>
      <c r="D51" s="32" t="n"/>
      <c r="E51" s="32" t="n"/>
    </row>
    <row r="52">
      <c r="A52" s="39" t="n"/>
      <c r="B52" s="32" t="n"/>
      <c r="C52" s="32" t="n"/>
      <c r="D52" s="32" t="n"/>
      <c r="E52" s="32" t="n"/>
    </row>
    <row r="53">
      <c r="A53" s="39" t="n"/>
      <c r="B53" s="32" t="n"/>
      <c r="C53" s="32" t="n"/>
      <c r="D53" s="32" t="n"/>
      <c r="E53" s="32" t="n"/>
    </row>
    <row r="56">
      <c r="A56" s="11" t="inlineStr">
        <is>
          <t>D. NPV by Confidence</t>
        </is>
      </c>
    </row>
    <row r="57">
      <c r="A57" s="28" t="inlineStr">
        <is>
          <t>Confidence</t>
        </is>
      </c>
      <c r="B57" s="28" t="inlineStr">
        <is>
          <t>Nominal Total</t>
        </is>
      </c>
      <c r="C57" s="28" t="inlineStr">
        <is>
          <t>NPV</t>
        </is>
      </c>
    </row>
    <row r="58">
      <c r="A58" s="39" t="inlineStr">
        <is>
          <t>P50</t>
        </is>
      </c>
      <c r="B58" s="32" t="n"/>
      <c r="C58" s="32" t="n"/>
    </row>
    <row r="59">
      <c r="A59" s="39" t="inlineStr">
        <is>
          <t>P70</t>
        </is>
      </c>
      <c r="B59" s="32" t="n"/>
      <c r="C59" s="32" t="n"/>
    </row>
    <row r="60">
      <c r="A60" s="39" t="inlineStr">
        <is>
          <t>P80</t>
        </is>
      </c>
      <c r="B60" s="32" t="n"/>
      <c r="C60" s="32" t="n"/>
    </row>
    <row r="61">
      <c r="A61" s="39" t="inlineStr">
        <is>
          <t>P90</t>
        </is>
      </c>
      <c r="B61" s="32" t="n"/>
      <c r="C61" s="3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2A44"/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7" t="inlineStr">
        <is>
          <t>SENSITIVITY (TORNADO)</t>
        </is>
      </c>
    </row>
    <row r="2">
      <c r="A2" s="3" t="inlineStr">
        <is>
          <t>P90 − P10 spread of each driver's sampled value (filled by the macro).</t>
        </is>
      </c>
    </row>
    <row r="4">
      <c r="A4" s="28" t="inlineStr">
        <is>
          <t>Driver</t>
        </is>
      </c>
      <c r="B4" s="28" t="inlineStr">
        <is>
          <t>Type</t>
        </is>
      </c>
      <c r="C4" s="28" t="inlineStr">
        <is>
          <t>P10</t>
        </is>
      </c>
      <c r="D4" s="28" t="inlineStr">
        <is>
          <t>P90</t>
        </is>
      </c>
      <c r="E4" s="28" t="inlineStr">
        <is>
          <t>Range (P90−P10)</t>
        </is>
      </c>
    </row>
    <row r="5">
      <c r="A5" s="30" t="n"/>
      <c r="B5" s="30" t="n"/>
      <c r="C5" s="32" t="n"/>
      <c r="D5" s="32" t="n"/>
      <c r="E5" s="32" t="n"/>
    </row>
    <row r="6">
      <c r="A6" s="30" t="n"/>
      <c r="B6" s="30" t="n"/>
      <c r="C6" s="32" t="n"/>
      <c r="D6" s="32" t="n"/>
      <c r="E6" s="32" t="n"/>
    </row>
    <row r="7">
      <c r="A7" s="30" t="n"/>
      <c r="B7" s="30" t="n"/>
      <c r="C7" s="32" t="n"/>
      <c r="D7" s="32" t="n"/>
      <c r="E7" s="32" t="n"/>
    </row>
    <row r="8">
      <c r="A8" s="30" t="n"/>
      <c r="B8" s="30" t="n"/>
      <c r="C8" s="32" t="n"/>
      <c r="D8" s="32" t="n"/>
      <c r="E8" s="32" t="n"/>
    </row>
    <row r="9">
      <c r="A9" s="30" t="n"/>
      <c r="B9" s="30" t="n"/>
      <c r="C9" s="32" t="n"/>
      <c r="D9" s="32" t="n"/>
      <c r="E9" s="32" t="n"/>
    </row>
    <row r="10">
      <c r="A10" s="30" t="n"/>
      <c r="B10" s="30" t="n"/>
      <c r="C10" s="32" t="n"/>
      <c r="D10" s="32" t="n"/>
      <c r="E10" s="32" t="n"/>
    </row>
    <row r="11">
      <c r="A11" s="30" t="n"/>
      <c r="B11" s="30" t="n"/>
      <c r="C11" s="32" t="n"/>
      <c r="D11" s="32" t="n"/>
      <c r="E11" s="32" t="n"/>
    </row>
    <row r="12">
      <c r="A12" s="30" t="n"/>
      <c r="B12" s="30" t="n"/>
      <c r="C12" s="32" t="n"/>
      <c r="D12" s="32" t="n"/>
      <c r="E12" s="32" t="n"/>
    </row>
    <row r="13">
      <c r="A13" s="30" t="n"/>
      <c r="B13" s="30" t="n"/>
      <c r="C13" s="32" t="n"/>
      <c r="D13" s="32" t="n"/>
      <c r="E13" s="32" t="n"/>
    </row>
    <row r="14">
      <c r="A14" s="30" t="n"/>
      <c r="B14" s="30" t="n"/>
      <c r="C14" s="32" t="n"/>
      <c r="D14" s="32" t="n"/>
      <c r="E14" s="32" t="n"/>
    </row>
    <row r="15">
      <c r="A15" s="30" t="n"/>
      <c r="B15" s="30" t="n"/>
      <c r="C15" s="32" t="n"/>
      <c r="D15" s="32" t="n"/>
      <c r="E15" s="32" t="n"/>
    </row>
    <row r="16">
      <c r="A16" s="30" t="n"/>
      <c r="B16" s="30" t="n"/>
      <c r="C16" s="32" t="n"/>
      <c r="D16" s="32" t="n"/>
      <c r="E16" s="32" t="n"/>
    </row>
    <row r="17">
      <c r="A17" s="30" t="n"/>
      <c r="B17" s="30" t="n"/>
      <c r="C17" s="32" t="n"/>
      <c r="D17" s="32" t="n"/>
      <c r="E17" s="32" t="n"/>
    </row>
    <row r="18">
      <c r="A18" s="30" t="n"/>
      <c r="B18" s="30" t="n"/>
      <c r="C18" s="32" t="n"/>
      <c r="D18" s="32" t="n"/>
      <c r="E18" s="32" t="n"/>
    </row>
    <row r="19">
      <c r="A19" s="30" t="n"/>
      <c r="B19" s="30" t="n"/>
      <c r="C19" s="32" t="n"/>
      <c r="D19" s="32" t="n"/>
      <c r="E19" s="32" t="n"/>
    </row>
    <row r="20">
      <c r="A20" s="30" t="n"/>
      <c r="B20" s="30" t="n"/>
      <c r="C20" s="32" t="n"/>
      <c r="D20" s="32" t="n"/>
      <c r="E20" s="3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7" t="inlineStr">
        <is>
          <t>MODEL CHECKS</t>
        </is>
      </c>
    </row>
    <row r="4">
      <c r="A4" s="28" t="inlineStr">
        <is>
          <t>Check</t>
        </is>
      </c>
      <c r="B4" s="28" t="inlineStr">
        <is>
          <t>Result</t>
        </is>
      </c>
    </row>
    <row r="5">
      <c r="A5" s="30" t="inlineStr">
        <is>
          <t>Cost profile rows total 100%</t>
        </is>
      </c>
      <c r="B5" s="41">
        <f>IF(SUMPRODUCT(--(ABS('Cost Profiling'!$AG$4:$AG$9-1)&gt;0.001))=0,"PASS","FAIL")</f>
        <v/>
      </c>
    </row>
    <row r="6">
      <c r="A6" s="30" t="inlineStr">
        <is>
          <t>Risk profile rows total 100%</t>
        </is>
      </c>
      <c r="B6" s="41">
        <f>IF(SUMPRODUCT(--(ABS('Risk Profiling'!$AG$4:$AG$7-1)&gt;0.001))=0,"PASS","FAIL")</f>
        <v/>
      </c>
    </row>
    <row r="7">
      <c r="A7" s="30" t="inlineStr">
        <is>
          <t>Cost lines Min&lt;=ML&lt;=Max</t>
        </is>
      </c>
      <c r="B7" s="41">
        <f>IF(SUMPRODUCT(--('Cost Lines'!$G$4:$G$9&gt;'Cost Lines'!$H$4:$H$9))+SUMPRODUCT(--('Cost Lines'!$H$4:$H$9&gt;'Cost Lines'!$I$4:$I$9))=0,"PASS","FAIL")</f>
        <v/>
      </c>
    </row>
    <row r="8">
      <c r="A8" s="30" t="inlineStr">
        <is>
          <t>Risks Min&lt;=ML&lt;=Max</t>
        </is>
      </c>
      <c r="B8" s="41">
        <f>IF(SUMPRODUCT(--('Risk Register'!$E$4:$E$7&gt;'Risk Register'!$F$4:$F$7))+SUMPRODUCT(--('Risk Register'!$F$4:$F$7&gt;'Risk Register'!$G$4:$G$7))=0,"PASS","FAIL")</f>
        <v/>
      </c>
    </row>
    <row r="9">
      <c r="A9" s="30" t="inlineStr">
        <is>
          <t>Iterations &gt; 0</t>
        </is>
      </c>
      <c r="B9" s="41">
        <f>IF('Setup'!$C$9&gt;0,"PASS","FAIL")</f>
        <v/>
      </c>
    </row>
    <row r="10">
      <c r="A10" s="30" t="inlineStr">
        <is>
          <t>Years between 1 and 30</t>
        </is>
      </c>
      <c r="B10" s="41">
        <f>IF(AND('Setup'!$C$8&gt;=1,'Setup'!$C$8&lt;=30),"PASS","FAIL")</f>
        <v/>
      </c>
    </row>
    <row r="11">
      <c r="A11" s="30" t="inlineStr">
        <is>
          <t>Discount rate valid</t>
        </is>
      </c>
      <c r="B11" s="41">
        <f>IF(AND('Setup'!$C$11&gt;=0,'Setup'!$C$11&lt;0.5),"PASS","FAIL")</f>
        <v/>
      </c>
    </row>
    <row r="13">
      <c r="A13" s="18" t="inlineStr">
        <is>
          <t>All checks</t>
        </is>
      </c>
      <c r="B13" s="42">
        <f>IF(COUNTIF(B5:B11,"FAIL")=0,"ALL OK","CHECK FAILED")</f>
        <v/>
      </c>
    </row>
  </sheetData>
  <conditionalFormatting sqref="B5:B13">
    <cfRule type="expression" priority="1" dxfId="1">
      <formula>ISNUMBER(SEARCH("FAIL",B5))</formula>
    </cfRule>
    <cfRule type="expression" priority="2" dxfId="2">
      <formula>OR(B5="PASS",B5="ALL OK")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Center</t>
        </is>
      </c>
      <c r="B1" t="inlineStr">
        <is>
          <t>Count</t>
        </is>
      </c>
      <c r="D1" t="inlineStr">
        <is>
          <t>Cost</t>
        </is>
      </c>
      <c r="E1" t="inlineStr">
        <is>
          <t>CumProb</t>
        </is>
      </c>
      <c r="G1" t="inlineStr">
        <is>
          <t>Year</t>
        </is>
      </c>
      <c r="H1" t="inlineStr">
        <is>
          <t>Cum P50</t>
        </is>
      </c>
      <c r="I1" t="inlineStr">
        <is>
          <t>Cum P80</t>
        </is>
      </c>
    </row>
    <row r="2">
      <c r="A2" s="43" t="n"/>
      <c r="B2" s="44" t="n"/>
      <c r="D2" s="43" t="n"/>
      <c r="E2" s="45" t="n"/>
      <c r="G2" s="44" t="n"/>
      <c r="H2" s="43" t="n"/>
      <c r="I2" s="43" t="n"/>
    </row>
    <row r="3">
      <c r="A3" s="43" t="n"/>
      <c r="B3" s="44" t="n"/>
      <c r="D3" s="43" t="n"/>
      <c r="E3" s="45" t="n"/>
      <c r="G3" s="44" t="n"/>
      <c r="H3" s="43" t="n"/>
      <c r="I3" s="43" t="n"/>
    </row>
    <row r="4">
      <c r="A4" s="43" t="n"/>
      <c r="B4" s="44" t="n"/>
      <c r="D4" s="43" t="n"/>
      <c r="E4" s="45" t="n"/>
      <c r="G4" s="44" t="n"/>
      <c r="H4" s="43" t="n"/>
      <c r="I4" s="43" t="n"/>
    </row>
    <row r="5">
      <c r="A5" s="43" t="n"/>
      <c r="B5" s="44" t="n"/>
      <c r="D5" s="43" t="n"/>
      <c r="E5" s="45" t="n"/>
      <c r="G5" s="44" t="n"/>
      <c r="H5" s="43" t="n"/>
      <c r="I5" s="43" t="n"/>
    </row>
    <row r="6">
      <c r="A6" s="43" t="n"/>
      <c r="B6" s="44" t="n"/>
      <c r="D6" s="43" t="n"/>
      <c r="E6" s="45" t="n"/>
      <c r="G6" s="44" t="n"/>
      <c r="H6" s="43" t="n"/>
      <c r="I6" s="43" t="n"/>
    </row>
    <row r="7">
      <c r="A7" s="43" t="n"/>
      <c r="B7" s="44" t="n"/>
      <c r="D7" s="43" t="n"/>
      <c r="E7" s="45" t="n"/>
      <c r="G7" s="44" t="n"/>
      <c r="H7" s="43" t="n"/>
      <c r="I7" s="43" t="n"/>
    </row>
    <row r="8">
      <c r="A8" s="43" t="n"/>
      <c r="B8" s="44" t="n"/>
      <c r="D8" s="43" t="n"/>
      <c r="E8" s="45" t="n"/>
      <c r="G8" s="44" t="n"/>
      <c r="H8" s="43" t="n"/>
      <c r="I8" s="43" t="n"/>
    </row>
    <row r="9">
      <c r="A9" s="43" t="n"/>
      <c r="B9" s="44" t="n"/>
      <c r="D9" s="43" t="n"/>
      <c r="E9" s="45" t="n"/>
      <c r="G9" s="44" t="n"/>
      <c r="H9" s="43" t="n"/>
      <c r="I9" s="43" t="n"/>
    </row>
    <row r="10">
      <c r="A10" s="43" t="n"/>
      <c r="B10" s="44" t="n"/>
      <c r="D10" s="43" t="n"/>
      <c r="E10" s="45" t="n"/>
      <c r="G10" s="44" t="n"/>
      <c r="H10" s="43" t="n"/>
      <c r="I10" s="43" t="n"/>
    </row>
    <row r="11">
      <c r="A11" s="43" t="n"/>
      <c r="B11" s="44" t="n"/>
      <c r="D11" s="43" t="n"/>
      <c r="E11" s="45" t="n"/>
      <c r="G11" s="44" t="n"/>
      <c r="H11" s="43" t="n"/>
      <c r="I11" s="43" t="n"/>
    </row>
    <row r="12">
      <c r="A12" s="43" t="n"/>
      <c r="B12" s="44" t="n"/>
      <c r="D12" s="43" t="n"/>
      <c r="E12" s="45" t="n"/>
      <c r="G12" s="44" t="n"/>
      <c r="H12" s="43" t="n"/>
      <c r="I12" s="43" t="n"/>
    </row>
    <row r="13">
      <c r="A13" s="43" t="n"/>
      <c r="B13" s="44" t="n"/>
      <c r="D13" s="43" t="n"/>
      <c r="E13" s="45" t="n"/>
      <c r="G13" s="44" t="n"/>
      <c r="H13" s="43" t="n"/>
      <c r="I13" s="43" t="n"/>
    </row>
    <row r="14">
      <c r="A14" s="43" t="n"/>
      <c r="B14" s="44" t="n"/>
      <c r="D14" s="43" t="n"/>
      <c r="E14" s="45" t="n"/>
      <c r="G14" s="44" t="n"/>
      <c r="H14" s="43" t="n"/>
      <c r="I14" s="43" t="n"/>
    </row>
    <row r="15">
      <c r="A15" s="43" t="n"/>
      <c r="B15" s="44" t="n"/>
      <c r="D15" s="43" t="n"/>
      <c r="E15" s="45" t="n"/>
      <c r="G15" s="44" t="n"/>
      <c r="H15" s="43" t="n"/>
      <c r="I15" s="43" t="n"/>
    </row>
    <row r="16">
      <c r="A16" s="43" t="n"/>
      <c r="B16" s="44" t="n"/>
      <c r="D16" s="43" t="n"/>
      <c r="E16" s="45" t="n"/>
      <c r="G16" s="44" t="n"/>
      <c r="H16" s="43" t="n"/>
      <c r="I16" s="43" t="n"/>
    </row>
    <row r="17">
      <c r="A17" s="43" t="n"/>
      <c r="B17" s="44" t="n"/>
      <c r="D17" s="43" t="n"/>
      <c r="E17" s="45" t="n"/>
      <c r="G17" s="44" t="n"/>
      <c r="H17" s="43" t="n"/>
      <c r="I17" s="43" t="n"/>
    </row>
    <row r="18">
      <c r="A18" s="43" t="n"/>
      <c r="B18" s="44" t="n"/>
      <c r="D18" s="43" t="n"/>
      <c r="E18" s="45" t="n"/>
      <c r="G18" s="44" t="n"/>
      <c r="H18" s="43" t="n"/>
      <c r="I18" s="43" t="n"/>
    </row>
    <row r="19">
      <c r="A19" s="43" t="n"/>
      <c r="B19" s="44" t="n"/>
      <c r="D19" s="43" t="n"/>
      <c r="E19" s="45" t="n"/>
      <c r="G19" s="44" t="n"/>
      <c r="H19" s="43" t="n"/>
      <c r="I19" s="43" t="n"/>
    </row>
    <row r="20">
      <c r="A20" s="43" t="n"/>
      <c r="B20" s="44" t="n"/>
      <c r="D20" s="43" t="n"/>
      <c r="E20" s="45" t="n"/>
      <c r="G20" s="44" t="n"/>
      <c r="H20" s="43" t="n"/>
      <c r="I20" s="43" t="n"/>
    </row>
    <row r="21">
      <c r="A21" s="43" t="n"/>
      <c r="B21" s="44" t="n"/>
      <c r="D21" s="43" t="n"/>
      <c r="E21" s="45" t="n"/>
      <c r="G21" s="44" t="n"/>
      <c r="H21" s="43" t="n"/>
      <c r="I21" s="43" t="n"/>
    </row>
    <row r="22">
      <c r="A22" s="43" t="n"/>
      <c r="B22" s="44" t="n"/>
      <c r="D22" s="43" t="n"/>
      <c r="E22" s="45" t="n"/>
      <c r="G22" s="44" t="n"/>
      <c r="H22" s="43" t="n"/>
      <c r="I22" s="43" t="n"/>
    </row>
    <row r="23">
      <c r="A23" s="43" t="n"/>
      <c r="B23" s="44" t="n"/>
      <c r="G23" s="44" t="n"/>
      <c r="H23" s="43" t="n"/>
      <c r="I23" s="43" t="n"/>
    </row>
    <row r="24">
      <c r="A24" s="43" t="n"/>
      <c r="B24" s="44" t="n"/>
      <c r="G24" s="44" t="n"/>
      <c r="H24" s="43" t="n"/>
      <c r="I24" s="43" t="n"/>
    </row>
    <row r="25">
      <c r="A25" s="43" t="n"/>
      <c r="B25" s="44" t="n"/>
      <c r="G25" s="44" t="n"/>
      <c r="H25" s="43" t="n"/>
      <c r="I25" s="43" t="n"/>
    </row>
    <row r="26">
      <c r="A26" s="43" t="n"/>
      <c r="B26" s="44" t="n"/>
      <c r="G26" s="44" t="n"/>
      <c r="H26" s="43" t="n"/>
      <c r="I26" s="43" t="n"/>
    </row>
    <row r="27">
      <c r="A27" s="43" t="n"/>
      <c r="B27" s="44" t="n"/>
      <c r="G27" s="44" t="n"/>
      <c r="H27" s="43" t="n"/>
      <c r="I27" s="43" t="n"/>
    </row>
    <row r="28">
      <c r="A28" s="43" t="n"/>
      <c r="B28" s="44" t="n"/>
      <c r="G28" s="44" t="n"/>
      <c r="H28" s="43" t="n"/>
      <c r="I28" s="43" t="n"/>
    </row>
    <row r="29">
      <c r="A29" s="43" t="n"/>
      <c r="B29" s="44" t="n"/>
      <c r="G29" s="44" t="n"/>
      <c r="H29" s="43" t="n"/>
      <c r="I29" s="43" t="n"/>
    </row>
    <row r="30">
      <c r="A30" s="43" t="n"/>
      <c r="B30" s="44" t="n"/>
      <c r="G30" s="44" t="n"/>
      <c r="H30" s="43" t="n"/>
      <c r="I30" s="43" t="n"/>
    </row>
    <row r="31">
      <c r="A31" s="43" t="n"/>
      <c r="B31" s="44" t="n"/>
      <c r="G31" s="44" t="n"/>
      <c r="H31" s="43" t="n"/>
      <c r="I31" s="4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2026-06-29T13:26:12Z</dcterms:created>
  <dcterms:modified xsi:type="dcterms:W3CDTF">2026-06-29T13:26:12Z</dcterms:modified>
</cp:coreProperties>
</file>